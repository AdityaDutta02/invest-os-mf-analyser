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defaultThemeVersion="166925"/>
  <mc:AlternateContent xmlns:mc="http://schemas.openxmlformats.org/markup-compatibility/2006">
    <mc:Choice Requires="x15">
      <x15ac:absPath xmlns:x15ac="http://schemas.microsoft.com/office/spreadsheetml/2010/11/ac" url="L:\SAMCWEB_V2.0\uploaddir\MonthlyPortfolio\"/>
    </mc:Choice>
  </mc:AlternateContent>
  <xr:revisionPtr revIDLastSave="0" documentId="13_ncr:1_{A78A6727-7A00-4A19-A75E-BB0452EF7B29}" xr6:coauthVersionLast="47" xr6:coauthVersionMax="47" xr10:uidLastSave="{00000000-0000-0000-0000-000000000000}"/>
  <bookViews>
    <workbookView xWindow="-120" yWindow="-120" windowWidth="29040" windowHeight="15720" tabRatio="915" xr2:uid="{00000000-000D-0000-FFFF-FFFF00000000}"/>
  </bookViews>
  <sheets>
    <sheet name="Index" sheetId="38" r:id="rId1"/>
    <sheet name="CAPEXG" sheetId="1" r:id="rId2"/>
    <sheet name="MICAP17" sheetId="2" r:id="rId3"/>
    <sheet name="MIDCAP" sheetId="3" r:id="rId4"/>
    <sheet name="MULTI1" sheetId="4" r:id="rId5"/>
    <sheet name="MULTI2" sheetId="5" r:id="rId6"/>
    <sheet name="MULTIP" sheetId="6" r:id="rId7"/>
    <sheet name="SESCAP1" sheetId="7" r:id="rId8"/>
    <sheet name="SESCAP2" sheetId="8" r:id="rId9"/>
    <sheet name="SESCAP3" sheetId="9" r:id="rId10"/>
    <sheet name="SESCAP4" sheetId="10" r:id="rId11"/>
    <sheet name="SESCAP5" sheetId="11" r:id="rId12"/>
    <sheet name="SESCAP6" sheetId="12" r:id="rId13"/>
    <sheet name="SESCAP7" sheetId="13" r:id="rId14"/>
    <sheet name="SLTADV3" sheetId="14" r:id="rId15"/>
    <sheet name="SLTADV4" sheetId="15" r:id="rId16"/>
    <sheet name="SLTAX1" sheetId="16" r:id="rId17"/>
    <sheet name="SLTAX2" sheetId="17" r:id="rId18"/>
    <sheet name="SLTAX3" sheetId="18" r:id="rId19"/>
    <sheet name="SLTAX4" sheetId="19" r:id="rId20"/>
    <sheet name="SLTAX5" sheetId="20" r:id="rId21"/>
    <sheet name="SLTAX6" sheetId="21" r:id="rId22"/>
    <sheet name="SMILE" sheetId="22" r:id="rId23"/>
    <sheet name="SPAHF" sheetId="36" r:id="rId24"/>
    <sheet name="SPARF" sheetId="23" r:id="rId25"/>
    <sheet name="SPBAF" sheetId="37" r:id="rId26"/>
    <sheet name="SPDYF" sheetId="24" r:id="rId27"/>
    <sheet name="SPESF" sheetId="25" r:id="rId28"/>
    <sheet name="SPFOCUS" sheetId="26" r:id="rId29"/>
    <sheet name="SPMUCF" sheetId="27" r:id="rId30"/>
    <sheet name="SPSN100" sheetId="28" r:id="rId31"/>
    <sheet name="SPTAX" sheetId="29" r:id="rId32"/>
    <sheet name="SRURAL" sheetId="30" r:id="rId33"/>
    <sheet name="SSFUND" sheetId="31" r:id="rId34"/>
    <sheet name="STAX" sheetId="32" r:id="rId35"/>
    <sheet name="SUNBCF" sheetId="33" r:id="rId36"/>
    <sheet name="SUNFCF" sheetId="34" r:id="rId37"/>
    <sheet name="SUNFOP" sheetId="35" r:id="rId38"/>
    <sheet name="GLOB" sheetId="39" r:id="rId39"/>
    <sheet name="Annexure-A" sheetId="41" r:id="rId40"/>
  </sheets>
  <definedNames>
    <definedName name="_xlnm._FilterDatabase" localSheetId="39" hidden="1">'Annexure-A'!$A$8:$L$75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65" i="25" l="1"/>
  <c r="F180" i="37"/>
  <c r="F111" i="23"/>
  <c r="G90" i="22"/>
  <c r="F90" i="22"/>
</calcChain>
</file>

<file path=xl/sharedStrings.xml><?xml version="1.0" encoding="utf-8"?>
<sst xmlns="http://schemas.openxmlformats.org/spreadsheetml/2006/main" count="10816" uniqueCount="1175">
  <si>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</si>
  <si>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</si>
  <si>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</si>
  <si>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</si>
  <si>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</si>
  <si>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</si>
  <si>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</si>
  <si>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</si>
  <si>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</si>
  <si>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</si>
  <si>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</si>
  <si>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INE018A01030</t>
  </si>
  <si>
    <t>Larsen &amp; Toubro Ltd</t>
  </si>
  <si>
    <t>Construction</t>
  </si>
  <si>
    <t>INE090A01021</t>
  </si>
  <si>
    <t>ICICI Bank Ltd</t>
  </si>
  <si>
    <t>Banks</t>
  </si>
  <si>
    <t>INE397D01024</t>
  </si>
  <si>
    <t>Bharti Airtel Ltd</t>
  </si>
  <si>
    <t>Telecom - Services</t>
  </si>
  <si>
    <t>INE002A01018</t>
  </si>
  <si>
    <t>Reliance Industries Ltd</t>
  </si>
  <si>
    <t>Petroleum Products</t>
  </si>
  <si>
    <t>INE481G01011</t>
  </si>
  <si>
    <t>Ultratech Cement Ltd</t>
  </si>
  <si>
    <t>Cement &amp; Cement Products</t>
  </si>
  <si>
    <t>INE733E01010</t>
  </si>
  <si>
    <t>NTPC Ltd</t>
  </si>
  <si>
    <t>Power</t>
  </si>
  <si>
    <t>INE999A01015</t>
  </si>
  <si>
    <t>KSB Ltd</t>
  </si>
  <si>
    <t>Industrial Products</t>
  </si>
  <si>
    <t>INE536A01023</t>
  </si>
  <si>
    <t>Grindwell Norton Ltd</t>
  </si>
  <si>
    <t>INE117A01022</t>
  </si>
  <si>
    <t>ABB India Ltd</t>
  </si>
  <si>
    <t>Electrical Equipment</t>
  </si>
  <si>
    <t>INE284A01012</t>
  </si>
  <si>
    <t>ESAB India Ltd</t>
  </si>
  <si>
    <t>INE455K01017</t>
  </si>
  <si>
    <t>Polycab India Ltd</t>
  </si>
  <si>
    <t>INE062A01020</t>
  </si>
  <si>
    <t>State Bank of India</t>
  </si>
  <si>
    <t>INE208A01029</t>
  </si>
  <si>
    <t>Ashok Leyland Ltd</t>
  </si>
  <si>
    <t>Agricultural, Commercial &amp; Construction Vehicles</t>
  </si>
  <si>
    <t>INE671A01010</t>
  </si>
  <si>
    <t>Honeywell Automation India Ltd</t>
  </si>
  <si>
    <t>Industrial Manufacturing</t>
  </si>
  <si>
    <t>INE111A01025</t>
  </si>
  <si>
    <t>Container Corporation of India Ltd</t>
  </si>
  <si>
    <t>Transport Services</t>
  </si>
  <si>
    <t>INE245A01021</t>
  </si>
  <si>
    <t>Tata Power Company Ltd</t>
  </si>
  <si>
    <t>INE195J01029</t>
  </si>
  <si>
    <t>PNC Infratech Ltd</t>
  </si>
  <si>
    <t>INE868B01028</t>
  </si>
  <si>
    <t>NCC Ltd</t>
  </si>
  <si>
    <t>INE742F01042</t>
  </si>
  <si>
    <t>Adani Ports and Special Economic Zone Ltd</t>
  </si>
  <si>
    <t>Transport Infrastructure</t>
  </si>
  <si>
    <t>INE752E01010</t>
  </si>
  <si>
    <t>Power Grid Corporation of India Ltd</t>
  </si>
  <si>
    <t>INE823G01014</t>
  </si>
  <si>
    <t>JK Cement Ltd</t>
  </si>
  <si>
    <t>INE541A01023</t>
  </si>
  <si>
    <t>GMM Pfaudler Ltd</t>
  </si>
  <si>
    <t>INE585B01010</t>
  </si>
  <si>
    <t>Maruti Suzuki India Ltd</t>
  </si>
  <si>
    <t>Automobiles</t>
  </si>
  <si>
    <t>INE513A01022</t>
  </si>
  <si>
    <t>Schaeffler India Ltd</t>
  </si>
  <si>
    <t>Auto Components</t>
  </si>
  <si>
    <t>INE263A01024</t>
  </si>
  <si>
    <t>Bharat Electronics Ltd</t>
  </si>
  <si>
    <t>Aerospace &amp; Defense</t>
  </si>
  <si>
    <t>INE003A01024</t>
  </si>
  <si>
    <t>Siemens Ltd</t>
  </si>
  <si>
    <t>INE702C01027</t>
  </si>
  <si>
    <t>APL Apollo Tubes Ltd</t>
  </si>
  <si>
    <t>INE766P01016</t>
  </si>
  <si>
    <t>Mahindra Logistics Ltd</t>
  </si>
  <si>
    <t>INE878B01027</t>
  </si>
  <si>
    <t>KEI Industries Ltd</t>
  </si>
  <si>
    <t>INE152M01016</t>
  </si>
  <si>
    <t>Triveni Turbine Ltd</t>
  </si>
  <si>
    <t>INE079A01024</t>
  </si>
  <si>
    <t>Ambuja Cements Ltd</t>
  </si>
  <si>
    <t>INE070A01015</t>
  </si>
  <si>
    <t>Shree Cement Ltd</t>
  </si>
  <si>
    <t>INE791I01019</t>
  </si>
  <si>
    <t>Brigade Enterprises Ltd</t>
  </si>
  <si>
    <t>Realty</t>
  </si>
  <si>
    <t>INE258A01016</t>
  </si>
  <si>
    <t>BEML Ltd</t>
  </si>
  <si>
    <t>INE121A01024</t>
  </si>
  <si>
    <t>Cholamandalam Investment and Finance Company Ltd</t>
  </si>
  <si>
    <t>Finance</t>
  </si>
  <si>
    <t>INE634I01029</t>
  </si>
  <si>
    <t>KNR Construction Ltd</t>
  </si>
  <si>
    <t>INE029A01011</t>
  </si>
  <si>
    <t>Bharat Petroleum Corporation Ltd</t>
  </si>
  <si>
    <t>INE08ZM01014</t>
  </si>
  <si>
    <t>Green Panel Industries Ltd</t>
  </si>
  <si>
    <t>Consumer Durables</t>
  </si>
  <si>
    <t>INE298A01020</t>
  </si>
  <si>
    <t>Cummins India Ltd</t>
  </si>
  <si>
    <t>INE093I01010</t>
  </si>
  <si>
    <t>Oberoi Realty Ltd</t>
  </si>
  <si>
    <t>INE073K01018</t>
  </si>
  <si>
    <t>Sona BLW Precision Forgings Ltd</t>
  </si>
  <si>
    <t>INE811K01011</t>
  </si>
  <si>
    <t>Prestige Estates Projects Ltd</t>
  </si>
  <si>
    <t>INE201P01022</t>
  </si>
  <si>
    <t>GR Infraprojects Ltd</t>
  </si>
  <si>
    <t>INE038A01020</t>
  </si>
  <si>
    <t>Hindalco Industries Ltd</t>
  </si>
  <si>
    <t>Non - Ferrous Metals</t>
  </si>
  <si>
    <t>INE213A01029</t>
  </si>
  <si>
    <t>Oil &amp; Natural Gas Corporation Ltd</t>
  </si>
  <si>
    <t>Oil</t>
  </si>
  <si>
    <t>INE331A01037</t>
  </si>
  <si>
    <t>The Ramco Cements Ltd</t>
  </si>
  <si>
    <t>INE371P01015</t>
  </si>
  <si>
    <t>Amber Enterprises India Ltd</t>
  </si>
  <si>
    <t>BEML Land and Assets Ltd</t>
  </si>
  <si>
    <t>INE551A01022</t>
  </si>
  <si>
    <t>Engineering Services</t>
  </si>
  <si>
    <t>#</t>
  </si>
  <si>
    <t>Sub Total</t>
  </si>
  <si>
    <t/>
  </si>
  <si>
    <t>(b) Overseas Security</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</si>
  <si>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</si>
  <si>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</si>
  <si>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</si>
  <si>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</si>
  <si>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</si>
  <si>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</si>
  <si>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</si>
  <si>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</si>
  <si>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</si>
  <si>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</si>
  <si>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</si>
  <si>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</si>
  <si>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</si>
  <si>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</si>
  <si>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</si>
  <si>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</si>
  <si>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</si>
  <si>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</si>
  <si>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</si>
  <si>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</si>
  <si>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</si>
  <si>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</si>
  <si>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</si>
  <si>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</si>
  <si>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 percentage to NAV of security is less than 0.01%</t>
  </si>
  <si>
    <t>Notes</t>
  </si>
  <si>
    <t>a) Total securities classified as below investment grade or default provided for and its percentage to NAV</t>
  </si>
  <si>
    <t>Nil</t>
  </si>
  <si>
    <t>b) Total value and percentage of illiquid equity shares</t>
  </si>
  <si>
    <t>c) NAV  per  unit (Rupees per unit)</t>
  </si>
  <si>
    <t>At the 
beginning</t>
  </si>
  <si>
    <t>At the end</t>
  </si>
  <si>
    <t>Option</t>
  </si>
  <si>
    <t>31/08/2022</t>
  </si>
  <si>
    <t>30/09/2022</t>
  </si>
  <si>
    <t>Direct Plan - Growth</t>
  </si>
  <si>
    <t>Regular Plan - Growth</t>
  </si>
  <si>
    <t>e) Total outstanding exposure in derivative instruments at the end of the period</t>
  </si>
  <si>
    <t>f) Total investments in foreign securities /ADR'S/GDR'S at the end of the period</t>
  </si>
  <si>
    <t>g) Portfolio Turnover Ratio</t>
  </si>
  <si>
    <t>h) Repo in corporate debt</t>
  </si>
  <si>
    <t>Sundaram Select Micro Cap Series XVII</t>
  </si>
  <si>
    <t>INE094A01015</t>
  </si>
  <si>
    <t>Hindustan Petroleum Corporation Ltd</t>
  </si>
  <si>
    <t>Sundaram Mid Cap Fund</t>
  </si>
  <si>
    <t>INE171A01029</t>
  </si>
  <si>
    <t>The Federal Bank  Ltd</t>
  </si>
  <si>
    <t>INE200M01013</t>
  </si>
  <si>
    <t>Varun Beverages Ltd</t>
  </si>
  <si>
    <t>Beverages</t>
  </si>
  <si>
    <t>INE048G01026</t>
  </si>
  <si>
    <t>Navin Fluorine International Ltd</t>
  </si>
  <si>
    <t>Chemicals &amp; Petrochemicals</t>
  </si>
  <si>
    <t>INE299U01018</t>
  </si>
  <si>
    <t>Crompton Greaves Consumer Electricals Ltd</t>
  </si>
  <si>
    <t>INE849A01020</t>
  </si>
  <si>
    <t>Trent Ltd</t>
  </si>
  <si>
    <t>Retailing</t>
  </si>
  <si>
    <t>INE761H01022</t>
  </si>
  <si>
    <t>Page Industries Ltd</t>
  </si>
  <si>
    <t>Textiles &amp; Apparels</t>
  </si>
  <si>
    <t>INE647A01010</t>
  </si>
  <si>
    <t>SRF Ltd</t>
  </si>
  <si>
    <t>INE238A01034</t>
  </si>
  <si>
    <t>Axis Bank Ltd</t>
  </si>
  <si>
    <t>INE974X01010</t>
  </si>
  <si>
    <t>Tube Investments of India Ltd</t>
  </si>
  <si>
    <t>INE028A01039</t>
  </si>
  <si>
    <t>Bank of Baroda</t>
  </si>
  <si>
    <t>INE947Q01028</t>
  </si>
  <si>
    <t>Laurus Labs Ltd</t>
  </si>
  <si>
    <t>Pharmaceuticals &amp; Biotechnology</t>
  </si>
  <si>
    <t>INE949L01017</t>
  </si>
  <si>
    <t>AU Small Finance Bank Ltd</t>
  </si>
  <si>
    <t>INE437A01024</t>
  </si>
  <si>
    <t>Apollo Hospitals Enterprise Ltd</t>
  </si>
  <si>
    <t>Healthcare Services</t>
  </si>
  <si>
    <t>INE721A01013</t>
  </si>
  <si>
    <t>Shriram Transport Finance Company Ltd</t>
  </si>
  <si>
    <t>INE603J01030</t>
  </si>
  <si>
    <t>PI Industries Ltd</t>
  </si>
  <si>
    <t>Fertilizers &amp; Agrochemicals</t>
  </si>
  <si>
    <t>INE686F01025</t>
  </si>
  <si>
    <t>United Breweries Ltd</t>
  </si>
  <si>
    <t>INE303R01014</t>
  </si>
  <si>
    <t>Kalyan Jewellers India Ltd</t>
  </si>
  <si>
    <t>INE246F01010</t>
  </si>
  <si>
    <t>Gujarat State Petronet Ltd</t>
  </si>
  <si>
    <t>Gas</t>
  </si>
  <si>
    <t>INE018I01017</t>
  </si>
  <si>
    <t>MindTree Ltd</t>
  </si>
  <si>
    <t>It - Software</t>
  </si>
  <si>
    <t>INE571A01038</t>
  </si>
  <si>
    <t>IPCA Laboratories Ltd</t>
  </si>
  <si>
    <t>INE169A01031</t>
  </si>
  <si>
    <t>Coromandel International Ltd</t>
  </si>
  <si>
    <t>INE006I01046</t>
  </si>
  <si>
    <t>Astral Ltd</t>
  </si>
  <si>
    <t>INE749A01030</t>
  </si>
  <si>
    <t>Jindal Steel &amp; Power Ltd</t>
  </si>
  <si>
    <t>Ferrous Metals</t>
  </si>
  <si>
    <t>INE180A01020</t>
  </si>
  <si>
    <t>Max Financial Services Ltd</t>
  </si>
  <si>
    <t>Insurance</t>
  </si>
  <si>
    <t>INE068V01023</t>
  </si>
  <si>
    <t>Gland Pharma Ltd</t>
  </si>
  <si>
    <t>INE226A01021</t>
  </si>
  <si>
    <t>Voltas Ltd</t>
  </si>
  <si>
    <t>INE149A01033</t>
  </si>
  <si>
    <t>Cholamandalam Financial Holdings Ltd</t>
  </si>
  <si>
    <t>INE105A01035</t>
  </si>
  <si>
    <t>Sundaram Clayton Ltd</t>
  </si>
  <si>
    <t>INE262H01013</t>
  </si>
  <si>
    <t>Persistent Systems Ltd</t>
  </si>
  <si>
    <t>INE797F01020</t>
  </si>
  <si>
    <t>Jubilant Foodworks Ltd</t>
  </si>
  <si>
    <t>Leisure Services</t>
  </si>
  <si>
    <t>INE256A01028</t>
  </si>
  <si>
    <t>Zee Entertainment Enterprises Ltd</t>
  </si>
  <si>
    <t>Entertainment</t>
  </si>
  <si>
    <t>INE115A01026</t>
  </si>
  <si>
    <t>LIC Housing Finance Ltd</t>
  </si>
  <si>
    <t>INE342J01019</t>
  </si>
  <si>
    <t>ZF Commercial Vehicle Control Systems I Ltd</t>
  </si>
  <si>
    <t>INE317I01021</t>
  </si>
  <si>
    <t>Metro Brands Ltd</t>
  </si>
  <si>
    <t>INE473B01035</t>
  </si>
  <si>
    <t>Hatsun Agro Product Ltd</t>
  </si>
  <si>
    <t>Food Products</t>
  </si>
  <si>
    <t>INE918I01026</t>
  </si>
  <si>
    <t>Bajaj Finserv Ltd</t>
  </si>
  <si>
    <t>INE465A01025</t>
  </si>
  <si>
    <t>Bharat Forge Ltd</t>
  </si>
  <si>
    <t>INE061F01013</t>
  </si>
  <si>
    <t>Fortis Health Care Ltd</t>
  </si>
  <si>
    <t>INE00R701025</t>
  </si>
  <si>
    <t>Dalmia Cement (Bharat) Ltd.</t>
  </si>
  <si>
    <t>INE040A01034</t>
  </si>
  <si>
    <t>HDFC Bank Ltd</t>
  </si>
  <si>
    <t>INE405E01023</t>
  </si>
  <si>
    <t>UNO Minda Ltd</t>
  </si>
  <si>
    <t>INE356A01018</t>
  </si>
  <si>
    <t>MphasiS Ltd</t>
  </si>
  <si>
    <t>INE010V01017</t>
  </si>
  <si>
    <t>L&amp;T Technology Services Ltd</t>
  </si>
  <si>
    <t>It - Services</t>
  </si>
  <si>
    <t>INE217B01036</t>
  </si>
  <si>
    <t>Kajaria Ceramics Ltd</t>
  </si>
  <si>
    <t>INE494B01023</t>
  </si>
  <si>
    <t>TVS Motor Company Ltd</t>
  </si>
  <si>
    <t>INE548C01032</t>
  </si>
  <si>
    <t>Emami Ltd</t>
  </si>
  <si>
    <t>Personal Products</t>
  </si>
  <si>
    <t>INE722A01011</t>
  </si>
  <si>
    <t>Shriram City Union Finance Ltd</t>
  </si>
  <si>
    <t>INE203G01027</t>
  </si>
  <si>
    <t>Indraprastha Gas Ltd</t>
  </si>
  <si>
    <t>INE787D01026</t>
  </si>
  <si>
    <t>Balkrishna Industries Ltd</t>
  </si>
  <si>
    <t>INE930P01018</t>
  </si>
  <si>
    <t>Anupam Rasayan India Ltd</t>
  </si>
  <si>
    <t>INE935N01020</t>
  </si>
  <si>
    <t>Dixon Technologies (India) Ltd</t>
  </si>
  <si>
    <t>Sundaram Multi Cap Fund Series I</t>
  </si>
  <si>
    <t>INE009A01021</t>
  </si>
  <si>
    <t>Infosys Ltd</t>
  </si>
  <si>
    <t>INE001A01036</t>
  </si>
  <si>
    <t>Housing Development Finance Corporation Ltd</t>
  </si>
  <si>
    <t>INE123W01016</t>
  </si>
  <si>
    <t>SBI Life Insurance Company Ltd</t>
  </si>
  <si>
    <t>INE312H01016</t>
  </si>
  <si>
    <t>INOX Leisure Ltd</t>
  </si>
  <si>
    <t>INE044A01036</t>
  </si>
  <si>
    <t>Sun Pharmaceutical Industries Ltd</t>
  </si>
  <si>
    <t>INE467B01029</t>
  </si>
  <si>
    <t>Tata Consultancy Services Ltd</t>
  </si>
  <si>
    <t>INE030A01027</t>
  </si>
  <si>
    <t>Hindustan UniLever Ltd</t>
  </si>
  <si>
    <t>Diversified Fmcg</t>
  </si>
  <si>
    <t>INE101A01026</t>
  </si>
  <si>
    <t>Mahindra &amp; Mahindra Ltd</t>
  </si>
  <si>
    <t>INE732I01013</t>
  </si>
  <si>
    <t>Angel One Ltd</t>
  </si>
  <si>
    <t>Capital Markets</t>
  </si>
  <si>
    <t>INE615P01015</t>
  </si>
  <si>
    <t>Quess Corp Ltd</t>
  </si>
  <si>
    <t>Commercial Services &amp; Supplies</t>
  </si>
  <si>
    <t>INE806T01012</t>
  </si>
  <si>
    <t>Sapphire Foods India Ltd</t>
  </si>
  <si>
    <t>INE154A01025</t>
  </si>
  <si>
    <t>ITC Ltd</t>
  </si>
  <si>
    <t>INE860A01027</t>
  </si>
  <si>
    <t>HCL Technologies Ltd</t>
  </si>
  <si>
    <t>INE075A01022</t>
  </si>
  <si>
    <t>Wipro Ltd</t>
  </si>
  <si>
    <t>INE488A01050</t>
  </si>
  <si>
    <t>Chemplast Sanmar Ltd</t>
  </si>
  <si>
    <t>INE067A01029</t>
  </si>
  <si>
    <t>CG Power and Industrial Solutions Ltd</t>
  </si>
  <si>
    <t>INE763G01038</t>
  </si>
  <si>
    <t>ICICI Securities Ltd</t>
  </si>
  <si>
    <t>INE669C01036</t>
  </si>
  <si>
    <t>Tech Mahindra Ltd</t>
  </si>
  <si>
    <t>INE731H01025</t>
  </si>
  <si>
    <t>INE237A01028</t>
  </si>
  <si>
    <t>Kotak Mahindra Bank Ltd</t>
  </si>
  <si>
    <t>INE095A01012</t>
  </si>
  <si>
    <t>IndusInd Bank Ltd</t>
  </si>
  <si>
    <t>INE217L01019</t>
  </si>
  <si>
    <t>Shriram Properties Ltd</t>
  </si>
  <si>
    <t>INE081A01020</t>
  </si>
  <si>
    <t>Tata Steel Ltd</t>
  </si>
  <si>
    <t>IN9397D01014</t>
  </si>
  <si>
    <t>Sundaram Multi Cap Fund -Series II</t>
  </si>
  <si>
    <t>Sundaram Large and Mid Cap Fund</t>
  </si>
  <si>
    <t>INE476A01014</t>
  </si>
  <si>
    <t>Canara Bank</t>
  </si>
  <si>
    <t>INE296A01024</t>
  </si>
  <si>
    <t>Bajaj Finance Ltd</t>
  </si>
  <si>
    <t>INE893J01029</t>
  </si>
  <si>
    <t>Mold-Tek Packaging Ltd</t>
  </si>
  <si>
    <t>INE361B01024</t>
  </si>
  <si>
    <t>Divis Laboratories Ltd</t>
  </si>
  <si>
    <t>INE192R01011</t>
  </si>
  <si>
    <t>Avenue Supermarts Ltd</t>
  </si>
  <si>
    <t>INE586V01016</t>
  </si>
  <si>
    <t>TCI Express Ltd</t>
  </si>
  <si>
    <t>INE155A01022</t>
  </si>
  <si>
    <t>Tata Motors Ltd</t>
  </si>
  <si>
    <t>INE100A01010</t>
  </si>
  <si>
    <t>Atul Ltd</t>
  </si>
  <si>
    <t>INE883A01011</t>
  </si>
  <si>
    <t>MRF Ltd</t>
  </si>
  <si>
    <t>INE192A01025</t>
  </si>
  <si>
    <t>TATA Consumer Products Ltd</t>
  </si>
  <si>
    <t>Agricultural Food &amp; Other Products</t>
  </si>
  <si>
    <t>INE131B01039</t>
  </si>
  <si>
    <t>Relaxo Footwears Ltd</t>
  </si>
  <si>
    <t>INE387A01021</t>
  </si>
  <si>
    <t>Sundram Fasteners Ltd</t>
  </si>
  <si>
    <t>INE388Y01029</t>
  </si>
  <si>
    <t>FSN E–Commerce Ventures Ltd(NYKAA)</t>
  </si>
  <si>
    <t>INE280A01028</t>
  </si>
  <si>
    <t>Titan Company Ltd</t>
  </si>
  <si>
    <t>INE775A01035</t>
  </si>
  <si>
    <t>Samvardhana Motherson International Ltd</t>
  </si>
  <si>
    <t>Sundaram Emerging Small Cap Series I</t>
  </si>
  <si>
    <t>INE988K01017</t>
  </si>
  <si>
    <t>Equitas Holdings Ltd</t>
  </si>
  <si>
    <t>INE00WC01027</t>
  </si>
  <si>
    <t>Affle (India) Ltd</t>
  </si>
  <si>
    <t>INE429E01023</t>
  </si>
  <si>
    <t>Safari Industries (India) Ltd</t>
  </si>
  <si>
    <t>INE348B01021</t>
  </si>
  <si>
    <t>Century Plyboards (India) Ltd</t>
  </si>
  <si>
    <t>INE075I01017</t>
  </si>
  <si>
    <t>Healthcare Global Enterprises Ltd</t>
  </si>
  <si>
    <t>INE274F01020</t>
  </si>
  <si>
    <t>Westlife Development Ltd</t>
  </si>
  <si>
    <t>INE477A01020</t>
  </si>
  <si>
    <t>Can Fin Homes Ltd</t>
  </si>
  <si>
    <t>INE481N01025</t>
  </si>
  <si>
    <t>Home First Finance Company Ltd</t>
  </si>
  <si>
    <t>INE745G01035</t>
  </si>
  <si>
    <t>Multi Commodity Exchange of India Ltd</t>
  </si>
  <si>
    <t>INE864I01014</t>
  </si>
  <si>
    <t>MTAR Technologies Ltd</t>
  </si>
  <si>
    <t>INE717A01029</t>
  </si>
  <si>
    <t>Kennametal India Ltd</t>
  </si>
  <si>
    <t>INE04I401011</t>
  </si>
  <si>
    <t>KPIT Technologies Ltd</t>
  </si>
  <si>
    <t>INE136B01020</t>
  </si>
  <si>
    <t>Cyient Ltd</t>
  </si>
  <si>
    <t>INE120A01034</t>
  </si>
  <si>
    <t>Carborundum Universal Ltd</t>
  </si>
  <si>
    <t>INE873D01024</t>
  </si>
  <si>
    <t>Indoco Remedies Ltd</t>
  </si>
  <si>
    <t>INE00IN01015</t>
  </si>
  <si>
    <t>Stove Kraft Ltd</t>
  </si>
  <si>
    <t>INE220B01022</t>
  </si>
  <si>
    <t>Kalpataru Power Transmission Ltd</t>
  </si>
  <si>
    <t>INE421D01022</t>
  </si>
  <si>
    <t>CCL Products (India) Ltd</t>
  </si>
  <si>
    <t>INE045A01017</t>
  </si>
  <si>
    <t>Ador Welding Ltd</t>
  </si>
  <si>
    <t>INE211B01039</t>
  </si>
  <si>
    <t>The Phoenix Mills Ltd</t>
  </si>
  <si>
    <t>INE572A01028</t>
  </si>
  <si>
    <t>JB Chemicals &amp; Pharmaceuticals Ltd</t>
  </si>
  <si>
    <t>INE472A01039</t>
  </si>
  <si>
    <t>Blue Star Ltd</t>
  </si>
  <si>
    <t>INE285J01028</t>
  </si>
  <si>
    <t>SIS Ltd</t>
  </si>
  <si>
    <t>INE442H01029</t>
  </si>
  <si>
    <t>Ashoka Buildcon Ltd</t>
  </si>
  <si>
    <t>INE741K01010</t>
  </si>
  <si>
    <t>Creditaccess Grameen Ltd</t>
  </si>
  <si>
    <t>INE060A01024</t>
  </si>
  <si>
    <t>Navneet Education Ltd</t>
  </si>
  <si>
    <t>Printing &amp; Publication</t>
  </si>
  <si>
    <t>INE296E01026</t>
  </si>
  <si>
    <t>Rajapalayam Mills Ltd</t>
  </si>
  <si>
    <t>INE02A801020</t>
  </si>
  <si>
    <t>Rossari Biotech Ltd</t>
  </si>
  <si>
    <t>INE934S01014</t>
  </si>
  <si>
    <t>GNA Axles Ltd</t>
  </si>
  <si>
    <t>INE782A01015</t>
  </si>
  <si>
    <t>Johnson Controls-Hitachi AirConditioning India Ltd</t>
  </si>
  <si>
    <t>INE688A01022</t>
  </si>
  <si>
    <t>Transport Corporation of India Ltd</t>
  </si>
  <si>
    <t>INE056C01010</t>
  </si>
  <si>
    <t>Tata Metaliks Ltd</t>
  </si>
  <si>
    <t>INE227C01017</t>
  </si>
  <si>
    <t>MM Forgings Ltd</t>
  </si>
  <si>
    <t>INE199A01012</t>
  </si>
  <si>
    <t>Procter &amp; Gamble Health Ltd</t>
  </si>
  <si>
    <t>INE0H5O01029</t>
  </si>
  <si>
    <t>Windlas Biotech Ltd</t>
  </si>
  <si>
    <t>INE834I01025</t>
  </si>
  <si>
    <t>Khadim India Ltd</t>
  </si>
  <si>
    <t>INE0JS101016</t>
  </si>
  <si>
    <t>Dreamfolks Services Ltd</t>
  </si>
  <si>
    <t>INE679A01013</t>
  </si>
  <si>
    <t>CSB Bank Ltd</t>
  </si>
  <si>
    <t>Sundaram Emerging Small Cap Series II</t>
  </si>
  <si>
    <t>INE126A01031</t>
  </si>
  <si>
    <t>EID Parry India Ltd</t>
  </si>
  <si>
    <t>INE043D01016</t>
  </si>
  <si>
    <t>IDFC Ltd</t>
  </si>
  <si>
    <t>INE978A01027</t>
  </si>
  <si>
    <t>Heritage Foods Ltd</t>
  </si>
  <si>
    <t>INE565V01010</t>
  </si>
  <si>
    <t>Valiant Organics Ltd</t>
  </si>
  <si>
    <t>Sundaram Emerging Small Cap Series III</t>
  </si>
  <si>
    <t>Sundaram Emerging Small Cap Series IV</t>
  </si>
  <si>
    <t>Sundaram Emerging Small Cap Series V</t>
  </si>
  <si>
    <t>Sundaram Emerging Small Cap Series VI</t>
  </si>
  <si>
    <t>Sundaram Emerging Small Cap Series VII</t>
  </si>
  <si>
    <t>INE435A01028</t>
  </si>
  <si>
    <t>International Paper APPM Ltd</t>
  </si>
  <si>
    <t>Paper, Forest &amp; Jute Products</t>
  </si>
  <si>
    <t>INE058A01010</t>
  </si>
  <si>
    <t>Sanofi India Ltd</t>
  </si>
  <si>
    <t>INE716A01013</t>
  </si>
  <si>
    <t>Whirlpool of India Ltd</t>
  </si>
  <si>
    <t>INE586B01026</t>
  </si>
  <si>
    <t>Taj GVK Hotels &amp; Resorts Ltd</t>
  </si>
  <si>
    <t>INE517F01014</t>
  </si>
  <si>
    <t>Gujarat Pipavav Port Ltd</t>
  </si>
  <si>
    <t>INE182A01018</t>
  </si>
  <si>
    <t>Pfizer Ltd</t>
  </si>
  <si>
    <t>Sundaram Long Term Tax Advantage Fund Series III</t>
  </si>
  <si>
    <t>Sundaram Long Term Tax Advantage Fund Series IV</t>
  </si>
  <si>
    <t>Sundaram Long Term Tax Advantage Fund Series-I</t>
  </si>
  <si>
    <t>INE647O01011</t>
  </si>
  <si>
    <t>Aditya Birla Fashion and Retail Ltd</t>
  </si>
  <si>
    <t>INE059A01026</t>
  </si>
  <si>
    <t>Cipla Ltd</t>
  </si>
  <si>
    <t>INE340A01012</t>
  </si>
  <si>
    <t>Birla Corporation Ltd</t>
  </si>
  <si>
    <t>Sundaram Long Term Tax Advantage Fund Series-II</t>
  </si>
  <si>
    <t>Sundaram Long Term Micro Cap Tax Advantage Fund Series III</t>
  </si>
  <si>
    <t>INE386C01029</t>
  </si>
  <si>
    <t>Astra Microwave Products Ltd</t>
  </si>
  <si>
    <t>INE884B01025</t>
  </si>
  <si>
    <t>Kirloskar Ferrous Ind Ltd</t>
  </si>
  <si>
    <t>Sundaram Long Term Micro Cap Tax Advantage Fund Series IV</t>
  </si>
  <si>
    <t>Sundaram Long Term Micro Cap Tax Advantage Fund Series V</t>
  </si>
  <si>
    <t>Sundaram Long Term Micro Cap Tax Advantage Fund Series VI</t>
  </si>
  <si>
    <t>Sundaram Small Cap Fund</t>
  </si>
  <si>
    <t>INE944F01028</t>
  </si>
  <si>
    <t>Radico Khaitan Ltd</t>
  </si>
  <si>
    <t>INE596I01012</t>
  </si>
  <si>
    <t>Computer Age Management Services Ltd</t>
  </si>
  <si>
    <t>INE136S01016</t>
  </si>
  <si>
    <t>Neogen Chemicals Ltd</t>
  </si>
  <si>
    <t>INE098F01031</t>
  </si>
  <si>
    <t>Amrutanjan Health Care Ltd</t>
  </si>
  <si>
    <t>INE725G01011</t>
  </si>
  <si>
    <t>ICRA Ltd</t>
  </si>
  <si>
    <t>INE743M01012</t>
  </si>
  <si>
    <t>RHI Magnesita India Ltd</t>
  </si>
  <si>
    <t>INE094J01016</t>
  </si>
  <si>
    <t>UTI Asset Management Co Ltd</t>
  </si>
  <si>
    <t>INE0BV301023</t>
  </si>
  <si>
    <t>CE Info Systems Private Limited</t>
  </si>
  <si>
    <t>INE836A01035</t>
  </si>
  <si>
    <t>Birlasoft Ltd</t>
  </si>
  <si>
    <t>INE03QK01018</t>
  </si>
  <si>
    <t>Suven Pharmaceuticals Ltd</t>
  </si>
  <si>
    <t>INE142Z01019</t>
  </si>
  <si>
    <t>Orient Electric Ltd</t>
  </si>
  <si>
    <t>IN9155A01020</t>
  </si>
  <si>
    <t>INE295F01017</t>
  </si>
  <si>
    <t>Butterfly Gandhimathi Appliances Ltd</t>
  </si>
  <si>
    <t>INE287B01021</t>
  </si>
  <si>
    <t>Subros Ltd</t>
  </si>
  <si>
    <t>INE736A01011</t>
  </si>
  <si>
    <t>Central Depository Services (India) Ltd</t>
  </si>
  <si>
    <t>INE768C01010</t>
  </si>
  <si>
    <t>Zydus Wellness Ltd</t>
  </si>
  <si>
    <t>INE451A01017</t>
  </si>
  <si>
    <t>Force Motors Ltd</t>
  </si>
  <si>
    <t>INE325A01013</t>
  </si>
  <si>
    <t>Timken India Ltd</t>
  </si>
  <si>
    <t>INE739E01017</t>
  </si>
  <si>
    <t>Cera Sanitaryware Ltd</t>
  </si>
  <si>
    <t>INE0BJS01011</t>
  </si>
  <si>
    <t>Go Fashion (India ) Ltd</t>
  </si>
  <si>
    <t>INE119A01028</t>
  </si>
  <si>
    <t>Balrampur Chini Mills Ltd</t>
  </si>
  <si>
    <t>INE00F201020</t>
  </si>
  <si>
    <t>Prudent Corporate Advisory Services Ltd</t>
  </si>
  <si>
    <t>INE177F01017</t>
  </si>
  <si>
    <t>Kovai Medical Center &amp; Hospital Ltd</t>
  </si>
  <si>
    <t>INE054A01027</t>
  </si>
  <si>
    <t>VIP Industries Ltd</t>
  </si>
  <si>
    <t>INE930H01031</t>
  </si>
  <si>
    <t>K.P.R. Mill Ltd</t>
  </si>
  <si>
    <t>INE670A01012</t>
  </si>
  <si>
    <t>Tata Elxsi Ltd</t>
  </si>
  <si>
    <t>INE450U01017</t>
  </si>
  <si>
    <t>Route Mobile Ltd</t>
  </si>
  <si>
    <t>INE825V01034</t>
  </si>
  <si>
    <t>Vedant Fashions Ltd</t>
  </si>
  <si>
    <t>INE544R01021</t>
  </si>
  <si>
    <t>Greenlam Industries Ltd</t>
  </si>
  <si>
    <t>INE021A01026</t>
  </si>
  <si>
    <t>Asian Paints Ltd</t>
  </si>
  <si>
    <t>INE158A01026</t>
  </si>
  <si>
    <t>Hero MotoCorp Ltd</t>
  </si>
  <si>
    <t>INE406A01037</t>
  </si>
  <si>
    <t>Aurobindo Pharma Ltd</t>
  </si>
  <si>
    <t>INE010B01027</t>
  </si>
  <si>
    <t>Zydus Lifesciences Ltd</t>
  </si>
  <si>
    <t>INE498L01015</t>
  </si>
  <si>
    <t>L&amp;T Finance Holdings Ltd</t>
  </si>
  <si>
    <t>Stock Future</t>
  </si>
  <si>
    <t>IN002022Y096</t>
  </si>
  <si>
    <t>Sovereign</t>
  </si>
  <si>
    <t>IN002021Z434</t>
  </si>
  <si>
    <t>INF173K01GU0</t>
  </si>
  <si>
    <t>Margin Money For Derivatives</t>
  </si>
  <si>
    <t>Sundaram Dividend Yield Fund</t>
  </si>
  <si>
    <t>INE212H01026</t>
  </si>
  <si>
    <t>AIA Engineering Ltd</t>
  </si>
  <si>
    <t>INE917I01010</t>
  </si>
  <si>
    <t>Bajaj Auto Ltd</t>
  </si>
  <si>
    <t>INE916U01025</t>
  </si>
  <si>
    <t>Sheela Foam Ltd</t>
  </si>
  <si>
    <t>INE216A01030</t>
  </si>
  <si>
    <t>Britannia Industries Ltd</t>
  </si>
  <si>
    <t>INE066A01021</t>
  </si>
  <si>
    <t>Eicher Motors Ltd</t>
  </si>
  <si>
    <t>INE710A01016</t>
  </si>
  <si>
    <t>VST Industries Ltd</t>
  </si>
  <si>
    <t>Cigarettes &amp; Tobacco Products</t>
  </si>
  <si>
    <t>INE267A01025</t>
  </si>
  <si>
    <t>Hindustan Zinc Ltd</t>
  </si>
  <si>
    <t>INE121J01017</t>
  </si>
  <si>
    <t>Indus Towers Ltd (Prev Bharti Infratel Ltd)</t>
  </si>
  <si>
    <t>INE482A01020</t>
  </si>
  <si>
    <t>Ceat Ltd</t>
  </si>
  <si>
    <t>IDIA00069480</t>
  </si>
  <si>
    <t>INE759J01022</t>
  </si>
  <si>
    <t>IDIA00069477</t>
  </si>
  <si>
    <t>INE02CF01010</t>
  </si>
  <si>
    <t>INE216A08027</t>
  </si>
  <si>
    <t>Britannia Industries Ltd - 5.5% - 03/06/2024**</t>
  </si>
  <si>
    <t>CRISIL AAA</t>
  </si>
  <si>
    <t>** Thinly traded / Non Traded Securities</t>
  </si>
  <si>
    <t>Sundaram Equity Savings Fund</t>
  </si>
  <si>
    <t>INE227W01023</t>
  </si>
  <si>
    <t>Clean Science &amp; Technology Ltd</t>
  </si>
  <si>
    <t>INE854D01024</t>
  </si>
  <si>
    <t>United Spirits Ltd</t>
  </si>
  <si>
    <t>INE774D01024</t>
  </si>
  <si>
    <t>Mahindra &amp; Mahindra Financial Services Ltd</t>
  </si>
  <si>
    <t>INE765G01017</t>
  </si>
  <si>
    <t>ICICI Lombard General Insurance Company Ltd</t>
  </si>
  <si>
    <t>INE795G01014</t>
  </si>
  <si>
    <t>HDFC Life Insurance Company Ltd</t>
  </si>
  <si>
    <t>INE115A07OV2</t>
  </si>
  <si>
    <t>LIC Housing Finance Ltd - 5.45% - 25/08/2023**</t>
  </si>
  <si>
    <t>CARE AAA</t>
  </si>
  <si>
    <t>INE020B08AT3</t>
  </si>
  <si>
    <t>REC Ltd - 7.99% - 23/02/2023**</t>
  </si>
  <si>
    <t>INE053F07BB3</t>
  </si>
  <si>
    <t>Indian Railway Finance Corporation Ltd - 8.25% - 28/02/2024**</t>
  </si>
  <si>
    <t>INE733E07JD2</t>
  </si>
  <si>
    <t>NTPC Ltd - 8.8% - 04/04/2023**</t>
  </si>
  <si>
    <t>INE020B08CG6</t>
  </si>
  <si>
    <t>REC Ltd - 7.24% - 31/12/2022</t>
  </si>
  <si>
    <t>INE261F08CA0</t>
  </si>
  <si>
    <t>National Bank for Agricultural &amp; Rural Development - 6.4% - 31/07/2023**</t>
  </si>
  <si>
    <t>ICRA AAA</t>
  </si>
  <si>
    <t>IN0020200112</t>
  </si>
  <si>
    <t>5.22% Central Government Securities 15/06/2025</t>
  </si>
  <si>
    <t>IN0020200278</t>
  </si>
  <si>
    <t>5.15% Central Government Securities 09/11/2025</t>
  </si>
  <si>
    <t>IN2220150022</t>
  </si>
  <si>
    <t>8.14% Maharashtra State Development Loan 27/05/2025</t>
  </si>
  <si>
    <t>IN0020190396</t>
  </si>
  <si>
    <t>6.18% Central Government Securities 04/11/2024</t>
  </si>
  <si>
    <t>IN002021Z442</t>
  </si>
  <si>
    <t>IN002022Y112</t>
  </si>
  <si>
    <t>Sundaram Multi Cap Fund</t>
  </si>
  <si>
    <t>INE470A01017</t>
  </si>
  <si>
    <t>3M India Ltd</t>
  </si>
  <si>
    <t>Diversified</t>
  </si>
  <si>
    <t>INE852S01026</t>
  </si>
  <si>
    <t>Entertainment And Electronic Media</t>
  </si>
  <si>
    <t>INE147E01013</t>
  </si>
  <si>
    <t>INE431E01011</t>
  </si>
  <si>
    <t>Healthcare Equipment &amp; Supplies</t>
  </si>
  <si>
    <t>INE406B01019</t>
  </si>
  <si>
    <t>INE604A01011</t>
  </si>
  <si>
    <t>IDIA00069356</t>
  </si>
  <si>
    <t>INE348C01011</t>
  </si>
  <si>
    <t>IDIA00069359</t>
  </si>
  <si>
    <t>INE423A01024</t>
  </si>
  <si>
    <t>Adani Enterprises</t>
  </si>
  <si>
    <t>Metals &amp; Minerals Trading</t>
  </si>
  <si>
    <t>INE931S01010</t>
  </si>
  <si>
    <t>Adani Transmission Ltd</t>
  </si>
  <si>
    <t>INE118A01012</t>
  </si>
  <si>
    <t>Bajaj Holdings &amp; Investment Ltd</t>
  </si>
  <si>
    <t>INE318A01026</t>
  </si>
  <si>
    <t>Pidilite Industries Ltd</t>
  </si>
  <si>
    <t>INE160A01022</t>
  </si>
  <si>
    <t>Punjab National Bank</t>
  </si>
  <si>
    <t>INE047A01021</t>
  </si>
  <si>
    <t>Grasim Industries Ltd</t>
  </si>
  <si>
    <t>INE176B01034</t>
  </si>
  <si>
    <t>Havells India Ltd</t>
  </si>
  <si>
    <t>INE018E01016</t>
  </si>
  <si>
    <t>SBI Cards and Payment Services Ltd</t>
  </si>
  <si>
    <t>INE205A01025</t>
  </si>
  <si>
    <t>Vedanta Ltd</t>
  </si>
  <si>
    <t>Diversified Metals</t>
  </si>
  <si>
    <t>INE522F01014</t>
  </si>
  <si>
    <t>Coal India Ltd</t>
  </si>
  <si>
    <t>Consumable Fuels</t>
  </si>
  <si>
    <t>INE584A01023</t>
  </si>
  <si>
    <t>NMDC Ltd</t>
  </si>
  <si>
    <t>Minerals &amp; Mining</t>
  </si>
  <si>
    <t>INE012A01025</t>
  </si>
  <si>
    <t>ACC Ltd</t>
  </si>
  <si>
    <t>INE102D01028</t>
  </si>
  <si>
    <t>Godrej Consumer Products Ltd</t>
  </si>
  <si>
    <t>INE646L01027</t>
  </si>
  <si>
    <t>Interglobe Aviation Ltd</t>
  </si>
  <si>
    <t>INE271C01023</t>
  </si>
  <si>
    <t>DLF Ltd</t>
  </si>
  <si>
    <t>INE239A01016</t>
  </si>
  <si>
    <t>Nestle India Ltd</t>
  </si>
  <si>
    <t>INE016A01026</t>
  </si>
  <si>
    <t>Dabur India Ltd</t>
  </si>
  <si>
    <t>INE019A01038</t>
  </si>
  <si>
    <t>JSW Steel Ltd</t>
  </si>
  <si>
    <t>INE196A01026</t>
  </si>
  <si>
    <t>Marico Ltd</t>
  </si>
  <si>
    <t>INE114A01011</t>
  </si>
  <si>
    <t>Steel Authority of India Ltd</t>
  </si>
  <si>
    <t>INE364U01010</t>
  </si>
  <si>
    <t>Adani Green Energy Ltd</t>
  </si>
  <si>
    <t>INE685A01028</t>
  </si>
  <si>
    <t>Torrent Pharmaceuticals Ltd</t>
  </si>
  <si>
    <t>INE214T01019</t>
  </si>
  <si>
    <t>Larsen &amp; Toubro Infotech Ltd</t>
  </si>
  <si>
    <t>INE259A01022</t>
  </si>
  <si>
    <t>Colgate Palmolive (India) Ltd</t>
  </si>
  <si>
    <t>INE323A01026</t>
  </si>
  <si>
    <t>Bosch Ltd</t>
  </si>
  <si>
    <t>INE326A01037</t>
  </si>
  <si>
    <t>Lupin Ltd</t>
  </si>
  <si>
    <t>INE127D01025</t>
  </si>
  <si>
    <t>HDFC Asset Management Company Ltd</t>
  </si>
  <si>
    <t>INE726G01019</t>
  </si>
  <si>
    <t>ICICI Prudential Life Insurance Company Ltd</t>
  </si>
  <si>
    <t>INE414G01012</t>
  </si>
  <si>
    <t>Muthoot Finance Ltd</t>
  </si>
  <si>
    <t>INE179A01014</t>
  </si>
  <si>
    <t>Procter &amp; Gamble Hygiene and Health Care Ltd</t>
  </si>
  <si>
    <t>INE628A01036</t>
  </si>
  <si>
    <t>UPL Ltd</t>
  </si>
  <si>
    <t>INE463A01038</t>
  </si>
  <si>
    <t>Berger Paints (I) Ltd</t>
  </si>
  <si>
    <t>INE663F01024</t>
  </si>
  <si>
    <t>Info Edge (India) Ltd</t>
  </si>
  <si>
    <t>INE089A01023</t>
  </si>
  <si>
    <t>Dr. Reddys Laboratories Ltd</t>
  </si>
  <si>
    <t>INE129A01019</t>
  </si>
  <si>
    <t>GAIL (India) Ltd</t>
  </si>
  <si>
    <t>INE545U01014</t>
  </si>
  <si>
    <t>Bandhan Bank Ltd</t>
  </si>
  <si>
    <t>INE758T01015</t>
  </si>
  <si>
    <t>Zomato Ltd</t>
  </si>
  <si>
    <t>INE242A01010</t>
  </si>
  <si>
    <t>Indian Oil Corporation Ltd</t>
  </si>
  <si>
    <t>INE982J01020</t>
  </si>
  <si>
    <t>One 97 Communications Ltd</t>
  </si>
  <si>
    <t>Financial Technology (Fintech)</t>
  </si>
  <si>
    <t>INE376G01013</t>
  </si>
  <si>
    <t>Biocon Ltd</t>
  </si>
  <si>
    <t>INE140A01024</t>
  </si>
  <si>
    <t>Piramal Enterprises Ltd</t>
  </si>
  <si>
    <t>INE0DK501011</t>
  </si>
  <si>
    <t>Piramal Pharma Ltd</t>
  </si>
  <si>
    <t>INEDUMMYYESB</t>
  </si>
  <si>
    <t>INE591G01017</t>
  </si>
  <si>
    <t>Coforge Ltd</t>
  </si>
  <si>
    <t>INE872J01023</t>
  </si>
  <si>
    <t>Devyani international limited</t>
  </si>
  <si>
    <t>INE355A01028</t>
  </si>
  <si>
    <t>Somany Ceramics Ltd</t>
  </si>
  <si>
    <t>Sundaram Services Fund</t>
  </si>
  <si>
    <t>INE191H01014</t>
  </si>
  <si>
    <t>PVR Ltd</t>
  </si>
  <si>
    <t>INE112L01020</t>
  </si>
  <si>
    <t>Metropolis Healthcare Ltd</t>
  </si>
  <si>
    <t>MU0295S00016</t>
  </si>
  <si>
    <t>Make My Trip Ltd (USD)</t>
  </si>
  <si>
    <t>Sundaram Diversified Equity</t>
  </si>
  <si>
    <t>Sundaram Large Cap Fund</t>
  </si>
  <si>
    <t>Sundaram Flexi Cap Fund</t>
  </si>
  <si>
    <t>Sundaram Financial Services Opportunities Fund</t>
  </si>
  <si>
    <t>Institutional Plan - Growth</t>
  </si>
  <si>
    <t>Others</t>
  </si>
  <si>
    <t>Individual &amp; HUF</t>
  </si>
  <si>
    <t>^ Net current assets includes interest accrued on fixed income securities</t>
  </si>
  <si>
    <t>**Non Traded Securities</t>
  </si>
  <si>
    <t>Cash and Other Net Current Assets^</t>
  </si>
  <si>
    <t>IN002021Z368</t>
  </si>
  <si>
    <t>IN002021Z426</t>
  </si>
  <si>
    <t>CRISIL A1+</t>
  </si>
  <si>
    <t>Housing Development Finance Corporation Ltd - 17/05/2023**</t>
  </si>
  <si>
    <t>INE001A14YV9</t>
  </si>
  <si>
    <t>IND A1+</t>
  </si>
  <si>
    <t>State Bank of India - 12/09/2023</t>
  </si>
  <si>
    <t>INE062A16465</t>
  </si>
  <si>
    <t>Small Industries Development Bank of India - 01/09/2023**</t>
  </si>
  <si>
    <t>INE556F16994</t>
  </si>
  <si>
    <t>Canara Bank - 18/08/2023**</t>
  </si>
  <si>
    <t>INE476A16TV8</t>
  </si>
  <si>
    <t>Bank of Baroda - 17/08/2023**</t>
  </si>
  <si>
    <t>INE028A16CT7</t>
  </si>
  <si>
    <t>Bank of Baroda - 14/02/2023**</t>
  </si>
  <si>
    <t>INE028A16CO8</t>
  </si>
  <si>
    <t>8.06% Maharashtra State Development Loan 11/02/2025</t>
  </si>
  <si>
    <t>IN2220140205</t>
  </si>
  <si>
    <t>8.08% Karnataka State Development Loan 11/03/2025</t>
  </si>
  <si>
    <t>IN1920140119</t>
  </si>
  <si>
    <t>8.25% Maharashtra State Development Loan 10/06/2025</t>
  </si>
  <si>
    <t>IN2220150030</t>
  </si>
  <si>
    <t xml:space="preserve">6.84% Central Government Securities 19/12/2022 </t>
  </si>
  <si>
    <t>IN0020160050</t>
  </si>
  <si>
    <t>7.38% Central Government Securities 20/06/2027</t>
  </si>
  <si>
    <t>IN0020220037</t>
  </si>
  <si>
    <t>7.16% Central Government Securities 20/05/2023</t>
  </si>
  <si>
    <t>IN0020130012</t>
  </si>
  <si>
    <t>6.54% Central Government Securities 17/01/2032</t>
  </si>
  <si>
    <t>IN0020210244</t>
  </si>
  <si>
    <t>IN0020210160</t>
  </si>
  <si>
    <t xml:space="preserve">7.26% Central Government Securities 22/08/2032 </t>
  </si>
  <si>
    <t>IN0020220060</t>
  </si>
  <si>
    <t>5.74% Central Government Securities 15/11/2026</t>
  </si>
  <si>
    <t>IN0020210186</t>
  </si>
  <si>
    <t>6.69% Central Government Securities 27/06/2024</t>
  </si>
  <si>
    <t>IN0020220052</t>
  </si>
  <si>
    <t>Tata Sons Pvt Ltd - 9.3% - 19/06/2024**</t>
  </si>
  <si>
    <t>INE895D07487</t>
  </si>
  <si>
    <t>National Bank for Agricultural &amp; Rural Development - 5.27% - 23/07/2024</t>
  </si>
  <si>
    <t>INE261F08DF7</t>
  </si>
  <si>
    <t>National Housing Bank  - 6.55% - 17/04/2023</t>
  </si>
  <si>
    <t>INE557F08FI7</t>
  </si>
  <si>
    <t>CARE BBB+</t>
  </si>
  <si>
    <t>INE528G08246</t>
  </si>
  <si>
    <t>National Bank for Agricultural &amp; Rural Development - 8.5% - 31/01/2023</t>
  </si>
  <si>
    <t>INE261F08AT4</t>
  </si>
  <si>
    <t>ICICI Bank Ltd - 7.6% - 07/10/2023**</t>
  </si>
  <si>
    <t>INE090A08TU6</t>
  </si>
  <si>
    <t>National Bank for Agricultural &amp; Rural Development - 5.23% - 31/01/2025**</t>
  </si>
  <si>
    <t>INE261F08DI1</t>
  </si>
  <si>
    <t>LIC Housing Finance Ltd - 5.35% - 20/03/2023**</t>
  </si>
  <si>
    <t>INE115A07PC9</t>
  </si>
  <si>
    <t>LIC Housing Finance Ltd - 7.445% - 13/01/2023**</t>
  </si>
  <si>
    <t>INE115A07OJ7</t>
  </si>
  <si>
    <t>Larsen &amp; Toubro Ltd - 7.7% - 28/04/2025**</t>
  </si>
  <si>
    <t>INE018A08BA7</t>
  </si>
  <si>
    <t>National Bank for Agricultural &amp; Rural Development - 7.69% - 29/05/2024**</t>
  </si>
  <si>
    <t>INE261F08BK1</t>
  </si>
  <si>
    <t>Power Finance Corporation Ltd - 8.1% - 04/06/2024**</t>
  </si>
  <si>
    <t>INE134E08KD9</t>
  </si>
  <si>
    <t>Housing Development Finance Corporation Ltd - 7.35% - 10/02/2025**</t>
  </si>
  <si>
    <t>INE001A07SG6</t>
  </si>
  <si>
    <t>National Housing Bank  - 7.05% - 18/12/2024**</t>
  </si>
  <si>
    <t>INE557F08FG1</t>
  </si>
  <si>
    <t>IND AAA</t>
  </si>
  <si>
    <t>INE028A08158</t>
  </si>
  <si>
    <t>REC Ltd - 5.74% - 20/06/2024**</t>
  </si>
  <si>
    <t>INE020B08DR1</t>
  </si>
  <si>
    <t>Power Finance Corporation Ltd - 6.83% - 24/04/2023**</t>
  </si>
  <si>
    <t>INE134E08KO6</t>
  </si>
  <si>
    <t>Sundaram Aggressive Hybrid Fund</t>
  </si>
  <si>
    <t>-</t>
  </si>
  <si>
    <t>HDFC Bank Ltd - 13/04/2023**</t>
  </si>
  <si>
    <t>INE040A16DG7</t>
  </si>
  <si>
    <t>4.26% Central Government Securities 17/05/2023</t>
  </si>
  <si>
    <t>IN0020210046</t>
  </si>
  <si>
    <t>Indian Oil Corporation Ltd - 5.05% - 25/11/2022</t>
  </si>
  <si>
    <t>INE242A08460</t>
  </si>
  <si>
    <t>Indian Railway Finance Corporation Ltd - 6.59% - 14/04/2023**</t>
  </si>
  <si>
    <t>INE053F07BZ2</t>
  </si>
  <si>
    <t>Power Finance Corporation Ltd - 7.04% - 14/04/2023**</t>
  </si>
  <si>
    <t>INE134E08KJ6</t>
  </si>
  <si>
    <t>REC Ltd - 5.69% - 30/09/2023**</t>
  </si>
  <si>
    <t>INE020B08DC3</t>
  </si>
  <si>
    <t>National Bank for Agricultural &amp; Rural Development - 6.72% - 14/04/2023**</t>
  </si>
  <si>
    <t>INE261F08BW6</t>
  </si>
  <si>
    <t>REC Ltd - 6.8% - 30/06/2023**</t>
  </si>
  <si>
    <t>INE020B08CN2</t>
  </si>
  <si>
    <t>Housing Development Finance Corporation Ltd - 6.99% - 13/02/2023**</t>
  </si>
  <si>
    <t>INE001A07SH4</t>
  </si>
  <si>
    <t>LIC Housing Finance Ltd - 7.6% - 22/11/2022**</t>
  </si>
  <si>
    <t>INE115A07OH1</t>
  </si>
  <si>
    <t>Hindustan Petroleum Corporation Ltd - 4.79% - 23/10/2023**</t>
  </si>
  <si>
    <t>INE094A08085</t>
  </si>
  <si>
    <t>Index Future</t>
  </si>
  <si>
    <t>Sundaram Balanced Advantage Fund</t>
  </si>
  <si>
    <t>Sundaram Consumption Fund (Formerly Known as Sundaram Rural and Consumption Fund)</t>
  </si>
  <si>
    <t>Action Construction Equipments Ltd</t>
  </si>
  <si>
    <t>4.93% Central Government Securities_Floating Rate Bond - 04/10/2028 ~</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</si>
  <si>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</si>
  <si>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S.NO.</t>
  </si>
  <si>
    <t>ACRONYM</t>
  </si>
  <si>
    <t>SCHEME NAME</t>
  </si>
  <si>
    <t>CAPEXG</t>
  </si>
  <si>
    <t>MICAP17</t>
  </si>
  <si>
    <t>MIDCAP</t>
  </si>
  <si>
    <t>MULTI1</t>
  </si>
  <si>
    <t>MULTI2</t>
  </si>
  <si>
    <t>Sundaram Multi Cap Fund Series II</t>
  </si>
  <si>
    <t>MULTIP</t>
  </si>
  <si>
    <t>Sundaram  Large And Mid Cap Fund</t>
  </si>
  <si>
    <t>SESCAP1</t>
  </si>
  <si>
    <t>SESCAP2</t>
  </si>
  <si>
    <t>SESCAP3</t>
  </si>
  <si>
    <t>SESCAP4</t>
  </si>
  <si>
    <t>SESCAP5</t>
  </si>
  <si>
    <t>SESCAP6</t>
  </si>
  <si>
    <t>SESCAP7</t>
  </si>
  <si>
    <t>SLTADV3</t>
  </si>
  <si>
    <t>Sundaram Long Term Advantage Fund Series III</t>
  </si>
  <si>
    <t>SLTADV4</t>
  </si>
  <si>
    <t>Sundaram Long Term Advantage Fund Series IV</t>
  </si>
  <si>
    <t>SLTAX1</t>
  </si>
  <si>
    <t>Sundaram Long Term Tax Advantage Fund Series I</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</si>
  <si>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</si>
  <si>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</si>
  <si>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</si>
  <si>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</si>
  <si>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</si>
  <si>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</si>
  <si>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</si>
  <si>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</si>
  <si>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</si>
  <si>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</si>
  <si>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</si>
  <si>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</si>
  <si>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</si>
  <si>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</si>
  <si>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</si>
  <si>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</si>
  <si>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</si>
  <si>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 xml:space="preserve">Sundaram Smart Nifty 100 Equal Weight Fund </t>
  </si>
  <si>
    <t>SPTAX</t>
  </si>
  <si>
    <t>Sundaram Tax Savings Fund (Elss)</t>
  </si>
  <si>
    <t>SRURAL</t>
  </si>
  <si>
    <t>Sundaram Rural And Consumption Fund</t>
  </si>
  <si>
    <t>SSFUND</t>
  </si>
  <si>
    <t>Sundaram Service Fund</t>
  </si>
  <si>
    <t>STAX</t>
  </si>
  <si>
    <t>SUNBCF</t>
  </si>
  <si>
    <t>SUNFOP</t>
  </si>
  <si>
    <t>GLOB</t>
  </si>
  <si>
    <t>Sundaram Global Brand Fund</t>
  </si>
  <si>
    <t>SUNFCF</t>
  </si>
  <si>
    <t>Hindustan Petroleum Corporation Limited October 2022</t>
  </si>
  <si>
    <t>Ambuja Cements Limited October 2022</t>
  </si>
  <si>
    <t>Divis Labarotories Limited October 2022</t>
  </si>
  <si>
    <t>Tata Motors Limited October 2022</t>
  </si>
  <si>
    <t>State Bank of India October 2022</t>
  </si>
  <si>
    <t>Mahindra &amp; Mahindra Limited October 2022</t>
  </si>
  <si>
    <t>HDFC Life Insurance Company Limited October 2022</t>
  </si>
  <si>
    <t>Bank of Baroda October 2022</t>
  </si>
  <si>
    <t>TATA Consumer Products Limited October 2022</t>
  </si>
  <si>
    <t>Titan Company Limited October 2022</t>
  </si>
  <si>
    <t>Mahindra &amp; Mahindra Financial Services Limited October 2022</t>
  </si>
  <si>
    <t>Bajaj Finserv Limited October 2022</t>
  </si>
  <si>
    <t>Asian Paints Limited October 2022</t>
  </si>
  <si>
    <t>TATA Consultancy Services Limited October 2022</t>
  </si>
  <si>
    <t>Axis Bank Limited October 2022</t>
  </si>
  <si>
    <t>Tata Steel Limited October 2022</t>
  </si>
  <si>
    <t>Housing Development Fin Corp Limited October 2022</t>
  </si>
  <si>
    <t>Ashok Leyland Limited October 2022</t>
  </si>
  <si>
    <t>United Spirits Limited October 2022</t>
  </si>
  <si>
    <t>Infosys Limited October 2022</t>
  </si>
  <si>
    <t>Bajaj Finance Limited October 2022</t>
  </si>
  <si>
    <t>Hindustan Unilever Limited October 2022</t>
  </si>
  <si>
    <t>Tech Mahindra Limited October 2022</t>
  </si>
  <si>
    <t>ICICI Bank Limited October 2022</t>
  </si>
  <si>
    <t>HDFC Bank Limited October 2022</t>
  </si>
  <si>
    <t>DLF Limited October 2022</t>
  </si>
  <si>
    <t>Max Financial Services Limited October 2022</t>
  </si>
  <si>
    <t>Vedanta Limited October 2022</t>
  </si>
  <si>
    <t>Larsen &amp; Toubro Limited October 2022</t>
  </si>
  <si>
    <t>Sun Pharmaceutical Industries Limited October 2022</t>
  </si>
  <si>
    <t>Adani Ports &amp; SEZ Limited October 2022</t>
  </si>
  <si>
    <t>Hindalco Industries Limited October 2022</t>
  </si>
  <si>
    <t>Nifty October 2022</t>
  </si>
  <si>
    <t>L&amp;T Finance Holdings Limited October 2022</t>
  </si>
  <si>
    <t>Zydus Lifesciences Limited October 2022</t>
  </si>
  <si>
    <t>Aurobindo Pharma Limited October 2022</t>
  </si>
  <si>
    <t>Hero MotoCorp Limited October 2022</t>
  </si>
  <si>
    <t>Siemens Limited October 2022</t>
  </si>
  <si>
    <t>Wipro Limited October 2022</t>
  </si>
  <si>
    <t>Maruti Suzuki India Limited October 2022</t>
  </si>
  <si>
    <t>Zee Entertainment Enterprises Limited October 2022</t>
  </si>
  <si>
    <t>INE041025011</t>
  </si>
  <si>
    <t>Embassy Office Parks (REIT)</t>
  </si>
  <si>
    <t>INE0GGX23010</t>
  </si>
  <si>
    <t>Power Grid Infrastructure Investment Trust (InvIT)</t>
  </si>
  <si>
    <t>INE001A13049</t>
  </si>
  <si>
    <t>Housing Development Finance Corporation Ltd.</t>
  </si>
  <si>
    <t>Sundaram Liquid Fund - Direct Growth @@</t>
  </si>
  <si>
    <t xml:space="preserve"> @@ Placed as margin for derivatives</t>
  </si>
  <si>
    <t>Bharti Airtel Ltd - Partly Paid Right Shares</t>
  </si>
  <si>
    <t>364 Days - T Bill - 05/01/2023*</t>
  </si>
  <si>
    <t xml:space="preserve">* Investment earmarked for Derivative Margin </t>
  </si>
  <si>
    <t>YTM (%)</t>
  </si>
  <si>
    <t>Name of The security</t>
  </si>
  <si>
    <t xml:space="preserve">ISIN </t>
  </si>
  <si>
    <t>Net receivable/Market value  (Rs. Lakh)</t>
  </si>
  <si>
    <t>% to NAV</t>
  </si>
  <si>
    <t>Total Amount(Principal &amp; Interest)  (Rs. Lakh)</t>
  </si>
  <si>
    <t>18% Jord Engineering Ltd</t>
  </si>
  <si>
    <t>Not Available</t>
  </si>
  <si>
    <t>Refer below point i)</t>
  </si>
  <si>
    <t>Chennai Super Kings Ltd @</t>
  </si>
  <si>
    <t>Virtual Dynamics Software Ltd @</t>
  </si>
  <si>
    <t>b) Total value and percentage of illiquid equity shares @</t>
  </si>
  <si>
    <t>Rs. 19.45 lacs / 0.02%</t>
  </si>
  <si>
    <t>Sundaram Tax Savings Fund (ELSS) (Formerly Known As Principal Tax Savings Fund)</t>
  </si>
  <si>
    <t>Monthly Portfolio Statement for the month ended 30 September 2022</t>
  </si>
  <si>
    <t>Sundaram Balanced Advantage Fund (Formerly Known As Principal Balanced Advantage Fund)</t>
  </si>
  <si>
    <t>i) Portfolio Turnover Ratio</t>
  </si>
  <si>
    <t>j) Repo in corporate debt</t>
  </si>
  <si>
    <t>Annexure-A</t>
  </si>
  <si>
    <t>g) Average Maturity - only for Debt portion (years)</t>
  </si>
  <si>
    <t>h) Macaulay Duration - only for Debt portion (years)</t>
  </si>
  <si>
    <t>i) Exposure to securities classified as below investment grade or default as on September 30, 2022:-</t>
  </si>
  <si>
    <t>Hindustan Dorr-Oliver Ltd @</t>
  </si>
  <si>
    <t>0.00 / #</t>
  </si>
  <si>
    <t>Sandur Laminates Ltd @</t>
  </si>
  <si>
    <t>Crystal Cable Industries Ltd @</t>
  </si>
  <si>
    <t>Tirrihannah Company Ltd @</t>
  </si>
  <si>
    <t>Minerava Holdings Ltd @</t>
  </si>
  <si>
    <t>b) Total value and percentage of illiquid equity shares@</t>
  </si>
  <si>
    <t>Rs. 5.46 lacs/ 0.02%</t>
  </si>
  <si>
    <t>Crescent Finstock Ltd @</t>
  </si>
  <si>
    <t>Sangam Health Care Products Ltd @</t>
  </si>
  <si>
    <t>Precision Fasteners Ltd @</t>
  </si>
  <si>
    <t>Balmer Lawrie Freight Containers Ltd @</t>
  </si>
  <si>
    <t>Mukerian Papers Ltd @</t>
  </si>
  <si>
    <t>Noble Brothers Impex Ltd @</t>
  </si>
  <si>
    <t>Rs. 52.76 lacs / 0.03%</t>
  </si>
  <si>
    <t>Yes Bank Ltd ~</t>
  </si>
  <si>
    <t>~ Any realization beyond the carrying value shall be distributed to the investors existed as on March 13, 2020.</t>
  </si>
  <si>
    <t>Rs. 1.59 lacs / 0.00%</t>
  </si>
  <si>
    <t>INE0N7W01012</t>
  </si>
  <si>
    <t>920.27 Lacs</t>
  </si>
  <si>
    <t>Tata Motors Ltd - DVR</t>
  </si>
  <si>
    <t>Cash and Other Net Current Assets ^</t>
  </si>
  <si>
    <t>SUNDARAM GLOBAL BRAND FUND</t>
  </si>
  <si>
    <t>Monthly Portfolio Statement for the period ended 30 Sep 2022</t>
  </si>
  <si>
    <t>S.NO</t>
  </si>
  <si>
    <t>ISIN CODE</t>
  </si>
  <si>
    <t>Name of the Instrument</t>
  </si>
  <si>
    <t>Industry/ Rating</t>
  </si>
  <si>
    <t>A) Investments in Foreign Securities - Units of Mutual Funds</t>
  </si>
  <si>
    <t>SG9999013908</t>
  </si>
  <si>
    <t>Mutual Funds</t>
  </si>
  <si>
    <t>Total for Investments in Foreign Securities - Units of Mutual Funds</t>
  </si>
  <si>
    <t>B) Money Market Investments</t>
  </si>
  <si>
    <t>ReverseRepo / TREPS</t>
  </si>
  <si>
    <t>Cash and Other Net Curent Assets</t>
  </si>
  <si>
    <t>a) Total securities below investment grade or default  - Nil</t>
  </si>
  <si>
    <t>b) Total value and percentage of illiquid equity shares - Nil</t>
  </si>
  <si>
    <t xml:space="preserve"> </t>
  </si>
  <si>
    <t>Options</t>
  </si>
  <si>
    <t>Direct Plan - IDCW ^^</t>
  </si>
  <si>
    <t>Regular Plan - IDCW ^^</t>
  </si>
  <si>
    <t>d) IDCW declared during the period (Rupees per unit) - Nil</t>
  </si>
  <si>
    <t>e) Total outstanding exposure in derivative instrumentsat the end of the period - Nil</t>
  </si>
  <si>
    <t>f) Total investments in foreign securities /ADR'S/GDR'S  at the end of the period - Rs. 10170.03 lacs</t>
  </si>
  <si>
    <t>g) Repo in Corporate Debt - Nil</t>
  </si>
  <si>
    <t>SUNDARAM GLOBAL BRAND FUND - MASTER CLASS (Singapore)</t>
  </si>
  <si>
    <t>182 Days - T Bill - 01/12/2022*</t>
  </si>
  <si>
    <t>364 Days - T Bill - 12/01/2023*</t>
  </si>
  <si>
    <t>364 Days - T Bill - 01/12/2022*</t>
  </si>
  <si>
    <t>364 Days - T Bill - 19/01/2023*</t>
  </si>
  <si>
    <t>182 Days - T Bill - 15/12/2022*</t>
  </si>
  <si>
    <t xml:space="preserve">IL&amp;FS Financial Services Ltd. 24SEP18 CP </t>
  </si>
  <si>
    <t>INE121H14JU3</t>
  </si>
  <si>
    <t>ISIN</t>
  </si>
  <si>
    <t>NAME OF THE SECURITY</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</si>
  <si>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</si>
  <si>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</si>
  <si>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</si>
  <si>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</si>
  <si>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</si>
  <si>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</si>
  <si>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</si>
  <si>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</si>
  <si>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</si>
  <si>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</si>
  <si>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21.50% Dewan Rubber Ltd</t>
  </si>
  <si>
    <t>Chemox Chemicals Industries</t>
  </si>
  <si>
    <t>15% Premier Vinyl Ltd</t>
  </si>
  <si>
    <t>Refer below point k)</t>
  </si>
  <si>
    <t>k) Exposure to securities classified as below investment grade or default as on September 30, 2022:-</t>
  </si>
  <si>
    <t>Bank of Baroda - 8.55% - Call Dt 14/02/2024 (Tier II Bond under Basel III)**</t>
  </si>
  <si>
    <t>Yield to call date %</t>
  </si>
  <si>
    <t>Yes Bank Ltd - 9.9% - 31/10/2022** (Tier II bond under Basel II)</t>
  </si>
  <si>
    <t>Direct Plan - IDCW</t>
  </si>
  <si>
    <t>Regular Plan - IDCW</t>
  </si>
  <si>
    <t>d) IDCW declared during the period (Rupees per unit)</t>
  </si>
  <si>
    <t>Direct Plan - Halfyearly IDCW</t>
  </si>
  <si>
    <t>Regular Plan - Halfyearly IDCW</t>
  </si>
  <si>
    <t>Direct Plan - Monthly IDCW</t>
  </si>
  <si>
    <t>Direct Plan - Quarterly IDCW</t>
  </si>
  <si>
    <t>Regular Plan - Monthly IDCW</t>
  </si>
  <si>
    <t>Regular Plan - Quarterly IDCW</t>
  </si>
  <si>
    <t>Institutional Plan - IDCW</t>
  </si>
  <si>
    <t>Sundaram Dividend Yield Fund (Formerly Known As Principal Dividend Yield Fund)</t>
  </si>
  <si>
    <t>Sundaram Aggressive Hybrid Fund (Formerly Known As Principal Hybrid Equity Fund)</t>
  </si>
  <si>
    <t>Sundaram Arbitrage Fund (Formerly Known As Principal Arbitrage Fund)</t>
  </si>
  <si>
    <t>Sundaram Equity Savings Fund (Formerly Known As Principal Equity Savings Fund)</t>
  </si>
  <si>
    <t>Sundaram Focused Fund (Formerly Known As Principal Focused Multicap Fund)</t>
  </si>
  <si>
    <t>Sundaram Multi Cap Fund (Formerly Known As Principal Multi Cap Growth Fund)</t>
  </si>
  <si>
    <t>Sundaram Nifty 100 Equal Weight Fund (Formerly Known As Principal Nifty 100 Equal Weight Fund)</t>
  </si>
  <si>
    <t>Sundaram Large Cap Fund (Formerly Known As Sundaram Bluechip Fund)</t>
  </si>
  <si>
    <t>% to AUM as on 30/09/2022</t>
  </si>
  <si>
    <t>Direct Plan - HalfYearly IDCW</t>
  </si>
  <si>
    <t>Regular Plan - HalfYearly IDCW</t>
  </si>
  <si>
    <t>Index</t>
  </si>
  <si>
    <t>Scheme Riskometer</t>
  </si>
  <si>
    <t>Benchmark Riskometer - NIFTY Infrastructure TRI</t>
  </si>
  <si>
    <t>Benchmark Riskometer - S&amp;P BSE Small Cap INDEX</t>
  </si>
  <si>
    <t>Tier I Benchmark Riskometer - Nifty Mid Cap 150 TRI</t>
  </si>
  <si>
    <t>Tier II Benchmark Riskometer - Nifty Mid Cap 100 TRI</t>
  </si>
  <si>
    <t>Benchmark Riskometer - S&amp;P BSE 500 INDEX</t>
  </si>
  <si>
    <t>Tier I Benchmark Riskometer - Nifty Large Mid Cap 250 INDEX</t>
  </si>
  <si>
    <t>Tier II Benchmark Riskometer - Nifty Large Mid Cap 250 INDEX</t>
  </si>
  <si>
    <t>Benchmark Riskometer - S&amp;P BSE 250 SmallCap</t>
  </si>
  <si>
    <t>Benchmark Riskometer - Nifty Small Cap 100</t>
  </si>
  <si>
    <t>Tier I Benchmark Riskometer - Nifty Small Cap 250 TRI</t>
  </si>
  <si>
    <t>Tier II Benchmark Riskometer - Nifty Small Cap 100 TRI</t>
  </si>
  <si>
    <t>Benchmark Riskometer - CRISIL Hybrid 35+65 - Aggressive Index</t>
  </si>
  <si>
    <t>Benchmark Riskometer - NIFTY 50 Arbitrage INDEX</t>
  </si>
  <si>
    <t>Benchmark Riskometer - NIFTY 50 Hybrid Composite Debt 50 : 50 INDEX</t>
  </si>
  <si>
    <t>Tier I Benchmark Riskometer - NIFTY 500</t>
  </si>
  <si>
    <t>Tier II Benchmark Riskometer - NIFTY Dividend Opportunities 50 TRI</t>
  </si>
  <si>
    <t>Benchmark Riskometer - Nifty Equity Savings INDEX</t>
  </si>
  <si>
    <t>Tier I Benchmark Riskometer - Nifty 500 TRI</t>
  </si>
  <si>
    <t>Tier II Benchmark Riskometer - Nifty Large MID CAP 250 TRI</t>
  </si>
  <si>
    <t>Tier I Benchmark Riskometer - Nifty 500 MultiCap 50:25:25</t>
  </si>
  <si>
    <t>Tier II Benchmark Riskometer - Nifty 500 MultiCap 50:25:25</t>
  </si>
  <si>
    <t>Benchmark Riskometer - Nifty 100 Equal Weight TRI</t>
  </si>
  <si>
    <t>Tier II Benchmark Riskometer - NIFTY 500</t>
  </si>
  <si>
    <t>Benchmark Riskometer - Nifty India Consumption TRI</t>
  </si>
  <si>
    <t>Tier I Benchmark Riskometer - NIFTY Services Sector Index</t>
  </si>
  <si>
    <t>Tier II Benchmark Riskometer - NIFTY 500 MULTICAP 50:25:25</t>
  </si>
  <si>
    <t>Tier I Benchmark Riskometer - Nifty 100 TRI INDEX</t>
  </si>
  <si>
    <t>Tier II Benchmark Riskometer - Nifty 100 TRI INDEX</t>
  </si>
  <si>
    <t>Benchmark Riskometer - Nifty Financial Services</t>
  </si>
  <si>
    <t>Benchmark Riskometer - MSCI ACWI TRI</t>
  </si>
  <si>
    <t xml:space="preserve">       Benchmark Riskometer - S&amp;P BSE 500 INDEX</t>
  </si>
  <si>
    <t>Tier II Benchmark Riskometer - Nifty 500 TRI</t>
  </si>
  <si>
    <t>DERIVATIVES DISCLOSURE</t>
  </si>
  <si>
    <t>Disclosure regarding Derivative positions pursuant to SEBI Circular no CIR/IMD/DF/11/2010 dated August18,2010</t>
  </si>
  <si>
    <t>DETAILS OF INVESTMENTS IN DERIVATIVE INSTRUMENTS</t>
  </si>
  <si>
    <t>A. Hedging Positions through Futures as on September 30,2022 :</t>
  </si>
  <si>
    <t>Scheme Name</t>
  </si>
  <si>
    <t>Underlying</t>
  </si>
  <si>
    <t>Long/Short</t>
  </si>
  <si>
    <t>Futures Price When Purchased</t>
  </si>
  <si>
    <t>Current Price of the contract</t>
  </si>
  <si>
    <t>Margin maintained in       (Rs in Lakhs)*</t>
  </si>
  <si>
    <t>Sundaram Arbitrage Fund</t>
  </si>
  <si>
    <t>Short</t>
  </si>
  <si>
    <t xml:space="preserve">Total percentage of existing assets hedged through futures as a percentage of net assets </t>
  </si>
  <si>
    <t>%</t>
  </si>
  <si>
    <t>For the period ended September 30,2022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</si>
  <si>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</si>
  <si>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</si>
  <si>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</si>
  <si>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</si>
  <si>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</si>
  <si>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B. Other than hedging positions through futures as on September 30,2022 :</t>
  </si>
  <si>
    <t>Margin maintained in       (Rs. in Lakhs) *</t>
  </si>
  <si>
    <t>LONG</t>
  </si>
  <si>
    <t>Total percentage of existing assets due to non-hedging positions as a percentage of net assets</t>
  </si>
  <si>
    <t>For the period ended September 30,2022 following were the non-hedging transactions through futures which have been squared off / expired</t>
  </si>
  <si>
    <t>Gross Notional value of contracts where futures were sold      ( Rs. in Lakhs)</t>
  </si>
  <si>
    <t>Net Profit / (Loss) value on all contracts combined      (Rs. in lakhs)</t>
  </si>
  <si>
    <t>C. Hedging Positions through Put Options as on September 30,2022 :</t>
  </si>
  <si>
    <t>Call/Put</t>
  </si>
  <si>
    <t>Number of Contracts</t>
  </si>
  <si>
    <t>Option Price when purchased</t>
  </si>
  <si>
    <t>Current Option Price</t>
  </si>
  <si>
    <t>Total % of existing assets hedged through Put Options</t>
  </si>
  <si>
    <t>For the period ended  September 30,2022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</si>
  <si>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</si>
  <si>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</si>
  <si>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</si>
  <si>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</si>
  <si>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September 30,2022 :</t>
  </si>
  <si>
    <t xml:space="preserve">Total Exposure through Options other than hedging as a percentage of net assets </t>
  </si>
  <si>
    <t>For the period ended September 30,2022 , the following non hedging transactions through options which have been already exercised/expired</t>
  </si>
  <si>
    <t>Gross Notional value of contracts  bought(Rs. in Lakhs)</t>
  </si>
  <si>
    <t>Gross Notional value of contracts  sold (Rs. in Lakhs)</t>
  </si>
  <si>
    <t>E. Hedging Positions through Swaps as on September 30,2022 - Nil</t>
  </si>
  <si>
    <t>F. Hedging Positions through Interest Rate Futures as on September 30,2022 :</t>
  </si>
  <si>
    <t xml:space="preserve">Futures Price
When Purchased </t>
  </si>
  <si>
    <t>Current Price of
the contract</t>
  </si>
  <si>
    <t>Margin maintained
in (Rs. in Lakhs)</t>
  </si>
  <si>
    <t>Total percentage of existing assets hedged through Interest Rate Futures a Percentage of net assets</t>
  </si>
  <si>
    <t>For the period ended September 30,2022 following were the hedging transactions through Interest Rate Futures which have been squared off/ expired</t>
  </si>
  <si>
    <t>For the period ended September 30,2022 following were the Non Hedging transactions through Interest Rate Futures which have been squared off/ expired</t>
  </si>
  <si>
    <t>* Note: Margin maintained denotes security specific margin.</t>
  </si>
  <si>
    <t>Sundaram Consumption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</si>
</sst>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3">
    <numFmt numFmtId="43" formatCode="_(* #,##0.00_);_(* \(#,##0.00\);_(* &quot;-&quot;??_);_(@_)"/>
    <numFmt numFmtId="164" formatCode="_ * #,##0.00_ ;_ * \-#,##0.00_ ;_ * &quot;-&quot;??_ ;_ @_ "/>
    <numFmt numFmtId="165" formatCode="[$-1014009]General"/>
    <numFmt numFmtId="166" formatCode="[$-1014009]###0;\(###0\)"/>
    <numFmt numFmtId="167" formatCode="[$-1014009]###0.00;\(###0.00\)"/>
    <numFmt numFmtId="168" formatCode="[$-1014009]###0.00%;\(###0.00%\)"/>
    <numFmt numFmtId="169" formatCode="[$-1014009]#,##0.00;\-#,##0.00"/>
    <numFmt numFmtId="170" formatCode="[$-1014009]#,##0.00%"/>
    <numFmt numFmtId="171" formatCode="[$-1014009]#,##0.0000;\-#,##0.0000"/>
    <numFmt numFmtId="172" formatCode="[$-1014009]#,##0.000000;\-#,##0.000000"/>
    <numFmt numFmtId="173" formatCode="[$-1014009]#,##0.00;\(#,##0.00\)"/>
    <numFmt numFmtId="174" formatCode="[$-1014009]#.0000"/>
    <numFmt numFmtId="175" formatCode="_(* #,##0_);_(* \(#,##0\);_(* &quot;-&quot;??_);_(@_)"/>
    <numFmt numFmtId="176" formatCode="0.000"/>
    <numFmt numFmtId="177" formatCode="#,##0.000"/>
    <numFmt numFmtId="178" formatCode="0.00000"/>
    <numFmt numFmtId="179" formatCode="0.0000"/>
    <numFmt numFmtId="180" formatCode="dd\/mm\/yyyy"/>
    <numFmt numFmtId="181" formatCode="0.00000000"/>
    <numFmt numFmtId="182" formatCode="0.0000000"/>
    <numFmt numFmtId="183" formatCode="0.000000000"/>
    <numFmt numFmtId="184" formatCode="#,##0.0000;\(#,##0.0000\)"/>
    <numFmt numFmtId="185" formatCode="_(* #,##0.000_);_(* \(#,##0.000\);_(* &quot;-&quot;??_);_(@_)"/>
  </numFmts>
  <fonts count="37"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indexed="8"/>
      <name val="Calibri"/>
      <family val="2"/>
    </font>
    <font>
      <sz val="10"/>
      <color indexed="8"/>
      <name val="Calibri"/>
      <family val="2"/>
    </font>
    <font>
      <b/>
      <sz val="10"/>
      <color indexed="8"/>
      <name val="Calibri"/>
      <family val="2"/>
    </font>
    <font>
      <b/>
      <i/>
      <sz val="10"/>
      <color indexed="8"/>
      <name val="Calibri"/>
      <family val="2"/>
    </font>
    <font>
      <b/>
      <sz val="11"/>
      <color theme="1"/>
      <name val="Calibri"/>
      <family val="2"/>
      <scheme val="minor"/>
    </font>
    <font>
      <b/>
      <sz val="9"/>
      <color indexed="8"/>
      <name val="Calibri"/>
      <family val="2"/>
    </font>
    <font>
      <b/>
      <sz val="11"/>
      <color indexed="8"/>
      <name val="Calibri"/>
      <family val="2"/>
    </font>
    <font>
      <sz val="10"/>
      <color indexed="8"/>
      <name val="Calibri"/>
      <family val="2"/>
    </font>
    <font>
      <sz val="10"/>
      <name val="Arial"/>
      <family val="2"/>
    </font>
    <font>
      <b/>
      <i/>
      <sz val="10"/>
      <color indexed="8"/>
      <name val="Calibri"/>
      <family val="2"/>
    </font>
    <font>
      <u/>
      <sz val="10"/>
      <color theme="10"/>
      <name val="Arial"/>
      <family val="2"/>
    </font>
    <font>
      <b/>
      <sz val="11"/>
      <name val="Calibri"/>
      <family val="2"/>
      <scheme val="minor"/>
    </font>
    <font>
      <sz val="11"/>
      <name val="Calibri"/>
      <family val="2"/>
      <scheme val="minor"/>
    </font>
    <font>
      <u/>
      <sz val="11"/>
      <color theme="10"/>
      <name val="Calibri"/>
      <family val="2"/>
      <scheme val="minor"/>
    </font>
    <font>
      <b/>
      <sz val="10"/>
      <color indexed="8"/>
      <name val="Calibri"/>
      <family val="2"/>
    </font>
    <font>
      <sz val="10"/>
      <name val="Arial"/>
      <family val="2"/>
    </font>
    <font>
      <b/>
      <sz val="11"/>
      <name val="Calibri"/>
      <family val="2"/>
    </font>
    <font>
      <sz val="10"/>
      <color theme="1"/>
      <name val="Calibri"/>
      <family val="2"/>
      <scheme val="minor"/>
    </font>
    <font>
      <b/>
      <sz val="10"/>
      <color theme="1"/>
      <name val="Calibri"/>
      <family val="2"/>
      <scheme val="minor"/>
    </font>
    <font>
      <sz val="10"/>
      <name val="Calibri"/>
      <family val="2"/>
      <scheme val="minor"/>
    </font>
    <font>
      <b/>
      <sz val="10"/>
      <name val="Calibri"/>
      <family val="2"/>
      <scheme val="minor"/>
    </font>
    <font>
      <b/>
      <sz val="10"/>
      <color theme="1"/>
      <name val="Arial"/>
      <family val="2"/>
    </font>
    <font>
      <b/>
      <sz val="10"/>
      <color indexed="8"/>
      <name val="Calibri"/>
      <family val="2"/>
      <scheme val="minor"/>
    </font>
    <font>
      <sz val="10"/>
      <color indexed="8"/>
      <name val="Calibri"/>
      <family val="2"/>
      <scheme val="minor"/>
    </font>
    <font>
      <b/>
      <u/>
      <sz val="10"/>
      <name val="Calibri"/>
      <family val="2"/>
      <scheme val="minor"/>
    </font>
    <font>
      <b/>
      <sz val="11"/>
      <color theme="0"/>
      <name val="Calibri"/>
      <family val="2"/>
      <scheme val="minor"/>
    </font>
    <font>
      <sz val="11"/>
      <color theme="0"/>
      <name val="Calibri"/>
      <family val="2"/>
      <scheme val="minor"/>
    </font>
    <font>
      <u/>
      <sz val="11"/>
      <color rgb="FF002060"/>
      <name val="Calibri"/>
      <family val="2"/>
      <scheme val="minor"/>
    </font>
    <font>
      <sz val="11"/>
      <name val="Calibri"/>
      <family val="2"/>
    </font>
    <font>
      <b/>
      <sz val="10"/>
      <name val="Arial"/>
      <family val="2"/>
    </font>
    <font>
      <sz val="11"/>
      <color indexed="8"/>
      <name val="Calibri"/>
      <family val="2"/>
    </font>
  </fonts>
  <fills count="4">
    <fill>
      <patternFill patternType="none"/>
    </fill>
    <fill>
      <patternFill patternType="gray125"/>
    </fill>
    <fill>
      <patternFill patternType="solid">
        <fgColor indexed="9"/>
      </patternFill>
    </fill>
    <fill>
      <patternFill patternType="solid">
        <fgColor theme="8" tint="0.79998168889431442"/>
        <bgColor indexed="64"/>
      </patternFill>
    </fill>
  </fills>
  <borders count="15">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diagonal/>
    </border>
    <border>
      <left style="thin">
        <color indexed="64"/>
      </left>
      <right/>
      <top/>
      <bottom/>
      <diagonal/>
    </border>
  </borders>
  <cellStyleXfs count="21">
    <xf numFmtId="0" fontId="0" fillId="0" borderId="0">
      <alignment wrapText="1"/>
    </xf>
    <xf numFmtId="0" fontId="14" fillId="0" borderId="0">
      <alignment wrapText="1"/>
    </xf>
    <xf numFmtId="0" fontId="16" fillId="0" borderId="0" applyNumberFormat="0" applyFill="0" applyBorder="0" applyAlignment="0" applyProtection="0">
      <alignment wrapText="1"/>
    </xf>
    <xf numFmtId="0" fontId="5" fillId="0" borderId="0"/>
    <xf numFmtId="0" fontId="16" fillId="0" borderId="0" applyNumberFormat="0" applyFill="0" applyBorder="0" applyAlignment="0" applyProtection="0">
      <alignment wrapText="1"/>
    </xf>
    <xf numFmtId="164" fontId="21" fillId="0" borderId="0" applyFont="0" applyFill="0" applyBorder="0" applyAlignment="0" applyProtection="0"/>
    <xf numFmtId="0" fontId="4" fillId="0" borderId="0"/>
    <xf numFmtId="164" fontId="4" fillId="0" borderId="0" applyFont="0" applyFill="0" applyBorder="0" applyAlignment="0" applyProtection="0"/>
    <xf numFmtId="0" fontId="3" fillId="0" borderId="0"/>
    <xf numFmtId="0" fontId="14" fillId="0" borderId="0"/>
    <xf numFmtId="0" fontId="3" fillId="0" borderId="0"/>
    <xf numFmtId="164" fontId="3" fillId="0" borderId="0" applyFont="0" applyFill="0" applyBorder="0" applyAlignment="0" applyProtection="0"/>
    <xf numFmtId="43" fontId="14" fillId="0" borderId="0" applyFont="0" applyFill="0" applyBorder="0" applyAlignment="0" applyProtection="0"/>
    <xf numFmtId="0" fontId="14" fillId="0" borderId="0"/>
    <xf numFmtId="0" fontId="14" fillId="0" borderId="0"/>
    <xf numFmtId="9" fontId="21" fillId="0" borderId="0" applyFont="0" applyFill="0" applyBorder="0" applyAlignment="0" applyProtection="0"/>
    <xf numFmtId="0" fontId="2" fillId="0" borderId="0"/>
    <xf numFmtId="0" fontId="14" fillId="0" borderId="0">
      <alignment wrapText="1"/>
    </xf>
    <xf numFmtId="0" fontId="1" fillId="0" borderId="0"/>
    <xf numFmtId="9" fontId="1" fillId="0" borderId="0" applyFont="0" applyFill="0" applyBorder="0" applyAlignment="0" applyProtection="0"/>
    <xf numFmtId="43" fontId="36" fillId="0" borderId="0" applyFont="0" applyFill="0" applyBorder="0" applyAlignment="0" applyProtection="0"/>
  </cellStyleXfs>
  <cellXfs count="364">
    <xf numFmtId="0" fontId="0" fillId="0" borderId="0" xfId="0">
      <alignment wrapText="1"/>
    </xf>
    <xf numFmtId="0" fontId="7" fillId="2" borderId="4" xfId="0" applyFont="1" applyFill="1" applyBorder="1" applyAlignment="1">
      <alignment horizontal="right" vertical="top" wrapText="1" readingOrder="1"/>
    </xf>
    <xf numFmtId="0" fontId="8" fillId="2" borderId="4" xfId="0" applyFont="1" applyFill="1" applyBorder="1" applyAlignment="1">
      <alignment horizontal="left" vertical="center" wrapText="1" readingOrder="1"/>
    </xf>
    <xf numFmtId="165" fontId="7" fillId="2" borderId="4" xfId="0" applyNumberFormat="1" applyFont="1" applyFill="1" applyBorder="1" applyAlignment="1">
      <alignment horizontal="right" vertical="center" wrapText="1" readingOrder="1"/>
    </xf>
    <xf numFmtId="0" fontId="7" fillId="2" borderId="4" xfId="0" applyFont="1" applyFill="1" applyBorder="1" applyAlignment="1">
      <alignment horizontal="left" vertical="center" wrapText="1" readingOrder="1"/>
    </xf>
    <xf numFmtId="166" fontId="7" fillId="2" borderId="4" xfId="0" applyNumberFormat="1" applyFont="1" applyFill="1" applyBorder="1" applyAlignment="1">
      <alignment horizontal="right" vertical="center" wrapText="1" readingOrder="1"/>
    </xf>
    <xf numFmtId="167" fontId="7" fillId="2" borderId="4" xfId="0" applyNumberFormat="1" applyFont="1" applyFill="1" applyBorder="1" applyAlignment="1">
      <alignment horizontal="right" vertical="center" wrapText="1" readingOrder="1"/>
    </xf>
    <xf numFmtId="168" fontId="7" fillId="2" borderId="4" xfId="0" applyNumberFormat="1" applyFont="1" applyFill="1" applyBorder="1" applyAlignment="1">
      <alignment horizontal="right" vertical="center" wrapText="1" readingOrder="1"/>
    </xf>
    <xf numFmtId="0" fontId="7" fillId="2" borderId="4" xfId="0" applyFont="1" applyFill="1" applyBorder="1" applyAlignment="1">
      <alignment horizontal="right" vertical="center" wrapText="1" readingOrder="1"/>
    </xf>
    <xf numFmtId="167" fontId="8" fillId="2" borderId="4" xfId="0" applyNumberFormat="1" applyFont="1" applyFill="1" applyBorder="1" applyAlignment="1">
      <alignment horizontal="right" vertical="center" wrapText="1" readingOrder="1"/>
    </xf>
    <xf numFmtId="168" fontId="8" fillId="2" borderId="4" xfId="0" applyNumberFormat="1" applyFont="1" applyFill="1" applyBorder="1" applyAlignment="1">
      <alignment horizontal="right" vertical="center" wrapText="1" readingOrder="1"/>
    </xf>
    <xf numFmtId="0" fontId="9" fillId="2" borderId="4" xfId="0" applyFont="1" applyFill="1" applyBorder="1" applyAlignment="1">
      <alignment horizontal="left" vertical="center" wrapText="1" readingOrder="1"/>
    </xf>
    <xf numFmtId="0" fontId="9" fillId="2" borderId="4" xfId="0" applyFont="1" applyFill="1" applyBorder="1" applyAlignment="1">
      <alignment horizontal="right" vertical="center" wrapText="1" readingOrder="1"/>
    </xf>
    <xf numFmtId="169" fontId="8" fillId="2" borderId="4" xfId="0" applyNumberFormat="1" applyFont="1" applyFill="1" applyBorder="1" applyAlignment="1">
      <alignment horizontal="right" vertical="center" wrapText="1" readingOrder="1"/>
    </xf>
    <xf numFmtId="170" fontId="8" fillId="2" borderId="4" xfId="0" applyNumberFormat="1" applyFont="1" applyFill="1" applyBorder="1" applyAlignment="1">
      <alignment horizontal="right" vertical="center" wrapText="1" readingOrder="1"/>
    </xf>
    <xf numFmtId="0" fontId="8" fillId="2" borderId="4" xfId="0" applyFont="1" applyFill="1" applyBorder="1" applyAlignment="1">
      <alignment horizontal="right" vertical="center" wrapText="1" readingOrder="1"/>
    </xf>
    <xf numFmtId="0" fontId="9" fillId="2" borderId="5" xfId="0" applyFont="1" applyFill="1" applyBorder="1" applyAlignment="1">
      <alignment horizontal="left" vertical="center" wrapText="1" readingOrder="1"/>
    </xf>
    <xf numFmtId="0" fontId="9" fillId="2" borderId="5" xfId="0" applyFont="1" applyFill="1" applyBorder="1" applyAlignment="1">
      <alignment horizontal="right" vertical="center" wrapText="1" readingOrder="1"/>
    </xf>
    <xf numFmtId="0" fontId="9" fillId="2" borderId="0" xfId="0" applyFont="1" applyFill="1" applyAlignment="1">
      <alignment horizontal="left" vertical="center" wrapText="1" readingOrder="1"/>
    </xf>
    <xf numFmtId="0" fontId="7" fillId="2" borderId="0" xfId="0" applyFont="1" applyFill="1" applyAlignment="1">
      <alignment horizontal="left" vertical="center" wrapText="1" readingOrder="1"/>
    </xf>
    <xf numFmtId="0" fontId="9" fillId="2" borderId="0" xfId="0" applyFont="1" applyFill="1" applyAlignment="1">
      <alignment horizontal="right" vertical="center" wrapText="1" readingOrder="1"/>
    </xf>
    <xf numFmtId="0" fontId="9" fillId="2" borderId="6" xfId="0" applyFont="1" applyFill="1" applyBorder="1" applyAlignment="1">
      <alignment horizontal="right" vertical="center" wrapText="1" readingOrder="1"/>
    </xf>
    <xf numFmtId="0" fontId="7" fillId="2" borderId="0" xfId="0" applyFont="1" applyFill="1" applyAlignment="1">
      <alignment horizontal="right" vertical="top" wrapText="1" readingOrder="1"/>
    </xf>
    <xf numFmtId="0" fontId="8" fillId="2" borderId="4" xfId="0" applyFont="1" applyFill="1" applyBorder="1" applyAlignment="1">
      <alignment horizontal="right" vertical="top" wrapText="1" readingOrder="1"/>
    </xf>
    <xf numFmtId="171" fontId="7" fillId="2" borderId="4" xfId="0" applyNumberFormat="1" applyFont="1" applyFill="1" applyBorder="1" applyAlignment="1">
      <alignment horizontal="right" vertical="center" wrapText="1" readingOrder="1"/>
    </xf>
    <xf numFmtId="0" fontId="7" fillId="2" borderId="0" xfId="0" applyFont="1" applyFill="1" applyAlignment="1">
      <alignment horizontal="right" vertical="center" wrapText="1" readingOrder="1"/>
    </xf>
    <xf numFmtId="0" fontId="0" fillId="2" borderId="0" xfId="0" applyFill="1" applyAlignment="1">
      <alignment horizontal="center" vertical="top" readingOrder="1"/>
    </xf>
    <xf numFmtId="0" fontId="7" fillId="2" borderId="5" xfId="0" applyFont="1" applyFill="1" applyBorder="1" applyAlignment="1">
      <alignment horizontal="right" vertical="top" wrapText="1" readingOrder="1"/>
    </xf>
    <xf numFmtId="170" fontId="8" fillId="2" borderId="4" xfId="0" applyNumberFormat="1" applyFont="1" applyFill="1" applyBorder="1" applyAlignment="1">
      <alignment horizontal="left" vertical="center" wrapText="1" readingOrder="1"/>
    </xf>
    <xf numFmtId="0" fontId="7" fillId="2" borderId="6" xfId="0" applyFont="1" applyFill="1" applyBorder="1" applyAlignment="1">
      <alignment horizontal="right" vertical="top" wrapText="1" readingOrder="1"/>
    </xf>
    <xf numFmtId="173" fontId="8" fillId="2" borderId="4" xfId="0" applyNumberFormat="1" applyFont="1" applyFill="1" applyBorder="1" applyAlignment="1">
      <alignment horizontal="left" vertical="center" wrapText="1" readingOrder="1"/>
    </xf>
    <xf numFmtId="0" fontId="8" fillId="2" borderId="5" xfId="0" applyFont="1" applyFill="1" applyBorder="1" applyAlignment="1">
      <alignment horizontal="left" vertical="center" wrapText="1" readingOrder="1"/>
    </xf>
    <xf numFmtId="0" fontId="7" fillId="2" borderId="5" xfId="0" applyFont="1" applyFill="1" applyBorder="1" applyAlignment="1">
      <alignment horizontal="left" vertical="center" wrapText="1" readingOrder="1"/>
    </xf>
    <xf numFmtId="172" fontId="7" fillId="2" borderId="4" xfId="0" applyNumberFormat="1" applyFont="1" applyFill="1" applyBorder="1" applyAlignment="1">
      <alignment horizontal="right" vertical="center" wrapText="1" readingOrder="1"/>
    </xf>
    <xf numFmtId="0" fontId="11" fillId="2" borderId="4" xfId="0" applyFont="1" applyFill="1" applyBorder="1" applyAlignment="1">
      <alignment horizontal="right" vertical="center" wrapText="1" readingOrder="1"/>
    </xf>
    <xf numFmtId="0" fontId="11" fillId="2" borderId="4" xfId="0" applyFont="1" applyFill="1" applyBorder="1" applyAlignment="1">
      <alignment horizontal="left" vertical="center" wrapText="1" readingOrder="1"/>
    </xf>
    <xf numFmtId="174" fontId="7" fillId="2" borderId="4" xfId="0" applyNumberFormat="1" applyFont="1" applyFill="1" applyBorder="1" applyAlignment="1">
      <alignment horizontal="right" vertical="center" wrapText="1" readingOrder="1"/>
    </xf>
    <xf numFmtId="0" fontId="8" fillId="2" borderId="4" xfId="0" applyFont="1" applyFill="1" applyBorder="1" applyAlignment="1">
      <alignment horizontal="left" vertical="top" wrapText="1" readingOrder="1"/>
    </xf>
    <xf numFmtId="0" fontId="13" fillId="2" borderId="4" xfId="0" applyFont="1" applyFill="1" applyBorder="1" applyAlignment="1">
      <alignment horizontal="left" vertical="center" wrapText="1" readingOrder="1"/>
    </xf>
    <xf numFmtId="0" fontId="15" fillId="2" borderId="0" xfId="1" applyFont="1" applyFill="1" applyAlignment="1">
      <alignment horizontal="left" vertical="center" wrapText="1" readingOrder="1"/>
    </xf>
    <xf numFmtId="0" fontId="15" fillId="2" borderId="0" xfId="1" applyFont="1" applyFill="1" applyAlignment="1">
      <alignment horizontal="right" vertical="center" wrapText="1" readingOrder="1"/>
    </xf>
    <xf numFmtId="0" fontId="14" fillId="0" borderId="0" xfId="1">
      <alignment wrapText="1"/>
    </xf>
    <xf numFmtId="0" fontId="10" fillId="0" borderId="7" xfId="3" applyFont="1" applyBorder="1" applyAlignment="1">
      <alignment horizontal="center" vertical="center"/>
    </xf>
    <xf numFmtId="0" fontId="17" fillId="0" borderId="7" xfId="3" applyFont="1" applyBorder="1" applyAlignment="1">
      <alignment horizontal="center" vertical="center"/>
    </xf>
    <xf numFmtId="0" fontId="18" fillId="0" borderId="0" xfId="1" applyFont="1">
      <alignment wrapText="1"/>
    </xf>
    <xf numFmtId="0" fontId="18" fillId="0" borderId="7" xfId="1" applyFont="1" applyBorder="1">
      <alignment wrapText="1"/>
    </xf>
    <xf numFmtId="0" fontId="19" fillId="0" borderId="7" xfId="4" applyFont="1" applyBorder="1" applyAlignment="1"/>
    <xf numFmtId="0" fontId="18" fillId="0" borderId="7" xfId="1" applyFont="1" applyBorder="1" applyAlignment="1"/>
    <xf numFmtId="0" fontId="19" fillId="0" borderId="7" xfId="2" applyFont="1" applyBorder="1" applyAlignment="1"/>
    <xf numFmtId="165" fontId="13" fillId="2" borderId="4" xfId="0" applyNumberFormat="1" applyFont="1" applyFill="1" applyBorder="1" applyAlignment="1">
      <alignment horizontal="right" vertical="center" wrapText="1" readingOrder="1"/>
    </xf>
    <xf numFmtId="166" fontId="13" fillId="2" borderId="4" xfId="0" applyNumberFormat="1" applyFont="1" applyFill="1" applyBorder="1" applyAlignment="1">
      <alignment horizontal="right" vertical="center" wrapText="1" readingOrder="1"/>
    </xf>
    <xf numFmtId="167" fontId="13" fillId="2" borderId="4" xfId="0" applyNumberFormat="1" applyFont="1" applyFill="1" applyBorder="1" applyAlignment="1">
      <alignment horizontal="right" vertical="center" wrapText="1" readingOrder="1"/>
    </xf>
    <xf numFmtId="168" fontId="13" fillId="2" borderId="4" xfId="0" applyNumberFormat="1" applyFont="1" applyFill="1" applyBorder="1" applyAlignment="1">
      <alignment horizontal="right" vertical="center" wrapText="1" readingOrder="1"/>
    </xf>
    <xf numFmtId="0" fontId="15" fillId="2" borderId="0" xfId="0" applyFont="1" applyFill="1" applyAlignment="1">
      <alignment horizontal="left" vertical="center" wrapText="1" readingOrder="1"/>
    </xf>
    <xf numFmtId="0" fontId="15" fillId="2" borderId="0" xfId="0" applyFont="1" applyFill="1" applyAlignment="1">
      <alignment horizontal="right" vertical="center" wrapText="1" readingOrder="1"/>
    </xf>
    <xf numFmtId="167" fontId="20" fillId="2" borderId="4" xfId="0" applyNumberFormat="1" applyFont="1" applyFill="1" applyBorder="1" applyAlignment="1">
      <alignment horizontal="right" vertical="center" wrapText="1" readingOrder="1"/>
    </xf>
    <xf numFmtId="168" fontId="20" fillId="2" borderId="4" xfId="0" applyNumberFormat="1" applyFont="1" applyFill="1" applyBorder="1" applyAlignment="1">
      <alignment horizontal="right" vertical="center" wrapText="1" readingOrder="1"/>
    </xf>
    <xf numFmtId="2" fontId="9" fillId="2" borderId="5" xfId="0" applyNumberFormat="1" applyFont="1" applyFill="1" applyBorder="1" applyAlignment="1">
      <alignment horizontal="right" vertical="center" wrapText="1" readingOrder="1"/>
    </xf>
    <xf numFmtId="0" fontId="7" fillId="0" borderId="4" xfId="0" applyFont="1" applyBorder="1" applyAlignment="1">
      <alignment horizontal="right" vertical="top" wrapText="1" readingOrder="1"/>
    </xf>
    <xf numFmtId="0" fontId="8" fillId="0" borderId="4" xfId="0" applyFont="1" applyBorder="1" applyAlignment="1">
      <alignment horizontal="left" vertical="center" wrapText="1" readingOrder="1"/>
    </xf>
    <xf numFmtId="165" fontId="7"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166" fontId="7" fillId="0" borderId="4" xfId="0" applyNumberFormat="1" applyFont="1" applyBorder="1" applyAlignment="1">
      <alignment horizontal="right" vertical="center" wrapText="1" readingOrder="1"/>
    </xf>
    <xf numFmtId="167" fontId="7" fillId="0" borderId="4" xfId="0" applyNumberFormat="1" applyFont="1" applyBorder="1" applyAlignment="1">
      <alignment horizontal="right" vertical="center" wrapText="1" readingOrder="1"/>
    </xf>
    <xf numFmtId="168" fontId="7" fillId="0" borderId="4" xfId="0" applyNumberFormat="1" applyFont="1" applyBorder="1" applyAlignment="1">
      <alignment horizontal="right" vertical="center" wrapText="1" readingOrder="1"/>
    </xf>
    <xf numFmtId="0" fontId="13" fillId="0" borderId="4" xfId="0" applyFont="1" applyBorder="1" applyAlignment="1">
      <alignment horizontal="left" vertical="center" wrapText="1" readingOrder="1"/>
    </xf>
    <xf numFmtId="166" fontId="13" fillId="0" borderId="4" xfId="0" applyNumberFormat="1" applyFont="1" applyBorder="1" applyAlignment="1">
      <alignment horizontal="right" vertical="center" wrapText="1" readingOrder="1"/>
    </xf>
    <xf numFmtId="167" fontId="13" fillId="0" borderId="4" xfId="0" applyNumberFormat="1" applyFont="1" applyBorder="1" applyAlignment="1">
      <alignment horizontal="right" vertical="center" wrapText="1" readingOrder="1"/>
    </xf>
    <xf numFmtId="168" fontId="13" fillId="0" borderId="4" xfId="0" applyNumberFormat="1" applyFont="1" applyBorder="1" applyAlignment="1">
      <alignment horizontal="right" vertical="center" wrapText="1" readingOrder="1"/>
    </xf>
    <xf numFmtId="0" fontId="7" fillId="0" borderId="4" xfId="0" applyFont="1" applyBorder="1" applyAlignment="1">
      <alignment horizontal="right" vertical="center" wrapText="1" readingOrder="1"/>
    </xf>
    <xf numFmtId="167" fontId="8" fillId="0" borderId="4" xfId="0" applyNumberFormat="1" applyFont="1" applyBorder="1" applyAlignment="1">
      <alignment horizontal="right" vertical="center" wrapText="1" readingOrder="1"/>
    </xf>
    <xf numFmtId="168" fontId="8" fillId="0" borderId="4" xfId="0" applyNumberFormat="1" applyFont="1" applyBorder="1" applyAlignment="1">
      <alignment horizontal="right" vertical="center" wrapText="1" readingOrder="1"/>
    </xf>
    <xf numFmtId="0" fontId="9" fillId="0" borderId="4" xfId="0" applyFont="1" applyBorder="1" applyAlignment="1">
      <alignment horizontal="left" vertical="center" wrapText="1" readingOrder="1"/>
    </xf>
    <xf numFmtId="0" fontId="9" fillId="0" borderId="4" xfId="0" applyFont="1" applyBorder="1" applyAlignment="1">
      <alignment horizontal="right" vertical="center" wrapText="1" readingOrder="1"/>
    </xf>
    <xf numFmtId="169" fontId="8" fillId="0" borderId="4" xfId="0" applyNumberFormat="1" applyFont="1" applyBorder="1" applyAlignment="1">
      <alignment horizontal="right" vertical="center" wrapText="1" readingOrder="1"/>
    </xf>
    <xf numFmtId="170" fontId="8" fillId="0" borderId="4" xfId="0" applyNumberFormat="1" applyFont="1" applyBorder="1" applyAlignment="1">
      <alignment horizontal="right" vertical="center" wrapText="1" readingOrder="1"/>
    </xf>
    <xf numFmtId="168" fontId="20" fillId="0" borderId="4" xfId="0" applyNumberFormat="1" applyFont="1" applyBorder="1" applyAlignment="1">
      <alignment horizontal="right" vertical="center" wrapText="1" readingOrder="1"/>
    </xf>
    <xf numFmtId="167" fontId="20" fillId="0" borderId="4" xfId="0" applyNumberFormat="1" applyFont="1" applyBorder="1" applyAlignment="1">
      <alignment horizontal="right" vertical="center" wrapText="1" readingOrder="1"/>
    </xf>
    <xf numFmtId="0" fontId="9" fillId="0" borderId="5" xfId="0" applyFont="1" applyBorder="1" applyAlignment="1">
      <alignment horizontal="left" vertical="center" wrapText="1" readingOrder="1"/>
    </xf>
    <xf numFmtId="0" fontId="9" fillId="0" borderId="5" xfId="0" applyFont="1" applyBorder="1" applyAlignment="1">
      <alignment horizontal="right" vertical="center" wrapText="1" readingOrder="1"/>
    </xf>
    <xf numFmtId="0" fontId="9" fillId="0" borderId="0" xfId="0" applyFont="1" applyAlignment="1">
      <alignment horizontal="left" vertical="center" wrapText="1" readingOrder="1"/>
    </xf>
    <xf numFmtId="0" fontId="9" fillId="0" borderId="0" xfId="0" applyFont="1" applyAlignment="1">
      <alignment horizontal="right" vertical="center" wrapText="1" readingOrder="1"/>
    </xf>
    <xf numFmtId="0" fontId="15" fillId="0" borderId="0" xfId="1" applyFont="1" applyAlignment="1">
      <alignment horizontal="left" vertical="center" wrapText="1" readingOrder="1"/>
    </xf>
    <xf numFmtId="0" fontId="15" fillId="0" borderId="0" xfId="1" applyFont="1" applyAlignment="1">
      <alignment horizontal="right" vertical="center" wrapText="1" readingOrder="1"/>
    </xf>
    <xf numFmtId="0" fontId="9" fillId="0" borderId="6" xfId="0" applyFont="1" applyBorder="1" applyAlignment="1">
      <alignment horizontal="right" vertical="center" wrapText="1" readingOrder="1"/>
    </xf>
    <xf numFmtId="0" fontId="7" fillId="0" borderId="0" xfId="0" applyFont="1" applyAlignment="1">
      <alignment horizontal="right" vertical="top" wrapText="1" readingOrder="1"/>
    </xf>
    <xf numFmtId="0" fontId="8" fillId="0" borderId="4" xfId="0" applyFont="1" applyBorder="1" applyAlignment="1">
      <alignment horizontal="right" vertical="top" wrapText="1" readingOrder="1"/>
    </xf>
    <xf numFmtId="0" fontId="8" fillId="0" borderId="4" xfId="0" applyFont="1" applyBorder="1" applyAlignment="1">
      <alignment horizontal="left" vertical="top" wrapText="1" readingOrder="1"/>
    </xf>
    <xf numFmtId="174" fontId="7" fillId="0" borderId="4" xfId="0" applyNumberFormat="1" applyFont="1" applyBorder="1" applyAlignment="1">
      <alignment horizontal="right" vertical="center" wrapText="1" readingOrder="1"/>
    </xf>
    <xf numFmtId="0" fontId="7" fillId="0" borderId="0" xfId="0" applyFont="1" applyAlignment="1">
      <alignment horizontal="left" vertical="center" wrapText="1" readingOrder="1"/>
    </xf>
    <xf numFmtId="0" fontId="7" fillId="0" borderId="0" xfId="0" applyFont="1" applyAlignment="1">
      <alignment horizontal="right" vertical="center" wrapText="1" readingOrder="1"/>
    </xf>
    <xf numFmtId="0" fontId="11" fillId="0" borderId="4" xfId="0" applyFont="1" applyBorder="1" applyAlignment="1">
      <alignment horizontal="left" vertical="center" wrapText="1" readingOrder="1"/>
    </xf>
    <xf numFmtId="0" fontId="11" fillId="0" borderId="4" xfId="0" applyFont="1" applyBorder="1" applyAlignment="1">
      <alignment horizontal="right" vertical="center" wrapText="1" readingOrder="1"/>
    </xf>
    <xf numFmtId="172" fontId="7" fillId="0" borderId="4" xfId="0" applyNumberFormat="1" applyFont="1" applyBorder="1" applyAlignment="1">
      <alignment horizontal="right" vertical="center" wrapText="1" readingOrder="1"/>
    </xf>
    <xf numFmtId="0" fontId="7" fillId="0" borderId="5" xfId="0" applyFont="1" applyBorder="1" applyAlignment="1">
      <alignment horizontal="left" vertical="center" wrapText="1" readingOrder="1"/>
    </xf>
    <xf numFmtId="0" fontId="8" fillId="0" borderId="5" xfId="0" applyFont="1" applyBorder="1" applyAlignment="1">
      <alignment horizontal="left" vertical="center" wrapText="1" readingOrder="1"/>
    </xf>
    <xf numFmtId="0" fontId="7" fillId="0" borderId="6" xfId="0" applyFont="1" applyBorder="1" applyAlignment="1">
      <alignment horizontal="right" vertical="top" wrapText="1" readingOrder="1"/>
    </xf>
    <xf numFmtId="173" fontId="8" fillId="0" borderId="4" xfId="0" applyNumberFormat="1" applyFont="1" applyBorder="1" applyAlignment="1">
      <alignment horizontal="left" vertical="center" wrapText="1" readingOrder="1"/>
    </xf>
    <xf numFmtId="170" fontId="8" fillId="0" borderId="4" xfId="0" applyNumberFormat="1" applyFont="1" applyBorder="1" applyAlignment="1">
      <alignment horizontal="left" vertical="center" wrapText="1" readingOrder="1"/>
    </xf>
    <xf numFmtId="0" fontId="0" fillId="0" borderId="0" xfId="0" applyAlignment="1">
      <alignment horizontal="center" vertical="top" readingOrder="1"/>
    </xf>
    <xf numFmtId="14" fontId="8" fillId="0" borderId="4" xfId="0" applyNumberFormat="1" applyFont="1" applyBorder="1" applyAlignment="1">
      <alignment horizontal="right" vertical="top" wrapText="1" readingOrder="1"/>
    </xf>
    <xf numFmtId="0" fontId="22" fillId="0" borderId="7" xfId="6" applyFont="1" applyBorder="1" applyAlignment="1">
      <alignment horizontal="center" vertical="center" wrapText="1" readingOrder="1"/>
    </xf>
    <xf numFmtId="0" fontId="23" fillId="0" borderId="0" xfId="0" applyFont="1" applyAlignment="1"/>
    <xf numFmtId="175" fontId="23" fillId="0" borderId="0" xfId="5" applyNumberFormat="1" applyFont="1"/>
    <xf numFmtId="164" fontId="23" fillId="0" borderId="0" xfId="5" applyFont="1"/>
    <xf numFmtId="0" fontId="24" fillId="0" borderId="7" xfId="0" applyFont="1" applyBorder="1" applyAlignment="1">
      <alignment horizontal="center" wrapText="1"/>
    </xf>
    <xf numFmtId="0" fontId="25" fillId="0" borderId="7" xfId="0" applyFont="1" applyBorder="1" applyAlignment="1">
      <alignment horizontal="left" vertical="center"/>
    </xf>
    <xf numFmtId="0" fontId="25" fillId="0" borderId="7" xfId="0" applyFont="1" applyBorder="1" applyAlignment="1">
      <alignment horizontal="center" vertical="center"/>
    </xf>
    <xf numFmtId="164" fontId="25" fillId="0" borderId="7" xfId="7" applyFont="1" applyFill="1" applyBorder="1" applyAlignment="1">
      <alignment horizontal="right" vertical="center"/>
    </xf>
    <xf numFmtId="164" fontId="25" fillId="0" borderId="7" xfId="7" applyFont="1" applyFill="1" applyBorder="1" applyAlignment="1">
      <alignment horizontal="center" vertical="center"/>
    </xf>
    <xf numFmtId="4" fontId="25" fillId="0" borderId="7" xfId="0" applyNumberFormat="1" applyFont="1" applyBorder="1" applyAlignment="1">
      <alignment horizontal="right" vertical="center"/>
    </xf>
    <xf numFmtId="0" fontId="20" fillId="2" borderId="4" xfId="0" applyFont="1" applyFill="1" applyBorder="1" applyAlignment="1">
      <alignment horizontal="left" vertical="center" wrapText="1" readingOrder="1"/>
    </xf>
    <xf numFmtId="0" fontId="6" fillId="0" borderId="4" xfId="0" applyFont="1" applyBorder="1" applyAlignment="1">
      <alignment horizontal="center" vertical="center" wrapText="1" readingOrder="1"/>
    </xf>
    <xf numFmtId="0" fontId="0" fillId="0" borderId="0" xfId="0" applyAlignment="1">
      <alignment horizontal="center" vertical="center" wrapText="1"/>
    </xf>
    <xf numFmtId="0" fontId="6" fillId="2" borderId="4" xfId="0" applyFont="1" applyFill="1" applyBorder="1" applyAlignment="1">
      <alignment horizontal="center" vertical="center" wrapText="1" readingOrder="1"/>
    </xf>
    <xf numFmtId="0" fontId="13" fillId="2" borderId="0" xfId="0" applyFont="1" applyFill="1" applyAlignment="1">
      <alignment horizontal="left" vertical="center" wrapText="1" readingOrder="1"/>
    </xf>
    <xf numFmtId="0" fontId="13" fillId="2" borderId="0" xfId="0" applyFont="1" applyFill="1" applyAlignment="1">
      <alignment horizontal="left" vertical="center" readingOrder="1"/>
    </xf>
    <xf numFmtId="0" fontId="13" fillId="0" borderId="4" xfId="0" applyFont="1" applyBorder="1" applyAlignment="1">
      <alignment horizontal="right" vertical="center" wrapText="1" readingOrder="1"/>
    </xf>
    <xf numFmtId="0" fontId="13" fillId="2" borderId="0" xfId="0" applyFont="1" applyFill="1" applyAlignment="1">
      <alignment horizontal="right" vertical="top" wrapText="1" readingOrder="1"/>
    </xf>
    <xf numFmtId="173" fontId="20" fillId="2" borderId="4" xfId="0" applyNumberFormat="1" applyFont="1" applyFill="1" applyBorder="1" applyAlignment="1">
      <alignment horizontal="left" vertical="center" wrapText="1" readingOrder="1"/>
    </xf>
    <xf numFmtId="0" fontId="13" fillId="2" borderId="0" xfId="0" applyFont="1" applyFill="1" applyAlignment="1">
      <alignment horizontal="right" vertical="center" wrapText="1" readingOrder="1"/>
    </xf>
    <xf numFmtId="0" fontId="13" fillId="2" borderId="6" xfId="0" applyFont="1" applyFill="1" applyBorder="1" applyAlignment="1">
      <alignment horizontal="right" vertical="top" wrapText="1" readingOrder="1"/>
    </xf>
    <xf numFmtId="43" fontId="26" fillId="0" borderId="7" xfId="12" applyFont="1" applyFill="1" applyBorder="1" applyAlignment="1">
      <alignment vertical="center" wrapText="1"/>
    </xf>
    <xf numFmtId="0" fontId="0" fillId="0" borderId="0" xfId="0" applyAlignment="1">
      <alignment vertical="center" wrapText="1"/>
    </xf>
    <xf numFmtId="0" fontId="23" fillId="0" borderId="0" xfId="0" applyFont="1" applyAlignment="1">
      <alignment vertical="center"/>
    </xf>
    <xf numFmtId="0" fontId="24" fillId="0" borderId="7" xfId="0" applyFont="1" applyBorder="1" applyAlignment="1">
      <alignment horizontal="center" vertical="center" wrapText="1"/>
    </xf>
    <xf numFmtId="0" fontId="25" fillId="0" borderId="7" xfId="0" applyFont="1" applyBorder="1" applyAlignment="1">
      <alignment vertical="center" wrapText="1"/>
    </xf>
    <xf numFmtId="0" fontId="25" fillId="0" borderId="7" xfId="0" applyFont="1" applyBorder="1" applyAlignment="1">
      <alignment vertical="center"/>
    </xf>
    <xf numFmtId="2" fontId="25" fillId="0" borderId="7" xfId="0" applyNumberFormat="1" applyFont="1" applyBorder="1" applyAlignment="1">
      <alignment vertical="center"/>
    </xf>
    <xf numFmtId="10" fontId="23" fillId="0" borderId="7" xfId="15" applyNumberFormat="1" applyFont="1" applyBorder="1" applyAlignment="1">
      <alignment vertical="center"/>
    </xf>
    <xf numFmtId="4" fontId="25" fillId="0" borderId="7" xfId="0" applyNumberFormat="1" applyFont="1" applyBorder="1" applyAlignment="1">
      <alignment vertical="center"/>
    </xf>
    <xf numFmtId="0" fontId="24" fillId="0" borderId="7" xfId="16" applyFont="1" applyBorder="1" applyAlignment="1">
      <alignment horizontal="center" vertical="center"/>
    </xf>
    <xf numFmtId="0" fontId="24" fillId="0" borderId="0" xfId="16" applyFont="1" applyAlignment="1">
      <alignment horizontal="center" vertical="center"/>
    </xf>
    <xf numFmtId="0" fontId="14" fillId="0" borderId="0" xfId="1" applyAlignment="1">
      <alignment vertical="center" wrapText="1"/>
    </xf>
    <xf numFmtId="0" fontId="23" fillId="0" borderId="7" xfId="16" applyFont="1" applyBorder="1" applyAlignment="1">
      <alignment vertical="center"/>
    </xf>
    <xf numFmtId="0" fontId="23" fillId="0" borderId="7" xfId="16" applyFont="1" applyBorder="1" applyAlignment="1">
      <alignment vertical="center" wrapText="1"/>
    </xf>
    <xf numFmtId="0" fontId="23" fillId="0" borderId="0" xfId="16" applyFont="1" applyAlignment="1">
      <alignment horizontal="center" vertical="center"/>
    </xf>
    <xf numFmtId="0" fontId="24" fillId="0" borderId="7" xfId="16" applyFont="1" applyBorder="1" applyAlignment="1">
      <alignment horizontal="center" vertical="center" wrapText="1"/>
    </xf>
    <xf numFmtId="0" fontId="23" fillId="0" borderId="7" xfId="16" applyFont="1" applyBorder="1" applyAlignment="1">
      <alignment horizontal="left" vertical="center"/>
    </xf>
    <xf numFmtId="2" fontId="23" fillId="0" borderId="7" xfId="16" applyNumberFormat="1" applyFont="1" applyBorder="1" applyAlignment="1">
      <alignment horizontal="right" vertical="center" wrapText="1"/>
    </xf>
    <xf numFmtId="4" fontId="23" fillId="0" borderId="7" xfId="16" applyNumberFormat="1" applyFont="1" applyBorder="1" applyAlignment="1">
      <alignment horizontal="right" vertical="center"/>
    </xf>
    <xf numFmtId="10" fontId="23" fillId="0" borderId="7" xfId="15" applyNumberFormat="1" applyFont="1" applyBorder="1" applyAlignment="1">
      <alignment vertical="center" wrapText="1"/>
    </xf>
    <xf numFmtId="0" fontId="24" fillId="0" borderId="7" xfId="0" applyFont="1" applyBorder="1" applyAlignment="1">
      <alignment horizontal="left" wrapText="1"/>
    </xf>
    <xf numFmtId="0" fontId="25" fillId="0" borderId="7" xfId="0" applyFont="1" applyBorder="1" applyAlignment="1">
      <alignment horizontal="left" vertical="center" wrapText="1"/>
    </xf>
    <xf numFmtId="4" fontId="25" fillId="0" borderId="7" xfId="7" applyNumberFormat="1" applyFont="1" applyFill="1" applyBorder="1" applyAlignment="1">
      <alignment horizontal="center" vertical="center"/>
    </xf>
    <xf numFmtId="10" fontId="25" fillId="0" borderId="7" xfId="7" applyNumberFormat="1" applyFont="1" applyFill="1" applyBorder="1" applyAlignment="1">
      <alignment horizontal="center" vertical="center"/>
    </xf>
    <xf numFmtId="4" fontId="25" fillId="0" borderId="7" xfId="0" applyNumberFormat="1" applyFont="1" applyBorder="1" applyAlignment="1">
      <alignment horizontal="center" vertical="center"/>
    </xf>
    <xf numFmtId="0" fontId="25" fillId="0" borderId="0" xfId="0" applyFont="1" applyAlignment="1"/>
    <xf numFmtId="0" fontId="12" fillId="2" borderId="4" xfId="0" applyFont="1" applyFill="1" applyBorder="1" applyAlignment="1">
      <alignment horizontal="center" vertical="center" wrapText="1" readingOrder="1"/>
    </xf>
    <xf numFmtId="0" fontId="22" fillId="0" borderId="11" xfId="0" applyFont="1" applyBorder="1" applyAlignment="1">
      <alignment horizontal="center" vertical="center" wrapText="1" readingOrder="1"/>
    </xf>
    <xf numFmtId="164" fontId="25" fillId="0" borderId="7" xfId="11" applyFont="1" applyFill="1" applyBorder="1" applyAlignment="1">
      <alignment horizontal="right" vertical="center"/>
    </xf>
    <xf numFmtId="43" fontId="25" fillId="0" borderId="7" xfId="12" applyFont="1" applyFill="1" applyBorder="1" applyAlignment="1">
      <alignment horizontal="right" vertical="center"/>
    </xf>
    <xf numFmtId="43" fontId="25" fillId="0" borderId="7" xfId="12" applyFont="1" applyFill="1" applyBorder="1" applyAlignment="1" applyProtection="1">
      <alignment horizontal="right" vertical="center"/>
      <protection locked="0"/>
    </xf>
    <xf numFmtId="43" fontId="25" fillId="0" borderId="7" xfId="12" applyFont="1" applyFill="1" applyBorder="1" applyAlignment="1">
      <alignment vertical="center"/>
    </xf>
    <xf numFmtId="10" fontId="25" fillId="0" borderId="7" xfId="12" applyNumberFormat="1" applyFont="1" applyFill="1" applyBorder="1" applyAlignment="1">
      <alignment vertical="center"/>
    </xf>
    <xf numFmtId="43" fontId="26" fillId="0" borderId="7" xfId="12" applyFont="1" applyFill="1" applyBorder="1" applyAlignment="1">
      <alignment horizontal="right" vertical="center"/>
    </xf>
    <xf numFmtId="0" fontId="33" fillId="3" borderId="0" xfId="4" applyFont="1" applyFill="1" applyBorder="1" applyAlignment="1">
      <alignment horizontal="center" vertical="center" wrapText="1"/>
    </xf>
    <xf numFmtId="0" fontId="10" fillId="0" borderId="0" xfId="0" applyFont="1" applyAlignment="1">
      <alignment horizontal="left" vertical="center"/>
    </xf>
    <xf numFmtId="0" fontId="0" fillId="0" borderId="0" xfId="0" applyAlignment="1"/>
    <xf numFmtId="0" fontId="16" fillId="3" borderId="0" xfId="2" applyFill="1" applyBorder="1" applyAlignment="1">
      <alignment horizontal="center" vertical="center" wrapText="1"/>
    </xf>
    <xf numFmtId="0" fontId="14" fillId="0" borderId="0" xfId="1" applyAlignment="1">
      <alignment horizontal="center" vertical="center" wrapText="1"/>
    </xf>
    <xf numFmtId="0" fontId="14" fillId="0" borderId="0" xfId="0" applyFont="1">
      <alignment wrapText="1"/>
    </xf>
    <xf numFmtId="0" fontId="31" fillId="0" borderId="0" xfId="16" applyFont="1" applyAlignment="1">
      <alignment horizontal="center" vertical="center"/>
    </xf>
    <xf numFmtId="4" fontId="32" fillId="0" borderId="0" xfId="16" applyNumberFormat="1" applyFont="1"/>
    <xf numFmtId="0" fontId="34" fillId="0" borderId="0" xfId="0" applyFont="1" applyAlignment="1">
      <alignment vertical="center" wrapText="1"/>
    </xf>
    <xf numFmtId="0" fontId="10" fillId="0" borderId="0" xfId="0" applyFont="1" applyAlignment="1">
      <alignment horizontal="left" vertical="top"/>
    </xf>
    <xf numFmtId="0" fontId="35" fillId="0" borderId="0" xfId="0" applyFont="1">
      <alignment wrapText="1"/>
    </xf>
    <xf numFmtId="0" fontId="10" fillId="0" borderId="0" xfId="0" applyFont="1" applyAlignment="1">
      <alignment horizontal="left"/>
    </xf>
    <xf numFmtId="0" fontId="16" fillId="0" borderId="0" xfId="2" applyFill="1" applyBorder="1" applyAlignment="1">
      <alignment horizontal="center" vertical="center" wrapText="1"/>
    </xf>
    <xf numFmtId="0" fontId="18" fillId="0" borderId="0" xfId="8" applyFont="1"/>
    <xf numFmtId="0" fontId="4" fillId="0" borderId="0" xfId="6" applyAlignment="1">
      <alignment vertical="center"/>
    </xf>
    <xf numFmtId="0" fontId="3" fillId="0" borderId="0" xfId="8" applyAlignment="1">
      <alignment vertical="center"/>
    </xf>
    <xf numFmtId="0" fontId="3" fillId="0" borderId="0" xfId="8"/>
    <xf numFmtId="0" fontId="17" fillId="0" borderId="7" xfId="9" applyFont="1" applyBorder="1" applyAlignment="1">
      <alignment horizontal="center" vertical="center" wrapText="1"/>
    </xf>
    <xf numFmtId="0" fontId="22" fillId="0" borderId="7" xfId="8" applyFont="1" applyBorder="1" applyAlignment="1">
      <alignment horizontal="center" vertical="center" wrapText="1" readingOrder="1"/>
    </xf>
    <xf numFmtId="0" fontId="3" fillId="0" borderId="0" xfId="8" applyAlignment="1">
      <alignment horizontal="center" vertical="center"/>
    </xf>
    <xf numFmtId="0" fontId="18" fillId="0" borderId="0" xfId="8" applyFont="1" applyAlignment="1">
      <alignment horizontal="center" vertical="center"/>
    </xf>
    <xf numFmtId="0" fontId="4" fillId="0" borderId="0" xfId="6" applyAlignment="1">
      <alignment horizontal="center" vertical="center"/>
    </xf>
    <xf numFmtId="0" fontId="25" fillId="0" borderId="7" xfId="10" applyFont="1" applyBorder="1" applyAlignment="1" applyProtection="1">
      <alignment vertical="center"/>
      <protection locked="0"/>
    </xf>
    <xf numFmtId="0" fontId="26" fillId="0" borderId="7" xfId="10" applyFont="1" applyBorder="1" applyAlignment="1" applyProtection="1">
      <alignment vertical="center" wrapText="1"/>
      <protection locked="0"/>
    </xf>
    <xf numFmtId="0" fontId="25" fillId="0" borderId="7" xfId="10" applyFont="1" applyBorder="1" applyAlignment="1">
      <alignment horizontal="right" vertical="center"/>
    </xf>
    <xf numFmtId="0" fontId="3" fillId="0" borderId="7" xfId="8" applyBorder="1" applyAlignment="1">
      <alignment vertical="center"/>
    </xf>
    <xf numFmtId="0" fontId="25" fillId="0" borderId="7" xfId="10" applyFont="1" applyBorder="1" applyAlignment="1" applyProtection="1">
      <alignment vertical="center" wrapText="1"/>
      <protection locked="0"/>
    </xf>
    <xf numFmtId="176" fontId="25" fillId="0" borderId="7" xfId="10" applyNumberFormat="1" applyFont="1" applyBorder="1" applyAlignment="1" applyProtection="1">
      <alignment vertical="center"/>
      <protection locked="0"/>
    </xf>
    <xf numFmtId="10" fontId="25" fillId="0" borderId="7" xfId="10" applyNumberFormat="1" applyFont="1" applyBorder="1" applyAlignment="1">
      <alignment horizontal="right" vertical="center"/>
    </xf>
    <xf numFmtId="176" fontId="18" fillId="0" borderId="0" xfId="8" applyNumberFormat="1" applyFont="1"/>
    <xf numFmtId="0" fontId="25" fillId="0" borderId="7" xfId="10" applyFont="1" applyBorder="1" applyAlignment="1">
      <alignment horizontal="center" vertical="center"/>
    </xf>
    <xf numFmtId="177" fontId="3" fillId="0" borderId="7" xfId="8" applyNumberFormat="1" applyBorder="1" applyAlignment="1">
      <alignment vertical="center"/>
    </xf>
    <xf numFmtId="0" fontId="25" fillId="0" borderId="7" xfId="10" applyFont="1" applyBorder="1" applyAlignment="1">
      <alignment vertical="center"/>
    </xf>
    <xf numFmtId="0" fontId="26" fillId="0" borderId="7" xfId="9" applyFont="1" applyBorder="1" applyAlignment="1">
      <alignment vertical="center" wrapText="1"/>
    </xf>
    <xf numFmtId="176" fontId="26" fillId="0" borderId="7" xfId="9" applyNumberFormat="1" applyFont="1" applyBorder="1" applyAlignment="1">
      <alignment vertical="center" wrapText="1"/>
    </xf>
    <xf numFmtId="10" fontId="26" fillId="0" borderId="7" xfId="11" applyNumberFormat="1" applyFont="1" applyFill="1" applyBorder="1" applyAlignment="1">
      <alignment horizontal="right" vertical="center"/>
    </xf>
    <xf numFmtId="10" fontId="3" fillId="0" borderId="7" xfId="8" applyNumberFormat="1" applyBorder="1" applyAlignment="1">
      <alignment vertical="center"/>
    </xf>
    <xf numFmtId="0" fontId="26" fillId="0" borderId="7" xfId="10" applyFont="1" applyBorder="1" applyAlignment="1" applyProtection="1">
      <alignment vertical="center"/>
      <protection locked="0"/>
    </xf>
    <xf numFmtId="0" fontId="20" fillId="0" borderId="4" xfId="8" applyFont="1" applyBorder="1" applyAlignment="1">
      <alignment horizontal="left" vertical="center" wrapText="1" readingOrder="1"/>
    </xf>
    <xf numFmtId="0" fontId="25" fillId="0" borderId="7" xfId="8" applyFont="1" applyBorder="1" applyAlignment="1">
      <alignment vertical="center"/>
    </xf>
    <xf numFmtId="2" fontId="23" fillId="0" borderId="7" xfId="8" applyNumberFormat="1" applyFont="1" applyBorder="1" applyAlignment="1">
      <alignment vertical="center"/>
    </xf>
    <xf numFmtId="2" fontId="25" fillId="0" borderId="7" xfId="10" applyNumberFormat="1" applyFont="1" applyBorder="1" applyAlignment="1">
      <alignment horizontal="right" vertical="center"/>
    </xf>
    <xf numFmtId="0" fontId="17" fillId="0" borderId="0" xfId="0" applyFont="1" applyAlignment="1">
      <alignment horizontal="left" vertical="center"/>
    </xf>
    <xf numFmtId="0" fontId="26" fillId="0" borderId="7" xfId="10" applyFont="1" applyBorder="1" applyAlignment="1">
      <alignment vertical="center"/>
    </xf>
    <xf numFmtId="164" fontId="3" fillId="0" borderId="7" xfId="8" applyNumberFormat="1" applyBorder="1" applyAlignment="1">
      <alignment vertical="center"/>
    </xf>
    <xf numFmtId="10" fontId="26" fillId="0" borderId="7" xfId="10" applyNumberFormat="1" applyFont="1" applyBorder="1" applyAlignment="1">
      <alignment horizontal="right" vertical="center"/>
    </xf>
    <xf numFmtId="4" fontId="27" fillId="0" borderId="7" xfId="8" applyNumberFormat="1" applyFont="1" applyBorder="1" applyAlignment="1">
      <alignment vertical="center"/>
    </xf>
    <xf numFmtId="4" fontId="3" fillId="0" borderId="0" xfId="8" applyNumberFormat="1" applyAlignment="1">
      <alignment vertical="center"/>
    </xf>
    <xf numFmtId="178" fontId="3" fillId="0" borderId="0" xfId="8" applyNumberFormat="1" applyAlignment="1">
      <alignment vertical="center"/>
    </xf>
    <xf numFmtId="0" fontId="28" fillId="0" borderId="0" xfId="13" applyFont="1" applyAlignment="1">
      <alignment horizontal="left" vertical="center" wrapText="1"/>
    </xf>
    <xf numFmtId="0" fontId="29" fillId="0" borderId="0" xfId="13" applyFont="1" applyAlignment="1">
      <alignment vertical="center"/>
    </xf>
    <xf numFmtId="164" fontId="29" fillId="0" borderId="0" xfId="13" applyNumberFormat="1" applyFont="1" applyAlignment="1">
      <alignment vertical="center"/>
    </xf>
    <xf numFmtId="4" fontId="30" fillId="0" borderId="0" xfId="8" applyNumberFormat="1" applyFont="1" applyAlignment="1">
      <alignment vertical="center"/>
    </xf>
    <xf numFmtId="2" fontId="29" fillId="0" borderId="0" xfId="13" applyNumberFormat="1" applyFont="1" applyAlignment="1">
      <alignment vertical="center"/>
    </xf>
    <xf numFmtId="0" fontId="25" fillId="0" borderId="0" xfId="14" applyFont="1" applyAlignment="1">
      <alignment vertical="center"/>
    </xf>
    <xf numFmtId="0" fontId="29" fillId="0" borderId="7" xfId="13" applyFont="1" applyBorder="1" applyAlignment="1">
      <alignment vertical="center"/>
    </xf>
    <xf numFmtId="0" fontId="28" fillId="0" borderId="0" xfId="13" applyFont="1" applyAlignment="1">
      <alignment vertical="center"/>
    </xf>
    <xf numFmtId="0" fontId="26" fillId="0" borderId="7" xfId="14" applyFont="1" applyBorder="1" applyAlignment="1">
      <alignment vertical="center"/>
    </xf>
    <xf numFmtId="14" fontId="28" fillId="0" borderId="0" xfId="13" applyNumberFormat="1" applyFont="1" applyAlignment="1">
      <alignment horizontal="center" vertical="center"/>
    </xf>
    <xf numFmtId="0" fontId="23" fillId="0" borderId="0" xfId="8" applyFont="1" applyAlignment="1">
      <alignment vertical="center"/>
    </xf>
    <xf numFmtId="0" fontId="29" fillId="0" borderId="7" xfId="13" applyFont="1" applyBorder="1" applyAlignment="1">
      <alignment horizontal="left" vertical="center"/>
    </xf>
    <xf numFmtId="179" fontId="23" fillId="0" borderId="7" xfId="8" applyNumberFormat="1" applyFont="1" applyBorder="1" applyAlignment="1">
      <alignment vertical="center"/>
    </xf>
    <xf numFmtId="179" fontId="23" fillId="0" borderId="0" xfId="8" applyNumberFormat="1" applyFont="1" applyAlignment="1">
      <alignment vertical="center"/>
    </xf>
    <xf numFmtId="10" fontId="23" fillId="0" borderId="0" xfId="8" applyNumberFormat="1" applyFont="1" applyAlignment="1">
      <alignment vertical="center"/>
    </xf>
    <xf numFmtId="0" fontId="13" fillId="0" borderId="7" xfId="0" applyFont="1" applyBorder="1" applyAlignment="1">
      <alignment horizontal="left" vertical="center" wrapText="1" readingOrder="1"/>
    </xf>
    <xf numFmtId="0" fontId="13" fillId="0" borderId="0" xfId="8" applyFont="1" applyAlignment="1">
      <alignment vertical="center" readingOrder="1"/>
    </xf>
    <xf numFmtId="0" fontId="13" fillId="0" borderId="0" xfId="8" applyFont="1" applyAlignment="1">
      <alignment vertical="center" wrapText="1" readingOrder="1"/>
    </xf>
    <xf numFmtId="0" fontId="25" fillId="0" borderId="0" xfId="13" applyFont="1" applyAlignment="1">
      <alignment horizontal="center" vertical="center"/>
    </xf>
    <xf numFmtId="0" fontId="29" fillId="0" borderId="0" xfId="13" quotePrefix="1" applyFont="1" applyAlignment="1">
      <alignment vertical="center"/>
    </xf>
    <xf numFmtId="0" fontId="25" fillId="0" borderId="0" xfId="8" applyFont="1" applyAlignment="1">
      <alignment vertical="center" wrapText="1"/>
    </xf>
    <xf numFmtId="0" fontId="26" fillId="0" borderId="7" xfId="14" applyFont="1" applyBorder="1" applyAlignment="1">
      <alignment horizontal="right" vertical="center"/>
    </xf>
    <xf numFmtId="180" fontId="28" fillId="0" borderId="7" xfId="13" applyNumberFormat="1" applyFont="1" applyBorder="1" applyAlignment="1">
      <alignment horizontal="right" vertical="center"/>
    </xf>
    <xf numFmtId="179" fontId="23" fillId="0" borderId="7" xfId="8" applyNumberFormat="1" applyFont="1" applyBorder="1" applyAlignment="1">
      <alignment horizontal="right" vertical="center"/>
    </xf>
    <xf numFmtId="181" fontId="9" fillId="2" borderId="5" xfId="0" applyNumberFormat="1" applyFont="1" applyFill="1" applyBorder="1" applyAlignment="1">
      <alignment horizontal="right" vertical="center" wrapText="1" readingOrder="1"/>
    </xf>
    <xf numFmtId="4" fontId="0" fillId="0" borderId="0" xfId="0" applyNumberFormat="1">
      <alignment wrapText="1"/>
    </xf>
    <xf numFmtId="182" fontId="9" fillId="0" borderId="5" xfId="0" applyNumberFormat="1" applyFont="1" applyBorder="1" applyAlignment="1">
      <alignment horizontal="right" vertical="center" wrapText="1" readingOrder="1"/>
    </xf>
    <xf numFmtId="4" fontId="9" fillId="0" borderId="5" xfId="0" applyNumberFormat="1" applyFont="1" applyBorder="1" applyAlignment="1">
      <alignment horizontal="right" vertical="center" wrapText="1" readingOrder="1"/>
    </xf>
    <xf numFmtId="182" fontId="0" fillId="0" borderId="0" xfId="0" applyNumberFormat="1">
      <alignment wrapText="1"/>
    </xf>
    <xf numFmtId="0" fontId="25" fillId="0" borderId="0" xfId="18" applyFont="1"/>
    <xf numFmtId="0" fontId="26" fillId="0" borderId="0" xfId="18" applyFont="1"/>
    <xf numFmtId="0" fontId="26" fillId="0" borderId="7" xfId="18" applyFont="1" applyBorder="1" applyAlignment="1">
      <alignment horizontal="center" vertical="top"/>
    </xf>
    <xf numFmtId="0" fontId="26" fillId="0" borderId="7" xfId="18" applyFont="1" applyBorder="1" applyAlignment="1">
      <alignment horizontal="center" vertical="top" wrapText="1"/>
    </xf>
    <xf numFmtId="0" fontId="25" fillId="0" borderId="7" xfId="18" applyFont="1" applyBorder="1" applyAlignment="1">
      <alignment horizontal="left" vertical="top"/>
    </xf>
    <xf numFmtId="0" fontId="25" fillId="0" borderId="7" xfId="18" applyFont="1" applyBorder="1" applyAlignment="1">
      <alignment horizontal="center" vertical="top"/>
    </xf>
    <xf numFmtId="173" fontId="7" fillId="2" borderId="4" xfId="18" applyNumberFormat="1" applyFont="1" applyFill="1" applyBorder="1" applyAlignment="1">
      <alignment vertical="center" readingOrder="1"/>
    </xf>
    <xf numFmtId="173" fontId="7" fillId="2" borderId="4" xfId="18" applyNumberFormat="1" applyFont="1" applyFill="1" applyBorder="1" applyAlignment="1">
      <alignment horizontal="right" vertical="center" readingOrder="1"/>
    </xf>
    <xf numFmtId="2" fontId="25" fillId="0" borderId="7" xfId="18" applyNumberFormat="1" applyFont="1" applyBorder="1" applyAlignment="1">
      <alignment horizontal="right" vertical="top" wrapText="1"/>
    </xf>
    <xf numFmtId="0" fontId="7" fillId="2" borderId="11" xfId="18" applyFont="1" applyFill="1" applyBorder="1" applyAlignment="1">
      <alignment horizontal="left" vertical="center" readingOrder="1"/>
    </xf>
    <xf numFmtId="0" fontId="7" fillId="2" borderId="4" xfId="18" applyFont="1" applyFill="1" applyBorder="1" applyAlignment="1">
      <alignment horizontal="left" vertical="center" readingOrder="1"/>
    </xf>
    <xf numFmtId="0" fontId="25" fillId="0" borderId="12" xfId="18" applyFont="1" applyBorder="1" applyAlignment="1">
      <alignment horizontal="left" vertical="top"/>
    </xf>
    <xf numFmtId="0" fontId="7" fillId="0" borderId="13" xfId="18" applyFont="1" applyBorder="1" applyAlignment="1">
      <alignment horizontal="left" vertical="center" readingOrder="1"/>
    </xf>
    <xf numFmtId="173" fontId="7" fillId="0" borderId="4" xfId="18" applyNumberFormat="1" applyFont="1" applyBorder="1" applyAlignment="1">
      <alignment horizontal="right" vertical="center" readingOrder="1"/>
    </xf>
    <xf numFmtId="0" fontId="7" fillId="0" borderId="7" xfId="18" applyFont="1" applyBorder="1" applyAlignment="1">
      <alignment horizontal="left" vertical="center" readingOrder="1"/>
    </xf>
    <xf numFmtId="0" fontId="7" fillId="2" borderId="8" xfId="18" applyFont="1" applyFill="1" applyBorder="1" applyAlignment="1">
      <alignment horizontal="left" vertical="center" readingOrder="1"/>
    </xf>
    <xf numFmtId="173" fontId="7" fillId="2" borderId="4" xfId="18" applyNumberFormat="1" applyFont="1" applyFill="1" applyBorder="1" applyAlignment="1">
      <alignment horizontal="right" vertical="center" wrapText="1" readingOrder="1"/>
    </xf>
    <xf numFmtId="2" fontId="25" fillId="0" borderId="14" xfId="18" applyNumberFormat="1" applyFont="1" applyBorder="1" applyAlignment="1">
      <alignment horizontal="right" vertical="top" wrapText="1"/>
    </xf>
    <xf numFmtId="4" fontId="25" fillId="0" borderId="7" xfId="18" applyNumberFormat="1" applyFont="1" applyBorder="1"/>
    <xf numFmtId="0" fontId="7" fillId="2" borderId="4" xfId="18" applyFont="1" applyFill="1" applyBorder="1" applyAlignment="1">
      <alignment horizontal="left" vertical="top" readingOrder="1"/>
    </xf>
    <xf numFmtId="2" fontId="25" fillId="0" borderId="0" xfId="18" applyNumberFormat="1" applyFont="1" applyAlignment="1">
      <alignment horizontal="right" vertical="top" wrapText="1"/>
    </xf>
    <xf numFmtId="0" fontId="7" fillId="2" borderId="4" xfId="18" applyFont="1" applyFill="1" applyBorder="1" applyAlignment="1">
      <alignment horizontal="left" vertical="center" wrapText="1" readingOrder="1"/>
    </xf>
    <xf numFmtId="0" fontId="7" fillId="2" borderId="13" xfId="18" applyFont="1" applyFill="1" applyBorder="1" applyAlignment="1">
      <alignment horizontal="left" vertical="center" wrapText="1" readingOrder="1"/>
    </xf>
    <xf numFmtId="0" fontId="25" fillId="0" borderId="12" xfId="18" applyFont="1" applyBorder="1" applyAlignment="1">
      <alignment horizontal="center" vertical="top"/>
    </xf>
    <xf numFmtId="173" fontId="7" fillId="2" borderId="13" xfId="18" applyNumberFormat="1" applyFont="1" applyFill="1" applyBorder="1" applyAlignment="1">
      <alignment horizontal="right" vertical="center" wrapText="1" readingOrder="1"/>
    </xf>
    <xf numFmtId="173" fontId="7" fillId="2" borderId="13" xfId="18" applyNumberFormat="1" applyFont="1" applyFill="1" applyBorder="1" applyAlignment="1">
      <alignment horizontal="right" vertical="center" readingOrder="1"/>
    </xf>
    <xf numFmtId="2" fontId="25" fillId="0" borderId="12" xfId="18" applyNumberFormat="1" applyFont="1" applyBorder="1" applyAlignment="1">
      <alignment horizontal="right" vertical="top" wrapText="1"/>
    </xf>
    <xf numFmtId="0" fontId="7" fillId="2" borderId="7" xfId="18" applyFont="1" applyFill="1" applyBorder="1" applyAlignment="1">
      <alignment horizontal="left" vertical="center" wrapText="1" readingOrder="1"/>
    </xf>
    <xf numFmtId="173" fontId="7" fillId="2" borderId="7" xfId="18" applyNumberFormat="1" applyFont="1" applyFill="1" applyBorder="1" applyAlignment="1">
      <alignment horizontal="right" vertical="center" wrapText="1" readingOrder="1"/>
    </xf>
    <xf numFmtId="173" fontId="7" fillId="2" borderId="7" xfId="18" applyNumberFormat="1" applyFont="1" applyFill="1" applyBorder="1" applyAlignment="1">
      <alignment horizontal="right" vertical="center" readingOrder="1"/>
    </xf>
    <xf numFmtId="0" fontId="7" fillId="2" borderId="7" xfId="18" applyFont="1" applyFill="1" applyBorder="1" applyAlignment="1">
      <alignment horizontal="left" vertical="center" readingOrder="1"/>
    </xf>
    <xf numFmtId="173" fontId="25" fillId="0" borderId="0" xfId="18" applyNumberFormat="1" applyFont="1"/>
    <xf numFmtId="0" fontId="26" fillId="0" borderId="7" xfId="18" applyFont="1" applyBorder="1" applyAlignment="1">
      <alignment horizontal="center"/>
    </xf>
    <xf numFmtId="10" fontId="25" fillId="0" borderId="7" xfId="19" applyNumberFormat="1" applyFont="1" applyFill="1" applyBorder="1" applyAlignment="1">
      <alignment horizontal="center"/>
    </xf>
    <xf numFmtId="10" fontId="25" fillId="0" borderId="7" xfId="18" applyNumberFormat="1" applyFont="1" applyBorder="1" applyAlignment="1">
      <alignment horizontal="center"/>
    </xf>
    <xf numFmtId="0" fontId="25" fillId="0" borderId="7" xfId="18" applyFont="1" applyBorder="1"/>
    <xf numFmtId="37" fontId="25" fillId="0" borderId="7" xfId="20" applyNumberFormat="1" applyFont="1" applyFill="1" applyBorder="1" applyAlignment="1">
      <alignment horizontal="center"/>
    </xf>
    <xf numFmtId="43" fontId="25" fillId="0" borderId="7" xfId="20" applyFont="1" applyFill="1" applyBorder="1"/>
    <xf numFmtId="43" fontId="25" fillId="0" borderId="0" xfId="20" applyFont="1" applyFill="1" applyBorder="1"/>
    <xf numFmtId="43" fontId="25" fillId="0" borderId="0" xfId="18" applyNumberFormat="1" applyFont="1"/>
    <xf numFmtId="4" fontId="25" fillId="0" borderId="0" xfId="18" applyNumberFormat="1" applyFont="1"/>
    <xf numFmtId="0" fontId="25" fillId="0" borderId="7" xfId="20" applyNumberFormat="1" applyFont="1" applyFill="1" applyBorder="1" applyAlignment="1">
      <alignment horizontal="center"/>
    </xf>
    <xf numFmtId="4" fontId="25" fillId="0" borderId="7" xfId="20" applyNumberFormat="1" applyFont="1" applyFill="1" applyBorder="1"/>
    <xf numFmtId="0" fontId="25" fillId="0" borderId="7" xfId="18" applyFont="1" applyBorder="1" applyAlignment="1">
      <alignment horizontal="left" vertical="top" wrapText="1"/>
    </xf>
    <xf numFmtId="177" fontId="25" fillId="0" borderId="7" xfId="20" applyNumberFormat="1" applyFont="1" applyFill="1" applyBorder="1"/>
    <xf numFmtId="183" fontId="25" fillId="0" borderId="0" xfId="18" applyNumberFormat="1" applyFont="1"/>
    <xf numFmtId="2" fontId="25" fillId="0" borderId="0" xfId="18" applyNumberFormat="1" applyFont="1" applyAlignment="1">
      <alignment vertical="top" wrapText="1"/>
    </xf>
    <xf numFmtId="43" fontId="25" fillId="0" borderId="0" xfId="20" applyFont="1" applyFill="1" applyBorder="1" applyAlignment="1"/>
    <xf numFmtId="0" fontId="25" fillId="0" borderId="0" xfId="18" applyFont="1" applyAlignment="1" applyProtection="1">
      <alignment horizontal="left"/>
      <protection locked="0"/>
    </xf>
    <xf numFmtId="0" fontId="25" fillId="0" borderId="0" xfId="18" applyFont="1" applyAlignment="1">
      <alignment horizontal="center" vertical="top"/>
    </xf>
    <xf numFmtId="43" fontId="25" fillId="0" borderId="0" xfId="20" applyFont="1" applyFill="1" applyBorder="1" applyAlignment="1" applyProtection="1">
      <alignment horizontal="left"/>
      <protection locked="0"/>
    </xf>
    <xf numFmtId="4" fontId="25" fillId="0" borderId="0" xfId="18" applyNumberFormat="1" applyFont="1" applyAlignment="1">
      <alignment horizontal="right" vertical="center"/>
    </xf>
    <xf numFmtId="0" fontId="25" fillId="0" borderId="0" xfId="18" applyFont="1" applyAlignment="1">
      <alignment horizontal="left" vertical="top"/>
    </xf>
    <xf numFmtId="10" fontId="25" fillId="0" borderId="0" xfId="18" applyNumberFormat="1" applyFont="1" applyAlignment="1">
      <alignment horizontal="center"/>
    </xf>
    <xf numFmtId="43" fontId="25" fillId="0" borderId="7" xfId="20" applyFont="1" applyFill="1" applyBorder="1" applyAlignment="1">
      <alignment horizontal="center" vertical="top" wrapText="1"/>
    </xf>
    <xf numFmtId="0" fontId="25" fillId="0" borderId="7" xfId="18" applyFont="1" applyBorder="1" applyAlignment="1">
      <alignment horizontal="center"/>
    </xf>
    <xf numFmtId="2" fontId="25" fillId="0" borderId="7" xfId="18" applyNumberFormat="1" applyFont="1" applyBorder="1" applyAlignment="1">
      <alignment horizontal="right"/>
    </xf>
    <xf numFmtId="164" fontId="25" fillId="0" borderId="0" xfId="18" applyNumberFormat="1" applyFont="1"/>
    <xf numFmtId="1" fontId="25" fillId="0" borderId="7" xfId="18" applyNumberFormat="1" applyFont="1" applyBorder="1" applyAlignment="1">
      <alignment horizontal="center"/>
    </xf>
    <xf numFmtId="43" fontId="26" fillId="0" borderId="0" xfId="20" applyFont="1" applyFill="1" applyBorder="1"/>
    <xf numFmtId="0" fontId="25" fillId="0" borderId="7" xfId="18" applyFont="1" applyBorder="1" applyAlignment="1">
      <alignment vertical="top" wrapText="1"/>
    </xf>
    <xf numFmtId="0" fontId="26" fillId="0" borderId="0" xfId="18" applyFont="1" applyAlignment="1">
      <alignment vertical="top" wrapText="1"/>
    </xf>
    <xf numFmtId="0" fontId="25" fillId="0" borderId="0" xfId="18" applyFont="1" applyAlignment="1">
      <alignment horizontal="center"/>
    </xf>
    <xf numFmtId="2" fontId="25" fillId="0" borderId="0" xfId="18" applyNumberFormat="1" applyFont="1" applyAlignment="1">
      <alignment horizontal="right"/>
    </xf>
    <xf numFmtId="0" fontId="25" fillId="0" borderId="0" xfId="18" applyFont="1" applyAlignment="1">
      <alignment horizontal="right" vertical="top" wrapText="1"/>
    </xf>
    <xf numFmtId="0" fontId="25" fillId="0" borderId="7" xfId="18" applyFont="1" applyBorder="1" applyAlignment="1">
      <alignment horizontal="center" vertical="top" wrapText="1"/>
    </xf>
    <xf numFmtId="184" fontId="25" fillId="0" borderId="0" xfId="18" applyNumberFormat="1" applyFont="1" applyAlignment="1">
      <alignment horizontal="right" vertical="top" wrapText="1"/>
    </xf>
    <xf numFmtId="2" fontId="25" fillId="0" borderId="0" xfId="18" applyNumberFormat="1" applyFont="1" applyAlignment="1">
      <alignment horizontal="center"/>
    </xf>
    <xf numFmtId="0" fontId="25" fillId="0" borderId="7" xfId="18" applyFont="1" applyBorder="1" applyAlignment="1">
      <alignment horizontal="left"/>
    </xf>
    <xf numFmtId="2" fontId="25" fillId="0" borderId="7" xfId="18" applyNumberFormat="1" applyFont="1" applyBorder="1" applyAlignment="1">
      <alignment horizontal="center" vertical="top" wrapText="1"/>
    </xf>
    <xf numFmtId="0" fontId="25" fillId="0" borderId="0" xfId="18" applyFont="1" applyAlignment="1">
      <alignment horizontal="left"/>
    </xf>
    <xf numFmtId="0" fontId="25" fillId="0" borderId="0" xfId="18" applyFont="1" applyAlignment="1">
      <alignment horizontal="right" vertical="top"/>
    </xf>
    <xf numFmtId="2" fontId="25" fillId="0" borderId="0" xfId="18" applyNumberFormat="1" applyFont="1" applyAlignment="1">
      <alignment horizontal="right" vertical="top"/>
    </xf>
    <xf numFmtId="185" fontId="25" fillId="0" borderId="0" xfId="20" applyNumberFormat="1" applyFont="1" applyFill="1" applyBorder="1" applyAlignment="1">
      <alignment horizontal="center" vertical="top" wrapText="1"/>
    </xf>
    <xf numFmtId="0" fontId="25" fillId="0" borderId="0" xfId="18" applyFont="1" applyAlignment="1">
      <alignment horizontal="left" vertical="top" wrapText="1"/>
    </xf>
    <xf numFmtId="175" fontId="25" fillId="0" borderId="0" xfId="20" applyNumberFormat="1" applyFont="1" applyFill="1" applyBorder="1" applyAlignment="1">
      <alignment horizontal="right" vertical="top" wrapText="1"/>
    </xf>
    <xf numFmtId="2" fontId="25" fillId="0" borderId="0" xfId="18" applyNumberFormat="1" applyFont="1"/>
    <xf numFmtId="4" fontId="25" fillId="0" borderId="0" xfId="20" applyNumberFormat="1" applyFont="1" applyFill="1" applyBorder="1"/>
    <xf numFmtId="2" fontId="25" fillId="0" borderId="7" xfId="18" applyNumberFormat="1" applyFont="1" applyBorder="1" applyAlignment="1">
      <alignment vertical="top" wrapText="1"/>
    </xf>
    <xf numFmtId="43" fontId="25" fillId="0" borderId="7" xfId="20" applyFont="1" applyFill="1" applyBorder="1" applyAlignment="1"/>
    <xf numFmtId="4" fontId="25" fillId="0" borderId="7" xfId="18" applyNumberFormat="1" applyFont="1" applyBorder="1" applyAlignment="1">
      <alignment horizontal="center"/>
    </xf>
    <xf numFmtId="4" fontId="25" fillId="0" borderId="7" xfId="20" applyNumberFormat="1" applyFont="1" applyFill="1" applyBorder="1" applyAlignment="1">
      <alignment horizontal="center"/>
    </xf>
    <xf numFmtId="4" fontId="26" fillId="0" borderId="7" xfId="18" applyNumberFormat="1" applyFont="1" applyBorder="1" applyAlignment="1">
      <alignment horizontal="center" vertical="top" wrapText="1"/>
    </xf>
    <xf numFmtId="4" fontId="25" fillId="0" borderId="7" xfId="18" applyNumberFormat="1" applyFont="1" applyBorder="1" applyAlignment="1">
      <alignment horizontal="center" vertical="top" wrapText="1"/>
    </xf>
    <xf numFmtId="0" fontId="7" fillId="2" borderId="1" xfId="0" applyFont="1" applyFill="1" applyBorder="1" applyAlignment="1">
      <alignment horizontal="left" vertical="center" wrapText="1" readingOrder="1"/>
    </xf>
    <xf numFmtId="0" fontId="7" fillId="2" borderId="3" xfId="0" applyFont="1" applyFill="1" applyBorder="1" applyAlignment="1">
      <alignment horizontal="left" vertical="center" wrapText="1" readingOrder="1"/>
    </xf>
    <xf numFmtId="0" fontId="12" fillId="2" borderId="7" xfId="0" applyFont="1" applyFill="1" applyBorder="1" applyAlignment="1">
      <alignment horizontal="center" vertical="center" wrapText="1" readingOrder="1"/>
    </xf>
    <xf numFmtId="0" fontId="12" fillId="2" borderId="8" xfId="0" applyFont="1" applyFill="1" applyBorder="1" applyAlignment="1">
      <alignment horizontal="center" vertical="center" readingOrder="1"/>
    </xf>
    <xf numFmtId="0" fontId="12" fillId="2" borderId="9" xfId="0" applyFont="1" applyFill="1" applyBorder="1" applyAlignment="1">
      <alignment horizontal="center" vertical="center" readingOrder="1"/>
    </xf>
    <xf numFmtId="0" fontId="12" fillId="2" borderId="10" xfId="0" applyFont="1" applyFill="1" applyBorder="1" applyAlignment="1">
      <alignment horizontal="center" vertical="center" readingOrder="1"/>
    </xf>
    <xf numFmtId="0" fontId="17" fillId="0" borderId="0" xfId="17" applyFont="1" applyAlignment="1">
      <alignment horizontal="center" vertical="center" wrapText="1"/>
    </xf>
    <xf numFmtId="0" fontId="8" fillId="2" borderId="1" xfId="0" applyFont="1" applyFill="1" applyBorder="1" applyAlignment="1">
      <alignment horizontal="left" vertical="center" wrapText="1" readingOrder="1"/>
    </xf>
    <xf numFmtId="0" fontId="8" fillId="2" borderId="3" xfId="0" applyFont="1" applyFill="1" applyBorder="1" applyAlignment="1">
      <alignment horizontal="left" vertical="center" wrapText="1" readingOrder="1"/>
    </xf>
    <xf numFmtId="0" fontId="7" fillId="2" borderId="0" xfId="0" applyFont="1" applyFill="1" applyAlignment="1">
      <alignment horizontal="left" vertical="center" wrapText="1" readingOrder="1"/>
    </xf>
    <xf numFmtId="0" fontId="13" fillId="2" borderId="1" xfId="0" applyFont="1" applyFill="1" applyBorder="1" applyAlignment="1">
      <alignment horizontal="left" vertical="center" wrapText="1" readingOrder="1"/>
    </xf>
    <xf numFmtId="0" fontId="13" fillId="2" borderId="3" xfId="0" applyFont="1" applyFill="1" applyBorder="1" applyAlignment="1">
      <alignment horizontal="left" vertical="center" wrapText="1" readingOrder="1"/>
    </xf>
    <xf numFmtId="0" fontId="8" fillId="2" borderId="2" xfId="0" applyFont="1" applyFill="1" applyBorder="1" applyAlignment="1">
      <alignment horizontal="left" vertical="center" wrapText="1" readingOrder="1"/>
    </xf>
    <xf numFmtId="0" fontId="24" fillId="0" borderId="7" xfId="16" applyFont="1" applyBorder="1" applyAlignment="1">
      <alignment horizontal="center" vertical="center"/>
    </xf>
    <xf numFmtId="0" fontId="24" fillId="0" borderId="8" xfId="16" applyFont="1" applyBorder="1" applyAlignment="1">
      <alignment horizontal="center" vertical="center"/>
    </xf>
    <xf numFmtId="0" fontId="24" fillId="0" borderId="9" xfId="16" applyFont="1" applyBorder="1" applyAlignment="1">
      <alignment horizontal="center" vertical="center"/>
    </xf>
    <xf numFmtId="0" fontId="24" fillId="0" borderId="10" xfId="16" applyFont="1" applyBorder="1" applyAlignment="1">
      <alignment horizontal="center" vertical="center"/>
    </xf>
    <xf numFmtId="0" fontId="23" fillId="0" borderId="8" xfId="16" applyFont="1" applyBorder="1" applyAlignment="1">
      <alignment horizontal="left" vertical="center" wrapText="1"/>
    </xf>
    <xf numFmtId="0" fontId="23" fillId="0" borderId="9" xfId="16" applyFont="1" applyBorder="1" applyAlignment="1">
      <alignment horizontal="left" vertical="center" wrapText="1"/>
    </xf>
    <xf numFmtId="0" fontId="23" fillId="0" borderId="10" xfId="16" applyFont="1" applyBorder="1" applyAlignment="1">
      <alignment horizontal="left" vertical="center" wrapText="1"/>
    </xf>
    <xf numFmtId="0" fontId="12" fillId="0" borderId="7" xfId="0" applyFont="1" applyBorder="1" applyAlignment="1">
      <alignment horizontal="center" vertical="center" wrapText="1" readingOrder="1"/>
    </xf>
    <xf numFmtId="0" fontId="12" fillId="0" borderId="7" xfId="0" applyFont="1" applyBorder="1" applyAlignment="1">
      <alignment horizontal="center" vertical="center" readingOrder="1"/>
    </xf>
    <xf numFmtId="0" fontId="24" fillId="0" borderId="8" xfId="16" applyFont="1" applyBorder="1" applyAlignment="1">
      <alignment horizontal="center" vertical="center" wrapText="1"/>
    </xf>
    <xf numFmtId="0" fontId="24" fillId="0" borderId="10" xfId="16" applyFont="1" applyBorder="1" applyAlignment="1">
      <alignment horizontal="center" vertical="center" wrapText="1"/>
    </xf>
    <xf numFmtId="0" fontId="23" fillId="0" borderId="8" xfId="5" applyNumberFormat="1" applyFont="1" applyBorder="1" applyAlignment="1">
      <alignment horizontal="center" vertical="center"/>
    </xf>
    <xf numFmtId="0" fontId="23" fillId="0" borderId="10" xfId="5" applyNumberFormat="1" applyFont="1" applyBorder="1" applyAlignment="1">
      <alignment horizontal="center" vertical="center"/>
    </xf>
    <xf numFmtId="0" fontId="13" fillId="2" borderId="0" xfId="0" applyFont="1" applyFill="1" applyAlignment="1">
      <alignment horizontal="left" vertical="center" wrapText="1" readingOrder="1"/>
    </xf>
    <xf numFmtId="0" fontId="13" fillId="2" borderId="0" xfId="1" applyFont="1" applyFill="1" applyAlignment="1">
      <alignment horizontal="left" vertical="center" wrapText="1" readingOrder="1"/>
    </xf>
    <xf numFmtId="0" fontId="13" fillId="0" borderId="1" xfId="0" applyFont="1" applyBorder="1" applyAlignment="1">
      <alignment horizontal="left" vertical="top" wrapText="1" readingOrder="1"/>
    </xf>
    <xf numFmtId="0" fontId="13" fillId="0" borderId="3" xfId="0" applyFont="1" applyBorder="1" applyAlignment="1">
      <alignment horizontal="left" vertical="top" wrapText="1" readingOrder="1"/>
    </xf>
    <xf numFmtId="0" fontId="7" fillId="0" borderId="1" xfId="0" applyFont="1" applyBorder="1" applyAlignment="1">
      <alignment horizontal="left" vertical="center" wrapText="1" readingOrder="1"/>
    </xf>
    <xf numFmtId="0" fontId="7" fillId="0" borderId="3" xfId="0" applyFont="1" applyBorder="1" applyAlignment="1">
      <alignment horizontal="left" vertical="center" wrapText="1" readingOrder="1"/>
    </xf>
    <xf numFmtId="0" fontId="7" fillId="0" borderId="0" xfId="0" applyFont="1" applyAlignment="1">
      <alignment horizontal="left" vertical="center" wrapText="1" readingOrder="1"/>
    </xf>
    <xf numFmtId="0" fontId="8" fillId="0" borderId="1" xfId="0" applyFont="1" applyBorder="1" applyAlignment="1">
      <alignment horizontal="left" vertical="center" wrapText="1" readingOrder="1"/>
    </xf>
    <xf numFmtId="0" fontId="8" fillId="0" borderId="2" xfId="0" applyFont="1" applyBorder="1" applyAlignment="1">
      <alignment horizontal="left" vertical="center" wrapText="1" readingOrder="1"/>
    </xf>
    <xf numFmtId="0" fontId="8" fillId="0" borderId="3" xfId="0" applyFont="1" applyBorder="1" applyAlignment="1">
      <alignment horizontal="left" vertical="center" wrapText="1" readingOrder="1"/>
    </xf>
    <xf numFmtId="0" fontId="13" fillId="0" borderId="0" xfId="0" applyFont="1" applyAlignment="1">
      <alignment horizontal="left" vertical="center" wrapText="1" readingOrder="1"/>
    </xf>
    <xf numFmtId="0" fontId="29" fillId="0" borderId="0" xfId="13" applyFont="1" applyAlignment="1">
      <alignment horizontal="left" vertical="center"/>
    </xf>
    <xf numFmtId="0" fontId="23" fillId="0" borderId="0" xfId="8" applyFont="1" applyAlignment="1">
      <alignment horizontal="left" vertical="center"/>
    </xf>
    <xf numFmtId="0" fontId="10" fillId="0" borderId="7" xfId="8" applyFont="1" applyBorder="1" applyAlignment="1">
      <alignment horizontal="center" vertical="center"/>
    </xf>
    <xf numFmtId="0" fontId="17" fillId="0" borderId="7" xfId="9" applyFont="1" applyBorder="1" applyAlignment="1">
      <alignment horizontal="center" vertical="center"/>
    </xf>
    <xf numFmtId="0" fontId="22" fillId="0" borderId="7" xfId="9" applyFont="1" applyBorder="1" applyAlignment="1">
      <alignment horizontal="center" vertical="center" wrapText="1"/>
    </xf>
    <xf numFmtId="0" fontId="29" fillId="0" borderId="8" xfId="13" applyFont="1" applyBorder="1" applyAlignment="1">
      <alignment horizontal="left" vertical="center"/>
    </xf>
    <xf numFmtId="0" fontId="29" fillId="0" borderId="9" xfId="13" applyFont="1" applyBorder="1" applyAlignment="1">
      <alignment horizontal="left" vertical="center"/>
    </xf>
    <xf numFmtId="0" fontId="29" fillId="0" borderId="10" xfId="13" applyFont="1" applyBorder="1" applyAlignment="1">
      <alignment horizontal="left" vertical="center"/>
    </xf>
    <xf numFmtId="0" fontId="26" fillId="0" borderId="0" xfId="18" applyFont="1" applyAlignment="1">
      <alignment horizontal="center"/>
    </xf>
  </cellXfs>
  <cellStyles count="21">
    <cellStyle name="Comma" xfId="5" builtinId="3"/>
    <cellStyle name="Comma 10" xfId="12" xr:uid="{DA1250BF-9F86-412D-A0BD-B0F3957DB8F9}"/>
    <cellStyle name="Comma 2" xfId="7" xr:uid="{EFBC5899-8496-4773-9DE9-278DCB4A1CD6}"/>
    <cellStyle name="Comma 3" xfId="11" xr:uid="{0566DBD4-D5B2-41BB-9DAD-E279D4D3A9B5}"/>
    <cellStyle name="Comma 4" xfId="20" xr:uid="{1B0B767A-E8F2-458D-868E-22026C0AC53D}"/>
    <cellStyle name="Hyperlink" xfId="2" builtinId="8"/>
    <cellStyle name="Hyperlink 2" xfId="4" xr:uid="{831A8FBF-1A4C-4D09-A858-6C6849A2C477}"/>
    <cellStyle name="Normal" xfId="0" builtinId="0"/>
    <cellStyle name="Normal 2" xfId="1" xr:uid="{A7410CC4-129E-4788-9068-F20259234EDC}"/>
    <cellStyle name="Normal 2 2" xfId="10" xr:uid="{EA22D682-152A-4209-B777-A2DF1F87B8A6}"/>
    <cellStyle name="Normal 2 2 3" xfId="16" xr:uid="{D0B276C4-D4F3-47BA-89DD-DAC5DEAC45E4}"/>
    <cellStyle name="Normal 2 2 3 2" xfId="3" xr:uid="{223D5491-75D9-4A87-B20D-06C7ECDF1940}"/>
    <cellStyle name="Normal 3" xfId="17" xr:uid="{DF0E81BC-470D-4F1D-ABB9-0F86900F23B2}"/>
    <cellStyle name="Normal 4" xfId="6" xr:uid="{F943E372-3AEE-4C04-B42A-3D8EDC1E9C89}"/>
    <cellStyle name="Normal 4 2" xfId="8" xr:uid="{2693E3AB-A7EB-4F8A-8E65-9C148987FDC4}"/>
    <cellStyle name="Normal 5" xfId="18" xr:uid="{A5349C54-26C5-4D54-A9DA-8BFD43F25582}"/>
    <cellStyle name="Normal_Bonsaverportfolio 2 2" xfId="9" xr:uid="{B230F125-946A-4355-A703-BDCE519B5871}"/>
    <cellStyle name="Normal_Halfyearly_Debtholdings_30092011 2" xfId="13" xr:uid="{2021AF3F-92D0-46B6-85E6-6D34A47AFFE9}"/>
    <cellStyle name="Normal_Holdingotherschemes new" xfId="14" xr:uid="{46271188-CCED-4E95-BED3-37E7AC21F5BE}"/>
    <cellStyle name="Percent" xfId="15" builtinId="5"/>
    <cellStyle name="Percent 2" xfId="19" xr:uid="{DB5D8A9B-0D95-4E53-BBEE-8C0E0A92586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2.jpeg"/></Relationships>
</file>

<file path=xl/drawings/_rels/drawing2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jpeg"/></Relationships>
</file>

<file path=xl/drawings/_rels/drawing25.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6.jpeg"/></Relationships>
</file>

<file path=xl/drawings/_rels/drawing2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jpeg"/></Relationships>
</file>

<file path=xl/drawings/_rels/drawing2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0.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3.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4.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5.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6.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4.png"/></Relationships>
</file>

<file path=xl/drawings/_rels/drawing37.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drawing38.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9</xdr:col>
      <xdr:colOff>0</xdr:colOff>
      <xdr:row>2</xdr:row>
      <xdr:rowOff>19050</xdr:rowOff>
    </xdr:from>
    <xdr:to>
      <xdr:col>14</xdr:col>
      <xdr:colOff>235942</xdr:colOff>
      <xdr:row>10</xdr:row>
      <xdr:rowOff>66675</xdr:rowOff>
    </xdr:to>
    <xdr:pic>
      <xdr:nvPicPr>
        <xdr:cNvPr id="2" name="Picture 1">
          <a:extLst>
            <a:ext uri="{FF2B5EF4-FFF2-40B4-BE49-F238E27FC236}">
              <a16:creationId xmlns:a16="http://schemas.microsoft.com/office/drawing/2014/main" id="{EB100E70-1C2A-4847-B611-592B6C30CD09}"/>
            </a:ext>
          </a:extLst>
        </xdr:cNvPr>
        <xdr:cNvPicPr>
          <a:picLocks noChangeAspect="1"/>
        </xdr:cNvPicPr>
      </xdr:nvPicPr>
      <xdr:blipFill>
        <a:blip xmlns:r="http://schemas.openxmlformats.org/officeDocument/2006/relationships" r:embed="rId1"/>
        <a:stretch>
          <a:fillRect/>
        </a:stretch>
      </xdr:blipFill>
      <xdr:spPr>
        <a:xfrm>
          <a:off x="10172700" y="457200"/>
          <a:ext cx="3283942" cy="2009775"/>
        </a:xfrm>
        <a:prstGeom prst="rect">
          <a:avLst/>
        </a:prstGeom>
      </xdr:spPr>
    </xdr:pic>
    <xdr:clientData/>
  </xdr:twoCellAnchor>
  <xdr:twoCellAnchor editAs="oneCell">
    <xdr:from>
      <xdr:col>8</xdr:col>
      <xdr:colOff>561974</xdr:colOff>
      <xdr:row>12</xdr:row>
      <xdr:rowOff>180975</xdr:rowOff>
    </xdr:from>
    <xdr:to>
      <xdr:col>14</xdr:col>
      <xdr:colOff>285749</xdr:colOff>
      <xdr:row>18</xdr:row>
      <xdr:rowOff>638175</xdr:rowOff>
    </xdr:to>
    <xdr:pic>
      <xdr:nvPicPr>
        <xdr:cNvPr id="3" name="Picture 2">
          <a:extLst>
            <a:ext uri="{FF2B5EF4-FFF2-40B4-BE49-F238E27FC236}">
              <a16:creationId xmlns:a16="http://schemas.microsoft.com/office/drawing/2014/main" id="{D2C796FF-EB72-4A9D-B1E5-75DB5DAECDC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4" y="3152775"/>
          <a:ext cx="3381375"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561975</xdr:colOff>
      <xdr:row>15</xdr:row>
      <xdr:rowOff>161925</xdr:rowOff>
    </xdr:from>
    <xdr:to>
      <xdr:col>14</xdr:col>
      <xdr:colOff>228600</xdr:colOff>
      <xdr:row>25</xdr:row>
      <xdr:rowOff>219075</xdr:rowOff>
    </xdr:to>
    <xdr:pic>
      <xdr:nvPicPr>
        <xdr:cNvPr id="2" name="Picture 1">
          <a:extLst>
            <a:ext uri="{FF2B5EF4-FFF2-40B4-BE49-F238E27FC236}">
              <a16:creationId xmlns:a16="http://schemas.microsoft.com/office/drawing/2014/main" id="{241303D1-CADF-41FE-B65A-C0D6AECE703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0125075" y="3171825"/>
          <a:ext cx="332422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609599</xdr:colOff>
      <xdr:row>3</xdr:row>
      <xdr:rowOff>0</xdr:rowOff>
    </xdr:from>
    <xdr:to>
      <xdr:col>14</xdr:col>
      <xdr:colOff>180975</xdr:colOff>
      <xdr:row>12</xdr:row>
      <xdr:rowOff>19050</xdr:rowOff>
    </xdr:to>
    <xdr:pic>
      <xdr:nvPicPr>
        <xdr:cNvPr id="3" name="Picture 2">
          <a:extLst>
            <a:ext uri="{FF2B5EF4-FFF2-40B4-BE49-F238E27FC236}">
              <a16:creationId xmlns:a16="http://schemas.microsoft.com/office/drawing/2014/main" id="{FBE99E79-57B9-4A47-970B-1E64A5E1D50D}"/>
            </a:ext>
          </a:extLst>
        </xdr:cNvPr>
        <xdr:cNvPicPr>
          <a:picLocks noChangeAspect="1"/>
        </xdr:cNvPicPr>
      </xdr:nvPicPr>
      <xdr:blipFill>
        <a:blip xmlns:r="http://schemas.openxmlformats.org/officeDocument/2006/relationships" r:embed="rId2"/>
        <a:stretch>
          <a:fillRect/>
        </a:stretch>
      </xdr:blipFill>
      <xdr:spPr>
        <a:xfrm>
          <a:off x="10172699" y="704850"/>
          <a:ext cx="3228976" cy="19812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264517</xdr:colOff>
      <xdr:row>10</xdr:row>
      <xdr:rowOff>314325</xdr:rowOff>
    </xdr:to>
    <xdr:pic>
      <xdr:nvPicPr>
        <xdr:cNvPr id="2" name="Picture 1">
          <a:extLst>
            <a:ext uri="{FF2B5EF4-FFF2-40B4-BE49-F238E27FC236}">
              <a16:creationId xmlns:a16="http://schemas.microsoft.com/office/drawing/2014/main" id="{FF3F4A66-24E2-4614-9953-28B3C9FB3518}"/>
            </a:ext>
          </a:extLst>
        </xdr:cNvPr>
        <xdr:cNvPicPr>
          <a:picLocks noChangeAspect="1"/>
        </xdr:cNvPicPr>
      </xdr:nvPicPr>
      <xdr:blipFill>
        <a:blip xmlns:r="http://schemas.openxmlformats.org/officeDocument/2006/relationships" r:embed="rId1"/>
        <a:stretch>
          <a:fillRect/>
        </a:stretch>
      </xdr:blipFill>
      <xdr:spPr>
        <a:xfrm>
          <a:off x="10372725" y="704850"/>
          <a:ext cx="3312517" cy="2009775"/>
        </a:xfrm>
        <a:prstGeom prst="rect">
          <a:avLst/>
        </a:prstGeom>
      </xdr:spPr>
    </xdr:pic>
    <xdr:clientData/>
  </xdr:twoCellAnchor>
  <xdr:twoCellAnchor editAs="oneCell">
    <xdr:from>
      <xdr:col>8</xdr:col>
      <xdr:colOff>695326</xdr:colOff>
      <xdr:row>12</xdr:row>
      <xdr:rowOff>190500</xdr:rowOff>
    </xdr:from>
    <xdr:to>
      <xdr:col>14</xdr:col>
      <xdr:colOff>267162</xdr:colOff>
      <xdr:row>19</xdr:row>
      <xdr:rowOff>9525</xdr:rowOff>
    </xdr:to>
    <xdr:pic>
      <xdr:nvPicPr>
        <xdr:cNvPr id="3" name="Picture 2">
          <a:extLst>
            <a:ext uri="{FF2B5EF4-FFF2-40B4-BE49-F238E27FC236}">
              <a16:creationId xmlns:a16="http://schemas.microsoft.com/office/drawing/2014/main" id="{951670DA-EAA7-4A34-8091-7C20DFDD235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58426" y="3314700"/>
          <a:ext cx="3458036"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685801</xdr:colOff>
      <xdr:row>22</xdr:row>
      <xdr:rowOff>57151</xdr:rowOff>
    </xdr:from>
    <xdr:to>
      <xdr:col>14</xdr:col>
      <xdr:colOff>323850</xdr:colOff>
      <xdr:row>27</xdr:row>
      <xdr:rowOff>351619</xdr:rowOff>
    </xdr:to>
    <xdr:pic>
      <xdr:nvPicPr>
        <xdr:cNvPr id="4" name="Picture 3">
          <a:extLst>
            <a:ext uri="{FF2B5EF4-FFF2-40B4-BE49-F238E27FC236}">
              <a16:creationId xmlns:a16="http://schemas.microsoft.com/office/drawing/2014/main" id="{8D0887C8-B4A4-4BC4-A629-5EE893FB5F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48901" y="5886451"/>
          <a:ext cx="3524249" cy="179941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552450</xdr:colOff>
      <xdr:row>2</xdr:row>
      <xdr:rowOff>123825</xdr:rowOff>
    </xdr:from>
    <xdr:to>
      <xdr:col>14</xdr:col>
      <xdr:colOff>178792</xdr:colOff>
      <xdr:row>10</xdr:row>
      <xdr:rowOff>171450</xdr:rowOff>
    </xdr:to>
    <xdr:pic>
      <xdr:nvPicPr>
        <xdr:cNvPr id="2" name="Picture 1">
          <a:extLst>
            <a:ext uri="{FF2B5EF4-FFF2-40B4-BE49-F238E27FC236}">
              <a16:creationId xmlns:a16="http://schemas.microsoft.com/office/drawing/2014/main" id="{D9F38586-D19E-41C4-B925-7190EF18C1BA}"/>
            </a:ext>
          </a:extLst>
        </xdr:cNvPr>
        <xdr:cNvPicPr>
          <a:picLocks noChangeAspect="1"/>
        </xdr:cNvPicPr>
      </xdr:nvPicPr>
      <xdr:blipFill>
        <a:blip xmlns:r="http://schemas.openxmlformats.org/officeDocument/2006/relationships" r:embed="rId1"/>
        <a:stretch>
          <a:fillRect/>
        </a:stretch>
      </xdr:blipFill>
      <xdr:spPr>
        <a:xfrm>
          <a:off x="10115550" y="561975"/>
          <a:ext cx="3283942" cy="2009775"/>
        </a:xfrm>
        <a:prstGeom prst="rect">
          <a:avLst/>
        </a:prstGeom>
      </xdr:spPr>
    </xdr:pic>
    <xdr:clientData/>
  </xdr:twoCellAnchor>
  <xdr:twoCellAnchor editAs="oneCell">
    <xdr:from>
      <xdr:col>8</xdr:col>
      <xdr:colOff>485775</xdr:colOff>
      <xdr:row>13</xdr:row>
      <xdr:rowOff>76200</xdr:rowOff>
    </xdr:from>
    <xdr:to>
      <xdr:col>14</xdr:col>
      <xdr:colOff>180975</xdr:colOff>
      <xdr:row>20</xdr:row>
      <xdr:rowOff>247650</xdr:rowOff>
    </xdr:to>
    <xdr:pic>
      <xdr:nvPicPr>
        <xdr:cNvPr id="3" name="Picture 2">
          <a:extLst>
            <a:ext uri="{FF2B5EF4-FFF2-40B4-BE49-F238E27FC236}">
              <a16:creationId xmlns:a16="http://schemas.microsoft.com/office/drawing/2014/main" id="{6C5518E6-DD50-4110-9F91-41EFADD3BAF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48875" y="3409950"/>
          <a:ext cx="3352800"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8</xdr:col>
      <xdr:colOff>552450</xdr:colOff>
      <xdr:row>2</xdr:row>
      <xdr:rowOff>76200</xdr:rowOff>
    </xdr:from>
    <xdr:to>
      <xdr:col>14</xdr:col>
      <xdr:colOff>178792</xdr:colOff>
      <xdr:row>10</xdr:row>
      <xdr:rowOff>123825</xdr:rowOff>
    </xdr:to>
    <xdr:pic>
      <xdr:nvPicPr>
        <xdr:cNvPr id="2" name="Picture 1">
          <a:extLst>
            <a:ext uri="{FF2B5EF4-FFF2-40B4-BE49-F238E27FC236}">
              <a16:creationId xmlns:a16="http://schemas.microsoft.com/office/drawing/2014/main" id="{A2955932-FE37-4BE9-AE68-603820D87531}"/>
            </a:ext>
          </a:extLst>
        </xdr:cNvPr>
        <xdr:cNvPicPr>
          <a:picLocks noChangeAspect="1"/>
        </xdr:cNvPicPr>
      </xdr:nvPicPr>
      <xdr:blipFill>
        <a:blip xmlns:r="http://schemas.openxmlformats.org/officeDocument/2006/relationships" r:embed="rId1"/>
        <a:stretch>
          <a:fillRect/>
        </a:stretch>
      </xdr:blipFill>
      <xdr:spPr>
        <a:xfrm>
          <a:off x="10115550" y="514350"/>
          <a:ext cx="3283942" cy="2009775"/>
        </a:xfrm>
        <a:prstGeom prst="rect">
          <a:avLst/>
        </a:prstGeom>
      </xdr:spPr>
    </xdr:pic>
    <xdr:clientData/>
  </xdr:twoCellAnchor>
  <xdr:twoCellAnchor editAs="oneCell">
    <xdr:from>
      <xdr:col>8</xdr:col>
      <xdr:colOff>514350</xdr:colOff>
      <xdr:row>13</xdr:row>
      <xdr:rowOff>28576</xdr:rowOff>
    </xdr:from>
    <xdr:to>
      <xdr:col>14</xdr:col>
      <xdr:colOff>161925</xdr:colOff>
      <xdr:row>20</xdr:row>
      <xdr:rowOff>180976</xdr:rowOff>
    </xdr:to>
    <xdr:pic>
      <xdr:nvPicPr>
        <xdr:cNvPr id="3" name="Picture 2">
          <a:extLst>
            <a:ext uri="{FF2B5EF4-FFF2-40B4-BE49-F238E27FC236}">
              <a16:creationId xmlns:a16="http://schemas.microsoft.com/office/drawing/2014/main" id="{BE9E7A60-7711-4780-8101-AEF8BCB60E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77450" y="3362326"/>
          <a:ext cx="33051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0</xdr:colOff>
      <xdr:row>2</xdr:row>
      <xdr:rowOff>142875</xdr:rowOff>
    </xdr:from>
    <xdr:to>
      <xdr:col>14</xdr:col>
      <xdr:colOff>235942</xdr:colOff>
      <xdr:row>10</xdr:row>
      <xdr:rowOff>190500</xdr:rowOff>
    </xdr:to>
    <xdr:pic>
      <xdr:nvPicPr>
        <xdr:cNvPr id="2" name="Picture 1">
          <a:extLst>
            <a:ext uri="{FF2B5EF4-FFF2-40B4-BE49-F238E27FC236}">
              <a16:creationId xmlns:a16="http://schemas.microsoft.com/office/drawing/2014/main" id="{12511D2D-C871-4D64-B22F-526D1F335C88}"/>
            </a:ext>
          </a:extLst>
        </xdr:cNvPr>
        <xdr:cNvPicPr>
          <a:picLocks noChangeAspect="1"/>
        </xdr:cNvPicPr>
      </xdr:nvPicPr>
      <xdr:blipFill>
        <a:blip xmlns:r="http://schemas.openxmlformats.org/officeDocument/2006/relationships" r:embed="rId1"/>
        <a:stretch>
          <a:fillRect/>
        </a:stretch>
      </xdr:blipFill>
      <xdr:spPr>
        <a:xfrm>
          <a:off x="10172700" y="581025"/>
          <a:ext cx="3283942" cy="2009775"/>
        </a:xfrm>
        <a:prstGeom prst="rect">
          <a:avLst/>
        </a:prstGeom>
      </xdr:spPr>
    </xdr:pic>
    <xdr:clientData/>
  </xdr:twoCellAnchor>
  <xdr:twoCellAnchor editAs="oneCell">
    <xdr:from>
      <xdr:col>9</xdr:col>
      <xdr:colOff>0</xdr:colOff>
      <xdr:row>13</xdr:row>
      <xdr:rowOff>152400</xdr:rowOff>
    </xdr:from>
    <xdr:to>
      <xdr:col>14</xdr:col>
      <xdr:colOff>225721</xdr:colOff>
      <xdr:row>19</xdr:row>
      <xdr:rowOff>28575</xdr:rowOff>
    </xdr:to>
    <xdr:pic>
      <xdr:nvPicPr>
        <xdr:cNvPr id="3" name="Picture 2">
          <a:extLst>
            <a:ext uri="{FF2B5EF4-FFF2-40B4-BE49-F238E27FC236}">
              <a16:creationId xmlns:a16="http://schemas.microsoft.com/office/drawing/2014/main" id="{C121D4CF-202D-4EFF-B841-3282F0BFC6D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181350"/>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590550</xdr:colOff>
      <xdr:row>22</xdr:row>
      <xdr:rowOff>19050</xdr:rowOff>
    </xdr:from>
    <xdr:ext cx="3273721" cy="1809750"/>
    <xdr:pic>
      <xdr:nvPicPr>
        <xdr:cNvPr id="4" name="Picture 3">
          <a:extLst>
            <a:ext uri="{FF2B5EF4-FFF2-40B4-BE49-F238E27FC236}">
              <a16:creationId xmlns:a16="http://schemas.microsoft.com/office/drawing/2014/main" id="{BF2255F6-A114-4461-A2A3-046C5DE6FE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5543550"/>
          <a:ext cx="3273721"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7.xml><?xml version="1.0" encoding="utf-8"?>
<xdr:wsDr xmlns:xdr="http://schemas.openxmlformats.org/drawingml/2006/spreadsheetDrawing" xmlns:a="http://schemas.openxmlformats.org/drawingml/2006/main">
  <xdr:twoCellAnchor editAs="oneCell">
    <xdr:from>
      <xdr:col>8</xdr:col>
      <xdr:colOff>600075</xdr:colOff>
      <xdr:row>2</xdr:row>
      <xdr:rowOff>123825</xdr:rowOff>
    </xdr:from>
    <xdr:to>
      <xdr:col>14</xdr:col>
      <xdr:colOff>200025</xdr:colOff>
      <xdr:row>10</xdr:row>
      <xdr:rowOff>19050</xdr:rowOff>
    </xdr:to>
    <xdr:pic>
      <xdr:nvPicPr>
        <xdr:cNvPr id="2" name="Picture 1">
          <a:extLst>
            <a:ext uri="{FF2B5EF4-FFF2-40B4-BE49-F238E27FC236}">
              <a16:creationId xmlns:a16="http://schemas.microsoft.com/office/drawing/2014/main" id="{B18E23DC-19D4-4B5D-B236-1A011BB5007A}"/>
            </a:ext>
          </a:extLst>
        </xdr:cNvPr>
        <xdr:cNvPicPr>
          <a:picLocks noChangeAspect="1"/>
        </xdr:cNvPicPr>
      </xdr:nvPicPr>
      <xdr:blipFill>
        <a:blip xmlns:r="http://schemas.openxmlformats.org/officeDocument/2006/relationships" r:embed="rId1"/>
        <a:stretch>
          <a:fillRect/>
        </a:stretch>
      </xdr:blipFill>
      <xdr:spPr>
        <a:xfrm>
          <a:off x="10163175" y="561975"/>
          <a:ext cx="3257550" cy="2009775"/>
        </a:xfrm>
        <a:prstGeom prst="rect">
          <a:avLst/>
        </a:prstGeom>
      </xdr:spPr>
    </xdr:pic>
    <xdr:clientData/>
  </xdr:twoCellAnchor>
  <xdr:twoCellAnchor editAs="oneCell">
    <xdr:from>
      <xdr:col>8</xdr:col>
      <xdr:colOff>561975</xdr:colOff>
      <xdr:row>13</xdr:row>
      <xdr:rowOff>161925</xdr:rowOff>
    </xdr:from>
    <xdr:to>
      <xdr:col>14</xdr:col>
      <xdr:colOff>228600</xdr:colOff>
      <xdr:row>21</xdr:row>
      <xdr:rowOff>95250</xdr:rowOff>
    </xdr:to>
    <xdr:pic>
      <xdr:nvPicPr>
        <xdr:cNvPr id="3" name="Picture 2">
          <a:extLst>
            <a:ext uri="{FF2B5EF4-FFF2-40B4-BE49-F238E27FC236}">
              <a16:creationId xmlns:a16="http://schemas.microsoft.com/office/drawing/2014/main" id="{AB684C58-A0EE-4227-A934-25819BF09D5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495675"/>
          <a:ext cx="3324225"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9525</xdr:colOff>
      <xdr:row>2</xdr:row>
      <xdr:rowOff>66675</xdr:rowOff>
    </xdr:from>
    <xdr:to>
      <xdr:col>14</xdr:col>
      <xdr:colOff>171450</xdr:colOff>
      <xdr:row>9</xdr:row>
      <xdr:rowOff>171450</xdr:rowOff>
    </xdr:to>
    <xdr:pic>
      <xdr:nvPicPr>
        <xdr:cNvPr id="2" name="Picture 1">
          <a:extLst>
            <a:ext uri="{FF2B5EF4-FFF2-40B4-BE49-F238E27FC236}">
              <a16:creationId xmlns:a16="http://schemas.microsoft.com/office/drawing/2014/main" id="{9BBCAD6C-B478-41D7-97FC-90B2DA45E682}"/>
            </a:ext>
          </a:extLst>
        </xdr:cNvPr>
        <xdr:cNvPicPr>
          <a:picLocks noChangeAspect="1"/>
        </xdr:cNvPicPr>
      </xdr:nvPicPr>
      <xdr:blipFill>
        <a:blip xmlns:r="http://schemas.openxmlformats.org/officeDocument/2006/relationships" r:embed="rId1"/>
        <a:stretch>
          <a:fillRect/>
        </a:stretch>
      </xdr:blipFill>
      <xdr:spPr>
        <a:xfrm>
          <a:off x="10182225" y="504825"/>
          <a:ext cx="3209925" cy="2009775"/>
        </a:xfrm>
        <a:prstGeom prst="rect">
          <a:avLst/>
        </a:prstGeom>
      </xdr:spPr>
    </xdr:pic>
    <xdr:clientData/>
  </xdr:twoCellAnchor>
  <xdr:twoCellAnchor editAs="oneCell">
    <xdr:from>
      <xdr:col>8</xdr:col>
      <xdr:colOff>504825</xdr:colOff>
      <xdr:row>13</xdr:row>
      <xdr:rowOff>95250</xdr:rowOff>
    </xdr:from>
    <xdr:to>
      <xdr:col>14</xdr:col>
      <xdr:colOff>120946</xdr:colOff>
      <xdr:row>21</xdr:row>
      <xdr:rowOff>57150</xdr:rowOff>
    </xdr:to>
    <xdr:pic>
      <xdr:nvPicPr>
        <xdr:cNvPr id="3" name="Picture 2">
          <a:extLst>
            <a:ext uri="{FF2B5EF4-FFF2-40B4-BE49-F238E27FC236}">
              <a16:creationId xmlns:a16="http://schemas.microsoft.com/office/drawing/2014/main" id="{B1DBBEA6-EE5C-4BB9-8F9C-2C2DBE8231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5" y="3276600"/>
          <a:ext cx="3273721"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8</xdr:col>
      <xdr:colOff>552449</xdr:colOff>
      <xdr:row>2</xdr:row>
      <xdr:rowOff>57150</xdr:rowOff>
    </xdr:from>
    <xdr:to>
      <xdr:col>14</xdr:col>
      <xdr:colOff>152400</xdr:colOff>
      <xdr:row>9</xdr:row>
      <xdr:rowOff>161925</xdr:rowOff>
    </xdr:to>
    <xdr:pic>
      <xdr:nvPicPr>
        <xdr:cNvPr id="2" name="Picture 1">
          <a:extLst>
            <a:ext uri="{FF2B5EF4-FFF2-40B4-BE49-F238E27FC236}">
              <a16:creationId xmlns:a16="http://schemas.microsoft.com/office/drawing/2014/main" id="{3CD782DC-D125-47D5-B843-F371D6D0A816}"/>
            </a:ext>
          </a:extLst>
        </xdr:cNvPr>
        <xdr:cNvPicPr>
          <a:picLocks noChangeAspect="1"/>
        </xdr:cNvPicPr>
      </xdr:nvPicPr>
      <xdr:blipFill>
        <a:blip xmlns:r="http://schemas.openxmlformats.org/officeDocument/2006/relationships" r:embed="rId1"/>
        <a:stretch>
          <a:fillRect/>
        </a:stretch>
      </xdr:blipFill>
      <xdr:spPr>
        <a:xfrm>
          <a:off x="10115549" y="495300"/>
          <a:ext cx="3257551" cy="2009775"/>
        </a:xfrm>
        <a:prstGeom prst="rect">
          <a:avLst/>
        </a:prstGeom>
      </xdr:spPr>
    </xdr:pic>
    <xdr:clientData/>
  </xdr:twoCellAnchor>
  <xdr:twoCellAnchor editAs="oneCell">
    <xdr:from>
      <xdr:col>8</xdr:col>
      <xdr:colOff>542925</xdr:colOff>
      <xdr:row>13</xdr:row>
      <xdr:rowOff>133350</xdr:rowOff>
    </xdr:from>
    <xdr:to>
      <xdr:col>14</xdr:col>
      <xdr:colOff>161925</xdr:colOff>
      <xdr:row>21</xdr:row>
      <xdr:rowOff>76200</xdr:rowOff>
    </xdr:to>
    <xdr:pic>
      <xdr:nvPicPr>
        <xdr:cNvPr id="3" name="Picture 2">
          <a:extLst>
            <a:ext uri="{FF2B5EF4-FFF2-40B4-BE49-F238E27FC236}">
              <a16:creationId xmlns:a16="http://schemas.microsoft.com/office/drawing/2014/main" id="{005E28EE-CD0D-443D-A75F-0737535ADB6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314700"/>
          <a:ext cx="327660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8</xdr:col>
      <xdr:colOff>542925</xdr:colOff>
      <xdr:row>2</xdr:row>
      <xdr:rowOff>85725</xdr:rowOff>
    </xdr:from>
    <xdr:to>
      <xdr:col>14</xdr:col>
      <xdr:colOff>169267</xdr:colOff>
      <xdr:row>9</xdr:row>
      <xdr:rowOff>190500</xdr:rowOff>
    </xdr:to>
    <xdr:pic>
      <xdr:nvPicPr>
        <xdr:cNvPr id="2" name="Picture 1">
          <a:extLst>
            <a:ext uri="{FF2B5EF4-FFF2-40B4-BE49-F238E27FC236}">
              <a16:creationId xmlns:a16="http://schemas.microsoft.com/office/drawing/2014/main" id="{2631600F-7609-4AA6-A7E7-58930F212B9B}"/>
            </a:ext>
          </a:extLst>
        </xdr:cNvPr>
        <xdr:cNvPicPr>
          <a:picLocks noChangeAspect="1"/>
        </xdr:cNvPicPr>
      </xdr:nvPicPr>
      <xdr:blipFill>
        <a:blip xmlns:r="http://schemas.openxmlformats.org/officeDocument/2006/relationships" r:embed="rId1"/>
        <a:stretch>
          <a:fillRect/>
        </a:stretch>
      </xdr:blipFill>
      <xdr:spPr>
        <a:xfrm>
          <a:off x="10106025" y="523875"/>
          <a:ext cx="3283942" cy="2009775"/>
        </a:xfrm>
        <a:prstGeom prst="rect">
          <a:avLst/>
        </a:prstGeom>
      </xdr:spPr>
    </xdr:pic>
    <xdr:clientData/>
  </xdr:twoCellAnchor>
  <xdr:twoCellAnchor editAs="oneCell">
    <xdr:from>
      <xdr:col>8</xdr:col>
      <xdr:colOff>542925</xdr:colOff>
      <xdr:row>13</xdr:row>
      <xdr:rowOff>76200</xdr:rowOff>
    </xdr:from>
    <xdr:to>
      <xdr:col>14</xdr:col>
      <xdr:colOff>159046</xdr:colOff>
      <xdr:row>20</xdr:row>
      <xdr:rowOff>200025</xdr:rowOff>
    </xdr:to>
    <xdr:pic>
      <xdr:nvPicPr>
        <xdr:cNvPr id="3" name="Picture 2">
          <a:extLst>
            <a:ext uri="{FF2B5EF4-FFF2-40B4-BE49-F238E27FC236}">
              <a16:creationId xmlns:a16="http://schemas.microsoft.com/office/drawing/2014/main" id="{4A1DFA7F-023C-424C-BDC9-30C53091980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06025" y="3257550"/>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8</xdr:col>
      <xdr:colOff>504825</xdr:colOff>
      <xdr:row>2</xdr:row>
      <xdr:rowOff>47625</xdr:rowOff>
    </xdr:from>
    <xdr:to>
      <xdr:col>14</xdr:col>
      <xdr:colOff>131167</xdr:colOff>
      <xdr:row>9</xdr:row>
      <xdr:rowOff>152400</xdr:rowOff>
    </xdr:to>
    <xdr:pic>
      <xdr:nvPicPr>
        <xdr:cNvPr id="2" name="Picture 1">
          <a:extLst>
            <a:ext uri="{FF2B5EF4-FFF2-40B4-BE49-F238E27FC236}">
              <a16:creationId xmlns:a16="http://schemas.microsoft.com/office/drawing/2014/main" id="{2F1C0103-1528-4E4D-8342-241B2FF620FA}"/>
            </a:ext>
          </a:extLst>
        </xdr:cNvPr>
        <xdr:cNvPicPr>
          <a:picLocks noChangeAspect="1"/>
        </xdr:cNvPicPr>
      </xdr:nvPicPr>
      <xdr:blipFill>
        <a:blip xmlns:r="http://schemas.openxmlformats.org/officeDocument/2006/relationships" r:embed="rId1"/>
        <a:stretch>
          <a:fillRect/>
        </a:stretch>
      </xdr:blipFill>
      <xdr:spPr>
        <a:xfrm>
          <a:off x="10067925" y="485775"/>
          <a:ext cx="3283942" cy="2009775"/>
        </a:xfrm>
        <a:prstGeom prst="rect">
          <a:avLst/>
        </a:prstGeom>
      </xdr:spPr>
    </xdr:pic>
    <xdr:clientData/>
  </xdr:twoCellAnchor>
  <xdr:twoCellAnchor editAs="oneCell">
    <xdr:from>
      <xdr:col>8</xdr:col>
      <xdr:colOff>523875</xdr:colOff>
      <xdr:row>13</xdr:row>
      <xdr:rowOff>76200</xdr:rowOff>
    </xdr:from>
    <xdr:to>
      <xdr:col>14</xdr:col>
      <xdr:colOff>139996</xdr:colOff>
      <xdr:row>20</xdr:row>
      <xdr:rowOff>200025</xdr:rowOff>
    </xdr:to>
    <xdr:pic>
      <xdr:nvPicPr>
        <xdr:cNvPr id="3" name="Picture 2">
          <a:extLst>
            <a:ext uri="{FF2B5EF4-FFF2-40B4-BE49-F238E27FC236}">
              <a16:creationId xmlns:a16="http://schemas.microsoft.com/office/drawing/2014/main" id="{B549C7AE-06B4-4472-AC02-D5283606137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86975" y="3257550"/>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8</xdr:col>
      <xdr:colOff>514350</xdr:colOff>
      <xdr:row>2</xdr:row>
      <xdr:rowOff>66675</xdr:rowOff>
    </xdr:from>
    <xdr:to>
      <xdr:col>14</xdr:col>
      <xdr:colOff>140692</xdr:colOff>
      <xdr:row>9</xdr:row>
      <xdr:rowOff>323850</xdr:rowOff>
    </xdr:to>
    <xdr:pic>
      <xdr:nvPicPr>
        <xdr:cNvPr id="2" name="Picture 1">
          <a:extLst>
            <a:ext uri="{FF2B5EF4-FFF2-40B4-BE49-F238E27FC236}">
              <a16:creationId xmlns:a16="http://schemas.microsoft.com/office/drawing/2014/main" id="{27157E03-A4DC-4FB9-A057-9855D5720154}"/>
            </a:ext>
          </a:extLst>
        </xdr:cNvPr>
        <xdr:cNvPicPr>
          <a:picLocks noChangeAspect="1"/>
        </xdr:cNvPicPr>
      </xdr:nvPicPr>
      <xdr:blipFill>
        <a:blip xmlns:r="http://schemas.openxmlformats.org/officeDocument/2006/relationships" r:embed="rId1"/>
        <a:stretch>
          <a:fillRect/>
        </a:stretch>
      </xdr:blipFill>
      <xdr:spPr>
        <a:xfrm>
          <a:off x="10077450" y="504825"/>
          <a:ext cx="3283942" cy="2009775"/>
        </a:xfrm>
        <a:prstGeom prst="rect">
          <a:avLst/>
        </a:prstGeom>
      </xdr:spPr>
    </xdr:pic>
    <xdr:clientData/>
  </xdr:twoCellAnchor>
  <xdr:twoCellAnchor editAs="oneCell">
    <xdr:from>
      <xdr:col>8</xdr:col>
      <xdr:colOff>428625</xdr:colOff>
      <xdr:row>14</xdr:row>
      <xdr:rowOff>133350</xdr:rowOff>
    </xdr:from>
    <xdr:to>
      <xdr:col>14</xdr:col>
      <xdr:colOff>44746</xdr:colOff>
      <xdr:row>22</xdr:row>
      <xdr:rowOff>57150</xdr:rowOff>
    </xdr:to>
    <xdr:pic>
      <xdr:nvPicPr>
        <xdr:cNvPr id="3" name="Picture 2">
          <a:extLst>
            <a:ext uri="{FF2B5EF4-FFF2-40B4-BE49-F238E27FC236}">
              <a16:creationId xmlns:a16="http://schemas.microsoft.com/office/drawing/2014/main" id="{0F170778-254C-442D-8F9B-ECB39E960AA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9991725" y="3524250"/>
          <a:ext cx="3273721"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8</xdr:col>
      <xdr:colOff>523875</xdr:colOff>
      <xdr:row>2</xdr:row>
      <xdr:rowOff>76200</xdr:rowOff>
    </xdr:from>
    <xdr:to>
      <xdr:col>14</xdr:col>
      <xdr:colOff>150217</xdr:colOff>
      <xdr:row>9</xdr:row>
      <xdr:rowOff>180975</xdr:rowOff>
    </xdr:to>
    <xdr:pic>
      <xdr:nvPicPr>
        <xdr:cNvPr id="2" name="Picture 1">
          <a:extLst>
            <a:ext uri="{FF2B5EF4-FFF2-40B4-BE49-F238E27FC236}">
              <a16:creationId xmlns:a16="http://schemas.microsoft.com/office/drawing/2014/main" id="{89B70472-CADB-4E3A-8E35-BB56A211D31A}"/>
            </a:ext>
          </a:extLst>
        </xdr:cNvPr>
        <xdr:cNvPicPr>
          <a:picLocks noChangeAspect="1"/>
        </xdr:cNvPicPr>
      </xdr:nvPicPr>
      <xdr:blipFill>
        <a:blip xmlns:r="http://schemas.openxmlformats.org/officeDocument/2006/relationships" r:embed="rId1"/>
        <a:stretch>
          <a:fillRect/>
        </a:stretch>
      </xdr:blipFill>
      <xdr:spPr>
        <a:xfrm>
          <a:off x="10086975" y="514350"/>
          <a:ext cx="3283942" cy="2009775"/>
        </a:xfrm>
        <a:prstGeom prst="rect">
          <a:avLst/>
        </a:prstGeom>
      </xdr:spPr>
    </xdr:pic>
    <xdr:clientData/>
  </xdr:twoCellAnchor>
  <xdr:twoCellAnchor editAs="oneCell">
    <xdr:from>
      <xdr:col>9</xdr:col>
      <xdr:colOff>0</xdr:colOff>
      <xdr:row>13</xdr:row>
      <xdr:rowOff>0</xdr:rowOff>
    </xdr:from>
    <xdr:to>
      <xdr:col>14</xdr:col>
      <xdr:colOff>285750</xdr:colOff>
      <xdr:row>20</xdr:row>
      <xdr:rowOff>152400</xdr:rowOff>
    </xdr:to>
    <xdr:pic>
      <xdr:nvPicPr>
        <xdr:cNvPr id="3" name="Picture 2">
          <a:extLst>
            <a:ext uri="{FF2B5EF4-FFF2-40B4-BE49-F238E27FC236}">
              <a16:creationId xmlns:a16="http://schemas.microsoft.com/office/drawing/2014/main" id="{2BCA3B2A-8E6E-44D5-A111-C5DE31DE886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181350"/>
          <a:ext cx="333375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226417</xdr:colOff>
      <xdr:row>10</xdr:row>
      <xdr:rowOff>28575</xdr:rowOff>
    </xdr:to>
    <xdr:pic>
      <xdr:nvPicPr>
        <xdr:cNvPr id="2" name="Picture 1">
          <a:extLst>
            <a:ext uri="{FF2B5EF4-FFF2-40B4-BE49-F238E27FC236}">
              <a16:creationId xmlns:a16="http://schemas.microsoft.com/office/drawing/2014/main" id="{F78F56D6-B060-4786-BE7E-3EEE4F4ED331}"/>
            </a:ext>
          </a:extLst>
        </xdr:cNvPr>
        <xdr:cNvPicPr>
          <a:picLocks noChangeAspect="1"/>
        </xdr:cNvPicPr>
      </xdr:nvPicPr>
      <xdr:blipFill>
        <a:blip xmlns:r="http://schemas.openxmlformats.org/officeDocument/2006/relationships" r:embed="rId1"/>
        <a:stretch>
          <a:fillRect/>
        </a:stretch>
      </xdr:blipFill>
      <xdr:spPr>
        <a:xfrm>
          <a:off x="10163175" y="571500"/>
          <a:ext cx="3283942" cy="2009775"/>
        </a:xfrm>
        <a:prstGeom prst="rect">
          <a:avLst/>
        </a:prstGeom>
      </xdr:spPr>
    </xdr:pic>
    <xdr:clientData/>
  </xdr:twoCellAnchor>
  <xdr:twoCellAnchor editAs="oneCell">
    <xdr:from>
      <xdr:col>8</xdr:col>
      <xdr:colOff>590550</xdr:colOff>
      <xdr:row>12</xdr:row>
      <xdr:rowOff>352426</xdr:rowOff>
    </xdr:from>
    <xdr:to>
      <xdr:col>14</xdr:col>
      <xdr:colOff>206671</xdr:colOff>
      <xdr:row>19</xdr:row>
      <xdr:rowOff>171451</xdr:rowOff>
    </xdr:to>
    <xdr:pic>
      <xdr:nvPicPr>
        <xdr:cNvPr id="3" name="Picture 2">
          <a:extLst>
            <a:ext uri="{FF2B5EF4-FFF2-40B4-BE49-F238E27FC236}">
              <a16:creationId xmlns:a16="http://schemas.microsoft.com/office/drawing/2014/main" id="{055BAF2B-7590-4F72-ADFB-4B7B9436789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952876"/>
          <a:ext cx="3273721"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0</xdr:colOff>
      <xdr:row>3</xdr:row>
      <xdr:rowOff>9525</xdr:rowOff>
    </xdr:from>
    <xdr:to>
      <xdr:col>14</xdr:col>
      <xdr:colOff>235942</xdr:colOff>
      <xdr:row>10</xdr:row>
      <xdr:rowOff>171450</xdr:rowOff>
    </xdr:to>
    <xdr:pic>
      <xdr:nvPicPr>
        <xdr:cNvPr id="2" name="Picture 1">
          <a:extLst>
            <a:ext uri="{FF2B5EF4-FFF2-40B4-BE49-F238E27FC236}">
              <a16:creationId xmlns:a16="http://schemas.microsoft.com/office/drawing/2014/main" id="{EAEB3082-78DE-481C-959D-1E7A71A42325}"/>
            </a:ext>
          </a:extLst>
        </xdr:cNvPr>
        <xdr:cNvPicPr>
          <a:picLocks noChangeAspect="1"/>
        </xdr:cNvPicPr>
      </xdr:nvPicPr>
      <xdr:blipFill>
        <a:blip xmlns:r="http://schemas.openxmlformats.org/officeDocument/2006/relationships" r:embed="rId1"/>
        <a:stretch>
          <a:fillRect/>
        </a:stretch>
      </xdr:blipFill>
      <xdr:spPr>
        <a:xfrm>
          <a:off x="10172700" y="714375"/>
          <a:ext cx="3283942" cy="2009775"/>
        </a:xfrm>
        <a:prstGeom prst="rect">
          <a:avLst/>
        </a:prstGeom>
      </xdr:spPr>
    </xdr:pic>
    <xdr:clientData/>
  </xdr:twoCellAnchor>
  <xdr:twoCellAnchor editAs="oneCell">
    <xdr:from>
      <xdr:col>9</xdr:col>
      <xdr:colOff>0</xdr:colOff>
      <xdr:row>14</xdr:row>
      <xdr:rowOff>0</xdr:rowOff>
    </xdr:from>
    <xdr:to>
      <xdr:col>14</xdr:col>
      <xdr:colOff>285750</xdr:colOff>
      <xdr:row>21</xdr:row>
      <xdr:rowOff>0</xdr:rowOff>
    </xdr:to>
    <xdr:pic>
      <xdr:nvPicPr>
        <xdr:cNvPr id="3" name="Picture 2">
          <a:extLst>
            <a:ext uri="{FF2B5EF4-FFF2-40B4-BE49-F238E27FC236}">
              <a16:creationId xmlns:a16="http://schemas.microsoft.com/office/drawing/2014/main" id="{D3FD74C5-9E06-4F6B-956D-308FFDA7610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543300"/>
          <a:ext cx="3333750"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0</xdr:colOff>
      <xdr:row>3</xdr:row>
      <xdr:rowOff>1</xdr:rowOff>
    </xdr:from>
    <xdr:to>
      <xdr:col>14</xdr:col>
      <xdr:colOff>235942</xdr:colOff>
      <xdr:row>11</xdr:row>
      <xdr:rowOff>76201</xdr:rowOff>
    </xdr:to>
    <xdr:pic>
      <xdr:nvPicPr>
        <xdr:cNvPr id="2" name="Picture 1">
          <a:extLst>
            <a:ext uri="{FF2B5EF4-FFF2-40B4-BE49-F238E27FC236}">
              <a16:creationId xmlns:a16="http://schemas.microsoft.com/office/drawing/2014/main" id="{0C42EECA-636B-4789-982A-EA9991DBBE52}"/>
            </a:ext>
          </a:extLst>
        </xdr:cNvPr>
        <xdr:cNvPicPr>
          <a:picLocks noChangeAspect="1"/>
        </xdr:cNvPicPr>
      </xdr:nvPicPr>
      <xdr:blipFill>
        <a:blip xmlns:r="http://schemas.openxmlformats.org/officeDocument/2006/relationships" r:embed="rId1"/>
        <a:stretch>
          <a:fillRect/>
        </a:stretch>
      </xdr:blipFill>
      <xdr:spPr>
        <a:xfrm>
          <a:off x="10172700" y="704851"/>
          <a:ext cx="3283942" cy="1981200"/>
        </a:xfrm>
        <a:prstGeom prst="rect">
          <a:avLst/>
        </a:prstGeom>
      </xdr:spPr>
    </xdr:pic>
    <xdr:clientData/>
  </xdr:twoCellAnchor>
  <xdr:twoCellAnchor editAs="oneCell">
    <xdr:from>
      <xdr:col>9</xdr:col>
      <xdr:colOff>0</xdr:colOff>
      <xdr:row>14</xdr:row>
      <xdr:rowOff>0</xdr:rowOff>
    </xdr:from>
    <xdr:to>
      <xdr:col>14</xdr:col>
      <xdr:colOff>225721</xdr:colOff>
      <xdr:row>20</xdr:row>
      <xdr:rowOff>180975</xdr:rowOff>
    </xdr:to>
    <xdr:pic>
      <xdr:nvPicPr>
        <xdr:cNvPr id="3" name="Picture 2">
          <a:extLst>
            <a:ext uri="{FF2B5EF4-FFF2-40B4-BE49-F238E27FC236}">
              <a16:creationId xmlns:a16="http://schemas.microsoft.com/office/drawing/2014/main" id="{A3736470-A64C-4F02-9E93-4C405604D5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0"/>
          <a:ext cx="3273721" cy="1743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11</xdr:row>
      <xdr:rowOff>104775</xdr:rowOff>
    </xdr:to>
    <xdr:pic>
      <xdr:nvPicPr>
        <xdr:cNvPr id="2" name="Picture 1">
          <a:extLst>
            <a:ext uri="{FF2B5EF4-FFF2-40B4-BE49-F238E27FC236}">
              <a16:creationId xmlns:a16="http://schemas.microsoft.com/office/drawing/2014/main" id="{010E3BA3-AB7E-49F3-BB20-CDD8A46E25E2}"/>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9</xdr:col>
      <xdr:colOff>0</xdr:colOff>
      <xdr:row>14</xdr:row>
      <xdr:rowOff>0</xdr:rowOff>
    </xdr:from>
    <xdr:to>
      <xdr:col>14</xdr:col>
      <xdr:colOff>225721</xdr:colOff>
      <xdr:row>20</xdr:row>
      <xdr:rowOff>190500</xdr:rowOff>
    </xdr:to>
    <xdr:pic>
      <xdr:nvPicPr>
        <xdr:cNvPr id="3" name="Picture 2">
          <a:extLst>
            <a:ext uri="{FF2B5EF4-FFF2-40B4-BE49-F238E27FC236}">
              <a16:creationId xmlns:a16="http://schemas.microsoft.com/office/drawing/2014/main" id="{8388CD0D-73CD-4DCD-A29D-4D597667282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0"/>
          <a:ext cx="3273721"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9</xdr:col>
      <xdr:colOff>0</xdr:colOff>
      <xdr:row>2</xdr:row>
      <xdr:rowOff>57150</xdr:rowOff>
    </xdr:from>
    <xdr:to>
      <xdr:col>14</xdr:col>
      <xdr:colOff>235942</xdr:colOff>
      <xdr:row>10</xdr:row>
      <xdr:rowOff>104775</xdr:rowOff>
    </xdr:to>
    <xdr:pic>
      <xdr:nvPicPr>
        <xdr:cNvPr id="2" name="Picture 1">
          <a:extLst>
            <a:ext uri="{FF2B5EF4-FFF2-40B4-BE49-F238E27FC236}">
              <a16:creationId xmlns:a16="http://schemas.microsoft.com/office/drawing/2014/main" id="{3714682A-71C6-4399-BFAC-4A00E9E29710}"/>
            </a:ext>
          </a:extLst>
        </xdr:cNvPr>
        <xdr:cNvPicPr>
          <a:picLocks noChangeAspect="1"/>
        </xdr:cNvPicPr>
      </xdr:nvPicPr>
      <xdr:blipFill>
        <a:blip xmlns:r="http://schemas.openxmlformats.org/officeDocument/2006/relationships" r:embed="rId1"/>
        <a:stretch>
          <a:fillRect/>
        </a:stretch>
      </xdr:blipFill>
      <xdr:spPr>
        <a:xfrm>
          <a:off x="10172700" y="495300"/>
          <a:ext cx="3283942" cy="2009775"/>
        </a:xfrm>
        <a:prstGeom prst="rect">
          <a:avLst/>
        </a:prstGeom>
      </xdr:spPr>
    </xdr:pic>
    <xdr:clientData/>
  </xdr:twoCellAnchor>
  <xdr:twoCellAnchor editAs="oneCell">
    <xdr:from>
      <xdr:col>8</xdr:col>
      <xdr:colOff>590550</xdr:colOff>
      <xdr:row>12</xdr:row>
      <xdr:rowOff>95250</xdr:rowOff>
    </xdr:from>
    <xdr:to>
      <xdr:col>14</xdr:col>
      <xdr:colOff>206671</xdr:colOff>
      <xdr:row>20</xdr:row>
      <xdr:rowOff>180975</xdr:rowOff>
    </xdr:to>
    <xdr:pic>
      <xdr:nvPicPr>
        <xdr:cNvPr id="3" name="Picture 2">
          <a:extLst>
            <a:ext uri="{FF2B5EF4-FFF2-40B4-BE49-F238E27FC236}">
              <a16:creationId xmlns:a16="http://schemas.microsoft.com/office/drawing/2014/main" id="{6DB473A5-3D54-48C9-9385-96DC603033B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067050"/>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200025</xdr:colOff>
      <xdr:row>11</xdr:row>
      <xdr:rowOff>104775</xdr:rowOff>
    </xdr:to>
    <xdr:pic>
      <xdr:nvPicPr>
        <xdr:cNvPr id="2" name="Picture 1">
          <a:extLst>
            <a:ext uri="{FF2B5EF4-FFF2-40B4-BE49-F238E27FC236}">
              <a16:creationId xmlns:a16="http://schemas.microsoft.com/office/drawing/2014/main" id="{3F0AB20F-BF7A-4C25-AEEC-BAF6BCFC3F28}"/>
            </a:ext>
          </a:extLst>
        </xdr:cNvPr>
        <xdr:cNvPicPr>
          <a:picLocks noChangeAspect="1"/>
        </xdr:cNvPicPr>
      </xdr:nvPicPr>
      <xdr:blipFill>
        <a:blip xmlns:r="http://schemas.openxmlformats.org/officeDocument/2006/relationships" r:embed="rId1"/>
        <a:stretch>
          <a:fillRect/>
        </a:stretch>
      </xdr:blipFill>
      <xdr:spPr>
        <a:xfrm>
          <a:off x="10172700" y="704850"/>
          <a:ext cx="3248025" cy="2009775"/>
        </a:xfrm>
        <a:prstGeom prst="rect">
          <a:avLst/>
        </a:prstGeom>
      </xdr:spPr>
    </xdr:pic>
    <xdr:clientData/>
  </xdr:twoCellAnchor>
  <xdr:twoCellAnchor editAs="oneCell">
    <xdr:from>
      <xdr:col>9</xdr:col>
      <xdr:colOff>0</xdr:colOff>
      <xdr:row>14</xdr:row>
      <xdr:rowOff>0</xdr:rowOff>
    </xdr:from>
    <xdr:to>
      <xdr:col>14</xdr:col>
      <xdr:colOff>225721</xdr:colOff>
      <xdr:row>21</xdr:row>
      <xdr:rowOff>171450</xdr:rowOff>
    </xdr:to>
    <xdr:pic>
      <xdr:nvPicPr>
        <xdr:cNvPr id="3" name="Picture 2">
          <a:extLst>
            <a:ext uri="{FF2B5EF4-FFF2-40B4-BE49-F238E27FC236}">
              <a16:creationId xmlns:a16="http://schemas.microsoft.com/office/drawing/2014/main" id="{85BA087D-F1DE-4C28-9BB2-06B68FF85EC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0"/>
          <a:ext cx="3273721"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9</xdr:col>
      <xdr:colOff>0</xdr:colOff>
      <xdr:row>2</xdr:row>
      <xdr:rowOff>180975</xdr:rowOff>
    </xdr:from>
    <xdr:to>
      <xdr:col>14</xdr:col>
      <xdr:colOff>235942</xdr:colOff>
      <xdr:row>11</xdr:row>
      <xdr:rowOff>19050</xdr:rowOff>
    </xdr:to>
    <xdr:pic>
      <xdr:nvPicPr>
        <xdr:cNvPr id="2" name="Picture 1">
          <a:extLst>
            <a:ext uri="{FF2B5EF4-FFF2-40B4-BE49-F238E27FC236}">
              <a16:creationId xmlns:a16="http://schemas.microsoft.com/office/drawing/2014/main" id="{9D44C0A6-8F77-4EE6-9BC0-13550853E5EE}"/>
            </a:ext>
          </a:extLst>
        </xdr:cNvPr>
        <xdr:cNvPicPr>
          <a:picLocks noChangeAspect="1"/>
        </xdr:cNvPicPr>
      </xdr:nvPicPr>
      <xdr:blipFill>
        <a:blip xmlns:r="http://schemas.openxmlformats.org/officeDocument/2006/relationships" r:embed="rId1"/>
        <a:stretch>
          <a:fillRect/>
        </a:stretch>
      </xdr:blipFill>
      <xdr:spPr>
        <a:xfrm>
          <a:off x="10172700" y="619125"/>
          <a:ext cx="3283942" cy="2009775"/>
        </a:xfrm>
        <a:prstGeom prst="rect">
          <a:avLst/>
        </a:prstGeom>
      </xdr:spPr>
    </xdr:pic>
    <xdr:clientData/>
  </xdr:twoCellAnchor>
  <xdr:twoCellAnchor editAs="oneCell">
    <xdr:from>
      <xdr:col>8</xdr:col>
      <xdr:colOff>561975</xdr:colOff>
      <xdr:row>14</xdr:row>
      <xdr:rowOff>123825</xdr:rowOff>
    </xdr:from>
    <xdr:to>
      <xdr:col>14</xdr:col>
      <xdr:colOff>314325</xdr:colOff>
      <xdr:row>21</xdr:row>
      <xdr:rowOff>104775</xdr:rowOff>
    </xdr:to>
    <xdr:pic>
      <xdr:nvPicPr>
        <xdr:cNvPr id="3" name="Picture 2">
          <a:extLst>
            <a:ext uri="{FF2B5EF4-FFF2-40B4-BE49-F238E27FC236}">
              <a16:creationId xmlns:a16="http://schemas.microsoft.com/office/drawing/2014/main" id="{07842FC6-0802-4D52-8FD4-808DCE08543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25075" y="3514725"/>
          <a:ext cx="3409950" cy="1752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11</xdr:row>
      <xdr:rowOff>104775</xdr:rowOff>
    </xdr:to>
    <xdr:pic>
      <xdr:nvPicPr>
        <xdr:cNvPr id="2" name="Picture 1">
          <a:extLst>
            <a:ext uri="{FF2B5EF4-FFF2-40B4-BE49-F238E27FC236}">
              <a16:creationId xmlns:a16="http://schemas.microsoft.com/office/drawing/2014/main" id="{07FDB83A-222F-47A7-8574-52FFB2E1243D}"/>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9</xdr:col>
      <xdr:colOff>0</xdr:colOff>
      <xdr:row>14</xdr:row>
      <xdr:rowOff>0</xdr:rowOff>
    </xdr:from>
    <xdr:to>
      <xdr:col>14</xdr:col>
      <xdr:colOff>225721</xdr:colOff>
      <xdr:row>22</xdr:row>
      <xdr:rowOff>104775</xdr:rowOff>
    </xdr:to>
    <xdr:pic>
      <xdr:nvPicPr>
        <xdr:cNvPr id="3" name="Picture 2">
          <a:extLst>
            <a:ext uri="{FF2B5EF4-FFF2-40B4-BE49-F238E27FC236}">
              <a16:creationId xmlns:a16="http://schemas.microsoft.com/office/drawing/2014/main" id="{786FDD6D-392D-4FFC-B548-7DAD11A4881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543300"/>
          <a:ext cx="3273721"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8</xdr:col>
      <xdr:colOff>590550</xdr:colOff>
      <xdr:row>2</xdr:row>
      <xdr:rowOff>171450</xdr:rowOff>
    </xdr:from>
    <xdr:to>
      <xdr:col>14</xdr:col>
      <xdr:colOff>216892</xdr:colOff>
      <xdr:row>9</xdr:row>
      <xdr:rowOff>428625</xdr:rowOff>
    </xdr:to>
    <xdr:pic>
      <xdr:nvPicPr>
        <xdr:cNvPr id="2" name="Picture 1">
          <a:extLst>
            <a:ext uri="{FF2B5EF4-FFF2-40B4-BE49-F238E27FC236}">
              <a16:creationId xmlns:a16="http://schemas.microsoft.com/office/drawing/2014/main" id="{251D927E-549A-4DEE-AB09-0D1E1A6EEEE1}"/>
            </a:ext>
          </a:extLst>
        </xdr:cNvPr>
        <xdr:cNvPicPr>
          <a:picLocks noChangeAspect="1"/>
        </xdr:cNvPicPr>
      </xdr:nvPicPr>
      <xdr:blipFill>
        <a:blip xmlns:r="http://schemas.openxmlformats.org/officeDocument/2006/relationships" r:embed="rId1"/>
        <a:stretch>
          <a:fillRect/>
        </a:stretch>
      </xdr:blipFill>
      <xdr:spPr>
        <a:xfrm>
          <a:off x="10153650" y="609600"/>
          <a:ext cx="3283942" cy="2009775"/>
        </a:xfrm>
        <a:prstGeom prst="rect">
          <a:avLst/>
        </a:prstGeom>
      </xdr:spPr>
    </xdr:pic>
    <xdr:clientData/>
  </xdr:twoCellAnchor>
  <xdr:twoCellAnchor editAs="oneCell">
    <xdr:from>
      <xdr:col>8</xdr:col>
      <xdr:colOff>600076</xdr:colOff>
      <xdr:row>11</xdr:row>
      <xdr:rowOff>171451</xdr:rowOff>
    </xdr:from>
    <xdr:to>
      <xdr:col>14</xdr:col>
      <xdr:colOff>85726</xdr:colOff>
      <xdr:row>18</xdr:row>
      <xdr:rowOff>257175</xdr:rowOff>
    </xdr:to>
    <xdr:pic>
      <xdr:nvPicPr>
        <xdr:cNvPr id="3" name="Picture 2">
          <a:extLst>
            <a:ext uri="{FF2B5EF4-FFF2-40B4-BE49-F238E27FC236}">
              <a16:creationId xmlns:a16="http://schemas.microsoft.com/office/drawing/2014/main" id="{3E355A15-7743-40FF-9A30-CA454999FF8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6" y="3238501"/>
          <a:ext cx="3143250" cy="17049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22</xdr:row>
      <xdr:rowOff>0</xdr:rowOff>
    </xdr:from>
    <xdr:ext cx="3209925" cy="1790700"/>
    <xdr:pic>
      <xdr:nvPicPr>
        <xdr:cNvPr id="4" name="Picture 3">
          <a:extLst>
            <a:ext uri="{FF2B5EF4-FFF2-40B4-BE49-F238E27FC236}">
              <a16:creationId xmlns:a16="http://schemas.microsoft.com/office/drawing/2014/main" id="{3635AD88-5888-416B-BF43-07E373073DA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6134100"/>
          <a:ext cx="3209925" cy="1790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3.xml><?xml version="1.0" encoding="utf-8"?>
<xdr:wsDr xmlns:xdr="http://schemas.openxmlformats.org/drawingml/2006/spreadsheetDrawing" xmlns:a="http://schemas.openxmlformats.org/drawingml/2006/main">
  <xdr:twoCellAnchor editAs="oneCell">
    <xdr:from>
      <xdr:col>10</xdr:col>
      <xdr:colOff>266700</xdr:colOff>
      <xdr:row>12</xdr:row>
      <xdr:rowOff>19050</xdr:rowOff>
    </xdr:from>
    <xdr:to>
      <xdr:col>14</xdr:col>
      <xdr:colOff>572313</xdr:colOff>
      <xdr:row>19</xdr:row>
      <xdr:rowOff>47625</xdr:rowOff>
    </xdr:to>
    <xdr:pic>
      <xdr:nvPicPr>
        <xdr:cNvPr id="2" name="Picture 1">
          <a:extLst>
            <a:ext uri="{FF2B5EF4-FFF2-40B4-BE49-F238E27FC236}">
              <a16:creationId xmlns:a16="http://schemas.microsoft.com/office/drawing/2014/main" id="{4E839C89-3443-499B-BBC7-841B2F2D7D9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bwMode="auto">
        <a:xfrm>
          <a:off x="11334750" y="2990850"/>
          <a:ext cx="3248838" cy="16478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10</xdr:col>
      <xdr:colOff>295275</xdr:colOff>
      <xdr:row>2</xdr:row>
      <xdr:rowOff>57150</xdr:rowOff>
    </xdr:from>
    <xdr:to>
      <xdr:col>14</xdr:col>
      <xdr:colOff>457200</xdr:colOff>
      <xdr:row>9</xdr:row>
      <xdr:rowOff>135913</xdr:rowOff>
    </xdr:to>
    <xdr:pic>
      <xdr:nvPicPr>
        <xdr:cNvPr id="3" name="Picture 2">
          <a:extLst>
            <a:ext uri="{FF2B5EF4-FFF2-40B4-BE49-F238E27FC236}">
              <a16:creationId xmlns:a16="http://schemas.microsoft.com/office/drawing/2014/main" id="{CCB0B19F-6845-49D5-A2BC-FA4276968819}"/>
            </a:ext>
          </a:extLst>
        </xdr:cNvPr>
        <xdr:cNvPicPr>
          <a:picLocks noChangeAspect="1"/>
        </xdr:cNvPicPr>
      </xdr:nvPicPr>
      <xdr:blipFill>
        <a:blip xmlns:r="http://schemas.openxmlformats.org/officeDocument/2006/relationships" r:embed="rId2"/>
        <a:stretch>
          <a:fillRect/>
        </a:stretch>
      </xdr:blipFill>
      <xdr:spPr>
        <a:xfrm>
          <a:off x="11363325" y="495300"/>
          <a:ext cx="3105150" cy="1831363"/>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8</xdr:col>
      <xdr:colOff>466724</xdr:colOff>
      <xdr:row>14</xdr:row>
      <xdr:rowOff>95251</xdr:rowOff>
    </xdr:from>
    <xdr:to>
      <xdr:col>12</xdr:col>
      <xdr:colOff>666749</xdr:colOff>
      <xdr:row>21</xdr:row>
      <xdr:rowOff>19050</xdr:rowOff>
    </xdr:to>
    <xdr:pic>
      <xdr:nvPicPr>
        <xdr:cNvPr id="2" name="Picture 1">
          <a:extLst>
            <a:ext uri="{FF2B5EF4-FFF2-40B4-BE49-F238E27FC236}">
              <a16:creationId xmlns:a16="http://schemas.microsoft.com/office/drawing/2014/main" id="{E30F4440-16C0-4685-B3F5-BFDB82128C5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363199" y="3486151"/>
          <a:ext cx="3343275" cy="1695449"/>
        </a:xfrm>
        <a:prstGeom prst="rect">
          <a:avLst/>
        </a:prstGeom>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581023</xdr:colOff>
      <xdr:row>2</xdr:row>
      <xdr:rowOff>133350</xdr:rowOff>
    </xdr:from>
    <xdr:to>
      <xdr:col>13</xdr:col>
      <xdr:colOff>9524</xdr:colOff>
      <xdr:row>9</xdr:row>
      <xdr:rowOff>304800</xdr:rowOff>
    </xdr:to>
    <xdr:pic>
      <xdr:nvPicPr>
        <xdr:cNvPr id="3" name="Picture 2">
          <a:extLst>
            <a:ext uri="{FF2B5EF4-FFF2-40B4-BE49-F238E27FC236}">
              <a16:creationId xmlns:a16="http://schemas.microsoft.com/office/drawing/2014/main" id="{3547B69E-9577-4DE6-86BD-6791A1995FE0}"/>
            </a:ext>
          </a:extLst>
        </xdr:cNvPr>
        <xdr:cNvPicPr>
          <a:picLocks noChangeAspect="1"/>
        </xdr:cNvPicPr>
      </xdr:nvPicPr>
      <xdr:blipFill>
        <a:blip xmlns:r="http://schemas.openxmlformats.org/officeDocument/2006/relationships" r:embed="rId2"/>
        <a:stretch>
          <a:fillRect/>
        </a:stretch>
      </xdr:blipFill>
      <xdr:spPr>
        <a:xfrm>
          <a:off x="10477498" y="571500"/>
          <a:ext cx="3276601" cy="192405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9</xdr:col>
      <xdr:colOff>76199</xdr:colOff>
      <xdr:row>12</xdr:row>
      <xdr:rowOff>95250</xdr:rowOff>
    </xdr:from>
    <xdr:to>
      <xdr:col>13</xdr:col>
      <xdr:colOff>361950</xdr:colOff>
      <xdr:row>20</xdr:row>
      <xdr:rowOff>85725</xdr:rowOff>
    </xdr:to>
    <xdr:pic>
      <xdr:nvPicPr>
        <xdr:cNvPr id="2" name="Picture 1">
          <a:extLst>
            <a:ext uri="{FF2B5EF4-FFF2-40B4-BE49-F238E27FC236}">
              <a16:creationId xmlns:a16="http://schemas.microsoft.com/office/drawing/2014/main" id="{BB988AB2-A355-4CAA-A2B8-18A90D5820E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248899" y="3219450"/>
          <a:ext cx="3086101" cy="16668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9</xdr:col>
      <xdr:colOff>123825</xdr:colOff>
      <xdr:row>2</xdr:row>
      <xdr:rowOff>228600</xdr:rowOff>
    </xdr:from>
    <xdr:to>
      <xdr:col>13</xdr:col>
      <xdr:colOff>428625</xdr:colOff>
      <xdr:row>10</xdr:row>
      <xdr:rowOff>123825</xdr:rowOff>
    </xdr:to>
    <xdr:pic>
      <xdr:nvPicPr>
        <xdr:cNvPr id="3" name="Picture 2">
          <a:extLst>
            <a:ext uri="{FF2B5EF4-FFF2-40B4-BE49-F238E27FC236}">
              <a16:creationId xmlns:a16="http://schemas.microsoft.com/office/drawing/2014/main" id="{85C022B3-2111-4BBB-AAC0-795833D48134}"/>
            </a:ext>
          </a:extLst>
        </xdr:cNvPr>
        <xdr:cNvPicPr>
          <a:picLocks noChangeAspect="1"/>
        </xdr:cNvPicPr>
      </xdr:nvPicPr>
      <xdr:blipFill>
        <a:blip xmlns:r="http://schemas.openxmlformats.org/officeDocument/2006/relationships" r:embed="rId2"/>
        <a:stretch>
          <a:fillRect/>
        </a:stretch>
      </xdr:blipFill>
      <xdr:spPr>
        <a:xfrm>
          <a:off x="10296525" y="666750"/>
          <a:ext cx="3105150" cy="1857375"/>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9</xdr:col>
      <xdr:colOff>9525</xdr:colOff>
      <xdr:row>2</xdr:row>
      <xdr:rowOff>95250</xdr:rowOff>
    </xdr:from>
    <xdr:to>
      <xdr:col>14</xdr:col>
      <xdr:colOff>114300</xdr:colOff>
      <xdr:row>10</xdr:row>
      <xdr:rowOff>47625</xdr:rowOff>
    </xdr:to>
    <xdr:pic>
      <xdr:nvPicPr>
        <xdr:cNvPr id="2" name="Picture 1">
          <a:extLst>
            <a:ext uri="{FF2B5EF4-FFF2-40B4-BE49-F238E27FC236}">
              <a16:creationId xmlns:a16="http://schemas.microsoft.com/office/drawing/2014/main" id="{3EE97E2A-4B35-4D9E-9FFE-A6D3A9F1667F}"/>
            </a:ext>
          </a:extLst>
        </xdr:cNvPr>
        <xdr:cNvPicPr>
          <a:picLocks noChangeAspect="1"/>
        </xdr:cNvPicPr>
      </xdr:nvPicPr>
      <xdr:blipFill>
        <a:blip xmlns:r="http://schemas.openxmlformats.org/officeDocument/2006/relationships" r:embed="rId1"/>
        <a:stretch>
          <a:fillRect/>
        </a:stretch>
      </xdr:blipFill>
      <xdr:spPr>
        <a:xfrm>
          <a:off x="10267950" y="533400"/>
          <a:ext cx="3152775" cy="1914525"/>
        </a:xfrm>
        <a:prstGeom prst="rect">
          <a:avLst/>
        </a:prstGeom>
      </xdr:spPr>
    </xdr:pic>
    <xdr:clientData/>
  </xdr:twoCellAnchor>
  <xdr:twoCellAnchor editAs="oneCell">
    <xdr:from>
      <xdr:col>8</xdr:col>
      <xdr:colOff>561975</xdr:colOff>
      <xdr:row>14</xdr:row>
      <xdr:rowOff>38101</xdr:rowOff>
    </xdr:from>
    <xdr:to>
      <xdr:col>14</xdr:col>
      <xdr:colOff>114300</xdr:colOff>
      <xdr:row>19</xdr:row>
      <xdr:rowOff>38101</xdr:rowOff>
    </xdr:to>
    <xdr:pic>
      <xdr:nvPicPr>
        <xdr:cNvPr id="3" name="Picture 2">
          <a:extLst>
            <a:ext uri="{FF2B5EF4-FFF2-40B4-BE49-F238E27FC236}">
              <a16:creationId xmlns:a16="http://schemas.microsoft.com/office/drawing/2014/main" id="{B8649726-267E-471A-8E59-77AD912F0AE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210800" y="3276601"/>
          <a:ext cx="3209925" cy="1657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485776</xdr:colOff>
      <xdr:row>22</xdr:row>
      <xdr:rowOff>1</xdr:rowOff>
    </xdr:from>
    <xdr:ext cx="3238500" cy="1695450"/>
    <xdr:pic>
      <xdr:nvPicPr>
        <xdr:cNvPr id="4" name="Picture 3">
          <a:extLst>
            <a:ext uri="{FF2B5EF4-FFF2-40B4-BE49-F238E27FC236}">
              <a16:creationId xmlns:a16="http://schemas.microsoft.com/office/drawing/2014/main" id="{0DA9FB10-62E6-4BD8-AB7D-5AC10CA353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34601" y="5676901"/>
          <a:ext cx="323850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7.xml><?xml version="1.0" encoding="utf-8"?>
<xdr:wsDr xmlns:xdr="http://schemas.openxmlformats.org/drawingml/2006/spreadsheetDrawing" xmlns:a="http://schemas.openxmlformats.org/drawingml/2006/main">
  <xdr:twoCellAnchor editAs="oneCell">
    <xdr:from>
      <xdr:col>9</xdr:col>
      <xdr:colOff>95250</xdr:colOff>
      <xdr:row>11</xdr:row>
      <xdr:rowOff>95251</xdr:rowOff>
    </xdr:from>
    <xdr:to>
      <xdr:col>14</xdr:col>
      <xdr:colOff>47625</xdr:colOff>
      <xdr:row>18</xdr:row>
      <xdr:rowOff>28575</xdr:rowOff>
    </xdr:to>
    <xdr:pic>
      <xdr:nvPicPr>
        <xdr:cNvPr id="2" name="Picture 1">
          <a:extLst>
            <a:ext uri="{FF2B5EF4-FFF2-40B4-BE49-F238E27FC236}">
              <a16:creationId xmlns:a16="http://schemas.microsoft.com/office/drawing/2014/main" id="{FB546FBC-4694-4D79-9D61-368DB78CDFA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429875" y="3162301"/>
          <a:ext cx="3162300" cy="15525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590550</xdr:colOff>
      <xdr:row>2</xdr:row>
      <xdr:rowOff>114299</xdr:rowOff>
    </xdr:from>
    <xdr:to>
      <xdr:col>13</xdr:col>
      <xdr:colOff>466725</xdr:colOff>
      <xdr:row>9</xdr:row>
      <xdr:rowOff>171450</xdr:rowOff>
    </xdr:to>
    <xdr:pic>
      <xdr:nvPicPr>
        <xdr:cNvPr id="3" name="Picture 2">
          <a:extLst>
            <a:ext uri="{FF2B5EF4-FFF2-40B4-BE49-F238E27FC236}">
              <a16:creationId xmlns:a16="http://schemas.microsoft.com/office/drawing/2014/main" id="{8EE6AB70-929A-439B-B412-1E9FB3740B02}"/>
            </a:ext>
          </a:extLst>
        </xdr:cNvPr>
        <xdr:cNvPicPr>
          <a:picLocks/>
        </xdr:cNvPicPr>
      </xdr:nvPicPr>
      <xdr:blipFill>
        <a:blip xmlns:r="http://schemas.openxmlformats.org/officeDocument/2006/relationships" r:embed="rId2"/>
        <a:stretch>
          <a:fillRect/>
        </a:stretch>
      </xdr:blipFill>
      <xdr:spPr>
        <a:xfrm>
          <a:off x="10315575" y="552449"/>
          <a:ext cx="3086100" cy="1809751"/>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9</xdr:col>
      <xdr:colOff>0</xdr:colOff>
      <xdr:row>3</xdr:row>
      <xdr:rowOff>1</xdr:rowOff>
    </xdr:from>
    <xdr:to>
      <xdr:col>14</xdr:col>
      <xdr:colOff>133350</xdr:colOff>
      <xdr:row>10</xdr:row>
      <xdr:rowOff>57151</xdr:rowOff>
    </xdr:to>
    <xdr:pic>
      <xdr:nvPicPr>
        <xdr:cNvPr id="2" name="Picture 1">
          <a:extLst>
            <a:ext uri="{FF2B5EF4-FFF2-40B4-BE49-F238E27FC236}">
              <a16:creationId xmlns:a16="http://schemas.microsoft.com/office/drawing/2014/main" id="{3820C044-EEA4-4F01-A881-EA6B468AA01A}"/>
            </a:ext>
          </a:extLst>
        </xdr:cNvPr>
        <xdr:cNvPicPr>
          <a:picLocks noChangeAspect="1"/>
        </xdr:cNvPicPr>
      </xdr:nvPicPr>
      <xdr:blipFill>
        <a:blip xmlns:r="http://schemas.openxmlformats.org/officeDocument/2006/relationships" r:embed="rId1"/>
        <a:stretch>
          <a:fillRect/>
        </a:stretch>
      </xdr:blipFill>
      <xdr:spPr>
        <a:xfrm>
          <a:off x="10172700" y="704851"/>
          <a:ext cx="3181350" cy="1905000"/>
        </a:xfrm>
        <a:prstGeom prst="rect">
          <a:avLst/>
        </a:prstGeom>
      </xdr:spPr>
    </xdr:pic>
    <xdr:clientData/>
  </xdr:twoCellAnchor>
  <xdr:twoCellAnchor editAs="oneCell">
    <xdr:from>
      <xdr:col>9</xdr:col>
      <xdr:colOff>1</xdr:colOff>
      <xdr:row>15</xdr:row>
      <xdr:rowOff>1</xdr:rowOff>
    </xdr:from>
    <xdr:to>
      <xdr:col>14</xdr:col>
      <xdr:colOff>133351</xdr:colOff>
      <xdr:row>18</xdr:row>
      <xdr:rowOff>609601</xdr:rowOff>
    </xdr:to>
    <xdr:pic>
      <xdr:nvPicPr>
        <xdr:cNvPr id="3" name="Picture 2">
          <a:extLst>
            <a:ext uri="{FF2B5EF4-FFF2-40B4-BE49-F238E27FC236}">
              <a16:creationId xmlns:a16="http://schemas.microsoft.com/office/drawing/2014/main" id="{7DAE449F-1BA9-4E2E-90D9-90E79F5497C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1" y="3600451"/>
          <a:ext cx="318135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21</xdr:row>
      <xdr:rowOff>200026</xdr:rowOff>
    </xdr:from>
    <xdr:ext cx="3238500" cy="1647824"/>
    <xdr:pic>
      <xdr:nvPicPr>
        <xdr:cNvPr id="4" name="Picture 3">
          <a:extLst>
            <a:ext uri="{FF2B5EF4-FFF2-40B4-BE49-F238E27FC236}">
              <a16:creationId xmlns:a16="http://schemas.microsoft.com/office/drawing/2014/main" id="{37A27AB6-2334-4084-938C-C14618C95A0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6276976"/>
          <a:ext cx="3238500" cy="164782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29.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11</xdr:row>
      <xdr:rowOff>104775</xdr:rowOff>
    </xdr:to>
    <xdr:pic>
      <xdr:nvPicPr>
        <xdr:cNvPr id="2" name="Picture 1">
          <a:extLst>
            <a:ext uri="{FF2B5EF4-FFF2-40B4-BE49-F238E27FC236}">
              <a16:creationId xmlns:a16="http://schemas.microsoft.com/office/drawing/2014/main" id="{CBF130EC-1242-4719-B611-8A299A3CE0B5}"/>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8</xdr:col>
      <xdr:colOff>590550</xdr:colOff>
      <xdr:row>13</xdr:row>
      <xdr:rowOff>657226</xdr:rowOff>
    </xdr:from>
    <xdr:to>
      <xdr:col>14</xdr:col>
      <xdr:colOff>285750</xdr:colOff>
      <xdr:row>20</xdr:row>
      <xdr:rowOff>9526</xdr:rowOff>
    </xdr:to>
    <xdr:pic>
      <xdr:nvPicPr>
        <xdr:cNvPr id="3" name="Picture 2">
          <a:extLst>
            <a:ext uri="{FF2B5EF4-FFF2-40B4-BE49-F238E27FC236}">
              <a16:creationId xmlns:a16="http://schemas.microsoft.com/office/drawing/2014/main" id="{4745CAF2-E6BA-4802-96FD-A405BF5EC51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686176"/>
          <a:ext cx="3352800"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24</xdr:row>
      <xdr:rowOff>266700</xdr:rowOff>
    </xdr:from>
    <xdr:ext cx="3419475" cy="1771650"/>
    <xdr:pic>
      <xdr:nvPicPr>
        <xdr:cNvPr id="4" name="Picture 3">
          <a:extLst>
            <a:ext uri="{FF2B5EF4-FFF2-40B4-BE49-F238E27FC236}">
              <a16:creationId xmlns:a16="http://schemas.microsoft.com/office/drawing/2014/main" id="{4284AD6B-A297-428F-B874-962587BDED46}"/>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6515100"/>
          <a:ext cx="3419475" cy="1771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0.xml><?xml version="1.0" encoding="utf-8"?>
<xdr:wsDr xmlns:xdr="http://schemas.openxmlformats.org/drawingml/2006/spreadsheetDrawing" xmlns:a="http://schemas.openxmlformats.org/drawingml/2006/main">
  <xdr:twoCellAnchor editAs="oneCell">
    <xdr:from>
      <xdr:col>9</xdr:col>
      <xdr:colOff>0</xdr:colOff>
      <xdr:row>3</xdr:row>
      <xdr:rowOff>1</xdr:rowOff>
    </xdr:from>
    <xdr:to>
      <xdr:col>14</xdr:col>
      <xdr:colOff>171450</xdr:colOff>
      <xdr:row>10</xdr:row>
      <xdr:rowOff>152401</xdr:rowOff>
    </xdr:to>
    <xdr:pic>
      <xdr:nvPicPr>
        <xdr:cNvPr id="2" name="Picture 1">
          <a:extLst>
            <a:ext uri="{FF2B5EF4-FFF2-40B4-BE49-F238E27FC236}">
              <a16:creationId xmlns:a16="http://schemas.microsoft.com/office/drawing/2014/main" id="{46562EC8-BEA6-450E-98DB-E185DA771A94}"/>
            </a:ext>
          </a:extLst>
        </xdr:cNvPr>
        <xdr:cNvPicPr>
          <a:picLocks noChangeAspect="1"/>
        </xdr:cNvPicPr>
      </xdr:nvPicPr>
      <xdr:blipFill>
        <a:blip xmlns:r="http://schemas.openxmlformats.org/officeDocument/2006/relationships" r:embed="rId1"/>
        <a:stretch>
          <a:fillRect/>
        </a:stretch>
      </xdr:blipFill>
      <xdr:spPr>
        <a:xfrm>
          <a:off x="10172700" y="704851"/>
          <a:ext cx="3219450" cy="2000250"/>
        </a:xfrm>
        <a:prstGeom prst="rect">
          <a:avLst/>
        </a:prstGeom>
      </xdr:spPr>
    </xdr:pic>
    <xdr:clientData/>
  </xdr:twoCellAnchor>
  <xdr:twoCellAnchor editAs="oneCell">
    <xdr:from>
      <xdr:col>9</xdr:col>
      <xdr:colOff>0</xdr:colOff>
      <xdr:row>14</xdr:row>
      <xdr:rowOff>0</xdr:rowOff>
    </xdr:from>
    <xdr:to>
      <xdr:col>14</xdr:col>
      <xdr:colOff>333376</xdr:colOff>
      <xdr:row>20</xdr:row>
      <xdr:rowOff>152400</xdr:rowOff>
    </xdr:to>
    <xdr:pic>
      <xdr:nvPicPr>
        <xdr:cNvPr id="3" name="Picture 2">
          <a:extLst>
            <a:ext uri="{FF2B5EF4-FFF2-40B4-BE49-F238E27FC236}">
              <a16:creationId xmlns:a16="http://schemas.microsoft.com/office/drawing/2014/main" id="{7011A707-B186-4634-8FD7-C0A991F5A75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543300"/>
          <a:ext cx="3381376"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8</xdr:col>
      <xdr:colOff>600075</xdr:colOff>
      <xdr:row>2</xdr:row>
      <xdr:rowOff>133350</xdr:rowOff>
    </xdr:from>
    <xdr:to>
      <xdr:col>14</xdr:col>
      <xdr:colOff>226417</xdr:colOff>
      <xdr:row>10</xdr:row>
      <xdr:rowOff>180975</xdr:rowOff>
    </xdr:to>
    <xdr:pic>
      <xdr:nvPicPr>
        <xdr:cNvPr id="2" name="Picture 1">
          <a:extLst>
            <a:ext uri="{FF2B5EF4-FFF2-40B4-BE49-F238E27FC236}">
              <a16:creationId xmlns:a16="http://schemas.microsoft.com/office/drawing/2014/main" id="{1C03B963-B35C-46E9-9247-A281582339F9}"/>
            </a:ext>
          </a:extLst>
        </xdr:cNvPr>
        <xdr:cNvPicPr>
          <a:picLocks noChangeAspect="1"/>
        </xdr:cNvPicPr>
      </xdr:nvPicPr>
      <xdr:blipFill>
        <a:blip xmlns:r="http://schemas.openxmlformats.org/officeDocument/2006/relationships" r:embed="rId1"/>
        <a:stretch>
          <a:fillRect/>
        </a:stretch>
      </xdr:blipFill>
      <xdr:spPr>
        <a:xfrm>
          <a:off x="10163175" y="571500"/>
          <a:ext cx="3283942" cy="2009775"/>
        </a:xfrm>
        <a:prstGeom prst="rect">
          <a:avLst/>
        </a:prstGeom>
      </xdr:spPr>
    </xdr:pic>
    <xdr:clientData/>
  </xdr:twoCellAnchor>
  <xdr:twoCellAnchor editAs="oneCell">
    <xdr:from>
      <xdr:col>8</xdr:col>
      <xdr:colOff>495300</xdr:colOff>
      <xdr:row>12</xdr:row>
      <xdr:rowOff>571500</xdr:rowOff>
    </xdr:from>
    <xdr:to>
      <xdr:col>14</xdr:col>
      <xdr:colOff>228600</xdr:colOff>
      <xdr:row>21</xdr:row>
      <xdr:rowOff>104775</xdr:rowOff>
    </xdr:to>
    <xdr:pic>
      <xdr:nvPicPr>
        <xdr:cNvPr id="3" name="Picture 2">
          <a:extLst>
            <a:ext uri="{FF2B5EF4-FFF2-40B4-BE49-F238E27FC236}">
              <a16:creationId xmlns:a16="http://schemas.microsoft.com/office/drawing/2014/main" id="{7CC3FCF5-07CF-4937-AB4E-E9439A26E1A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58400" y="3543300"/>
          <a:ext cx="3390900" cy="17811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504824</xdr:colOff>
      <xdr:row>24</xdr:row>
      <xdr:rowOff>47625</xdr:rowOff>
    </xdr:from>
    <xdr:ext cx="3457575" cy="1838325"/>
    <xdr:pic>
      <xdr:nvPicPr>
        <xdr:cNvPr id="4" name="Picture 3">
          <a:extLst>
            <a:ext uri="{FF2B5EF4-FFF2-40B4-BE49-F238E27FC236}">
              <a16:creationId xmlns:a16="http://schemas.microsoft.com/office/drawing/2014/main" id="{5AB9D7C2-E9CB-4632-B033-0C9AD1945CFA}"/>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067924" y="6238875"/>
          <a:ext cx="3457575" cy="1838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2.xml><?xml version="1.0" encoding="utf-8"?>
<xdr:wsDr xmlns:xdr="http://schemas.openxmlformats.org/drawingml/2006/spreadsheetDrawing" xmlns:a="http://schemas.openxmlformats.org/drawingml/2006/main">
  <xdr:twoCellAnchor editAs="oneCell">
    <xdr:from>
      <xdr:col>9</xdr:col>
      <xdr:colOff>0</xdr:colOff>
      <xdr:row>2</xdr:row>
      <xdr:rowOff>209550</xdr:rowOff>
    </xdr:from>
    <xdr:to>
      <xdr:col>14</xdr:col>
      <xdr:colOff>74017</xdr:colOff>
      <xdr:row>11</xdr:row>
      <xdr:rowOff>47625</xdr:rowOff>
    </xdr:to>
    <xdr:pic>
      <xdr:nvPicPr>
        <xdr:cNvPr id="2" name="Picture 1">
          <a:extLst>
            <a:ext uri="{FF2B5EF4-FFF2-40B4-BE49-F238E27FC236}">
              <a16:creationId xmlns:a16="http://schemas.microsoft.com/office/drawing/2014/main" id="{34840A14-3207-4B60-A42D-5688B4EECCA9}"/>
            </a:ext>
          </a:extLst>
        </xdr:cNvPr>
        <xdr:cNvPicPr>
          <a:picLocks noChangeAspect="1"/>
        </xdr:cNvPicPr>
      </xdr:nvPicPr>
      <xdr:blipFill>
        <a:blip xmlns:r="http://schemas.openxmlformats.org/officeDocument/2006/relationships" r:embed="rId1"/>
        <a:stretch>
          <a:fillRect/>
        </a:stretch>
      </xdr:blipFill>
      <xdr:spPr>
        <a:xfrm>
          <a:off x="10363200" y="647700"/>
          <a:ext cx="3122017" cy="2009775"/>
        </a:xfrm>
        <a:prstGeom prst="rect">
          <a:avLst/>
        </a:prstGeom>
      </xdr:spPr>
    </xdr:pic>
    <xdr:clientData/>
  </xdr:twoCellAnchor>
  <xdr:twoCellAnchor editAs="oneCell">
    <xdr:from>
      <xdr:col>9</xdr:col>
      <xdr:colOff>0</xdr:colOff>
      <xdr:row>14</xdr:row>
      <xdr:rowOff>1</xdr:rowOff>
    </xdr:from>
    <xdr:to>
      <xdr:col>14</xdr:col>
      <xdr:colOff>152400</xdr:colOff>
      <xdr:row>21</xdr:row>
      <xdr:rowOff>95251</xdr:rowOff>
    </xdr:to>
    <xdr:pic>
      <xdr:nvPicPr>
        <xdr:cNvPr id="3" name="Picture 2">
          <a:extLst>
            <a:ext uri="{FF2B5EF4-FFF2-40B4-BE49-F238E27FC236}">
              <a16:creationId xmlns:a16="http://schemas.microsoft.com/office/drawing/2014/main" id="{D8B33C79-17D6-4098-AC5F-F9A6551F503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028951"/>
          <a:ext cx="320040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10</xdr:row>
      <xdr:rowOff>238125</xdr:rowOff>
    </xdr:to>
    <xdr:pic>
      <xdr:nvPicPr>
        <xdr:cNvPr id="2" name="Picture 1">
          <a:extLst>
            <a:ext uri="{FF2B5EF4-FFF2-40B4-BE49-F238E27FC236}">
              <a16:creationId xmlns:a16="http://schemas.microsoft.com/office/drawing/2014/main" id="{13A85E0F-1B5B-4EB7-B8A2-27C38DC78405}"/>
            </a:ext>
          </a:extLst>
        </xdr:cNvPr>
        <xdr:cNvPicPr>
          <a:picLocks noChangeAspect="1"/>
        </xdr:cNvPicPr>
      </xdr:nvPicPr>
      <xdr:blipFill>
        <a:blip xmlns:r="http://schemas.openxmlformats.org/officeDocument/2006/relationships" r:embed="rId1"/>
        <a:stretch>
          <a:fillRect/>
        </a:stretch>
      </xdr:blipFill>
      <xdr:spPr>
        <a:xfrm>
          <a:off x="10172700" y="704850"/>
          <a:ext cx="3283942" cy="1933575"/>
        </a:xfrm>
        <a:prstGeom prst="rect">
          <a:avLst/>
        </a:prstGeom>
      </xdr:spPr>
    </xdr:pic>
    <xdr:clientData/>
  </xdr:twoCellAnchor>
  <xdr:twoCellAnchor editAs="oneCell">
    <xdr:from>
      <xdr:col>9</xdr:col>
      <xdr:colOff>0</xdr:colOff>
      <xdr:row>14</xdr:row>
      <xdr:rowOff>1</xdr:rowOff>
    </xdr:from>
    <xdr:to>
      <xdr:col>14</xdr:col>
      <xdr:colOff>257175</xdr:colOff>
      <xdr:row>22</xdr:row>
      <xdr:rowOff>57151</xdr:rowOff>
    </xdr:to>
    <xdr:pic>
      <xdr:nvPicPr>
        <xdr:cNvPr id="3" name="Picture 2">
          <a:extLst>
            <a:ext uri="{FF2B5EF4-FFF2-40B4-BE49-F238E27FC236}">
              <a16:creationId xmlns:a16="http://schemas.microsoft.com/office/drawing/2014/main" id="{EA86CED8-B375-431A-9617-1C79BC55946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390901"/>
          <a:ext cx="3305175" cy="1733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1</xdr:colOff>
      <xdr:row>26</xdr:row>
      <xdr:rowOff>1</xdr:rowOff>
    </xdr:from>
    <xdr:ext cx="3409950" cy="1695450"/>
    <xdr:pic>
      <xdr:nvPicPr>
        <xdr:cNvPr id="4" name="Picture 3">
          <a:extLst>
            <a:ext uri="{FF2B5EF4-FFF2-40B4-BE49-F238E27FC236}">
              <a16:creationId xmlns:a16="http://schemas.microsoft.com/office/drawing/2014/main" id="{E3CE58DC-D003-47BD-BD0C-D17DB40632E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1" y="6057901"/>
          <a:ext cx="3409950" cy="1695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4.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235942</xdr:colOff>
      <xdr:row>11</xdr:row>
      <xdr:rowOff>104775</xdr:rowOff>
    </xdr:to>
    <xdr:pic>
      <xdr:nvPicPr>
        <xdr:cNvPr id="2" name="Picture 1">
          <a:extLst>
            <a:ext uri="{FF2B5EF4-FFF2-40B4-BE49-F238E27FC236}">
              <a16:creationId xmlns:a16="http://schemas.microsoft.com/office/drawing/2014/main" id="{931A170E-0613-4A27-B133-A271CDE1F663}"/>
            </a:ext>
          </a:extLst>
        </xdr:cNvPr>
        <xdr:cNvPicPr>
          <a:picLocks noChangeAspect="1"/>
        </xdr:cNvPicPr>
      </xdr:nvPicPr>
      <xdr:blipFill>
        <a:blip xmlns:r="http://schemas.openxmlformats.org/officeDocument/2006/relationships" r:embed="rId1"/>
        <a:stretch>
          <a:fillRect/>
        </a:stretch>
      </xdr:blipFill>
      <xdr:spPr>
        <a:xfrm>
          <a:off x="10172700" y="704850"/>
          <a:ext cx="3283942" cy="2009775"/>
        </a:xfrm>
        <a:prstGeom prst="rect">
          <a:avLst/>
        </a:prstGeom>
      </xdr:spPr>
    </xdr:pic>
    <xdr:clientData/>
  </xdr:twoCellAnchor>
  <xdr:twoCellAnchor editAs="oneCell">
    <xdr:from>
      <xdr:col>8</xdr:col>
      <xdr:colOff>590550</xdr:colOff>
      <xdr:row>13</xdr:row>
      <xdr:rowOff>180975</xdr:rowOff>
    </xdr:from>
    <xdr:to>
      <xdr:col>14</xdr:col>
      <xdr:colOff>200025</xdr:colOff>
      <xdr:row>21</xdr:row>
      <xdr:rowOff>114300</xdr:rowOff>
    </xdr:to>
    <xdr:pic>
      <xdr:nvPicPr>
        <xdr:cNvPr id="3" name="Picture 2">
          <a:extLst>
            <a:ext uri="{FF2B5EF4-FFF2-40B4-BE49-F238E27FC236}">
              <a16:creationId xmlns:a16="http://schemas.microsoft.com/office/drawing/2014/main" id="{3AE2A972-C183-4E9F-9768-16C77B3CCE6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53650" y="3362325"/>
          <a:ext cx="3267075"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9</xdr:col>
      <xdr:colOff>0</xdr:colOff>
      <xdr:row>23</xdr:row>
      <xdr:rowOff>161926</xdr:rowOff>
    </xdr:from>
    <xdr:ext cx="3390900" cy="1809750"/>
    <xdr:pic>
      <xdr:nvPicPr>
        <xdr:cNvPr id="4" name="Picture 3">
          <a:extLst>
            <a:ext uri="{FF2B5EF4-FFF2-40B4-BE49-F238E27FC236}">
              <a16:creationId xmlns:a16="http://schemas.microsoft.com/office/drawing/2014/main" id="{67218C6F-C8AF-4F45-B09E-1225310B0CCE}"/>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6048376"/>
          <a:ext cx="3390900" cy="1809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5.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133350</xdr:colOff>
      <xdr:row>10</xdr:row>
      <xdr:rowOff>314325</xdr:rowOff>
    </xdr:to>
    <xdr:pic>
      <xdr:nvPicPr>
        <xdr:cNvPr id="2" name="Picture 1">
          <a:extLst>
            <a:ext uri="{FF2B5EF4-FFF2-40B4-BE49-F238E27FC236}">
              <a16:creationId xmlns:a16="http://schemas.microsoft.com/office/drawing/2014/main" id="{30938FE6-FC70-41AD-B63C-F78F79E9A399}"/>
            </a:ext>
          </a:extLst>
        </xdr:cNvPr>
        <xdr:cNvPicPr>
          <a:picLocks noChangeAspect="1"/>
        </xdr:cNvPicPr>
      </xdr:nvPicPr>
      <xdr:blipFill>
        <a:blip xmlns:r="http://schemas.openxmlformats.org/officeDocument/2006/relationships" r:embed="rId1"/>
        <a:stretch>
          <a:fillRect/>
        </a:stretch>
      </xdr:blipFill>
      <xdr:spPr>
        <a:xfrm>
          <a:off x="10172700" y="704850"/>
          <a:ext cx="3181350" cy="2009775"/>
        </a:xfrm>
        <a:prstGeom prst="rect">
          <a:avLst/>
        </a:prstGeom>
      </xdr:spPr>
    </xdr:pic>
    <xdr:clientData/>
  </xdr:twoCellAnchor>
  <xdr:twoCellAnchor editAs="oneCell">
    <xdr:from>
      <xdr:col>9</xdr:col>
      <xdr:colOff>1</xdr:colOff>
      <xdr:row>16</xdr:row>
      <xdr:rowOff>1</xdr:rowOff>
    </xdr:from>
    <xdr:to>
      <xdr:col>14</xdr:col>
      <xdr:colOff>171451</xdr:colOff>
      <xdr:row>21</xdr:row>
      <xdr:rowOff>57151</xdr:rowOff>
    </xdr:to>
    <xdr:pic>
      <xdr:nvPicPr>
        <xdr:cNvPr id="3" name="Picture 2">
          <a:extLst>
            <a:ext uri="{FF2B5EF4-FFF2-40B4-BE49-F238E27FC236}">
              <a16:creationId xmlns:a16="http://schemas.microsoft.com/office/drawing/2014/main" id="{06AE4F4A-F06E-4DE0-A160-9B8BC9B079D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1" y="3962401"/>
          <a:ext cx="3219450" cy="1714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oneCellAnchor>
    <xdr:from>
      <xdr:col>8</xdr:col>
      <xdr:colOff>600075</xdr:colOff>
      <xdr:row>26</xdr:row>
      <xdr:rowOff>219075</xdr:rowOff>
    </xdr:from>
    <xdr:ext cx="3273721" cy="1762125"/>
    <xdr:pic>
      <xdr:nvPicPr>
        <xdr:cNvPr id="4" name="Picture 3">
          <a:extLst>
            <a:ext uri="{FF2B5EF4-FFF2-40B4-BE49-F238E27FC236}">
              <a16:creationId xmlns:a16="http://schemas.microsoft.com/office/drawing/2014/main" id="{776752D5-0393-4046-A85C-11BBB391C9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63175" y="7029450"/>
          <a:ext cx="3273721" cy="17621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drawings/drawing36.xml><?xml version="1.0" encoding="utf-8"?>
<xdr:wsDr xmlns:xdr="http://schemas.openxmlformats.org/drawingml/2006/spreadsheetDrawing" xmlns:a="http://schemas.openxmlformats.org/drawingml/2006/main">
  <xdr:twoCellAnchor editAs="oneCell">
    <xdr:from>
      <xdr:col>9</xdr:col>
      <xdr:colOff>28575</xdr:colOff>
      <xdr:row>2</xdr:row>
      <xdr:rowOff>114300</xdr:rowOff>
    </xdr:from>
    <xdr:to>
      <xdr:col>13</xdr:col>
      <xdr:colOff>403225</xdr:colOff>
      <xdr:row>9</xdr:row>
      <xdr:rowOff>200025</xdr:rowOff>
    </xdr:to>
    <xdr:pic>
      <xdr:nvPicPr>
        <xdr:cNvPr id="3" name="Picture 2">
          <a:extLst>
            <a:ext uri="{FF2B5EF4-FFF2-40B4-BE49-F238E27FC236}">
              <a16:creationId xmlns:a16="http://schemas.microsoft.com/office/drawing/2014/main" id="{A034682B-9D75-44B9-A165-3ACFA0656E03}"/>
            </a:ext>
          </a:extLst>
        </xdr:cNvPr>
        <xdr:cNvPicPr>
          <a:picLocks noChangeAspect="1"/>
        </xdr:cNvPicPr>
      </xdr:nvPicPr>
      <xdr:blipFill>
        <a:blip xmlns:r="http://schemas.openxmlformats.org/officeDocument/2006/relationships" r:embed="rId1"/>
        <a:stretch>
          <a:fillRect/>
        </a:stretch>
      </xdr:blipFill>
      <xdr:spPr>
        <a:xfrm>
          <a:off x="10229850" y="552450"/>
          <a:ext cx="3317875" cy="1990725"/>
        </a:xfrm>
        <a:prstGeom prst="rect">
          <a:avLst/>
        </a:prstGeom>
      </xdr:spPr>
    </xdr:pic>
    <xdr:clientData/>
  </xdr:twoCellAnchor>
  <xdr:twoCellAnchor editAs="oneCell">
    <xdr:from>
      <xdr:col>8</xdr:col>
      <xdr:colOff>619124</xdr:colOff>
      <xdr:row>13</xdr:row>
      <xdr:rowOff>38099</xdr:rowOff>
    </xdr:from>
    <xdr:to>
      <xdr:col>13</xdr:col>
      <xdr:colOff>314325</xdr:colOff>
      <xdr:row>18</xdr:row>
      <xdr:rowOff>180975</xdr:rowOff>
    </xdr:to>
    <xdr:pic>
      <xdr:nvPicPr>
        <xdr:cNvPr id="2" name="Picture 1">
          <a:extLst>
            <a:ext uri="{FF2B5EF4-FFF2-40B4-BE49-F238E27FC236}">
              <a16:creationId xmlns:a16="http://schemas.microsoft.com/office/drawing/2014/main" id="{8AA5BA94-2D77-4FAC-A149-A82B42169476}"/>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82224" y="3219449"/>
          <a:ext cx="3276601" cy="1647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8</xdr:col>
      <xdr:colOff>628650</xdr:colOff>
      <xdr:row>21</xdr:row>
      <xdr:rowOff>57150</xdr:rowOff>
    </xdr:from>
    <xdr:to>
      <xdr:col>13</xdr:col>
      <xdr:colOff>323851</xdr:colOff>
      <xdr:row>27</xdr:row>
      <xdr:rowOff>295276</xdr:rowOff>
    </xdr:to>
    <xdr:pic>
      <xdr:nvPicPr>
        <xdr:cNvPr id="4" name="Picture 3">
          <a:extLst>
            <a:ext uri="{FF2B5EF4-FFF2-40B4-BE49-F238E27FC236}">
              <a16:creationId xmlns:a16="http://schemas.microsoft.com/office/drawing/2014/main" id="{9D3CEE72-64DA-4F88-B198-3D5E83A0F4FB}"/>
            </a:ext>
          </a:extLst>
        </xdr:cNvPr>
        <xdr:cNvPicPr>
          <a:picLocks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91750" y="5524500"/>
          <a:ext cx="3276601" cy="16478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9</xdr:col>
      <xdr:colOff>0</xdr:colOff>
      <xdr:row>3</xdr:row>
      <xdr:rowOff>0</xdr:rowOff>
    </xdr:from>
    <xdr:to>
      <xdr:col>14</xdr:col>
      <xdr:colOff>76200</xdr:colOff>
      <xdr:row>10</xdr:row>
      <xdr:rowOff>180975</xdr:rowOff>
    </xdr:to>
    <xdr:pic>
      <xdr:nvPicPr>
        <xdr:cNvPr id="2" name="Picture 1">
          <a:extLst>
            <a:ext uri="{FF2B5EF4-FFF2-40B4-BE49-F238E27FC236}">
              <a16:creationId xmlns:a16="http://schemas.microsoft.com/office/drawing/2014/main" id="{3A94E8E0-DC23-42A4-B439-73B52C9D6173}"/>
            </a:ext>
          </a:extLst>
        </xdr:cNvPr>
        <xdr:cNvPicPr>
          <a:picLocks noChangeAspect="1"/>
        </xdr:cNvPicPr>
      </xdr:nvPicPr>
      <xdr:blipFill>
        <a:blip xmlns:r="http://schemas.openxmlformats.org/officeDocument/2006/relationships" r:embed="rId1"/>
        <a:stretch>
          <a:fillRect/>
        </a:stretch>
      </xdr:blipFill>
      <xdr:spPr>
        <a:xfrm>
          <a:off x="10172700" y="704850"/>
          <a:ext cx="3124200" cy="1876425"/>
        </a:xfrm>
        <a:prstGeom prst="rect">
          <a:avLst/>
        </a:prstGeom>
      </xdr:spPr>
    </xdr:pic>
    <xdr:clientData/>
  </xdr:twoCellAnchor>
  <xdr:twoCellAnchor editAs="oneCell">
    <xdr:from>
      <xdr:col>9</xdr:col>
      <xdr:colOff>0</xdr:colOff>
      <xdr:row>12</xdr:row>
      <xdr:rowOff>114301</xdr:rowOff>
    </xdr:from>
    <xdr:to>
      <xdr:col>14</xdr:col>
      <xdr:colOff>190500</xdr:colOff>
      <xdr:row>19</xdr:row>
      <xdr:rowOff>171450</xdr:rowOff>
    </xdr:to>
    <xdr:pic>
      <xdr:nvPicPr>
        <xdr:cNvPr id="3" name="Picture 2">
          <a:extLst>
            <a:ext uri="{FF2B5EF4-FFF2-40B4-BE49-F238E27FC236}">
              <a16:creationId xmlns:a16="http://schemas.microsoft.com/office/drawing/2014/main" id="{2B268721-4270-4564-B885-3DF479507C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10172700" y="3086101"/>
          <a:ext cx="3238500" cy="167639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9</xdr:col>
      <xdr:colOff>1</xdr:colOff>
      <xdr:row>3</xdr:row>
      <xdr:rowOff>0</xdr:rowOff>
    </xdr:from>
    <xdr:to>
      <xdr:col>13</xdr:col>
      <xdr:colOff>594965</xdr:colOff>
      <xdr:row>9</xdr:row>
      <xdr:rowOff>180975</xdr:rowOff>
    </xdr:to>
    <xdr:pic>
      <xdr:nvPicPr>
        <xdr:cNvPr id="2" name="Picture 1">
          <a:extLst>
            <a:ext uri="{FF2B5EF4-FFF2-40B4-BE49-F238E27FC236}">
              <a16:creationId xmlns:a16="http://schemas.microsoft.com/office/drawing/2014/main" id="{54D653EA-816C-4E07-8314-1E8B3C2DF338}"/>
            </a:ext>
          </a:extLst>
        </xdr:cNvPr>
        <xdr:cNvPicPr>
          <a:picLocks noChangeAspect="1"/>
        </xdr:cNvPicPr>
      </xdr:nvPicPr>
      <xdr:blipFill>
        <a:blip xmlns:r="http://schemas.openxmlformats.org/officeDocument/2006/relationships" r:embed="rId1"/>
        <a:stretch>
          <a:fillRect/>
        </a:stretch>
      </xdr:blipFill>
      <xdr:spPr>
        <a:xfrm>
          <a:off x="8629651" y="571500"/>
          <a:ext cx="3128614" cy="1914525"/>
        </a:xfrm>
        <a:prstGeom prst="rect">
          <a:avLst/>
        </a:prstGeom>
      </xdr:spPr>
    </xdr:pic>
    <xdr:clientData/>
  </xdr:twoCellAnchor>
  <xdr:twoCellAnchor editAs="oneCell">
    <xdr:from>
      <xdr:col>8</xdr:col>
      <xdr:colOff>561976</xdr:colOff>
      <xdr:row>14</xdr:row>
      <xdr:rowOff>0</xdr:rowOff>
    </xdr:from>
    <xdr:to>
      <xdr:col>14</xdr:col>
      <xdr:colOff>28575</xdr:colOff>
      <xdr:row>22</xdr:row>
      <xdr:rowOff>113479</xdr:rowOff>
    </xdr:to>
    <xdr:pic>
      <xdr:nvPicPr>
        <xdr:cNvPr id="3" name="Picture 2">
          <a:extLst>
            <a:ext uri="{FF2B5EF4-FFF2-40B4-BE49-F238E27FC236}">
              <a16:creationId xmlns:a16="http://schemas.microsoft.com/office/drawing/2014/main" id="{98FDDDC1-C79E-4B46-9680-3746D9C7D75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bwMode="auto">
        <a:xfrm>
          <a:off x="8582026" y="3257550"/>
          <a:ext cx="3219449" cy="16374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1.bin"/></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2.bin"/></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0F578-B3EB-4C48-ACCD-29BD2A50946C}">
  <dimension ref="A1:C39"/>
  <sheetViews>
    <sheetView tabSelected="1" workbookViewId="0"/>
  </sheetViews>
  <sheetFormatPr defaultRowHeight="15" x14ac:dyDescent="0.25"/>
  <cols>
    <col min="1" max="1" width="6" style="44" bestFit="1" customWidth="1"/>
    <col min="2" max="2" width="10.42578125" style="44" bestFit="1" customWidth="1"/>
    <col min="3" max="3" width="56.42578125" style="44" bestFit="1" customWidth="1"/>
    <col min="4" max="16384" width="9.140625" style="44"/>
  </cols>
  <sheetData>
    <row r="1" spans="1:3" x14ac:dyDescent="0.25">
      <c r="A1" s="42" t="s">
        <v>866</v>
      </c>
      <c r="B1" s="43" t="s">
        <v>867</v>
      </c>
      <c r="C1" s="43" t="s">
        <v>868</v>
      </c>
    </row>
    <row r="2" spans="1:3" x14ac:dyDescent="0.25">
      <c r="A2" s="45">
        <v>1</v>
      </c>
      <c r="B2" s="46" t="s">
        <v>869</v>
      </c>
      <c r="C2" s="47" t="s">
        <v>1</v>
      </c>
    </row>
    <row r="3" spans="1:3" x14ac:dyDescent="0.25">
      <c r="A3" s="45">
        <v>2</v>
      </c>
      <c r="B3" s="46" t="s">
        <v>870</v>
      </c>
      <c r="C3" s="47" t="s">
        <v>173</v>
      </c>
    </row>
    <row r="4" spans="1:3" x14ac:dyDescent="0.25">
      <c r="A4" s="45">
        <v>3</v>
      </c>
      <c r="B4" s="46" t="s">
        <v>871</v>
      </c>
      <c r="C4" s="47" t="s">
        <v>176</v>
      </c>
    </row>
    <row r="5" spans="1:3" x14ac:dyDescent="0.25">
      <c r="A5" s="45">
        <v>4</v>
      </c>
      <c r="B5" s="46" t="s">
        <v>872</v>
      </c>
      <c r="C5" s="47" t="s">
        <v>295</v>
      </c>
    </row>
    <row r="6" spans="1:3" x14ac:dyDescent="0.25">
      <c r="A6" s="45">
        <v>5</v>
      </c>
      <c r="B6" s="46" t="s">
        <v>873</v>
      </c>
      <c r="C6" s="47" t="s">
        <v>874</v>
      </c>
    </row>
    <row r="7" spans="1:3" x14ac:dyDescent="0.25">
      <c r="A7" s="45">
        <v>6</v>
      </c>
      <c r="B7" s="46" t="s">
        <v>875</v>
      </c>
      <c r="C7" s="47" t="s">
        <v>876</v>
      </c>
    </row>
    <row r="8" spans="1:3" x14ac:dyDescent="0.25">
      <c r="A8" s="45">
        <v>7</v>
      </c>
      <c r="B8" s="46" t="s">
        <v>877</v>
      </c>
      <c r="C8" s="47" t="s">
        <v>378</v>
      </c>
    </row>
    <row r="9" spans="1:3" x14ac:dyDescent="0.25">
      <c r="A9" s="45">
        <v>8</v>
      </c>
      <c r="B9" s="46" t="s">
        <v>878</v>
      </c>
      <c r="C9" s="47" t="s">
        <v>456</v>
      </c>
    </row>
    <row r="10" spans="1:3" x14ac:dyDescent="0.25">
      <c r="A10" s="45">
        <v>9</v>
      </c>
      <c r="B10" s="46" t="s">
        <v>879</v>
      </c>
      <c r="C10" s="47" t="s">
        <v>465</v>
      </c>
    </row>
    <row r="11" spans="1:3" x14ac:dyDescent="0.25">
      <c r="A11" s="45">
        <v>10</v>
      </c>
      <c r="B11" s="46" t="s">
        <v>880</v>
      </c>
      <c r="C11" s="47" t="s">
        <v>466</v>
      </c>
    </row>
    <row r="12" spans="1:3" x14ac:dyDescent="0.25">
      <c r="A12" s="45">
        <v>11</v>
      </c>
      <c r="B12" s="46" t="s">
        <v>881</v>
      </c>
      <c r="C12" s="47" t="s">
        <v>467</v>
      </c>
    </row>
    <row r="13" spans="1:3" x14ac:dyDescent="0.25">
      <c r="A13" s="45">
        <v>12</v>
      </c>
      <c r="B13" s="46" t="s">
        <v>882</v>
      </c>
      <c r="C13" s="47" t="s">
        <v>468</v>
      </c>
    </row>
    <row r="14" spans="1:3" x14ac:dyDescent="0.25">
      <c r="A14" s="45">
        <v>13</v>
      </c>
      <c r="B14" s="46" t="s">
        <v>883</v>
      </c>
      <c r="C14" s="47" t="s">
        <v>469</v>
      </c>
    </row>
    <row r="15" spans="1:3" x14ac:dyDescent="0.25">
      <c r="A15" s="45">
        <v>14</v>
      </c>
      <c r="B15" s="46" t="s">
        <v>884</v>
      </c>
      <c r="C15" s="47" t="s">
        <v>885</v>
      </c>
    </row>
    <row r="16" spans="1:3" x14ac:dyDescent="0.25">
      <c r="A16" s="45">
        <v>15</v>
      </c>
      <c r="B16" s="46" t="s">
        <v>886</v>
      </c>
      <c r="C16" s="47" t="s">
        <v>887</v>
      </c>
    </row>
    <row r="17" spans="1:3" x14ac:dyDescent="0.25">
      <c r="A17" s="45">
        <v>16</v>
      </c>
      <c r="B17" s="46" t="s">
        <v>888</v>
      </c>
      <c r="C17" s="47" t="s">
        <v>889</v>
      </c>
    </row>
    <row r="18" spans="1:3" x14ac:dyDescent="0.25">
      <c r="A18" s="45">
        <v>17</v>
      </c>
      <c r="B18" s="46" t="s">
        <v>890</v>
      </c>
      <c r="C18" s="47" t="s">
        <v>891</v>
      </c>
    </row>
    <row r="19" spans="1:3" x14ac:dyDescent="0.25">
      <c r="A19" s="45">
        <v>18</v>
      </c>
      <c r="B19" s="46" t="s">
        <v>892</v>
      </c>
      <c r="C19" s="47" t="s">
        <v>493</v>
      </c>
    </row>
    <row r="20" spans="1:3" x14ac:dyDescent="0.25">
      <c r="A20" s="45">
        <v>19</v>
      </c>
      <c r="B20" s="46" t="s">
        <v>893</v>
      </c>
      <c r="C20" s="47" t="s">
        <v>498</v>
      </c>
    </row>
    <row r="21" spans="1:3" x14ac:dyDescent="0.25">
      <c r="A21" s="45">
        <v>20</v>
      </c>
      <c r="B21" s="46" t="s">
        <v>894</v>
      </c>
      <c r="C21" s="47" t="s">
        <v>499</v>
      </c>
    </row>
    <row r="22" spans="1:3" x14ac:dyDescent="0.25">
      <c r="A22" s="45">
        <v>21</v>
      </c>
      <c r="B22" s="46" t="s">
        <v>895</v>
      </c>
      <c r="C22" s="47" t="s">
        <v>500</v>
      </c>
    </row>
    <row r="23" spans="1:3" x14ac:dyDescent="0.25">
      <c r="A23" s="45">
        <v>22</v>
      </c>
      <c r="B23" s="46" t="s">
        <v>896</v>
      </c>
      <c r="C23" s="47" t="s">
        <v>501</v>
      </c>
    </row>
    <row r="24" spans="1:3" x14ac:dyDescent="0.25">
      <c r="A24" s="45">
        <v>23</v>
      </c>
      <c r="B24" s="46" t="s">
        <v>897</v>
      </c>
      <c r="C24" s="47" t="s">
        <v>836</v>
      </c>
    </row>
    <row r="25" spans="1:3" x14ac:dyDescent="0.25">
      <c r="A25" s="45">
        <v>24</v>
      </c>
      <c r="B25" s="46" t="s">
        <v>898</v>
      </c>
      <c r="C25" s="47" t="s">
        <v>899</v>
      </c>
    </row>
    <row r="26" spans="1:3" x14ac:dyDescent="0.25">
      <c r="A26" s="45">
        <v>25</v>
      </c>
      <c r="B26" s="46" t="s">
        <v>900</v>
      </c>
      <c r="C26" s="47" t="s">
        <v>861</v>
      </c>
    </row>
    <row r="27" spans="1:3" x14ac:dyDescent="0.25">
      <c r="A27" s="45">
        <v>26</v>
      </c>
      <c r="B27" s="46" t="s">
        <v>901</v>
      </c>
      <c r="C27" s="47" t="s">
        <v>575</v>
      </c>
    </row>
    <row r="28" spans="1:3" x14ac:dyDescent="0.25">
      <c r="A28" s="45">
        <v>27</v>
      </c>
      <c r="B28" s="46" t="s">
        <v>902</v>
      </c>
      <c r="C28" s="47" t="s">
        <v>603</v>
      </c>
    </row>
    <row r="29" spans="1:3" x14ac:dyDescent="0.25">
      <c r="A29" s="45">
        <v>28</v>
      </c>
      <c r="B29" s="46" t="s">
        <v>903</v>
      </c>
      <c r="C29" s="47" t="s">
        <v>904</v>
      </c>
    </row>
    <row r="30" spans="1:3" x14ac:dyDescent="0.25">
      <c r="A30" s="45">
        <v>29</v>
      </c>
      <c r="B30" s="46" t="s">
        <v>905</v>
      </c>
      <c r="C30" s="47" t="s">
        <v>638</v>
      </c>
    </row>
    <row r="31" spans="1:3" x14ac:dyDescent="0.25">
      <c r="A31" s="45">
        <v>30</v>
      </c>
      <c r="B31" s="46" t="s">
        <v>906</v>
      </c>
      <c r="C31" s="47" t="s">
        <v>907</v>
      </c>
    </row>
    <row r="32" spans="1:3" x14ac:dyDescent="0.25">
      <c r="A32" s="45">
        <v>31</v>
      </c>
      <c r="B32" s="46" t="s">
        <v>908</v>
      </c>
      <c r="C32" s="47" t="s">
        <v>909</v>
      </c>
    </row>
    <row r="33" spans="1:3" x14ac:dyDescent="0.25">
      <c r="A33" s="45">
        <v>32</v>
      </c>
      <c r="B33" s="46" t="s">
        <v>910</v>
      </c>
      <c r="C33" s="47" t="s">
        <v>1174</v>
      </c>
    </row>
    <row r="34" spans="1:3" x14ac:dyDescent="0.25">
      <c r="A34" s="45">
        <v>33</v>
      </c>
      <c r="B34" s="46" t="s">
        <v>912</v>
      </c>
      <c r="C34" s="47" t="s">
        <v>913</v>
      </c>
    </row>
    <row r="35" spans="1:3" x14ac:dyDescent="0.25">
      <c r="A35" s="45">
        <v>34</v>
      </c>
      <c r="B35" s="46" t="s">
        <v>914</v>
      </c>
      <c r="C35" s="47" t="s">
        <v>755</v>
      </c>
    </row>
    <row r="36" spans="1:3" x14ac:dyDescent="0.25">
      <c r="A36" s="45">
        <v>35</v>
      </c>
      <c r="B36" s="46" t="s">
        <v>915</v>
      </c>
      <c r="C36" s="47" t="s">
        <v>756</v>
      </c>
    </row>
    <row r="37" spans="1:3" x14ac:dyDescent="0.25">
      <c r="A37" s="45">
        <v>36</v>
      </c>
      <c r="B37" s="48" t="s">
        <v>919</v>
      </c>
      <c r="C37" s="47" t="s">
        <v>757</v>
      </c>
    </row>
    <row r="38" spans="1:3" x14ac:dyDescent="0.25">
      <c r="A38" s="45">
        <v>37</v>
      </c>
      <c r="B38" s="46" t="s">
        <v>916</v>
      </c>
      <c r="C38" s="47" t="s">
        <v>758</v>
      </c>
    </row>
    <row r="39" spans="1:3" x14ac:dyDescent="0.25">
      <c r="A39" s="45">
        <v>38</v>
      </c>
      <c r="B39" s="46" t="s">
        <v>917</v>
      </c>
      <c r="C39" s="47" t="s">
        <v>918</v>
      </c>
    </row>
  </sheetData>
  <hyperlinks>
    <hyperlink ref="B2" location="CAPEXG!A1" display="CAPEXG" xr:uid="{20E417D8-2BE6-4DF4-895E-6BFFAE0529CD}"/>
    <hyperlink ref="B3" location="MICAP17!A1" display="MICAP17" xr:uid="{93B2461C-1A8A-415E-8001-C91CB5CB7E86}"/>
    <hyperlink ref="B4" location="MIDCAP!A1" display="MIDCAP" xr:uid="{9E320356-E261-4EB6-9750-E4908BD3D3F5}"/>
    <hyperlink ref="B5" location="MULTI1!A1" display="MULTI1" xr:uid="{D4B8F430-A532-422D-9082-FF4190C4463E}"/>
    <hyperlink ref="B6" location="MULTI2!A1" display="MULTI2" xr:uid="{1AB01A15-9153-4696-A555-F957E5BC4957}"/>
    <hyperlink ref="B7" location="MULTIP!A1" display="MULTIP" xr:uid="{2C794FCD-2FA0-4E92-9BA5-E6482BC16700}"/>
    <hyperlink ref="B8" location="SESCAP1!A1" display="SESCAP1" xr:uid="{BCE19E51-1832-447A-A10A-399B536C350A}"/>
    <hyperlink ref="B9" location="SESCAP2!A1" display="SESCAP2" xr:uid="{64B85774-FB36-4475-BF38-38B5905061BB}"/>
    <hyperlink ref="B10" location="SESCAP3!A1" display="SESCAP3" xr:uid="{DE537DB7-60C8-4086-809F-884D89FC43DF}"/>
    <hyperlink ref="B11" location="SESCAP4!A1" display="SESCAP4" xr:uid="{8290C4EE-20C5-4EB9-B29C-CD0E355672B7}"/>
    <hyperlink ref="B12" location="SESCAP5!A1" display="SESCAP5" xr:uid="{2FDC5F53-2819-4EB2-98D2-41E42EA30155}"/>
    <hyperlink ref="B13" location="SESCAP6!A1" display="SESCAP6" xr:uid="{6E67EBE5-AE74-4FA9-A5D8-454CAF1BA55E}"/>
    <hyperlink ref="B14" location="SESCAP7!A1" display="SESCAP7" xr:uid="{A0B93EB3-BAD5-422C-B3F6-07C2B7BFE615}"/>
    <hyperlink ref="B15" location="SLTADV3!A1" display="SLTADV3" xr:uid="{39F37065-996B-4B86-8F26-101E58458B36}"/>
    <hyperlink ref="B16" location="SLTADV4!A1" display="SLTADV4" xr:uid="{C5402823-2961-4123-A816-FCCCA4AB0610}"/>
    <hyperlink ref="B17" location="SLTAX1!A1" display="SLTAX1" xr:uid="{94813B5A-148B-4D1C-A384-1CBBE16F6FE1}"/>
    <hyperlink ref="B18" location="SLTAX2!A1" display="SLTAX2" xr:uid="{66F2D757-8BC1-4018-B85E-97B56A873E2D}"/>
    <hyperlink ref="B19" location="SLTAX3!A1" display="SLTAX3" xr:uid="{2D657EE2-AD2B-422F-B21E-3987ADF60385}"/>
    <hyperlink ref="B20" location="SLTAX4!A1" display="SLTAX4" xr:uid="{FDFE0FA7-A5C4-4A4E-A116-478299948E7F}"/>
    <hyperlink ref="B21" location="SLTAX5!A1" display="SLTAX5" xr:uid="{FBAD7D56-9C5D-4871-A39F-13AA728C834B}"/>
    <hyperlink ref="B22" location="SLTAX6!A1" display="SLTAX6" xr:uid="{2DC70E87-61AD-45B6-AC57-BEF48FEB5773}"/>
    <hyperlink ref="B23" location="SMILE!A1" display="SMILE" xr:uid="{289913A6-AB54-4447-8389-09B66272A38D}"/>
    <hyperlink ref="B24" location="SPAHF!A1" display="SPAHF" xr:uid="{86EF3197-7E70-4EDE-B976-5AD85B1E5A10}"/>
    <hyperlink ref="B25" location="SPARF!A1" display="SPARF" xr:uid="{3C37EEE2-985D-4634-A322-A447B3D7C556}"/>
    <hyperlink ref="B26" location="SPBAF!A1" display="SPBAF" xr:uid="{5EFFF7F6-EEAB-49E2-96BB-1A9099DCB388}"/>
    <hyperlink ref="B27" location="SPDYF!A1" display="SPDYF" xr:uid="{59E98DC1-2049-4E1E-887E-8784A2195215}"/>
    <hyperlink ref="B28" location="SPESF!A1" display="SPESF" xr:uid="{246D8A0F-5535-4C8E-8F7B-1E6AEF20E29E}"/>
    <hyperlink ref="B29" location="SPFOCUS!A1" display="SPFOCUS" xr:uid="{118A6498-6243-4FC5-A4FC-EC65AD26A875}"/>
    <hyperlink ref="B30" location="SPMUCF!A1" display="SPMUCF" xr:uid="{190294F8-73EE-48F1-A56E-F93B8C9FADE6}"/>
    <hyperlink ref="B31" location="SPSN100!A1" display="SPSN100" xr:uid="{FA3C08B6-4DFE-4FC2-B108-B2B14BCC8D60}"/>
    <hyperlink ref="B32" location="SPTAX!A1" display="SPTAX" xr:uid="{959C2FE7-FC83-4F17-BAF5-EA0F32FDFEDE}"/>
    <hyperlink ref="B33" location="SRURAL!A1" display="SRURAL" xr:uid="{A3AE484E-1A6B-4DC0-90CB-87B95D72235F}"/>
    <hyperlink ref="B34" location="SSFUND!A1" display="SSFUND" xr:uid="{DBA88320-2E94-4912-8A7E-0C4D124CBA98}"/>
    <hyperlink ref="B35" location="STAX!A1" display="STAX" xr:uid="{90C83494-4BD6-467F-A120-F108D97BDB04}"/>
    <hyperlink ref="B36" location="SUNBCF!A1" display="SUNBCF" xr:uid="{68234C7C-85FD-4384-8E33-72ABE20B2D6F}"/>
    <hyperlink ref="B38" location="SUNFOP!A1" display="SUNFOP" xr:uid="{6D262B83-D181-40B6-AE19-FFC895734C2B}"/>
    <hyperlink ref="B39" location="GLOB!A1" display="GLOB" xr:uid="{E5BD5D7E-0490-43B9-A4B5-81CF778DBF5D}"/>
    <hyperlink ref="B37" location="SUNFCF!A1" display="SUNFCF" xr:uid="{B9381AB2-AC6E-48CE-AD62-9F9AB17EEE7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O14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6" t="s">
        <v>1088</v>
      </c>
    </row>
    <row r="2" spans="1:14" ht="17.100000000000001" customHeight="1" x14ac:dyDescent="0.2">
      <c r="A2" s="321" t="s">
        <v>1</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11</v>
      </c>
      <c r="C7" s="4" t="s">
        <v>12</v>
      </c>
      <c r="D7" s="4" t="s">
        <v>13</v>
      </c>
      <c r="E7" s="5">
        <v>298690</v>
      </c>
      <c r="F7" s="6">
        <v>5518.8951299999999</v>
      </c>
      <c r="G7" s="7">
        <v>8.9174486999999997E-2</v>
      </c>
      <c r="H7" s="51"/>
    </row>
    <row r="8" spans="1:14" ht="17.100000000000001" customHeight="1" x14ac:dyDescent="0.2">
      <c r="A8" s="3">
        <v>2</v>
      </c>
      <c r="B8" s="4" t="s">
        <v>14</v>
      </c>
      <c r="C8" s="4" t="s">
        <v>15</v>
      </c>
      <c r="D8" s="4" t="s">
        <v>16</v>
      </c>
      <c r="E8" s="5">
        <v>525459</v>
      </c>
      <c r="F8" s="6">
        <v>4529.45658</v>
      </c>
      <c r="G8" s="7">
        <v>7.3187107000000001E-2</v>
      </c>
      <c r="H8" s="51"/>
    </row>
    <row r="9" spans="1:14" ht="17.100000000000001" customHeight="1" x14ac:dyDescent="0.2">
      <c r="A9" s="3">
        <v>3</v>
      </c>
      <c r="B9" s="4" t="s">
        <v>17</v>
      </c>
      <c r="C9" s="4" t="s">
        <v>18</v>
      </c>
      <c r="D9" s="4" t="s">
        <v>19</v>
      </c>
      <c r="E9" s="5">
        <v>515333</v>
      </c>
      <c r="F9" s="6">
        <v>4122.1486670000004</v>
      </c>
      <c r="G9" s="7">
        <v>6.6605813E-2</v>
      </c>
      <c r="H9" s="51"/>
    </row>
    <row r="10" spans="1:14" ht="17.100000000000001" customHeight="1" x14ac:dyDescent="0.2">
      <c r="A10" s="3">
        <v>4</v>
      </c>
      <c r="B10" s="4" t="s">
        <v>20</v>
      </c>
      <c r="C10" s="4" t="s">
        <v>21</v>
      </c>
      <c r="D10" s="4" t="s">
        <v>22</v>
      </c>
      <c r="E10" s="5">
        <v>150246</v>
      </c>
      <c r="F10" s="6">
        <v>3572.4742649999998</v>
      </c>
      <c r="G10" s="7">
        <v>5.7724155999999999E-2</v>
      </c>
      <c r="H10" s="51"/>
    </row>
    <row r="11" spans="1:14" ht="29.1" customHeight="1" x14ac:dyDescent="0.2">
      <c r="A11" s="3">
        <v>5</v>
      </c>
      <c r="B11" s="4" t="s">
        <v>23</v>
      </c>
      <c r="C11" s="4" t="s">
        <v>24</v>
      </c>
      <c r="D11" s="4" t="s">
        <v>25</v>
      </c>
      <c r="E11" s="5">
        <v>42511</v>
      </c>
      <c r="F11" s="6">
        <v>2659.1055609999999</v>
      </c>
      <c r="G11" s="7">
        <v>4.2965914000000001E-2</v>
      </c>
      <c r="H11" s="51"/>
    </row>
    <row r="12" spans="1:14" ht="17.100000000000001" customHeight="1" x14ac:dyDescent="0.2">
      <c r="A12" s="3">
        <v>6</v>
      </c>
      <c r="B12" s="4" t="s">
        <v>26</v>
      </c>
      <c r="C12" s="4" t="s">
        <v>27</v>
      </c>
      <c r="D12" s="4" t="s">
        <v>28</v>
      </c>
      <c r="E12" s="5">
        <v>1303466</v>
      </c>
      <c r="F12" s="6">
        <v>2080.9834689999998</v>
      </c>
      <c r="G12" s="7">
        <v>3.3624598999999998E-2</v>
      </c>
      <c r="H12" s="51"/>
      <c r="J12" s="157" t="s">
        <v>1090</v>
      </c>
    </row>
    <row r="13" spans="1:14" ht="17.100000000000001" customHeight="1" x14ac:dyDescent="0.2">
      <c r="A13" s="3">
        <v>7</v>
      </c>
      <c r="B13" s="4" t="s">
        <v>29</v>
      </c>
      <c r="C13" s="4" t="s">
        <v>30</v>
      </c>
      <c r="D13" s="4" t="s">
        <v>31</v>
      </c>
      <c r="E13" s="5">
        <v>97015</v>
      </c>
      <c r="F13" s="6">
        <v>1938.4082074999999</v>
      </c>
      <c r="G13" s="7">
        <v>3.1320862999999997E-2</v>
      </c>
      <c r="H13" s="51"/>
    </row>
    <row r="14" spans="1:14" ht="17.100000000000001" customHeight="1" x14ac:dyDescent="0.2">
      <c r="A14" s="3">
        <v>8</v>
      </c>
      <c r="B14" s="4" t="s">
        <v>32</v>
      </c>
      <c r="C14" s="4" t="s">
        <v>33</v>
      </c>
      <c r="D14" s="4" t="s">
        <v>31</v>
      </c>
      <c r="E14" s="5">
        <v>93153</v>
      </c>
      <c r="F14" s="6">
        <v>1922.8176495</v>
      </c>
      <c r="G14" s="7">
        <v>3.1068950000000001E-2</v>
      </c>
      <c r="H14" s="51"/>
    </row>
    <row r="15" spans="1:14" ht="17.100000000000001" customHeight="1" x14ac:dyDescent="0.2">
      <c r="A15" s="3">
        <v>9</v>
      </c>
      <c r="B15" s="4" t="s">
        <v>34</v>
      </c>
      <c r="C15" s="4" t="s">
        <v>35</v>
      </c>
      <c r="D15" s="4" t="s">
        <v>36</v>
      </c>
      <c r="E15" s="5">
        <v>50011</v>
      </c>
      <c r="F15" s="6">
        <v>1544.539724</v>
      </c>
      <c r="G15" s="7">
        <v>2.4956723E-2</v>
      </c>
      <c r="H15" s="51"/>
    </row>
    <row r="16" spans="1:14" ht="17.100000000000001" customHeight="1" x14ac:dyDescent="0.2">
      <c r="A16" s="3">
        <v>10</v>
      </c>
      <c r="B16" s="4" t="s">
        <v>37</v>
      </c>
      <c r="C16" s="4" t="s">
        <v>38</v>
      </c>
      <c r="D16" s="4" t="s">
        <v>31</v>
      </c>
      <c r="E16" s="5">
        <v>40893</v>
      </c>
      <c r="F16" s="6">
        <v>1494.2302199999999</v>
      </c>
      <c r="G16" s="7">
        <v>2.4143820999999999E-2</v>
      </c>
      <c r="H16" s="51"/>
    </row>
    <row r="17" spans="1:8" ht="17.100000000000001" customHeight="1" x14ac:dyDescent="0.2">
      <c r="A17" s="3">
        <v>11</v>
      </c>
      <c r="B17" s="4" t="s">
        <v>39</v>
      </c>
      <c r="C17" s="4" t="s">
        <v>40</v>
      </c>
      <c r="D17" s="4" t="s">
        <v>31</v>
      </c>
      <c r="E17" s="5">
        <v>56466</v>
      </c>
      <c r="F17" s="6">
        <v>1445.9530950000001</v>
      </c>
      <c r="G17" s="7">
        <v>2.3363756999999999E-2</v>
      </c>
      <c r="H17" s="51"/>
    </row>
    <row r="18" spans="1:8" ht="17.100000000000001" customHeight="1" x14ac:dyDescent="0.2">
      <c r="A18" s="3">
        <v>12</v>
      </c>
      <c r="B18" s="4" t="s">
        <v>41</v>
      </c>
      <c r="C18" s="4" t="s">
        <v>42</v>
      </c>
      <c r="D18" s="4" t="s">
        <v>16</v>
      </c>
      <c r="E18" s="5">
        <v>247227</v>
      </c>
      <c r="F18" s="6">
        <v>1311.786462</v>
      </c>
      <c r="G18" s="7">
        <v>2.1195888E-2</v>
      </c>
      <c r="H18" s="51"/>
    </row>
    <row r="19" spans="1:8" ht="53.1" customHeight="1" x14ac:dyDescent="0.2">
      <c r="A19" s="3">
        <v>13</v>
      </c>
      <c r="B19" s="4" t="s">
        <v>43</v>
      </c>
      <c r="C19" s="4" t="s">
        <v>44</v>
      </c>
      <c r="D19" s="4" t="s">
        <v>45</v>
      </c>
      <c r="E19" s="5">
        <v>847086</v>
      </c>
      <c r="F19" s="6">
        <v>1293.076779</v>
      </c>
      <c r="G19" s="7">
        <v>2.0893577E-2</v>
      </c>
      <c r="H19" s="51"/>
    </row>
    <row r="20" spans="1:8" ht="29.1" customHeight="1" x14ac:dyDescent="0.2">
      <c r="A20" s="3">
        <v>14</v>
      </c>
      <c r="B20" s="4" t="s">
        <v>46</v>
      </c>
      <c r="C20" s="4" t="s">
        <v>47</v>
      </c>
      <c r="D20" s="4" t="s">
        <v>48</v>
      </c>
      <c r="E20" s="5">
        <v>3191</v>
      </c>
      <c r="F20" s="6">
        <v>1276.5324264999999</v>
      </c>
      <c r="G20" s="7">
        <v>2.0626253000000001E-2</v>
      </c>
      <c r="H20" s="51"/>
    </row>
    <row r="21" spans="1:8" ht="17.100000000000001" customHeight="1" x14ac:dyDescent="0.2">
      <c r="A21" s="3">
        <v>15</v>
      </c>
      <c r="B21" s="4" t="s">
        <v>49</v>
      </c>
      <c r="C21" s="4" t="s">
        <v>50</v>
      </c>
      <c r="D21" s="4" t="s">
        <v>51</v>
      </c>
      <c r="E21" s="5">
        <v>178999</v>
      </c>
      <c r="F21" s="6">
        <v>1273.8463835</v>
      </c>
      <c r="G21" s="7">
        <v>2.0582850999999999E-2</v>
      </c>
      <c r="H21" s="51"/>
    </row>
    <row r="22" spans="1:8" ht="17.100000000000001" customHeight="1" x14ac:dyDescent="0.2">
      <c r="A22" s="3">
        <v>16</v>
      </c>
      <c r="B22" s="4" t="s">
        <v>52</v>
      </c>
      <c r="C22" s="4" t="s">
        <v>53</v>
      </c>
      <c r="D22" s="4" t="s">
        <v>28</v>
      </c>
      <c r="E22" s="5">
        <v>544901</v>
      </c>
      <c r="F22" s="6">
        <v>1179.7106650000001</v>
      </c>
      <c r="G22" s="7">
        <v>1.9061802999999999E-2</v>
      </c>
      <c r="H22" s="51"/>
    </row>
    <row r="23" spans="1:8" ht="17.100000000000001" customHeight="1" x14ac:dyDescent="0.2">
      <c r="A23" s="3">
        <v>17</v>
      </c>
      <c r="B23" s="4" t="s">
        <v>54</v>
      </c>
      <c r="C23" s="4" t="s">
        <v>55</v>
      </c>
      <c r="D23" s="4" t="s">
        <v>13</v>
      </c>
      <c r="E23" s="5">
        <v>434852</v>
      </c>
      <c r="F23" s="6">
        <v>1153.010078</v>
      </c>
      <c r="G23" s="7">
        <v>1.8630374000000002E-2</v>
      </c>
      <c r="H23" s="51"/>
    </row>
    <row r="24" spans="1:8" ht="17.100000000000001" customHeight="1" x14ac:dyDescent="0.2">
      <c r="A24" s="3">
        <v>18</v>
      </c>
      <c r="B24" s="4" t="s">
        <v>56</v>
      </c>
      <c r="C24" s="4" t="s">
        <v>57</v>
      </c>
      <c r="D24" s="4" t="s">
        <v>13</v>
      </c>
      <c r="E24" s="5">
        <v>1492666</v>
      </c>
      <c r="F24" s="6">
        <v>1070.9878550000001</v>
      </c>
      <c r="G24" s="7">
        <v>1.7305056999999999E-2</v>
      </c>
      <c r="H24" s="51"/>
    </row>
    <row r="25" spans="1:8" ht="29.1" customHeight="1" x14ac:dyDescent="0.2">
      <c r="A25" s="3">
        <v>19</v>
      </c>
      <c r="B25" s="4" t="s">
        <v>58</v>
      </c>
      <c r="C25" s="4" t="s">
        <v>59</v>
      </c>
      <c r="D25" s="4" t="s">
        <v>60</v>
      </c>
      <c r="E25" s="5">
        <v>129629</v>
      </c>
      <c r="F25" s="6">
        <v>1063.8003885000001</v>
      </c>
      <c r="G25" s="7">
        <v>1.7188920999999999E-2</v>
      </c>
      <c r="H25" s="51"/>
    </row>
    <row r="26" spans="1:8" ht="17.100000000000001" customHeight="1" x14ac:dyDescent="0.2">
      <c r="A26" s="3">
        <v>20</v>
      </c>
      <c r="B26" s="4" t="s">
        <v>61</v>
      </c>
      <c r="C26" s="4" t="s">
        <v>62</v>
      </c>
      <c r="D26" s="4" t="s">
        <v>28</v>
      </c>
      <c r="E26" s="5">
        <v>494033</v>
      </c>
      <c r="F26" s="6">
        <v>1048.3380259999999</v>
      </c>
      <c r="G26" s="7">
        <v>1.6939079999999999E-2</v>
      </c>
      <c r="H26" s="51"/>
    </row>
    <row r="27" spans="1:8" ht="29.1" customHeight="1" x14ac:dyDescent="0.2">
      <c r="A27" s="3">
        <v>21</v>
      </c>
      <c r="B27" s="4" t="s">
        <v>63</v>
      </c>
      <c r="C27" s="4" t="s">
        <v>64</v>
      </c>
      <c r="D27" s="4" t="s">
        <v>25</v>
      </c>
      <c r="E27" s="5">
        <v>39329</v>
      </c>
      <c r="F27" s="6">
        <v>1032.6418885000001</v>
      </c>
      <c r="G27" s="7">
        <v>1.6685460999999999E-2</v>
      </c>
      <c r="H27" s="51"/>
    </row>
    <row r="28" spans="1:8" ht="29.1" customHeight="1" x14ac:dyDescent="0.2">
      <c r="A28" s="3">
        <v>22</v>
      </c>
      <c r="B28" s="4" t="s">
        <v>65</v>
      </c>
      <c r="C28" s="4" t="s">
        <v>66</v>
      </c>
      <c r="D28" s="4" t="s">
        <v>48</v>
      </c>
      <c r="E28" s="5">
        <v>50164</v>
      </c>
      <c r="F28" s="6">
        <v>967.96454400000005</v>
      </c>
      <c r="G28" s="7">
        <v>1.5640403000000001E-2</v>
      </c>
      <c r="H28" s="51"/>
    </row>
    <row r="29" spans="1:8" ht="17.100000000000001" customHeight="1" x14ac:dyDescent="0.2">
      <c r="A29" s="3">
        <v>23</v>
      </c>
      <c r="B29" s="4" t="s">
        <v>67</v>
      </c>
      <c r="C29" s="4" t="s">
        <v>68</v>
      </c>
      <c r="D29" s="4" t="s">
        <v>69</v>
      </c>
      <c r="E29" s="5">
        <v>10367</v>
      </c>
      <c r="F29" s="6">
        <v>915.21431050000001</v>
      </c>
      <c r="G29" s="7">
        <v>1.4788063000000001E-2</v>
      </c>
      <c r="H29" s="51"/>
    </row>
    <row r="30" spans="1:8" ht="17.100000000000001" customHeight="1" x14ac:dyDescent="0.2">
      <c r="A30" s="3">
        <v>24</v>
      </c>
      <c r="B30" s="4" t="s">
        <v>70</v>
      </c>
      <c r="C30" s="4" t="s">
        <v>71</v>
      </c>
      <c r="D30" s="4" t="s">
        <v>72</v>
      </c>
      <c r="E30" s="5">
        <v>26495</v>
      </c>
      <c r="F30" s="6">
        <v>851.11213250000003</v>
      </c>
      <c r="G30" s="7">
        <v>1.3752298E-2</v>
      </c>
      <c r="H30" s="51"/>
    </row>
    <row r="31" spans="1:8" ht="29.1" customHeight="1" x14ac:dyDescent="0.2">
      <c r="A31" s="3">
        <v>25</v>
      </c>
      <c r="B31" s="4" t="s">
        <v>73</v>
      </c>
      <c r="C31" s="4" t="s">
        <v>74</v>
      </c>
      <c r="D31" s="4" t="s">
        <v>75</v>
      </c>
      <c r="E31" s="5">
        <v>825000</v>
      </c>
      <c r="F31" s="6">
        <v>832.83749999999998</v>
      </c>
      <c r="G31" s="7">
        <v>1.3457014999999999E-2</v>
      </c>
      <c r="H31" s="51"/>
    </row>
    <row r="32" spans="1:8" ht="17.100000000000001" customHeight="1" x14ac:dyDescent="0.2">
      <c r="A32" s="3">
        <v>26</v>
      </c>
      <c r="B32" s="4" t="s">
        <v>76</v>
      </c>
      <c r="C32" s="4" t="s">
        <v>77</v>
      </c>
      <c r="D32" s="4" t="s">
        <v>36</v>
      </c>
      <c r="E32" s="5">
        <v>30000</v>
      </c>
      <c r="F32" s="6">
        <v>831.24</v>
      </c>
      <c r="G32" s="7">
        <v>1.3431202999999999E-2</v>
      </c>
      <c r="H32" s="51"/>
    </row>
    <row r="33" spans="1:8" ht="17.100000000000001" customHeight="1" x14ac:dyDescent="0.2">
      <c r="A33" s="3">
        <v>27</v>
      </c>
      <c r="B33" s="4" t="s">
        <v>78</v>
      </c>
      <c r="C33" s="4" t="s">
        <v>79</v>
      </c>
      <c r="D33" s="4" t="s">
        <v>31</v>
      </c>
      <c r="E33" s="5">
        <v>75424</v>
      </c>
      <c r="F33" s="6">
        <v>782.93883200000005</v>
      </c>
      <c r="G33" s="7">
        <v>1.2650751E-2</v>
      </c>
      <c r="H33" s="51"/>
    </row>
    <row r="34" spans="1:8" ht="17.100000000000001" customHeight="1" x14ac:dyDescent="0.2">
      <c r="A34" s="3">
        <v>28</v>
      </c>
      <c r="B34" s="4" t="s">
        <v>80</v>
      </c>
      <c r="C34" s="4" t="s">
        <v>81</v>
      </c>
      <c r="D34" s="4" t="s">
        <v>51</v>
      </c>
      <c r="E34" s="5">
        <v>150203</v>
      </c>
      <c r="F34" s="6">
        <v>780.83029550000003</v>
      </c>
      <c r="G34" s="7">
        <v>1.2616680999999999E-2</v>
      </c>
      <c r="H34" s="51"/>
    </row>
    <row r="35" spans="1:8" ht="17.100000000000001" customHeight="1" x14ac:dyDescent="0.2">
      <c r="A35" s="3">
        <v>29</v>
      </c>
      <c r="B35" s="4" t="s">
        <v>82</v>
      </c>
      <c r="C35" s="4" t="s">
        <v>83</v>
      </c>
      <c r="D35" s="4" t="s">
        <v>31</v>
      </c>
      <c r="E35" s="5">
        <v>50976</v>
      </c>
      <c r="F35" s="6">
        <v>736.75612799999999</v>
      </c>
      <c r="G35" s="7">
        <v>1.190453E-2</v>
      </c>
      <c r="H35" s="51"/>
    </row>
    <row r="36" spans="1:8" ht="17.100000000000001" customHeight="1" x14ac:dyDescent="0.2">
      <c r="A36" s="3">
        <v>30</v>
      </c>
      <c r="B36" s="4" t="s">
        <v>84</v>
      </c>
      <c r="C36" s="4" t="s">
        <v>85</v>
      </c>
      <c r="D36" s="4" t="s">
        <v>36</v>
      </c>
      <c r="E36" s="5">
        <v>308781</v>
      </c>
      <c r="F36" s="6">
        <v>725.32656899999995</v>
      </c>
      <c r="G36" s="7">
        <v>1.171985E-2</v>
      </c>
      <c r="H36" s="51"/>
    </row>
    <row r="37" spans="1:8" ht="29.1" customHeight="1" x14ac:dyDescent="0.2">
      <c r="A37" s="3">
        <v>31</v>
      </c>
      <c r="B37" s="4" t="s">
        <v>86</v>
      </c>
      <c r="C37" s="4" t="s">
        <v>87</v>
      </c>
      <c r="D37" s="4" t="s">
        <v>25</v>
      </c>
      <c r="E37" s="5">
        <v>140000</v>
      </c>
      <c r="F37" s="6">
        <v>721.84</v>
      </c>
      <c r="G37" s="7">
        <v>1.1663514E-2</v>
      </c>
      <c r="H37" s="51"/>
    </row>
    <row r="38" spans="1:8" ht="29.1" customHeight="1" x14ac:dyDescent="0.2">
      <c r="A38" s="3">
        <v>32</v>
      </c>
      <c r="B38" s="4" t="s">
        <v>88</v>
      </c>
      <c r="C38" s="4" t="s">
        <v>89</v>
      </c>
      <c r="D38" s="4" t="s">
        <v>25</v>
      </c>
      <c r="E38" s="5">
        <v>3379</v>
      </c>
      <c r="F38" s="6">
        <v>710.70844899999997</v>
      </c>
      <c r="G38" s="7">
        <v>1.148365E-2</v>
      </c>
      <c r="H38" s="51"/>
    </row>
    <row r="39" spans="1:8" ht="17.100000000000001" customHeight="1" x14ac:dyDescent="0.2">
      <c r="A39" s="3">
        <v>33</v>
      </c>
      <c r="B39" s="4" t="s">
        <v>90</v>
      </c>
      <c r="C39" s="4" t="s">
        <v>91</v>
      </c>
      <c r="D39" s="4" t="s">
        <v>92</v>
      </c>
      <c r="E39" s="5">
        <v>134092</v>
      </c>
      <c r="F39" s="6">
        <v>682.12600399999997</v>
      </c>
      <c r="G39" s="7">
        <v>1.1021814E-2</v>
      </c>
      <c r="H39" s="51"/>
    </row>
    <row r="40" spans="1:8" ht="53.1" customHeight="1" x14ac:dyDescent="0.2">
      <c r="A40" s="3">
        <v>34</v>
      </c>
      <c r="B40" s="4" t="s">
        <v>93</v>
      </c>
      <c r="C40" s="4" t="s">
        <v>94</v>
      </c>
      <c r="D40" s="4" t="s">
        <v>45</v>
      </c>
      <c r="E40" s="5">
        <v>45404</v>
      </c>
      <c r="F40" s="6">
        <v>673.25051199999996</v>
      </c>
      <c r="G40" s="7">
        <v>1.0878404E-2</v>
      </c>
      <c r="H40" s="51"/>
    </row>
    <row r="41" spans="1:8" ht="29.1" customHeight="1" x14ac:dyDescent="0.2">
      <c r="A41" s="3">
        <v>35</v>
      </c>
      <c r="B41" s="4" t="s">
        <v>95</v>
      </c>
      <c r="C41" s="4" t="s">
        <v>96</v>
      </c>
      <c r="D41" s="4" t="s">
        <v>97</v>
      </c>
      <c r="E41" s="5">
        <v>90717</v>
      </c>
      <c r="F41" s="6">
        <v>664.229874</v>
      </c>
      <c r="G41" s="7">
        <v>1.0732647999999999E-2</v>
      </c>
      <c r="H41" s="51"/>
    </row>
    <row r="42" spans="1:8" ht="17.100000000000001" customHeight="1" x14ac:dyDescent="0.2">
      <c r="A42" s="3">
        <v>36</v>
      </c>
      <c r="B42" s="4" t="s">
        <v>98</v>
      </c>
      <c r="C42" s="4" t="s">
        <v>99</v>
      </c>
      <c r="D42" s="4" t="s">
        <v>13</v>
      </c>
      <c r="E42" s="5">
        <v>272313</v>
      </c>
      <c r="F42" s="6">
        <v>622.91598750000003</v>
      </c>
      <c r="G42" s="7">
        <v>1.0065097E-2</v>
      </c>
      <c r="H42" s="51"/>
    </row>
    <row r="43" spans="1:8" ht="17.100000000000001" customHeight="1" x14ac:dyDescent="0.2">
      <c r="A43" s="3">
        <v>37</v>
      </c>
      <c r="B43" s="4" t="s">
        <v>100</v>
      </c>
      <c r="C43" s="4" t="s">
        <v>101</v>
      </c>
      <c r="D43" s="4" t="s">
        <v>22</v>
      </c>
      <c r="E43" s="5">
        <v>199136</v>
      </c>
      <c r="F43" s="6">
        <v>606.96652800000004</v>
      </c>
      <c r="G43" s="7">
        <v>9.8073850000000001E-3</v>
      </c>
      <c r="H43" s="51"/>
    </row>
    <row r="44" spans="1:8" ht="17.100000000000001" customHeight="1" x14ac:dyDescent="0.2">
      <c r="A44" s="3">
        <v>38</v>
      </c>
      <c r="B44" s="4" t="s">
        <v>102</v>
      </c>
      <c r="C44" s="4" t="s">
        <v>103</v>
      </c>
      <c r="D44" s="4" t="s">
        <v>104</v>
      </c>
      <c r="E44" s="5">
        <v>142476</v>
      </c>
      <c r="F44" s="6">
        <v>606.73404600000003</v>
      </c>
      <c r="G44" s="7">
        <v>9.803628E-3</v>
      </c>
      <c r="H44" s="51"/>
    </row>
    <row r="45" spans="1:8" ht="17.100000000000001" customHeight="1" x14ac:dyDescent="0.2">
      <c r="A45" s="3">
        <v>39</v>
      </c>
      <c r="B45" s="4" t="s">
        <v>105</v>
      </c>
      <c r="C45" s="4" t="s">
        <v>106</v>
      </c>
      <c r="D45" s="4" t="s">
        <v>31</v>
      </c>
      <c r="E45" s="5">
        <v>50000</v>
      </c>
      <c r="F45" s="6">
        <v>597.92499999999995</v>
      </c>
      <c r="G45" s="7">
        <v>9.6612920000000001E-3</v>
      </c>
      <c r="H45" s="51"/>
    </row>
    <row r="46" spans="1:8" ht="17.100000000000001" customHeight="1" x14ac:dyDescent="0.2">
      <c r="A46" s="3">
        <v>40</v>
      </c>
      <c r="B46" s="4" t="s">
        <v>107</v>
      </c>
      <c r="C46" s="4" t="s">
        <v>108</v>
      </c>
      <c r="D46" s="4" t="s">
        <v>92</v>
      </c>
      <c r="E46" s="5">
        <v>61821</v>
      </c>
      <c r="F46" s="6">
        <v>567.39313800000002</v>
      </c>
      <c r="G46" s="7">
        <v>9.1679569999999991E-3</v>
      </c>
      <c r="H46" s="51"/>
    </row>
    <row r="47" spans="1:8" ht="17.100000000000001" customHeight="1" x14ac:dyDescent="0.2">
      <c r="A47" s="3">
        <v>41</v>
      </c>
      <c r="B47" s="4" t="s">
        <v>109</v>
      </c>
      <c r="C47" s="4" t="s">
        <v>110</v>
      </c>
      <c r="D47" s="4" t="s">
        <v>72</v>
      </c>
      <c r="E47" s="5">
        <v>119000</v>
      </c>
      <c r="F47" s="6">
        <v>551.86249999999995</v>
      </c>
      <c r="G47" s="7">
        <v>8.9170120000000002E-3</v>
      </c>
      <c r="H47" s="51"/>
    </row>
    <row r="48" spans="1:8" ht="17.100000000000001" customHeight="1" x14ac:dyDescent="0.2">
      <c r="A48" s="3">
        <v>42</v>
      </c>
      <c r="B48" s="4" t="s">
        <v>111</v>
      </c>
      <c r="C48" s="4" t="s">
        <v>112</v>
      </c>
      <c r="D48" s="4" t="s">
        <v>92</v>
      </c>
      <c r="E48" s="5">
        <v>112117</v>
      </c>
      <c r="F48" s="6">
        <v>504.30226599999997</v>
      </c>
      <c r="G48" s="7">
        <v>8.148532E-3</v>
      </c>
      <c r="H48" s="51"/>
    </row>
    <row r="49" spans="1:8" ht="17.100000000000001" customHeight="1" x14ac:dyDescent="0.2">
      <c r="A49" s="3">
        <v>43</v>
      </c>
      <c r="B49" s="4" t="s">
        <v>113</v>
      </c>
      <c r="C49" s="4" t="s">
        <v>114</v>
      </c>
      <c r="D49" s="4" t="s">
        <v>13</v>
      </c>
      <c r="E49" s="5">
        <v>38844</v>
      </c>
      <c r="F49" s="6">
        <v>475.897266</v>
      </c>
      <c r="G49" s="7">
        <v>7.6895640000000003E-3</v>
      </c>
      <c r="H49" s="51"/>
    </row>
    <row r="50" spans="1:8" ht="17.100000000000001" customHeight="1" x14ac:dyDescent="0.2">
      <c r="A50" s="3">
        <v>44</v>
      </c>
      <c r="B50" s="4" t="s">
        <v>115</v>
      </c>
      <c r="C50" s="4" t="s">
        <v>116</v>
      </c>
      <c r="D50" s="4" t="s">
        <v>117</v>
      </c>
      <c r="E50" s="5">
        <v>119918</v>
      </c>
      <c r="F50" s="6">
        <v>468.33974899999998</v>
      </c>
      <c r="G50" s="7">
        <v>7.5674490000000004E-3</v>
      </c>
      <c r="H50" s="51"/>
    </row>
    <row r="51" spans="1:8" ht="17.100000000000001" customHeight="1" x14ac:dyDescent="0.2">
      <c r="A51" s="3">
        <v>45</v>
      </c>
      <c r="B51" s="4" t="s">
        <v>118</v>
      </c>
      <c r="C51" s="4" t="s">
        <v>119</v>
      </c>
      <c r="D51" s="4" t="s">
        <v>120</v>
      </c>
      <c r="E51" s="5">
        <v>313512</v>
      </c>
      <c r="F51" s="6">
        <v>397.53321599999998</v>
      </c>
      <c r="G51" s="7">
        <v>6.4233550000000004E-3</v>
      </c>
      <c r="H51" s="51"/>
    </row>
    <row r="52" spans="1:8" ht="29.1" customHeight="1" x14ac:dyDescent="0.2">
      <c r="A52" s="3">
        <v>46</v>
      </c>
      <c r="B52" s="4" t="s">
        <v>121</v>
      </c>
      <c r="C52" s="4" t="s">
        <v>122</v>
      </c>
      <c r="D52" s="4" t="s">
        <v>25</v>
      </c>
      <c r="E52" s="5">
        <v>46318</v>
      </c>
      <c r="F52" s="6">
        <v>349.46931000000001</v>
      </c>
      <c r="G52" s="7">
        <v>5.6467369999999998E-3</v>
      </c>
      <c r="H52" s="51"/>
    </row>
    <row r="53" spans="1:8" ht="17.100000000000001" customHeight="1" x14ac:dyDescent="0.2">
      <c r="A53" s="3">
        <v>47</v>
      </c>
      <c r="B53" s="4" t="s">
        <v>123</v>
      </c>
      <c r="C53" s="4" t="s">
        <v>124</v>
      </c>
      <c r="D53" s="4" t="s">
        <v>104</v>
      </c>
      <c r="E53" s="5">
        <v>10500</v>
      </c>
      <c r="F53" s="6">
        <v>248.1885</v>
      </c>
      <c r="G53" s="7">
        <v>4.0102380000000002E-3</v>
      </c>
      <c r="H53" s="51"/>
    </row>
    <row r="54" spans="1:8" ht="17.100000000000001" customHeight="1" x14ac:dyDescent="0.2">
      <c r="A54" s="3">
        <v>48</v>
      </c>
      <c r="B54" s="61" t="s">
        <v>1012</v>
      </c>
      <c r="C54" s="65" t="s">
        <v>125</v>
      </c>
      <c r="D54" s="61" t="s">
        <v>97</v>
      </c>
      <c r="E54" s="5">
        <v>45404</v>
      </c>
      <c r="F54" s="6">
        <v>137.00657000000001</v>
      </c>
      <c r="G54" s="7">
        <v>2.2137569999999998E-3</v>
      </c>
      <c r="H54" s="51"/>
    </row>
    <row r="55" spans="1:8" ht="14.1" customHeight="1" x14ac:dyDescent="0.2">
      <c r="A55" s="1"/>
      <c r="B55" s="1"/>
      <c r="C55" s="2" t="s">
        <v>129</v>
      </c>
      <c r="D55" s="1"/>
      <c r="E55" s="1" t="s">
        <v>130</v>
      </c>
      <c r="F55" s="9">
        <v>59543.652746999986</v>
      </c>
      <c r="G55" s="10">
        <v>0.96210828199999976</v>
      </c>
      <c r="H55" s="51"/>
    </row>
    <row r="56" spans="1:8" ht="14.1" customHeight="1" x14ac:dyDescent="0.2">
      <c r="A56" s="1"/>
      <c r="B56" s="1"/>
      <c r="C56" s="11"/>
      <c r="D56" s="1"/>
      <c r="E56" s="1"/>
      <c r="F56" s="12"/>
      <c r="G56" s="12"/>
      <c r="H56" s="51"/>
    </row>
    <row r="57" spans="1:8" ht="14.1" customHeight="1" x14ac:dyDescent="0.2">
      <c r="A57" s="1"/>
      <c r="B57" s="1"/>
      <c r="C57" s="2" t="s">
        <v>131</v>
      </c>
      <c r="D57" s="1"/>
      <c r="E57" s="1"/>
      <c r="F57" s="1"/>
      <c r="G57" s="1"/>
      <c r="H57" s="51"/>
    </row>
    <row r="58" spans="1:8" ht="14.1" customHeight="1" x14ac:dyDescent="0.2">
      <c r="A58" s="1"/>
      <c r="B58" s="1"/>
      <c r="C58" s="2" t="s">
        <v>129</v>
      </c>
      <c r="D58" s="1"/>
      <c r="E58" s="1" t="s">
        <v>130</v>
      </c>
      <c r="F58" s="13">
        <v>0</v>
      </c>
      <c r="G58" s="14">
        <v>0</v>
      </c>
      <c r="H58" s="51"/>
    </row>
    <row r="59" spans="1:8" ht="14.1" customHeight="1" x14ac:dyDescent="0.2">
      <c r="A59" s="1"/>
      <c r="B59" s="1"/>
      <c r="C59" s="11"/>
      <c r="D59" s="1"/>
      <c r="E59" s="1"/>
      <c r="F59" s="12"/>
      <c r="G59" s="12"/>
      <c r="H59" s="51"/>
    </row>
    <row r="60" spans="1:8" ht="14.1" customHeight="1" x14ac:dyDescent="0.2">
      <c r="A60" s="1"/>
      <c r="B60" s="1"/>
      <c r="C60" s="2" t="s">
        <v>132</v>
      </c>
      <c r="D60" s="1"/>
      <c r="E60" s="1"/>
      <c r="F60" s="1"/>
      <c r="G60" s="1"/>
      <c r="H60" s="51"/>
    </row>
    <row r="61" spans="1:8" ht="17.100000000000001" customHeight="1" x14ac:dyDescent="0.2">
      <c r="A61" s="3">
        <v>1</v>
      </c>
      <c r="B61" s="4" t="s">
        <v>126</v>
      </c>
      <c r="C61" s="38" t="s">
        <v>994</v>
      </c>
      <c r="D61" s="4" t="s">
        <v>127</v>
      </c>
      <c r="E61" s="5">
        <v>559425</v>
      </c>
      <c r="F61" s="6">
        <v>1.1189000000000001E-5</v>
      </c>
      <c r="G61" s="8" t="s">
        <v>128</v>
      </c>
      <c r="H61" s="51"/>
    </row>
    <row r="62" spans="1:8" ht="14.1" customHeight="1" x14ac:dyDescent="0.2">
      <c r="A62" s="1"/>
      <c r="B62" s="1"/>
      <c r="C62" s="2" t="s">
        <v>129</v>
      </c>
      <c r="D62" s="1"/>
      <c r="E62" s="1" t="s">
        <v>130</v>
      </c>
      <c r="F62" s="13">
        <v>1.1189000000000001E-5</v>
      </c>
      <c r="G62" s="14">
        <v>0</v>
      </c>
      <c r="H62" s="51"/>
    </row>
    <row r="63" spans="1:8" ht="14.1" customHeight="1" x14ac:dyDescent="0.2">
      <c r="A63" s="1"/>
      <c r="B63" s="1"/>
      <c r="C63" s="11"/>
      <c r="D63" s="1"/>
      <c r="E63" s="1"/>
      <c r="F63" s="12"/>
      <c r="G63" s="12"/>
      <c r="H63" s="51"/>
    </row>
    <row r="64" spans="1:8" ht="14.1" customHeight="1" x14ac:dyDescent="0.2">
      <c r="A64" s="1"/>
      <c r="B64" s="1"/>
      <c r="C64" s="2" t="s">
        <v>133</v>
      </c>
      <c r="D64" s="1"/>
      <c r="E64" s="1"/>
      <c r="F64" s="1"/>
      <c r="G64" s="1"/>
      <c r="H64" s="51"/>
    </row>
    <row r="65" spans="1:8" ht="14.1" customHeight="1" x14ac:dyDescent="0.2">
      <c r="A65" s="1"/>
      <c r="B65" s="1"/>
      <c r="C65" s="2" t="s">
        <v>129</v>
      </c>
      <c r="D65" s="1"/>
      <c r="E65" s="1" t="s">
        <v>130</v>
      </c>
      <c r="F65" s="13">
        <v>0</v>
      </c>
      <c r="G65" s="14">
        <v>0</v>
      </c>
      <c r="H65" s="51"/>
    </row>
    <row r="66" spans="1:8" ht="14.1" customHeight="1" x14ac:dyDescent="0.2">
      <c r="A66" s="1"/>
      <c r="B66" s="1"/>
      <c r="C66" s="11"/>
      <c r="D66" s="1"/>
      <c r="E66" s="1"/>
      <c r="F66" s="12"/>
      <c r="G66" s="12"/>
      <c r="H66" s="51"/>
    </row>
    <row r="67" spans="1:8" ht="14.1" customHeight="1" x14ac:dyDescent="0.2">
      <c r="A67" s="1"/>
      <c r="B67" s="1"/>
      <c r="C67" s="2" t="s">
        <v>134</v>
      </c>
      <c r="D67" s="1"/>
      <c r="E67" s="1"/>
      <c r="F67" s="12"/>
      <c r="G67" s="12"/>
      <c r="H67" s="51"/>
    </row>
    <row r="68" spans="1:8" ht="14.1" customHeight="1" x14ac:dyDescent="0.2">
      <c r="A68" s="1"/>
      <c r="B68" s="1"/>
      <c r="C68" s="2" t="s">
        <v>129</v>
      </c>
      <c r="D68" s="1"/>
      <c r="E68" s="1" t="s">
        <v>130</v>
      </c>
      <c r="F68" s="13">
        <v>0</v>
      </c>
      <c r="G68" s="14">
        <v>0</v>
      </c>
      <c r="H68" s="51"/>
    </row>
    <row r="69" spans="1:8" ht="14.1" customHeight="1" x14ac:dyDescent="0.2">
      <c r="A69" s="1"/>
      <c r="B69" s="1"/>
      <c r="C69" s="11"/>
      <c r="D69" s="1"/>
      <c r="E69" s="1"/>
      <c r="F69" s="12"/>
      <c r="G69" s="12"/>
      <c r="H69" s="51"/>
    </row>
    <row r="70" spans="1:8" ht="14.1" customHeight="1" x14ac:dyDescent="0.2">
      <c r="A70" s="1"/>
      <c r="B70" s="1"/>
      <c r="C70" s="2" t="s">
        <v>135</v>
      </c>
      <c r="D70" s="1"/>
      <c r="E70" s="1"/>
      <c r="F70" s="12"/>
      <c r="G70" s="12"/>
      <c r="H70" s="51"/>
    </row>
    <row r="71" spans="1:8" ht="14.1" customHeight="1" x14ac:dyDescent="0.2">
      <c r="A71" s="1"/>
      <c r="B71" s="1"/>
      <c r="C71" s="2" t="s">
        <v>129</v>
      </c>
      <c r="D71" s="1"/>
      <c r="E71" s="1" t="s">
        <v>130</v>
      </c>
      <c r="F71" s="13">
        <v>0</v>
      </c>
      <c r="G71" s="14">
        <v>0</v>
      </c>
      <c r="H71" s="51"/>
    </row>
    <row r="72" spans="1:8" ht="14.1" customHeight="1" x14ac:dyDescent="0.2">
      <c r="A72" s="1"/>
      <c r="B72" s="1"/>
      <c r="C72" s="11"/>
      <c r="D72" s="1"/>
      <c r="E72" s="1"/>
      <c r="F72" s="12"/>
      <c r="G72" s="12"/>
      <c r="H72" s="51"/>
    </row>
    <row r="73" spans="1:8" ht="18" customHeight="1" x14ac:dyDescent="0.2">
      <c r="A73" s="1"/>
      <c r="B73" s="1"/>
      <c r="C73" s="2" t="s">
        <v>136</v>
      </c>
      <c r="D73" s="1"/>
      <c r="E73" s="1"/>
      <c r="F73" s="9">
        <v>59543.652758188997</v>
      </c>
      <c r="G73" s="10">
        <v>0.96210828199999998</v>
      </c>
      <c r="H73" s="51"/>
    </row>
    <row r="74" spans="1:8" ht="14.1" customHeight="1" x14ac:dyDescent="0.2">
      <c r="A74" s="1"/>
      <c r="B74" s="1"/>
      <c r="C74" s="11"/>
      <c r="D74" s="1"/>
      <c r="E74" s="1"/>
      <c r="F74" s="12"/>
      <c r="G74" s="12"/>
      <c r="H74" s="51"/>
    </row>
    <row r="75" spans="1:8" ht="14.1" customHeight="1" x14ac:dyDescent="0.2">
      <c r="A75" s="1"/>
      <c r="B75" s="1"/>
      <c r="C75" s="2" t="s">
        <v>137</v>
      </c>
      <c r="D75" s="1"/>
      <c r="E75" s="1"/>
      <c r="F75" s="12"/>
      <c r="G75" s="12"/>
      <c r="H75" s="51"/>
    </row>
    <row r="76" spans="1:8" ht="24" customHeight="1" x14ac:dyDescent="0.2">
      <c r="A76" s="1"/>
      <c r="B76" s="1"/>
      <c r="C76" s="2" t="s">
        <v>10</v>
      </c>
      <c r="D76" s="1"/>
      <c r="E76" s="1"/>
      <c r="F76" s="12"/>
      <c r="G76" s="12"/>
      <c r="H76" s="51"/>
    </row>
    <row r="77" spans="1:8" ht="14.1" customHeight="1" x14ac:dyDescent="0.2">
      <c r="A77" s="1"/>
      <c r="B77" s="1"/>
      <c r="C77" s="2" t="s">
        <v>129</v>
      </c>
      <c r="D77" s="1"/>
      <c r="E77" s="1" t="s">
        <v>130</v>
      </c>
      <c r="F77" s="13">
        <v>0</v>
      </c>
      <c r="G77" s="14">
        <v>0</v>
      </c>
      <c r="H77" s="51"/>
    </row>
    <row r="78" spans="1:8" ht="14.1" customHeight="1" x14ac:dyDescent="0.2">
      <c r="A78" s="1"/>
      <c r="B78" s="1"/>
      <c r="C78" s="11"/>
      <c r="D78" s="1"/>
      <c r="E78" s="1"/>
      <c r="F78" s="12"/>
      <c r="G78" s="12"/>
      <c r="H78" s="51"/>
    </row>
    <row r="79" spans="1:8" ht="14.1" customHeight="1" x14ac:dyDescent="0.2">
      <c r="A79" s="1"/>
      <c r="B79" s="1"/>
      <c r="C79" s="2" t="s">
        <v>138</v>
      </c>
      <c r="D79" s="1"/>
      <c r="E79" s="1"/>
      <c r="F79" s="1"/>
      <c r="G79" s="1"/>
      <c r="H79" s="51"/>
    </row>
    <row r="80" spans="1:8" ht="14.1" customHeight="1" x14ac:dyDescent="0.2">
      <c r="A80" s="1"/>
      <c r="B80" s="1"/>
      <c r="C80" s="2" t="s">
        <v>129</v>
      </c>
      <c r="D80" s="1"/>
      <c r="E80" s="1" t="s">
        <v>130</v>
      </c>
      <c r="F80" s="13">
        <v>0</v>
      </c>
      <c r="G80" s="14">
        <v>0</v>
      </c>
      <c r="H80" s="51"/>
    </row>
    <row r="81" spans="1:8" ht="14.1" customHeight="1" x14ac:dyDescent="0.2">
      <c r="A81" s="1"/>
      <c r="B81" s="1"/>
      <c r="C81" s="11"/>
      <c r="D81" s="1"/>
      <c r="E81" s="1"/>
      <c r="F81" s="12"/>
      <c r="G81" s="12"/>
      <c r="H81" s="51"/>
    </row>
    <row r="82" spans="1:8" ht="14.1" customHeight="1" x14ac:dyDescent="0.2">
      <c r="A82" s="1"/>
      <c r="B82" s="1"/>
      <c r="C82" s="2" t="s">
        <v>139</v>
      </c>
      <c r="D82" s="1"/>
      <c r="E82" s="1"/>
      <c r="F82" s="1"/>
      <c r="G82" s="1"/>
      <c r="H82" s="51"/>
    </row>
    <row r="83" spans="1:8" ht="14.1" customHeight="1" x14ac:dyDescent="0.2">
      <c r="A83" s="1"/>
      <c r="B83" s="1"/>
      <c r="C83" s="2" t="s">
        <v>129</v>
      </c>
      <c r="D83" s="1"/>
      <c r="E83" s="1" t="s">
        <v>130</v>
      </c>
      <c r="F83" s="13">
        <v>0</v>
      </c>
      <c r="G83" s="14">
        <v>0</v>
      </c>
      <c r="H83" s="51"/>
    </row>
    <row r="84" spans="1:8" ht="14.1" customHeight="1" x14ac:dyDescent="0.2">
      <c r="A84" s="1"/>
      <c r="B84" s="1"/>
      <c r="C84" s="11"/>
      <c r="D84" s="1"/>
      <c r="E84" s="1"/>
      <c r="F84" s="12"/>
      <c r="G84" s="12"/>
      <c r="H84" s="51"/>
    </row>
    <row r="85" spans="1:8" ht="14.1" customHeight="1" x14ac:dyDescent="0.2">
      <c r="A85" s="1"/>
      <c r="B85" s="1"/>
      <c r="C85" s="2" t="s">
        <v>140</v>
      </c>
      <c r="D85" s="1"/>
      <c r="E85" s="1"/>
      <c r="F85" s="12"/>
      <c r="G85" s="12"/>
      <c r="H85" s="51"/>
    </row>
    <row r="86" spans="1:8" ht="14.1" customHeight="1" x14ac:dyDescent="0.2">
      <c r="A86" s="1"/>
      <c r="B86" s="1"/>
      <c r="C86" s="2" t="s">
        <v>129</v>
      </c>
      <c r="D86" s="1"/>
      <c r="E86" s="1" t="s">
        <v>130</v>
      </c>
      <c r="F86" s="13">
        <v>0</v>
      </c>
      <c r="G86" s="14">
        <v>0</v>
      </c>
      <c r="H86" s="51"/>
    </row>
    <row r="87" spans="1:8" ht="14.1" customHeight="1" x14ac:dyDescent="0.2">
      <c r="A87" s="1"/>
      <c r="B87" s="1"/>
      <c r="C87" s="11"/>
      <c r="D87" s="1"/>
      <c r="E87" s="1"/>
      <c r="F87" s="12"/>
      <c r="G87" s="12"/>
      <c r="H87" s="51"/>
    </row>
    <row r="88" spans="1:8" ht="14.1" customHeight="1" x14ac:dyDescent="0.2">
      <c r="A88" s="1"/>
      <c r="B88" s="1"/>
      <c r="C88" s="2" t="s">
        <v>141</v>
      </c>
      <c r="D88" s="1"/>
      <c r="E88" s="1"/>
      <c r="F88" s="9">
        <v>0</v>
      </c>
      <c r="G88" s="10">
        <v>0</v>
      </c>
      <c r="H88" s="51"/>
    </row>
    <row r="89" spans="1:8" ht="14.1" customHeight="1" x14ac:dyDescent="0.2">
      <c r="A89" s="1"/>
      <c r="B89" s="1"/>
      <c r="C89" s="11"/>
      <c r="D89" s="1"/>
      <c r="E89" s="1"/>
      <c r="F89" s="12"/>
      <c r="G89" s="12"/>
      <c r="H89" s="51"/>
    </row>
    <row r="90" spans="1:8" ht="14.1" customHeight="1" x14ac:dyDescent="0.2">
      <c r="A90" s="1"/>
      <c r="B90" s="1"/>
      <c r="C90" s="2" t="s">
        <v>142</v>
      </c>
      <c r="D90" s="1"/>
      <c r="E90" s="1"/>
      <c r="F90" s="12"/>
      <c r="G90" s="12"/>
      <c r="H90" s="51"/>
    </row>
    <row r="91" spans="1:8" ht="14.1" customHeight="1" x14ac:dyDescent="0.2">
      <c r="A91" s="1"/>
      <c r="B91" s="1"/>
      <c r="C91" s="2" t="s">
        <v>143</v>
      </c>
      <c r="D91" s="1"/>
      <c r="E91" s="1"/>
      <c r="F91" s="12"/>
      <c r="G91" s="12"/>
      <c r="H91" s="51"/>
    </row>
    <row r="92" spans="1:8" ht="14.1" customHeight="1" x14ac:dyDescent="0.2">
      <c r="A92" s="1"/>
      <c r="B92" s="1"/>
      <c r="C92" s="2" t="s">
        <v>129</v>
      </c>
      <c r="D92" s="1"/>
      <c r="E92" s="1" t="s">
        <v>130</v>
      </c>
      <c r="F92" s="13">
        <v>0</v>
      </c>
      <c r="G92" s="14">
        <v>0</v>
      </c>
      <c r="H92" s="51"/>
    </row>
    <row r="93" spans="1:8" ht="14.1" customHeight="1" x14ac:dyDescent="0.2">
      <c r="A93" s="1"/>
      <c r="B93" s="1"/>
      <c r="C93" s="11"/>
      <c r="D93" s="1"/>
      <c r="E93" s="1"/>
      <c r="F93" s="12"/>
      <c r="G93" s="12"/>
      <c r="H93" s="51"/>
    </row>
    <row r="94" spans="1:8" ht="14.1" customHeight="1" x14ac:dyDescent="0.2">
      <c r="A94" s="1"/>
      <c r="B94" s="1"/>
      <c r="C94" s="2" t="s">
        <v>144</v>
      </c>
      <c r="D94" s="1"/>
      <c r="E94" s="1"/>
      <c r="F94" s="12"/>
      <c r="G94" s="12"/>
      <c r="H94" s="51"/>
    </row>
    <row r="95" spans="1:8" ht="14.1" customHeight="1" x14ac:dyDescent="0.2">
      <c r="A95" s="1"/>
      <c r="B95" s="1"/>
      <c r="C95" s="2" t="s">
        <v>129</v>
      </c>
      <c r="D95" s="1"/>
      <c r="E95" s="1" t="s">
        <v>130</v>
      </c>
      <c r="F95" s="13">
        <v>0</v>
      </c>
      <c r="G95" s="14">
        <v>0</v>
      </c>
      <c r="H95" s="51"/>
    </row>
    <row r="96" spans="1:8" ht="14.1" customHeight="1" x14ac:dyDescent="0.2">
      <c r="A96" s="1"/>
      <c r="B96" s="1"/>
      <c r="C96" s="11"/>
      <c r="D96" s="1"/>
      <c r="E96" s="1"/>
      <c r="F96" s="12"/>
      <c r="G96" s="12"/>
      <c r="H96" s="51"/>
    </row>
    <row r="97" spans="1:8" ht="14.1" customHeight="1" x14ac:dyDescent="0.2">
      <c r="A97" s="1"/>
      <c r="B97" s="1"/>
      <c r="C97" s="2" t="s">
        <v>145</v>
      </c>
      <c r="D97" s="1"/>
      <c r="E97" s="1"/>
      <c r="F97" s="12"/>
      <c r="G97" s="12"/>
      <c r="H97" s="51"/>
    </row>
    <row r="98" spans="1:8" ht="14.1" customHeight="1" x14ac:dyDescent="0.2">
      <c r="A98" s="1"/>
      <c r="B98" s="1"/>
      <c r="C98" s="2" t="s">
        <v>129</v>
      </c>
      <c r="D98" s="1"/>
      <c r="E98" s="1" t="s">
        <v>130</v>
      </c>
      <c r="F98" s="13">
        <v>0</v>
      </c>
      <c r="G98" s="14">
        <v>0</v>
      </c>
      <c r="H98" s="51"/>
    </row>
    <row r="99" spans="1:8" ht="14.1" customHeight="1" x14ac:dyDescent="0.2">
      <c r="A99" s="1"/>
      <c r="B99" s="1"/>
      <c r="C99" s="11"/>
      <c r="D99" s="1"/>
      <c r="E99" s="1"/>
      <c r="F99" s="12"/>
      <c r="G99" s="12"/>
      <c r="H99" s="51"/>
    </row>
    <row r="100" spans="1:8" ht="14.1" customHeight="1" x14ac:dyDescent="0.2">
      <c r="A100" s="1"/>
      <c r="B100" s="1"/>
      <c r="C100" s="2" t="s">
        <v>146</v>
      </c>
      <c r="D100" s="1"/>
      <c r="E100" s="1"/>
      <c r="F100" s="12"/>
      <c r="G100" s="12"/>
      <c r="H100" s="51"/>
    </row>
    <row r="101" spans="1:8" ht="17.100000000000001" customHeight="1" x14ac:dyDescent="0.2">
      <c r="A101" s="3">
        <v>1</v>
      </c>
      <c r="B101" s="4"/>
      <c r="C101" s="4" t="s">
        <v>147</v>
      </c>
      <c r="D101" s="4"/>
      <c r="E101" s="8"/>
      <c r="F101" s="6">
        <v>1795.0633931</v>
      </c>
      <c r="G101" s="7">
        <v>2.9004693000000002E-2</v>
      </c>
      <c r="H101" s="51">
        <v>6.1245112103248278</v>
      </c>
    </row>
    <row r="102" spans="1:8" ht="14.1" customHeight="1" x14ac:dyDescent="0.2">
      <c r="A102" s="1"/>
      <c r="B102" s="1"/>
      <c r="C102" s="2" t="s">
        <v>129</v>
      </c>
      <c r="D102" s="1"/>
      <c r="E102" s="1" t="s">
        <v>130</v>
      </c>
      <c r="F102" s="9">
        <v>1795.0633931</v>
      </c>
      <c r="G102" s="10">
        <v>2.9004693000000002E-2</v>
      </c>
      <c r="H102" s="51"/>
    </row>
    <row r="103" spans="1:8" ht="14.1" customHeight="1" x14ac:dyDescent="0.2">
      <c r="A103" s="1"/>
      <c r="B103" s="1"/>
      <c r="C103" s="11"/>
      <c r="D103" s="1"/>
      <c r="E103" s="1"/>
      <c r="F103" s="12"/>
      <c r="G103" s="12"/>
      <c r="H103" s="51"/>
    </row>
    <row r="104" spans="1:8" ht="14.1" customHeight="1" x14ac:dyDescent="0.2">
      <c r="A104" s="1"/>
      <c r="B104" s="1"/>
      <c r="C104" s="2" t="s">
        <v>148</v>
      </c>
      <c r="D104" s="1"/>
      <c r="E104" s="1"/>
      <c r="F104" s="9">
        <v>1795.0633931</v>
      </c>
      <c r="G104" s="10">
        <v>2.9004693000000002E-2</v>
      </c>
      <c r="H104" s="51"/>
    </row>
    <row r="105" spans="1:8" ht="14.1" customHeight="1" x14ac:dyDescent="0.2">
      <c r="A105" s="1"/>
      <c r="B105" s="1"/>
      <c r="C105" s="12"/>
      <c r="D105" s="1"/>
      <c r="E105" s="1"/>
      <c r="F105" s="1"/>
      <c r="G105" s="1"/>
      <c r="H105" s="51"/>
    </row>
    <row r="106" spans="1:8" ht="14.1" customHeight="1" x14ac:dyDescent="0.2">
      <c r="A106" s="1"/>
      <c r="B106" s="1"/>
      <c r="C106" s="2" t="s">
        <v>149</v>
      </c>
      <c r="D106" s="1"/>
      <c r="E106" s="1"/>
      <c r="F106" s="1"/>
      <c r="G106" s="1"/>
      <c r="H106" s="51"/>
    </row>
    <row r="107" spans="1:8" ht="14.1" customHeight="1" x14ac:dyDescent="0.2">
      <c r="A107" s="1"/>
      <c r="B107" s="1"/>
      <c r="C107" s="2" t="s">
        <v>150</v>
      </c>
      <c r="D107" s="1"/>
      <c r="E107" s="1"/>
      <c r="F107" s="1"/>
      <c r="G107" s="1"/>
      <c r="H107" s="51"/>
    </row>
    <row r="108" spans="1:8" ht="14.1" customHeight="1" x14ac:dyDescent="0.2">
      <c r="A108" s="1"/>
      <c r="B108" s="1"/>
      <c r="C108" s="2" t="s">
        <v>129</v>
      </c>
      <c r="D108" s="1"/>
      <c r="E108" s="1" t="s">
        <v>130</v>
      </c>
      <c r="F108" s="13">
        <v>0</v>
      </c>
      <c r="G108" s="14">
        <v>0</v>
      </c>
      <c r="H108" s="51"/>
    </row>
    <row r="109" spans="1:8" ht="14.1" customHeight="1" x14ac:dyDescent="0.2">
      <c r="A109" s="1"/>
      <c r="B109" s="1"/>
      <c r="C109" s="11"/>
      <c r="D109" s="1"/>
      <c r="E109" s="1"/>
      <c r="F109" s="12"/>
      <c r="G109" s="12"/>
      <c r="H109" s="51"/>
    </row>
    <row r="110" spans="1:8" ht="14.1" customHeight="1" x14ac:dyDescent="0.2">
      <c r="A110" s="1"/>
      <c r="B110" s="1"/>
      <c r="C110" s="2" t="s">
        <v>151</v>
      </c>
      <c r="D110" s="1"/>
      <c r="E110" s="1"/>
      <c r="F110" s="1"/>
      <c r="G110" s="1"/>
      <c r="H110" s="51"/>
    </row>
    <row r="111" spans="1:8" ht="14.1" customHeight="1" x14ac:dyDescent="0.2">
      <c r="A111" s="1"/>
      <c r="B111" s="1"/>
      <c r="C111" s="2" t="s">
        <v>152</v>
      </c>
      <c r="D111" s="1"/>
      <c r="E111" s="1"/>
      <c r="F111" s="1"/>
      <c r="G111" s="1"/>
      <c r="H111" s="51"/>
    </row>
    <row r="112" spans="1:8" ht="14.1" customHeight="1" x14ac:dyDescent="0.2">
      <c r="A112" s="1"/>
      <c r="B112" s="1"/>
      <c r="C112" s="2" t="s">
        <v>129</v>
      </c>
      <c r="D112" s="1"/>
      <c r="E112" s="1" t="s">
        <v>130</v>
      </c>
      <c r="F112" s="13">
        <v>0</v>
      </c>
      <c r="G112" s="14">
        <v>0</v>
      </c>
      <c r="H112" s="51"/>
    </row>
    <row r="113" spans="1:15" ht="14.1" customHeight="1" x14ac:dyDescent="0.2">
      <c r="A113" s="1"/>
      <c r="B113" s="1"/>
      <c r="C113" s="11"/>
      <c r="D113" s="1"/>
      <c r="E113" s="1"/>
      <c r="F113" s="12"/>
      <c r="G113" s="12"/>
      <c r="H113" s="51"/>
    </row>
    <row r="114" spans="1:15" ht="14.1" customHeight="1" x14ac:dyDescent="0.2">
      <c r="A114" s="1"/>
      <c r="B114" s="1"/>
      <c r="C114" s="11"/>
      <c r="D114" s="1"/>
      <c r="E114" s="1"/>
      <c r="F114" s="12"/>
      <c r="G114" s="12"/>
      <c r="H114" s="51"/>
    </row>
    <row r="115" spans="1:15" ht="24" customHeight="1" x14ac:dyDescent="0.2">
      <c r="A115" s="1"/>
      <c r="B115" s="1"/>
      <c r="C115" s="2" t="s">
        <v>153</v>
      </c>
      <c r="D115" s="1"/>
      <c r="E115" s="1"/>
      <c r="F115" s="12"/>
      <c r="G115" s="12"/>
      <c r="H115" s="51"/>
    </row>
    <row r="116" spans="1:15" ht="14.1" customHeight="1" x14ac:dyDescent="0.2">
      <c r="A116" s="1"/>
      <c r="B116" s="1"/>
      <c r="C116" s="2" t="s">
        <v>129</v>
      </c>
      <c r="D116" s="1"/>
      <c r="E116" s="1" t="s">
        <v>130</v>
      </c>
      <c r="F116" s="13">
        <v>0</v>
      </c>
      <c r="G116" s="14">
        <v>0</v>
      </c>
      <c r="H116" s="51"/>
    </row>
    <row r="117" spans="1:15" ht="14.1" customHeight="1" x14ac:dyDescent="0.2">
      <c r="A117" s="1"/>
      <c r="B117" s="1"/>
      <c r="C117" s="11"/>
      <c r="D117" s="1"/>
      <c r="E117" s="1"/>
      <c r="F117" s="12"/>
      <c r="G117" s="12"/>
      <c r="H117" s="51"/>
    </row>
    <row r="118" spans="1:15" ht="14.1" customHeight="1" x14ac:dyDescent="0.2">
      <c r="A118" s="1"/>
      <c r="B118" s="4"/>
      <c r="C118" s="4"/>
      <c r="D118" s="2"/>
      <c r="E118" s="1"/>
      <c r="F118" s="4"/>
      <c r="G118" s="8"/>
      <c r="H118" s="51"/>
    </row>
    <row r="119" spans="1:15" ht="18" customHeight="1" x14ac:dyDescent="0.2">
      <c r="A119" s="8"/>
      <c r="B119" s="4"/>
      <c r="C119" s="4" t="s">
        <v>154</v>
      </c>
      <c r="D119" s="4"/>
      <c r="E119" s="8"/>
      <c r="F119" s="6">
        <v>550.00664758999994</v>
      </c>
      <c r="G119" s="7">
        <v>8.8870249999999998E-3</v>
      </c>
      <c r="H119" s="51"/>
    </row>
    <row r="120" spans="1:15" ht="14.1" customHeight="1" x14ac:dyDescent="0.2">
      <c r="A120" s="11"/>
      <c r="B120" s="11"/>
      <c r="C120" s="2" t="s">
        <v>155</v>
      </c>
      <c r="D120" s="15"/>
      <c r="E120" s="15"/>
      <c r="F120" s="9">
        <v>61888.722798878996</v>
      </c>
      <c r="G120" s="10">
        <v>1</v>
      </c>
      <c r="H120" s="51"/>
    </row>
    <row r="121" spans="1:15" ht="14.1" customHeight="1" x14ac:dyDescent="0.2">
      <c r="A121" s="16"/>
      <c r="B121" s="16"/>
      <c r="C121" s="16"/>
      <c r="D121" s="17"/>
      <c r="E121" s="17"/>
      <c r="F121" s="17"/>
      <c r="G121" s="17"/>
    </row>
    <row r="122" spans="1:15" ht="14.1" customHeight="1" x14ac:dyDescent="0.2">
      <c r="A122" s="18"/>
      <c r="B122" s="327" t="s">
        <v>156</v>
      </c>
      <c r="C122" s="327"/>
      <c r="D122" s="327"/>
      <c r="E122" s="327"/>
      <c r="F122" s="327"/>
      <c r="G122" s="20"/>
    </row>
    <row r="123" spans="1:15" ht="14.1" customHeight="1" x14ac:dyDescent="0.2">
      <c r="A123" s="18"/>
      <c r="B123" s="18"/>
      <c r="C123" s="18"/>
      <c r="D123" s="20"/>
      <c r="E123" s="20"/>
      <c r="F123" s="20"/>
      <c r="G123" s="20"/>
    </row>
    <row r="124" spans="1:15" ht="14.1" customHeight="1" x14ac:dyDescent="0.2">
      <c r="A124" s="18"/>
      <c r="B124" s="325" t="s">
        <v>157</v>
      </c>
      <c r="C124" s="326"/>
      <c r="D124" s="12" t="s">
        <v>130</v>
      </c>
      <c r="E124" s="21"/>
      <c r="F124" s="20"/>
      <c r="G124" s="20"/>
    </row>
    <row r="125" spans="1:15" ht="29.1" customHeight="1" x14ac:dyDescent="0.2">
      <c r="A125" s="18"/>
      <c r="B125" s="318" t="s">
        <v>158</v>
      </c>
      <c r="C125" s="319"/>
      <c r="D125" s="2" t="s">
        <v>159</v>
      </c>
      <c r="E125" s="21"/>
      <c r="F125" s="20"/>
      <c r="G125" s="20"/>
    </row>
    <row r="126" spans="1:15" ht="17.100000000000001" customHeight="1" x14ac:dyDescent="0.2">
      <c r="A126" s="18"/>
      <c r="B126" s="318" t="s">
        <v>983</v>
      </c>
      <c r="C126" s="319"/>
      <c r="D126" s="2" t="s">
        <v>995</v>
      </c>
      <c r="E126" s="21"/>
      <c r="F126" s="20"/>
      <c r="G126" s="20"/>
    </row>
    <row r="127" spans="1:15" ht="17.100000000000001" customHeight="1" x14ac:dyDescent="0.2">
      <c r="A127" s="18"/>
      <c r="B127" s="318" t="s">
        <v>161</v>
      </c>
      <c r="C127" s="319"/>
      <c r="D127" s="12" t="s">
        <v>130</v>
      </c>
      <c r="E127" s="21"/>
      <c r="F127" s="20"/>
      <c r="G127" s="20"/>
    </row>
    <row r="128" spans="1:15" ht="24" customHeight="1" x14ac:dyDescent="0.2">
      <c r="A128" s="22"/>
      <c r="B128" s="23" t="s">
        <v>130</v>
      </c>
      <c r="C128" s="23" t="s">
        <v>162</v>
      </c>
      <c r="D128" s="23" t="s">
        <v>163</v>
      </c>
      <c r="E128" s="22"/>
      <c r="F128" s="22"/>
      <c r="G128" s="22"/>
      <c r="J128" s="158"/>
      <c r="K128" s="158"/>
      <c r="L128" s="158"/>
      <c r="M128" s="158"/>
      <c r="N128" s="158"/>
      <c r="O128" s="158"/>
    </row>
    <row r="129" spans="1:7" ht="18" customHeight="1" x14ac:dyDescent="0.2">
      <c r="A129" s="22"/>
      <c r="B129" s="23" t="s">
        <v>164</v>
      </c>
      <c r="C129" s="23" t="s">
        <v>165</v>
      </c>
      <c r="D129" s="23" t="s">
        <v>166</v>
      </c>
      <c r="E129" s="22"/>
      <c r="F129" s="22"/>
      <c r="G129" s="22"/>
    </row>
    <row r="130" spans="1:7" ht="17.100000000000001" customHeight="1" x14ac:dyDescent="0.2">
      <c r="A130" s="22"/>
      <c r="B130" s="4" t="s">
        <v>167</v>
      </c>
      <c r="C130" s="24">
        <v>55.756599999999999</v>
      </c>
      <c r="D130" s="24">
        <v>54.5092</v>
      </c>
      <c r="E130" s="22"/>
      <c r="F130" s="19"/>
      <c r="G130" s="25"/>
    </row>
    <row r="131" spans="1:7" ht="17.100000000000001" customHeight="1" x14ac:dyDescent="0.2">
      <c r="A131" s="22"/>
      <c r="B131" s="4" t="s">
        <v>1067</v>
      </c>
      <c r="C131" s="24">
        <v>43.018000000000001</v>
      </c>
      <c r="D131" s="24">
        <v>42.055599999999998</v>
      </c>
      <c r="E131" s="22"/>
      <c r="F131" s="19"/>
      <c r="G131" s="25"/>
    </row>
    <row r="132" spans="1:7" ht="17.100000000000001" customHeight="1" x14ac:dyDescent="0.2">
      <c r="A132" s="22"/>
      <c r="B132" s="4" t="s">
        <v>168</v>
      </c>
      <c r="C132" s="24">
        <v>53.038499999999999</v>
      </c>
      <c r="D132" s="24">
        <v>51.830399999999997</v>
      </c>
      <c r="E132" s="22"/>
      <c r="F132" s="19"/>
      <c r="G132" s="25"/>
    </row>
    <row r="133" spans="1:7" ht="17.100000000000001" customHeight="1" x14ac:dyDescent="0.2">
      <c r="A133" s="22"/>
      <c r="B133" s="4" t="s">
        <v>1068</v>
      </c>
      <c r="C133" s="24">
        <v>40.713999999999999</v>
      </c>
      <c r="D133" s="24">
        <v>39.7866</v>
      </c>
      <c r="E133" s="22"/>
      <c r="F133" s="19"/>
      <c r="G133" s="25"/>
    </row>
    <row r="134" spans="1:7" ht="14.1" customHeight="1" x14ac:dyDescent="0.2">
      <c r="A134" s="22"/>
      <c r="B134" s="22"/>
      <c r="C134" s="22"/>
      <c r="D134" s="22"/>
      <c r="E134" s="22"/>
      <c r="F134" s="22"/>
      <c r="G134" s="22"/>
    </row>
    <row r="135" spans="1:7" ht="17.100000000000001" customHeight="1" x14ac:dyDescent="0.2">
      <c r="A135" s="22"/>
      <c r="B135" s="318" t="s">
        <v>1069</v>
      </c>
      <c r="C135" s="319"/>
      <c r="D135" s="111" t="s">
        <v>159</v>
      </c>
      <c r="E135" s="22"/>
      <c r="F135" s="22"/>
      <c r="G135" s="22"/>
    </row>
    <row r="136" spans="1:7" ht="18" customHeight="1" x14ac:dyDescent="0.2">
      <c r="A136" s="22"/>
      <c r="B136" s="26"/>
      <c r="C136" s="26"/>
      <c r="D136" s="27"/>
      <c r="E136" s="22"/>
      <c r="F136" s="22"/>
      <c r="G136" s="22"/>
    </row>
    <row r="137" spans="1:7" ht="29.1" customHeight="1" x14ac:dyDescent="0.2">
      <c r="A137" s="22"/>
      <c r="B137" s="318" t="s">
        <v>169</v>
      </c>
      <c r="C137" s="319"/>
      <c r="D137" s="2" t="s">
        <v>159</v>
      </c>
      <c r="E137" s="22"/>
      <c r="F137" s="22"/>
      <c r="G137" s="22"/>
    </row>
    <row r="138" spans="1:7" ht="29.1" customHeight="1" x14ac:dyDescent="0.2">
      <c r="A138" s="22"/>
      <c r="B138" s="318" t="s">
        <v>170</v>
      </c>
      <c r="C138" s="319"/>
      <c r="D138" s="2" t="s">
        <v>159</v>
      </c>
      <c r="E138" s="22"/>
      <c r="F138" s="22"/>
      <c r="G138" s="22"/>
    </row>
    <row r="139" spans="1:7" ht="17.100000000000001" customHeight="1" x14ac:dyDescent="0.2">
      <c r="A139" s="22"/>
      <c r="B139" s="318" t="s">
        <v>171</v>
      </c>
      <c r="C139" s="319"/>
      <c r="D139" s="28">
        <v>0.44859026043427724</v>
      </c>
      <c r="E139" s="22"/>
      <c r="F139" s="19"/>
      <c r="G139" s="25"/>
    </row>
    <row r="140" spans="1:7" ht="17.100000000000001" customHeight="1" x14ac:dyDescent="0.2">
      <c r="A140" s="22"/>
      <c r="B140" s="318" t="s">
        <v>172</v>
      </c>
      <c r="C140" s="319"/>
      <c r="D140" s="2" t="s">
        <v>159</v>
      </c>
      <c r="E140" s="22"/>
      <c r="F140" s="22"/>
      <c r="G140" s="22"/>
    </row>
  </sheetData>
  <mergeCells count="14">
    <mergeCell ref="A1:H1"/>
    <mergeCell ref="A2:H2"/>
    <mergeCell ref="A3:H3"/>
    <mergeCell ref="J2:N2"/>
    <mergeCell ref="B139:C139"/>
    <mergeCell ref="B124:C124"/>
    <mergeCell ref="B122:F122"/>
    <mergeCell ref="B140:C140"/>
    <mergeCell ref="B125:C125"/>
    <mergeCell ref="B126:C126"/>
    <mergeCell ref="B127:C127"/>
    <mergeCell ref="B135:C135"/>
    <mergeCell ref="B137:C137"/>
    <mergeCell ref="B138:C138"/>
  </mergeCells>
  <hyperlinks>
    <hyperlink ref="I1" location="Index!B2" display="Index" xr:uid="{7BFD6FC9-B420-48E2-A08D-06BB88982FC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N16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173</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174</v>
      </c>
      <c r="C7" s="4" t="s">
        <v>175</v>
      </c>
      <c r="D7" s="4" t="s">
        <v>22</v>
      </c>
      <c r="E7" s="5">
        <v>21807</v>
      </c>
      <c r="F7" s="6">
        <v>47.168540999999998</v>
      </c>
      <c r="G7" s="7">
        <v>4.0498859999999999E-3</v>
      </c>
      <c r="H7" s="51"/>
    </row>
    <row r="8" spans="1:14" ht="17.100000000000001" customHeight="1" x14ac:dyDescent="0.2">
      <c r="A8" s="3">
        <v>2</v>
      </c>
      <c r="B8" s="4" t="s">
        <v>102</v>
      </c>
      <c r="C8" s="4" t="s">
        <v>103</v>
      </c>
      <c r="D8" s="4" t="s">
        <v>104</v>
      </c>
      <c r="E8" s="5">
        <v>6458</v>
      </c>
      <c r="F8" s="6">
        <v>27.501393</v>
      </c>
      <c r="G8" s="7">
        <v>2.3612669999999998E-3</v>
      </c>
      <c r="H8" s="51"/>
    </row>
    <row r="9" spans="1:14" ht="14.1" customHeight="1" x14ac:dyDescent="0.2">
      <c r="A9" s="1"/>
      <c r="B9" s="1"/>
      <c r="C9" s="2" t="s">
        <v>129</v>
      </c>
      <c r="D9" s="1"/>
      <c r="E9" s="1" t="s">
        <v>130</v>
      </c>
      <c r="F9" s="9">
        <v>74.669933999999998</v>
      </c>
      <c r="G9" s="10">
        <v>6.4111530000000002E-3</v>
      </c>
      <c r="H9" s="51"/>
    </row>
    <row r="10" spans="1:14" ht="14.1" customHeight="1" x14ac:dyDescent="0.2">
      <c r="A10" s="1"/>
      <c r="B10" s="1"/>
      <c r="C10" s="11"/>
      <c r="D10" s="1"/>
      <c r="E10" s="1"/>
      <c r="F10" s="12"/>
      <c r="G10" s="12"/>
      <c r="H10" s="51"/>
    </row>
    <row r="11" spans="1:14" ht="14.1" customHeight="1" x14ac:dyDescent="0.2">
      <c r="A11" s="1"/>
      <c r="B11" s="1"/>
      <c r="C11" s="2" t="s">
        <v>131</v>
      </c>
      <c r="D11" s="1"/>
      <c r="E11" s="1"/>
      <c r="F11" s="1"/>
      <c r="G11" s="1"/>
      <c r="H11" s="51"/>
    </row>
    <row r="12" spans="1:14" ht="14.1" customHeight="1" x14ac:dyDescent="0.2">
      <c r="A12" s="1"/>
      <c r="B12" s="1"/>
      <c r="C12" s="2" t="s">
        <v>129</v>
      </c>
      <c r="D12" s="1"/>
      <c r="E12" s="1" t="s">
        <v>130</v>
      </c>
      <c r="F12" s="13">
        <v>0</v>
      </c>
      <c r="G12" s="14">
        <v>0</v>
      </c>
      <c r="H12" s="51"/>
    </row>
    <row r="13" spans="1:14" ht="14.1" customHeight="1" x14ac:dyDescent="0.2">
      <c r="A13" s="1"/>
      <c r="B13" s="1"/>
      <c r="C13" s="11"/>
      <c r="D13" s="1"/>
      <c r="E13" s="1"/>
      <c r="F13" s="12"/>
      <c r="G13" s="12"/>
      <c r="H13" s="51"/>
    </row>
    <row r="14" spans="1:14" ht="14.1" customHeight="1" x14ac:dyDescent="0.2">
      <c r="A14" s="1"/>
      <c r="B14" s="1"/>
      <c r="C14" s="2" t="s">
        <v>132</v>
      </c>
      <c r="D14" s="1"/>
      <c r="E14" s="1"/>
      <c r="F14" s="1"/>
      <c r="G14" s="1"/>
      <c r="H14" s="51"/>
    </row>
    <row r="15" spans="1:14" ht="14.1" customHeight="1" x14ac:dyDescent="0.2">
      <c r="A15" s="1"/>
      <c r="B15" s="1"/>
      <c r="C15" s="2" t="s">
        <v>129</v>
      </c>
      <c r="D15" s="1"/>
      <c r="E15" s="1" t="s">
        <v>130</v>
      </c>
      <c r="F15" s="13">
        <v>0</v>
      </c>
      <c r="G15" s="14">
        <v>0</v>
      </c>
      <c r="H15" s="51"/>
      <c r="J15" s="157" t="s">
        <v>1091</v>
      </c>
    </row>
    <row r="16" spans="1:14" ht="14.1" customHeight="1" x14ac:dyDescent="0.2">
      <c r="A16" s="1"/>
      <c r="B16" s="1"/>
      <c r="C16" s="11"/>
      <c r="D16" s="1"/>
      <c r="E16" s="1"/>
      <c r="F16" s="12"/>
      <c r="G16" s="12"/>
      <c r="H16" s="51"/>
    </row>
    <row r="17" spans="1:8" ht="14.1" customHeight="1" x14ac:dyDescent="0.2">
      <c r="A17" s="1"/>
      <c r="B17" s="1"/>
      <c r="C17" s="2" t="s">
        <v>133</v>
      </c>
      <c r="D17" s="1"/>
      <c r="E17" s="1"/>
      <c r="F17" s="1"/>
      <c r="G17" s="1"/>
      <c r="H17" s="51"/>
    </row>
    <row r="18" spans="1:8" ht="14.1" customHeight="1" x14ac:dyDescent="0.2">
      <c r="A18" s="1"/>
      <c r="B18" s="1"/>
      <c r="C18" s="2" t="s">
        <v>129</v>
      </c>
      <c r="D18" s="1"/>
      <c r="E18" s="1" t="s">
        <v>130</v>
      </c>
      <c r="F18" s="13">
        <v>0</v>
      </c>
      <c r="G18" s="14">
        <v>0</v>
      </c>
      <c r="H18" s="51"/>
    </row>
    <row r="19" spans="1:8" ht="14.1" customHeight="1" x14ac:dyDescent="0.2">
      <c r="A19" s="1"/>
      <c r="B19" s="1"/>
      <c r="C19" s="11"/>
      <c r="D19" s="1"/>
      <c r="E19" s="1"/>
      <c r="F19" s="12"/>
      <c r="G19" s="12"/>
      <c r="H19" s="51"/>
    </row>
    <row r="20" spans="1:8" ht="14.1" customHeight="1" x14ac:dyDescent="0.2">
      <c r="A20" s="1"/>
      <c r="B20" s="1"/>
      <c r="C20" s="2" t="s">
        <v>134</v>
      </c>
      <c r="D20" s="1"/>
      <c r="E20" s="1"/>
      <c r="F20" s="12"/>
      <c r="G20" s="12"/>
      <c r="H20" s="51"/>
    </row>
    <row r="21" spans="1:8" ht="14.1" customHeight="1" x14ac:dyDescent="0.2">
      <c r="A21" s="1"/>
      <c r="B21" s="1"/>
      <c r="C21" s="2" t="s">
        <v>129</v>
      </c>
      <c r="D21" s="1"/>
      <c r="E21" s="1" t="s">
        <v>130</v>
      </c>
      <c r="F21" s="13">
        <v>0</v>
      </c>
      <c r="G21" s="14">
        <v>0</v>
      </c>
      <c r="H21" s="51"/>
    </row>
    <row r="22" spans="1:8" ht="14.1" customHeight="1" x14ac:dyDescent="0.2">
      <c r="A22" s="1"/>
      <c r="B22" s="1"/>
      <c r="C22" s="11"/>
      <c r="D22" s="1"/>
      <c r="E22" s="1"/>
      <c r="F22" s="12"/>
      <c r="G22" s="12"/>
      <c r="H22" s="51"/>
    </row>
    <row r="23" spans="1:8" ht="14.1" customHeight="1" x14ac:dyDescent="0.2">
      <c r="A23" s="1"/>
      <c r="B23" s="1"/>
      <c r="C23" s="2" t="s">
        <v>135</v>
      </c>
      <c r="D23" s="1"/>
      <c r="E23" s="1"/>
      <c r="F23" s="12"/>
      <c r="G23" s="12"/>
      <c r="H23" s="51"/>
    </row>
    <row r="24" spans="1:8" ht="14.1" customHeight="1" x14ac:dyDescent="0.2">
      <c r="A24" s="1"/>
      <c r="B24" s="1"/>
      <c r="C24" s="2" t="s">
        <v>129</v>
      </c>
      <c r="D24" s="1"/>
      <c r="E24" s="1" t="s">
        <v>130</v>
      </c>
      <c r="F24" s="13">
        <v>0</v>
      </c>
      <c r="G24" s="14">
        <v>0</v>
      </c>
      <c r="H24" s="51"/>
    </row>
    <row r="25" spans="1:8" ht="14.1" customHeight="1" x14ac:dyDescent="0.2">
      <c r="A25" s="1"/>
      <c r="B25" s="1"/>
      <c r="C25" s="11"/>
      <c r="D25" s="1"/>
      <c r="E25" s="1"/>
      <c r="F25" s="12"/>
      <c r="G25" s="12"/>
      <c r="H25" s="51"/>
    </row>
    <row r="26" spans="1:8" ht="18" customHeight="1" x14ac:dyDescent="0.2">
      <c r="A26" s="1"/>
      <c r="B26" s="1"/>
      <c r="C26" s="2" t="s">
        <v>136</v>
      </c>
      <c r="D26" s="1"/>
      <c r="E26" s="1"/>
      <c r="F26" s="9">
        <v>74.669933999999998</v>
      </c>
      <c r="G26" s="10">
        <v>6.4111530000000002E-3</v>
      </c>
      <c r="H26" s="51"/>
    </row>
    <row r="27" spans="1:8" ht="14.1" customHeight="1" x14ac:dyDescent="0.2">
      <c r="A27" s="1"/>
      <c r="B27" s="1"/>
      <c r="C27" s="11"/>
      <c r="D27" s="1"/>
      <c r="E27" s="1"/>
      <c r="F27" s="12"/>
      <c r="G27" s="12"/>
      <c r="H27" s="51"/>
    </row>
    <row r="28" spans="1:8" ht="14.1" customHeight="1" x14ac:dyDescent="0.2">
      <c r="A28" s="1"/>
      <c r="B28" s="1"/>
      <c r="C28" s="2" t="s">
        <v>137</v>
      </c>
      <c r="D28" s="1"/>
      <c r="E28" s="1"/>
      <c r="F28" s="12"/>
      <c r="G28" s="12"/>
      <c r="H28" s="51"/>
    </row>
    <row r="29" spans="1:8" ht="24" customHeight="1" x14ac:dyDescent="0.2">
      <c r="A29" s="1"/>
      <c r="B29" s="1"/>
      <c r="C29" s="2" t="s">
        <v>10</v>
      </c>
      <c r="D29" s="1"/>
      <c r="E29" s="1"/>
      <c r="F29" s="12"/>
      <c r="G29" s="12"/>
      <c r="H29" s="51"/>
    </row>
    <row r="30" spans="1:8" ht="14.1" customHeight="1" x14ac:dyDescent="0.2">
      <c r="A30" s="1"/>
      <c r="B30" s="1"/>
      <c r="C30" s="2" t="s">
        <v>129</v>
      </c>
      <c r="D30" s="1"/>
      <c r="E30" s="1" t="s">
        <v>130</v>
      </c>
      <c r="F30" s="13">
        <v>0</v>
      </c>
      <c r="G30" s="14">
        <v>0</v>
      </c>
      <c r="H30" s="51"/>
    </row>
    <row r="31" spans="1:8" ht="14.1" customHeight="1" x14ac:dyDescent="0.2">
      <c r="A31" s="1"/>
      <c r="B31" s="1"/>
      <c r="C31" s="11"/>
      <c r="D31" s="1"/>
      <c r="E31" s="1"/>
      <c r="F31" s="12"/>
      <c r="G31" s="12"/>
      <c r="H31" s="51"/>
    </row>
    <row r="32" spans="1:8" ht="14.1" customHeight="1" x14ac:dyDescent="0.2">
      <c r="A32" s="1"/>
      <c r="B32" s="1"/>
      <c r="C32" s="2" t="s">
        <v>138</v>
      </c>
      <c r="D32" s="1"/>
      <c r="E32" s="1"/>
      <c r="F32" s="1"/>
      <c r="G32" s="1"/>
      <c r="H32" s="51"/>
    </row>
    <row r="33" spans="1:8" ht="14.1" customHeight="1" x14ac:dyDescent="0.2">
      <c r="A33" s="1"/>
      <c r="B33" s="1"/>
      <c r="C33" s="2" t="s">
        <v>129</v>
      </c>
      <c r="D33" s="1"/>
      <c r="E33" s="1" t="s">
        <v>130</v>
      </c>
      <c r="F33" s="13">
        <v>0</v>
      </c>
      <c r="G33" s="14">
        <v>0</v>
      </c>
      <c r="H33" s="51"/>
    </row>
    <row r="34" spans="1:8" ht="14.1" customHeight="1" x14ac:dyDescent="0.2">
      <c r="A34" s="1"/>
      <c r="B34" s="1"/>
      <c r="C34" s="11"/>
      <c r="D34" s="1"/>
      <c r="E34" s="1"/>
      <c r="F34" s="12"/>
      <c r="G34" s="12"/>
      <c r="H34" s="51"/>
    </row>
    <row r="35" spans="1:8" ht="14.1" customHeight="1" x14ac:dyDescent="0.2">
      <c r="A35" s="1"/>
      <c r="B35" s="1"/>
      <c r="C35" s="2" t="s">
        <v>139</v>
      </c>
      <c r="D35" s="1"/>
      <c r="E35" s="1"/>
      <c r="F35" s="1"/>
      <c r="G35" s="1"/>
      <c r="H35" s="51"/>
    </row>
    <row r="36" spans="1:8" ht="14.1" customHeight="1" x14ac:dyDescent="0.2">
      <c r="A36" s="1"/>
      <c r="B36" s="1"/>
      <c r="C36" s="2" t="s">
        <v>129</v>
      </c>
      <c r="D36" s="1"/>
      <c r="E36" s="1" t="s">
        <v>130</v>
      </c>
      <c r="F36" s="13">
        <v>0</v>
      </c>
      <c r="G36" s="14">
        <v>0</v>
      </c>
      <c r="H36" s="51"/>
    </row>
    <row r="37" spans="1:8" ht="14.1" customHeight="1" x14ac:dyDescent="0.2">
      <c r="A37" s="1"/>
      <c r="B37" s="1"/>
      <c r="C37" s="11"/>
      <c r="D37" s="1"/>
      <c r="E37" s="1"/>
      <c r="F37" s="12"/>
      <c r="G37" s="12"/>
      <c r="H37" s="51"/>
    </row>
    <row r="38" spans="1:8" ht="14.1" customHeight="1" x14ac:dyDescent="0.2">
      <c r="A38" s="1"/>
      <c r="B38" s="1"/>
      <c r="C38" s="2" t="s">
        <v>140</v>
      </c>
      <c r="D38" s="1"/>
      <c r="E38" s="1"/>
      <c r="F38" s="12"/>
      <c r="G38" s="12"/>
      <c r="H38" s="51"/>
    </row>
    <row r="39" spans="1:8" ht="14.1" customHeight="1" x14ac:dyDescent="0.2">
      <c r="A39" s="1"/>
      <c r="B39" s="1"/>
      <c r="C39" s="2" t="s">
        <v>129</v>
      </c>
      <c r="D39" s="1"/>
      <c r="E39" s="1" t="s">
        <v>130</v>
      </c>
      <c r="F39" s="13">
        <v>0</v>
      </c>
      <c r="G39" s="14">
        <v>0</v>
      </c>
      <c r="H39" s="51"/>
    </row>
    <row r="40" spans="1:8" ht="14.1" customHeight="1" x14ac:dyDescent="0.2">
      <c r="A40" s="1"/>
      <c r="B40" s="1"/>
      <c r="C40" s="11"/>
      <c r="D40" s="1"/>
      <c r="E40" s="1"/>
      <c r="F40" s="12"/>
      <c r="G40" s="12"/>
      <c r="H40" s="51"/>
    </row>
    <row r="41" spans="1:8" ht="14.1" customHeight="1" x14ac:dyDescent="0.2">
      <c r="A41" s="1"/>
      <c r="B41" s="1"/>
      <c r="C41" s="2" t="s">
        <v>141</v>
      </c>
      <c r="D41" s="1"/>
      <c r="E41" s="1"/>
      <c r="F41" s="9">
        <v>0</v>
      </c>
      <c r="G41" s="10">
        <v>0</v>
      </c>
      <c r="H41" s="51"/>
    </row>
    <row r="42" spans="1:8" ht="14.1" customHeight="1" x14ac:dyDescent="0.2">
      <c r="A42" s="1"/>
      <c r="B42" s="1"/>
      <c r="C42" s="11"/>
      <c r="D42" s="1"/>
      <c r="E42" s="1"/>
      <c r="F42" s="12"/>
      <c r="G42" s="12"/>
      <c r="H42" s="51"/>
    </row>
    <row r="43" spans="1:8" ht="14.1" customHeight="1" x14ac:dyDescent="0.2">
      <c r="A43" s="1"/>
      <c r="B43" s="1"/>
      <c r="C43" s="2" t="s">
        <v>142</v>
      </c>
      <c r="D43" s="1"/>
      <c r="E43" s="1"/>
      <c r="F43" s="12"/>
      <c r="G43" s="12"/>
      <c r="H43" s="51"/>
    </row>
    <row r="44" spans="1:8" ht="14.1" customHeight="1" x14ac:dyDescent="0.2">
      <c r="A44" s="1"/>
      <c r="B44" s="1"/>
      <c r="C44" s="2" t="s">
        <v>143</v>
      </c>
      <c r="D44" s="1"/>
      <c r="E44" s="1"/>
      <c r="F44" s="12"/>
      <c r="G44" s="12"/>
      <c r="H44" s="51"/>
    </row>
    <row r="45" spans="1:8" ht="14.1" customHeight="1" x14ac:dyDescent="0.2">
      <c r="A45" s="1"/>
      <c r="B45" s="1"/>
      <c r="C45" s="2" t="s">
        <v>129</v>
      </c>
      <c r="D45" s="1"/>
      <c r="E45" s="1" t="s">
        <v>130</v>
      </c>
      <c r="F45" s="13">
        <v>0</v>
      </c>
      <c r="G45" s="14">
        <v>0</v>
      </c>
      <c r="H45" s="51"/>
    </row>
    <row r="46" spans="1:8" ht="14.1" customHeight="1" x14ac:dyDescent="0.2">
      <c r="A46" s="1"/>
      <c r="B46" s="1"/>
      <c r="C46" s="11"/>
      <c r="D46" s="1"/>
      <c r="E46" s="1"/>
      <c r="F46" s="12"/>
      <c r="G46" s="12"/>
      <c r="H46" s="51"/>
    </row>
    <row r="47" spans="1:8" ht="14.1" customHeight="1" x14ac:dyDescent="0.2">
      <c r="A47" s="1"/>
      <c r="B47" s="1"/>
      <c r="C47" s="2" t="s">
        <v>144</v>
      </c>
      <c r="D47" s="1"/>
      <c r="E47" s="1"/>
      <c r="F47" s="12"/>
      <c r="G47" s="12"/>
      <c r="H47" s="51"/>
    </row>
    <row r="48" spans="1:8" ht="14.1" customHeight="1" x14ac:dyDescent="0.2">
      <c r="A48" s="1"/>
      <c r="B48" s="1"/>
      <c r="C48" s="2" t="s">
        <v>129</v>
      </c>
      <c r="D48" s="1"/>
      <c r="E48" s="1" t="s">
        <v>130</v>
      </c>
      <c r="F48" s="13">
        <v>0</v>
      </c>
      <c r="G48" s="14">
        <v>0</v>
      </c>
      <c r="H48" s="51"/>
    </row>
    <row r="49" spans="1:8" ht="14.1" customHeight="1" x14ac:dyDescent="0.2">
      <c r="A49" s="1"/>
      <c r="B49" s="1"/>
      <c r="C49" s="11"/>
      <c r="D49" s="1"/>
      <c r="E49" s="1"/>
      <c r="F49" s="12"/>
      <c r="G49" s="12"/>
      <c r="H49" s="51"/>
    </row>
    <row r="50" spans="1:8" ht="14.1" customHeight="1" x14ac:dyDescent="0.2">
      <c r="A50" s="1"/>
      <c r="B50" s="1"/>
      <c r="C50" s="2" t="s">
        <v>145</v>
      </c>
      <c r="D50" s="1"/>
      <c r="E50" s="1"/>
      <c r="F50" s="12"/>
      <c r="G50" s="12"/>
      <c r="H50" s="51"/>
    </row>
    <row r="51" spans="1:8" ht="14.1" customHeight="1" x14ac:dyDescent="0.2">
      <c r="A51" s="1"/>
      <c r="B51" s="1"/>
      <c r="C51" s="2" t="s">
        <v>129</v>
      </c>
      <c r="D51" s="1"/>
      <c r="E51" s="1" t="s">
        <v>130</v>
      </c>
      <c r="F51" s="13">
        <v>0</v>
      </c>
      <c r="G51" s="14">
        <v>0</v>
      </c>
      <c r="H51" s="51"/>
    </row>
    <row r="52" spans="1:8" ht="14.1" customHeight="1" x14ac:dyDescent="0.2">
      <c r="A52" s="1"/>
      <c r="B52" s="1"/>
      <c r="C52" s="11"/>
      <c r="D52" s="1"/>
      <c r="E52" s="1"/>
      <c r="F52" s="12"/>
      <c r="G52" s="12"/>
      <c r="H52" s="51"/>
    </row>
    <row r="53" spans="1:8" ht="14.1" customHeight="1" x14ac:dyDescent="0.2">
      <c r="A53" s="1"/>
      <c r="B53" s="1"/>
      <c r="C53" s="2" t="s">
        <v>146</v>
      </c>
      <c r="D53" s="1"/>
      <c r="E53" s="1"/>
      <c r="F53" s="12"/>
      <c r="G53" s="12"/>
      <c r="H53" s="51"/>
    </row>
    <row r="54" spans="1:8" ht="17.100000000000001" customHeight="1" x14ac:dyDescent="0.2">
      <c r="A54" s="3">
        <v>1</v>
      </c>
      <c r="B54" s="4"/>
      <c r="C54" s="4" t="s">
        <v>147</v>
      </c>
      <c r="D54" s="4"/>
      <c r="E54" s="8"/>
      <c r="F54" s="6">
        <v>11513.723370899999</v>
      </c>
      <c r="G54" s="7">
        <v>0.98856708699999996</v>
      </c>
      <c r="H54" s="51">
        <v>6.1245112103248278</v>
      </c>
    </row>
    <row r="55" spans="1:8" ht="14.1" customHeight="1" x14ac:dyDescent="0.2">
      <c r="A55" s="1"/>
      <c r="B55" s="1"/>
      <c r="C55" s="2" t="s">
        <v>129</v>
      </c>
      <c r="D55" s="1"/>
      <c r="E55" s="1" t="s">
        <v>130</v>
      </c>
      <c r="F55" s="9">
        <v>11513.723370899999</v>
      </c>
      <c r="G55" s="10">
        <v>0.98856708699999996</v>
      </c>
      <c r="H55" s="51"/>
    </row>
    <row r="56" spans="1:8" ht="14.1" customHeight="1" x14ac:dyDescent="0.2">
      <c r="A56" s="1"/>
      <c r="B56" s="1"/>
      <c r="C56" s="11"/>
      <c r="D56" s="1"/>
      <c r="E56" s="1"/>
      <c r="F56" s="12"/>
      <c r="G56" s="12"/>
      <c r="H56" s="51"/>
    </row>
    <row r="57" spans="1:8" ht="14.1" customHeight="1" x14ac:dyDescent="0.2">
      <c r="A57" s="1"/>
      <c r="B57" s="1"/>
      <c r="C57" s="2" t="s">
        <v>148</v>
      </c>
      <c r="D57" s="1"/>
      <c r="E57" s="1"/>
      <c r="F57" s="9">
        <v>11513.723370899999</v>
      </c>
      <c r="G57" s="10">
        <v>0.98856708699999996</v>
      </c>
      <c r="H57" s="51"/>
    </row>
    <row r="58" spans="1:8" ht="14.1" customHeight="1" x14ac:dyDescent="0.2">
      <c r="A58" s="1"/>
      <c r="B58" s="1"/>
      <c r="C58" s="12"/>
      <c r="D58" s="1"/>
      <c r="E58" s="1"/>
      <c r="F58" s="1"/>
      <c r="G58" s="1"/>
      <c r="H58" s="51"/>
    </row>
    <row r="59" spans="1:8" ht="14.1" customHeight="1" x14ac:dyDescent="0.2">
      <c r="A59" s="1"/>
      <c r="B59" s="1"/>
      <c r="C59" s="2" t="s">
        <v>149</v>
      </c>
      <c r="D59" s="1"/>
      <c r="E59" s="1"/>
      <c r="F59" s="1"/>
      <c r="G59" s="1"/>
      <c r="H59" s="51"/>
    </row>
    <row r="60" spans="1:8" ht="14.1" customHeight="1" x14ac:dyDescent="0.2">
      <c r="A60" s="1"/>
      <c r="B60" s="1"/>
      <c r="C60" s="2" t="s">
        <v>150</v>
      </c>
      <c r="D60" s="1"/>
      <c r="E60" s="1"/>
      <c r="F60" s="1"/>
      <c r="G60" s="1"/>
      <c r="H60" s="51"/>
    </row>
    <row r="61" spans="1:8" ht="14.1" customHeight="1" x14ac:dyDescent="0.2">
      <c r="A61" s="1"/>
      <c r="B61" s="1"/>
      <c r="C61" s="2" t="s">
        <v>129</v>
      </c>
      <c r="D61" s="1"/>
      <c r="E61" s="1" t="s">
        <v>130</v>
      </c>
      <c r="F61" s="13">
        <v>0</v>
      </c>
      <c r="G61" s="14">
        <v>0</v>
      </c>
      <c r="H61" s="51"/>
    </row>
    <row r="62" spans="1:8" ht="14.1" customHeight="1" x14ac:dyDescent="0.2">
      <c r="A62" s="1"/>
      <c r="B62" s="1"/>
      <c r="C62" s="11"/>
      <c r="D62" s="1"/>
      <c r="E62" s="1"/>
      <c r="F62" s="12"/>
      <c r="G62" s="12"/>
      <c r="H62" s="51"/>
    </row>
    <row r="63" spans="1:8" ht="14.1" customHeight="1" x14ac:dyDescent="0.2">
      <c r="A63" s="1"/>
      <c r="B63" s="1"/>
      <c r="C63" s="2" t="s">
        <v>151</v>
      </c>
      <c r="D63" s="1"/>
      <c r="E63" s="1"/>
      <c r="F63" s="1"/>
      <c r="G63" s="1"/>
      <c r="H63" s="51"/>
    </row>
    <row r="64" spans="1:8" ht="14.1" customHeight="1" x14ac:dyDescent="0.2">
      <c r="A64" s="1"/>
      <c r="B64" s="1"/>
      <c r="C64" s="2" t="s">
        <v>152</v>
      </c>
      <c r="D64" s="1"/>
      <c r="E64" s="1"/>
      <c r="F64" s="1"/>
      <c r="G64" s="1"/>
      <c r="H64" s="51"/>
    </row>
    <row r="65" spans="1:8" ht="14.1" customHeight="1" x14ac:dyDescent="0.2">
      <c r="A65" s="1"/>
      <c r="B65" s="1"/>
      <c r="C65" s="2" t="s">
        <v>129</v>
      </c>
      <c r="D65" s="1"/>
      <c r="E65" s="1" t="s">
        <v>130</v>
      </c>
      <c r="F65" s="13">
        <v>0</v>
      </c>
      <c r="G65" s="14">
        <v>0</v>
      </c>
      <c r="H65" s="51"/>
    </row>
    <row r="66" spans="1:8" ht="14.1" customHeight="1" x14ac:dyDescent="0.2">
      <c r="A66" s="1"/>
      <c r="B66" s="1"/>
      <c r="C66" s="11"/>
      <c r="D66" s="1"/>
      <c r="E66" s="1"/>
      <c r="F66" s="12"/>
      <c r="G66" s="12"/>
      <c r="H66" s="51"/>
    </row>
    <row r="67" spans="1:8" ht="14.1" customHeight="1" x14ac:dyDescent="0.2">
      <c r="A67" s="1"/>
      <c r="B67" s="1"/>
      <c r="C67" s="11"/>
      <c r="D67" s="1"/>
      <c r="E67" s="1"/>
      <c r="F67" s="12"/>
      <c r="G67" s="12"/>
      <c r="H67" s="51"/>
    </row>
    <row r="68" spans="1:8" ht="24" customHeight="1" x14ac:dyDescent="0.2">
      <c r="A68" s="1"/>
      <c r="B68" s="1"/>
      <c r="C68" s="2" t="s">
        <v>153</v>
      </c>
      <c r="D68" s="1"/>
      <c r="E68" s="1"/>
      <c r="F68" s="12"/>
      <c r="G68" s="12"/>
      <c r="H68" s="51"/>
    </row>
    <row r="69" spans="1:8" ht="14.1" customHeight="1" x14ac:dyDescent="0.2">
      <c r="A69" s="1"/>
      <c r="B69" s="1"/>
      <c r="C69" s="2" t="s">
        <v>129</v>
      </c>
      <c r="D69" s="1"/>
      <c r="E69" s="1" t="s">
        <v>130</v>
      </c>
      <c r="F69" s="13">
        <v>0</v>
      </c>
      <c r="G69" s="14">
        <v>0</v>
      </c>
      <c r="H69" s="51"/>
    </row>
    <row r="70" spans="1:8" ht="14.1" customHeight="1" x14ac:dyDescent="0.2">
      <c r="A70" s="1"/>
      <c r="B70" s="1"/>
      <c r="C70" s="11"/>
      <c r="D70" s="1"/>
      <c r="E70" s="1"/>
      <c r="F70" s="12"/>
      <c r="G70" s="12"/>
      <c r="H70" s="51"/>
    </row>
    <row r="71" spans="1:8" ht="14.1" customHeight="1" x14ac:dyDescent="0.2">
      <c r="A71" s="1"/>
      <c r="B71" s="4"/>
      <c r="C71" s="4"/>
      <c r="D71" s="2"/>
      <c r="E71" s="1"/>
      <c r="F71" s="4"/>
      <c r="G71" s="8"/>
      <c r="H71" s="51"/>
    </row>
    <row r="72" spans="1:8" ht="18" customHeight="1" x14ac:dyDescent="0.2">
      <c r="A72" s="8"/>
      <c r="B72" s="4"/>
      <c r="C72" s="4" t="s">
        <v>154</v>
      </c>
      <c r="D72" s="4"/>
      <c r="E72" s="8"/>
      <c r="F72" s="6">
        <v>58.487848499999998</v>
      </c>
      <c r="G72" s="7">
        <v>5.0217609999999996E-3</v>
      </c>
      <c r="H72" s="51"/>
    </row>
    <row r="73" spans="1:8" ht="14.1" customHeight="1" x14ac:dyDescent="0.2">
      <c r="A73" s="11"/>
      <c r="B73" s="11"/>
      <c r="C73" s="2" t="s">
        <v>155</v>
      </c>
      <c r="D73" s="15"/>
      <c r="E73" s="15"/>
      <c r="F73" s="9">
        <v>11646.8811534</v>
      </c>
      <c r="G73" s="10">
        <v>1.0000000010000001</v>
      </c>
      <c r="H73" s="51"/>
    </row>
    <row r="74" spans="1:8" ht="14.1" customHeight="1" x14ac:dyDescent="0.2">
      <c r="A74" s="16"/>
      <c r="B74" s="16"/>
      <c r="C74" s="16"/>
      <c r="D74" s="17"/>
      <c r="E74" s="17"/>
      <c r="F74" s="17"/>
      <c r="G74" s="17"/>
    </row>
    <row r="76" spans="1:8" ht="14.1" customHeight="1" x14ac:dyDescent="0.2">
      <c r="A76" s="18"/>
      <c r="B76" s="325" t="s">
        <v>157</v>
      </c>
      <c r="C76" s="326"/>
      <c r="D76" s="12" t="s">
        <v>130</v>
      </c>
      <c r="E76" s="21"/>
      <c r="F76" s="20"/>
      <c r="G76" s="20"/>
    </row>
    <row r="77" spans="1:8" ht="29.1" customHeight="1" x14ac:dyDescent="0.2">
      <c r="A77" s="18"/>
      <c r="B77" s="318" t="s">
        <v>158</v>
      </c>
      <c r="C77" s="319"/>
      <c r="D77" s="2" t="s">
        <v>159</v>
      </c>
      <c r="E77" s="21"/>
      <c r="F77" s="20"/>
      <c r="G77" s="20"/>
    </row>
    <row r="78" spans="1:8" ht="17.100000000000001" customHeight="1" x14ac:dyDescent="0.2">
      <c r="A78" s="18"/>
      <c r="B78" s="318" t="s">
        <v>160</v>
      </c>
      <c r="C78" s="319"/>
      <c r="D78" s="2" t="s">
        <v>159</v>
      </c>
      <c r="E78" s="21"/>
      <c r="F78" s="20"/>
      <c r="G78" s="20"/>
    </row>
    <row r="79" spans="1:8" ht="17.100000000000001" customHeight="1" x14ac:dyDescent="0.2">
      <c r="A79" s="18"/>
      <c r="B79" s="318" t="s">
        <v>161</v>
      </c>
      <c r="C79" s="319"/>
      <c r="D79" s="12" t="s">
        <v>130</v>
      </c>
      <c r="E79" s="21"/>
      <c r="F79" s="20"/>
      <c r="G79" s="20"/>
    </row>
    <row r="80" spans="1:8" ht="24" customHeight="1" x14ac:dyDescent="0.2">
      <c r="A80" s="22"/>
      <c r="B80" s="23" t="s">
        <v>130</v>
      </c>
      <c r="C80" s="23" t="s">
        <v>162</v>
      </c>
      <c r="D80" s="23" t="s">
        <v>163</v>
      </c>
      <c r="E80" s="22"/>
      <c r="F80" s="22"/>
      <c r="G80" s="22"/>
    </row>
    <row r="81" spans="1:7" ht="18" customHeight="1" x14ac:dyDescent="0.2">
      <c r="A81" s="22"/>
      <c r="B81" s="23" t="s">
        <v>164</v>
      </c>
      <c r="C81" s="23" t="s">
        <v>165</v>
      </c>
      <c r="D81" s="23" t="s">
        <v>166</v>
      </c>
      <c r="E81" s="22"/>
      <c r="F81" s="22"/>
      <c r="G81" s="22"/>
    </row>
    <row r="82" spans="1:7" ht="17.100000000000001" customHeight="1" x14ac:dyDescent="0.2">
      <c r="A82" s="22"/>
      <c r="B82" s="4" t="s">
        <v>167</v>
      </c>
      <c r="C82" s="24">
        <v>14.961499999999999</v>
      </c>
      <c r="D82" s="24">
        <v>15.0177</v>
      </c>
      <c r="E82" s="22"/>
      <c r="F82" s="19"/>
      <c r="G82" s="25"/>
    </row>
    <row r="83" spans="1:7" ht="17.100000000000001" customHeight="1" x14ac:dyDescent="0.2">
      <c r="A83" s="22"/>
      <c r="B83" s="4" t="s">
        <v>1067</v>
      </c>
      <c r="C83" s="24">
        <v>14.961499999999999</v>
      </c>
      <c r="D83" s="24">
        <v>15.0177</v>
      </c>
      <c r="E83" s="22"/>
      <c r="F83" s="19"/>
      <c r="G83" s="25"/>
    </row>
    <row r="84" spans="1:7" ht="17.100000000000001" customHeight="1" x14ac:dyDescent="0.2">
      <c r="A84" s="22"/>
      <c r="B84" s="4" t="s">
        <v>168</v>
      </c>
      <c r="C84" s="24">
        <v>14.3444</v>
      </c>
      <c r="D84" s="24">
        <v>14.391999999999999</v>
      </c>
      <c r="E84" s="22"/>
      <c r="F84" s="19"/>
      <c r="G84" s="25"/>
    </row>
    <row r="85" spans="1:7" ht="17.100000000000001" customHeight="1" x14ac:dyDescent="0.2">
      <c r="A85" s="22"/>
      <c r="B85" s="4" t="s">
        <v>1068</v>
      </c>
      <c r="C85" s="24">
        <v>14.3444</v>
      </c>
      <c r="D85" s="24">
        <v>14.391999999999999</v>
      </c>
      <c r="E85" s="22"/>
      <c r="F85" s="19"/>
      <c r="G85" s="25"/>
    </row>
    <row r="86" spans="1:7" ht="14.1" customHeight="1" x14ac:dyDescent="0.2">
      <c r="A86" s="22"/>
      <c r="B86" s="22"/>
      <c r="C86" s="22"/>
      <c r="D86" s="22"/>
      <c r="E86" s="22"/>
      <c r="F86" s="22"/>
      <c r="G86" s="22"/>
    </row>
    <row r="87" spans="1:7" ht="17.100000000000001" customHeight="1" x14ac:dyDescent="0.2">
      <c r="A87" s="22"/>
      <c r="B87" s="318" t="s">
        <v>1069</v>
      </c>
      <c r="C87" s="319"/>
      <c r="D87" s="111" t="s">
        <v>159</v>
      </c>
      <c r="E87" s="22"/>
      <c r="F87" s="22"/>
      <c r="G87" s="22"/>
    </row>
    <row r="88" spans="1:7" ht="18" customHeight="1" x14ac:dyDescent="0.2">
      <c r="A88" s="22"/>
      <c r="B88" s="26"/>
      <c r="C88" s="26"/>
      <c r="D88" s="27"/>
      <c r="E88" s="22"/>
      <c r="F88" s="22"/>
      <c r="G88" s="22"/>
    </row>
    <row r="89" spans="1:7" ht="29.1" customHeight="1" x14ac:dyDescent="0.2">
      <c r="A89" s="22"/>
      <c r="B89" s="318" t="s">
        <v>169</v>
      </c>
      <c r="C89" s="319"/>
      <c r="D89" s="2" t="s">
        <v>159</v>
      </c>
      <c r="E89" s="22"/>
      <c r="F89" s="22"/>
      <c r="G89" s="22"/>
    </row>
    <row r="90" spans="1:7" ht="29.1" customHeight="1" x14ac:dyDescent="0.2">
      <c r="A90" s="22"/>
      <c r="B90" s="318" t="s">
        <v>170</v>
      </c>
      <c r="C90" s="319"/>
      <c r="D90" s="2" t="s">
        <v>159</v>
      </c>
      <c r="E90" s="22"/>
      <c r="F90" s="22"/>
      <c r="G90" s="22"/>
    </row>
    <row r="91" spans="1:7" ht="17.100000000000001" customHeight="1" x14ac:dyDescent="0.2">
      <c r="A91" s="22"/>
      <c r="B91" s="318" t="s">
        <v>171</v>
      </c>
      <c r="C91" s="319"/>
      <c r="D91" s="28">
        <v>0.25565312648070271</v>
      </c>
      <c r="E91" s="22"/>
      <c r="F91" s="19"/>
      <c r="G91" s="25"/>
    </row>
    <row r="92" spans="1:7" ht="17.100000000000001" customHeight="1" x14ac:dyDescent="0.2">
      <c r="A92" s="22"/>
      <c r="B92" s="318" t="s">
        <v>172</v>
      </c>
      <c r="C92" s="319"/>
      <c r="D92" s="2" t="s">
        <v>159</v>
      </c>
      <c r="E92" s="22"/>
      <c r="F92" s="22"/>
      <c r="G92" s="22"/>
    </row>
    <row r="166" spans="10:14" x14ac:dyDescent="0.2">
      <c r="J166" s="158"/>
      <c r="K166" s="158"/>
      <c r="L166" s="158"/>
      <c r="M166" s="158"/>
      <c r="N166" s="158"/>
    </row>
  </sheetData>
  <mergeCells count="13">
    <mergeCell ref="A1:H1"/>
    <mergeCell ref="A2:H2"/>
    <mergeCell ref="A3:H3"/>
    <mergeCell ref="B91:C91"/>
    <mergeCell ref="J2:N2"/>
    <mergeCell ref="B76:C76"/>
    <mergeCell ref="B92:C92"/>
    <mergeCell ref="B77:C77"/>
    <mergeCell ref="B78:C78"/>
    <mergeCell ref="B79:C79"/>
    <mergeCell ref="B87:C87"/>
    <mergeCell ref="B89:C89"/>
    <mergeCell ref="B90:C90"/>
  </mergeCells>
  <hyperlinks>
    <hyperlink ref="I1" location="Index!B3" display="Index" xr:uid="{F7F9F51E-657B-4B6A-80CC-166DDC15744E}"/>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N15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12.140625" bestFit="1" customWidth="1"/>
    <col min="10" max="10" width="9.5703125" bestFit="1"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176</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70</v>
      </c>
      <c r="C7" s="4" t="s">
        <v>71</v>
      </c>
      <c r="D7" s="4" t="s">
        <v>72</v>
      </c>
      <c r="E7" s="5">
        <v>873963</v>
      </c>
      <c r="F7" s="6">
        <v>28074.7504305</v>
      </c>
      <c r="G7" s="7">
        <v>3.7872264000000003E-2</v>
      </c>
      <c r="H7" s="51"/>
    </row>
    <row r="8" spans="1:14" ht="17.100000000000001" customHeight="1" x14ac:dyDescent="0.2">
      <c r="A8" s="3">
        <v>2</v>
      </c>
      <c r="B8" s="4" t="s">
        <v>177</v>
      </c>
      <c r="C8" s="4" t="s">
        <v>178</v>
      </c>
      <c r="D8" s="4" t="s">
        <v>16</v>
      </c>
      <c r="E8" s="5">
        <v>19438756</v>
      </c>
      <c r="F8" s="6">
        <v>23083.52275</v>
      </c>
      <c r="G8" s="7">
        <v>3.1139199999999999E-2</v>
      </c>
      <c r="H8" s="51"/>
    </row>
    <row r="9" spans="1:14" ht="17.100000000000001" customHeight="1" x14ac:dyDescent="0.2">
      <c r="A9" s="3">
        <v>3</v>
      </c>
      <c r="B9" s="4" t="s">
        <v>179</v>
      </c>
      <c r="C9" s="4" t="s">
        <v>180</v>
      </c>
      <c r="D9" s="4" t="s">
        <v>181</v>
      </c>
      <c r="E9" s="5">
        <v>2090355</v>
      </c>
      <c r="F9" s="6">
        <v>21827.48691</v>
      </c>
      <c r="G9" s="7">
        <v>2.9444833E-2</v>
      </c>
      <c r="H9" s="51"/>
    </row>
    <row r="10" spans="1:14" ht="17.100000000000001" customHeight="1" x14ac:dyDescent="0.2">
      <c r="A10" s="3">
        <v>4</v>
      </c>
      <c r="B10" s="4" t="s">
        <v>32</v>
      </c>
      <c r="C10" s="4" t="s">
        <v>33</v>
      </c>
      <c r="D10" s="4" t="s">
        <v>31</v>
      </c>
      <c r="E10" s="5">
        <v>1040907</v>
      </c>
      <c r="F10" s="6">
        <v>21485.881840499998</v>
      </c>
      <c r="G10" s="7">
        <v>2.8984014999999998E-2</v>
      </c>
      <c r="H10" s="51"/>
    </row>
    <row r="11" spans="1:14" ht="29.1" customHeight="1" x14ac:dyDescent="0.2">
      <c r="A11" s="3">
        <v>5</v>
      </c>
      <c r="B11" s="4" t="s">
        <v>182</v>
      </c>
      <c r="C11" s="4" t="s">
        <v>183</v>
      </c>
      <c r="D11" s="4" t="s">
        <v>184</v>
      </c>
      <c r="E11" s="5">
        <v>449473</v>
      </c>
      <c r="F11" s="6">
        <v>20185.158220500001</v>
      </c>
      <c r="G11" s="7">
        <v>2.7229366000000001E-2</v>
      </c>
      <c r="H11" s="51"/>
    </row>
    <row r="12" spans="1:14" ht="29.1" customHeight="1" x14ac:dyDescent="0.2">
      <c r="A12" s="3">
        <v>6</v>
      </c>
      <c r="B12" s="4" t="s">
        <v>185</v>
      </c>
      <c r="C12" s="4" t="s">
        <v>186</v>
      </c>
      <c r="D12" s="4" t="s">
        <v>104</v>
      </c>
      <c r="E12" s="5">
        <v>4897109</v>
      </c>
      <c r="F12" s="6">
        <v>20171.191971</v>
      </c>
      <c r="G12" s="7">
        <v>2.7210524999999999E-2</v>
      </c>
      <c r="H12" s="51"/>
    </row>
    <row r="13" spans="1:14" ht="17.100000000000001" customHeight="1" x14ac:dyDescent="0.2">
      <c r="A13" s="3">
        <v>7</v>
      </c>
      <c r="B13" s="4" t="s">
        <v>187</v>
      </c>
      <c r="C13" s="4" t="s">
        <v>188</v>
      </c>
      <c r="D13" s="4" t="s">
        <v>189</v>
      </c>
      <c r="E13" s="5">
        <v>1400441</v>
      </c>
      <c r="F13" s="6">
        <v>19886.262200000001</v>
      </c>
      <c r="G13" s="7">
        <v>2.6826161000000001E-2</v>
      </c>
      <c r="H13" s="51"/>
      <c r="J13" s="157" t="s">
        <v>1092</v>
      </c>
    </row>
    <row r="14" spans="1:14" ht="17.100000000000001" customHeight="1" x14ac:dyDescent="0.2">
      <c r="A14" s="3">
        <v>8</v>
      </c>
      <c r="B14" s="4" t="s">
        <v>190</v>
      </c>
      <c r="C14" s="4" t="s">
        <v>191</v>
      </c>
      <c r="D14" s="4" t="s">
        <v>192</v>
      </c>
      <c r="E14" s="5">
        <v>38987</v>
      </c>
      <c r="F14" s="6">
        <v>19753.211900499999</v>
      </c>
      <c r="G14" s="7">
        <v>2.6646679E-2</v>
      </c>
      <c r="H14" s="51"/>
    </row>
    <row r="15" spans="1:14" ht="29.1" customHeight="1" x14ac:dyDescent="0.2">
      <c r="A15" s="3">
        <v>9</v>
      </c>
      <c r="B15" s="4" t="s">
        <v>193</v>
      </c>
      <c r="C15" s="4" t="s">
        <v>194</v>
      </c>
      <c r="D15" s="4" t="s">
        <v>184</v>
      </c>
      <c r="E15" s="5">
        <v>775249</v>
      </c>
      <c r="F15" s="6">
        <v>19407.971090499999</v>
      </c>
      <c r="G15" s="7">
        <v>2.6180955999999998E-2</v>
      </c>
      <c r="H15" s="51"/>
    </row>
    <row r="16" spans="1:14" ht="29.1" customHeight="1" x14ac:dyDescent="0.2">
      <c r="A16" s="3">
        <v>10</v>
      </c>
      <c r="B16" s="4" t="s">
        <v>73</v>
      </c>
      <c r="C16" s="4" t="s">
        <v>74</v>
      </c>
      <c r="D16" s="4" t="s">
        <v>75</v>
      </c>
      <c r="E16" s="5">
        <v>18200000</v>
      </c>
      <c r="F16" s="6">
        <v>18372.900000000001</v>
      </c>
      <c r="G16" s="7">
        <v>2.4784666E-2</v>
      </c>
      <c r="H16" s="51"/>
    </row>
    <row r="17" spans="1:10" ht="17.100000000000001" customHeight="1" x14ac:dyDescent="0.2">
      <c r="A17" s="3">
        <v>11</v>
      </c>
      <c r="B17" s="4" t="s">
        <v>195</v>
      </c>
      <c r="C17" s="4" t="s">
        <v>196</v>
      </c>
      <c r="D17" s="4" t="s">
        <v>16</v>
      </c>
      <c r="E17" s="5">
        <v>2451728</v>
      </c>
      <c r="F17" s="6">
        <v>17976.069695999999</v>
      </c>
      <c r="G17" s="7">
        <v>2.4249349999999999E-2</v>
      </c>
      <c r="H17" s="51"/>
    </row>
    <row r="18" spans="1:10" ht="17.100000000000001" customHeight="1" x14ac:dyDescent="0.2">
      <c r="A18" s="3">
        <v>12</v>
      </c>
      <c r="B18" s="4" t="s">
        <v>197</v>
      </c>
      <c r="C18" s="4" t="s">
        <v>198</v>
      </c>
      <c r="D18" s="4" t="s">
        <v>72</v>
      </c>
      <c r="E18" s="5">
        <v>640000</v>
      </c>
      <c r="F18" s="6">
        <v>17563.84</v>
      </c>
      <c r="G18" s="7">
        <v>2.3693261E-2</v>
      </c>
      <c r="H18" s="51"/>
    </row>
    <row r="19" spans="1:10" ht="29.1" customHeight="1" x14ac:dyDescent="0.2">
      <c r="A19" s="3">
        <v>13</v>
      </c>
      <c r="B19" s="4" t="s">
        <v>95</v>
      </c>
      <c r="C19" s="4" t="s">
        <v>96</v>
      </c>
      <c r="D19" s="4" t="s">
        <v>97</v>
      </c>
      <c r="E19" s="5">
        <v>2240974</v>
      </c>
      <c r="F19" s="6">
        <v>16408.411628000002</v>
      </c>
      <c r="G19" s="7">
        <v>2.2134612000000001E-2</v>
      </c>
      <c r="H19" s="51"/>
    </row>
    <row r="20" spans="1:10" ht="17.100000000000001" customHeight="1" x14ac:dyDescent="0.2">
      <c r="A20" s="3">
        <v>14</v>
      </c>
      <c r="B20" s="4" t="s">
        <v>199</v>
      </c>
      <c r="C20" s="4" t="s">
        <v>200</v>
      </c>
      <c r="D20" s="4" t="s">
        <v>16</v>
      </c>
      <c r="E20" s="5">
        <v>12281687</v>
      </c>
      <c r="F20" s="6">
        <v>16260.953588</v>
      </c>
      <c r="G20" s="7">
        <v>2.1935693999999999E-2</v>
      </c>
      <c r="H20" s="51"/>
    </row>
    <row r="21" spans="1:10" ht="29.1" customHeight="1" x14ac:dyDescent="0.2">
      <c r="A21" s="3">
        <v>15</v>
      </c>
      <c r="B21" s="4" t="s">
        <v>201</v>
      </c>
      <c r="C21" s="4" t="s">
        <v>202</v>
      </c>
      <c r="D21" s="4" t="s">
        <v>203</v>
      </c>
      <c r="E21" s="5">
        <v>3009294</v>
      </c>
      <c r="F21" s="6">
        <v>15437.67822</v>
      </c>
      <c r="G21" s="7">
        <v>2.0825112E-2</v>
      </c>
      <c r="H21" s="51"/>
    </row>
    <row r="22" spans="1:10" ht="17.100000000000001" customHeight="1" x14ac:dyDescent="0.2">
      <c r="A22" s="3">
        <v>16</v>
      </c>
      <c r="B22" s="4" t="s">
        <v>204</v>
      </c>
      <c r="C22" s="4" t="s">
        <v>205</v>
      </c>
      <c r="D22" s="4" t="s">
        <v>16</v>
      </c>
      <c r="E22" s="5">
        <v>2415699</v>
      </c>
      <c r="F22" s="6">
        <v>14958.008207999999</v>
      </c>
      <c r="G22" s="7">
        <v>2.0178047000000001E-2</v>
      </c>
      <c r="H22" s="51"/>
      <c r="J22" s="157" t="s">
        <v>1093</v>
      </c>
    </row>
    <row r="23" spans="1:10" ht="17.100000000000001" customHeight="1" x14ac:dyDescent="0.2">
      <c r="A23" s="3">
        <v>17</v>
      </c>
      <c r="B23" s="4" t="s">
        <v>14</v>
      </c>
      <c r="C23" s="4" t="s">
        <v>15</v>
      </c>
      <c r="D23" s="4" t="s">
        <v>16</v>
      </c>
      <c r="E23" s="5">
        <v>1583901</v>
      </c>
      <c r="F23" s="6">
        <v>13653.226619999999</v>
      </c>
      <c r="G23" s="7">
        <v>1.8417922999999999E-2</v>
      </c>
      <c r="H23" s="51"/>
    </row>
    <row r="24" spans="1:10" ht="17.100000000000001" customHeight="1" x14ac:dyDescent="0.2">
      <c r="A24" s="3">
        <v>18</v>
      </c>
      <c r="B24" s="4" t="s">
        <v>105</v>
      </c>
      <c r="C24" s="4" t="s">
        <v>106</v>
      </c>
      <c r="D24" s="4" t="s">
        <v>31</v>
      </c>
      <c r="E24" s="5">
        <v>1100383</v>
      </c>
      <c r="F24" s="6">
        <v>13158.9301055</v>
      </c>
      <c r="G24" s="7">
        <v>1.7751128000000001E-2</v>
      </c>
      <c r="H24" s="51"/>
    </row>
    <row r="25" spans="1:10" ht="17.100000000000001" customHeight="1" x14ac:dyDescent="0.2">
      <c r="A25" s="3">
        <v>19</v>
      </c>
      <c r="B25" s="4" t="s">
        <v>206</v>
      </c>
      <c r="C25" s="4" t="s">
        <v>207</v>
      </c>
      <c r="D25" s="4" t="s">
        <v>208</v>
      </c>
      <c r="E25" s="5">
        <v>296013</v>
      </c>
      <c r="F25" s="6">
        <v>12975.433842</v>
      </c>
      <c r="G25" s="7">
        <v>1.7503595E-2</v>
      </c>
      <c r="H25" s="51"/>
    </row>
    <row r="26" spans="1:10" ht="17.100000000000001" customHeight="1" x14ac:dyDescent="0.2">
      <c r="A26" s="3">
        <v>20</v>
      </c>
      <c r="B26" s="4" t="s">
        <v>209</v>
      </c>
      <c r="C26" s="4" t="s">
        <v>210</v>
      </c>
      <c r="D26" s="4" t="s">
        <v>97</v>
      </c>
      <c r="E26" s="5">
        <v>1061000</v>
      </c>
      <c r="F26" s="6">
        <v>12706.005499999999</v>
      </c>
      <c r="G26" s="7">
        <v>1.7140142000000001E-2</v>
      </c>
      <c r="H26" s="51"/>
    </row>
    <row r="27" spans="1:10" ht="53.1" customHeight="1" x14ac:dyDescent="0.2">
      <c r="A27" s="3">
        <v>21</v>
      </c>
      <c r="B27" s="4" t="s">
        <v>43</v>
      </c>
      <c r="C27" s="4" t="s">
        <v>44</v>
      </c>
      <c r="D27" s="4" t="s">
        <v>45</v>
      </c>
      <c r="E27" s="5">
        <v>8013518</v>
      </c>
      <c r="F27" s="6">
        <v>12232.635227000001</v>
      </c>
      <c r="G27" s="7">
        <v>1.6501575000000001E-2</v>
      </c>
      <c r="H27" s="51"/>
    </row>
    <row r="28" spans="1:10" ht="29.1" customHeight="1" x14ac:dyDescent="0.2">
      <c r="A28" s="3">
        <v>22</v>
      </c>
      <c r="B28" s="4" t="s">
        <v>211</v>
      </c>
      <c r="C28" s="4" t="s">
        <v>212</v>
      </c>
      <c r="D28" s="4" t="s">
        <v>213</v>
      </c>
      <c r="E28" s="5">
        <v>401203</v>
      </c>
      <c r="F28" s="6">
        <v>12029.470150499999</v>
      </c>
      <c r="G28" s="7">
        <v>1.6227509000000001E-2</v>
      </c>
      <c r="H28" s="51"/>
    </row>
    <row r="29" spans="1:10" ht="17.100000000000001" customHeight="1" x14ac:dyDescent="0.2">
      <c r="A29" s="3">
        <v>23</v>
      </c>
      <c r="B29" s="4" t="s">
        <v>214</v>
      </c>
      <c r="C29" s="4" t="s">
        <v>215</v>
      </c>
      <c r="D29" s="4" t="s">
        <v>181</v>
      </c>
      <c r="E29" s="5">
        <v>693066</v>
      </c>
      <c r="F29" s="6">
        <v>11829.943553999999</v>
      </c>
      <c r="G29" s="7">
        <v>1.5958351999999999E-2</v>
      </c>
      <c r="H29" s="51"/>
    </row>
    <row r="30" spans="1:10" ht="17.100000000000001" customHeight="1" x14ac:dyDescent="0.2">
      <c r="A30" s="3">
        <v>24</v>
      </c>
      <c r="B30" s="4" t="s">
        <v>216</v>
      </c>
      <c r="C30" s="4" t="s">
        <v>217</v>
      </c>
      <c r="D30" s="4" t="s">
        <v>104</v>
      </c>
      <c r="E30" s="5">
        <v>12000000</v>
      </c>
      <c r="F30" s="6">
        <v>11556</v>
      </c>
      <c r="G30" s="7">
        <v>1.5588807999999999E-2</v>
      </c>
      <c r="H30" s="51"/>
    </row>
    <row r="31" spans="1:10" ht="17.100000000000001" customHeight="1" x14ac:dyDescent="0.2">
      <c r="A31" s="3">
        <v>25</v>
      </c>
      <c r="B31" s="4" t="s">
        <v>218</v>
      </c>
      <c r="C31" s="4" t="s">
        <v>219</v>
      </c>
      <c r="D31" s="4" t="s">
        <v>220</v>
      </c>
      <c r="E31" s="5">
        <v>4998388</v>
      </c>
      <c r="F31" s="6">
        <v>11543.777086</v>
      </c>
      <c r="G31" s="7">
        <v>1.5572318999999999E-2</v>
      </c>
      <c r="H31" s="51"/>
    </row>
    <row r="32" spans="1:10" ht="17.100000000000001" customHeight="1" x14ac:dyDescent="0.2">
      <c r="A32" s="3">
        <v>26</v>
      </c>
      <c r="B32" s="4" t="s">
        <v>221</v>
      </c>
      <c r="C32" s="4" t="s">
        <v>222</v>
      </c>
      <c r="D32" s="4" t="s">
        <v>223</v>
      </c>
      <c r="E32" s="5">
        <v>365361</v>
      </c>
      <c r="F32" s="6">
        <v>11542.302031499999</v>
      </c>
      <c r="G32" s="7">
        <v>1.5570329000000001E-2</v>
      </c>
      <c r="H32" s="51"/>
    </row>
    <row r="33" spans="1:8" ht="29.1" customHeight="1" x14ac:dyDescent="0.2">
      <c r="A33" s="3">
        <v>27</v>
      </c>
      <c r="B33" s="4" t="s">
        <v>224</v>
      </c>
      <c r="C33" s="4" t="s">
        <v>225</v>
      </c>
      <c r="D33" s="4" t="s">
        <v>203</v>
      </c>
      <c r="E33" s="5">
        <v>1235356</v>
      </c>
      <c r="F33" s="6">
        <v>11303.5074</v>
      </c>
      <c r="G33" s="7">
        <v>1.52482E-2</v>
      </c>
      <c r="H33" s="51"/>
    </row>
    <row r="34" spans="1:8" ht="29.1" customHeight="1" x14ac:dyDescent="0.2">
      <c r="A34" s="3">
        <v>28</v>
      </c>
      <c r="B34" s="4" t="s">
        <v>226</v>
      </c>
      <c r="C34" s="4" t="s">
        <v>227</v>
      </c>
      <c r="D34" s="4" t="s">
        <v>213</v>
      </c>
      <c r="E34" s="5">
        <v>1122920</v>
      </c>
      <c r="F34" s="6">
        <v>11164.07064</v>
      </c>
      <c r="G34" s="7">
        <v>1.5060103E-2</v>
      </c>
      <c r="H34" s="51"/>
    </row>
    <row r="35" spans="1:8" ht="17.100000000000001" customHeight="1" x14ac:dyDescent="0.2">
      <c r="A35" s="3">
        <v>29</v>
      </c>
      <c r="B35" s="4" t="s">
        <v>228</v>
      </c>
      <c r="C35" s="4" t="s">
        <v>229</v>
      </c>
      <c r="D35" s="4" t="s">
        <v>31</v>
      </c>
      <c r="E35" s="5">
        <v>490337</v>
      </c>
      <c r="F35" s="6">
        <v>10946.528356500001</v>
      </c>
      <c r="G35" s="7">
        <v>1.4766642999999999E-2</v>
      </c>
      <c r="H35" s="51"/>
    </row>
    <row r="36" spans="1:8" ht="17.100000000000001" customHeight="1" x14ac:dyDescent="0.2">
      <c r="A36" s="3">
        <v>30</v>
      </c>
      <c r="B36" s="4" t="s">
        <v>49</v>
      </c>
      <c r="C36" s="4" t="s">
        <v>50</v>
      </c>
      <c r="D36" s="4" t="s">
        <v>51</v>
      </c>
      <c r="E36" s="5">
        <v>1488129</v>
      </c>
      <c r="F36" s="6">
        <v>10590.270028499999</v>
      </c>
      <c r="G36" s="7">
        <v>1.4286058000000001E-2</v>
      </c>
      <c r="H36" s="51"/>
    </row>
    <row r="37" spans="1:8" ht="17.100000000000001" customHeight="1" x14ac:dyDescent="0.2">
      <c r="A37" s="3">
        <v>31</v>
      </c>
      <c r="B37" s="4" t="s">
        <v>230</v>
      </c>
      <c r="C37" s="4" t="s">
        <v>231</v>
      </c>
      <c r="D37" s="4" t="s">
        <v>232</v>
      </c>
      <c r="E37" s="5">
        <v>2442944</v>
      </c>
      <c r="F37" s="6">
        <v>10470.457984000001</v>
      </c>
      <c r="G37" s="7">
        <v>1.4124434E-2</v>
      </c>
      <c r="H37" s="51"/>
    </row>
    <row r="38" spans="1:8" ht="17.100000000000001" customHeight="1" x14ac:dyDescent="0.2">
      <c r="A38" s="3">
        <v>32</v>
      </c>
      <c r="B38" s="4" t="s">
        <v>233</v>
      </c>
      <c r="C38" s="4" t="s">
        <v>234</v>
      </c>
      <c r="D38" s="4" t="s">
        <v>235</v>
      </c>
      <c r="E38" s="5">
        <v>1349270</v>
      </c>
      <c r="F38" s="6">
        <v>10289.533020000001</v>
      </c>
      <c r="G38" s="7">
        <v>1.388037E-2</v>
      </c>
      <c r="H38" s="51"/>
    </row>
    <row r="39" spans="1:8" ht="29.1" customHeight="1" x14ac:dyDescent="0.2">
      <c r="A39" s="3">
        <v>33</v>
      </c>
      <c r="B39" s="4" t="s">
        <v>236</v>
      </c>
      <c r="C39" s="4" t="s">
        <v>237</v>
      </c>
      <c r="D39" s="4" t="s">
        <v>203</v>
      </c>
      <c r="E39" s="5">
        <v>490000</v>
      </c>
      <c r="F39" s="6">
        <v>10254.965</v>
      </c>
      <c r="G39" s="7">
        <v>1.3833738E-2</v>
      </c>
      <c r="H39" s="51"/>
    </row>
    <row r="40" spans="1:8" ht="17.100000000000001" customHeight="1" x14ac:dyDescent="0.2">
      <c r="A40" s="3">
        <v>34</v>
      </c>
      <c r="B40" s="4" t="s">
        <v>238</v>
      </c>
      <c r="C40" s="4" t="s">
        <v>239</v>
      </c>
      <c r="D40" s="4" t="s">
        <v>104</v>
      </c>
      <c r="E40" s="5">
        <v>1127272</v>
      </c>
      <c r="F40" s="6">
        <v>10218.157044</v>
      </c>
      <c r="G40" s="7">
        <v>1.3784085E-2</v>
      </c>
      <c r="H40" s="51"/>
    </row>
    <row r="41" spans="1:8" ht="17.100000000000001" customHeight="1" x14ac:dyDescent="0.2">
      <c r="A41" s="3">
        <v>35</v>
      </c>
      <c r="B41" s="4" t="s">
        <v>107</v>
      </c>
      <c r="C41" s="4" t="s">
        <v>108</v>
      </c>
      <c r="D41" s="4" t="s">
        <v>92</v>
      </c>
      <c r="E41" s="5">
        <v>1108995</v>
      </c>
      <c r="F41" s="6">
        <v>10178.356110000001</v>
      </c>
      <c r="G41" s="7">
        <v>1.3730394E-2</v>
      </c>
      <c r="H41" s="51"/>
    </row>
    <row r="42" spans="1:8" ht="17.100000000000001" customHeight="1" x14ac:dyDescent="0.2">
      <c r="A42" s="3">
        <v>36</v>
      </c>
      <c r="B42" s="4" t="s">
        <v>240</v>
      </c>
      <c r="C42" s="4" t="s">
        <v>241</v>
      </c>
      <c r="D42" s="4" t="s">
        <v>97</v>
      </c>
      <c r="E42" s="5">
        <v>1549881</v>
      </c>
      <c r="F42" s="6">
        <v>10130.022215999999</v>
      </c>
      <c r="G42" s="7">
        <v>1.3665193000000001E-2</v>
      </c>
      <c r="H42" s="51"/>
    </row>
    <row r="43" spans="1:8" ht="17.100000000000001" customHeight="1" x14ac:dyDescent="0.2">
      <c r="A43" s="3">
        <v>37</v>
      </c>
      <c r="B43" s="4" t="s">
        <v>242</v>
      </c>
      <c r="C43" s="4" t="s">
        <v>243</v>
      </c>
      <c r="D43" s="4" t="s">
        <v>72</v>
      </c>
      <c r="E43" s="5">
        <v>222480</v>
      </c>
      <c r="F43" s="6">
        <v>10117.05552</v>
      </c>
      <c r="G43" s="7">
        <v>1.3647701E-2</v>
      </c>
      <c r="H43" s="51"/>
    </row>
    <row r="44" spans="1:8" ht="17.100000000000001" customHeight="1" x14ac:dyDescent="0.2">
      <c r="A44" s="3">
        <v>38</v>
      </c>
      <c r="B44" s="4" t="s">
        <v>244</v>
      </c>
      <c r="C44" s="4" t="s">
        <v>245</v>
      </c>
      <c r="D44" s="4" t="s">
        <v>223</v>
      </c>
      <c r="E44" s="5">
        <v>289430</v>
      </c>
      <c r="F44" s="6">
        <v>9381.0051600000006</v>
      </c>
      <c r="G44" s="7">
        <v>1.2654784000000001E-2</v>
      </c>
      <c r="H44" s="51"/>
    </row>
    <row r="45" spans="1:8" ht="17.100000000000001" customHeight="1" x14ac:dyDescent="0.2">
      <c r="A45" s="3">
        <v>39</v>
      </c>
      <c r="B45" s="4" t="s">
        <v>246</v>
      </c>
      <c r="C45" s="4" t="s">
        <v>247</v>
      </c>
      <c r="D45" s="4" t="s">
        <v>248</v>
      </c>
      <c r="E45" s="5">
        <v>1500000</v>
      </c>
      <c r="F45" s="6">
        <v>9340.5</v>
      </c>
      <c r="G45" s="7">
        <v>1.2600142999999999E-2</v>
      </c>
      <c r="H45" s="51"/>
    </row>
    <row r="46" spans="1:8" ht="17.100000000000001" customHeight="1" x14ac:dyDescent="0.2">
      <c r="A46" s="3">
        <v>40</v>
      </c>
      <c r="B46" s="4" t="s">
        <v>249</v>
      </c>
      <c r="C46" s="4" t="s">
        <v>250</v>
      </c>
      <c r="D46" s="4" t="s">
        <v>251</v>
      </c>
      <c r="E46" s="5">
        <v>3614398</v>
      </c>
      <c r="F46" s="6">
        <v>9330.5684369999999</v>
      </c>
      <c r="G46" s="7">
        <v>1.2586745999999999E-2</v>
      </c>
      <c r="H46" s="51"/>
    </row>
    <row r="47" spans="1:8" ht="17.100000000000001" customHeight="1" x14ac:dyDescent="0.2">
      <c r="A47" s="3">
        <v>41</v>
      </c>
      <c r="B47" s="4" t="s">
        <v>252</v>
      </c>
      <c r="C47" s="4" t="s">
        <v>253</v>
      </c>
      <c r="D47" s="4" t="s">
        <v>97</v>
      </c>
      <c r="E47" s="5">
        <v>2225771</v>
      </c>
      <c r="F47" s="6">
        <v>9211.3532835000005</v>
      </c>
      <c r="G47" s="7">
        <v>1.2425927E-2</v>
      </c>
      <c r="H47" s="51"/>
    </row>
    <row r="48" spans="1:8" ht="29.1" customHeight="1" x14ac:dyDescent="0.2">
      <c r="A48" s="3">
        <v>42</v>
      </c>
      <c r="B48" s="4" t="s">
        <v>254</v>
      </c>
      <c r="C48" s="4" t="s">
        <v>255</v>
      </c>
      <c r="D48" s="4" t="s">
        <v>72</v>
      </c>
      <c r="E48" s="5">
        <v>85501</v>
      </c>
      <c r="F48" s="6">
        <v>8503.2882024999999</v>
      </c>
      <c r="G48" s="7">
        <v>1.1470762000000001E-2</v>
      </c>
      <c r="H48" s="51"/>
    </row>
    <row r="49" spans="1:8" ht="17.100000000000001" customHeight="1" x14ac:dyDescent="0.2">
      <c r="A49" s="3">
        <v>43</v>
      </c>
      <c r="B49" s="4" t="s">
        <v>256</v>
      </c>
      <c r="C49" s="4" t="s">
        <v>257</v>
      </c>
      <c r="D49" s="4" t="s">
        <v>104</v>
      </c>
      <c r="E49" s="5">
        <v>881680</v>
      </c>
      <c r="F49" s="6">
        <v>8076.6296400000001</v>
      </c>
      <c r="G49" s="7">
        <v>1.0895208E-2</v>
      </c>
      <c r="H49" s="51"/>
    </row>
    <row r="50" spans="1:8" ht="17.100000000000001" customHeight="1" x14ac:dyDescent="0.2">
      <c r="A50" s="3">
        <v>44</v>
      </c>
      <c r="B50" s="4" t="s">
        <v>258</v>
      </c>
      <c r="C50" s="4" t="s">
        <v>259</v>
      </c>
      <c r="D50" s="4" t="s">
        <v>260</v>
      </c>
      <c r="E50" s="5">
        <v>765000</v>
      </c>
      <c r="F50" s="6">
        <v>8019.4949999999999</v>
      </c>
      <c r="G50" s="7">
        <v>1.0818135E-2</v>
      </c>
      <c r="H50" s="51"/>
    </row>
    <row r="51" spans="1:8" ht="17.100000000000001" customHeight="1" x14ac:dyDescent="0.2">
      <c r="A51" s="3">
        <v>45</v>
      </c>
      <c r="B51" s="4" t="s">
        <v>261</v>
      </c>
      <c r="C51" s="4" t="s">
        <v>262</v>
      </c>
      <c r="D51" s="4" t="s">
        <v>97</v>
      </c>
      <c r="E51" s="5">
        <v>474540</v>
      </c>
      <c r="F51" s="6">
        <v>7964.4420899999996</v>
      </c>
      <c r="G51" s="7">
        <v>1.0743870000000001E-2</v>
      </c>
      <c r="H51" s="51"/>
    </row>
    <row r="52" spans="1:8" ht="17.100000000000001" customHeight="1" x14ac:dyDescent="0.2">
      <c r="A52" s="3">
        <v>46</v>
      </c>
      <c r="B52" s="4" t="s">
        <v>263</v>
      </c>
      <c r="C52" s="4" t="s">
        <v>264</v>
      </c>
      <c r="D52" s="4" t="s">
        <v>31</v>
      </c>
      <c r="E52" s="5">
        <v>1135182</v>
      </c>
      <c r="F52" s="6">
        <v>7895.1908100000001</v>
      </c>
      <c r="G52" s="7">
        <v>1.0650451E-2</v>
      </c>
      <c r="H52" s="51"/>
    </row>
    <row r="53" spans="1:8" ht="17.100000000000001" customHeight="1" x14ac:dyDescent="0.2">
      <c r="A53" s="3">
        <v>47</v>
      </c>
      <c r="B53" s="4" t="s">
        <v>265</v>
      </c>
      <c r="C53" s="4" t="s">
        <v>266</v>
      </c>
      <c r="D53" s="4" t="s">
        <v>208</v>
      </c>
      <c r="E53" s="5">
        <v>2831002</v>
      </c>
      <c r="F53" s="6">
        <v>7479.5072840000003</v>
      </c>
      <c r="G53" s="7">
        <v>1.0089702000000001E-2</v>
      </c>
      <c r="H53" s="51"/>
    </row>
    <row r="54" spans="1:8" ht="29.1" customHeight="1" x14ac:dyDescent="0.2">
      <c r="A54" s="3">
        <v>48</v>
      </c>
      <c r="B54" s="4" t="s">
        <v>267</v>
      </c>
      <c r="C54" s="4" t="s">
        <v>268</v>
      </c>
      <c r="D54" s="4" t="s">
        <v>25</v>
      </c>
      <c r="E54" s="5">
        <v>452481</v>
      </c>
      <c r="F54" s="6">
        <v>7230.6463800000001</v>
      </c>
      <c r="G54" s="7">
        <v>9.7539940000000002E-3</v>
      </c>
      <c r="H54" s="51"/>
    </row>
    <row r="55" spans="1:8" ht="17.100000000000001" customHeight="1" x14ac:dyDescent="0.2">
      <c r="A55" s="3">
        <v>49</v>
      </c>
      <c r="B55" s="4" t="s">
        <v>269</v>
      </c>
      <c r="C55" s="4" t="s">
        <v>270</v>
      </c>
      <c r="D55" s="4" t="s">
        <v>16</v>
      </c>
      <c r="E55" s="5">
        <v>501141</v>
      </c>
      <c r="F55" s="6">
        <v>7122.9676035000002</v>
      </c>
      <c r="G55" s="7">
        <v>9.6087380000000003E-3</v>
      </c>
      <c r="H55" s="51"/>
    </row>
    <row r="56" spans="1:8" ht="17.100000000000001" customHeight="1" x14ac:dyDescent="0.2">
      <c r="A56" s="3">
        <v>50</v>
      </c>
      <c r="B56" s="4" t="s">
        <v>271</v>
      </c>
      <c r="C56" s="4" t="s">
        <v>272</v>
      </c>
      <c r="D56" s="4" t="s">
        <v>72</v>
      </c>
      <c r="E56" s="5">
        <v>1158700</v>
      </c>
      <c r="F56" s="6">
        <v>6478.2916999999998</v>
      </c>
      <c r="G56" s="7">
        <v>8.7390829999999999E-3</v>
      </c>
      <c r="H56" s="51"/>
    </row>
    <row r="57" spans="1:8" ht="17.100000000000001" customHeight="1" x14ac:dyDescent="0.2">
      <c r="A57" s="3">
        <v>51</v>
      </c>
      <c r="B57" s="4" t="s">
        <v>273</v>
      </c>
      <c r="C57" s="4" t="s">
        <v>274</v>
      </c>
      <c r="D57" s="4" t="s">
        <v>223</v>
      </c>
      <c r="E57" s="5">
        <v>300449</v>
      </c>
      <c r="F57" s="6">
        <v>6272.3235484999996</v>
      </c>
      <c r="G57" s="7">
        <v>8.4612360000000005E-3</v>
      </c>
      <c r="H57" s="51"/>
    </row>
    <row r="58" spans="1:8" ht="17.100000000000001" customHeight="1" x14ac:dyDescent="0.2">
      <c r="A58" s="3">
        <v>52</v>
      </c>
      <c r="B58" s="4" t="s">
        <v>39</v>
      </c>
      <c r="C58" s="4" t="s">
        <v>40</v>
      </c>
      <c r="D58" s="4" t="s">
        <v>31</v>
      </c>
      <c r="E58" s="5">
        <v>244611</v>
      </c>
      <c r="F58" s="6">
        <v>6263.8761825000001</v>
      </c>
      <c r="G58" s="7">
        <v>8.4498409999999996E-3</v>
      </c>
      <c r="H58" s="51"/>
    </row>
    <row r="59" spans="1:8" ht="17.100000000000001" customHeight="1" x14ac:dyDescent="0.2">
      <c r="A59" s="3">
        <v>53</v>
      </c>
      <c r="B59" s="4" t="s">
        <v>275</v>
      </c>
      <c r="C59" s="4" t="s">
        <v>276</v>
      </c>
      <c r="D59" s="4" t="s">
        <v>277</v>
      </c>
      <c r="E59" s="5">
        <v>163933</v>
      </c>
      <c r="F59" s="6">
        <v>5887.8176279999998</v>
      </c>
      <c r="G59" s="7">
        <v>7.942546E-3</v>
      </c>
      <c r="H59" s="51"/>
    </row>
    <row r="60" spans="1:8" ht="17.100000000000001" customHeight="1" x14ac:dyDescent="0.2">
      <c r="A60" s="3">
        <v>54</v>
      </c>
      <c r="B60" s="4" t="s">
        <v>278</v>
      </c>
      <c r="C60" s="4" t="s">
        <v>279</v>
      </c>
      <c r="D60" s="4" t="s">
        <v>104</v>
      </c>
      <c r="E60" s="5">
        <v>462350</v>
      </c>
      <c r="F60" s="6">
        <v>5550.0493999999999</v>
      </c>
      <c r="G60" s="7">
        <v>7.4869029999999996E-3</v>
      </c>
      <c r="H60" s="51"/>
    </row>
    <row r="61" spans="1:8" ht="17.100000000000001" customHeight="1" x14ac:dyDescent="0.2">
      <c r="A61" s="3">
        <v>55</v>
      </c>
      <c r="B61" s="4" t="s">
        <v>280</v>
      </c>
      <c r="C61" s="4" t="s">
        <v>281</v>
      </c>
      <c r="D61" s="4" t="s">
        <v>69</v>
      </c>
      <c r="E61" s="5">
        <v>514148</v>
      </c>
      <c r="F61" s="6">
        <v>5307.2927300000001</v>
      </c>
      <c r="G61" s="7">
        <v>7.1594290000000001E-3</v>
      </c>
      <c r="H61" s="51"/>
    </row>
    <row r="62" spans="1:8" ht="17.100000000000001" customHeight="1" x14ac:dyDescent="0.2">
      <c r="A62" s="3">
        <v>56</v>
      </c>
      <c r="B62" s="4" t="s">
        <v>174</v>
      </c>
      <c r="C62" s="4" t="s">
        <v>175</v>
      </c>
      <c r="D62" s="4" t="s">
        <v>22</v>
      </c>
      <c r="E62" s="5">
        <v>2436345</v>
      </c>
      <c r="F62" s="6">
        <v>5269.8142349999998</v>
      </c>
      <c r="G62" s="7">
        <v>7.1088719999999996E-3</v>
      </c>
      <c r="H62" s="51"/>
    </row>
    <row r="63" spans="1:8" ht="17.100000000000001" customHeight="1" x14ac:dyDescent="0.2">
      <c r="A63" s="3">
        <v>57</v>
      </c>
      <c r="B63" s="4" t="s">
        <v>282</v>
      </c>
      <c r="C63" s="4" t="s">
        <v>283</v>
      </c>
      <c r="D63" s="4" t="s">
        <v>284</v>
      </c>
      <c r="E63" s="5">
        <v>1001816</v>
      </c>
      <c r="F63" s="6">
        <v>5052.1580880000001</v>
      </c>
      <c r="G63" s="7">
        <v>6.8152580000000003E-3</v>
      </c>
      <c r="H63" s="51"/>
    </row>
    <row r="64" spans="1:8" ht="17.100000000000001" customHeight="1" x14ac:dyDescent="0.2">
      <c r="A64" s="3">
        <v>58</v>
      </c>
      <c r="B64" s="4" t="s">
        <v>285</v>
      </c>
      <c r="C64" s="4" t="s">
        <v>286</v>
      </c>
      <c r="D64" s="4" t="s">
        <v>97</v>
      </c>
      <c r="E64" s="5">
        <v>246953</v>
      </c>
      <c r="F64" s="6">
        <v>4317.3558224999997</v>
      </c>
      <c r="G64" s="7">
        <v>5.824025E-3</v>
      </c>
      <c r="H64" s="51"/>
    </row>
    <row r="65" spans="1:8" ht="17.100000000000001" customHeight="1" x14ac:dyDescent="0.2">
      <c r="A65" s="3">
        <v>59</v>
      </c>
      <c r="B65" s="4" t="s">
        <v>287</v>
      </c>
      <c r="C65" s="4" t="s">
        <v>288</v>
      </c>
      <c r="D65" s="4" t="s">
        <v>220</v>
      </c>
      <c r="E65" s="5">
        <v>943988</v>
      </c>
      <c r="F65" s="6">
        <v>3745.7443840000001</v>
      </c>
      <c r="G65" s="7">
        <v>5.0529329999999999E-3</v>
      </c>
      <c r="H65" s="51"/>
    </row>
    <row r="66" spans="1:8" ht="17.100000000000001" customHeight="1" x14ac:dyDescent="0.2">
      <c r="A66" s="3">
        <v>60</v>
      </c>
      <c r="B66" s="4" t="s">
        <v>289</v>
      </c>
      <c r="C66" s="4" t="s">
        <v>290</v>
      </c>
      <c r="D66" s="4" t="s">
        <v>72</v>
      </c>
      <c r="E66" s="5">
        <v>153685</v>
      </c>
      <c r="F66" s="6">
        <v>2894.8875025000002</v>
      </c>
      <c r="G66" s="7">
        <v>3.9051440000000001E-3</v>
      </c>
      <c r="H66" s="51"/>
    </row>
    <row r="67" spans="1:8" ht="29.1" customHeight="1" x14ac:dyDescent="0.2">
      <c r="A67" s="3">
        <v>61</v>
      </c>
      <c r="B67" s="4" t="s">
        <v>291</v>
      </c>
      <c r="C67" s="4" t="s">
        <v>292</v>
      </c>
      <c r="D67" s="4" t="s">
        <v>184</v>
      </c>
      <c r="E67" s="5">
        <v>344069</v>
      </c>
      <c r="F67" s="6">
        <v>2584.4742934999999</v>
      </c>
      <c r="G67" s="7">
        <v>3.4864029999999999E-3</v>
      </c>
      <c r="H67" s="51"/>
    </row>
    <row r="68" spans="1:8" ht="17.100000000000001" customHeight="1" x14ac:dyDescent="0.2">
      <c r="A68" s="3">
        <v>62</v>
      </c>
      <c r="B68" s="4" t="s">
        <v>109</v>
      </c>
      <c r="C68" s="4" t="s">
        <v>110</v>
      </c>
      <c r="D68" s="4" t="s">
        <v>72</v>
      </c>
      <c r="E68" s="5">
        <v>478503</v>
      </c>
      <c r="F68" s="6">
        <v>2219.0576624999999</v>
      </c>
      <c r="G68" s="7">
        <v>2.993463E-3</v>
      </c>
      <c r="H68" s="51"/>
    </row>
    <row r="69" spans="1:8" ht="17.100000000000001" customHeight="1" x14ac:dyDescent="0.2">
      <c r="A69" s="3">
        <v>63</v>
      </c>
      <c r="B69" s="4" t="s">
        <v>293</v>
      </c>
      <c r="C69" s="4" t="s">
        <v>294</v>
      </c>
      <c r="D69" s="4" t="s">
        <v>104</v>
      </c>
      <c r="E69" s="5">
        <v>33649</v>
      </c>
      <c r="F69" s="6">
        <v>1470.9996839999999</v>
      </c>
      <c r="G69" s="7">
        <v>1.9843479999999999E-3</v>
      </c>
      <c r="H69" s="51"/>
    </row>
    <row r="70" spans="1:8" ht="17.100000000000001" customHeight="1" x14ac:dyDescent="0.2">
      <c r="A70" s="3">
        <v>64</v>
      </c>
      <c r="B70" s="4" t="s">
        <v>78</v>
      </c>
      <c r="C70" s="4" t="s">
        <v>79</v>
      </c>
      <c r="D70" s="4" t="s">
        <v>31</v>
      </c>
      <c r="E70" s="5">
        <v>112242</v>
      </c>
      <c r="F70" s="6">
        <v>1165.1280810000001</v>
      </c>
      <c r="G70" s="7">
        <v>1.571734E-3</v>
      </c>
      <c r="H70" s="51"/>
    </row>
    <row r="71" spans="1:8" ht="14.1" customHeight="1" x14ac:dyDescent="0.2">
      <c r="A71" s="1"/>
      <c r="B71" s="1"/>
      <c r="C71" s="2" t="s">
        <v>129</v>
      </c>
      <c r="D71" s="1"/>
      <c r="E71" s="1" t="s">
        <v>130</v>
      </c>
      <c r="F71" s="9">
        <v>713778.81092149997</v>
      </c>
      <c r="G71" s="10">
        <v>0.96287301800000002</v>
      </c>
      <c r="H71" s="51"/>
    </row>
    <row r="72" spans="1:8" ht="14.1" customHeight="1" x14ac:dyDescent="0.2">
      <c r="A72" s="1"/>
      <c r="B72" s="1"/>
      <c r="C72" s="11"/>
      <c r="D72" s="1"/>
      <c r="E72" s="1"/>
      <c r="F72" s="12"/>
      <c r="G72" s="12"/>
      <c r="H72" s="51"/>
    </row>
    <row r="73" spans="1:8" ht="14.1" customHeight="1" x14ac:dyDescent="0.2">
      <c r="A73" s="1"/>
      <c r="B73" s="1"/>
      <c r="C73" s="2" t="s">
        <v>131</v>
      </c>
      <c r="D73" s="1"/>
      <c r="E73" s="1"/>
      <c r="F73" s="1"/>
      <c r="G73" s="1"/>
      <c r="H73" s="51"/>
    </row>
    <row r="74" spans="1:8" ht="14.1" customHeight="1" x14ac:dyDescent="0.2">
      <c r="A74" s="1"/>
      <c r="B74" s="1"/>
      <c r="C74" s="2" t="s">
        <v>129</v>
      </c>
      <c r="D74" s="1"/>
      <c r="E74" s="1" t="s">
        <v>130</v>
      </c>
      <c r="F74" s="13">
        <v>0</v>
      </c>
      <c r="G74" s="14">
        <v>0</v>
      </c>
      <c r="H74" s="51"/>
    </row>
    <row r="75" spans="1:8" ht="14.1" customHeight="1" x14ac:dyDescent="0.2">
      <c r="A75" s="1"/>
      <c r="B75" s="1"/>
      <c r="C75" s="11"/>
      <c r="D75" s="1"/>
      <c r="E75" s="1"/>
      <c r="F75" s="12"/>
      <c r="G75" s="12"/>
      <c r="H75" s="51"/>
    </row>
    <row r="76" spans="1:8" ht="14.1" customHeight="1" x14ac:dyDescent="0.2">
      <c r="A76" s="1"/>
      <c r="B76" s="1"/>
      <c r="C76" s="2" t="s">
        <v>132</v>
      </c>
      <c r="D76" s="1"/>
      <c r="E76" s="1"/>
      <c r="F76" s="1"/>
      <c r="G76" s="1"/>
      <c r="H76" s="51"/>
    </row>
    <row r="77" spans="1:8" ht="14.1" customHeight="1" x14ac:dyDescent="0.2">
      <c r="A77" s="1"/>
      <c r="B77" s="1"/>
      <c r="C77" s="2" t="s">
        <v>129</v>
      </c>
      <c r="D77" s="1"/>
      <c r="E77" s="1" t="s">
        <v>130</v>
      </c>
      <c r="F77" s="13">
        <v>0</v>
      </c>
      <c r="G77" s="14">
        <v>0</v>
      </c>
      <c r="H77" s="51"/>
    </row>
    <row r="78" spans="1:8" ht="14.1" customHeight="1" x14ac:dyDescent="0.2">
      <c r="A78" s="1"/>
      <c r="B78" s="1"/>
      <c r="C78" s="11"/>
      <c r="D78" s="1"/>
      <c r="E78" s="1"/>
      <c r="F78" s="12"/>
      <c r="G78" s="12"/>
      <c r="H78" s="51"/>
    </row>
    <row r="79" spans="1:8" ht="14.1" customHeight="1" x14ac:dyDescent="0.2">
      <c r="A79" s="1"/>
      <c r="B79" s="1"/>
      <c r="C79" s="2" t="s">
        <v>133</v>
      </c>
      <c r="D79" s="1"/>
      <c r="E79" s="1"/>
      <c r="F79" s="1"/>
      <c r="G79" s="1"/>
      <c r="H79" s="51"/>
    </row>
    <row r="80" spans="1:8" ht="14.1" customHeight="1" x14ac:dyDescent="0.2">
      <c r="A80" s="1"/>
      <c r="B80" s="1"/>
      <c r="C80" s="2" t="s">
        <v>129</v>
      </c>
      <c r="D80" s="1"/>
      <c r="E80" s="1" t="s">
        <v>130</v>
      </c>
      <c r="F80" s="13">
        <v>0</v>
      </c>
      <c r="G80" s="14">
        <v>0</v>
      </c>
      <c r="H80" s="51"/>
    </row>
    <row r="81" spans="1:8" ht="14.1" customHeight="1" x14ac:dyDescent="0.2">
      <c r="A81" s="1"/>
      <c r="B81" s="1"/>
      <c r="C81" s="11"/>
      <c r="D81" s="1"/>
      <c r="E81" s="1"/>
      <c r="F81" s="12"/>
      <c r="G81" s="12"/>
      <c r="H81" s="51"/>
    </row>
    <row r="82" spans="1:8" ht="14.1" customHeight="1" x14ac:dyDescent="0.2">
      <c r="A82" s="1"/>
      <c r="B82" s="1"/>
      <c r="C82" s="2" t="s">
        <v>134</v>
      </c>
      <c r="D82" s="1"/>
      <c r="E82" s="1"/>
      <c r="F82" s="12"/>
      <c r="G82" s="12"/>
      <c r="H82" s="51"/>
    </row>
    <row r="83" spans="1:8" ht="14.1" customHeight="1" x14ac:dyDescent="0.2">
      <c r="A83" s="1"/>
      <c r="B83" s="1"/>
      <c r="C83" s="2" t="s">
        <v>129</v>
      </c>
      <c r="D83" s="1"/>
      <c r="E83" s="1" t="s">
        <v>130</v>
      </c>
      <c r="F83" s="13">
        <v>0</v>
      </c>
      <c r="G83" s="14">
        <v>0</v>
      </c>
      <c r="H83" s="51"/>
    </row>
    <row r="84" spans="1:8" ht="14.1" customHeight="1" x14ac:dyDescent="0.2">
      <c r="A84" s="1"/>
      <c r="B84" s="1"/>
      <c r="C84" s="11"/>
      <c r="D84" s="1"/>
      <c r="E84" s="1"/>
      <c r="F84" s="12"/>
      <c r="G84" s="12"/>
      <c r="H84" s="51"/>
    </row>
    <row r="85" spans="1:8" ht="14.1" customHeight="1" x14ac:dyDescent="0.2">
      <c r="A85" s="1"/>
      <c r="B85" s="1"/>
      <c r="C85" s="2" t="s">
        <v>135</v>
      </c>
      <c r="D85" s="1"/>
      <c r="E85" s="1"/>
      <c r="F85" s="12"/>
      <c r="G85" s="12"/>
      <c r="H85" s="51"/>
    </row>
    <row r="86" spans="1:8" ht="14.1" customHeight="1" x14ac:dyDescent="0.2">
      <c r="A86" s="1"/>
      <c r="B86" s="1"/>
      <c r="C86" s="2" t="s">
        <v>129</v>
      </c>
      <c r="D86" s="1"/>
      <c r="E86" s="1" t="s">
        <v>130</v>
      </c>
      <c r="F86" s="13">
        <v>0</v>
      </c>
      <c r="G86" s="14">
        <v>0</v>
      </c>
      <c r="H86" s="51"/>
    </row>
    <row r="87" spans="1:8" ht="14.1" customHeight="1" x14ac:dyDescent="0.2">
      <c r="A87" s="1"/>
      <c r="B87" s="1"/>
      <c r="C87" s="11"/>
      <c r="D87" s="1"/>
      <c r="E87" s="1"/>
      <c r="F87" s="12"/>
      <c r="G87" s="12"/>
      <c r="H87" s="51"/>
    </row>
    <row r="88" spans="1:8" ht="18" customHeight="1" x14ac:dyDescent="0.2">
      <c r="A88" s="1"/>
      <c r="B88" s="1"/>
      <c r="C88" s="2" t="s">
        <v>136</v>
      </c>
      <c r="D88" s="1"/>
      <c r="E88" s="1"/>
      <c r="F88" s="9">
        <v>713778.81092149997</v>
      </c>
      <c r="G88" s="10">
        <v>0.96287301800000002</v>
      </c>
      <c r="H88" s="51"/>
    </row>
    <row r="89" spans="1:8" ht="14.1" customHeight="1" x14ac:dyDescent="0.2">
      <c r="A89" s="1"/>
      <c r="B89" s="1"/>
      <c r="C89" s="11"/>
      <c r="D89" s="1"/>
      <c r="E89" s="1"/>
      <c r="F89" s="12"/>
      <c r="G89" s="12"/>
      <c r="H89" s="51"/>
    </row>
    <row r="90" spans="1:8" ht="14.1" customHeight="1" x14ac:dyDescent="0.2">
      <c r="A90" s="1"/>
      <c r="B90" s="1"/>
      <c r="C90" s="2" t="s">
        <v>137</v>
      </c>
      <c r="D90" s="1"/>
      <c r="E90" s="1"/>
      <c r="F90" s="12"/>
      <c r="G90" s="12"/>
      <c r="H90" s="51"/>
    </row>
    <row r="91" spans="1:8" ht="24" customHeight="1" x14ac:dyDescent="0.2">
      <c r="A91" s="1"/>
      <c r="B91" s="1"/>
      <c r="C91" s="2" t="s">
        <v>10</v>
      </c>
      <c r="D91" s="1"/>
      <c r="E91" s="1"/>
      <c r="F91" s="12"/>
      <c r="G91" s="12"/>
      <c r="H91" s="51"/>
    </row>
    <row r="92" spans="1:8" ht="14.1" customHeight="1" x14ac:dyDescent="0.2">
      <c r="A92" s="1"/>
      <c r="B92" s="1"/>
      <c r="C92" s="2" t="s">
        <v>129</v>
      </c>
      <c r="D92" s="1"/>
      <c r="E92" s="1" t="s">
        <v>130</v>
      </c>
      <c r="F92" s="13">
        <v>0</v>
      </c>
      <c r="G92" s="14">
        <v>0</v>
      </c>
      <c r="H92" s="51"/>
    </row>
    <row r="93" spans="1:8" ht="14.1" customHeight="1" x14ac:dyDescent="0.2">
      <c r="A93" s="1"/>
      <c r="B93" s="1"/>
      <c r="C93" s="11"/>
      <c r="D93" s="1"/>
      <c r="E93" s="1"/>
      <c r="F93" s="12"/>
      <c r="G93" s="12"/>
      <c r="H93" s="51"/>
    </row>
    <row r="94" spans="1:8" ht="14.1" customHeight="1" x14ac:dyDescent="0.2">
      <c r="A94" s="1"/>
      <c r="B94" s="1"/>
      <c r="C94" s="2" t="s">
        <v>138</v>
      </c>
      <c r="D94" s="1"/>
      <c r="E94" s="1"/>
      <c r="F94" s="1"/>
      <c r="G94" s="1"/>
      <c r="H94" s="51"/>
    </row>
    <row r="95" spans="1:8" ht="14.1" customHeight="1" x14ac:dyDescent="0.2">
      <c r="A95" s="1"/>
      <c r="B95" s="1"/>
      <c r="C95" s="2" t="s">
        <v>129</v>
      </c>
      <c r="D95" s="1"/>
      <c r="E95" s="1" t="s">
        <v>130</v>
      </c>
      <c r="F95" s="13">
        <v>0</v>
      </c>
      <c r="G95" s="14">
        <v>0</v>
      </c>
      <c r="H95" s="51"/>
    </row>
    <row r="96" spans="1:8" ht="14.1" customHeight="1" x14ac:dyDescent="0.2">
      <c r="A96" s="1"/>
      <c r="B96" s="1"/>
      <c r="C96" s="11"/>
      <c r="D96" s="1"/>
      <c r="E96" s="1"/>
      <c r="F96" s="12"/>
      <c r="G96" s="12"/>
      <c r="H96" s="51"/>
    </row>
    <row r="97" spans="1:8" ht="14.1" customHeight="1" x14ac:dyDescent="0.2">
      <c r="A97" s="1"/>
      <c r="B97" s="1"/>
      <c r="C97" s="2" t="s">
        <v>139</v>
      </c>
      <c r="D97" s="1"/>
      <c r="E97" s="1"/>
      <c r="F97" s="1"/>
      <c r="G97" s="1"/>
      <c r="H97" s="51"/>
    </row>
    <row r="98" spans="1:8" ht="14.1" customHeight="1" x14ac:dyDescent="0.2">
      <c r="A98" s="1"/>
      <c r="B98" s="1"/>
      <c r="C98" s="2" t="s">
        <v>129</v>
      </c>
      <c r="D98" s="1"/>
      <c r="E98" s="1" t="s">
        <v>130</v>
      </c>
      <c r="F98" s="13">
        <v>0</v>
      </c>
      <c r="G98" s="14">
        <v>0</v>
      </c>
      <c r="H98" s="51"/>
    </row>
    <row r="99" spans="1:8" ht="14.1" customHeight="1" x14ac:dyDescent="0.2">
      <c r="A99" s="1"/>
      <c r="B99" s="1"/>
      <c r="C99" s="11"/>
      <c r="D99" s="1"/>
      <c r="E99" s="1"/>
      <c r="F99" s="12"/>
      <c r="G99" s="12"/>
      <c r="H99" s="51"/>
    </row>
    <row r="100" spans="1:8" ht="14.1" customHeight="1" x14ac:dyDescent="0.2">
      <c r="A100" s="1"/>
      <c r="B100" s="1"/>
      <c r="C100" s="2" t="s">
        <v>140</v>
      </c>
      <c r="D100" s="1"/>
      <c r="E100" s="1"/>
      <c r="F100" s="12"/>
      <c r="G100" s="12"/>
      <c r="H100" s="51"/>
    </row>
    <row r="101" spans="1:8" ht="14.1" customHeight="1" x14ac:dyDescent="0.2">
      <c r="A101" s="1"/>
      <c r="B101" s="1"/>
      <c r="C101" s="2" t="s">
        <v>129</v>
      </c>
      <c r="D101" s="1"/>
      <c r="E101" s="1" t="s">
        <v>130</v>
      </c>
      <c r="F101" s="13">
        <v>0</v>
      </c>
      <c r="G101" s="14">
        <v>0</v>
      </c>
      <c r="H101" s="51"/>
    </row>
    <row r="102" spans="1:8" ht="14.1" customHeight="1" x14ac:dyDescent="0.2">
      <c r="A102" s="1"/>
      <c r="B102" s="1"/>
      <c r="C102" s="11"/>
      <c r="D102" s="1"/>
      <c r="E102" s="1"/>
      <c r="F102" s="12"/>
      <c r="G102" s="12"/>
      <c r="H102" s="51"/>
    </row>
    <row r="103" spans="1:8" ht="14.1" customHeight="1" x14ac:dyDescent="0.2">
      <c r="A103" s="1"/>
      <c r="B103" s="1"/>
      <c r="C103" s="2" t="s">
        <v>141</v>
      </c>
      <c r="D103" s="1"/>
      <c r="E103" s="1"/>
      <c r="F103" s="9">
        <v>0</v>
      </c>
      <c r="G103" s="10">
        <v>0</v>
      </c>
      <c r="H103" s="51"/>
    </row>
    <row r="104" spans="1:8" ht="14.1" customHeight="1" x14ac:dyDescent="0.2">
      <c r="A104" s="1"/>
      <c r="B104" s="1"/>
      <c r="C104" s="11"/>
      <c r="D104" s="1"/>
      <c r="E104" s="1"/>
      <c r="F104" s="12"/>
      <c r="G104" s="12"/>
      <c r="H104" s="51"/>
    </row>
    <row r="105" spans="1:8" ht="14.1" customHeight="1" x14ac:dyDescent="0.2">
      <c r="A105" s="1"/>
      <c r="B105" s="1"/>
      <c r="C105" s="2" t="s">
        <v>142</v>
      </c>
      <c r="D105" s="1"/>
      <c r="E105" s="1"/>
      <c r="F105" s="12"/>
      <c r="G105" s="12"/>
      <c r="H105" s="51"/>
    </row>
    <row r="106" spans="1:8" ht="14.1" customHeight="1" x14ac:dyDescent="0.2">
      <c r="A106" s="1"/>
      <c r="B106" s="1"/>
      <c r="C106" s="2" t="s">
        <v>143</v>
      </c>
      <c r="D106" s="1"/>
      <c r="E106" s="1"/>
      <c r="F106" s="12"/>
      <c r="G106" s="12"/>
      <c r="H106" s="51"/>
    </row>
    <row r="107" spans="1:8" ht="14.1" customHeight="1" x14ac:dyDescent="0.2">
      <c r="A107" s="1"/>
      <c r="B107" s="1"/>
      <c r="C107" s="2" t="s">
        <v>129</v>
      </c>
      <c r="D107" s="1"/>
      <c r="E107" s="1" t="s">
        <v>130</v>
      </c>
      <c r="F107" s="13">
        <v>0</v>
      </c>
      <c r="G107" s="14">
        <v>0</v>
      </c>
      <c r="H107" s="51"/>
    </row>
    <row r="108" spans="1:8" ht="14.1" customHeight="1" x14ac:dyDescent="0.2">
      <c r="A108" s="1"/>
      <c r="B108" s="1"/>
      <c r="C108" s="11"/>
      <c r="D108" s="1"/>
      <c r="E108" s="1"/>
      <c r="F108" s="12"/>
      <c r="G108" s="12"/>
      <c r="H108" s="51"/>
    </row>
    <row r="109" spans="1:8" ht="14.1" customHeight="1" x14ac:dyDescent="0.2">
      <c r="A109" s="1"/>
      <c r="B109" s="1"/>
      <c r="C109" s="2" t="s">
        <v>144</v>
      </c>
      <c r="D109" s="1"/>
      <c r="E109" s="1"/>
      <c r="F109" s="12"/>
      <c r="G109" s="12"/>
      <c r="H109" s="51"/>
    </row>
    <row r="110" spans="1:8" ht="14.1" customHeight="1" x14ac:dyDescent="0.2">
      <c r="A110" s="1"/>
      <c r="B110" s="1"/>
      <c r="C110" s="2" t="s">
        <v>129</v>
      </c>
      <c r="D110" s="1"/>
      <c r="E110" s="1" t="s">
        <v>130</v>
      </c>
      <c r="F110" s="13">
        <v>0</v>
      </c>
      <c r="G110" s="14">
        <v>0</v>
      </c>
      <c r="H110" s="51"/>
    </row>
    <row r="111" spans="1:8" ht="14.1" customHeight="1" x14ac:dyDescent="0.2">
      <c r="A111" s="1"/>
      <c r="B111" s="1"/>
      <c r="C111" s="11"/>
      <c r="D111" s="1"/>
      <c r="E111" s="1"/>
      <c r="F111" s="12"/>
      <c r="G111" s="12"/>
      <c r="H111" s="51"/>
    </row>
    <row r="112" spans="1:8" ht="14.1" customHeight="1" x14ac:dyDescent="0.2">
      <c r="A112" s="1"/>
      <c r="B112" s="1"/>
      <c r="C112" s="2" t="s">
        <v>145</v>
      </c>
      <c r="D112" s="1"/>
      <c r="E112" s="1"/>
      <c r="F112" s="12"/>
      <c r="G112" s="12"/>
      <c r="H112" s="51"/>
    </row>
    <row r="113" spans="1:8" ht="14.1" customHeight="1" x14ac:dyDescent="0.2">
      <c r="A113" s="1"/>
      <c r="B113" s="1"/>
      <c r="C113" s="2" t="s">
        <v>129</v>
      </c>
      <c r="D113" s="1"/>
      <c r="E113" s="1" t="s">
        <v>130</v>
      </c>
      <c r="F113" s="13">
        <v>0</v>
      </c>
      <c r="G113" s="14">
        <v>0</v>
      </c>
      <c r="H113" s="51"/>
    </row>
    <row r="114" spans="1:8" ht="14.1" customHeight="1" x14ac:dyDescent="0.2">
      <c r="A114" s="1"/>
      <c r="B114" s="1"/>
      <c r="C114" s="11"/>
      <c r="D114" s="1"/>
      <c r="E114" s="1"/>
      <c r="F114" s="12"/>
      <c r="G114" s="12"/>
      <c r="H114" s="51"/>
    </row>
    <row r="115" spans="1:8" ht="14.1" customHeight="1" x14ac:dyDescent="0.2">
      <c r="A115" s="1"/>
      <c r="B115" s="1"/>
      <c r="C115" s="2" t="s">
        <v>146</v>
      </c>
      <c r="D115" s="1"/>
      <c r="E115" s="1"/>
      <c r="F115" s="12"/>
      <c r="G115" s="12"/>
      <c r="H115" s="51"/>
    </row>
    <row r="116" spans="1:8" ht="17.100000000000001" customHeight="1" x14ac:dyDescent="0.2">
      <c r="A116" s="3">
        <v>1</v>
      </c>
      <c r="B116" s="4"/>
      <c r="C116" s="4" t="s">
        <v>147</v>
      </c>
      <c r="D116" s="4"/>
      <c r="E116" s="8"/>
      <c r="F116" s="6">
        <v>17446.675015000001</v>
      </c>
      <c r="G116" s="7">
        <v>2.3535207999999998E-2</v>
      </c>
      <c r="H116" s="51">
        <v>6.1245112103248278</v>
      </c>
    </row>
    <row r="117" spans="1:8" ht="14.1" customHeight="1" x14ac:dyDescent="0.2">
      <c r="A117" s="1"/>
      <c r="B117" s="1"/>
      <c r="C117" s="2" t="s">
        <v>129</v>
      </c>
      <c r="D117" s="1"/>
      <c r="E117" s="1" t="s">
        <v>130</v>
      </c>
      <c r="F117" s="9">
        <v>17446.675015000001</v>
      </c>
      <c r="G117" s="10">
        <v>2.3535207999999998E-2</v>
      </c>
      <c r="H117" s="51"/>
    </row>
    <row r="118" spans="1:8" ht="14.1" customHeight="1" x14ac:dyDescent="0.2">
      <c r="A118" s="1"/>
      <c r="B118" s="1"/>
      <c r="C118" s="11"/>
      <c r="D118" s="1"/>
      <c r="E118" s="1"/>
      <c r="F118" s="12"/>
      <c r="G118" s="12"/>
      <c r="H118" s="51"/>
    </row>
    <row r="119" spans="1:8" ht="14.1" customHeight="1" x14ac:dyDescent="0.2">
      <c r="A119" s="1"/>
      <c r="B119" s="1"/>
      <c r="C119" s="2" t="s">
        <v>148</v>
      </c>
      <c r="D119" s="1"/>
      <c r="E119" s="1"/>
      <c r="F119" s="9">
        <v>17446.675015000001</v>
      </c>
      <c r="G119" s="10">
        <v>2.3535207999999998E-2</v>
      </c>
      <c r="H119" s="51"/>
    </row>
    <row r="120" spans="1:8" ht="14.1" customHeight="1" x14ac:dyDescent="0.2">
      <c r="A120" s="1"/>
      <c r="B120" s="1"/>
      <c r="C120" s="12"/>
      <c r="D120" s="1"/>
      <c r="E120" s="1"/>
      <c r="F120" s="1"/>
      <c r="G120" s="1"/>
      <c r="H120" s="51"/>
    </row>
    <row r="121" spans="1:8" ht="14.1" customHeight="1" x14ac:dyDescent="0.2">
      <c r="A121" s="1"/>
      <c r="B121" s="1"/>
      <c r="C121" s="2" t="s">
        <v>149</v>
      </c>
      <c r="D121" s="1"/>
      <c r="E121" s="1"/>
      <c r="F121" s="1"/>
      <c r="G121" s="1"/>
      <c r="H121" s="51"/>
    </row>
    <row r="122" spans="1:8" ht="14.1" customHeight="1" x14ac:dyDescent="0.2">
      <c r="A122" s="1"/>
      <c r="B122" s="1"/>
      <c r="C122" s="2" t="s">
        <v>150</v>
      </c>
      <c r="D122" s="1"/>
      <c r="E122" s="1"/>
      <c r="F122" s="1"/>
      <c r="G122" s="1"/>
      <c r="H122" s="51"/>
    </row>
    <row r="123" spans="1:8" ht="14.1" customHeight="1" x14ac:dyDescent="0.2">
      <c r="A123" s="1"/>
      <c r="B123" s="1"/>
      <c r="C123" s="2" t="s">
        <v>129</v>
      </c>
      <c r="D123" s="1"/>
      <c r="E123" s="1" t="s">
        <v>130</v>
      </c>
      <c r="F123" s="13">
        <v>0</v>
      </c>
      <c r="G123" s="14">
        <v>0</v>
      </c>
      <c r="H123" s="51"/>
    </row>
    <row r="124" spans="1:8" ht="14.1" customHeight="1" x14ac:dyDescent="0.2">
      <c r="A124" s="1"/>
      <c r="B124" s="1"/>
      <c r="C124" s="11"/>
      <c r="D124" s="1"/>
      <c r="E124" s="1"/>
      <c r="F124" s="12"/>
      <c r="G124" s="12"/>
      <c r="H124" s="51"/>
    </row>
    <row r="125" spans="1:8" ht="14.1" customHeight="1" x14ac:dyDescent="0.2">
      <c r="A125" s="1"/>
      <c r="B125" s="1"/>
      <c r="C125" s="2" t="s">
        <v>151</v>
      </c>
      <c r="D125" s="1"/>
      <c r="E125" s="1"/>
      <c r="F125" s="1"/>
      <c r="G125" s="1"/>
      <c r="H125" s="51"/>
    </row>
    <row r="126" spans="1:8" ht="14.1" customHeight="1" x14ac:dyDescent="0.2">
      <c r="A126" s="1"/>
      <c r="B126" s="1"/>
      <c r="C126" s="2" t="s">
        <v>152</v>
      </c>
      <c r="D126" s="1"/>
      <c r="E126" s="1"/>
      <c r="F126" s="1"/>
      <c r="G126" s="1"/>
      <c r="H126" s="51"/>
    </row>
    <row r="127" spans="1:8" ht="14.1" customHeight="1" x14ac:dyDescent="0.2">
      <c r="A127" s="1"/>
      <c r="B127" s="1"/>
      <c r="C127" s="2" t="s">
        <v>129</v>
      </c>
      <c r="D127" s="1"/>
      <c r="E127" s="1" t="s">
        <v>130</v>
      </c>
      <c r="F127" s="13">
        <v>0</v>
      </c>
      <c r="G127" s="14">
        <v>0</v>
      </c>
      <c r="H127" s="51"/>
    </row>
    <row r="128" spans="1:8" ht="14.1" customHeight="1" x14ac:dyDescent="0.2">
      <c r="A128" s="1"/>
      <c r="B128" s="1"/>
      <c r="C128" s="11"/>
      <c r="D128" s="1"/>
      <c r="E128" s="1"/>
      <c r="F128" s="12"/>
      <c r="G128" s="12"/>
      <c r="H128" s="51"/>
    </row>
    <row r="129" spans="1:8" ht="14.1" customHeight="1" x14ac:dyDescent="0.2">
      <c r="A129" s="1"/>
      <c r="B129" s="1"/>
      <c r="C129" s="11"/>
      <c r="D129" s="1"/>
      <c r="E129" s="1"/>
      <c r="F129" s="12"/>
      <c r="G129" s="12"/>
      <c r="H129" s="51"/>
    </row>
    <row r="130" spans="1:8" ht="24" customHeight="1" x14ac:dyDescent="0.2">
      <c r="A130" s="1"/>
      <c r="B130" s="1"/>
      <c r="C130" s="2" t="s">
        <v>153</v>
      </c>
      <c r="D130" s="1"/>
      <c r="E130" s="1"/>
      <c r="F130" s="12"/>
      <c r="G130" s="12"/>
      <c r="H130" s="51"/>
    </row>
    <row r="131" spans="1:8" ht="14.1" customHeight="1" x14ac:dyDescent="0.2">
      <c r="A131" s="1"/>
      <c r="B131" s="1"/>
      <c r="C131" s="2" t="s">
        <v>129</v>
      </c>
      <c r="D131" s="1"/>
      <c r="E131" s="1" t="s">
        <v>130</v>
      </c>
      <c r="F131" s="13">
        <v>0</v>
      </c>
      <c r="G131" s="14">
        <v>0</v>
      </c>
      <c r="H131" s="51"/>
    </row>
    <row r="132" spans="1:8" ht="14.1" customHeight="1" x14ac:dyDescent="0.2">
      <c r="A132" s="1"/>
      <c r="B132" s="1"/>
      <c r="C132" s="11"/>
      <c r="D132" s="1"/>
      <c r="E132" s="1"/>
      <c r="F132" s="12"/>
      <c r="G132" s="12"/>
      <c r="H132" s="51"/>
    </row>
    <row r="133" spans="1:8" ht="14.1" customHeight="1" x14ac:dyDescent="0.2">
      <c r="A133" s="1"/>
      <c r="B133" s="4"/>
      <c r="C133" s="4"/>
      <c r="D133" s="2"/>
      <c r="E133" s="1"/>
      <c r="F133" s="4"/>
      <c r="G133" s="8"/>
      <c r="H133" s="51"/>
    </row>
    <row r="134" spans="1:8" ht="18" customHeight="1" x14ac:dyDescent="0.2">
      <c r="A134" s="8"/>
      <c r="B134" s="4"/>
      <c r="C134" s="4" t="s">
        <v>154</v>
      </c>
      <c r="D134" s="4"/>
      <c r="E134" s="8"/>
      <c r="F134" s="6">
        <v>10075.596206460001</v>
      </c>
      <c r="G134" s="7">
        <v>1.3591773E-2</v>
      </c>
      <c r="H134" s="51"/>
    </row>
    <row r="135" spans="1:8" ht="14.1" customHeight="1" x14ac:dyDescent="0.2">
      <c r="A135" s="11"/>
      <c r="B135" s="11"/>
      <c r="C135" s="2" t="s">
        <v>155</v>
      </c>
      <c r="D135" s="15"/>
      <c r="E135" s="15"/>
      <c r="F135" s="9">
        <v>741301.08214295993</v>
      </c>
      <c r="G135" s="10">
        <v>0.99999999900000003</v>
      </c>
      <c r="H135" s="51"/>
    </row>
    <row r="136" spans="1:8" ht="14.1" customHeight="1" x14ac:dyDescent="0.2">
      <c r="A136" s="16"/>
      <c r="B136" s="16"/>
      <c r="C136" s="16"/>
      <c r="D136" s="17"/>
      <c r="E136" s="17"/>
      <c r="F136" s="17"/>
      <c r="G136" s="17"/>
    </row>
    <row r="137" spans="1:8" ht="14.1" customHeight="1" x14ac:dyDescent="0.2">
      <c r="A137" s="18"/>
      <c r="B137" s="18"/>
      <c r="C137" s="18"/>
      <c r="D137" s="20"/>
      <c r="E137" s="20"/>
      <c r="F137" s="20"/>
      <c r="G137" s="20"/>
    </row>
    <row r="138" spans="1:8" ht="14.1" customHeight="1" x14ac:dyDescent="0.2">
      <c r="A138" s="18"/>
      <c r="B138" s="325" t="s">
        <v>157</v>
      </c>
      <c r="C138" s="326"/>
      <c r="D138" s="12" t="s">
        <v>130</v>
      </c>
      <c r="E138" s="21"/>
      <c r="F138" s="20"/>
      <c r="G138" s="20"/>
    </row>
    <row r="139" spans="1:8" ht="29.1" customHeight="1" x14ac:dyDescent="0.2">
      <c r="A139" s="18"/>
      <c r="B139" s="318" t="s">
        <v>158</v>
      </c>
      <c r="C139" s="319"/>
      <c r="D139" s="2" t="s">
        <v>159</v>
      </c>
      <c r="E139" s="21"/>
      <c r="F139" s="20"/>
      <c r="G139" s="20"/>
    </row>
    <row r="140" spans="1:8" ht="17.100000000000001" customHeight="1" x14ac:dyDescent="0.2">
      <c r="A140" s="18"/>
      <c r="B140" s="318" t="s">
        <v>160</v>
      </c>
      <c r="C140" s="319"/>
      <c r="D140" s="2" t="s">
        <v>159</v>
      </c>
      <c r="E140" s="21"/>
      <c r="F140" s="20"/>
      <c r="G140" s="20"/>
    </row>
    <row r="141" spans="1:8" ht="17.100000000000001" customHeight="1" x14ac:dyDescent="0.2">
      <c r="A141" s="18"/>
      <c r="B141" s="318" t="s">
        <v>161</v>
      </c>
      <c r="C141" s="319"/>
      <c r="D141" s="12" t="s">
        <v>130</v>
      </c>
      <c r="E141" s="21"/>
      <c r="F141" s="20"/>
      <c r="G141" s="20"/>
    </row>
    <row r="142" spans="1:8" ht="24" customHeight="1" x14ac:dyDescent="0.2">
      <c r="A142" s="22"/>
      <c r="B142" s="23" t="s">
        <v>130</v>
      </c>
      <c r="C142" s="23" t="s">
        <v>162</v>
      </c>
      <c r="D142" s="23" t="s">
        <v>163</v>
      </c>
      <c r="E142" s="22"/>
      <c r="F142" s="22"/>
      <c r="G142" s="22"/>
    </row>
    <row r="143" spans="1:8" ht="18" customHeight="1" x14ac:dyDescent="0.2">
      <c r="A143" s="22"/>
      <c r="B143" s="23" t="s">
        <v>164</v>
      </c>
      <c r="C143" s="23" t="s">
        <v>165</v>
      </c>
      <c r="D143" s="23" t="s">
        <v>166</v>
      </c>
      <c r="E143" s="22"/>
      <c r="F143" s="22"/>
      <c r="G143" s="22"/>
    </row>
    <row r="144" spans="1:8" ht="17.100000000000001" customHeight="1" x14ac:dyDescent="0.2">
      <c r="A144" s="22"/>
      <c r="B144" s="4" t="s">
        <v>167</v>
      </c>
      <c r="C144" s="24">
        <v>798.09760000000006</v>
      </c>
      <c r="D144" s="24">
        <v>791.00519999999995</v>
      </c>
      <c r="E144" s="22"/>
      <c r="F144" s="19"/>
      <c r="G144" s="25"/>
    </row>
    <row r="145" spans="1:7" ht="17.100000000000001" customHeight="1" x14ac:dyDescent="0.2">
      <c r="A145" s="22"/>
      <c r="B145" s="4" t="s">
        <v>1067</v>
      </c>
      <c r="C145" s="24">
        <v>50.069699999999997</v>
      </c>
      <c r="D145" s="24">
        <v>49.624699999999997</v>
      </c>
      <c r="E145" s="22"/>
      <c r="F145" s="19"/>
      <c r="G145" s="25"/>
    </row>
    <row r="146" spans="1:7" ht="17.100000000000001" customHeight="1" x14ac:dyDescent="0.2">
      <c r="A146" s="22"/>
      <c r="B146" s="4" t="s">
        <v>168</v>
      </c>
      <c r="C146" s="24">
        <v>748.89700000000005</v>
      </c>
      <c r="D146" s="24">
        <v>741.66769999999997</v>
      </c>
      <c r="E146" s="22"/>
      <c r="F146" s="19"/>
      <c r="G146" s="25"/>
    </row>
    <row r="147" spans="1:7" ht="17.100000000000001" customHeight="1" x14ac:dyDescent="0.2">
      <c r="A147" s="22"/>
      <c r="B147" s="4" t="s">
        <v>1068</v>
      </c>
      <c r="C147" s="24">
        <v>46.327399999999997</v>
      </c>
      <c r="D147" s="24">
        <v>45.880099999999999</v>
      </c>
      <c r="E147" s="22"/>
      <c r="F147" s="19"/>
      <c r="G147" s="25"/>
    </row>
    <row r="148" spans="1:7" ht="14.1" customHeight="1" x14ac:dyDescent="0.2">
      <c r="A148" s="22"/>
      <c r="B148" s="22"/>
      <c r="C148" s="22"/>
      <c r="D148" s="22"/>
      <c r="E148" s="22"/>
      <c r="F148" s="22"/>
      <c r="G148" s="22"/>
    </row>
    <row r="149" spans="1:7" ht="17.100000000000001" customHeight="1" x14ac:dyDescent="0.2">
      <c r="A149" s="22"/>
      <c r="B149" s="318" t="s">
        <v>1069</v>
      </c>
      <c r="C149" s="319"/>
      <c r="D149" s="111" t="s">
        <v>159</v>
      </c>
      <c r="E149" s="22"/>
      <c r="F149" s="22"/>
      <c r="G149" s="22"/>
    </row>
    <row r="150" spans="1:7" ht="18" customHeight="1" x14ac:dyDescent="0.2">
      <c r="A150" s="22"/>
      <c r="B150" s="26"/>
      <c r="C150" s="26"/>
      <c r="D150" s="27"/>
      <c r="E150" s="22"/>
      <c r="F150" s="22"/>
      <c r="G150" s="22"/>
    </row>
    <row r="151" spans="1:7" ht="29.1" customHeight="1" x14ac:dyDescent="0.2">
      <c r="A151" s="22"/>
      <c r="B151" s="318" t="s">
        <v>169</v>
      </c>
      <c r="C151" s="319"/>
      <c r="D151" s="2" t="s">
        <v>159</v>
      </c>
      <c r="E151" s="22"/>
      <c r="F151" s="22"/>
      <c r="G151" s="22"/>
    </row>
    <row r="152" spans="1:7" ht="29.1" customHeight="1" x14ac:dyDescent="0.2">
      <c r="A152" s="22"/>
      <c r="B152" s="318" t="s">
        <v>170</v>
      </c>
      <c r="C152" s="319"/>
      <c r="D152" s="2" t="s">
        <v>159</v>
      </c>
      <c r="E152" s="22"/>
      <c r="F152" s="22"/>
      <c r="G152" s="22"/>
    </row>
    <row r="153" spans="1:7" ht="17.100000000000001" customHeight="1" x14ac:dyDescent="0.2">
      <c r="A153" s="22"/>
      <c r="B153" s="318" t="s">
        <v>171</v>
      </c>
      <c r="C153" s="319"/>
      <c r="D153" s="28">
        <v>0.40740664269793575</v>
      </c>
      <c r="E153" s="22"/>
      <c r="F153" s="19"/>
      <c r="G153" s="25"/>
    </row>
    <row r="154" spans="1:7" ht="17.100000000000001" customHeight="1" x14ac:dyDescent="0.2">
      <c r="A154" s="22"/>
      <c r="B154" s="318" t="s">
        <v>172</v>
      </c>
      <c r="C154" s="319"/>
      <c r="D154" s="2" t="s">
        <v>159</v>
      </c>
      <c r="E154" s="22"/>
      <c r="F154" s="22"/>
      <c r="G154" s="22"/>
    </row>
  </sheetData>
  <mergeCells count="13">
    <mergeCell ref="A1:H1"/>
    <mergeCell ref="A2:H2"/>
    <mergeCell ref="A3:H3"/>
    <mergeCell ref="B153:C153"/>
    <mergeCell ref="J2:N2"/>
    <mergeCell ref="B138:C138"/>
    <mergeCell ref="B154:C154"/>
    <mergeCell ref="B139:C139"/>
    <mergeCell ref="B140:C140"/>
    <mergeCell ref="B141:C141"/>
    <mergeCell ref="B149:C149"/>
    <mergeCell ref="B151:C151"/>
    <mergeCell ref="B152:C152"/>
  </mergeCells>
  <hyperlinks>
    <hyperlink ref="I1" location="Index!B4" display="Index" xr:uid="{0A5C530E-FCBE-4E36-A201-3BE504B7AB7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O14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295</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14</v>
      </c>
      <c r="C7" s="4" t="s">
        <v>15</v>
      </c>
      <c r="D7" s="4" t="s">
        <v>16</v>
      </c>
      <c r="E7" s="5">
        <v>137271</v>
      </c>
      <c r="F7" s="6">
        <v>1183.27602</v>
      </c>
      <c r="G7" s="7">
        <v>8.0930020000000005E-2</v>
      </c>
      <c r="H7" s="51"/>
    </row>
    <row r="8" spans="1:14" ht="17.100000000000001" customHeight="1" x14ac:dyDescent="0.2">
      <c r="A8" s="3">
        <v>2</v>
      </c>
      <c r="B8" s="4" t="s">
        <v>20</v>
      </c>
      <c r="C8" s="4" t="s">
        <v>21</v>
      </c>
      <c r="D8" s="4" t="s">
        <v>22</v>
      </c>
      <c r="E8" s="5">
        <v>44211</v>
      </c>
      <c r="F8" s="6">
        <v>1051.2270524999999</v>
      </c>
      <c r="G8" s="7">
        <v>7.1898546999999993E-2</v>
      </c>
      <c r="H8" s="51"/>
    </row>
    <row r="9" spans="1:14" ht="17.100000000000001" customHeight="1" x14ac:dyDescent="0.2">
      <c r="A9" s="3">
        <v>3</v>
      </c>
      <c r="B9" s="4" t="s">
        <v>296</v>
      </c>
      <c r="C9" s="4" t="s">
        <v>297</v>
      </c>
      <c r="D9" s="4" t="s">
        <v>223</v>
      </c>
      <c r="E9" s="5">
        <v>53410</v>
      </c>
      <c r="F9" s="6">
        <v>754.92364499999996</v>
      </c>
      <c r="G9" s="7">
        <v>5.1632910999999997E-2</v>
      </c>
      <c r="H9" s="51"/>
    </row>
    <row r="10" spans="1:14" ht="17.100000000000001" customHeight="1" x14ac:dyDescent="0.2">
      <c r="A10" s="3">
        <v>4</v>
      </c>
      <c r="B10" s="4" t="s">
        <v>41</v>
      </c>
      <c r="C10" s="4" t="s">
        <v>42</v>
      </c>
      <c r="D10" s="4" t="s">
        <v>16</v>
      </c>
      <c r="E10" s="5">
        <v>123316</v>
      </c>
      <c r="F10" s="6">
        <v>654.31469600000003</v>
      </c>
      <c r="G10" s="7">
        <v>4.4751775000000001E-2</v>
      </c>
      <c r="H10" s="51"/>
    </row>
    <row r="11" spans="1:14" ht="29.1" customHeight="1" x14ac:dyDescent="0.2">
      <c r="A11" s="3">
        <v>5</v>
      </c>
      <c r="B11" s="4" t="s">
        <v>298</v>
      </c>
      <c r="C11" s="4" t="s">
        <v>299</v>
      </c>
      <c r="D11" s="4" t="s">
        <v>97</v>
      </c>
      <c r="E11" s="5">
        <v>27959</v>
      </c>
      <c r="F11" s="6">
        <v>639.63202249999995</v>
      </c>
      <c r="G11" s="7">
        <v>4.3747555E-2</v>
      </c>
      <c r="H11" s="51"/>
    </row>
    <row r="12" spans="1:14" ht="17.100000000000001" customHeight="1" x14ac:dyDescent="0.2">
      <c r="A12" s="3">
        <v>6</v>
      </c>
      <c r="B12" s="4" t="s">
        <v>269</v>
      </c>
      <c r="C12" s="4" t="s">
        <v>270</v>
      </c>
      <c r="D12" s="4" t="s">
        <v>16</v>
      </c>
      <c r="E12" s="5">
        <v>44398</v>
      </c>
      <c r="F12" s="6">
        <v>631.050973</v>
      </c>
      <c r="G12" s="7">
        <v>4.3160654999999999E-2</v>
      </c>
      <c r="H12" s="51"/>
    </row>
    <row r="13" spans="1:14" ht="29.1" customHeight="1" x14ac:dyDescent="0.2">
      <c r="A13" s="3">
        <v>7</v>
      </c>
      <c r="B13" s="4" t="s">
        <v>185</v>
      </c>
      <c r="C13" s="4" t="s">
        <v>186</v>
      </c>
      <c r="D13" s="4" t="s">
        <v>104</v>
      </c>
      <c r="E13" s="5">
        <v>120569</v>
      </c>
      <c r="F13" s="6">
        <v>496.62371100000001</v>
      </c>
      <c r="G13" s="7">
        <v>3.3966519000000001E-2</v>
      </c>
      <c r="H13" s="51"/>
      <c r="J13" s="157" t="s">
        <v>1094</v>
      </c>
    </row>
    <row r="14" spans="1:14" ht="17.100000000000001" customHeight="1" x14ac:dyDescent="0.2">
      <c r="A14" s="3">
        <v>8</v>
      </c>
      <c r="B14" s="4" t="s">
        <v>195</v>
      </c>
      <c r="C14" s="4" t="s">
        <v>196</v>
      </c>
      <c r="D14" s="4" t="s">
        <v>16</v>
      </c>
      <c r="E14" s="5">
        <v>66020</v>
      </c>
      <c r="F14" s="6">
        <v>484.05864000000003</v>
      </c>
      <c r="G14" s="7">
        <v>3.3107131999999997E-2</v>
      </c>
      <c r="H14" s="51"/>
    </row>
    <row r="15" spans="1:14" ht="17.100000000000001" customHeight="1" x14ac:dyDescent="0.2">
      <c r="A15" s="3">
        <v>9</v>
      </c>
      <c r="B15" s="4" t="s">
        <v>11</v>
      </c>
      <c r="C15" s="4" t="s">
        <v>12</v>
      </c>
      <c r="D15" s="4" t="s">
        <v>13</v>
      </c>
      <c r="E15" s="5">
        <v>23069</v>
      </c>
      <c r="F15" s="6">
        <v>426.24591299999997</v>
      </c>
      <c r="G15" s="7">
        <v>2.9153037999999999E-2</v>
      </c>
      <c r="H15" s="51"/>
    </row>
    <row r="16" spans="1:14" ht="29.1" customHeight="1" x14ac:dyDescent="0.2">
      <c r="A16" s="3">
        <v>10</v>
      </c>
      <c r="B16" s="4" t="s">
        <v>182</v>
      </c>
      <c r="C16" s="4" t="s">
        <v>183</v>
      </c>
      <c r="D16" s="4" t="s">
        <v>184</v>
      </c>
      <c r="E16" s="5">
        <v>8388</v>
      </c>
      <c r="F16" s="6">
        <v>376.692498</v>
      </c>
      <c r="G16" s="7">
        <v>2.5763838000000001E-2</v>
      </c>
      <c r="H16" s="51"/>
    </row>
    <row r="17" spans="1:8" ht="17.100000000000001" customHeight="1" x14ac:dyDescent="0.2">
      <c r="A17" s="3">
        <v>11</v>
      </c>
      <c r="B17" s="4" t="s">
        <v>17</v>
      </c>
      <c r="C17" s="4" t="s">
        <v>18</v>
      </c>
      <c r="D17" s="4" t="s">
        <v>19</v>
      </c>
      <c r="E17" s="5">
        <v>45416</v>
      </c>
      <c r="F17" s="6">
        <v>363.28258399999999</v>
      </c>
      <c r="G17" s="7">
        <v>2.4846667999999999E-2</v>
      </c>
      <c r="H17" s="51"/>
    </row>
    <row r="18" spans="1:8" ht="17.100000000000001" customHeight="1" x14ac:dyDescent="0.2">
      <c r="A18" s="3">
        <v>12</v>
      </c>
      <c r="B18" s="4" t="s">
        <v>32</v>
      </c>
      <c r="C18" s="4" t="s">
        <v>33</v>
      </c>
      <c r="D18" s="4" t="s">
        <v>31</v>
      </c>
      <c r="E18" s="5">
        <v>15186</v>
      </c>
      <c r="F18" s="6">
        <v>313.46181899999999</v>
      </c>
      <c r="G18" s="7">
        <v>2.1439183000000001E-2</v>
      </c>
      <c r="H18" s="51"/>
    </row>
    <row r="19" spans="1:8" ht="17.100000000000001" customHeight="1" x14ac:dyDescent="0.2">
      <c r="A19" s="3">
        <v>13</v>
      </c>
      <c r="B19" s="4" t="s">
        <v>300</v>
      </c>
      <c r="C19" s="4" t="s">
        <v>301</v>
      </c>
      <c r="D19" s="4" t="s">
        <v>235</v>
      </c>
      <c r="E19" s="5">
        <v>24719</v>
      </c>
      <c r="F19" s="6">
        <v>309.09873549999998</v>
      </c>
      <c r="G19" s="7">
        <v>2.1140770999999999E-2</v>
      </c>
      <c r="H19" s="51"/>
    </row>
    <row r="20" spans="1:8" ht="17.100000000000001" customHeight="1" x14ac:dyDescent="0.2">
      <c r="A20" s="3">
        <v>14</v>
      </c>
      <c r="B20" s="4" t="s">
        <v>302</v>
      </c>
      <c r="C20" s="4" t="s">
        <v>303</v>
      </c>
      <c r="D20" s="4" t="s">
        <v>251</v>
      </c>
      <c r="E20" s="5">
        <v>55938</v>
      </c>
      <c r="F20" s="6">
        <v>285.983025</v>
      </c>
      <c r="G20" s="7">
        <v>1.9559773999999999E-2</v>
      </c>
      <c r="H20" s="51"/>
    </row>
    <row r="21" spans="1:8" ht="29.1" customHeight="1" x14ac:dyDescent="0.2">
      <c r="A21" s="3">
        <v>15</v>
      </c>
      <c r="B21" s="4" t="s">
        <v>304</v>
      </c>
      <c r="C21" s="4" t="s">
        <v>305</v>
      </c>
      <c r="D21" s="4" t="s">
        <v>203</v>
      </c>
      <c r="E21" s="5">
        <v>28492</v>
      </c>
      <c r="F21" s="6">
        <v>270.28935799999999</v>
      </c>
      <c r="G21" s="7">
        <v>1.8486407999999999E-2</v>
      </c>
      <c r="H21" s="51"/>
    </row>
    <row r="22" spans="1:8" ht="17.100000000000001" customHeight="1" x14ac:dyDescent="0.2">
      <c r="A22" s="3">
        <v>16</v>
      </c>
      <c r="B22" s="4" t="s">
        <v>306</v>
      </c>
      <c r="C22" s="4" t="s">
        <v>307</v>
      </c>
      <c r="D22" s="4" t="s">
        <v>223</v>
      </c>
      <c r="E22" s="5">
        <v>8814</v>
      </c>
      <c r="F22" s="6">
        <v>264.82103699999999</v>
      </c>
      <c r="G22" s="7">
        <v>1.8112402999999999E-2</v>
      </c>
      <c r="H22" s="51"/>
    </row>
    <row r="23" spans="1:8" ht="17.100000000000001" customHeight="1" x14ac:dyDescent="0.2">
      <c r="A23" s="3">
        <v>17</v>
      </c>
      <c r="B23" s="4" t="s">
        <v>70</v>
      </c>
      <c r="C23" s="4" t="s">
        <v>71</v>
      </c>
      <c r="D23" s="4" t="s">
        <v>72</v>
      </c>
      <c r="E23" s="5">
        <v>8130</v>
      </c>
      <c r="F23" s="6">
        <v>261.16405500000002</v>
      </c>
      <c r="G23" s="7">
        <v>1.7862283999999999E-2</v>
      </c>
      <c r="H23" s="51"/>
    </row>
    <row r="24" spans="1:8" ht="17.100000000000001" customHeight="1" x14ac:dyDescent="0.2">
      <c r="A24" s="3">
        <v>18</v>
      </c>
      <c r="B24" s="4" t="s">
        <v>308</v>
      </c>
      <c r="C24" s="4" t="s">
        <v>309</v>
      </c>
      <c r="D24" s="4" t="s">
        <v>310</v>
      </c>
      <c r="E24" s="5">
        <v>9430</v>
      </c>
      <c r="F24" s="6">
        <v>254.27523500000001</v>
      </c>
      <c r="G24" s="7">
        <v>1.7391124000000001E-2</v>
      </c>
      <c r="H24" s="51"/>
    </row>
    <row r="25" spans="1:8" ht="17.100000000000001" customHeight="1" x14ac:dyDescent="0.2">
      <c r="A25" s="3">
        <v>19</v>
      </c>
      <c r="B25" s="4" t="s">
        <v>190</v>
      </c>
      <c r="C25" s="4" t="s">
        <v>191</v>
      </c>
      <c r="D25" s="4" t="s">
        <v>192</v>
      </c>
      <c r="E25" s="5">
        <v>443</v>
      </c>
      <c r="F25" s="6">
        <v>224.45104449999999</v>
      </c>
      <c r="G25" s="7">
        <v>1.5351302000000001E-2</v>
      </c>
      <c r="H25" s="51"/>
    </row>
    <row r="26" spans="1:8" ht="29.1" customHeight="1" x14ac:dyDescent="0.2">
      <c r="A26" s="3">
        <v>20</v>
      </c>
      <c r="B26" s="4" t="s">
        <v>23</v>
      </c>
      <c r="C26" s="4" t="s">
        <v>24</v>
      </c>
      <c r="D26" s="4" t="s">
        <v>25</v>
      </c>
      <c r="E26" s="5">
        <v>3567</v>
      </c>
      <c r="F26" s="6">
        <v>223.119417</v>
      </c>
      <c r="G26" s="7">
        <v>1.5260226E-2</v>
      </c>
      <c r="H26" s="51"/>
    </row>
    <row r="27" spans="1:8" ht="29.1" customHeight="1" x14ac:dyDescent="0.2">
      <c r="A27" s="3">
        <v>21</v>
      </c>
      <c r="B27" s="4" t="s">
        <v>201</v>
      </c>
      <c r="C27" s="4" t="s">
        <v>202</v>
      </c>
      <c r="D27" s="4" t="s">
        <v>203</v>
      </c>
      <c r="E27" s="5">
        <v>43242</v>
      </c>
      <c r="F27" s="6">
        <v>221.83145999999999</v>
      </c>
      <c r="G27" s="7">
        <v>1.5172135999999999E-2</v>
      </c>
      <c r="H27" s="51"/>
    </row>
    <row r="28" spans="1:8" ht="17.100000000000001" customHeight="1" x14ac:dyDescent="0.2">
      <c r="A28" s="3">
        <v>22</v>
      </c>
      <c r="B28" s="4" t="s">
        <v>311</v>
      </c>
      <c r="C28" s="4" t="s">
        <v>312</v>
      </c>
      <c r="D28" s="4" t="s">
        <v>69</v>
      </c>
      <c r="E28" s="5">
        <v>17387</v>
      </c>
      <c r="F28" s="6">
        <v>220.50193400000001</v>
      </c>
      <c r="G28" s="7">
        <v>1.5081203E-2</v>
      </c>
      <c r="H28" s="51"/>
    </row>
    <row r="29" spans="1:8" ht="17.100000000000001" customHeight="1" x14ac:dyDescent="0.2">
      <c r="A29" s="3">
        <v>23</v>
      </c>
      <c r="B29" s="4" t="s">
        <v>199</v>
      </c>
      <c r="C29" s="4" t="s">
        <v>200</v>
      </c>
      <c r="D29" s="4" t="s">
        <v>16</v>
      </c>
      <c r="E29" s="5">
        <v>160000</v>
      </c>
      <c r="F29" s="6">
        <v>211.84</v>
      </c>
      <c r="G29" s="7">
        <v>1.4488770999999999E-2</v>
      </c>
      <c r="H29" s="51"/>
    </row>
    <row r="30" spans="1:8" ht="17.100000000000001" customHeight="1" x14ac:dyDescent="0.2">
      <c r="A30" s="3">
        <v>24</v>
      </c>
      <c r="B30" s="4" t="s">
        <v>313</v>
      </c>
      <c r="C30" s="4" t="s">
        <v>314</v>
      </c>
      <c r="D30" s="4" t="s">
        <v>315</v>
      </c>
      <c r="E30" s="5">
        <v>15441</v>
      </c>
      <c r="F30" s="6">
        <v>210.30642</v>
      </c>
      <c r="G30" s="7">
        <v>1.4383882000000001E-2</v>
      </c>
      <c r="H30" s="51"/>
    </row>
    <row r="31" spans="1:8" ht="29.1" customHeight="1" x14ac:dyDescent="0.2">
      <c r="A31" s="3">
        <v>25</v>
      </c>
      <c r="B31" s="4" t="s">
        <v>316</v>
      </c>
      <c r="C31" s="4" t="s">
        <v>317</v>
      </c>
      <c r="D31" s="4" t="s">
        <v>318</v>
      </c>
      <c r="E31" s="5">
        <v>32477</v>
      </c>
      <c r="F31" s="6">
        <v>209.55784249999999</v>
      </c>
      <c r="G31" s="7">
        <v>1.4332683000000001E-2</v>
      </c>
      <c r="H31" s="51"/>
    </row>
    <row r="32" spans="1:8" ht="17.100000000000001" customHeight="1" x14ac:dyDescent="0.2">
      <c r="A32" s="3">
        <v>26</v>
      </c>
      <c r="B32" s="4" t="s">
        <v>187</v>
      </c>
      <c r="C32" s="4" t="s">
        <v>188</v>
      </c>
      <c r="D32" s="4" t="s">
        <v>189</v>
      </c>
      <c r="E32" s="5">
        <v>13636</v>
      </c>
      <c r="F32" s="6">
        <v>193.63120000000001</v>
      </c>
      <c r="G32" s="7">
        <v>1.3243382999999999E-2</v>
      </c>
      <c r="H32" s="51"/>
    </row>
    <row r="33" spans="1:8" ht="17.100000000000001" customHeight="1" x14ac:dyDescent="0.2">
      <c r="A33" s="3">
        <v>27</v>
      </c>
      <c r="B33" s="4" t="s">
        <v>102</v>
      </c>
      <c r="C33" s="4" t="s">
        <v>103</v>
      </c>
      <c r="D33" s="4" t="s">
        <v>104</v>
      </c>
      <c r="E33" s="5">
        <v>44599</v>
      </c>
      <c r="F33" s="6">
        <v>189.92484150000001</v>
      </c>
      <c r="G33" s="7">
        <v>1.2989887E-2</v>
      </c>
      <c r="H33" s="51"/>
    </row>
    <row r="34" spans="1:8" ht="17.100000000000001" customHeight="1" x14ac:dyDescent="0.2">
      <c r="A34" s="3">
        <v>28</v>
      </c>
      <c r="B34" s="4" t="s">
        <v>319</v>
      </c>
      <c r="C34" s="4" t="s">
        <v>320</v>
      </c>
      <c r="D34" s="4" t="s">
        <v>248</v>
      </c>
      <c r="E34" s="5">
        <v>12015</v>
      </c>
      <c r="F34" s="6">
        <v>178.8733125</v>
      </c>
      <c r="G34" s="7">
        <v>1.2234019E-2</v>
      </c>
      <c r="H34" s="51"/>
    </row>
    <row r="35" spans="1:8" ht="17.100000000000001" customHeight="1" x14ac:dyDescent="0.2">
      <c r="A35" s="3">
        <v>29</v>
      </c>
      <c r="B35" s="4" t="s">
        <v>321</v>
      </c>
      <c r="C35" s="4" t="s">
        <v>322</v>
      </c>
      <c r="D35" s="4" t="s">
        <v>310</v>
      </c>
      <c r="E35" s="5">
        <v>53592</v>
      </c>
      <c r="F35" s="6">
        <v>178.032624</v>
      </c>
      <c r="G35" s="7">
        <v>1.217652E-2</v>
      </c>
      <c r="H35" s="51"/>
    </row>
    <row r="36" spans="1:8" ht="17.100000000000001" customHeight="1" x14ac:dyDescent="0.2">
      <c r="A36" s="3">
        <v>30</v>
      </c>
      <c r="B36" s="4" t="s">
        <v>323</v>
      </c>
      <c r="C36" s="4" t="s">
        <v>324</v>
      </c>
      <c r="D36" s="4" t="s">
        <v>223</v>
      </c>
      <c r="E36" s="5">
        <v>18271</v>
      </c>
      <c r="F36" s="6">
        <v>170.34966850000001</v>
      </c>
      <c r="G36" s="7">
        <v>1.1651045E-2</v>
      </c>
      <c r="H36" s="51"/>
    </row>
    <row r="37" spans="1:8" ht="17.100000000000001" customHeight="1" x14ac:dyDescent="0.2">
      <c r="A37" s="3">
        <v>31</v>
      </c>
      <c r="B37" s="4" t="s">
        <v>174</v>
      </c>
      <c r="C37" s="4" t="s">
        <v>175</v>
      </c>
      <c r="D37" s="4" t="s">
        <v>22</v>
      </c>
      <c r="E37" s="5">
        <v>74877</v>
      </c>
      <c r="F37" s="6">
        <v>161.95895100000001</v>
      </c>
      <c r="G37" s="7">
        <v>1.1077162999999999E-2</v>
      </c>
      <c r="H37" s="51"/>
    </row>
    <row r="38" spans="1:8" ht="29.1" customHeight="1" x14ac:dyDescent="0.2">
      <c r="A38" s="3">
        <v>32</v>
      </c>
      <c r="B38" s="4" t="s">
        <v>226</v>
      </c>
      <c r="C38" s="4" t="s">
        <v>227</v>
      </c>
      <c r="D38" s="4" t="s">
        <v>213</v>
      </c>
      <c r="E38" s="5">
        <v>16000</v>
      </c>
      <c r="F38" s="6">
        <v>159.072</v>
      </c>
      <c r="G38" s="7">
        <v>1.0879710000000001E-2</v>
      </c>
      <c r="H38" s="51"/>
    </row>
    <row r="39" spans="1:8" ht="17.100000000000001" customHeight="1" x14ac:dyDescent="0.2">
      <c r="A39" s="3">
        <v>33</v>
      </c>
      <c r="B39" s="4" t="s">
        <v>325</v>
      </c>
      <c r="C39" s="4" t="s">
        <v>326</v>
      </c>
      <c r="D39" s="4" t="s">
        <v>223</v>
      </c>
      <c r="E39" s="5">
        <v>39000</v>
      </c>
      <c r="F39" s="6">
        <v>153.75749999999999</v>
      </c>
      <c r="G39" s="7">
        <v>1.0516226E-2</v>
      </c>
      <c r="H39" s="51"/>
    </row>
    <row r="40" spans="1:8" ht="17.100000000000001" customHeight="1" x14ac:dyDescent="0.2">
      <c r="A40" s="3">
        <v>34</v>
      </c>
      <c r="B40" s="4" t="s">
        <v>230</v>
      </c>
      <c r="C40" s="4" t="s">
        <v>231</v>
      </c>
      <c r="D40" s="4" t="s">
        <v>232</v>
      </c>
      <c r="E40" s="5">
        <v>35316</v>
      </c>
      <c r="F40" s="6">
        <v>151.36437599999999</v>
      </c>
      <c r="G40" s="7">
        <v>1.0352548E-2</v>
      </c>
      <c r="H40" s="51"/>
    </row>
    <row r="41" spans="1:8" ht="17.100000000000001" customHeight="1" x14ac:dyDescent="0.2">
      <c r="A41" s="3">
        <v>35</v>
      </c>
      <c r="B41" s="4" t="s">
        <v>115</v>
      </c>
      <c r="C41" s="4" t="s">
        <v>116</v>
      </c>
      <c r="D41" s="4" t="s">
        <v>117</v>
      </c>
      <c r="E41" s="5">
        <v>38023</v>
      </c>
      <c r="F41" s="6">
        <v>148.49882650000001</v>
      </c>
      <c r="G41" s="7">
        <v>1.0156559000000001E-2</v>
      </c>
      <c r="H41" s="51"/>
    </row>
    <row r="42" spans="1:8" ht="29.1" customHeight="1" x14ac:dyDescent="0.2">
      <c r="A42" s="3">
        <v>36</v>
      </c>
      <c r="B42" s="4" t="s">
        <v>327</v>
      </c>
      <c r="C42" s="4" t="s">
        <v>328</v>
      </c>
      <c r="D42" s="4" t="s">
        <v>184</v>
      </c>
      <c r="E42" s="5">
        <v>34955</v>
      </c>
      <c r="F42" s="6">
        <v>146.53136000000001</v>
      </c>
      <c r="G42" s="7">
        <v>1.0021995000000001E-2</v>
      </c>
      <c r="H42" s="51"/>
    </row>
    <row r="43" spans="1:8" ht="17.100000000000001" customHeight="1" x14ac:dyDescent="0.2">
      <c r="A43" s="3">
        <v>37</v>
      </c>
      <c r="B43" s="4" t="s">
        <v>329</v>
      </c>
      <c r="C43" s="4" t="s">
        <v>330</v>
      </c>
      <c r="D43" s="4" t="s">
        <v>36</v>
      </c>
      <c r="E43" s="5">
        <v>58661</v>
      </c>
      <c r="F43" s="6">
        <v>138.26397700000001</v>
      </c>
      <c r="G43" s="7">
        <v>9.4565480000000004E-3</v>
      </c>
      <c r="H43" s="51"/>
    </row>
    <row r="44" spans="1:8" ht="17.100000000000001" customHeight="1" x14ac:dyDescent="0.2">
      <c r="A44" s="3">
        <v>38</v>
      </c>
      <c r="B44" s="4" t="s">
        <v>331</v>
      </c>
      <c r="C44" s="4" t="s">
        <v>332</v>
      </c>
      <c r="D44" s="4" t="s">
        <v>315</v>
      </c>
      <c r="E44" s="5">
        <v>25439</v>
      </c>
      <c r="F44" s="6">
        <v>133.08412849999999</v>
      </c>
      <c r="G44" s="7">
        <v>9.1022729999999993E-3</v>
      </c>
      <c r="H44" s="51"/>
    </row>
    <row r="45" spans="1:8" ht="17.100000000000001" customHeight="1" x14ac:dyDescent="0.2">
      <c r="A45" s="3">
        <v>39</v>
      </c>
      <c r="B45" s="4" t="s">
        <v>49</v>
      </c>
      <c r="C45" s="4" t="s">
        <v>50</v>
      </c>
      <c r="D45" s="4" t="s">
        <v>51</v>
      </c>
      <c r="E45" s="5">
        <v>18275</v>
      </c>
      <c r="F45" s="6">
        <v>130.05403749999999</v>
      </c>
      <c r="G45" s="7">
        <v>8.89503E-3</v>
      </c>
      <c r="H45" s="51"/>
    </row>
    <row r="46" spans="1:8" ht="17.100000000000001" customHeight="1" x14ac:dyDescent="0.2">
      <c r="A46" s="3">
        <v>40</v>
      </c>
      <c r="B46" s="4" t="s">
        <v>246</v>
      </c>
      <c r="C46" s="4" t="s">
        <v>247</v>
      </c>
      <c r="D46" s="4" t="s">
        <v>248</v>
      </c>
      <c r="E46" s="5">
        <v>20885</v>
      </c>
      <c r="F46" s="6">
        <v>130.050895</v>
      </c>
      <c r="G46" s="7">
        <v>8.8948150000000004E-3</v>
      </c>
      <c r="H46" s="51"/>
    </row>
    <row r="47" spans="1:8" ht="17.100000000000001" customHeight="1" x14ac:dyDescent="0.2">
      <c r="A47" s="3">
        <v>41</v>
      </c>
      <c r="B47" s="4" t="s">
        <v>285</v>
      </c>
      <c r="C47" s="4" t="s">
        <v>286</v>
      </c>
      <c r="D47" s="4" t="s">
        <v>97</v>
      </c>
      <c r="E47" s="5">
        <v>6848</v>
      </c>
      <c r="F47" s="6">
        <v>119.72016000000001</v>
      </c>
      <c r="G47" s="7">
        <v>8.1882459999999997E-3</v>
      </c>
      <c r="H47" s="51"/>
    </row>
    <row r="48" spans="1:8" ht="17.100000000000001" customHeight="1" x14ac:dyDescent="0.2">
      <c r="A48" s="3">
        <v>42</v>
      </c>
      <c r="B48" s="4" t="s">
        <v>333</v>
      </c>
      <c r="C48" s="4" t="s">
        <v>334</v>
      </c>
      <c r="D48" s="4" t="s">
        <v>223</v>
      </c>
      <c r="E48" s="5">
        <v>11437</v>
      </c>
      <c r="F48" s="6">
        <v>115.353582</v>
      </c>
      <c r="G48" s="7">
        <v>7.8895939999999998E-3</v>
      </c>
      <c r="H48" s="51"/>
    </row>
    <row r="49" spans="1:8" ht="17.100000000000001" customHeight="1" x14ac:dyDescent="0.2">
      <c r="A49" s="3">
        <v>43</v>
      </c>
      <c r="B49" s="4" t="s">
        <v>100</v>
      </c>
      <c r="C49" s="4" t="s">
        <v>101</v>
      </c>
      <c r="D49" s="4" t="s">
        <v>22</v>
      </c>
      <c r="E49" s="5">
        <v>37123</v>
      </c>
      <c r="F49" s="6">
        <v>113.150904</v>
      </c>
      <c r="G49" s="7">
        <v>7.7389420000000004E-3</v>
      </c>
      <c r="H49" s="51"/>
    </row>
    <row r="50" spans="1:8" ht="53.1" customHeight="1" x14ac:dyDescent="0.2">
      <c r="A50" s="3">
        <v>44</v>
      </c>
      <c r="B50" s="4" t="s">
        <v>335</v>
      </c>
      <c r="C50" s="4" t="s">
        <v>863</v>
      </c>
      <c r="D50" s="4" t="s">
        <v>45</v>
      </c>
      <c r="E50" s="5">
        <v>36162</v>
      </c>
      <c r="F50" s="6">
        <v>99.499742999999995</v>
      </c>
      <c r="G50" s="7">
        <v>6.8052729999999997E-3</v>
      </c>
      <c r="H50" s="51"/>
    </row>
    <row r="51" spans="1:8" ht="29.1" customHeight="1" x14ac:dyDescent="0.2">
      <c r="A51" s="3">
        <v>45</v>
      </c>
      <c r="B51" s="4" t="s">
        <v>236</v>
      </c>
      <c r="C51" s="4" t="s">
        <v>237</v>
      </c>
      <c r="D51" s="4" t="s">
        <v>203</v>
      </c>
      <c r="E51" s="5">
        <v>4108</v>
      </c>
      <c r="F51" s="6">
        <v>85.974277999999998</v>
      </c>
      <c r="G51" s="7">
        <v>5.8802000000000004E-3</v>
      </c>
      <c r="H51" s="51"/>
    </row>
    <row r="52" spans="1:8" ht="17.100000000000001" customHeight="1" x14ac:dyDescent="0.2">
      <c r="A52" s="3">
        <v>46</v>
      </c>
      <c r="B52" s="4" t="s">
        <v>336</v>
      </c>
      <c r="C52" s="4" t="s">
        <v>337</v>
      </c>
      <c r="D52" s="4" t="s">
        <v>16</v>
      </c>
      <c r="E52" s="5">
        <v>4709</v>
      </c>
      <c r="F52" s="6">
        <v>85.666128</v>
      </c>
      <c r="G52" s="7">
        <v>5.8591240000000003E-3</v>
      </c>
      <c r="H52" s="51"/>
    </row>
    <row r="53" spans="1:8" ht="17.100000000000001" customHeight="1" x14ac:dyDescent="0.2">
      <c r="A53" s="3">
        <v>47</v>
      </c>
      <c r="B53" s="4" t="s">
        <v>338</v>
      </c>
      <c r="C53" s="4" t="s">
        <v>339</v>
      </c>
      <c r="D53" s="4" t="s">
        <v>16</v>
      </c>
      <c r="E53" s="5">
        <v>7154</v>
      </c>
      <c r="F53" s="6">
        <v>84.789208000000002</v>
      </c>
      <c r="G53" s="7">
        <v>5.7991479999999996E-3</v>
      </c>
      <c r="H53" s="51"/>
    </row>
    <row r="54" spans="1:8" ht="17.100000000000001" customHeight="1" x14ac:dyDescent="0.2">
      <c r="A54" s="3">
        <v>48</v>
      </c>
      <c r="B54" s="4" t="s">
        <v>340</v>
      </c>
      <c r="C54" s="4" t="s">
        <v>341</v>
      </c>
      <c r="D54" s="4" t="s">
        <v>92</v>
      </c>
      <c r="E54" s="5">
        <v>111123</v>
      </c>
      <c r="F54" s="6">
        <v>82.897757999999996</v>
      </c>
      <c r="G54" s="7">
        <v>5.6697819999999999E-3</v>
      </c>
      <c r="H54" s="51"/>
    </row>
    <row r="55" spans="1:8" ht="17.100000000000001" customHeight="1" x14ac:dyDescent="0.2">
      <c r="A55" s="3">
        <v>49</v>
      </c>
      <c r="B55" s="4" t="s">
        <v>342</v>
      </c>
      <c r="C55" s="4" t="s">
        <v>343</v>
      </c>
      <c r="D55" s="4" t="s">
        <v>232</v>
      </c>
      <c r="E55" s="5">
        <v>77730</v>
      </c>
      <c r="F55" s="6">
        <v>77.185890000000001</v>
      </c>
      <c r="G55" s="7">
        <v>5.27912E-3</v>
      </c>
      <c r="H55" s="51"/>
    </row>
    <row r="56" spans="1:8" ht="17.100000000000001" customHeight="1" x14ac:dyDescent="0.2">
      <c r="A56" s="3">
        <v>50</v>
      </c>
      <c r="B56" s="4" t="s">
        <v>233</v>
      </c>
      <c r="C56" s="4" t="s">
        <v>234</v>
      </c>
      <c r="D56" s="4" t="s">
        <v>235</v>
      </c>
      <c r="E56" s="5">
        <v>10058</v>
      </c>
      <c r="F56" s="6">
        <v>76.702308000000002</v>
      </c>
      <c r="G56" s="7">
        <v>5.2460450000000004E-3</v>
      </c>
      <c r="H56" s="51"/>
    </row>
    <row r="57" spans="1:8" ht="17.100000000000001" customHeight="1" x14ac:dyDescent="0.2">
      <c r="A57" s="3">
        <v>51</v>
      </c>
      <c r="B57" s="4" t="s">
        <v>344</v>
      </c>
      <c r="C57" s="38" t="s">
        <v>969</v>
      </c>
      <c r="D57" s="4" t="s">
        <v>19</v>
      </c>
      <c r="E57" s="5">
        <v>3244</v>
      </c>
      <c r="F57" s="6">
        <v>13.042502000000001</v>
      </c>
      <c r="G57" s="7">
        <v>8.9203999999999998E-4</v>
      </c>
      <c r="H57" s="51"/>
    </row>
    <row r="58" spans="1:8" ht="14.1" customHeight="1" x14ac:dyDescent="0.2">
      <c r="A58" s="1"/>
      <c r="B58" s="1"/>
      <c r="C58" s="2" t="s">
        <v>129</v>
      </c>
      <c r="D58" s="1"/>
      <c r="E58" s="1" t="s">
        <v>130</v>
      </c>
      <c r="F58" s="9">
        <v>13859.459296499999</v>
      </c>
      <c r="G58" s="10">
        <v>0.9479160430000001</v>
      </c>
      <c r="H58" s="51"/>
    </row>
    <row r="59" spans="1:8" ht="14.1" customHeight="1" x14ac:dyDescent="0.2">
      <c r="A59" s="1"/>
      <c r="B59" s="1"/>
      <c r="C59" s="11"/>
      <c r="D59" s="1"/>
      <c r="E59" s="1"/>
      <c r="F59" s="12"/>
      <c r="G59" s="12"/>
      <c r="H59" s="51"/>
    </row>
    <row r="60" spans="1:8" ht="14.1" customHeight="1" x14ac:dyDescent="0.2">
      <c r="A60" s="1"/>
      <c r="B60" s="1"/>
      <c r="C60" s="2" t="s">
        <v>131</v>
      </c>
      <c r="D60" s="1"/>
      <c r="E60" s="1"/>
      <c r="F60" s="1"/>
      <c r="G60" s="1"/>
      <c r="H60" s="51"/>
    </row>
    <row r="61" spans="1:8" ht="14.1" customHeight="1" x14ac:dyDescent="0.2">
      <c r="A61" s="1"/>
      <c r="B61" s="1"/>
      <c r="C61" s="2" t="s">
        <v>129</v>
      </c>
      <c r="D61" s="1"/>
      <c r="E61" s="1" t="s">
        <v>130</v>
      </c>
      <c r="F61" s="13">
        <v>0</v>
      </c>
      <c r="G61" s="14">
        <v>0</v>
      </c>
      <c r="H61" s="51"/>
    </row>
    <row r="62" spans="1:8" ht="14.1" customHeight="1" x14ac:dyDescent="0.2">
      <c r="A62" s="1"/>
      <c r="B62" s="1"/>
      <c r="C62" s="11"/>
      <c r="D62" s="1"/>
      <c r="E62" s="1"/>
      <c r="F62" s="12"/>
      <c r="G62" s="12"/>
      <c r="H62" s="51"/>
    </row>
    <row r="63" spans="1:8" ht="14.1" customHeight="1" x14ac:dyDescent="0.2">
      <c r="A63" s="1"/>
      <c r="B63" s="1"/>
      <c r="C63" s="2" t="s">
        <v>132</v>
      </c>
      <c r="D63" s="1"/>
      <c r="E63" s="1"/>
      <c r="F63" s="1"/>
      <c r="G63" s="1"/>
      <c r="H63" s="51"/>
    </row>
    <row r="64" spans="1:8" ht="14.1" customHeight="1" x14ac:dyDescent="0.2">
      <c r="A64" s="1"/>
      <c r="B64" s="1"/>
      <c r="C64" s="2" t="s">
        <v>129</v>
      </c>
      <c r="D64" s="1"/>
      <c r="E64" s="1" t="s">
        <v>130</v>
      </c>
      <c r="F64" s="13">
        <v>0</v>
      </c>
      <c r="G64" s="14">
        <v>0</v>
      </c>
      <c r="H64" s="51"/>
    </row>
    <row r="65" spans="1:8" ht="14.1" customHeight="1" x14ac:dyDescent="0.2">
      <c r="A65" s="1"/>
      <c r="B65" s="1"/>
      <c r="C65" s="11"/>
      <c r="D65" s="1"/>
      <c r="E65" s="1"/>
      <c r="F65" s="12"/>
      <c r="G65" s="12"/>
      <c r="H65" s="51"/>
    </row>
    <row r="66" spans="1:8" ht="14.1" customHeight="1" x14ac:dyDescent="0.2">
      <c r="A66" s="1"/>
      <c r="B66" s="1"/>
      <c r="C66" s="2" t="s">
        <v>133</v>
      </c>
      <c r="D66" s="1"/>
      <c r="E66" s="1"/>
      <c r="F66" s="1"/>
      <c r="G66" s="1"/>
      <c r="H66" s="51"/>
    </row>
    <row r="67" spans="1:8" ht="14.1" customHeight="1" x14ac:dyDescent="0.2">
      <c r="A67" s="1"/>
      <c r="B67" s="1"/>
      <c r="C67" s="2" t="s">
        <v>129</v>
      </c>
      <c r="D67" s="1"/>
      <c r="E67" s="1" t="s">
        <v>130</v>
      </c>
      <c r="F67" s="9">
        <v>0</v>
      </c>
      <c r="G67" s="10">
        <v>0</v>
      </c>
      <c r="H67" s="51"/>
    </row>
    <row r="68" spans="1:8" ht="14.1" customHeight="1" x14ac:dyDescent="0.2">
      <c r="A68" s="1"/>
      <c r="B68" s="1"/>
      <c r="C68" s="11"/>
      <c r="D68" s="1"/>
      <c r="E68" s="1"/>
      <c r="F68" s="12"/>
      <c r="G68" s="12"/>
      <c r="H68" s="51"/>
    </row>
    <row r="69" spans="1:8" ht="14.1" customHeight="1" x14ac:dyDescent="0.2">
      <c r="A69" s="1"/>
      <c r="B69" s="1"/>
      <c r="C69" s="2" t="s">
        <v>134</v>
      </c>
      <c r="D69" s="1"/>
      <c r="E69" s="1"/>
      <c r="F69" s="12"/>
      <c r="G69" s="12"/>
      <c r="H69" s="51"/>
    </row>
    <row r="70" spans="1:8" ht="14.1" customHeight="1" x14ac:dyDescent="0.2">
      <c r="A70" s="1"/>
      <c r="B70" s="1"/>
      <c r="C70" s="2" t="s">
        <v>129</v>
      </c>
      <c r="D70" s="1"/>
      <c r="E70" s="1" t="s">
        <v>130</v>
      </c>
      <c r="F70" s="13">
        <v>0</v>
      </c>
      <c r="G70" s="14">
        <v>0</v>
      </c>
      <c r="H70" s="51"/>
    </row>
    <row r="71" spans="1:8" ht="14.1" customHeight="1" x14ac:dyDescent="0.2">
      <c r="A71" s="1"/>
      <c r="B71" s="1"/>
      <c r="C71" s="11"/>
      <c r="D71" s="1"/>
      <c r="E71" s="1"/>
      <c r="F71" s="12"/>
      <c r="G71" s="12"/>
      <c r="H71" s="51"/>
    </row>
    <row r="72" spans="1:8" ht="14.1" customHeight="1" x14ac:dyDescent="0.2">
      <c r="A72" s="1"/>
      <c r="B72" s="1"/>
      <c r="C72" s="2" t="s">
        <v>135</v>
      </c>
      <c r="D72" s="1"/>
      <c r="E72" s="1"/>
      <c r="F72" s="12"/>
      <c r="G72" s="12"/>
      <c r="H72" s="51"/>
    </row>
    <row r="73" spans="1:8" ht="14.1" customHeight="1" x14ac:dyDescent="0.2">
      <c r="A73" s="1"/>
      <c r="B73" s="1"/>
      <c r="C73" s="2" t="s">
        <v>129</v>
      </c>
      <c r="D73" s="1"/>
      <c r="E73" s="1" t="s">
        <v>130</v>
      </c>
      <c r="F73" s="13">
        <v>0</v>
      </c>
      <c r="G73" s="14">
        <v>0</v>
      </c>
      <c r="H73" s="51"/>
    </row>
    <row r="74" spans="1:8" ht="14.1" customHeight="1" x14ac:dyDescent="0.2">
      <c r="A74" s="1"/>
      <c r="B74" s="1"/>
      <c r="C74" s="11"/>
      <c r="D74" s="1"/>
      <c r="E74" s="1"/>
      <c r="F74" s="12"/>
      <c r="G74" s="12"/>
      <c r="H74" s="51"/>
    </row>
    <row r="75" spans="1:8" ht="18" customHeight="1" x14ac:dyDescent="0.2">
      <c r="A75" s="1"/>
      <c r="B75" s="1"/>
      <c r="C75" s="2" t="s">
        <v>136</v>
      </c>
      <c r="D75" s="1"/>
      <c r="E75" s="1"/>
      <c r="F75" s="9">
        <v>13859.459296499999</v>
      </c>
      <c r="G75" s="10">
        <v>0.94791604299999999</v>
      </c>
      <c r="H75" s="51"/>
    </row>
    <row r="76" spans="1:8" ht="14.1" customHeight="1" x14ac:dyDescent="0.2">
      <c r="A76" s="1"/>
      <c r="B76" s="1"/>
      <c r="C76" s="11"/>
      <c r="D76" s="1"/>
      <c r="E76" s="1"/>
      <c r="F76" s="12"/>
      <c r="G76" s="12"/>
      <c r="H76" s="51"/>
    </row>
    <row r="77" spans="1:8" ht="14.1" customHeight="1" x14ac:dyDescent="0.2">
      <c r="A77" s="1"/>
      <c r="B77" s="1"/>
      <c r="C77" s="2" t="s">
        <v>137</v>
      </c>
      <c r="D77" s="1"/>
      <c r="E77" s="1"/>
      <c r="F77" s="12"/>
      <c r="G77" s="12"/>
      <c r="H77" s="51"/>
    </row>
    <row r="78" spans="1:8" ht="24" customHeight="1" x14ac:dyDescent="0.2">
      <c r="A78" s="1"/>
      <c r="B78" s="1"/>
      <c r="C78" s="2" t="s">
        <v>10</v>
      </c>
      <c r="D78" s="1"/>
      <c r="E78" s="1"/>
      <c r="F78" s="12"/>
      <c r="G78" s="12"/>
      <c r="H78" s="51"/>
    </row>
    <row r="79" spans="1:8" ht="14.1" customHeight="1" x14ac:dyDescent="0.2">
      <c r="A79" s="1"/>
      <c r="B79" s="1"/>
      <c r="C79" s="2" t="s">
        <v>129</v>
      </c>
      <c r="D79" s="1"/>
      <c r="E79" s="1" t="s">
        <v>130</v>
      </c>
      <c r="F79" s="13">
        <v>0</v>
      </c>
      <c r="G79" s="14">
        <v>0</v>
      </c>
      <c r="H79" s="51"/>
    </row>
    <row r="80" spans="1:8" ht="14.1" customHeight="1" x14ac:dyDescent="0.2">
      <c r="A80" s="1"/>
      <c r="B80" s="1"/>
      <c r="C80" s="11"/>
      <c r="D80" s="1"/>
      <c r="E80" s="1"/>
      <c r="F80" s="12"/>
      <c r="G80" s="12"/>
      <c r="H80" s="51"/>
    </row>
    <row r="81" spans="1:8" ht="14.1" customHeight="1" x14ac:dyDescent="0.2">
      <c r="A81" s="1"/>
      <c r="B81" s="1"/>
      <c r="C81" s="2" t="s">
        <v>138</v>
      </c>
      <c r="D81" s="1"/>
      <c r="E81" s="1"/>
      <c r="F81" s="1"/>
      <c r="G81" s="1"/>
      <c r="H81" s="51"/>
    </row>
    <row r="82" spans="1:8" ht="14.1" customHeight="1" x14ac:dyDescent="0.2">
      <c r="A82" s="1"/>
      <c r="B82" s="1"/>
      <c r="C82" s="2" t="s">
        <v>129</v>
      </c>
      <c r="D82" s="1"/>
      <c r="E82" s="1" t="s">
        <v>130</v>
      </c>
      <c r="F82" s="13">
        <v>0</v>
      </c>
      <c r="G82" s="14">
        <v>0</v>
      </c>
      <c r="H82" s="51"/>
    </row>
    <row r="83" spans="1:8" ht="14.1" customHeight="1" x14ac:dyDescent="0.2">
      <c r="A83" s="1"/>
      <c r="B83" s="1"/>
      <c r="C83" s="11"/>
      <c r="D83" s="1"/>
      <c r="E83" s="1"/>
      <c r="F83" s="12"/>
      <c r="G83" s="12"/>
      <c r="H83" s="51"/>
    </row>
    <row r="84" spans="1:8" ht="14.1" customHeight="1" x14ac:dyDescent="0.2">
      <c r="A84" s="1"/>
      <c r="B84" s="1"/>
      <c r="C84" s="2" t="s">
        <v>139</v>
      </c>
      <c r="D84" s="1"/>
      <c r="E84" s="1"/>
      <c r="F84" s="1"/>
      <c r="G84" s="1"/>
      <c r="H84" s="51"/>
    </row>
    <row r="85" spans="1:8" ht="14.1" customHeight="1" x14ac:dyDescent="0.2">
      <c r="A85" s="1"/>
      <c r="B85" s="1"/>
      <c r="C85" s="2" t="s">
        <v>129</v>
      </c>
      <c r="D85" s="1"/>
      <c r="E85" s="1" t="s">
        <v>130</v>
      </c>
      <c r="F85" s="13">
        <v>0</v>
      </c>
      <c r="G85" s="14">
        <v>0</v>
      </c>
      <c r="H85" s="51"/>
    </row>
    <row r="86" spans="1:8" ht="14.1" customHeight="1" x14ac:dyDescent="0.2">
      <c r="A86" s="1"/>
      <c r="B86" s="1"/>
      <c r="C86" s="11"/>
      <c r="D86" s="1"/>
      <c r="E86" s="1"/>
      <c r="F86" s="12"/>
      <c r="G86" s="12"/>
      <c r="H86" s="51"/>
    </row>
    <row r="87" spans="1:8" ht="14.1" customHeight="1" x14ac:dyDescent="0.2">
      <c r="A87" s="1"/>
      <c r="B87" s="1"/>
      <c r="C87" s="2" t="s">
        <v>140</v>
      </c>
      <c r="D87" s="1"/>
      <c r="E87" s="1"/>
      <c r="F87" s="12"/>
      <c r="G87" s="12"/>
      <c r="H87" s="51"/>
    </row>
    <row r="88" spans="1:8" ht="14.1" customHeight="1" x14ac:dyDescent="0.2">
      <c r="A88" s="1"/>
      <c r="B88" s="1"/>
      <c r="C88" s="2" t="s">
        <v>129</v>
      </c>
      <c r="D88" s="1"/>
      <c r="E88" s="1" t="s">
        <v>130</v>
      </c>
      <c r="F88" s="13">
        <v>0</v>
      </c>
      <c r="G88" s="14">
        <v>0</v>
      </c>
      <c r="H88" s="51"/>
    </row>
    <row r="89" spans="1:8" ht="14.1" customHeight="1" x14ac:dyDescent="0.2">
      <c r="A89" s="1"/>
      <c r="B89" s="1"/>
      <c r="C89" s="11"/>
      <c r="D89" s="1"/>
      <c r="E89" s="1"/>
      <c r="F89" s="12"/>
      <c r="G89" s="12"/>
      <c r="H89" s="51"/>
    </row>
    <row r="90" spans="1:8" ht="14.1" customHeight="1" x14ac:dyDescent="0.2">
      <c r="A90" s="1"/>
      <c r="B90" s="1"/>
      <c r="C90" s="2" t="s">
        <v>141</v>
      </c>
      <c r="D90" s="1"/>
      <c r="E90" s="1"/>
      <c r="F90" s="9">
        <v>0</v>
      </c>
      <c r="G90" s="10">
        <v>0</v>
      </c>
      <c r="H90" s="51"/>
    </row>
    <row r="91" spans="1:8" ht="14.1" customHeight="1" x14ac:dyDescent="0.2">
      <c r="A91" s="1"/>
      <c r="B91" s="1"/>
      <c r="C91" s="11"/>
      <c r="D91" s="1"/>
      <c r="E91" s="1"/>
      <c r="F91" s="12"/>
      <c r="G91" s="12"/>
      <c r="H91" s="51"/>
    </row>
    <row r="92" spans="1:8" ht="14.1" customHeight="1" x14ac:dyDescent="0.2">
      <c r="A92" s="1"/>
      <c r="B92" s="1"/>
      <c r="C92" s="2" t="s">
        <v>142</v>
      </c>
      <c r="D92" s="1"/>
      <c r="E92" s="1"/>
      <c r="F92" s="12"/>
      <c r="G92" s="12"/>
      <c r="H92" s="51"/>
    </row>
    <row r="93" spans="1:8" ht="14.1" customHeight="1" x14ac:dyDescent="0.2">
      <c r="A93" s="1"/>
      <c r="B93" s="1"/>
      <c r="C93" s="2" t="s">
        <v>143</v>
      </c>
      <c r="D93" s="1"/>
      <c r="E93" s="1"/>
      <c r="F93" s="12"/>
      <c r="G93" s="12"/>
      <c r="H93" s="51"/>
    </row>
    <row r="94" spans="1:8" ht="14.1" customHeight="1" x14ac:dyDescent="0.2">
      <c r="A94" s="1"/>
      <c r="B94" s="1"/>
      <c r="C94" s="2" t="s">
        <v>129</v>
      </c>
      <c r="D94" s="1"/>
      <c r="E94" s="1" t="s">
        <v>130</v>
      </c>
      <c r="F94" s="13">
        <v>0</v>
      </c>
      <c r="G94" s="14">
        <v>0</v>
      </c>
      <c r="H94" s="51"/>
    </row>
    <row r="95" spans="1:8" ht="14.1" customHeight="1" x14ac:dyDescent="0.2">
      <c r="A95" s="1"/>
      <c r="B95" s="1"/>
      <c r="C95" s="11"/>
      <c r="D95" s="1"/>
      <c r="E95" s="1"/>
      <c r="F95" s="12"/>
      <c r="G95" s="12"/>
      <c r="H95" s="51"/>
    </row>
    <row r="96" spans="1:8" ht="14.1" customHeight="1" x14ac:dyDescent="0.2">
      <c r="A96" s="1"/>
      <c r="B96" s="1"/>
      <c r="C96" s="2" t="s">
        <v>144</v>
      </c>
      <c r="D96" s="1"/>
      <c r="E96" s="1"/>
      <c r="F96" s="12"/>
      <c r="G96" s="12"/>
      <c r="H96" s="51"/>
    </row>
    <row r="97" spans="1:8" ht="14.1" customHeight="1" x14ac:dyDescent="0.2">
      <c r="A97" s="1"/>
      <c r="B97" s="1"/>
      <c r="C97" s="2" t="s">
        <v>129</v>
      </c>
      <c r="D97" s="1"/>
      <c r="E97" s="1" t="s">
        <v>130</v>
      </c>
      <c r="F97" s="13">
        <v>0</v>
      </c>
      <c r="G97" s="14">
        <v>0</v>
      </c>
      <c r="H97" s="51"/>
    </row>
    <row r="98" spans="1:8" ht="14.1" customHeight="1" x14ac:dyDescent="0.2">
      <c r="A98" s="1"/>
      <c r="B98" s="1"/>
      <c r="C98" s="11"/>
      <c r="D98" s="1"/>
      <c r="E98" s="1"/>
      <c r="F98" s="12"/>
      <c r="G98" s="12"/>
      <c r="H98" s="51"/>
    </row>
    <row r="99" spans="1:8" ht="14.1" customHeight="1" x14ac:dyDescent="0.2">
      <c r="A99" s="1"/>
      <c r="B99" s="1"/>
      <c r="C99" s="2" t="s">
        <v>145</v>
      </c>
      <c r="D99" s="1"/>
      <c r="E99" s="1"/>
      <c r="F99" s="12"/>
      <c r="G99" s="12"/>
      <c r="H99" s="51"/>
    </row>
    <row r="100" spans="1:8" ht="14.1" customHeight="1" x14ac:dyDescent="0.2">
      <c r="A100" s="1"/>
      <c r="B100" s="1"/>
      <c r="C100" s="2" t="s">
        <v>129</v>
      </c>
      <c r="D100" s="1"/>
      <c r="E100" s="1" t="s">
        <v>130</v>
      </c>
      <c r="F100" s="13">
        <v>0</v>
      </c>
      <c r="G100" s="14">
        <v>0</v>
      </c>
      <c r="H100" s="51"/>
    </row>
    <row r="101" spans="1:8" ht="14.1" customHeight="1" x14ac:dyDescent="0.2">
      <c r="A101" s="1"/>
      <c r="B101" s="1"/>
      <c r="C101" s="11"/>
      <c r="D101" s="1"/>
      <c r="E101" s="1"/>
      <c r="F101" s="12"/>
      <c r="G101" s="12"/>
      <c r="H101" s="51"/>
    </row>
    <row r="102" spans="1:8" ht="14.1" customHeight="1" x14ac:dyDescent="0.2">
      <c r="A102" s="1"/>
      <c r="B102" s="1"/>
      <c r="C102" s="2" t="s">
        <v>146</v>
      </c>
      <c r="D102" s="1"/>
      <c r="E102" s="1"/>
      <c r="F102" s="12"/>
      <c r="G102" s="12"/>
      <c r="H102" s="51"/>
    </row>
    <row r="103" spans="1:8" ht="17.100000000000001" customHeight="1" x14ac:dyDescent="0.2">
      <c r="A103" s="3">
        <v>1</v>
      </c>
      <c r="B103" s="4"/>
      <c r="C103" s="4" t="s">
        <v>147</v>
      </c>
      <c r="D103" s="4"/>
      <c r="E103" s="8"/>
      <c r="F103" s="6">
        <v>771.58439650000003</v>
      </c>
      <c r="G103" s="7">
        <v>5.2772421999999999E-2</v>
      </c>
      <c r="H103" s="51">
        <v>6.1245112103248278</v>
      </c>
    </row>
    <row r="104" spans="1:8" ht="14.1" customHeight="1" x14ac:dyDescent="0.2">
      <c r="A104" s="1"/>
      <c r="B104" s="1"/>
      <c r="C104" s="2" t="s">
        <v>129</v>
      </c>
      <c r="D104" s="1"/>
      <c r="E104" s="1" t="s">
        <v>130</v>
      </c>
      <c r="F104" s="9">
        <v>771.58439650000003</v>
      </c>
      <c r="G104" s="10">
        <v>5.2772421999999999E-2</v>
      </c>
      <c r="H104" s="51"/>
    </row>
    <row r="105" spans="1:8" ht="14.1" customHeight="1" x14ac:dyDescent="0.2">
      <c r="A105" s="1"/>
      <c r="B105" s="1"/>
      <c r="C105" s="11"/>
      <c r="D105" s="1"/>
      <c r="E105" s="1"/>
      <c r="F105" s="12"/>
      <c r="G105" s="12"/>
      <c r="H105" s="51"/>
    </row>
    <row r="106" spans="1:8" ht="14.1" customHeight="1" x14ac:dyDescent="0.2">
      <c r="A106" s="1"/>
      <c r="B106" s="1"/>
      <c r="C106" s="2" t="s">
        <v>148</v>
      </c>
      <c r="D106" s="1"/>
      <c r="E106" s="1"/>
      <c r="F106" s="9">
        <v>771.58439650000003</v>
      </c>
      <c r="G106" s="10">
        <v>5.2772421999999999E-2</v>
      </c>
      <c r="H106" s="51"/>
    </row>
    <row r="107" spans="1:8" ht="14.1" customHeight="1" x14ac:dyDescent="0.2">
      <c r="A107" s="1"/>
      <c r="B107" s="1"/>
      <c r="C107" s="12"/>
      <c r="D107" s="1"/>
      <c r="E107" s="1"/>
      <c r="F107" s="1"/>
      <c r="G107" s="1"/>
      <c r="H107" s="51"/>
    </row>
    <row r="108" spans="1:8" ht="14.1" customHeight="1" x14ac:dyDescent="0.2">
      <c r="A108" s="1"/>
      <c r="B108" s="1"/>
      <c r="C108" s="2" t="s">
        <v>149</v>
      </c>
      <c r="D108" s="1"/>
      <c r="E108" s="1"/>
      <c r="F108" s="1"/>
      <c r="G108" s="1"/>
      <c r="H108" s="51"/>
    </row>
    <row r="109" spans="1:8" ht="14.1" customHeight="1" x14ac:dyDescent="0.2">
      <c r="A109" s="1"/>
      <c r="B109" s="1"/>
      <c r="C109" s="2" t="s">
        <v>150</v>
      </c>
      <c r="D109" s="1"/>
      <c r="E109" s="1"/>
      <c r="F109" s="1"/>
      <c r="G109" s="1"/>
      <c r="H109" s="51"/>
    </row>
    <row r="110" spans="1:8" ht="14.1" customHeight="1" x14ac:dyDescent="0.2">
      <c r="A110" s="1"/>
      <c r="B110" s="1"/>
      <c r="C110" s="2" t="s">
        <v>129</v>
      </c>
      <c r="D110" s="1"/>
      <c r="E110" s="1" t="s">
        <v>130</v>
      </c>
      <c r="F110" s="13">
        <v>0</v>
      </c>
      <c r="G110" s="14">
        <v>0</v>
      </c>
      <c r="H110" s="51"/>
    </row>
    <row r="111" spans="1:8" ht="14.1" customHeight="1" x14ac:dyDescent="0.2">
      <c r="A111" s="1"/>
      <c r="B111" s="1"/>
      <c r="C111" s="11"/>
      <c r="D111" s="1"/>
      <c r="E111" s="1"/>
      <c r="F111" s="12"/>
      <c r="G111" s="12"/>
      <c r="H111" s="51"/>
    </row>
    <row r="112" spans="1:8" ht="14.1" customHeight="1" x14ac:dyDescent="0.2">
      <c r="A112" s="1"/>
      <c r="B112" s="1"/>
      <c r="C112" s="2" t="s">
        <v>151</v>
      </c>
      <c r="D112" s="1"/>
      <c r="E112" s="1"/>
      <c r="F112" s="1"/>
      <c r="G112" s="1"/>
      <c r="H112" s="51"/>
    </row>
    <row r="113" spans="1:8" ht="14.1" customHeight="1" x14ac:dyDescent="0.2">
      <c r="A113" s="1"/>
      <c r="B113" s="1"/>
      <c r="C113" s="2" t="s">
        <v>152</v>
      </c>
      <c r="D113" s="1"/>
      <c r="E113" s="1"/>
      <c r="F113" s="1"/>
      <c r="G113" s="1"/>
      <c r="H113" s="51"/>
    </row>
    <row r="114" spans="1:8" ht="14.1" customHeight="1" x14ac:dyDescent="0.2">
      <c r="A114" s="1"/>
      <c r="B114" s="1"/>
      <c r="C114" s="2" t="s">
        <v>129</v>
      </c>
      <c r="D114" s="1"/>
      <c r="E114" s="1" t="s">
        <v>130</v>
      </c>
      <c r="F114" s="13">
        <v>0</v>
      </c>
      <c r="G114" s="14">
        <v>0</v>
      </c>
      <c r="H114" s="51"/>
    </row>
    <row r="115" spans="1:8" ht="14.1" customHeight="1" x14ac:dyDescent="0.2">
      <c r="A115" s="1"/>
      <c r="B115" s="1"/>
      <c r="C115" s="11"/>
      <c r="D115" s="1"/>
      <c r="E115" s="1"/>
      <c r="F115" s="12"/>
      <c r="G115" s="12"/>
      <c r="H115" s="51"/>
    </row>
    <row r="116" spans="1:8" ht="14.1" customHeight="1" x14ac:dyDescent="0.2">
      <c r="A116" s="1"/>
      <c r="B116" s="1"/>
      <c r="C116" s="11"/>
      <c r="D116" s="1"/>
      <c r="E116" s="1"/>
      <c r="F116" s="12"/>
      <c r="G116" s="12"/>
      <c r="H116" s="51"/>
    </row>
    <row r="117" spans="1:8" ht="24" customHeight="1" x14ac:dyDescent="0.2">
      <c r="A117" s="1"/>
      <c r="B117" s="1"/>
      <c r="C117" s="2" t="s">
        <v>153</v>
      </c>
      <c r="D117" s="1"/>
      <c r="E117" s="1"/>
      <c r="F117" s="12"/>
      <c r="G117" s="12"/>
      <c r="H117" s="51"/>
    </row>
    <row r="118" spans="1:8" ht="14.1" customHeight="1" x14ac:dyDescent="0.2">
      <c r="A118" s="1"/>
      <c r="B118" s="1"/>
      <c r="C118" s="2" t="s">
        <v>129</v>
      </c>
      <c r="D118" s="1"/>
      <c r="E118" s="1" t="s">
        <v>130</v>
      </c>
      <c r="F118" s="13">
        <v>0</v>
      </c>
      <c r="G118" s="14">
        <v>0</v>
      </c>
      <c r="H118" s="51"/>
    </row>
    <row r="119" spans="1:8" ht="14.1" customHeight="1" x14ac:dyDescent="0.2">
      <c r="A119" s="1"/>
      <c r="B119" s="1"/>
      <c r="C119" s="11"/>
      <c r="D119" s="1"/>
      <c r="E119" s="1"/>
      <c r="F119" s="12"/>
      <c r="G119" s="12"/>
      <c r="H119" s="51"/>
    </row>
    <row r="120" spans="1:8" ht="14.1" customHeight="1" x14ac:dyDescent="0.2">
      <c r="A120" s="1"/>
      <c r="B120" s="4"/>
      <c r="C120" s="4"/>
      <c r="D120" s="2"/>
      <c r="E120" s="1"/>
      <c r="F120" s="4"/>
      <c r="G120" s="8"/>
      <c r="H120" s="51"/>
    </row>
    <row r="121" spans="1:8" ht="18" customHeight="1" x14ac:dyDescent="0.2">
      <c r="A121" s="8"/>
      <c r="B121" s="4"/>
      <c r="C121" s="4" t="s">
        <v>154</v>
      </c>
      <c r="D121" s="4"/>
      <c r="E121" s="8"/>
      <c r="F121" s="6">
        <v>-10.066030380000001</v>
      </c>
      <c r="G121" s="7">
        <v>-6.8846499999999998E-4</v>
      </c>
      <c r="H121" s="51"/>
    </row>
    <row r="122" spans="1:8" ht="14.1" customHeight="1" x14ac:dyDescent="0.2">
      <c r="A122" s="11"/>
      <c r="B122" s="11"/>
      <c r="C122" s="2" t="s">
        <v>155</v>
      </c>
      <c r="D122" s="15"/>
      <c r="E122" s="15"/>
      <c r="F122" s="9">
        <v>14620.97766262</v>
      </c>
      <c r="G122" s="10">
        <v>1</v>
      </c>
      <c r="H122" s="51"/>
    </row>
    <row r="123" spans="1:8" ht="14.1" customHeight="1" x14ac:dyDescent="0.2">
      <c r="A123" s="16"/>
      <c r="B123" s="16"/>
      <c r="C123" s="16"/>
      <c r="D123" s="17"/>
      <c r="E123" s="17"/>
      <c r="F123" s="17"/>
      <c r="G123" s="17"/>
    </row>
    <row r="124" spans="1:8" ht="14.1" customHeight="1" x14ac:dyDescent="0.2">
      <c r="A124" s="18"/>
      <c r="B124" s="18"/>
      <c r="C124" s="18"/>
      <c r="D124" s="20"/>
      <c r="E124" s="20"/>
      <c r="F124" s="20"/>
      <c r="G124" s="20"/>
    </row>
    <row r="125" spans="1:8" ht="14.1" customHeight="1" x14ac:dyDescent="0.2">
      <c r="A125" s="18"/>
      <c r="B125" s="325" t="s">
        <v>157</v>
      </c>
      <c r="C125" s="326"/>
      <c r="D125" s="12" t="s">
        <v>130</v>
      </c>
      <c r="E125" s="21"/>
      <c r="F125" s="20"/>
      <c r="G125" s="20"/>
    </row>
    <row r="126" spans="1:8" ht="29.1" customHeight="1" x14ac:dyDescent="0.2">
      <c r="A126" s="18"/>
      <c r="B126" s="318" t="s">
        <v>158</v>
      </c>
      <c r="C126" s="319"/>
      <c r="D126" s="2" t="s">
        <v>159</v>
      </c>
      <c r="E126" s="21"/>
      <c r="F126" s="20"/>
      <c r="G126" s="20"/>
    </row>
    <row r="127" spans="1:8" ht="17.100000000000001" customHeight="1" x14ac:dyDescent="0.2">
      <c r="A127" s="18"/>
      <c r="B127" s="318" t="s">
        <v>160</v>
      </c>
      <c r="C127" s="319"/>
      <c r="D127" s="2" t="s">
        <v>159</v>
      </c>
      <c r="E127" s="21"/>
      <c r="F127" s="20"/>
      <c r="G127" s="20"/>
    </row>
    <row r="128" spans="1:8" ht="17.100000000000001" customHeight="1" x14ac:dyDescent="0.2">
      <c r="A128" s="18"/>
      <c r="B128" s="318" t="s">
        <v>161</v>
      </c>
      <c r="C128" s="319"/>
      <c r="D128" s="12" t="s">
        <v>130</v>
      </c>
      <c r="E128" s="21"/>
      <c r="F128" s="20"/>
      <c r="G128" s="20"/>
    </row>
    <row r="129" spans="1:15" ht="24" customHeight="1" x14ac:dyDescent="0.2">
      <c r="A129" s="22"/>
      <c r="B129" s="23" t="s">
        <v>130</v>
      </c>
      <c r="C129" s="23" t="s">
        <v>162</v>
      </c>
      <c r="D129" s="23" t="s">
        <v>163</v>
      </c>
      <c r="E129" s="22"/>
      <c r="F129" s="22"/>
      <c r="G129" s="22"/>
    </row>
    <row r="130" spans="1:15" ht="18" customHeight="1" x14ac:dyDescent="0.2">
      <c r="A130" s="22"/>
      <c r="B130" s="23" t="s">
        <v>164</v>
      </c>
      <c r="C130" s="23" t="s">
        <v>165</v>
      </c>
      <c r="D130" s="23" t="s">
        <v>166</v>
      </c>
      <c r="E130" s="22"/>
      <c r="F130" s="22"/>
      <c r="G130" s="22"/>
    </row>
    <row r="131" spans="1:15" ht="17.100000000000001" customHeight="1" x14ac:dyDescent="0.2">
      <c r="A131" s="22"/>
      <c r="B131" s="4" t="s">
        <v>167</v>
      </c>
      <c r="C131" s="24">
        <v>18.081600000000002</v>
      </c>
      <c r="D131" s="24">
        <v>17.665900000000001</v>
      </c>
      <c r="E131" s="22"/>
      <c r="F131" s="19"/>
      <c r="G131" s="25"/>
    </row>
    <row r="132" spans="1:15" ht="17.100000000000001" customHeight="1" x14ac:dyDescent="0.2">
      <c r="A132" s="22"/>
      <c r="B132" s="4" t="s">
        <v>1067</v>
      </c>
      <c r="C132" s="24">
        <v>17.1982</v>
      </c>
      <c r="D132" s="24">
        <v>16.802900000000001</v>
      </c>
      <c r="E132" s="22"/>
      <c r="F132" s="19"/>
      <c r="G132" s="25"/>
    </row>
    <row r="133" spans="1:15" ht="17.100000000000001" customHeight="1" x14ac:dyDescent="0.2">
      <c r="A133" s="22"/>
      <c r="B133" s="4" t="s">
        <v>168</v>
      </c>
      <c r="C133" s="24">
        <v>17.651199999999999</v>
      </c>
      <c r="D133" s="24">
        <v>17.237400000000001</v>
      </c>
      <c r="E133" s="22"/>
      <c r="F133" s="19"/>
      <c r="G133" s="25"/>
    </row>
    <row r="134" spans="1:15" ht="17.100000000000001" customHeight="1" x14ac:dyDescent="0.2">
      <c r="A134" s="22"/>
      <c r="B134" s="4" t="s">
        <v>1068</v>
      </c>
      <c r="C134" s="24">
        <v>16.9815</v>
      </c>
      <c r="D134" s="24">
        <v>16.583400000000001</v>
      </c>
      <c r="E134" s="22"/>
      <c r="F134" s="19"/>
      <c r="G134" s="25"/>
    </row>
    <row r="135" spans="1:15" ht="14.1" customHeight="1" x14ac:dyDescent="0.2">
      <c r="A135" s="22"/>
      <c r="B135" s="22"/>
      <c r="C135" s="22"/>
      <c r="D135" s="22"/>
      <c r="E135" s="22"/>
      <c r="F135" s="22"/>
      <c r="G135" s="22"/>
    </row>
    <row r="136" spans="1:15" ht="17.100000000000001" customHeight="1" x14ac:dyDescent="0.2">
      <c r="A136" s="22"/>
      <c r="B136" s="318" t="s">
        <v>1069</v>
      </c>
      <c r="C136" s="319"/>
      <c r="D136" s="111" t="s">
        <v>159</v>
      </c>
      <c r="E136" s="22"/>
      <c r="F136" s="22"/>
      <c r="G136" s="22"/>
    </row>
    <row r="137" spans="1:15" ht="18" customHeight="1" x14ac:dyDescent="0.2">
      <c r="A137" s="22"/>
      <c r="B137" s="26"/>
      <c r="C137" s="26"/>
      <c r="D137" s="27"/>
      <c r="E137" s="22"/>
      <c r="F137" s="22"/>
      <c r="G137" s="22"/>
    </row>
    <row r="138" spans="1:15" ht="29.1" customHeight="1" x14ac:dyDescent="0.2">
      <c r="A138" s="22"/>
      <c r="B138" s="318" t="s">
        <v>169</v>
      </c>
      <c r="C138" s="319"/>
      <c r="D138" s="2" t="s">
        <v>159</v>
      </c>
      <c r="E138" s="22"/>
      <c r="F138" s="22"/>
      <c r="G138" s="22"/>
    </row>
    <row r="139" spans="1:15" ht="29.1" customHeight="1" x14ac:dyDescent="0.2">
      <c r="A139" s="22"/>
      <c r="B139" s="318" t="s">
        <v>170</v>
      </c>
      <c r="C139" s="319"/>
      <c r="D139" s="2" t="s">
        <v>159</v>
      </c>
      <c r="E139" s="22"/>
      <c r="F139" s="22"/>
      <c r="G139" s="22"/>
    </row>
    <row r="140" spans="1:15" ht="17.100000000000001" customHeight="1" x14ac:dyDescent="0.2">
      <c r="A140" s="22"/>
      <c r="B140" s="318" t="s">
        <v>171</v>
      </c>
      <c r="C140" s="319"/>
      <c r="D140" s="28">
        <v>0.23853941421522207</v>
      </c>
      <c r="E140" s="22"/>
      <c r="F140" s="19"/>
      <c r="G140" s="25"/>
      <c r="J140" s="158"/>
      <c r="K140" s="158"/>
      <c r="L140" s="158"/>
      <c r="M140" s="158"/>
      <c r="N140" s="158"/>
      <c r="O140" s="158"/>
    </row>
    <row r="141" spans="1:15" ht="17.100000000000001" customHeight="1" x14ac:dyDescent="0.2">
      <c r="A141" s="22"/>
      <c r="B141" s="318" t="s">
        <v>172</v>
      </c>
      <c r="C141" s="319"/>
      <c r="D141" s="2" t="s">
        <v>159</v>
      </c>
      <c r="E141" s="22"/>
      <c r="F141" s="22"/>
      <c r="G141" s="22"/>
    </row>
  </sheetData>
  <mergeCells count="13">
    <mergeCell ref="A1:H1"/>
    <mergeCell ref="A2:H2"/>
    <mergeCell ref="A3:H3"/>
    <mergeCell ref="B140:C140"/>
    <mergeCell ref="J2:N2"/>
    <mergeCell ref="B125:C125"/>
    <mergeCell ref="B141:C141"/>
    <mergeCell ref="B126:C126"/>
    <mergeCell ref="B127:C127"/>
    <mergeCell ref="B128:C128"/>
    <mergeCell ref="B136:C136"/>
    <mergeCell ref="B138:C138"/>
    <mergeCell ref="B139:C139"/>
  </mergeCells>
  <hyperlinks>
    <hyperlink ref="I1" location="Index!B5" display="Index" xr:uid="{3F858250-A2BA-4D44-ACF2-3DD263DAC69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O141"/>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345</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14</v>
      </c>
      <c r="C7" s="4" t="s">
        <v>15</v>
      </c>
      <c r="D7" s="4" t="s">
        <v>16</v>
      </c>
      <c r="E7" s="5">
        <v>80632</v>
      </c>
      <c r="F7" s="6">
        <v>695.04783999999995</v>
      </c>
      <c r="G7" s="7">
        <v>8.0829730000000002E-2</v>
      </c>
      <c r="H7" s="51"/>
    </row>
    <row r="8" spans="1:14" ht="17.100000000000001" customHeight="1" x14ac:dyDescent="0.2">
      <c r="A8" s="3">
        <v>2</v>
      </c>
      <c r="B8" s="4" t="s">
        <v>20</v>
      </c>
      <c r="C8" s="4" t="s">
        <v>21</v>
      </c>
      <c r="D8" s="4" t="s">
        <v>22</v>
      </c>
      <c r="E8" s="5">
        <v>26043</v>
      </c>
      <c r="F8" s="6">
        <v>619.23743249999995</v>
      </c>
      <c r="G8" s="7">
        <v>7.2013453000000005E-2</v>
      </c>
      <c r="H8" s="51"/>
    </row>
    <row r="9" spans="1:14" ht="17.100000000000001" customHeight="1" x14ac:dyDescent="0.2">
      <c r="A9" s="3">
        <v>3</v>
      </c>
      <c r="B9" s="4" t="s">
        <v>296</v>
      </c>
      <c r="C9" s="4" t="s">
        <v>297</v>
      </c>
      <c r="D9" s="4" t="s">
        <v>223</v>
      </c>
      <c r="E9" s="5">
        <v>31453</v>
      </c>
      <c r="F9" s="6">
        <v>444.5724285</v>
      </c>
      <c r="G9" s="7">
        <v>5.1701002000000003E-2</v>
      </c>
      <c r="H9" s="51"/>
    </row>
    <row r="10" spans="1:14" ht="17.100000000000001" customHeight="1" x14ac:dyDescent="0.2">
      <c r="A10" s="3">
        <v>4</v>
      </c>
      <c r="B10" s="4" t="s">
        <v>41</v>
      </c>
      <c r="C10" s="4" t="s">
        <v>42</v>
      </c>
      <c r="D10" s="4" t="s">
        <v>16</v>
      </c>
      <c r="E10" s="5">
        <v>73332</v>
      </c>
      <c r="F10" s="6">
        <v>389.09959199999997</v>
      </c>
      <c r="G10" s="7">
        <v>4.5249856999999997E-2</v>
      </c>
      <c r="H10" s="51"/>
    </row>
    <row r="11" spans="1:14" ht="29.1" customHeight="1" x14ac:dyDescent="0.2">
      <c r="A11" s="3">
        <v>5</v>
      </c>
      <c r="B11" s="4" t="s">
        <v>298</v>
      </c>
      <c r="C11" s="4" t="s">
        <v>299</v>
      </c>
      <c r="D11" s="4" t="s">
        <v>97</v>
      </c>
      <c r="E11" s="5">
        <v>16489</v>
      </c>
      <c r="F11" s="6">
        <v>377.22709750000001</v>
      </c>
      <c r="G11" s="7">
        <v>4.3869158999999998E-2</v>
      </c>
      <c r="H11" s="51"/>
    </row>
    <row r="12" spans="1:14" ht="17.100000000000001" customHeight="1" x14ac:dyDescent="0.2">
      <c r="A12" s="3">
        <v>6</v>
      </c>
      <c r="B12" s="4" t="s">
        <v>269</v>
      </c>
      <c r="C12" s="4" t="s">
        <v>270</v>
      </c>
      <c r="D12" s="4" t="s">
        <v>16</v>
      </c>
      <c r="E12" s="5">
        <v>26088</v>
      </c>
      <c r="F12" s="6">
        <v>370.80178799999999</v>
      </c>
      <c r="G12" s="7">
        <v>4.3121936E-2</v>
      </c>
      <c r="H12" s="51"/>
    </row>
    <row r="13" spans="1:14" ht="29.1" customHeight="1" x14ac:dyDescent="0.2">
      <c r="A13" s="3">
        <v>7</v>
      </c>
      <c r="B13" s="4" t="s">
        <v>185</v>
      </c>
      <c r="C13" s="4" t="s">
        <v>186</v>
      </c>
      <c r="D13" s="4" t="s">
        <v>104</v>
      </c>
      <c r="E13" s="5">
        <v>70938</v>
      </c>
      <c r="F13" s="6">
        <v>292.193622</v>
      </c>
      <c r="G13" s="7">
        <v>3.3980296E-2</v>
      </c>
      <c r="H13" s="51"/>
      <c r="J13" s="157" t="s">
        <v>1094</v>
      </c>
    </row>
    <row r="14" spans="1:14" ht="17.100000000000001" customHeight="1" x14ac:dyDescent="0.2">
      <c r="A14" s="3">
        <v>8</v>
      </c>
      <c r="B14" s="4" t="s">
        <v>195</v>
      </c>
      <c r="C14" s="4" t="s">
        <v>196</v>
      </c>
      <c r="D14" s="4" t="s">
        <v>16</v>
      </c>
      <c r="E14" s="5">
        <v>38735</v>
      </c>
      <c r="F14" s="6">
        <v>284.00502</v>
      </c>
      <c r="G14" s="7">
        <v>3.3028013000000002E-2</v>
      </c>
      <c r="H14" s="51"/>
    </row>
    <row r="15" spans="1:14" ht="17.100000000000001" customHeight="1" x14ac:dyDescent="0.2">
      <c r="A15" s="3">
        <v>9</v>
      </c>
      <c r="B15" s="4" t="s">
        <v>11</v>
      </c>
      <c r="C15" s="4" t="s">
        <v>12</v>
      </c>
      <c r="D15" s="4" t="s">
        <v>13</v>
      </c>
      <c r="E15" s="5">
        <v>13567</v>
      </c>
      <c r="F15" s="6">
        <v>250.677459</v>
      </c>
      <c r="G15" s="7">
        <v>2.9152226E-2</v>
      </c>
      <c r="H15" s="51"/>
    </row>
    <row r="16" spans="1:14" ht="29.1" customHeight="1" x14ac:dyDescent="0.2">
      <c r="A16" s="3">
        <v>10</v>
      </c>
      <c r="B16" s="4" t="s">
        <v>182</v>
      </c>
      <c r="C16" s="4" t="s">
        <v>183</v>
      </c>
      <c r="D16" s="4" t="s">
        <v>184</v>
      </c>
      <c r="E16" s="5">
        <v>4933</v>
      </c>
      <c r="F16" s="6">
        <v>221.53363049999999</v>
      </c>
      <c r="G16" s="7">
        <v>2.5762980000000001E-2</v>
      </c>
      <c r="H16" s="51"/>
    </row>
    <row r="17" spans="1:8" ht="17.100000000000001" customHeight="1" x14ac:dyDescent="0.2">
      <c r="A17" s="3">
        <v>11</v>
      </c>
      <c r="B17" s="4" t="s">
        <v>17</v>
      </c>
      <c r="C17" s="4" t="s">
        <v>18</v>
      </c>
      <c r="D17" s="4" t="s">
        <v>19</v>
      </c>
      <c r="E17" s="5">
        <v>26720</v>
      </c>
      <c r="F17" s="6">
        <v>213.73328000000001</v>
      </c>
      <c r="G17" s="7">
        <v>2.4855848E-2</v>
      </c>
      <c r="H17" s="51"/>
    </row>
    <row r="18" spans="1:8" ht="17.100000000000001" customHeight="1" x14ac:dyDescent="0.2">
      <c r="A18" s="3">
        <v>12</v>
      </c>
      <c r="B18" s="4" t="s">
        <v>32</v>
      </c>
      <c r="C18" s="4" t="s">
        <v>33</v>
      </c>
      <c r="D18" s="4" t="s">
        <v>31</v>
      </c>
      <c r="E18" s="5">
        <v>8928</v>
      </c>
      <c r="F18" s="6">
        <v>184.28731199999999</v>
      </c>
      <c r="G18" s="7">
        <v>2.1431465E-2</v>
      </c>
      <c r="H18" s="51"/>
    </row>
    <row r="19" spans="1:8" ht="17.100000000000001" customHeight="1" x14ac:dyDescent="0.2">
      <c r="A19" s="3">
        <v>13</v>
      </c>
      <c r="B19" s="4" t="s">
        <v>300</v>
      </c>
      <c r="C19" s="4" t="s">
        <v>301</v>
      </c>
      <c r="D19" s="4" t="s">
        <v>235</v>
      </c>
      <c r="E19" s="5">
        <v>14560</v>
      </c>
      <c r="F19" s="6">
        <v>182.06551999999999</v>
      </c>
      <c r="G19" s="7">
        <v>2.1173085000000001E-2</v>
      </c>
      <c r="H19" s="51"/>
    </row>
    <row r="20" spans="1:8" ht="17.100000000000001" customHeight="1" x14ac:dyDescent="0.2">
      <c r="A20" s="3">
        <v>14</v>
      </c>
      <c r="B20" s="4" t="s">
        <v>302</v>
      </c>
      <c r="C20" s="4" t="s">
        <v>303</v>
      </c>
      <c r="D20" s="4" t="s">
        <v>251</v>
      </c>
      <c r="E20" s="5">
        <v>32901</v>
      </c>
      <c r="F20" s="6">
        <v>168.20636250000001</v>
      </c>
      <c r="G20" s="7">
        <v>1.9561351000000001E-2</v>
      </c>
      <c r="H20" s="51"/>
    </row>
    <row r="21" spans="1:8" ht="29.1" customHeight="1" x14ac:dyDescent="0.2">
      <c r="A21" s="3">
        <v>15</v>
      </c>
      <c r="B21" s="4" t="s">
        <v>304</v>
      </c>
      <c r="C21" s="4" t="s">
        <v>305</v>
      </c>
      <c r="D21" s="4" t="s">
        <v>203</v>
      </c>
      <c r="E21" s="5">
        <v>16801</v>
      </c>
      <c r="F21" s="6">
        <v>159.38268650000001</v>
      </c>
      <c r="G21" s="7">
        <v>1.8535212999999998E-2</v>
      </c>
      <c r="H21" s="51"/>
    </row>
    <row r="22" spans="1:8" ht="17.100000000000001" customHeight="1" x14ac:dyDescent="0.2">
      <c r="A22" s="3">
        <v>16</v>
      </c>
      <c r="B22" s="4" t="s">
        <v>306</v>
      </c>
      <c r="C22" s="4" t="s">
        <v>307</v>
      </c>
      <c r="D22" s="4" t="s">
        <v>223</v>
      </c>
      <c r="E22" s="5">
        <v>5191</v>
      </c>
      <c r="F22" s="6">
        <v>155.96619050000001</v>
      </c>
      <c r="G22" s="7">
        <v>1.8137896000000001E-2</v>
      </c>
      <c r="H22" s="51"/>
    </row>
    <row r="23" spans="1:8" ht="17.100000000000001" customHeight="1" x14ac:dyDescent="0.2">
      <c r="A23" s="3">
        <v>17</v>
      </c>
      <c r="B23" s="4" t="s">
        <v>70</v>
      </c>
      <c r="C23" s="4" t="s">
        <v>71</v>
      </c>
      <c r="D23" s="4" t="s">
        <v>72</v>
      </c>
      <c r="E23" s="5">
        <v>4780</v>
      </c>
      <c r="F23" s="6">
        <v>153.55033</v>
      </c>
      <c r="G23" s="7">
        <v>1.7856945999999999E-2</v>
      </c>
      <c r="H23" s="51"/>
    </row>
    <row r="24" spans="1:8" ht="17.100000000000001" customHeight="1" x14ac:dyDescent="0.2">
      <c r="A24" s="3">
        <v>18</v>
      </c>
      <c r="B24" s="4" t="s">
        <v>308</v>
      </c>
      <c r="C24" s="4" t="s">
        <v>309</v>
      </c>
      <c r="D24" s="4" t="s">
        <v>310</v>
      </c>
      <c r="E24" s="5">
        <v>5513</v>
      </c>
      <c r="F24" s="6">
        <v>148.65528850000001</v>
      </c>
      <c r="G24" s="7">
        <v>1.7287683000000002E-2</v>
      </c>
      <c r="H24" s="51"/>
    </row>
    <row r="25" spans="1:8" ht="17.100000000000001" customHeight="1" x14ac:dyDescent="0.2">
      <c r="A25" s="3">
        <v>19</v>
      </c>
      <c r="B25" s="4" t="s">
        <v>190</v>
      </c>
      <c r="C25" s="4" t="s">
        <v>191</v>
      </c>
      <c r="D25" s="4" t="s">
        <v>192</v>
      </c>
      <c r="E25" s="5">
        <v>260</v>
      </c>
      <c r="F25" s="6">
        <v>131.73199</v>
      </c>
      <c r="G25" s="7">
        <v>1.5319609E-2</v>
      </c>
      <c r="H25" s="51"/>
    </row>
    <row r="26" spans="1:8" ht="29.1" customHeight="1" x14ac:dyDescent="0.2">
      <c r="A26" s="3">
        <v>20</v>
      </c>
      <c r="B26" s="4" t="s">
        <v>23</v>
      </c>
      <c r="C26" s="4" t="s">
        <v>24</v>
      </c>
      <c r="D26" s="4" t="s">
        <v>25</v>
      </c>
      <c r="E26" s="5">
        <v>2097</v>
      </c>
      <c r="F26" s="6">
        <v>131.16944699999999</v>
      </c>
      <c r="G26" s="7">
        <v>1.5254189E-2</v>
      </c>
      <c r="H26" s="51"/>
    </row>
    <row r="27" spans="1:8" ht="29.1" customHeight="1" x14ac:dyDescent="0.2">
      <c r="A27" s="3">
        <v>21</v>
      </c>
      <c r="B27" s="4" t="s">
        <v>201</v>
      </c>
      <c r="C27" s="4" t="s">
        <v>202</v>
      </c>
      <c r="D27" s="4" t="s">
        <v>203</v>
      </c>
      <c r="E27" s="5">
        <v>25434</v>
      </c>
      <c r="F27" s="6">
        <v>130.47641999999999</v>
      </c>
      <c r="G27" s="7">
        <v>1.5173594E-2</v>
      </c>
      <c r="H27" s="51"/>
    </row>
    <row r="28" spans="1:8" ht="17.100000000000001" customHeight="1" x14ac:dyDescent="0.2">
      <c r="A28" s="3">
        <v>22</v>
      </c>
      <c r="B28" s="4" t="s">
        <v>311</v>
      </c>
      <c r="C28" s="4" t="s">
        <v>312</v>
      </c>
      <c r="D28" s="4" t="s">
        <v>69</v>
      </c>
      <c r="E28" s="5">
        <v>10176</v>
      </c>
      <c r="F28" s="6">
        <v>129.052032</v>
      </c>
      <c r="G28" s="7">
        <v>1.5007947000000001E-2</v>
      </c>
      <c r="H28" s="51"/>
    </row>
    <row r="29" spans="1:8" ht="17.100000000000001" customHeight="1" x14ac:dyDescent="0.2">
      <c r="A29" s="3">
        <v>23</v>
      </c>
      <c r="B29" s="4" t="s">
        <v>199</v>
      </c>
      <c r="C29" s="4" t="s">
        <v>200</v>
      </c>
      <c r="D29" s="4" t="s">
        <v>16</v>
      </c>
      <c r="E29" s="5">
        <v>96000</v>
      </c>
      <c r="F29" s="6">
        <v>127.104</v>
      </c>
      <c r="G29" s="7">
        <v>1.4781403E-2</v>
      </c>
      <c r="H29" s="51"/>
    </row>
    <row r="30" spans="1:8" ht="29.1" customHeight="1" x14ac:dyDescent="0.2">
      <c r="A30" s="3">
        <v>24</v>
      </c>
      <c r="B30" s="4" t="s">
        <v>316</v>
      </c>
      <c r="C30" s="4" t="s">
        <v>317</v>
      </c>
      <c r="D30" s="4" t="s">
        <v>318</v>
      </c>
      <c r="E30" s="5">
        <v>19626</v>
      </c>
      <c r="F30" s="6">
        <v>126.636765</v>
      </c>
      <c r="G30" s="7">
        <v>1.4727066E-2</v>
      </c>
      <c r="H30" s="51"/>
    </row>
    <row r="31" spans="1:8" ht="17.100000000000001" customHeight="1" x14ac:dyDescent="0.2">
      <c r="A31" s="3">
        <v>25</v>
      </c>
      <c r="B31" s="4" t="s">
        <v>313</v>
      </c>
      <c r="C31" s="4" t="s">
        <v>314</v>
      </c>
      <c r="D31" s="4" t="s">
        <v>315</v>
      </c>
      <c r="E31" s="5">
        <v>9081</v>
      </c>
      <c r="F31" s="6">
        <v>123.68322000000001</v>
      </c>
      <c r="G31" s="7">
        <v>1.4383587E-2</v>
      </c>
      <c r="H31" s="51"/>
    </row>
    <row r="32" spans="1:8" ht="17.100000000000001" customHeight="1" x14ac:dyDescent="0.2">
      <c r="A32" s="3">
        <v>26</v>
      </c>
      <c r="B32" s="4" t="s">
        <v>187</v>
      </c>
      <c r="C32" s="4" t="s">
        <v>188</v>
      </c>
      <c r="D32" s="4" t="s">
        <v>189</v>
      </c>
      <c r="E32" s="5">
        <v>8029</v>
      </c>
      <c r="F32" s="6">
        <v>114.01179999999999</v>
      </c>
      <c r="G32" s="7">
        <v>1.3258861E-2</v>
      </c>
      <c r="H32" s="51"/>
    </row>
    <row r="33" spans="1:8" ht="17.100000000000001" customHeight="1" x14ac:dyDescent="0.2">
      <c r="A33" s="3">
        <v>27</v>
      </c>
      <c r="B33" s="4" t="s">
        <v>102</v>
      </c>
      <c r="C33" s="4" t="s">
        <v>103</v>
      </c>
      <c r="D33" s="4" t="s">
        <v>104</v>
      </c>
      <c r="E33" s="5">
        <v>26229</v>
      </c>
      <c r="F33" s="6">
        <v>111.6961965</v>
      </c>
      <c r="G33" s="7">
        <v>1.2989571E-2</v>
      </c>
      <c r="H33" s="51"/>
    </row>
    <row r="34" spans="1:8" ht="17.100000000000001" customHeight="1" x14ac:dyDescent="0.2">
      <c r="A34" s="3">
        <v>28</v>
      </c>
      <c r="B34" s="4" t="s">
        <v>319</v>
      </c>
      <c r="C34" s="4" t="s">
        <v>320</v>
      </c>
      <c r="D34" s="4" t="s">
        <v>248</v>
      </c>
      <c r="E34" s="5">
        <v>7066</v>
      </c>
      <c r="F34" s="6">
        <v>105.195075</v>
      </c>
      <c r="G34" s="7">
        <v>1.2233531000000001E-2</v>
      </c>
      <c r="H34" s="51"/>
    </row>
    <row r="35" spans="1:8" ht="17.100000000000001" customHeight="1" x14ac:dyDescent="0.2">
      <c r="A35" s="3">
        <v>29</v>
      </c>
      <c r="B35" s="4" t="s">
        <v>321</v>
      </c>
      <c r="C35" s="4" t="s">
        <v>322</v>
      </c>
      <c r="D35" s="4" t="s">
        <v>310</v>
      </c>
      <c r="E35" s="5">
        <v>31300</v>
      </c>
      <c r="F35" s="6">
        <v>103.9786</v>
      </c>
      <c r="G35" s="7">
        <v>1.2092063E-2</v>
      </c>
      <c r="H35" s="51"/>
    </row>
    <row r="36" spans="1:8" ht="17.100000000000001" customHeight="1" x14ac:dyDescent="0.2">
      <c r="A36" s="3">
        <v>30</v>
      </c>
      <c r="B36" s="4" t="s">
        <v>323</v>
      </c>
      <c r="C36" s="4" t="s">
        <v>324</v>
      </c>
      <c r="D36" s="4" t="s">
        <v>223</v>
      </c>
      <c r="E36" s="5">
        <v>10771</v>
      </c>
      <c r="F36" s="6">
        <v>100.4234185</v>
      </c>
      <c r="G36" s="7">
        <v>1.1678617000000001E-2</v>
      </c>
      <c r="H36" s="51"/>
    </row>
    <row r="37" spans="1:8" ht="17.100000000000001" customHeight="1" x14ac:dyDescent="0.2">
      <c r="A37" s="3">
        <v>31</v>
      </c>
      <c r="B37" s="4" t="s">
        <v>174</v>
      </c>
      <c r="C37" s="4" t="s">
        <v>175</v>
      </c>
      <c r="D37" s="4" t="s">
        <v>22</v>
      </c>
      <c r="E37" s="5">
        <v>44578</v>
      </c>
      <c r="F37" s="6">
        <v>96.422213999999997</v>
      </c>
      <c r="G37" s="7">
        <v>1.1213302E-2</v>
      </c>
      <c r="H37" s="51"/>
    </row>
    <row r="38" spans="1:8" ht="29.1" customHeight="1" x14ac:dyDescent="0.2">
      <c r="A38" s="3">
        <v>32</v>
      </c>
      <c r="B38" s="4" t="s">
        <v>226</v>
      </c>
      <c r="C38" s="4" t="s">
        <v>227</v>
      </c>
      <c r="D38" s="4" t="s">
        <v>213</v>
      </c>
      <c r="E38" s="5">
        <v>9400</v>
      </c>
      <c r="F38" s="6">
        <v>93.454800000000006</v>
      </c>
      <c r="G38" s="7">
        <v>1.0868210999999999E-2</v>
      </c>
      <c r="H38" s="51"/>
    </row>
    <row r="39" spans="1:8" ht="17.100000000000001" customHeight="1" x14ac:dyDescent="0.2">
      <c r="A39" s="3">
        <v>33</v>
      </c>
      <c r="B39" s="4" t="s">
        <v>325</v>
      </c>
      <c r="C39" s="4" t="s">
        <v>326</v>
      </c>
      <c r="D39" s="4" t="s">
        <v>223</v>
      </c>
      <c r="E39" s="5">
        <v>23000</v>
      </c>
      <c r="F39" s="6">
        <v>90.677499999999995</v>
      </c>
      <c r="G39" s="7">
        <v>1.0545228E-2</v>
      </c>
      <c r="H39" s="51"/>
    </row>
    <row r="40" spans="1:8" ht="17.100000000000001" customHeight="1" x14ac:dyDescent="0.2">
      <c r="A40" s="3">
        <v>34</v>
      </c>
      <c r="B40" s="4" t="s">
        <v>115</v>
      </c>
      <c r="C40" s="4" t="s">
        <v>116</v>
      </c>
      <c r="D40" s="4" t="s">
        <v>117</v>
      </c>
      <c r="E40" s="5">
        <v>22685</v>
      </c>
      <c r="F40" s="6">
        <v>88.596267499999996</v>
      </c>
      <c r="G40" s="7">
        <v>1.0303194E-2</v>
      </c>
      <c r="H40" s="51"/>
    </row>
    <row r="41" spans="1:8" ht="17.100000000000001" customHeight="1" x14ac:dyDescent="0.2">
      <c r="A41" s="3">
        <v>35</v>
      </c>
      <c r="B41" s="4" t="s">
        <v>230</v>
      </c>
      <c r="C41" s="4" t="s">
        <v>231</v>
      </c>
      <c r="D41" s="4" t="s">
        <v>232</v>
      </c>
      <c r="E41" s="5">
        <v>20478</v>
      </c>
      <c r="F41" s="6">
        <v>87.768708000000004</v>
      </c>
      <c r="G41" s="7">
        <v>1.0206954000000001E-2</v>
      </c>
      <c r="H41" s="51"/>
    </row>
    <row r="42" spans="1:8" ht="29.1" customHeight="1" x14ac:dyDescent="0.2">
      <c r="A42" s="3">
        <v>36</v>
      </c>
      <c r="B42" s="4" t="s">
        <v>327</v>
      </c>
      <c r="C42" s="4" t="s">
        <v>328</v>
      </c>
      <c r="D42" s="4" t="s">
        <v>184</v>
      </c>
      <c r="E42" s="5">
        <v>20479</v>
      </c>
      <c r="F42" s="6">
        <v>85.847967999999995</v>
      </c>
      <c r="G42" s="7">
        <v>9.9835830000000007E-3</v>
      </c>
      <c r="H42" s="51"/>
    </row>
    <row r="43" spans="1:8" ht="17.100000000000001" customHeight="1" x14ac:dyDescent="0.2">
      <c r="A43" s="3">
        <v>37</v>
      </c>
      <c r="B43" s="4" t="s">
        <v>329</v>
      </c>
      <c r="C43" s="4" t="s">
        <v>330</v>
      </c>
      <c r="D43" s="4" t="s">
        <v>36</v>
      </c>
      <c r="E43" s="5">
        <v>34498</v>
      </c>
      <c r="F43" s="6">
        <v>81.311785999999998</v>
      </c>
      <c r="G43" s="7">
        <v>9.4560540000000002E-3</v>
      </c>
      <c r="H43" s="51"/>
    </row>
    <row r="44" spans="1:8" ht="17.100000000000001" customHeight="1" x14ac:dyDescent="0.2">
      <c r="A44" s="3">
        <v>38</v>
      </c>
      <c r="B44" s="4" t="s">
        <v>331</v>
      </c>
      <c r="C44" s="4" t="s">
        <v>332</v>
      </c>
      <c r="D44" s="4" t="s">
        <v>315</v>
      </c>
      <c r="E44" s="5">
        <v>15345</v>
      </c>
      <c r="F44" s="6">
        <v>80.277367499999997</v>
      </c>
      <c r="G44" s="7">
        <v>9.3357570000000001E-3</v>
      </c>
      <c r="H44" s="51"/>
    </row>
    <row r="45" spans="1:8" ht="17.100000000000001" customHeight="1" x14ac:dyDescent="0.2">
      <c r="A45" s="3">
        <v>39</v>
      </c>
      <c r="B45" s="4" t="s">
        <v>246</v>
      </c>
      <c r="C45" s="4" t="s">
        <v>247</v>
      </c>
      <c r="D45" s="4" t="s">
        <v>248</v>
      </c>
      <c r="E45" s="5">
        <v>12280</v>
      </c>
      <c r="F45" s="6">
        <v>76.467560000000006</v>
      </c>
      <c r="G45" s="7">
        <v>8.8926999999999999E-3</v>
      </c>
      <c r="H45" s="51"/>
    </row>
    <row r="46" spans="1:8" ht="17.100000000000001" customHeight="1" x14ac:dyDescent="0.2">
      <c r="A46" s="3">
        <v>40</v>
      </c>
      <c r="B46" s="4" t="s">
        <v>49</v>
      </c>
      <c r="C46" s="4" t="s">
        <v>50</v>
      </c>
      <c r="D46" s="4" t="s">
        <v>51</v>
      </c>
      <c r="E46" s="5">
        <v>10722</v>
      </c>
      <c r="F46" s="6">
        <v>76.303112999999996</v>
      </c>
      <c r="G46" s="7">
        <v>8.8735759999999993E-3</v>
      </c>
      <c r="H46" s="51"/>
    </row>
    <row r="47" spans="1:8" ht="17.100000000000001" customHeight="1" x14ac:dyDescent="0.2">
      <c r="A47" s="3">
        <v>41</v>
      </c>
      <c r="B47" s="4" t="s">
        <v>285</v>
      </c>
      <c r="C47" s="4" t="s">
        <v>286</v>
      </c>
      <c r="D47" s="4" t="s">
        <v>97</v>
      </c>
      <c r="E47" s="5">
        <v>4027</v>
      </c>
      <c r="F47" s="6">
        <v>70.402027500000003</v>
      </c>
      <c r="G47" s="7">
        <v>8.1873169999999995E-3</v>
      </c>
      <c r="H47" s="51"/>
    </row>
    <row r="48" spans="1:8" ht="17.100000000000001" customHeight="1" x14ac:dyDescent="0.2">
      <c r="A48" s="3">
        <v>42</v>
      </c>
      <c r="B48" s="4" t="s">
        <v>333</v>
      </c>
      <c r="C48" s="4" t="s">
        <v>334</v>
      </c>
      <c r="D48" s="4" t="s">
        <v>223</v>
      </c>
      <c r="E48" s="5">
        <v>6698</v>
      </c>
      <c r="F48" s="6">
        <v>67.556027999999998</v>
      </c>
      <c r="G48" s="7">
        <v>7.8563450000000007E-3</v>
      </c>
      <c r="H48" s="51"/>
    </row>
    <row r="49" spans="1:8" ht="17.100000000000001" customHeight="1" x14ac:dyDescent="0.2">
      <c r="A49" s="3">
        <v>43</v>
      </c>
      <c r="B49" s="4" t="s">
        <v>100</v>
      </c>
      <c r="C49" s="4" t="s">
        <v>101</v>
      </c>
      <c r="D49" s="4" t="s">
        <v>22</v>
      </c>
      <c r="E49" s="5">
        <v>21882</v>
      </c>
      <c r="F49" s="6">
        <v>66.696336000000002</v>
      </c>
      <c r="G49" s="7">
        <v>7.7563679999999996E-3</v>
      </c>
      <c r="H49" s="51"/>
    </row>
    <row r="50" spans="1:8" ht="53.1" customHeight="1" x14ac:dyDescent="0.2">
      <c r="A50" s="3">
        <v>44</v>
      </c>
      <c r="B50" s="4" t="s">
        <v>335</v>
      </c>
      <c r="C50" s="4" t="s">
        <v>863</v>
      </c>
      <c r="D50" s="4" t="s">
        <v>45</v>
      </c>
      <c r="E50" s="5">
        <v>21287</v>
      </c>
      <c r="F50" s="6">
        <v>58.571180499999997</v>
      </c>
      <c r="G50" s="7">
        <v>6.8114630000000002E-3</v>
      </c>
      <c r="H50" s="51"/>
    </row>
    <row r="51" spans="1:8" ht="17.100000000000001" customHeight="1" x14ac:dyDescent="0.2">
      <c r="A51" s="3">
        <v>45</v>
      </c>
      <c r="B51" s="4" t="s">
        <v>336</v>
      </c>
      <c r="C51" s="4" t="s">
        <v>337</v>
      </c>
      <c r="D51" s="4" t="s">
        <v>16</v>
      </c>
      <c r="E51" s="5">
        <v>2804</v>
      </c>
      <c r="F51" s="6">
        <v>51.010368</v>
      </c>
      <c r="G51" s="7">
        <v>5.9321879999999997E-3</v>
      </c>
      <c r="H51" s="51"/>
    </row>
    <row r="52" spans="1:8" ht="29.1" customHeight="1" x14ac:dyDescent="0.2">
      <c r="A52" s="3">
        <v>46</v>
      </c>
      <c r="B52" s="4" t="s">
        <v>236</v>
      </c>
      <c r="C52" s="4" t="s">
        <v>237</v>
      </c>
      <c r="D52" s="4" t="s">
        <v>203</v>
      </c>
      <c r="E52" s="5">
        <v>2422</v>
      </c>
      <c r="F52" s="6">
        <v>50.688827000000003</v>
      </c>
      <c r="G52" s="7">
        <v>5.8947950000000004E-3</v>
      </c>
      <c r="H52" s="51"/>
    </row>
    <row r="53" spans="1:8" ht="17.100000000000001" customHeight="1" x14ac:dyDescent="0.2">
      <c r="A53" s="3">
        <v>47</v>
      </c>
      <c r="B53" s="4" t="s">
        <v>338</v>
      </c>
      <c r="C53" s="4" t="s">
        <v>339</v>
      </c>
      <c r="D53" s="4" t="s">
        <v>16</v>
      </c>
      <c r="E53" s="5">
        <v>4209</v>
      </c>
      <c r="F53" s="6">
        <v>49.885067999999997</v>
      </c>
      <c r="G53" s="7">
        <v>5.8013220000000002E-3</v>
      </c>
      <c r="H53" s="51"/>
    </row>
    <row r="54" spans="1:8" ht="17.100000000000001" customHeight="1" x14ac:dyDescent="0.2">
      <c r="A54" s="3">
        <v>48</v>
      </c>
      <c r="B54" s="4" t="s">
        <v>342</v>
      </c>
      <c r="C54" s="4" t="s">
        <v>343</v>
      </c>
      <c r="D54" s="4" t="s">
        <v>232</v>
      </c>
      <c r="E54" s="5">
        <v>45750</v>
      </c>
      <c r="F54" s="6">
        <v>45.429749999999999</v>
      </c>
      <c r="G54" s="7">
        <v>5.2831969999999999E-3</v>
      </c>
      <c r="H54" s="51"/>
    </row>
    <row r="55" spans="1:8" ht="17.100000000000001" customHeight="1" x14ac:dyDescent="0.2">
      <c r="A55" s="3">
        <v>49</v>
      </c>
      <c r="B55" s="4" t="s">
        <v>233</v>
      </c>
      <c r="C55" s="4" t="s">
        <v>234</v>
      </c>
      <c r="D55" s="4" t="s">
        <v>235</v>
      </c>
      <c r="E55" s="5">
        <v>5927</v>
      </c>
      <c r="F55" s="6">
        <v>45.199302000000003</v>
      </c>
      <c r="G55" s="7">
        <v>5.2563970000000003E-3</v>
      </c>
      <c r="H55" s="51"/>
    </row>
    <row r="56" spans="1:8" ht="17.100000000000001" customHeight="1" x14ac:dyDescent="0.2">
      <c r="A56" s="3">
        <v>50</v>
      </c>
      <c r="B56" s="4" t="s">
        <v>340</v>
      </c>
      <c r="C56" s="4" t="s">
        <v>341</v>
      </c>
      <c r="D56" s="4" t="s">
        <v>92</v>
      </c>
      <c r="E56" s="5">
        <v>55523</v>
      </c>
      <c r="F56" s="6">
        <v>41.420158000000001</v>
      </c>
      <c r="G56" s="7">
        <v>4.8169060000000001E-3</v>
      </c>
      <c r="H56" s="51"/>
    </row>
    <row r="57" spans="1:8" ht="17.100000000000001" customHeight="1" x14ac:dyDescent="0.2">
      <c r="A57" s="3">
        <v>51</v>
      </c>
      <c r="B57" s="4" t="s">
        <v>344</v>
      </c>
      <c r="C57" s="38" t="s">
        <v>969</v>
      </c>
      <c r="D57" s="4" t="s">
        <v>19</v>
      </c>
      <c r="E57" s="5">
        <v>1908</v>
      </c>
      <c r="F57" s="6">
        <v>7.6711140000000002</v>
      </c>
      <c r="G57" s="7">
        <v>8.9210299999999999E-4</v>
      </c>
      <c r="H57" s="51"/>
    </row>
    <row r="58" spans="1:8" ht="14.1" customHeight="1" x14ac:dyDescent="0.2">
      <c r="A58" s="1"/>
      <c r="B58" s="1"/>
      <c r="C58" s="2" t="s">
        <v>129</v>
      </c>
      <c r="D58" s="1"/>
      <c r="E58" s="1" t="s">
        <v>130</v>
      </c>
      <c r="F58" s="9">
        <v>8157.0592870000019</v>
      </c>
      <c r="G58" s="10">
        <v>0.94861513700000011</v>
      </c>
      <c r="H58" s="51"/>
    </row>
    <row r="59" spans="1:8" ht="14.1" customHeight="1" x14ac:dyDescent="0.2">
      <c r="A59" s="1"/>
      <c r="B59" s="1"/>
      <c r="C59" s="11"/>
      <c r="D59" s="1"/>
      <c r="E59" s="1"/>
      <c r="F59" s="12"/>
      <c r="G59" s="12"/>
      <c r="H59" s="51"/>
    </row>
    <row r="60" spans="1:8" ht="14.1" customHeight="1" x14ac:dyDescent="0.2">
      <c r="A60" s="1"/>
      <c r="B60" s="1"/>
      <c r="C60" s="2" t="s">
        <v>131</v>
      </c>
      <c r="D60" s="1"/>
      <c r="E60" s="1"/>
      <c r="F60" s="1"/>
      <c r="G60" s="1"/>
      <c r="H60" s="51"/>
    </row>
    <row r="61" spans="1:8" ht="14.1" customHeight="1" x14ac:dyDescent="0.2">
      <c r="A61" s="1"/>
      <c r="B61" s="1"/>
      <c r="C61" s="2" t="s">
        <v>129</v>
      </c>
      <c r="D61" s="1"/>
      <c r="E61" s="1" t="s">
        <v>130</v>
      </c>
      <c r="F61" s="13">
        <v>0</v>
      </c>
      <c r="G61" s="14">
        <v>0</v>
      </c>
      <c r="H61" s="51"/>
    </row>
    <row r="62" spans="1:8" ht="14.1" customHeight="1" x14ac:dyDescent="0.2">
      <c r="A62" s="1"/>
      <c r="B62" s="1"/>
      <c r="C62" s="11"/>
      <c r="D62" s="1"/>
      <c r="E62" s="1"/>
      <c r="F62" s="12"/>
      <c r="G62" s="12"/>
      <c r="H62" s="51"/>
    </row>
    <row r="63" spans="1:8" ht="14.1" customHeight="1" x14ac:dyDescent="0.2">
      <c r="A63" s="1"/>
      <c r="B63" s="1"/>
      <c r="C63" s="2" t="s">
        <v>132</v>
      </c>
      <c r="D63" s="1"/>
      <c r="E63" s="1"/>
      <c r="F63" s="1"/>
      <c r="G63" s="1"/>
      <c r="H63" s="51"/>
    </row>
    <row r="64" spans="1:8" ht="14.1" customHeight="1" x14ac:dyDescent="0.2">
      <c r="A64" s="1"/>
      <c r="B64" s="1"/>
      <c r="C64" s="2" t="s">
        <v>129</v>
      </c>
      <c r="D64" s="1"/>
      <c r="E64" s="1" t="s">
        <v>130</v>
      </c>
      <c r="F64" s="13">
        <v>0</v>
      </c>
      <c r="G64" s="14">
        <v>0</v>
      </c>
      <c r="H64" s="51"/>
    </row>
    <row r="65" spans="1:8" ht="14.1" customHeight="1" x14ac:dyDescent="0.2">
      <c r="A65" s="1"/>
      <c r="B65" s="1"/>
      <c r="C65" s="11"/>
      <c r="D65" s="1"/>
      <c r="E65" s="1"/>
      <c r="F65" s="12"/>
      <c r="G65" s="12"/>
      <c r="H65" s="51"/>
    </row>
    <row r="66" spans="1:8" ht="14.1" customHeight="1" x14ac:dyDescent="0.2">
      <c r="A66" s="1"/>
      <c r="B66" s="1"/>
      <c r="C66" s="2" t="s">
        <v>133</v>
      </c>
      <c r="D66" s="1"/>
      <c r="E66" s="1"/>
      <c r="F66" s="1"/>
      <c r="G66" s="1"/>
      <c r="H66" s="51"/>
    </row>
    <row r="67" spans="1:8" ht="14.1" customHeight="1" x14ac:dyDescent="0.2">
      <c r="A67" s="1"/>
      <c r="B67" s="1"/>
      <c r="C67" s="2" t="s">
        <v>129</v>
      </c>
      <c r="D67" s="1"/>
      <c r="E67" s="1" t="s">
        <v>130</v>
      </c>
      <c r="F67" s="9">
        <v>0</v>
      </c>
      <c r="G67" s="10">
        <v>0</v>
      </c>
      <c r="H67" s="51"/>
    </row>
    <row r="68" spans="1:8" ht="14.1" customHeight="1" x14ac:dyDescent="0.2">
      <c r="A68" s="1"/>
      <c r="B68" s="1"/>
      <c r="C68" s="11"/>
      <c r="D68" s="1"/>
      <c r="E68" s="1"/>
      <c r="F68" s="12"/>
      <c r="G68" s="12"/>
      <c r="H68" s="51"/>
    </row>
    <row r="69" spans="1:8" ht="14.1" customHeight="1" x14ac:dyDescent="0.2">
      <c r="A69" s="1"/>
      <c r="B69" s="1"/>
      <c r="C69" s="2" t="s">
        <v>134</v>
      </c>
      <c r="D69" s="1"/>
      <c r="E69" s="1"/>
      <c r="F69" s="12"/>
      <c r="G69" s="12"/>
      <c r="H69" s="51"/>
    </row>
    <row r="70" spans="1:8" ht="14.1" customHeight="1" x14ac:dyDescent="0.2">
      <c r="A70" s="1"/>
      <c r="B70" s="1"/>
      <c r="C70" s="2" t="s">
        <v>129</v>
      </c>
      <c r="D70" s="1"/>
      <c r="E70" s="1" t="s">
        <v>130</v>
      </c>
      <c r="F70" s="13">
        <v>0</v>
      </c>
      <c r="G70" s="14">
        <v>0</v>
      </c>
      <c r="H70" s="51"/>
    </row>
    <row r="71" spans="1:8" ht="14.1" customHeight="1" x14ac:dyDescent="0.2">
      <c r="A71" s="1"/>
      <c r="B71" s="1"/>
      <c r="C71" s="11"/>
      <c r="D71" s="1"/>
      <c r="E71" s="1"/>
      <c r="F71" s="12"/>
      <c r="G71" s="12"/>
      <c r="H71" s="51"/>
    </row>
    <row r="72" spans="1:8" ht="14.1" customHeight="1" x14ac:dyDescent="0.2">
      <c r="A72" s="1"/>
      <c r="B72" s="1"/>
      <c r="C72" s="2" t="s">
        <v>135</v>
      </c>
      <c r="D72" s="1"/>
      <c r="E72" s="1"/>
      <c r="F72" s="12"/>
      <c r="G72" s="12"/>
      <c r="H72" s="51"/>
    </row>
    <row r="73" spans="1:8" ht="14.1" customHeight="1" x14ac:dyDescent="0.2">
      <c r="A73" s="1"/>
      <c r="B73" s="1"/>
      <c r="C73" s="2" t="s">
        <v>129</v>
      </c>
      <c r="D73" s="1"/>
      <c r="E73" s="1" t="s">
        <v>130</v>
      </c>
      <c r="F73" s="13">
        <v>0</v>
      </c>
      <c r="G73" s="14">
        <v>0</v>
      </c>
      <c r="H73" s="51"/>
    </row>
    <row r="74" spans="1:8" ht="14.1" customHeight="1" x14ac:dyDescent="0.2">
      <c r="A74" s="1"/>
      <c r="B74" s="1"/>
      <c r="C74" s="11"/>
      <c r="D74" s="1"/>
      <c r="E74" s="1"/>
      <c r="F74" s="12"/>
      <c r="G74" s="12"/>
      <c r="H74" s="51"/>
    </row>
    <row r="75" spans="1:8" ht="18" customHeight="1" x14ac:dyDescent="0.2">
      <c r="A75" s="1"/>
      <c r="B75" s="1"/>
      <c r="C75" s="2" t="s">
        <v>136</v>
      </c>
      <c r="D75" s="1"/>
      <c r="E75" s="1"/>
      <c r="F75" s="9">
        <v>8157.059287</v>
      </c>
      <c r="G75" s="10">
        <v>0.948615137</v>
      </c>
      <c r="H75" s="51"/>
    </row>
    <row r="76" spans="1:8" ht="14.1" customHeight="1" x14ac:dyDescent="0.2">
      <c r="A76" s="1"/>
      <c r="B76" s="1"/>
      <c r="C76" s="11"/>
      <c r="D76" s="1"/>
      <c r="E76" s="1"/>
      <c r="F76" s="12"/>
      <c r="G76" s="12"/>
      <c r="H76" s="51"/>
    </row>
    <row r="77" spans="1:8" ht="14.1" customHeight="1" x14ac:dyDescent="0.2">
      <c r="A77" s="1"/>
      <c r="B77" s="1"/>
      <c r="C77" s="2" t="s">
        <v>137</v>
      </c>
      <c r="D77" s="1"/>
      <c r="E77" s="1"/>
      <c r="F77" s="12"/>
      <c r="G77" s="12"/>
      <c r="H77" s="51"/>
    </row>
    <row r="78" spans="1:8" ht="24" customHeight="1" x14ac:dyDescent="0.2">
      <c r="A78" s="1"/>
      <c r="B78" s="1"/>
      <c r="C78" s="2" t="s">
        <v>10</v>
      </c>
      <c r="D78" s="1"/>
      <c r="E78" s="1"/>
      <c r="F78" s="12"/>
      <c r="G78" s="12"/>
      <c r="H78" s="51"/>
    </row>
    <row r="79" spans="1:8" ht="14.1" customHeight="1" x14ac:dyDescent="0.2">
      <c r="A79" s="1"/>
      <c r="B79" s="1"/>
      <c r="C79" s="2" t="s">
        <v>129</v>
      </c>
      <c r="D79" s="1"/>
      <c r="E79" s="1" t="s">
        <v>130</v>
      </c>
      <c r="F79" s="13">
        <v>0</v>
      </c>
      <c r="G79" s="14">
        <v>0</v>
      </c>
      <c r="H79" s="51"/>
    </row>
    <row r="80" spans="1:8" ht="14.1" customHeight="1" x14ac:dyDescent="0.2">
      <c r="A80" s="1"/>
      <c r="B80" s="1"/>
      <c r="C80" s="11"/>
      <c r="D80" s="1"/>
      <c r="E80" s="1"/>
      <c r="F80" s="12"/>
      <c r="G80" s="12"/>
      <c r="H80" s="51"/>
    </row>
    <row r="81" spans="1:8" ht="14.1" customHeight="1" x14ac:dyDescent="0.2">
      <c r="A81" s="1"/>
      <c r="B81" s="1"/>
      <c r="C81" s="2" t="s">
        <v>138</v>
      </c>
      <c r="D81" s="1"/>
      <c r="E81" s="1"/>
      <c r="F81" s="1"/>
      <c r="G81" s="1"/>
      <c r="H81" s="51"/>
    </row>
    <row r="82" spans="1:8" ht="14.1" customHeight="1" x14ac:dyDescent="0.2">
      <c r="A82" s="1"/>
      <c r="B82" s="1"/>
      <c r="C82" s="2" t="s">
        <v>129</v>
      </c>
      <c r="D82" s="1"/>
      <c r="E82" s="1" t="s">
        <v>130</v>
      </c>
      <c r="F82" s="13">
        <v>0</v>
      </c>
      <c r="G82" s="14">
        <v>0</v>
      </c>
      <c r="H82" s="51"/>
    </row>
    <row r="83" spans="1:8" ht="14.1" customHeight="1" x14ac:dyDescent="0.2">
      <c r="A83" s="1"/>
      <c r="B83" s="1"/>
      <c r="C83" s="11"/>
      <c r="D83" s="1"/>
      <c r="E83" s="1"/>
      <c r="F83" s="12"/>
      <c r="G83" s="12"/>
      <c r="H83" s="51"/>
    </row>
    <row r="84" spans="1:8" ht="14.1" customHeight="1" x14ac:dyDescent="0.2">
      <c r="A84" s="1"/>
      <c r="B84" s="1"/>
      <c r="C84" s="2" t="s">
        <v>139</v>
      </c>
      <c r="D84" s="1"/>
      <c r="E84" s="1"/>
      <c r="F84" s="1"/>
      <c r="G84" s="1"/>
      <c r="H84" s="51"/>
    </row>
    <row r="85" spans="1:8" ht="14.1" customHeight="1" x14ac:dyDescent="0.2">
      <c r="A85" s="1"/>
      <c r="B85" s="1"/>
      <c r="C85" s="2" t="s">
        <v>129</v>
      </c>
      <c r="D85" s="1"/>
      <c r="E85" s="1" t="s">
        <v>130</v>
      </c>
      <c r="F85" s="13">
        <v>0</v>
      </c>
      <c r="G85" s="14">
        <v>0</v>
      </c>
      <c r="H85" s="51"/>
    </row>
    <row r="86" spans="1:8" ht="14.1" customHeight="1" x14ac:dyDescent="0.2">
      <c r="A86" s="1"/>
      <c r="B86" s="1"/>
      <c r="C86" s="11"/>
      <c r="D86" s="1"/>
      <c r="E86" s="1"/>
      <c r="F86" s="12"/>
      <c r="G86" s="12"/>
      <c r="H86" s="51"/>
    </row>
    <row r="87" spans="1:8" ht="14.1" customHeight="1" x14ac:dyDescent="0.2">
      <c r="A87" s="1"/>
      <c r="B87" s="1"/>
      <c r="C87" s="2" t="s">
        <v>140</v>
      </c>
      <c r="D87" s="1"/>
      <c r="E87" s="1"/>
      <c r="F87" s="12"/>
      <c r="G87" s="12"/>
      <c r="H87" s="51"/>
    </row>
    <row r="88" spans="1:8" ht="14.1" customHeight="1" x14ac:dyDescent="0.2">
      <c r="A88" s="1"/>
      <c r="B88" s="1"/>
      <c r="C88" s="2" t="s">
        <v>129</v>
      </c>
      <c r="D88" s="1"/>
      <c r="E88" s="1" t="s">
        <v>130</v>
      </c>
      <c r="F88" s="13">
        <v>0</v>
      </c>
      <c r="G88" s="14">
        <v>0</v>
      </c>
      <c r="H88" s="51"/>
    </row>
    <row r="89" spans="1:8" ht="14.1" customHeight="1" x14ac:dyDescent="0.2">
      <c r="A89" s="1"/>
      <c r="B89" s="1"/>
      <c r="C89" s="11"/>
      <c r="D89" s="1"/>
      <c r="E89" s="1"/>
      <c r="F89" s="12"/>
      <c r="G89" s="12"/>
      <c r="H89" s="51"/>
    </row>
    <row r="90" spans="1:8" ht="14.1" customHeight="1" x14ac:dyDescent="0.2">
      <c r="A90" s="1"/>
      <c r="B90" s="1"/>
      <c r="C90" s="2" t="s">
        <v>141</v>
      </c>
      <c r="D90" s="1"/>
      <c r="E90" s="1"/>
      <c r="F90" s="9">
        <v>0</v>
      </c>
      <c r="G90" s="10">
        <v>0</v>
      </c>
      <c r="H90" s="51"/>
    </row>
    <row r="91" spans="1:8" ht="14.1" customHeight="1" x14ac:dyDescent="0.2">
      <c r="A91" s="1"/>
      <c r="B91" s="1"/>
      <c r="C91" s="11"/>
      <c r="D91" s="1"/>
      <c r="E91" s="1"/>
      <c r="F91" s="12"/>
      <c r="G91" s="12"/>
      <c r="H91" s="51"/>
    </row>
    <row r="92" spans="1:8" ht="14.1" customHeight="1" x14ac:dyDescent="0.2">
      <c r="A92" s="1"/>
      <c r="B92" s="1"/>
      <c r="C92" s="2" t="s">
        <v>142</v>
      </c>
      <c r="D92" s="1"/>
      <c r="E92" s="1"/>
      <c r="F92" s="12"/>
      <c r="G92" s="12"/>
      <c r="H92" s="51"/>
    </row>
    <row r="93" spans="1:8" ht="14.1" customHeight="1" x14ac:dyDescent="0.2">
      <c r="A93" s="1"/>
      <c r="B93" s="1"/>
      <c r="C93" s="2" t="s">
        <v>143</v>
      </c>
      <c r="D93" s="1"/>
      <c r="E93" s="1"/>
      <c r="F93" s="12"/>
      <c r="G93" s="12"/>
      <c r="H93" s="51"/>
    </row>
    <row r="94" spans="1:8" ht="14.1" customHeight="1" x14ac:dyDescent="0.2">
      <c r="A94" s="1"/>
      <c r="B94" s="1"/>
      <c r="C94" s="2" t="s">
        <v>129</v>
      </c>
      <c r="D94" s="1"/>
      <c r="E94" s="1" t="s">
        <v>130</v>
      </c>
      <c r="F94" s="13">
        <v>0</v>
      </c>
      <c r="G94" s="14">
        <v>0</v>
      </c>
      <c r="H94" s="51"/>
    </row>
    <row r="95" spans="1:8" ht="14.1" customHeight="1" x14ac:dyDescent="0.2">
      <c r="A95" s="1"/>
      <c r="B95" s="1"/>
      <c r="C95" s="11"/>
      <c r="D95" s="1"/>
      <c r="E95" s="1"/>
      <c r="F95" s="12"/>
      <c r="G95" s="12"/>
      <c r="H95" s="51"/>
    </row>
    <row r="96" spans="1:8" ht="14.1" customHeight="1" x14ac:dyDescent="0.2">
      <c r="A96" s="1"/>
      <c r="B96" s="1"/>
      <c r="C96" s="2" t="s">
        <v>144</v>
      </c>
      <c r="D96" s="1"/>
      <c r="E96" s="1"/>
      <c r="F96" s="12"/>
      <c r="G96" s="12"/>
      <c r="H96" s="51"/>
    </row>
    <row r="97" spans="1:8" ht="14.1" customHeight="1" x14ac:dyDescent="0.2">
      <c r="A97" s="1"/>
      <c r="B97" s="1"/>
      <c r="C97" s="2" t="s">
        <v>129</v>
      </c>
      <c r="D97" s="1"/>
      <c r="E97" s="1" t="s">
        <v>130</v>
      </c>
      <c r="F97" s="13">
        <v>0</v>
      </c>
      <c r="G97" s="14">
        <v>0</v>
      </c>
      <c r="H97" s="51"/>
    </row>
    <row r="98" spans="1:8" ht="14.1" customHeight="1" x14ac:dyDescent="0.2">
      <c r="A98" s="1"/>
      <c r="B98" s="1"/>
      <c r="C98" s="11"/>
      <c r="D98" s="1"/>
      <c r="E98" s="1"/>
      <c r="F98" s="12"/>
      <c r="G98" s="12"/>
      <c r="H98" s="51"/>
    </row>
    <row r="99" spans="1:8" ht="14.1" customHeight="1" x14ac:dyDescent="0.2">
      <c r="A99" s="1"/>
      <c r="B99" s="1"/>
      <c r="C99" s="2" t="s">
        <v>145</v>
      </c>
      <c r="D99" s="1"/>
      <c r="E99" s="1"/>
      <c r="F99" s="12"/>
      <c r="G99" s="12"/>
      <c r="H99" s="51"/>
    </row>
    <row r="100" spans="1:8" ht="14.1" customHeight="1" x14ac:dyDescent="0.2">
      <c r="A100" s="1"/>
      <c r="B100" s="1"/>
      <c r="C100" s="2" t="s">
        <v>129</v>
      </c>
      <c r="D100" s="1"/>
      <c r="E100" s="1" t="s">
        <v>130</v>
      </c>
      <c r="F100" s="13">
        <v>0</v>
      </c>
      <c r="G100" s="14">
        <v>0</v>
      </c>
      <c r="H100" s="51"/>
    </row>
    <row r="101" spans="1:8" ht="14.1" customHeight="1" x14ac:dyDescent="0.2">
      <c r="A101" s="1"/>
      <c r="B101" s="1"/>
      <c r="C101" s="11"/>
      <c r="D101" s="1"/>
      <c r="E101" s="1"/>
      <c r="F101" s="12"/>
      <c r="G101" s="12"/>
      <c r="H101" s="51"/>
    </row>
    <row r="102" spans="1:8" ht="14.1" customHeight="1" x14ac:dyDescent="0.2">
      <c r="A102" s="1"/>
      <c r="B102" s="1"/>
      <c r="C102" s="2" t="s">
        <v>146</v>
      </c>
      <c r="D102" s="1"/>
      <c r="E102" s="1"/>
      <c r="F102" s="12"/>
      <c r="G102" s="12"/>
      <c r="H102" s="51"/>
    </row>
    <row r="103" spans="1:8" ht="17.100000000000001" customHeight="1" x14ac:dyDescent="0.2">
      <c r="A103" s="3">
        <v>1</v>
      </c>
      <c r="B103" s="4"/>
      <c r="C103" s="4" t="s">
        <v>147</v>
      </c>
      <c r="D103" s="4"/>
      <c r="E103" s="8"/>
      <c r="F103" s="6">
        <v>447.15640889999997</v>
      </c>
      <c r="G103" s="7">
        <v>5.2001501999999998E-2</v>
      </c>
      <c r="H103" s="51">
        <v>6.1245112103248278</v>
      </c>
    </row>
    <row r="104" spans="1:8" ht="14.1" customHeight="1" x14ac:dyDescent="0.2">
      <c r="A104" s="1"/>
      <c r="B104" s="1"/>
      <c r="C104" s="2" t="s">
        <v>129</v>
      </c>
      <c r="D104" s="1"/>
      <c r="E104" s="1" t="s">
        <v>130</v>
      </c>
      <c r="F104" s="9">
        <v>447.15640889999997</v>
      </c>
      <c r="G104" s="10">
        <v>5.2001501999999998E-2</v>
      </c>
      <c r="H104" s="51"/>
    </row>
    <row r="105" spans="1:8" ht="14.1" customHeight="1" x14ac:dyDescent="0.2">
      <c r="A105" s="1"/>
      <c r="B105" s="1"/>
      <c r="C105" s="11"/>
      <c r="D105" s="1"/>
      <c r="E105" s="1"/>
      <c r="F105" s="12"/>
      <c r="G105" s="12"/>
      <c r="H105" s="51"/>
    </row>
    <row r="106" spans="1:8" ht="14.1" customHeight="1" x14ac:dyDescent="0.2">
      <c r="A106" s="1"/>
      <c r="B106" s="1"/>
      <c r="C106" s="2" t="s">
        <v>148</v>
      </c>
      <c r="D106" s="1"/>
      <c r="E106" s="1"/>
      <c r="F106" s="9">
        <v>447.15640889999997</v>
      </c>
      <c r="G106" s="10">
        <v>5.2001501999999998E-2</v>
      </c>
      <c r="H106" s="51"/>
    </row>
    <row r="107" spans="1:8" ht="14.1" customHeight="1" x14ac:dyDescent="0.2">
      <c r="A107" s="1"/>
      <c r="B107" s="1"/>
      <c r="C107" s="12"/>
      <c r="D107" s="1"/>
      <c r="E107" s="1"/>
      <c r="F107" s="1"/>
      <c r="G107" s="1"/>
      <c r="H107" s="51"/>
    </row>
    <row r="108" spans="1:8" ht="14.1" customHeight="1" x14ac:dyDescent="0.2">
      <c r="A108" s="1"/>
      <c r="B108" s="1"/>
      <c r="C108" s="2" t="s">
        <v>149</v>
      </c>
      <c r="D108" s="1"/>
      <c r="E108" s="1"/>
      <c r="F108" s="1"/>
      <c r="G108" s="1"/>
      <c r="H108" s="51"/>
    </row>
    <row r="109" spans="1:8" ht="14.1" customHeight="1" x14ac:dyDescent="0.2">
      <c r="A109" s="1"/>
      <c r="B109" s="1"/>
      <c r="C109" s="2" t="s">
        <v>150</v>
      </c>
      <c r="D109" s="1"/>
      <c r="E109" s="1"/>
      <c r="F109" s="1"/>
      <c r="G109" s="1"/>
      <c r="H109" s="51"/>
    </row>
    <row r="110" spans="1:8" ht="14.1" customHeight="1" x14ac:dyDescent="0.2">
      <c r="A110" s="1"/>
      <c r="B110" s="1"/>
      <c r="C110" s="2" t="s">
        <v>129</v>
      </c>
      <c r="D110" s="1"/>
      <c r="E110" s="1" t="s">
        <v>130</v>
      </c>
      <c r="F110" s="13">
        <v>0</v>
      </c>
      <c r="G110" s="14">
        <v>0</v>
      </c>
      <c r="H110" s="51"/>
    </row>
    <row r="111" spans="1:8" ht="14.1" customHeight="1" x14ac:dyDescent="0.2">
      <c r="A111" s="1"/>
      <c r="B111" s="1"/>
      <c r="C111" s="11"/>
      <c r="D111" s="1"/>
      <c r="E111" s="1"/>
      <c r="F111" s="12"/>
      <c r="G111" s="12"/>
      <c r="H111" s="51"/>
    </row>
    <row r="112" spans="1:8" ht="14.1" customHeight="1" x14ac:dyDescent="0.2">
      <c r="A112" s="1"/>
      <c r="B112" s="1"/>
      <c r="C112" s="2" t="s">
        <v>151</v>
      </c>
      <c r="D112" s="1"/>
      <c r="E112" s="1"/>
      <c r="F112" s="1"/>
      <c r="G112" s="1"/>
      <c r="H112" s="51"/>
    </row>
    <row r="113" spans="1:8" ht="14.1" customHeight="1" x14ac:dyDescent="0.2">
      <c r="A113" s="1"/>
      <c r="B113" s="1"/>
      <c r="C113" s="2" t="s">
        <v>152</v>
      </c>
      <c r="D113" s="1"/>
      <c r="E113" s="1"/>
      <c r="F113" s="1"/>
      <c r="G113" s="1"/>
      <c r="H113" s="51"/>
    </row>
    <row r="114" spans="1:8" ht="14.1" customHeight="1" x14ac:dyDescent="0.2">
      <c r="A114" s="1"/>
      <c r="B114" s="1"/>
      <c r="C114" s="2" t="s">
        <v>129</v>
      </c>
      <c r="D114" s="1"/>
      <c r="E114" s="1" t="s">
        <v>130</v>
      </c>
      <c r="F114" s="13">
        <v>0</v>
      </c>
      <c r="G114" s="14">
        <v>0</v>
      </c>
      <c r="H114" s="51"/>
    </row>
    <row r="115" spans="1:8" ht="14.1" customHeight="1" x14ac:dyDescent="0.2">
      <c r="A115" s="1"/>
      <c r="B115" s="1"/>
      <c r="C115" s="11"/>
      <c r="D115" s="1"/>
      <c r="E115" s="1"/>
      <c r="F115" s="12"/>
      <c r="G115" s="12"/>
      <c r="H115" s="51"/>
    </row>
    <row r="116" spans="1:8" ht="14.1" customHeight="1" x14ac:dyDescent="0.2">
      <c r="A116" s="1"/>
      <c r="B116" s="1"/>
      <c r="C116" s="11"/>
      <c r="D116" s="1"/>
      <c r="E116" s="1"/>
      <c r="F116" s="12"/>
      <c r="G116" s="12"/>
      <c r="H116" s="51"/>
    </row>
    <row r="117" spans="1:8" ht="24" customHeight="1" x14ac:dyDescent="0.2">
      <c r="A117" s="1"/>
      <c r="B117" s="1"/>
      <c r="C117" s="2" t="s">
        <v>153</v>
      </c>
      <c r="D117" s="1"/>
      <c r="E117" s="1"/>
      <c r="F117" s="12"/>
      <c r="G117" s="12"/>
      <c r="H117" s="51"/>
    </row>
    <row r="118" spans="1:8" ht="14.1" customHeight="1" x14ac:dyDescent="0.2">
      <c r="A118" s="1"/>
      <c r="B118" s="1"/>
      <c r="C118" s="2" t="s">
        <v>129</v>
      </c>
      <c r="D118" s="1"/>
      <c r="E118" s="1" t="s">
        <v>130</v>
      </c>
      <c r="F118" s="13">
        <v>0</v>
      </c>
      <c r="G118" s="14">
        <v>0</v>
      </c>
      <c r="H118" s="51"/>
    </row>
    <row r="119" spans="1:8" ht="14.1" customHeight="1" x14ac:dyDescent="0.2">
      <c r="A119" s="1"/>
      <c r="B119" s="1"/>
      <c r="C119" s="11"/>
      <c r="D119" s="1"/>
      <c r="E119" s="1"/>
      <c r="F119" s="12"/>
      <c r="G119" s="12"/>
      <c r="H119" s="51"/>
    </row>
    <row r="120" spans="1:8" ht="14.1" customHeight="1" x14ac:dyDescent="0.2">
      <c r="A120" s="1"/>
      <c r="B120" s="4"/>
      <c r="C120" s="4"/>
      <c r="D120" s="2"/>
      <c r="E120" s="1"/>
      <c r="F120" s="4"/>
      <c r="G120" s="8"/>
      <c r="H120" s="51"/>
    </row>
    <row r="121" spans="1:8" ht="18" customHeight="1" x14ac:dyDescent="0.2">
      <c r="A121" s="8"/>
      <c r="B121" s="4"/>
      <c r="C121" s="4" t="s">
        <v>154</v>
      </c>
      <c r="D121" s="4"/>
      <c r="E121" s="8"/>
      <c r="F121" s="6">
        <v>-5.3024274900000004</v>
      </c>
      <c r="G121" s="7">
        <v>-6.1663899999999999E-4</v>
      </c>
      <c r="H121" s="51"/>
    </row>
    <row r="122" spans="1:8" ht="14.1" customHeight="1" x14ac:dyDescent="0.2">
      <c r="A122" s="11"/>
      <c r="B122" s="11"/>
      <c r="C122" s="2" t="s">
        <v>155</v>
      </c>
      <c r="D122" s="15"/>
      <c r="E122" s="15"/>
      <c r="F122" s="9">
        <v>8598.9132684100005</v>
      </c>
      <c r="G122" s="10">
        <v>1</v>
      </c>
      <c r="H122" s="51"/>
    </row>
    <row r="123" spans="1:8" ht="14.1" customHeight="1" x14ac:dyDescent="0.2">
      <c r="A123" s="16"/>
      <c r="B123" s="16"/>
      <c r="C123" s="16"/>
      <c r="D123" s="17"/>
      <c r="E123" s="17"/>
      <c r="F123" s="17"/>
      <c r="G123" s="17"/>
    </row>
    <row r="124" spans="1:8" ht="14.1" customHeight="1" x14ac:dyDescent="0.2">
      <c r="A124" s="18"/>
      <c r="B124" s="18"/>
      <c r="C124" s="18"/>
      <c r="D124" s="20"/>
      <c r="E124" s="20"/>
      <c r="F124" s="20"/>
      <c r="G124" s="20"/>
    </row>
    <row r="125" spans="1:8" ht="14.1" customHeight="1" x14ac:dyDescent="0.2">
      <c r="A125" s="18"/>
      <c r="B125" s="325" t="s">
        <v>157</v>
      </c>
      <c r="C125" s="326"/>
      <c r="D125" s="12" t="s">
        <v>130</v>
      </c>
      <c r="E125" s="21"/>
      <c r="F125" s="20"/>
      <c r="G125" s="20"/>
    </row>
    <row r="126" spans="1:8" ht="29.1" customHeight="1" x14ac:dyDescent="0.2">
      <c r="A126" s="18"/>
      <c r="B126" s="318" t="s">
        <v>158</v>
      </c>
      <c r="C126" s="319"/>
      <c r="D126" s="2" t="s">
        <v>159</v>
      </c>
      <c r="E126" s="21"/>
      <c r="F126" s="20"/>
      <c r="G126" s="20"/>
    </row>
    <row r="127" spans="1:8" ht="17.100000000000001" customHeight="1" x14ac:dyDescent="0.2">
      <c r="A127" s="18"/>
      <c r="B127" s="318" t="s">
        <v>160</v>
      </c>
      <c r="C127" s="319"/>
      <c r="D127" s="2" t="s">
        <v>159</v>
      </c>
      <c r="E127" s="21"/>
      <c r="F127" s="20"/>
      <c r="G127" s="20"/>
    </row>
    <row r="128" spans="1:8" ht="17.100000000000001" customHeight="1" x14ac:dyDescent="0.2">
      <c r="A128" s="18"/>
      <c r="B128" s="318" t="s">
        <v>161</v>
      </c>
      <c r="C128" s="319"/>
      <c r="D128" s="12" t="s">
        <v>130</v>
      </c>
      <c r="E128" s="21"/>
      <c r="F128" s="20"/>
      <c r="G128" s="20"/>
    </row>
    <row r="129" spans="1:15" ht="24" customHeight="1" x14ac:dyDescent="0.2">
      <c r="A129" s="22"/>
      <c r="B129" s="23" t="s">
        <v>130</v>
      </c>
      <c r="C129" s="23" t="s">
        <v>162</v>
      </c>
      <c r="D129" s="23" t="s">
        <v>163</v>
      </c>
      <c r="E129" s="22"/>
      <c r="F129" s="22"/>
      <c r="G129" s="22"/>
    </row>
    <row r="130" spans="1:15" ht="18" customHeight="1" x14ac:dyDescent="0.2">
      <c r="A130" s="22"/>
      <c r="B130" s="23" t="s">
        <v>164</v>
      </c>
      <c r="C130" s="23" t="s">
        <v>165</v>
      </c>
      <c r="D130" s="23" t="s">
        <v>166</v>
      </c>
      <c r="E130" s="22"/>
      <c r="F130" s="22"/>
      <c r="G130" s="22"/>
    </row>
    <row r="131" spans="1:15" ht="17.100000000000001" customHeight="1" x14ac:dyDescent="0.2">
      <c r="A131" s="22"/>
      <c r="B131" s="4" t="s">
        <v>167</v>
      </c>
      <c r="C131" s="24">
        <v>18.076899999999998</v>
      </c>
      <c r="D131" s="24">
        <v>17.6632</v>
      </c>
      <c r="E131" s="22"/>
      <c r="F131" s="19"/>
      <c r="G131" s="25"/>
    </row>
    <row r="132" spans="1:15" ht="17.100000000000001" customHeight="1" x14ac:dyDescent="0.2">
      <c r="A132" s="22"/>
      <c r="B132" s="4" t="s">
        <v>1067</v>
      </c>
      <c r="C132" s="24">
        <v>17.204499999999999</v>
      </c>
      <c r="D132" s="24">
        <v>16.8108</v>
      </c>
      <c r="E132" s="22"/>
      <c r="F132" s="19"/>
      <c r="G132" s="25"/>
    </row>
    <row r="133" spans="1:15" ht="17.100000000000001" customHeight="1" x14ac:dyDescent="0.2">
      <c r="A133" s="22"/>
      <c r="B133" s="4" t="s">
        <v>168</v>
      </c>
      <c r="C133" s="24">
        <v>17.635100000000001</v>
      </c>
      <c r="D133" s="24">
        <v>17.223600000000001</v>
      </c>
      <c r="E133" s="22"/>
      <c r="F133" s="19"/>
      <c r="G133" s="25"/>
    </row>
    <row r="134" spans="1:15" ht="17.100000000000001" customHeight="1" x14ac:dyDescent="0.2">
      <c r="A134" s="22"/>
      <c r="B134" s="4" t="s">
        <v>1068</v>
      </c>
      <c r="C134" s="24">
        <v>16.976500000000001</v>
      </c>
      <c r="D134" s="24">
        <v>16.580400000000001</v>
      </c>
      <c r="E134" s="22"/>
      <c r="F134" s="19"/>
      <c r="G134" s="25"/>
    </row>
    <row r="135" spans="1:15" ht="14.1" customHeight="1" x14ac:dyDescent="0.2">
      <c r="A135" s="22"/>
      <c r="B135" s="22"/>
      <c r="C135" s="22"/>
      <c r="D135" s="22"/>
      <c r="E135" s="22"/>
      <c r="F135" s="22"/>
      <c r="G135" s="22"/>
    </row>
    <row r="136" spans="1:15" ht="17.100000000000001" customHeight="1" x14ac:dyDescent="0.2">
      <c r="A136" s="22"/>
      <c r="B136" s="318" t="s">
        <v>1069</v>
      </c>
      <c r="C136" s="319"/>
      <c r="D136" s="111" t="s">
        <v>159</v>
      </c>
      <c r="E136" s="22"/>
      <c r="F136" s="22"/>
      <c r="G136" s="22"/>
    </row>
    <row r="137" spans="1:15" ht="18" customHeight="1" x14ac:dyDescent="0.2">
      <c r="A137" s="22"/>
      <c r="B137" s="26"/>
      <c r="C137" s="26"/>
      <c r="D137" s="27"/>
      <c r="E137" s="22"/>
      <c r="F137" s="22"/>
      <c r="G137" s="22"/>
    </row>
    <row r="138" spans="1:15" ht="29.1" customHeight="1" x14ac:dyDescent="0.2">
      <c r="A138" s="22"/>
      <c r="B138" s="318" t="s">
        <v>169</v>
      </c>
      <c r="C138" s="319"/>
      <c r="D138" s="2" t="s">
        <v>159</v>
      </c>
      <c r="E138" s="22"/>
      <c r="F138" s="22"/>
      <c r="G138" s="22"/>
    </row>
    <row r="139" spans="1:15" ht="29.1" customHeight="1" x14ac:dyDescent="0.2">
      <c r="A139" s="22"/>
      <c r="B139" s="318" t="s">
        <v>170</v>
      </c>
      <c r="C139" s="319"/>
      <c r="D139" s="2" t="s">
        <v>159</v>
      </c>
      <c r="E139" s="22"/>
      <c r="F139" s="22"/>
      <c r="G139" s="22"/>
    </row>
    <row r="140" spans="1:15" ht="17.100000000000001" customHeight="1" x14ac:dyDescent="0.2">
      <c r="A140" s="22"/>
      <c r="B140" s="318" t="s">
        <v>171</v>
      </c>
      <c r="C140" s="319"/>
      <c r="D140" s="28">
        <v>0.2378841368481357</v>
      </c>
      <c r="E140" s="22"/>
      <c r="F140" s="19"/>
      <c r="G140" s="25"/>
      <c r="J140" s="158"/>
      <c r="K140" s="158"/>
      <c r="L140" s="158"/>
      <c r="M140" s="158"/>
      <c r="N140" s="158"/>
      <c r="O140" s="158"/>
    </row>
    <row r="141" spans="1:15" ht="17.100000000000001" customHeight="1" x14ac:dyDescent="0.2">
      <c r="A141" s="22"/>
      <c r="B141" s="318" t="s">
        <v>172</v>
      </c>
      <c r="C141" s="319"/>
      <c r="D141" s="2" t="s">
        <v>159</v>
      </c>
      <c r="E141" s="22"/>
      <c r="F141" s="22"/>
      <c r="G141" s="22"/>
    </row>
  </sheetData>
  <mergeCells count="13">
    <mergeCell ref="A1:H1"/>
    <mergeCell ref="A2:H2"/>
    <mergeCell ref="A3:H3"/>
    <mergeCell ref="B140:C140"/>
    <mergeCell ref="J2:N2"/>
    <mergeCell ref="B125:C125"/>
    <mergeCell ref="B141:C141"/>
    <mergeCell ref="B126:C126"/>
    <mergeCell ref="B127:C127"/>
    <mergeCell ref="B128:C128"/>
    <mergeCell ref="B136:C136"/>
    <mergeCell ref="B138:C138"/>
    <mergeCell ref="B139:C139"/>
  </mergeCells>
  <hyperlinks>
    <hyperlink ref="I1" location="Index!B6" display="Index" xr:uid="{04D23A56-0C4D-41DF-9049-54EA9A8691E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O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346</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14</v>
      </c>
      <c r="C7" s="4" t="s">
        <v>15</v>
      </c>
      <c r="D7" s="4" t="s">
        <v>16</v>
      </c>
      <c r="E7" s="5">
        <v>4495006</v>
      </c>
      <c r="F7" s="6">
        <v>38746.951719999997</v>
      </c>
      <c r="G7" s="7">
        <v>7.6126071000000003E-2</v>
      </c>
      <c r="H7" s="51"/>
    </row>
    <row r="8" spans="1:14" ht="17.100000000000001" customHeight="1" x14ac:dyDescent="0.2">
      <c r="A8" s="3">
        <v>2</v>
      </c>
      <c r="B8" s="4" t="s">
        <v>20</v>
      </c>
      <c r="C8" s="4" t="s">
        <v>21</v>
      </c>
      <c r="D8" s="4" t="s">
        <v>22</v>
      </c>
      <c r="E8" s="5">
        <v>870000</v>
      </c>
      <c r="F8" s="6">
        <v>20686.424999999999</v>
      </c>
      <c r="G8" s="7">
        <v>4.0642585000000002E-2</v>
      </c>
      <c r="H8" s="51"/>
    </row>
    <row r="9" spans="1:14" ht="17.100000000000001" customHeight="1" x14ac:dyDescent="0.2">
      <c r="A9" s="3">
        <v>3</v>
      </c>
      <c r="B9" s="4" t="s">
        <v>269</v>
      </c>
      <c r="C9" s="4" t="s">
        <v>270</v>
      </c>
      <c r="D9" s="4" t="s">
        <v>16</v>
      </c>
      <c r="E9" s="5">
        <v>1323852</v>
      </c>
      <c r="F9" s="6">
        <v>18816.570402000001</v>
      </c>
      <c r="G9" s="7">
        <v>3.6968884E-2</v>
      </c>
      <c r="H9" s="51"/>
    </row>
    <row r="10" spans="1:14" ht="17.100000000000001" customHeight="1" x14ac:dyDescent="0.2">
      <c r="A10" s="3">
        <v>4</v>
      </c>
      <c r="B10" s="4" t="s">
        <v>296</v>
      </c>
      <c r="C10" s="4" t="s">
        <v>297</v>
      </c>
      <c r="D10" s="4" t="s">
        <v>223</v>
      </c>
      <c r="E10" s="5">
        <v>1279690</v>
      </c>
      <c r="F10" s="6">
        <v>18087.778305</v>
      </c>
      <c r="G10" s="7">
        <v>3.5537027999999998E-2</v>
      </c>
      <c r="H10" s="51"/>
    </row>
    <row r="11" spans="1:14" ht="17.100000000000001" customHeight="1" x14ac:dyDescent="0.2">
      <c r="A11" s="3">
        <v>5</v>
      </c>
      <c r="B11" s="4" t="s">
        <v>261</v>
      </c>
      <c r="C11" s="4" t="s">
        <v>262</v>
      </c>
      <c r="D11" s="4" t="s">
        <v>97</v>
      </c>
      <c r="E11" s="5">
        <v>826720</v>
      </c>
      <c r="F11" s="6">
        <v>13875.25512</v>
      </c>
      <c r="G11" s="7">
        <v>2.7260691E-2</v>
      </c>
      <c r="H11" s="51"/>
    </row>
    <row r="12" spans="1:14" ht="17.100000000000001" customHeight="1" x14ac:dyDescent="0.2">
      <c r="A12" s="3">
        <v>6</v>
      </c>
      <c r="B12" s="4" t="s">
        <v>179</v>
      </c>
      <c r="C12" s="4" t="s">
        <v>180</v>
      </c>
      <c r="D12" s="4" t="s">
        <v>181</v>
      </c>
      <c r="E12" s="5">
        <v>1324558</v>
      </c>
      <c r="F12" s="6">
        <v>13831.034636</v>
      </c>
      <c r="G12" s="7">
        <v>2.7173810999999999E-2</v>
      </c>
      <c r="H12" s="51"/>
    </row>
    <row r="13" spans="1:14" ht="17.100000000000001" customHeight="1" x14ac:dyDescent="0.2">
      <c r="A13" s="3">
        <v>7</v>
      </c>
      <c r="B13" s="4" t="s">
        <v>11</v>
      </c>
      <c r="C13" s="4" t="s">
        <v>12</v>
      </c>
      <c r="D13" s="4" t="s">
        <v>13</v>
      </c>
      <c r="E13" s="5">
        <v>687821</v>
      </c>
      <c r="F13" s="6">
        <v>12708.868617</v>
      </c>
      <c r="G13" s="7">
        <v>2.4969093000000001E-2</v>
      </c>
      <c r="H13" s="51"/>
      <c r="J13" s="157" t="s">
        <v>1095</v>
      </c>
    </row>
    <row r="14" spans="1:14" ht="17.100000000000001" customHeight="1" x14ac:dyDescent="0.2">
      <c r="A14" s="3">
        <v>8</v>
      </c>
      <c r="B14" s="4" t="s">
        <v>41</v>
      </c>
      <c r="C14" s="4" t="s">
        <v>42</v>
      </c>
      <c r="D14" s="4" t="s">
        <v>16</v>
      </c>
      <c r="E14" s="5">
        <v>2191327</v>
      </c>
      <c r="F14" s="6">
        <v>11627.181062</v>
      </c>
      <c r="G14" s="7">
        <v>2.2843902999999999E-2</v>
      </c>
      <c r="H14" s="51"/>
    </row>
    <row r="15" spans="1:14" ht="17.100000000000001" customHeight="1" x14ac:dyDescent="0.2">
      <c r="A15" s="3">
        <v>9</v>
      </c>
      <c r="B15" s="4" t="s">
        <v>195</v>
      </c>
      <c r="C15" s="4" t="s">
        <v>196</v>
      </c>
      <c r="D15" s="4" t="s">
        <v>16</v>
      </c>
      <c r="E15" s="5">
        <v>1371950</v>
      </c>
      <c r="F15" s="6">
        <v>10059.1374</v>
      </c>
      <c r="G15" s="7">
        <v>1.976317E-2</v>
      </c>
      <c r="H15" s="51"/>
    </row>
    <row r="16" spans="1:14" ht="17.100000000000001" customHeight="1" x14ac:dyDescent="0.2">
      <c r="A16" s="3">
        <v>10</v>
      </c>
      <c r="B16" s="4" t="s">
        <v>34</v>
      </c>
      <c r="C16" s="4" t="s">
        <v>35</v>
      </c>
      <c r="D16" s="4" t="s">
        <v>36</v>
      </c>
      <c r="E16" s="5">
        <v>321054</v>
      </c>
      <c r="F16" s="6">
        <v>9915.4317360000005</v>
      </c>
      <c r="G16" s="7">
        <v>1.9480832E-2</v>
      </c>
      <c r="H16" s="51"/>
    </row>
    <row r="17" spans="1:10" ht="53.1" customHeight="1" x14ac:dyDescent="0.2">
      <c r="A17" s="3">
        <v>11</v>
      </c>
      <c r="B17" s="4" t="s">
        <v>43</v>
      </c>
      <c r="C17" s="4" t="s">
        <v>44</v>
      </c>
      <c r="D17" s="4" t="s">
        <v>45</v>
      </c>
      <c r="E17" s="5">
        <v>6352636</v>
      </c>
      <c r="F17" s="6">
        <v>9697.2988540000006</v>
      </c>
      <c r="G17" s="7">
        <v>1.9052267000000001E-2</v>
      </c>
      <c r="H17" s="51"/>
    </row>
    <row r="18" spans="1:10" ht="17.100000000000001" customHeight="1" x14ac:dyDescent="0.2">
      <c r="A18" s="3">
        <v>12</v>
      </c>
      <c r="B18" s="4" t="s">
        <v>347</v>
      </c>
      <c r="C18" s="4" t="s">
        <v>348</v>
      </c>
      <c r="D18" s="4" t="s">
        <v>16</v>
      </c>
      <c r="E18" s="5">
        <v>3875118</v>
      </c>
      <c r="F18" s="6">
        <v>8864.3324250000005</v>
      </c>
      <c r="G18" s="7">
        <v>1.7415739E-2</v>
      </c>
      <c r="H18" s="51"/>
    </row>
    <row r="19" spans="1:10" ht="29.1" customHeight="1" x14ac:dyDescent="0.2">
      <c r="A19" s="3">
        <v>13</v>
      </c>
      <c r="B19" s="4" t="s">
        <v>298</v>
      </c>
      <c r="C19" s="4" t="s">
        <v>299</v>
      </c>
      <c r="D19" s="4" t="s">
        <v>97</v>
      </c>
      <c r="E19" s="5">
        <v>384006</v>
      </c>
      <c r="F19" s="6">
        <v>8785.0972650000003</v>
      </c>
      <c r="G19" s="7">
        <v>1.7260066000000001E-2</v>
      </c>
      <c r="H19" s="51"/>
    </row>
    <row r="20" spans="1:10" ht="17.100000000000001" customHeight="1" x14ac:dyDescent="0.2">
      <c r="A20" s="3">
        <v>14</v>
      </c>
      <c r="B20" s="4" t="s">
        <v>109</v>
      </c>
      <c r="C20" s="4" t="s">
        <v>110</v>
      </c>
      <c r="D20" s="4" t="s">
        <v>72</v>
      </c>
      <c r="E20" s="5">
        <v>1871318</v>
      </c>
      <c r="F20" s="6">
        <v>8678.2372250000008</v>
      </c>
      <c r="G20" s="7">
        <v>1.7050118E-2</v>
      </c>
      <c r="H20" s="51"/>
    </row>
    <row r="21" spans="1:10" ht="17.100000000000001" customHeight="1" x14ac:dyDescent="0.2">
      <c r="A21" s="3">
        <v>15</v>
      </c>
      <c r="B21" s="4" t="s">
        <v>271</v>
      </c>
      <c r="C21" s="4" t="s">
        <v>272</v>
      </c>
      <c r="D21" s="4" t="s">
        <v>72</v>
      </c>
      <c r="E21" s="5">
        <v>1535229</v>
      </c>
      <c r="F21" s="6">
        <v>8583.4653390000003</v>
      </c>
      <c r="G21" s="7">
        <v>1.6863920000000001E-2</v>
      </c>
      <c r="H21" s="51"/>
    </row>
    <row r="22" spans="1:10" ht="17.100000000000001" customHeight="1" x14ac:dyDescent="0.2">
      <c r="A22" s="3">
        <v>16</v>
      </c>
      <c r="B22" s="4" t="s">
        <v>228</v>
      </c>
      <c r="C22" s="4" t="s">
        <v>229</v>
      </c>
      <c r="D22" s="4" t="s">
        <v>31</v>
      </c>
      <c r="E22" s="5">
        <v>374960</v>
      </c>
      <c r="F22" s="6">
        <v>8370.7945199999995</v>
      </c>
      <c r="G22" s="7">
        <v>1.6446085999999999E-2</v>
      </c>
      <c r="H22" s="51"/>
      <c r="J22" s="157" t="s">
        <v>1096</v>
      </c>
    </row>
    <row r="23" spans="1:10" ht="17.100000000000001" customHeight="1" x14ac:dyDescent="0.2">
      <c r="A23" s="3">
        <v>17</v>
      </c>
      <c r="B23" s="4" t="s">
        <v>349</v>
      </c>
      <c r="C23" s="4" t="s">
        <v>350</v>
      </c>
      <c r="D23" s="4" t="s">
        <v>97</v>
      </c>
      <c r="E23" s="5">
        <v>113013</v>
      </c>
      <c r="F23" s="6">
        <v>8290.3511474999996</v>
      </c>
      <c r="G23" s="7">
        <v>1.6288039000000001E-2</v>
      </c>
      <c r="H23" s="51"/>
    </row>
    <row r="24" spans="1:10" ht="29.1" customHeight="1" x14ac:dyDescent="0.2">
      <c r="A24" s="3">
        <v>18</v>
      </c>
      <c r="B24" s="4" t="s">
        <v>185</v>
      </c>
      <c r="C24" s="4" t="s">
        <v>186</v>
      </c>
      <c r="D24" s="4" t="s">
        <v>104</v>
      </c>
      <c r="E24" s="5">
        <v>1981839</v>
      </c>
      <c r="F24" s="6">
        <v>8163.1948410000005</v>
      </c>
      <c r="G24" s="7">
        <v>1.6038215000000001E-2</v>
      </c>
      <c r="H24" s="51"/>
    </row>
    <row r="25" spans="1:10" ht="17.100000000000001" customHeight="1" x14ac:dyDescent="0.2">
      <c r="A25" s="3">
        <v>19</v>
      </c>
      <c r="B25" s="4" t="s">
        <v>293</v>
      </c>
      <c r="C25" s="4" t="s">
        <v>294</v>
      </c>
      <c r="D25" s="4" t="s">
        <v>104</v>
      </c>
      <c r="E25" s="5">
        <v>184208</v>
      </c>
      <c r="F25" s="6">
        <v>8052.8369279999997</v>
      </c>
      <c r="G25" s="7">
        <v>1.5821394999999999E-2</v>
      </c>
      <c r="H25" s="51"/>
    </row>
    <row r="26" spans="1:10" ht="17.100000000000001" customHeight="1" x14ac:dyDescent="0.2">
      <c r="A26" s="3">
        <v>20</v>
      </c>
      <c r="B26" s="4" t="s">
        <v>17</v>
      </c>
      <c r="C26" s="4" t="s">
        <v>18</v>
      </c>
      <c r="D26" s="4" t="s">
        <v>19</v>
      </c>
      <c r="E26" s="5">
        <v>1002403</v>
      </c>
      <c r="F26" s="6">
        <v>8018.2215969999997</v>
      </c>
      <c r="G26" s="7">
        <v>1.5753387000000001E-2</v>
      </c>
      <c r="H26" s="51"/>
    </row>
    <row r="27" spans="1:10" ht="17.100000000000001" customHeight="1" x14ac:dyDescent="0.2">
      <c r="A27" s="3">
        <v>21</v>
      </c>
      <c r="B27" s="4" t="s">
        <v>70</v>
      </c>
      <c r="C27" s="4" t="s">
        <v>71</v>
      </c>
      <c r="D27" s="4" t="s">
        <v>72</v>
      </c>
      <c r="E27" s="5">
        <v>249234</v>
      </c>
      <c r="F27" s="6">
        <v>8006.2683989999996</v>
      </c>
      <c r="G27" s="7">
        <v>1.5729902E-2</v>
      </c>
      <c r="H27" s="51"/>
    </row>
    <row r="28" spans="1:10" ht="17.100000000000001" customHeight="1" x14ac:dyDescent="0.2">
      <c r="A28" s="3">
        <v>22</v>
      </c>
      <c r="B28" s="4" t="s">
        <v>233</v>
      </c>
      <c r="C28" s="4" t="s">
        <v>234</v>
      </c>
      <c r="D28" s="4" t="s">
        <v>235</v>
      </c>
      <c r="E28" s="5">
        <v>997049</v>
      </c>
      <c r="F28" s="6">
        <v>7603.4956739999998</v>
      </c>
      <c r="G28" s="7">
        <v>1.4938575000000001E-2</v>
      </c>
      <c r="H28" s="51"/>
    </row>
    <row r="29" spans="1:10" ht="17.100000000000001" customHeight="1" x14ac:dyDescent="0.2">
      <c r="A29" s="3">
        <v>23</v>
      </c>
      <c r="B29" s="4" t="s">
        <v>351</v>
      </c>
      <c r="C29" s="4" t="s">
        <v>352</v>
      </c>
      <c r="D29" s="4" t="s">
        <v>31</v>
      </c>
      <c r="E29" s="5">
        <v>856506</v>
      </c>
      <c r="F29" s="6">
        <v>7490.1449700000003</v>
      </c>
      <c r="G29" s="7">
        <v>1.4715875E-2</v>
      </c>
      <c r="H29" s="51"/>
    </row>
    <row r="30" spans="1:10" ht="17.100000000000001" customHeight="1" x14ac:dyDescent="0.2">
      <c r="A30" s="3">
        <v>24</v>
      </c>
      <c r="B30" s="4" t="s">
        <v>49</v>
      </c>
      <c r="C30" s="4" t="s">
        <v>50</v>
      </c>
      <c r="D30" s="4" t="s">
        <v>51</v>
      </c>
      <c r="E30" s="5">
        <v>1015161</v>
      </c>
      <c r="F30" s="6">
        <v>7224.3932564999996</v>
      </c>
      <c r="G30" s="7">
        <v>1.4193753E-2</v>
      </c>
      <c r="H30" s="51"/>
    </row>
    <row r="31" spans="1:10" ht="29.1" customHeight="1" x14ac:dyDescent="0.2">
      <c r="A31" s="3">
        <v>25</v>
      </c>
      <c r="B31" s="4" t="s">
        <v>353</v>
      </c>
      <c r="C31" s="4" t="s">
        <v>354</v>
      </c>
      <c r="D31" s="4" t="s">
        <v>203</v>
      </c>
      <c r="E31" s="5">
        <v>187233</v>
      </c>
      <c r="F31" s="6">
        <v>6937.3571160000001</v>
      </c>
      <c r="G31" s="7">
        <v>1.3629814000000001E-2</v>
      </c>
      <c r="H31" s="51"/>
    </row>
    <row r="32" spans="1:10" ht="17.100000000000001" customHeight="1" x14ac:dyDescent="0.2">
      <c r="A32" s="3">
        <v>26</v>
      </c>
      <c r="B32" s="4" t="s">
        <v>107</v>
      </c>
      <c r="C32" s="4" t="s">
        <v>108</v>
      </c>
      <c r="D32" s="4" t="s">
        <v>92</v>
      </c>
      <c r="E32" s="5">
        <v>751652</v>
      </c>
      <c r="F32" s="6">
        <v>6898.6620560000001</v>
      </c>
      <c r="G32" s="7">
        <v>1.355379E-2</v>
      </c>
      <c r="H32" s="51"/>
    </row>
    <row r="33" spans="1:8" ht="17.100000000000001" customHeight="1" x14ac:dyDescent="0.2">
      <c r="A33" s="3">
        <v>27</v>
      </c>
      <c r="B33" s="4" t="s">
        <v>39</v>
      </c>
      <c r="C33" s="4" t="s">
        <v>40</v>
      </c>
      <c r="D33" s="4" t="s">
        <v>31</v>
      </c>
      <c r="E33" s="5">
        <v>261885</v>
      </c>
      <c r="F33" s="6">
        <v>6706.2201375000004</v>
      </c>
      <c r="G33" s="7">
        <v>1.31757E-2</v>
      </c>
      <c r="H33" s="51"/>
    </row>
    <row r="34" spans="1:8" ht="17.100000000000001" customHeight="1" x14ac:dyDescent="0.2">
      <c r="A34" s="3">
        <v>28</v>
      </c>
      <c r="B34" s="4" t="s">
        <v>308</v>
      </c>
      <c r="C34" s="4" t="s">
        <v>309</v>
      </c>
      <c r="D34" s="4" t="s">
        <v>310</v>
      </c>
      <c r="E34" s="5">
        <v>241253</v>
      </c>
      <c r="F34" s="6">
        <v>6505.2665184999996</v>
      </c>
      <c r="G34" s="7">
        <v>1.2780886E-2</v>
      </c>
      <c r="H34" s="51"/>
    </row>
    <row r="35" spans="1:8" ht="17.100000000000001" customHeight="1" x14ac:dyDescent="0.2">
      <c r="A35" s="3">
        <v>29</v>
      </c>
      <c r="B35" s="4" t="s">
        <v>115</v>
      </c>
      <c r="C35" s="4" t="s">
        <v>116</v>
      </c>
      <c r="D35" s="4" t="s">
        <v>117</v>
      </c>
      <c r="E35" s="5">
        <v>1649310</v>
      </c>
      <c r="F35" s="6">
        <v>6441.3802050000004</v>
      </c>
      <c r="G35" s="7">
        <v>1.2655369E-2</v>
      </c>
      <c r="H35" s="51"/>
    </row>
    <row r="36" spans="1:8" ht="29.1" customHeight="1" x14ac:dyDescent="0.2">
      <c r="A36" s="3">
        <v>30</v>
      </c>
      <c r="B36" s="4" t="s">
        <v>182</v>
      </c>
      <c r="C36" s="4" t="s">
        <v>183</v>
      </c>
      <c r="D36" s="4" t="s">
        <v>184</v>
      </c>
      <c r="E36" s="5">
        <v>140588</v>
      </c>
      <c r="F36" s="6">
        <v>6313.5961980000002</v>
      </c>
      <c r="G36" s="7">
        <v>1.2404312000000001E-2</v>
      </c>
      <c r="H36" s="51"/>
    </row>
    <row r="37" spans="1:8" ht="29.1" customHeight="1" x14ac:dyDescent="0.2">
      <c r="A37" s="3">
        <v>31</v>
      </c>
      <c r="B37" s="4" t="s">
        <v>304</v>
      </c>
      <c r="C37" s="4" t="s">
        <v>305</v>
      </c>
      <c r="D37" s="4" t="s">
        <v>203</v>
      </c>
      <c r="E37" s="5">
        <v>622280</v>
      </c>
      <c r="F37" s="6">
        <v>5903.2592199999999</v>
      </c>
      <c r="G37" s="7">
        <v>1.1598124E-2</v>
      </c>
      <c r="H37" s="51"/>
    </row>
    <row r="38" spans="1:8" ht="17.100000000000001" customHeight="1" x14ac:dyDescent="0.2">
      <c r="A38" s="3">
        <v>32</v>
      </c>
      <c r="B38" s="4" t="s">
        <v>199</v>
      </c>
      <c r="C38" s="4" t="s">
        <v>200</v>
      </c>
      <c r="D38" s="4" t="s">
        <v>16</v>
      </c>
      <c r="E38" s="5">
        <v>4445537</v>
      </c>
      <c r="F38" s="6">
        <v>5885.8909880000001</v>
      </c>
      <c r="G38" s="7">
        <v>1.1564E-2</v>
      </c>
      <c r="H38" s="51"/>
    </row>
    <row r="39" spans="1:8" ht="17.100000000000001" customHeight="1" x14ac:dyDescent="0.2">
      <c r="A39" s="3">
        <v>33</v>
      </c>
      <c r="B39" s="4" t="s">
        <v>355</v>
      </c>
      <c r="C39" s="4" t="s">
        <v>356</v>
      </c>
      <c r="D39" s="4" t="s">
        <v>189</v>
      </c>
      <c r="E39" s="5">
        <v>133556</v>
      </c>
      <c r="F39" s="6">
        <v>5858.5007180000002</v>
      </c>
      <c r="G39" s="7">
        <v>1.1510187E-2</v>
      </c>
      <c r="H39" s="51"/>
    </row>
    <row r="40" spans="1:8" ht="17.100000000000001" customHeight="1" x14ac:dyDescent="0.2">
      <c r="A40" s="3">
        <v>34</v>
      </c>
      <c r="B40" s="4" t="s">
        <v>306</v>
      </c>
      <c r="C40" s="4" t="s">
        <v>307</v>
      </c>
      <c r="D40" s="4" t="s">
        <v>223</v>
      </c>
      <c r="E40" s="5">
        <v>191953</v>
      </c>
      <c r="F40" s="6">
        <v>5767.3238615</v>
      </c>
      <c r="G40" s="7">
        <v>1.1331051999999999E-2</v>
      </c>
      <c r="H40" s="51"/>
    </row>
    <row r="41" spans="1:8" ht="17.100000000000001" customHeight="1" x14ac:dyDescent="0.2">
      <c r="A41" s="3">
        <v>35</v>
      </c>
      <c r="B41" s="4" t="s">
        <v>246</v>
      </c>
      <c r="C41" s="4" t="s">
        <v>247</v>
      </c>
      <c r="D41" s="4" t="s">
        <v>248</v>
      </c>
      <c r="E41" s="5">
        <v>910339</v>
      </c>
      <c r="F41" s="6">
        <v>5668.680953</v>
      </c>
      <c r="G41" s="7">
        <v>1.1137248000000001E-2</v>
      </c>
      <c r="H41" s="51"/>
    </row>
    <row r="42" spans="1:8" ht="17.100000000000001" customHeight="1" x14ac:dyDescent="0.2">
      <c r="A42" s="3">
        <v>36</v>
      </c>
      <c r="B42" s="4" t="s">
        <v>67</v>
      </c>
      <c r="C42" s="4" t="s">
        <v>68</v>
      </c>
      <c r="D42" s="4" t="s">
        <v>69</v>
      </c>
      <c r="E42" s="5">
        <v>63700</v>
      </c>
      <c r="F42" s="6">
        <v>5623.5315499999997</v>
      </c>
      <c r="G42" s="7">
        <v>1.1048542999999999E-2</v>
      </c>
      <c r="H42" s="51"/>
    </row>
    <row r="43" spans="1:8" ht="53.1" customHeight="1" x14ac:dyDescent="0.2">
      <c r="A43" s="3">
        <v>37</v>
      </c>
      <c r="B43" s="4" t="s">
        <v>93</v>
      </c>
      <c r="C43" s="4" t="s">
        <v>94</v>
      </c>
      <c r="D43" s="4" t="s">
        <v>45</v>
      </c>
      <c r="E43" s="5">
        <v>378482</v>
      </c>
      <c r="F43" s="6">
        <v>5612.1310960000001</v>
      </c>
      <c r="G43" s="7">
        <v>1.1026144999999999E-2</v>
      </c>
      <c r="H43" s="51"/>
    </row>
    <row r="44" spans="1:8" ht="17.100000000000001" customHeight="1" x14ac:dyDescent="0.2">
      <c r="A44" s="3">
        <v>38</v>
      </c>
      <c r="B44" s="4" t="s">
        <v>357</v>
      </c>
      <c r="C44" s="4" t="s">
        <v>358</v>
      </c>
      <c r="D44" s="4" t="s">
        <v>51</v>
      </c>
      <c r="E44" s="5">
        <v>302944</v>
      </c>
      <c r="F44" s="6">
        <v>5596.5874560000002</v>
      </c>
      <c r="G44" s="7">
        <v>1.0995606E-2</v>
      </c>
      <c r="H44" s="51"/>
    </row>
    <row r="45" spans="1:8" ht="29.1" customHeight="1" x14ac:dyDescent="0.2">
      <c r="A45" s="3">
        <v>39</v>
      </c>
      <c r="B45" s="4" t="s">
        <v>23</v>
      </c>
      <c r="C45" s="4" t="s">
        <v>24</v>
      </c>
      <c r="D45" s="4" t="s">
        <v>25</v>
      </c>
      <c r="E45" s="5">
        <v>88217</v>
      </c>
      <c r="F45" s="6">
        <v>5518.0615669999997</v>
      </c>
      <c r="G45" s="7">
        <v>1.0841326E-2</v>
      </c>
      <c r="H45" s="51"/>
    </row>
    <row r="46" spans="1:8" ht="17.100000000000001" customHeight="1" x14ac:dyDescent="0.2">
      <c r="A46" s="3">
        <v>40</v>
      </c>
      <c r="B46" s="4" t="s">
        <v>359</v>
      </c>
      <c r="C46" s="4" t="s">
        <v>360</v>
      </c>
      <c r="D46" s="4" t="s">
        <v>69</v>
      </c>
      <c r="E46" s="5">
        <v>1355977</v>
      </c>
      <c r="F46" s="6">
        <v>5486.2829419999998</v>
      </c>
      <c r="G46" s="7">
        <v>1.0778891000000001E-2</v>
      </c>
      <c r="H46" s="51"/>
    </row>
    <row r="47" spans="1:8" ht="17.100000000000001" customHeight="1" x14ac:dyDescent="0.2">
      <c r="A47" s="3">
        <v>41</v>
      </c>
      <c r="B47" s="4" t="s">
        <v>273</v>
      </c>
      <c r="C47" s="4" t="s">
        <v>274</v>
      </c>
      <c r="D47" s="4" t="s">
        <v>223</v>
      </c>
      <c r="E47" s="5">
        <v>260964</v>
      </c>
      <c r="F47" s="6">
        <v>5448.0149460000002</v>
      </c>
      <c r="G47" s="7">
        <v>1.0703706E-2</v>
      </c>
      <c r="H47" s="51"/>
    </row>
    <row r="48" spans="1:8" ht="29.1" customHeight="1" x14ac:dyDescent="0.2">
      <c r="A48" s="3">
        <v>42</v>
      </c>
      <c r="B48" s="4" t="s">
        <v>95</v>
      </c>
      <c r="C48" s="4" t="s">
        <v>96</v>
      </c>
      <c r="D48" s="4" t="s">
        <v>97</v>
      </c>
      <c r="E48" s="5">
        <v>737755</v>
      </c>
      <c r="F48" s="6">
        <v>5401.8421099999996</v>
      </c>
      <c r="G48" s="7">
        <v>1.0612989999999999E-2</v>
      </c>
      <c r="H48" s="51"/>
    </row>
    <row r="49" spans="1:8" ht="29.1" customHeight="1" x14ac:dyDescent="0.2">
      <c r="A49" s="3">
        <v>43</v>
      </c>
      <c r="B49" s="4" t="s">
        <v>361</v>
      </c>
      <c r="C49" s="4" t="s">
        <v>362</v>
      </c>
      <c r="D49" s="4" t="s">
        <v>184</v>
      </c>
      <c r="E49" s="5">
        <v>58125</v>
      </c>
      <c r="F49" s="6">
        <v>5245.1418750000003</v>
      </c>
      <c r="G49" s="7">
        <v>1.0305121E-2</v>
      </c>
      <c r="H49" s="51"/>
    </row>
    <row r="50" spans="1:8" ht="17.100000000000001" customHeight="1" x14ac:dyDescent="0.2">
      <c r="A50" s="3">
        <v>44</v>
      </c>
      <c r="B50" s="4" t="s">
        <v>197</v>
      </c>
      <c r="C50" s="4" t="s">
        <v>198</v>
      </c>
      <c r="D50" s="4" t="s">
        <v>72</v>
      </c>
      <c r="E50" s="5">
        <v>190000</v>
      </c>
      <c r="F50" s="6">
        <v>5214.2650000000003</v>
      </c>
      <c r="G50" s="7">
        <v>1.0244458E-2</v>
      </c>
      <c r="H50" s="51"/>
    </row>
    <row r="51" spans="1:8" ht="29.1" customHeight="1" x14ac:dyDescent="0.2">
      <c r="A51" s="3">
        <v>45</v>
      </c>
      <c r="B51" s="4" t="s">
        <v>211</v>
      </c>
      <c r="C51" s="4" t="s">
        <v>212</v>
      </c>
      <c r="D51" s="4" t="s">
        <v>213</v>
      </c>
      <c r="E51" s="5">
        <v>167631</v>
      </c>
      <c r="F51" s="6">
        <v>5026.1640884999997</v>
      </c>
      <c r="G51" s="7">
        <v>9.8748959999999993E-3</v>
      </c>
      <c r="H51" s="51"/>
    </row>
    <row r="52" spans="1:8" ht="17.100000000000001" customHeight="1" x14ac:dyDescent="0.2">
      <c r="A52" s="3">
        <v>46</v>
      </c>
      <c r="B52" s="4" t="s">
        <v>52</v>
      </c>
      <c r="C52" s="4" t="s">
        <v>53</v>
      </c>
      <c r="D52" s="4" t="s">
        <v>28</v>
      </c>
      <c r="E52" s="5">
        <v>2249244</v>
      </c>
      <c r="F52" s="6">
        <v>4869.6132600000001</v>
      </c>
      <c r="G52" s="7">
        <v>9.5673210000000002E-3</v>
      </c>
      <c r="H52" s="51"/>
    </row>
    <row r="53" spans="1:8" ht="17.100000000000001" customHeight="1" x14ac:dyDescent="0.2">
      <c r="A53" s="3">
        <v>47</v>
      </c>
      <c r="B53" s="4" t="s">
        <v>256</v>
      </c>
      <c r="C53" s="4" t="s">
        <v>257</v>
      </c>
      <c r="D53" s="4" t="s">
        <v>104</v>
      </c>
      <c r="E53" s="5">
        <v>509693</v>
      </c>
      <c r="F53" s="6">
        <v>4669.0427264999998</v>
      </c>
      <c r="G53" s="7">
        <v>9.1732600000000008E-3</v>
      </c>
      <c r="H53" s="51"/>
    </row>
    <row r="54" spans="1:8" ht="17.100000000000001" customHeight="1" x14ac:dyDescent="0.2">
      <c r="A54" s="3">
        <v>48</v>
      </c>
      <c r="B54" s="4" t="s">
        <v>287</v>
      </c>
      <c r="C54" s="4" t="s">
        <v>288</v>
      </c>
      <c r="D54" s="4" t="s">
        <v>220</v>
      </c>
      <c r="E54" s="5">
        <v>1176577</v>
      </c>
      <c r="F54" s="6">
        <v>4668.6575359999997</v>
      </c>
      <c r="G54" s="7">
        <v>9.1725039999999997E-3</v>
      </c>
      <c r="H54" s="51"/>
    </row>
    <row r="55" spans="1:8" ht="17.100000000000001" customHeight="1" x14ac:dyDescent="0.2">
      <c r="A55" s="3">
        <v>49</v>
      </c>
      <c r="B55" s="4" t="s">
        <v>265</v>
      </c>
      <c r="C55" s="4" t="s">
        <v>266</v>
      </c>
      <c r="D55" s="4" t="s">
        <v>208</v>
      </c>
      <c r="E55" s="5">
        <v>1743213</v>
      </c>
      <c r="F55" s="6">
        <v>4605.5687459999999</v>
      </c>
      <c r="G55" s="7">
        <v>9.0485530000000008E-3</v>
      </c>
      <c r="H55" s="51"/>
    </row>
    <row r="56" spans="1:8" ht="17.100000000000001" customHeight="1" x14ac:dyDescent="0.2">
      <c r="A56" s="3">
        <v>50</v>
      </c>
      <c r="B56" s="4" t="s">
        <v>190</v>
      </c>
      <c r="C56" s="4" t="s">
        <v>191</v>
      </c>
      <c r="D56" s="4" t="s">
        <v>192</v>
      </c>
      <c r="E56" s="5">
        <v>8729</v>
      </c>
      <c r="F56" s="6">
        <v>4422.6482335000001</v>
      </c>
      <c r="G56" s="7">
        <v>8.6891699999999995E-3</v>
      </c>
      <c r="H56" s="51"/>
    </row>
    <row r="57" spans="1:8" ht="29.1" customHeight="1" x14ac:dyDescent="0.2">
      <c r="A57" s="3">
        <v>51</v>
      </c>
      <c r="B57" s="4" t="s">
        <v>88</v>
      </c>
      <c r="C57" s="4" t="s">
        <v>89</v>
      </c>
      <c r="D57" s="4" t="s">
        <v>25</v>
      </c>
      <c r="E57" s="5">
        <v>19449</v>
      </c>
      <c r="F57" s="6">
        <v>4090.7276189999998</v>
      </c>
      <c r="G57" s="7">
        <v>8.0370460000000008E-3</v>
      </c>
      <c r="H57" s="51"/>
    </row>
    <row r="58" spans="1:8" ht="17.100000000000001" customHeight="1" x14ac:dyDescent="0.2">
      <c r="A58" s="3">
        <v>52</v>
      </c>
      <c r="B58" s="4" t="s">
        <v>363</v>
      </c>
      <c r="C58" s="4" t="s">
        <v>364</v>
      </c>
      <c r="D58" s="4" t="s">
        <v>72</v>
      </c>
      <c r="E58" s="5">
        <v>4663</v>
      </c>
      <c r="F58" s="6">
        <v>3807.5516665</v>
      </c>
      <c r="G58" s="7">
        <v>7.4806899999999999E-3</v>
      </c>
      <c r="H58" s="51"/>
    </row>
    <row r="59" spans="1:8" ht="17.100000000000001" customHeight="1" x14ac:dyDescent="0.2">
      <c r="A59" s="3">
        <v>53</v>
      </c>
      <c r="B59" s="4" t="s">
        <v>244</v>
      </c>
      <c r="C59" s="4" t="s">
        <v>245</v>
      </c>
      <c r="D59" s="4" t="s">
        <v>223</v>
      </c>
      <c r="E59" s="5">
        <v>116944</v>
      </c>
      <c r="F59" s="6">
        <v>3790.3889279999999</v>
      </c>
      <c r="G59" s="7">
        <v>7.4469710000000001E-3</v>
      </c>
      <c r="H59" s="51"/>
    </row>
    <row r="60" spans="1:8" ht="29.1" customHeight="1" x14ac:dyDescent="0.2">
      <c r="A60" s="3">
        <v>54</v>
      </c>
      <c r="B60" s="4" t="s">
        <v>193</v>
      </c>
      <c r="C60" s="4" t="s">
        <v>194</v>
      </c>
      <c r="D60" s="4" t="s">
        <v>184</v>
      </c>
      <c r="E60" s="5">
        <v>150285</v>
      </c>
      <c r="F60" s="6">
        <v>3762.3098325000001</v>
      </c>
      <c r="G60" s="7">
        <v>7.3918040000000001E-3</v>
      </c>
      <c r="H60" s="51"/>
    </row>
    <row r="61" spans="1:8" ht="29.1" customHeight="1" x14ac:dyDescent="0.2">
      <c r="A61" s="3">
        <v>55</v>
      </c>
      <c r="B61" s="4" t="s">
        <v>365</v>
      </c>
      <c r="C61" s="4" t="s">
        <v>366</v>
      </c>
      <c r="D61" s="4" t="s">
        <v>367</v>
      </c>
      <c r="E61" s="5">
        <v>450331</v>
      </c>
      <c r="F61" s="6">
        <v>3615.4824334999998</v>
      </c>
      <c r="G61" s="7">
        <v>7.1033320000000004E-3</v>
      </c>
      <c r="H61" s="51"/>
    </row>
    <row r="62" spans="1:8" ht="17.100000000000001" customHeight="1" x14ac:dyDescent="0.2">
      <c r="A62" s="3">
        <v>56</v>
      </c>
      <c r="B62" s="4" t="s">
        <v>368</v>
      </c>
      <c r="C62" s="4" t="s">
        <v>369</v>
      </c>
      <c r="D62" s="4" t="s">
        <v>104</v>
      </c>
      <c r="E62" s="5">
        <v>348399</v>
      </c>
      <c r="F62" s="6">
        <v>3507.8553314999999</v>
      </c>
      <c r="G62" s="7">
        <v>6.8918779999999997E-3</v>
      </c>
      <c r="H62" s="51"/>
    </row>
    <row r="63" spans="1:8" ht="29.1" customHeight="1" x14ac:dyDescent="0.2">
      <c r="A63" s="3">
        <v>57</v>
      </c>
      <c r="B63" s="4" t="s">
        <v>236</v>
      </c>
      <c r="C63" s="4" t="s">
        <v>237</v>
      </c>
      <c r="D63" s="4" t="s">
        <v>203</v>
      </c>
      <c r="E63" s="5">
        <v>166575</v>
      </c>
      <c r="F63" s="6">
        <v>3486.1648875000001</v>
      </c>
      <c r="G63" s="7">
        <v>6.8492620000000001E-3</v>
      </c>
      <c r="H63" s="51"/>
    </row>
    <row r="64" spans="1:8" ht="17.100000000000001" customHeight="1" x14ac:dyDescent="0.2">
      <c r="A64" s="3">
        <v>58</v>
      </c>
      <c r="B64" s="4" t="s">
        <v>105</v>
      </c>
      <c r="C64" s="4" t="s">
        <v>106</v>
      </c>
      <c r="D64" s="4" t="s">
        <v>31</v>
      </c>
      <c r="E64" s="5">
        <v>286278</v>
      </c>
      <c r="F64" s="6">
        <v>3423.4554629999998</v>
      </c>
      <c r="G64" s="7">
        <v>6.7260569999999997E-3</v>
      </c>
      <c r="H64" s="51"/>
    </row>
    <row r="65" spans="1:8" ht="17.100000000000001" customHeight="1" x14ac:dyDescent="0.2">
      <c r="A65" s="3">
        <v>59</v>
      </c>
      <c r="B65" s="4" t="s">
        <v>240</v>
      </c>
      <c r="C65" s="4" t="s">
        <v>241</v>
      </c>
      <c r="D65" s="4" t="s">
        <v>97</v>
      </c>
      <c r="E65" s="5">
        <v>492415</v>
      </c>
      <c r="F65" s="6">
        <v>3218.4244399999998</v>
      </c>
      <c r="G65" s="7">
        <v>6.3232330000000002E-3</v>
      </c>
      <c r="H65" s="51"/>
    </row>
    <row r="66" spans="1:8" ht="17.100000000000001" customHeight="1" x14ac:dyDescent="0.2">
      <c r="A66" s="3">
        <v>60</v>
      </c>
      <c r="B66" s="4" t="s">
        <v>370</v>
      </c>
      <c r="C66" s="4" t="s">
        <v>371</v>
      </c>
      <c r="D66" s="4" t="s">
        <v>72</v>
      </c>
      <c r="E66" s="5">
        <v>328185</v>
      </c>
      <c r="F66" s="6">
        <v>2983.20165</v>
      </c>
      <c r="G66" s="7">
        <v>5.8610909999999997E-3</v>
      </c>
      <c r="H66" s="51"/>
    </row>
    <row r="67" spans="1:8" ht="29.1" customHeight="1" x14ac:dyDescent="0.2">
      <c r="A67" s="3">
        <v>61</v>
      </c>
      <c r="B67" s="4" t="s">
        <v>224</v>
      </c>
      <c r="C67" s="4" t="s">
        <v>225</v>
      </c>
      <c r="D67" s="4" t="s">
        <v>203</v>
      </c>
      <c r="E67" s="5">
        <v>286464</v>
      </c>
      <c r="F67" s="6">
        <v>2621.1455999999998</v>
      </c>
      <c r="G67" s="7">
        <v>5.1497599999999998E-3</v>
      </c>
      <c r="H67" s="51"/>
    </row>
    <row r="68" spans="1:8" ht="17.100000000000001" customHeight="1" x14ac:dyDescent="0.2">
      <c r="A68" s="3">
        <v>62</v>
      </c>
      <c r="B68" s="4" t="s">
        <v>278</v>
      </c>
      <c r="C68" s="4" t="s">
        <v>279</v>
      </c>
      <c r="D68" s="4" t="s">
        <v>104</v>
      </c>
      <c r="E68" s="5">
        <v>198211</v>
      </c>
      <c r="F68" s="6">
        <v>2379.3248440000002</v>
      </c>
      <c r="G68" s="7">
        <v>4.6746560000000001E-3</v>
      </c>
      <c r="H68" s="51"/>
    </row>
    <row r="69" spans="1:8" ht="17.100000000000001" customHeight="1" x14ac:dyDescent="0.2">
      <c r="A69" s="3">
        <v>63</v>
      </c>
      <c r="B69" s="4" t="s">
        <v>372</v>
      </c>
      <c r="C69" s="4" t="s">
        <v>373</v>
      </c>
      <c r="D69" s="4" t="s">
        <v>189</v>
      </c>
      <c r="E69" s="5">
        <v>185641</v>
      </c>
      <c r="F69" s="6">
        <v>2361.5391610000001</v>
      </c>
      <c r="G69" s="7">
        <v>4.6397119999999998E-3</v>
      </c>
      <c r="H69" s="51"/>
    </row>
    <row r="70" spans="1:8" ht="17.100000000000001" customHeight="1" x14ac:dyDescent="0.2">
      <c r="A70" s="3">
        <v>64</v>
      </c>
      <c r="B70" s="4" t="s">
        <v>374</v>
      </c>
      <c r="C70" s="4" t="s">
        <v>375</v>
      </c>
      <c r="D70" s="4" t="s">
        <v>104</v>
      </c>
      <c r="E70" s="5">
        <v>80959</v>
      </c>
      <c r="F70" s="6">
        <v>2110.5606505000001</v>
      </c>
      <c r="G70" s="7">
        <v>4.1466150000000002E-3</v>
      </c>
      <c r="H70" s="51"/>
    </row>
    <row r="71" spans="1:8" ht="17.100000000000001" customHeight="1" x14ac:dyDescent="0.2">
      <c r="A71" s="3">
        <v>65</v>
      </c>
      <c r="B71" s="4" t="s">
        <v>376</v>
      </c>
      <c r="C71" s="4" t="s">
        <v>377</v>
      </c>
      <c r="D71" s="4" t="s">
        <v>72</v>
      </c>
      <c r="E71" s="5">
        <v>1444854</v>
      </c>
      <c r="F71" s="6">
        <v>1574.89086</v>
      </c>
      <c r="G71" s="7">
        <v>3.0941850000000002E-3</v>
      </c>
      <c r="H71" s="51"/>
    </row>
    <row r="72" spans="1:8" ht="17.100000000000001" customHeight="1" x14ac:dyDescent="0.2">
      <c r="A72" s="3">
        <v>66</v>
      </c>
      <c r="B72" s="61" t="s">
        <v>1012</v>
      </c>
      <c r="C72" s="65" t="s">
        <v>125</v>
      </c>
      <c r="D72" s="61" t="s">
        <v>97</v>
      </c>
      <c r="E72" s="5">
        <v>378482</v>
      </c>
      <c r="F72" s="6">
        <v>1142.0694350000001</v>
      </c>
      <c r="G72" s="7">
        <v>2.2438219999999999E-3</v>
      </c>
      <c r="H72" s="51"/>
    </row>
    <row r="73" spans="1:8" ht="17.100000000000001" customHeight="1" x14ac:dyDescent="0.2">
      <c r="A73" s="3">
        <v>67</v>
      </c>
      <c r="B73" s="4" t="s">
        <v>214</v>
      </c>
      <c r="C73" s="4" t="s">
        <v>215</v>
      </c>
      <c r="D73" s="4" t="s">
        <v>181</v>
      </c>
      <c r="E73" s="5">
        <v>63066</v>
      </c>
      <c r="F73" s="6">
        <v>1076.4735539999999</v>
      </c>
      <c r="G73" s="7">
        <v>2.1149459999999999E-3</v>
      </c>
      <c r="H73" s="51"/>
    </row>
    <row r="74" spans="1:8" ht="17.100000000000001" customHeight="1" x14ac:dyDescent="0.2">
      <c r="A74" s="3">
        <v>68</v>
      </c>
      <c r="B74" s="4" t="s">
        <v>344</v>
      </c>
      <c r="C74" s="38" t="s">
        <v>969</v>
      </c>
      <c r="D74" s="4" t="s">
        <v>19</v>
      </c>
      <c r="E74" s="5">
        <v>71599</v>
      </c>
      <c r="F74" s="6">
        <v>287.86377950000002</v>
      </c>
      <c r="G74" s="7">
        <v>5.6556499999999997E-4</v>
      </c>
      <c r="H74" s="51"/>
    </row>
    <row r="75" spans="1:8" ht="14.1" customHeight="1" x14ac:dyDescent="0.2">
      <c r="A75" s="1"/>
      <c r="B75" s="1"/>
      <c r="C75" s="2" t="s">
        <v>129</v>
      </c>
      <c r="D75" s="1"/>
      <c r="E75" s="1" t="s">
        <v>130</v>
      </c>
      <c r="F75" s="9">
        <v>479715.88767850015</v>
      </c>
      <c r="G75" s="10">
        <v>0.94249700200000019</v>
      </c>
      <c r="H75" s="51"/>
    </row>
    <row r="76" spans="1:8" ht="14.1" customHeight="1" x14ac:dyDescent="0.2">
      <c r="A76" s="1"/>
      <c r="B76" s="1"/>
      <c r="C76" s="11"/>
      <c r="D76" s="1"/>
      <c r="E76" s="1"/>
      <c r="F76" s="12"/>
      <c r="G76" s="12"/>
      <c r="H76" s="51"/>
    </row>
    <row r="77" spans="1:8" ht="14.1" customHeight="1" x14ac:dyDescent="0.2">
      <c r="A77" s="1"/>
      <c r="B77" s="1"/>
      <c r="C77" s="2" t="s">
        <v>131</v>
      </c>
      <c r="D77" s="1"/>
      <c r="E77" s="1"/>
      <c r="F77" s="1"/>
      <c r="G77" s="1"/>
      <c r="H77" s="51"/>
    </row>
    <row r="78" spans="1:8" ht="14.1" customHeight="1" x14ac:dyDescent="0.2">
      <c r="A78" s="1"/>
      <c r="B78" s="1"/>
      <c r="C78" s="2" t="s">
        <v>129</v>
      </c>
      <c r="D78" s="1"/>
      <c r="E78" s="1" t="s">
        <v>130</v>
      </c>
      <c r="F78" s="13">
        <v>0</v>
      </c>
      <c r="G78" s="14">
        <v>0</v>
      </c>
      <c r="H78" s="51"/>
    </row>
    <row r="79" spans="1:8" ht="14.1" customHeight="1" x14ac:dyDescent="0.2">
      <c r="A79" s="1"/>
      <c r="B79" s="1"/>
      <c r="C79" s="11"/>
      <c r="D79" s="1"/>
      <c r="E79" s="1"/>
      <c r="F79" s="12"/>
      <c r="G79" s="12"/>
      <c r="H79" s="51"/>
    </row>
    <row r="80" spans="1:8" ht="14.1" customHeight="1" x14ac:dyDescent="0.2">
      <c r="A80" s="1"/>
      <c r="B80" s="1"/>
      <c r="C80" s="2" t="s">
        <v>132</v>
      </c>
      <c r="D80" s="1"/>
      <c r="E80" s="1"/>
      <c r="F80" s="1"/>
      <c r="G80" s="1"/>
      <c r="H80" s="51"/>
    </row>
    <row r="81" spans="1:8" ht="14.1" customHeight="1" x14ac:dyDescent="0.2">
      <c r="A81" s="1"/>
      <c r="B81" s="1"/>
      <c r="C81" s="2" t="s">
        <v>129</v>
      </c>
      <c r="D81" s="1"/>
      <c r="E81" s="1" t="s">
        <v>130</v>
      </c>
      <c r="F81" s="13">
        <v>0</v>
      </c>
      <c r="G81" s="14">
        <v>0</v>
      </c>
      <c r="H81" s="51"/>
    </row>
    <row r="82" spans="1:8" ht="14.1" customHeight="1" x14ac:dyDescent="0.2">
      <c r="A82" s="1"/>
      <c r="B82" s="1"/>
      <c r="C82" s="11"/>
      <c r="D82" s="1"/>
      <c r="E82" s="1"/>
      <c r="F82" s="12"/>
      <c r="G82" s="12"/>
      <c r="H82" s="51"/>
    </row>
    <row r="83" spans="1:8" ht="14.1" customHeight="1" x14ac:dyDescent="0.2">
      <c r="A83" s="1"/>
      <c r="B83" s="1"/>
      <c r="C83" s="2" t="s">
        <v>133</v>
      </c>
      <c r="D83" s="1"/>
      <c r="E83" s="1"/>
      <c r="F83" s="1"/>
      <c r="G83" s="1"/>
      <c r="H83" s="51"/>
    </row>
    <row r="84" spans="1:8" ht="14.1" customHeight="1" x14ac:dyDescent="0.2">
      <c r="A84" s="1"/>
      <c r="B84" s="1"/>
      <c r="C84" s="2" t="s">
        <v>129</v>
      </c>
      <c r="D84" s="1"/>
      <c r="E84" s="1" t="s">
        <v>130</v>
      </c>
      <c r="F84" s="9">
        <v>0</v>
      </c>
      <c r="G84" s="10">
        <v>0</v>
      </c>
      <c r="H84" s="51"/>
    </row>
    <row r="85" spans="1:8" ht="14.1" customHeight="1" x14ac:dyDescent="0.2">
      <c r="A85" s="1"/>
      <c r="B85" s="1"/>
      <c r="C85" s="11"/>
      <c r="D85" s="1"/>
      <c r="E85" s="1"/>
      <c r="F85" s="12"/>
      <c r="G85" s="12"/>
      <c r="H85" s="51"/>
    </row>
    <row r="86" spans="1:8" ht="14.1" customHeight="1" x14ac:dyDescent="0.2">
      <c r="A86" s="1"/>
      <c r="B86" s="1"/>
      <c r="C86" s="2" t="s">
        <v>134</v>
      </c>
      <c r="D86" s="1"/>
      <c r="E86" s="1"/>
      <c r="F86" s="12"/>
      <c r="G86" s="12"/>
      <c r="H86" s="51"/>
    </row>
    <row r="87" spans="1:8" ht="14.1" customHeight="1" x14ac:dyDescent="0.2">
      <c r="A87" s="1"/>
      <c r="B87" s="1"/>
      <c r="C87" s="2" t="s">
        <v>129</v>
      </c>
      <c r="D87" s="1"/>
      <c r="E87" s="1" t="s">
        <v>130</v>
      </c>
      <c r="F87" s="13">
        <v>0</v>
      </c>
      <c r="G87" s="14">
        <v>0</v>
      </c>
      <c r="H87" s="51"/>
    </row>
    <row r="88" spans="1:8" ht="14.1" customHeight="1" x14ac:dyDescent="0.2">
      <c r="A88" s="1"/>
      <c r="B88" s="1"/>
      <c r="C88" s="11"/>
      <c r="D88" s="1"/>
      <c r="E88" s="1"/>
      <c r="F88" s="12"/>
      <c r="G88" s="12"/>
      <c r="H88" s="51"/>
    </row>
    <row r="89" spans="1:8" ht="14.1" customHeight="1" x14ac:dyDescent="0.2">
      <c r="A89" s="1"/>
      <c r="B89" s="1"/>
      <c r="C89" s="2" t="s">
        <v>135</v>
      </c>
      <c r="D89" s="1"/>
      <c r="E89" s="1"/>
      <c r="F89" s="12"/>
      <c r="G89" s="12"/>
      <c r="H89" s="51"/>
    </row>
    <row r="90" spans="1:8" ht="14.1" customHeight="1" x14ac:dyDescent="0.2">
      <c r="A90" s="1"/>
      <c r="B90" s="1"/>
      <c r="C90" s="2" t="s">
        <v>129</v>
      </c>
      <c r="D90" s="1"/>
      <c r="E90" s="1" t="s">
        <v>130</v>
      </c>
      <c r="F90" s="13">
        <v>0</v>
      </c>
      <c r="G90" s="14">
        <v>0</v>
      </c>
      <c r="H90" s="51"/>
    </row>
    <row r="91" spans="1:8" ht="14.1" customHeight="1" x14ac:dyDescent="0.2">
      <c r="A91" s="1"/>
      <c r="B91" s="1"/>
      <c r="C91" s="11"/>
      <c r="D91" s="1"/>
      <c r="E91" s="1"/>
      <c r="F91" s="12"/>
      <c r="G91" s="12"/>
      <c r="H91" s="51"/>
    </row>
    <row r="92" spans="1:8" ht="18" customHeight="1" x14ac:dyDescent="0.2">
      <c r="A92" s="1"/>
      <c r="B92" s="1"/>
      <c r="C92" s="2" t="s">
        <v>136</v>
      </c>
      <c r="D92" s="1"/>
      <c r="E92" s="1"/>
      <c r="F92" s="9">
        <v>479715.88767849997</v>
      </c>
      <c r="G92" s="10">
        <v>0.94249700199999997</v>
      </c>
      <c r="H92" s="51"/>
    </row>
    <row r="93" spans="1:8" ht="14.1" customHeight="1" x14ac:dyDescent="0.2">
      <c r="A93" s="1"/>
      <c r="B93" s="1"/>
      <c r="C93" s="11"/>
      <c r="D93" s="1"/>
      <c r="E93" s="1"/>
      <c r="F93" s="12"/>
      <c r="G93" s="12"/>
      <c r="H93" s="51"/>
    </row>
    <row r="94" spans="1:8" ht="14.1" customHeight="1" x14ac:dyDescent="0.2">
      <c r="A94" s="1"/>
      <c r="B94" s="1"/>
      <c r="C94" s="2" t="s">
        <v>137</v>
      </c>
      <c r="D94" s="1"/>
      <c r="E94" s="1"/>
      <c r="F94" s="12"/>
      <c r="G94" s="12"/>
      <c r="H94" s="51"/>
    </row>
    <row r="95" spans="1:8" ht="24" customHeight="1" x14ac:dyDescent="0.2">
      <c r="A95" s="1"/>
      <c r="B95" s="1"/>
      <c r="C95" s="2" t="s">
        <v>10</v>
      </c>
      <c r="D95" s="1"/>
      <c r="E95" s="1"/>
      <c r="F95" s="12"/>
      <c r="G95" s="12"/>
      <c r="H95" s="51"/>
    </row>
    <row r="96" spans="1:8" ht="14.1" customHeight="1" x14ac:dyDescent="0.2">
      <c r="A96" s="1"/>
      <c r="B96" s="1"/>
      <c r="C96" s="2" t="s">
        <v>129</v>
      </c>
      <c r="D96" s="1"/>
      <c r="E96" s="1" t="s">
        <v>130</v>
      </c>
      <c r="F96" s="13">
        <v>0</v>
      </c>
      <c r="G96" s="14">
        <v>0</v>
      </c>
      <c r="H96" s="51"/>
    </row>
    <row r="97" spans="1:8" ht="14.1" customHeight="1" x14ac:dyDescent="0.2">
      <c r="A97" s="1"/>
      <c r="B97" s="1"/>
      <c r="C97" s="11"/>
      <c r="D97" s="1"/>
      <c r="E97" s="1"/>
      <c r="F97" s="12"/>
      <c r="G97" s="12"/>
      <c r="H97" s="51"/>
    </row>
    <row r="98" spans="1:8" ht="14.1" customHeight="1" x14ac:dyDescent="0.2">
      <c r="A98" s="1"/>
      <c r="B98" s="1"/>
      <c r="C98" s="2" t="s">
        <v>138</v>
      </c>
      <c r="D98" s="1"/>
      <c r="E98" s="1"/>
      <c r="F98" s="1"/>
      <c r="G98" s="1"/>
      <c r="H98" s="51"/>
    </row>
    <row r="99" spans="1:8" ht="14.1" customHeight="1" x14ac:dyDescent="0.2">
      <c r="A99" s="1"/>
      <c r="B99" s="1"/>
      <c r="C99" s="2" t="s">
        <v>129</v>
      </c>
      <c r="D99" s="1"/>
      <c r="E99" s="1" t="s">
        <v>130</v>
      </c>
      <c r="F99" s="13">
        <v>0</v>
      </c>
      <c r="G99" s="14">
        <v>0</v>
      </c>
      <c r="H99" s="51"/>
    </row>
    <row r="100" spans="1:8" ht="14.1" customHeight="1" x14ac:dyDescent="0.2">
      <c r="A100" s="1"/>
      <c r="B100" s="1"/>
      <c r="C100" s="11"/>
      <c r="D100" s="1"/>
      <c r="E100" s="1"/>
      <c r="F100" s="12"/>
      <c r="G100" s="12"/>
      <c r="H100" s="51"/>
    </row>
    <row r="101" spans="1:8" ht="14.1" customHeight="1" x14ac:dyDescent="0.2">
      <c r="A101" s="1"/>
      <c r="B101" s="1"/>
      <c r="C101" s="2" t="s">
        <v>139</v>
      </c>
      <c r="D101" s="1"/>
      <c r="E101" s="1"/>
      <c r="F101" s="1"/>
      <c r="G101" s="1"/>
      <c r="H101" s="51"/>
    </row>
    <row r="102" spans="1:8" ht="14.1" customHeight="1" x14ac:dyDescent="0.2">
      <c r="A102" s="1"/>
      <c r="B102" s="1"/>
      <c r="C102" s="2" t="s">
        <v>129</v>
      </c>
      <c r="D102" s="1"/>
      <c r="E102" s="1" t="s">
        <v>130</v>
      </c>
      <c r="F102" s="13">
        <v>0</v>
      </c>
      <c r="G102" s="14">
        <v>0</v>
      </c>
      <c r="H102" s="51"/>
    </row>
    <row r="103" spans="1:8" ht="14.1" customHeight="1" x14ac:dyDescent="0.2">
      <c r="A103" s="1"/>
      <c r="B103" s="1"/>
      <c r="C103" s="11"/>
      <c r="D103" s="1"/>
      <c r="E103" s="1"/>
      <c r="F103" s="12"/>
      <c r="G103" s="12"/>
      <c r="H103" s="51"/>
    </row>
    <row r="104" spans="1:8" ht="14.1" customHeight="1" x14ac:dyDescent="0.2">
      <c r="A104" s="1"/>
      <c r="B104" s="1"/>
      <c r="C104" s="2" t="s">
        <v>140</v>
      </c>
      <c r="D104" s="1"/>
      <c r="E104" s="1"/>
      <c r="F104" s="12"/>
      <c r="G104" s="12"/>
      <c r="H104" s="51"/>
    </row>
    <row r="105" spans="1:8" ht="14.1" customHeight="1" x14ac:dyDescent="0.2">
      <c r="A105" s="1"/>
      <c r="B105" s="1"/>
      <c r="C105" s="2" t="s">
        <v>129</v>
      </c>
      <c r="D105" s="1"/>
      <c r="E105" s="1" t="s">
        <v>130</v>
      </c>
      <c r="F105" s="13">
        <v>0</v>
      </c>
      <c r="G105" s="14">
        <v>0</v>
      </c>
      <c r="H105" s="51"/>
    </row>
    <row r="106" spans="1:8" ht="14.1" customHeight="1" x14ac:dyDescent="0.2">
      <c r="A106" s="1"/>
      <c r="B106" s="1"/>
      <c r="C106" s="11"/>
      <c r="D106" s="1"/>
      <c r="E106" s="1"/>
      <c r="F106" s="12"/>
      <c r="G106" s="12"/>
      <c r="H106" s="51"/>
    </row>
    <row r="107" spans="1:8" ht="14.1" customHeight="1" x14ac:dyDescent="0.2">
      <c r="A107" s="1"/>
      <c r="B107" s="1"/>
      <c r="C107" s="2" t="s">
        <v>141</v>
      </c>
      <c r="D107" s="1"/>
      <c r="E107" s="1"/>
      <c r="F107" s="9">
        <v>0</v>
      </c>
      <c r="G107" s="10">
        <v>0</v>
      </c>
      <c r="H107" s="51"/>
    </row>
    <row r="108" spans="1:8" ht="14.1" customHeight="1" x14ac:dyDescent="0.2">
      <c r="A108" s="1"/>
      <c r="B108" s="1"/>
      <c r="C108" s="11"/>
      <c r="D108" s="1"/>
      <c r="E108" s="1"/>
      <c r="F108" s="12"/>
      <c r="G108" s="12"/>
      <c r="H108" s="51"/>
    </row>
    <row r="109" spans="1:8" ht="14.1" customHeight="1" x14ac:dyDescent="0.2">
      <c r="A109" s="1"/>
      <c r="B109" s="1"/>
      <c r="C109" s="2" t="s">
        <v>142</v>
      </c>
      <c r="D109" s="1"/>
      <c r="E109" s="1"/>
      <c r="F109" s="12"/>
      <c r="G109" s="12"/>
      <c r="H109" s="51"/>
    </row>
    <row r="110" spans="1:8" ht="14.1" customHeight="1" x14ac:dyDescent="0.2">
      <c r="A110" s="1"/>
      <c r="B110" s="1"/>
      <c r="C110" s="2" t="s">
        <v>143</v>
      </c>
      <c r="D110" s="1"/>
      <c r="E110" s="1"/>
      <c r="F110" s="12"/>
      <c r="G110" s="12"/>
      <c r="H110" s="51"/>
    </row>
    <row r="111" spans="1:8" ht="14.1" customHeight="1" x14ac:dyDescent="0.2">
      <c r="A111" s="1"/>
      <c r="B111" s="1"/>
      <c r="C111" s="2" t="s">
        <v>129</v>
      </c>
      <c r="D111" s="1"/>
      <c r="E111" s="1" t="s">
        <v>130</v>
      </c>
      <c r="F111" s="13">
        <v>0</v>
      </c>
      <c r="G111" s="14">
        <v>0</v>
      </c>
      <c r="H111" s="51"/>
    </row>
    <row r="112" spans="1:8" ht="14.1" customHeight="1" x14ac:dyDescent="0.2">
      <c r="A112" s="1"/>
      <c r="B112" s="1"/>
      <c r="C112" s="11"/>
      <c r="D112" s="1"/>
      <c r="E112" s="1"/>
      <c r="F112" s="12"/>
      <c r="G112" s="12"/>
      <c r="H112" s="51"/>
    </row>
    <row r="113" spans="1:8" ht="14.1" customHeight="1" x14ac:dyDescent="0.2">
      <c r="A113" s="1"/>
      <c r="B113" s="1"/>
      <c r="C113" s="2" t="s">
        <v>144</v>
      </c>
      <c r="D113" s="1"/>
      <c r="E113" s="1"/>
      <c r="F113" s="12"/>
      <c r="G113" s="12"/>
      <c r="H113" s="51"/>
    </row>
    <row r="114" spans="1:8" ht="14.1" customHeight="1" x14ac:dyDescent="0.2">
      <c r="A114" s="1"/>
      <c r="B114" s="1"/>
      <c r="C114" s="2" t="s">
        <v>129</v>
      </c>
      <c r="D114" s="1"/>
      <c r="E114" s="1" t="s">
        <v>130</v>
      </c>
      <c r="F114" s="13">
        <v>0</v>
      </c>
      <c r="G114" s="14">
        <v>0</v>
      </c>
      <c r="H114" s="51"/>
    </row>
    <row r="115" spans="1:8" ht="14.1" customHeight="1" x14ac:dyDescent="0.2">
      <c r="A115" s="1"/>
      <c r="B115" s="1"/>
      <c r="C115" s="11"/>
      <c r="D115" s="1"/>
      <c r="E115" s="1"/>
      <c r="F115" s="12"/>
      <c r="G115" s="12"/>
      <c r="H115" s="51"/>
    </row>
    <row r="116" spans="1:8" ht="14.1" customHeight="1" x14ac:dyDescent="0.2">
      <c r="A116" s="1"/>
      <c r="B116" s="1"/>
      <c r="C116" s="2" t="s">
        <v>145</v>
      </c>
      <c r="D116" s="1"/>
      <c r="E116" s="1"/>
      <c r="F116" s="12"/>
      <c r="G116" s="12"/>
      <c r="H116" s="51"/>
    </row>
    <row r="117" spans="1:8" ht="14.1" customHeight="1" x14ac:dyDescent="0.2">
      <c r="A117" s="1"/>
      <c r="B117" s="1"/>
      <c r="C117" s="2" t="s">
        <v>129</v>
      </c>
      <c r="D117" s="1"/>
      <c r="E117" s="1" t="s">
        <v>130</v>
      </c>
      <c r="F117" s="13">
        <v>0</v>
      </c>
      <c r="G117" s="14">
        <v>0</v>
      </c>
      <c r="H117" s="51"/>
    </row>
    <row r="118" spans="1:8" ht="14.1" customHeight="1" x14ac:dyDescent="0.2">
      <c r="A118" s="1"/>
      <c r="B118" s="1"/>
      <c r="C118" s="11"/>
      <c r="D118" s="1"/>
      <c r="E118" s="1"/>
      <c r="F118" s="12"/>
      <c r="G118" s="12"/>
      <c r="H118" s="51"/>
    </row>
    <row r="119" spans="1:8" ht="14.1" customHeight="1" x14ac:dyDescent="0.2">
      <c r="A119" s="1"/>
      <c r="B119" s="1"/>
      <c r="C119" s="2" t="s">
        <v>146</v>
      </c>
      <c r="D119" s="1"/>
      <c r="E119" s="1"/>
      <c r="F119" s="12"/>
      <c r="G119" s="12"/>
      <c r="H119" s="51"/>
    </row>
    <row r="120" spans="1:8" ht="17.100000000000001" customHeight="1" x14ac:dyDescent="0.2">
      <c r="A120" s="3">
        <v>1</v>
      </c>
      <c r="B120" s="4"/>
      <c r="C120" s="4" t="s">
        <v>147</v>
      </c>
      <c r="D120" s="4"/>
      <c r="E120" s="8"/>
      <c r="F120" s="6">
        <v>27764.100882800001</v>
      </c>
      <c r="G120" s="7">
        <v>5.4548082999999997E-2</v>
      </c>
      <c r="H120" s="51">
        <v>6.1245112103248278</v>
      </c>
    </row>
    <row r="121" spans="1:8" ht="14.1" customHeight="1" x14ac:dyDescent="0.2">
      <c r="A121" s="1"/>
      <c r="B121" s="1"/>
      <c r="C121" s="2" t="s">
        <v>129</v>
      </c>
      <c r="D121" s="1"/>
      <c r="E121" s="1" t="s">
        <v>130</v>
      </c>
      <c r="F121" s="9">
        <v>27764.100882800001</v>
      </c>
      <c r="G121" s="10">
        <v>5.4548082999999997E-2</v>
      </c>
      <c r="H121" s="51"/>
    </row>
    <row r="122" spans="1:8" ht="14.1" customHeight="1" x14ac:dyDescent="0.2">
      <c r="A122" s="1"/>
      <c r="B122" s="1"/>
      <c r="C122" s="11"/>
      <c r="D122" s="1"/>
      <c r="E122" s="1"/>
      <c r="F122" s="12"/>
      <c r="G122" s="12"/>
      <c r="H122" s="51"/>
    </row>
    <row r="123" spans="1:8" ht="14.1" customHeight="1" x14ac:dyDescent="0.2">
      <c r="A123" s="1"/>
      <c r="B123" s="1"/>
      <c r="C123" s="2" t="s">
        <v>148</v>
      </c>
      <c r="D123" s="1"/>
      <c r="E123" s="1"/>
      <c r="F123" s="9">
        <v>27764.100882800001</v>
      </c>
      <c r="G123" s="10">
        <v>5.4548082999999997E-2</v>
      </c>
      <c r="H123" s="51"/>
    </row>
    <row r="124" spans="1:8" ht="14.1" customHeight="1" x14ac:dyDescent="0.2">
      <c r="A124" s="1"/>
      <c r="B124" s="1"/>
      <c r="C124" s="12"/>
      <c r="D124" s="1"/>
      <c r="E124" s="1"/>
      <c r="F124" s="1"/>
      <c r="G124" s="1"/>
      <c r="H124" s="51"/>
    </row>
    <row r="125" spans="1:8" ht="14.1" customHeight="1" x14ac:dyDescent="0.2">
      <c r="A125" s="1"/>
      <c r="B125" s="1"/>
      <c r="C125" s="2" t="s">
        <v>149</v>
      </c>
      <c r="D125" s="1"/>
      <c r="E125" s="1"/>
      <c r="F125" s="1"/>
      <c r="G125" s="1"/>
      <c r="H125" s="51"/>
    </row>
    <row r="126" spans="1:8" ht="14.1" customHeight="1" x14ac:dyDescent="0.2">
      <c r="A126" s="1"/>
      <c r="B126" s="1"/>
      <c r="C126" s="2" t="s">
        <v>150</v>
      </c>
      <c r="D126" s="1"/>
      <c r="E126" s="1"/>
      <c r="F126" s="1"/>
      <c r="G126" s="1"/>
      <c r="H126" s="51"/>
    </row>
    <row r="127" spans="1:8" ht="14.1" customHeight="1" x14ac:dyDescent="0.2">
      <c r="A127" s="1"/>
      <c r="B127" s="1"/>
      <c r="C127" s="2" t="s">
        <v>129</v>
      </c>
      <c r="D127" s="1"/>
      <c r="E127" s="1" t="s">
        <v>130</v>
      </c>
      <c r="F127" s="13">
        <v>0</v>
      </c>
      <c r="G127" s="14">
        <v>0</v>
      </c>
      <c r="H127" s="51"/>
    </row>
    <row r="128" spans="1:8" ht="14.1" customHeight="1" x14ac:dyDescent="0.2">
      <c r="A128" s="1"/>
      <c r="B128" s="1"/>
      <c r="C128" s="11"/>
      <c r="D128" s="1"/>
      <c r="E128" s="1"/>
      <c r="F128" s="12"/>
      <c r="G128" s="12"/>
      <c r="H128" s="51"/>
    </row>
    <row r="129" spans="1:15" ht="14.1" customHeight="1" x14ac:dyDescent="0.2">
      <c r="A129" s="1"/>
      <c r="B129" s="1"/>
      <c r="C129" s="2" t="s">
        <v>151</v>
      </c>
      <c r="D129" s="1"/>
      <c r="E129" s="1"/>
      <c r="F129" s="1"/>
      <c r="G129" s="1"/>
      <c r="H129" s="51"/>
    </row>
    <row r="130" spans="1:15" ht="14.1" customHeight="1" x14ac:dyDescent="0.2">
      <c r="A130" s="1"/>
      <c r="B130" s="1"/>
      <c r="C130" s="2" t="s">
        <v>152</v>
      </c>
      <c r="D130" s="1"/>
      <c r="E130" s="1"/>
      <c r="F130" s="1"/>
      <c r="G130" s="1"/>
      <c r="H130" s="51"/>
    </row>
    <row r="131" spans="1:15" ht="14.1" customHeight="1" x14ac:dyDescent="0.2">
      <c r="A131" s="1"/>
      <c r="B131" s="1"/>
      <c r="C131" s="2" t="s">
        <v>129</v>
      </c>
      <c r="D131" s="1"/>
      <c r="E131" s="1" t="s">
        <v>130</v>
      </c>
      <c r="F131" s="13">
        <v>0</v>
      </c>
      <c r="G131" s="14">
        <v>0</v>
      </c>
      <c r="H131" s="51"/>
    </row>
    <row r="132" spans="1:15" ht="14.1" customHeight="1" x14ac:dyDescent="0.2">
      <c r="A132" s="1"/>
      <c r="B132" s="1"/>
      <c r="C132" s="11"/>
      <c r="D132" s="1"/>
      <c r="E132" s="1"/>
      <c r="F132" s="12"/>
      <c r="G132" s="12"/>
      <c r="H132" s="51"/>
    </row>
    <row r="133" spans="1:15" ht="14.1" customHeight="1" x14ac:dyDescent="0.2">
      <c r="A133" s="1"/>
      <c r="B133" s="1"/>
      <c r="C133" s="11"/>
      <c r="D133" s="1"/>
      <c r="E133" s="1"/>
      <c r="F133" s="12"/>
      <c r="G133" s="12"/>
      <c r="H133" s="51"/>
    </row>
    <row r="134" spans="1:15" ht="24" customHeight="1" x14ac:dyDescent="0.2">
      <c r="A134" s="1"/>
      <c r="B134" s="1"/>
      <c r="C134" s="2" t="s">
        <v>153</v>
      </c>
      <c r="D134" s="1"/>
      <c r="E134" s="1"/>
      <c r="F134" s="12"/>
      <c r="G134" s="12"/>
      <c r="H134" s="51"/>
    </row>
    <row r="135" spans="1:15" ht="14.1" customHeight="1" x14ac:dyDescent="0.2">
      <c r="A135" s="1"/>
      <c r="B135" s="1"/>
      <c r="C135" s="2" t="s">
        <v>129</v>
      </c>
      <c r="D135" s="1"/>
      <c r="E135" s="1" t="s">
        <v>130</v>
      </c>
      <c r="F135" s="13">
        <v>0</v>
      </c>
      <c r="G135" s="14">
        <v>0</v>
      </c>
      <c r="H135" s="51"/>
    </row>
    <row r="136" spans="1:15" ht="14.1" customHeight="1" x14ac:dyDescent="0.2">
      <c r="A136" s="1"/>
      <c r="B136" s="1"/>
      <c r="C136" s="11"/>
      <c r="D136" s="1"/>
      <c r="E136" s="1"/>
      <c r="F136" s="12"/>
      <c r="G136" s="12"/>
      <c r="H136" s="51"/>
    </row>
    <row r="137" spans="1:15" ht="14.1" customHeight="1" x14ac:dyDescent="0.2">
      <c r="A137" s="1"/>
      <c r="B137" s="4"/>
      <c r="C137" s="4"/>
      <c r="D137" s="2"/>
      <c r="E137" s="1"/>
      <c r="F137" s="4"/>
      <c r="G137" s="8"/>
      <c r="H137" s="51"/>
      <c r="J137" s="158"/>
      <c r="K137" s="158"/>
      <c r="L137" s="158"/>
      <c r="M137" s="158"/>
      <c r="N137" s="158"/>
      <c r="O137" s="158"/>
    </row>
    <row r="138" spans="1:15" ht="18" customHeight="1" x14ac:dyDescent="0.2">
      <c r="A138" s="8"/>
      <c r="B138" s="4"/>
      <c r="C138" s="4" t="s">
        <v>154</v>
      </c>
      <c r="D138" s="4"/>
      <c r="E138" s="8"/>
      <c r="F138" s="6">
        <v>1504.00356169</v>
      </c>
      <c r="G138" s="7">
        <v>2.954913E-3</v>
      </c>
      <c r="H138" s="51"/>
    </row>
    <row r="139" spans="1:15" ht="14.1" customHeight="1" x14ac:dyDescent="0.2">
      <c r="A139" s="11"/>
      <c r="B139" s="11"/>
      <c r="C139" s="2" t="s">
        <v>155</v>
      </c>
      <c r="D139" s="15"/>
      <c r="E139" s="15"/>
      <c r="F139" s="9">
        <v>508983.99212298996</v>
      </c>
      <c r="G139" s="14">
        <v>0.99999999799999995</v>
      </c>
      <c r="H139" s="51"/>
    </row>
    <row r="140" spans="1:15" ht="14.1" customHeight="1" x14ac:dyDescent="0.2">
      <c r="A140" s="16"/>
      <c r="B140" s="16"/>
      <c r="C140" s="16"/>
      <c r="D140" s="17"/>
      <c r="E140" s="17"/>
      <c r="F140" s="17"/>
      <c r="G140" s="17"/>
    </row>
    <row r="141" spans="1:15" ht="14.1" customHeight="1" x14ac:dyDescent="0.2">
      <c r="A141" s="18"/>
      <c r="B141" s="18"/>
      <c r="C141" s="18"/>
      <c r="D141" s="20"/>
      <c r="E141" s="20"/>
      <c r="F141" s="20"/>
      <c r="G141" s="20"/>
    </row>
    <row r="142" spans="1:15" ht="14.1" customHeight="1" x14ac:dyDescent="0.2">
      <c r="A142" s="18"/>
      <c r="B142" s="325" t="s">
        <v>157</v>
      </c>
      <c r="C142" s="326"/>
      <c r="D142" s="12" t="s">
        <v>130</v>
      </c>
      <c r="E142" s="21"/>
      <c r="F142" s="20"/>
      <c r="G142" s="20"/>
    </row>
    <row r="143" spans="1:15" ht="29.1" customHeight="1" x14ac:dyDescent="0.2">
      <c r="A143" s="18"/>
      <c r="B143" s="318" t="s">
        <v>158</v>
      </c>
      <c r="C143" s="319"/>
      <c r="D143" s="2" t="s">
        <v>159</v>
      </c>
      <c r="E143" s="21"/>
      <c r="F143" s="20"/>
      <c r="G143" s="20"/>
    </row>
    <row r="144" spans="1:15" ht="17.100000000000001" customHeight="1" x14ac:dyDescent="0.2">
      <c r="A144" s="18"/>
      <c r="B144" s="318" t="s">
        <v>160</v>
      </c>
      <c r="C144" s="319"/>
      <c r="D144" s="2" t="s">
        <v>159</v>
      </c>
      <c r="E144" s="21"/>
      <c r="F144" s="20"/>
      <c r="G144" s="20"/>
    </row>
    <row r="145" spans="1:7" ht="17.100000000000001" customHeight="1" x14ac:dyDescent="0.2">
      <c r="A145" s="18"/>
      <c r="B145" s="318" t="s">
        <v>161</v>
      </c>
      <c r="C145" s="319"/>
      <c r="D145" s="12" t="s">
        <v>130</v>
      </c>
      <c r="E145" s="21"/>
      <c r="F145" s="20"/>
      <c r="G145" s="20"/>
    </row>
    <row r="146" spans="1:7" ht="24" customHeight="1" x14ac:dyDescent="0.2">
      <c r="A146" s="22"/>
      <c r="B146" s="23" t="s">
        <v>130</v>
      </c>
      <c r="C146" s="23" t="s">
        <v>162</v>
      </c>
      <c r="D146" s="23" t="s">
        <v>163</v>
      </c>
      <c r="E146" s="22"/>
      <c r="F146" s="22"/>
      <c r="G146" s="22"/>
    </row>
    <row r="147" spans="1:7" ht="18" customHeight="1" x14ac:dyDescent="0.2">
      <c r="A147" s="22"/>
      <c r="B147" s="23" t="s">
        <v>164</v>
      </c>
      <c r="C147" s="23" t="s">
        <v>165</v>
      </c>
      <c r="D147" s="23" t="s">
        <v>166</v>
      </c>
      <c r="E147" s="22"/>
      <c r="F147" s="22"/>
      <c r="G147" s="22"/>
    </row>
    <row r="148" spans="1:7" ht="17.100000000000001" customHeight="1" x14ac:dyDescent="0.2">
      <c r="A148" s="22"/>
      <c r="B148" s="4" t="s">
        <v>167</v>
      </c>
      <c r="C148" s="24">
        <v>60.780799999999999</v>
      </c>
      <c r="D148" s="24">
        <v>59.299599999999998</v>
      </c>
      <c r="E148" s="22"/>
      <c r="F148" s="19"/>
      <c r="G148" s="25"/>
    </row>
    <row r="149" spans="1:7" ht="17.100000000000001" customHeight="1" x14ac:dyDescent="0.2">
      <c r="A149" s="22"/>
      <c r="B149" s="4" t="s">
        <v>1067</v>
      </c>
      <c r="C149" s="24">
        <v>28.132999999999999</v>
      </c>
      <c r="D149" s="24">
        <v>27.447299999999998</v>
      </c>
      <c r="E149" s="22"/>
      <c r="F149" s="19"/>
      <c r="G149" s="25"/>
    </row>
    <row r="150" spans="1:7" ht="17.100000000000001" customHeight="1" x14ac:dyDescent="0.2">
      <c r="A150" s="22"/>
      <c r="B150" s="4" t="s">
        <v>168</v>
      </c>
      <c r="C150" s="24">
        <v>55.760899999999999</v>
      </c>
      <c r="D150" s="24">
        <v>54.350900000000003</v>
      </c>
      <c r="E150" s="22"/>
      <c r="F150" s="19"/>
      <c r="G150" s="25"/>
    </row>
    <row r="151" spans="1:7" ht="17.100000000000001" customHeight="1" x14ac:dyDescent="0.2">
      <c r="A151" s="22"/>
      <c r="B151" s="4" t="s">
        <v>1068</v>
      </c>
      <c r="C151" s="24">
        <v>25.2668</v>
      </c>
      <c r="D151" s="24">
        <v>24.627700000000001</v>
      </c>
      <c r="E151" s="22"/>
      <c r="F151" s="19"/>
      <c r="G151" s="25"/>
    </row>
    <row r="152" spans="1:7" ht="14.1" customHeight="1" x14ac:dyDescent="0.2">
      <c r="A152" s="22"/>
      <c r="B152" s="22"/>
      <c r="C152" s="22"/>
      <c r="D152" s="22"/>
      <c r="E152" s="22"/>
      <c r="F152" s="22"/>
      <c r="G152" s="22"/>
    </row>
    <row r="153" spans="1:7" ht="17.100000000000001" customHeight="1" x14ac:dyDescent="0.2">
      <c r="A153" s="22"/>
      <c r="B153" s="318" t="s">
        <v>1069</v>
      </c>
      <c r="C153" s="319"/>
      <c r="D153" s="111" t="s">
        <v>159</v>
      </c>
      <c r="E153" s="22"/>
      <c r="F153" s="22"/>
      <c r="G153" s="22"/>
    </row>
    <row r="154" spans="1:7" ht="18" customHeight="1" x14ac:dyDescent="0.2">
      <c r="A154" s="22"/>
      <c r="B154" s="26"/>
      <c r="C154" s="26"/>
      <c r="D154" s="27"/>
      <c r="E154" s="22"/>
      <c r="F154" s="22"/>
      <c r="G154" s="22"/>
    </row>
    <row r="155" spans="1:7" ht="29.1" customHeight="1" x14ac:dyDescent="0.2">
      <c r="A155" s="22"/>
      <c r="B155" s="318" t="s">
        <v>169</v>
      </c>
      <c r="C155" s="319"/>
      <c r="D155" s="2" t="s">
        <v>159</v>
      </c>
      <c r="E155" s="22"/>
      <c r="F155" s="22"/>
      <c r="G155" s="22"/>
    </row>
    <row r="156" spans="1:7" ht="29.1" customHeight="1" x14ac:dyDescent="0.2">
      <c r="A156" s="22"/>
      <c r="B156" s="318" t="s">
        <v>170</v>
      </c>
      <c r="C156" s="319"/>
      <c r="D156" s="2" t="s">
        <v>159</v>
      </c>
      <c r="E156" s="22"/>
      <c r="F156" s="22"/>
      <c r="G156" s="22"/>
    </row>
    <row r="157" spans="1:7" ht="17.100000000000001" customHeight="1" x14ac:dyDescent="0.2">
      <c r="A157" s="22"/>
      <c r="B157" s="318" t="s">
        <v>171</v>
      </c>
      <c r="C157" s="319"/>
      <c r="D157" s="28">
        <v>0.26548960585301823</v>
      </c>
      <c r="E157" s="22"/>
      <c r="F157" s="19"/>
      <c r="G157" s="25"/>
    </row>
    <row r="158" spans="1:7" ht="17.100000000000001" customHeight="1" x14ac:dyDescent="0.2">
      <c r="A158" s="22"/>
      <c r="B158" s="318" t="s">
        <v>172</v>
      </c>
      <c r="C158" s="319"/>
      <c r="D158" s="2" t="s">
        <v>159</v>
      </c>
      <c r="E158" s="22"/>
      <c r="F158" s="22"/>
      <c r="G158" s="22"/>
    </row>
  </sheetData>
  <mergeCells count="13">
    <mergeCell ref="A1:H1"/>
    <mergeCell ref="A2:H2"/>
    <mergeCell ref="A3:H3"/>
    <mergeCell ref="J2:N2"/>
    <mergeCell ref="B158:C158"/>
    <mergeCell ref="B143:C143"/>
    <mergeCell ref="B144:C144"/>
    <mergeCell ref="B145:C145"/>
    <mergeCell ref="B153:C153"/>
    <mergeCell ref="B155:C155"/>
    <mergeCell ref="B156:C156"/>
    <mergeCell ref="B142:C142"/>
    <mergeCell ref="B157:C157"/>
  </mergeCells>
  <hyperlinks>
    <hyperlink ref="I1" location="Index!B7" display="Index" xr:uid="{38C236B4-AD85-482F-A863-2F99847403F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O16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378</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102</v>
      </c>
      <c r="C7" s="4" t="s">
        <v>103</v>
      </c>
      <c r="D7" s="4" t="s">
        <v>104</v>
      </c>
      <c r="E7" s="5">
        <v>252941</v>
      </c>
      <c r="F7" s="6">
        <v>1077.1492485000001</v>
      </c>
      <c r="G7" s="7">
        <v>3.4535741000000002E-2</v>
      </c>
      <c r="H7" s="51"/>
    </row>
    <row r="8" spans="1:14" ht="29.1" customHeight="1" x14ac:dyDescent="0.2">
      <c r="A8" s="3">
        <v>2</v>
      </c>
      <c r="B8" s="4" t="s">
        <v>185</v>
      </c>
      <c r="C8" s="4" t="s">
        <v>186</v>
      </c>
      <c r="D8" s="4" t="s">
        <v>104</v>
      </c>
      <c r="E8" s="5">
        <v>238680</v>
      </c>
      <c r="F8" s="6">
        <v>983.12292000000002</v>
      </c>
      <c r="G8" s="7">
        <v>3.1521053E-2</v>
      </c>
      <c r="H8" s="51"/>
    </row>
    <row r="9" spans="1:14" ht="17.100000000000001" customHeight="1" x14ac:dyDescent="0.2">
      <c r="A9" s="3">
        <v>3</v>
      </c>
      <c r="B9" s="4" t="s">
        <v>29</v>
      </c>
      <c r="C9" s="4" t="s">
        <v>30</v>
      </c>
      <c r="D9" s="4" t="s">
        <v>31</v>
      </c>
      <c r="E9" s="5">
        <v>43246</v>
      </c>
      <c r="F9" s="6">
        <v>864.07670299999995</v>
      </c>
      <c r="G9" s="7">
        <v>2.7704172999999999E-2</v>
      </c>
      <c r="H9" s="51"/>
    </row>
    <row r="10" spans="1:14" ht="17.100000000000001" customHeight="1" x14ac:dyDescent="0.2">
      <c r="A10" s="3">
        <v>4</v>
      </c>
      <c r="B10" s="4" t="s">
        <v>379</v>
      </c>
      <c r="C10" s="4" t="s">
        <v>380</v>
      </c>
      <c r="D10" s="4" t="s">
        <v>97</v>
      </c>
      <c r="E10" s="5">
        <v>813355</v>
      </c>
      <c r="F10" s="6">
        <v>806.44148250000001</v>
      </c>
      <c r="G10" s="7">
        <v>2.5856263000000001E-2</v>
      </c>
      <c r="H10" s="51"/>
    </row>
    <row r="11" spans="1:14" ht="17.100000000000001" customHeight="1" x14ac:dyDescent="0.2">
      <c r="A11" s="3">
        <v>5</v>
      </c>
      <c r="B11" s="4" t="s">
        <v>82</v>
      </c>
      <c r="C11" s="4" t="s">
        <v>83</v>
      </c>
      <c r="D11" s="4" t="s">
        <v>31</v>
      </c>
      <c r="E11" s="5">
        <v>53148</v>
      </c>
      <c r="F11" s="6">
        <v>768.14804400000003</v>
      </c>
      <c r="G11" s="7">
        <v>2.4628491999999998E-2</v>
      </c>
      <c r="H11" s="51"/>
    </row>
    <row r="12" spans="1:14" ht="17.100000000000001" customHeight="1" x14ac:dyDescent="0.2">
      <c r="A12" s="3">
        <v>6</v>
      </c>
      <c r="B12" s="4" t="s">
        <v>319</v>
      </c>
      <c r="C12" s="4" t="s">
        <v>320</v>
      </c>
      <c r="D12" s="4" t="s">
        <v>248</v>
      </c>
      <c r="E12" s="5">
        <v>47190</v>
      </c>
      <c r="F12" s="6">
        <v>702.54112499999997</v>
      </c>
      <c r="G12" s="7">
        <v>2.2524992000000001E-2</v>
      </c>
      <c r="H12" s="51"/>
    </row>
    <row r="13" spans="1:14" ht="17.100000000000001" customHeight="1" x14ac:dyDescent="0.2">
      <c r="A13" s="3">
        <v>7</v>
      </c>
      <c r="B13" s="4" t="s">
        <v>17</v>
      </c>
      <c r="C13" s="4" t="s">
        <v>18</v>
      </c>
      <c r="D13" s="4" t="s">
        <v>19</v>
      </c>
      <c r="E13" s="5">
        <v>86009</v>
      </c>
      <c r="F13" s="6">
        <v>687.98599100000001</v>
      </c>
      <c r="G13" s="7">
        <v>2.2058323000000001E-2</v>
      </c>
      <c r="H13" s="51"/>
      <c r="J13" s="157" t="s">
        <v>1091</v>
      </c>
    </row>
    <row r="14" spans="1:14" ht="17.100000000000001" customHeight="1" x14ac:dyDescent="0.2">
      <c r="A14" s="3">
        <v>8</v>
      </c>
      <c r="B14" s="4" t="s">
        <v>302</v>
      </c>
      <c r="C14" s="4" t="s">
        <v>303</v>
      </c>
      <c r="D14" s="4" t="s">
        <v>251</v>
      </c>
      <c r="E14" s="5">
        <v>134532</v>
      </c>
      <c r="F14" s="6">
        <v>687.79485</v>
      </c>
      <c r="G14" s="7">
        <v>2.2052194000000001E-2</v>
      </c>
      <c r="H14" s="51"/>
    </row>
    <row r="15" spans="1:14" ht="17.100000000000001" customHeight="1" x14ac:dyDescent="0.2">
      <c r="A15" s="3">
        <v>9</v>
      </c>
      <c r="B15" s="4" t="s">
        <v>381</v>
      </c>
      <c r="C15" s="4" t="s">
        <v>382</v>
      </c>
      <c r="D15" s="4" t="s">
        <v>277</v>
      </c>
      <c r="E15" s="5">
        <v>52435</v>
      </c>
      <c r="F15" s="6">
        <v>661.28400250000004</v>
      </c>
      <c r="G15" s="7">
        <v>2.1202199000000001E-2</v>
      </c>
      <c r="H15" s="51"/>
    </row>
    <row r="16" spans="1:14" ht="17.100000000000001" customHeight="1" x14ac:dyDescent="0.2">
      <c r="A16" s="3">
        <v>10</v>
      </c>
      <c r="B16" s="4" t="s">
        <v>383</v>
      </c>
      <c r="C16" s="4" t="s">
        <v>384</v>
      </c>
      <c r="D16" s="4" t="s">
        <v>104</v>
      </c>
      <c r="E16" s="5">
        <v>39266</v>
      </c>
      <c r="F16" s="6">
        <v>647.67303700000002</v>
      </c>
      <c r="G16" s="7">
        <v>2.0765802E-2</v>
      </c>
      <c r="H16" s="51"/>
    </row>
    <row r="17" spans="1:8" ht="29.1" customHeight="1" x14ac:dyDescent="0.2">
      <c r="A17" s="3">
        <v>11</v>
      </c>
      <c r="B17" s="4" t="s">
        <v>182</v>
      </c>
      <c r="C17" s="4" t="s">
        <v>183</v>
      </c>
      <c r="D17" s="4" t="s">
        <v>184</v>
      </c>
      <c r="E17" s="5">
        <v>13734</v>
      </c>
      <c r="F17" s="6">
        <v>616.77333899999996</v>
      </c>
      <c r="G17" s="7">
        <v>1.9775091000000002E-2</v>
      </c>
      <c r="H17" s="51"/>
    </row>
    <row r="18" spans="1:8" ht="17.100000000000001" customHeight="1" x14ac:dyDescent="0.2">
      <c r="A18" s="3">
        <v>12</v>
      </c>
      <c r="B18" s="4" t="s">
        <v>385</v>
      </c>
      <c r="C18" s="4" t="s">
        <v>386</v>
      </c>
      <c r="D18" s="4" t="s">
        <v>104</v>
      </c>
      <c r="E18" s="5">
        <v>95870</v>
      </c>
      <c r="F18" s="6">
        <v>609.58939499999997</v>
      </c>
      <c r="G18" s="7">
        <v>1.9544757999999999E-2</v>
      </c>
      <c r="H18" s="51"/>
    </row>
    <row r="19" spans="1:8" ht="17.100000000000001" customHeight="1" x14ac:dyDescent="0.2">
      <c r="A19" s="3">
        <v>13</v>
      </c>
      <c r="B19" s="4" t="s">
        <v>32</v>
      </c>
      <c r="C19" s="4" t="s">
        <v>33</v>
      </c>
      <c r="D19" s="4" t="s">
        <v>31</v>
      </c>
      <c r="E19" s="5">
        <v>28730</v>
      </c>
      <c r="F19" s="6">
        <v>593.03029500000002</v>
      </c>
      <c r="G19" s="7">
        <v>1.9013836999999999E-2</v>
      </c>
      <c r="H19" s="51"/>
    </row>
    <row r="20" spans="1:8" ht="17.100000000000001" customHeight="1" x14ac:dyDescent="0.2">
      <c r="A20" s="3">
        <v>14</v>
      </c>
      <c r="B20" s="4" t="s">
        <v>90</v>
      </c>
      <c r="C20" s="4" t="s">
        <v>91</v>
      </c>
      <c r="D20" s="4" t="s">
        <v>92</v>
      </c>
      <c r="E20" s="5">
        <v>108670</v>
      </c>
      <c r="F20" s="6">
        <v>552.80429000000004</v>
      </c>
      <c r="G20" s="7">
        <v>1.7724104000000001E-2</v>
      </c>
      <c r="H20" s="51"/>
    </row>
    <row r="21" spans="1:8" ht="17.100000000000001" customHeight="1" x14ac:dyDescent="0.2">
      <c r="A21" s="3">
        <v>15</v>
      </c>
      <c r="B21" s="4" t="s">
        <v>313</v>
      </c>
      <c r="C21" s="4" t="s">
        <v>314</v>
      </c>
      <c r="D21" s="4" t="s">
        <v>315</v>
      </c>
      <c r="E21" s="5">
        <v>39741</v>
      </c>
      <c r="F21" s="6">
        <v>541.27242000000001</v>
      </c>
      <c r="G21" s="7">
        <v>1.7354367999999998E-2</v>
      </c>
      <c r="H21" s="51"/>
    </row>
    <row r="22" spans="1:8" ht="29.1" customHeight="1" x14ac:dyDescent="0.2">
      <c r="A22" s="3">
        <v>16</v>
      </c>
      <c r="B22" s="4" t="s">
        <v>201</v>
      </c>
      <c r="C22" s="4" t="s">
        <v>202</v>
      </c>
      <c r="D22" s="4" t="s">
        <v>203</v>
      </c>
      <c r="E22" s="5">
        <v>102522</v>
      </c>
      <c r="F22" s="6">
        <v>525.93786</v>
      </c>
      <c r="G22" s="7">
        <v>1.6862708000000001E-2</v>
      </c>
      <c r="H22" s="51"/>
    </row>
    <row r="23" spans="1:8" ht="17.100000000000001" customHeight="1" x14ac:dyDescent="0.2">
      <c r="A23" s="3">
        <v>17</v>
      </c>
      <c r="B23" s="4" t="s">
        <v>387</v>
      </c>
      <c r="C23" s="4" t="s">
        <v>388</v>
      </c>
      <c r="D23" s="4" t="s">
        <v>208</v>
      </c>
      <c r="E23" s="5">
        <v>178406</v>
      </c>
      <c r="F23" s="6">
        <v>510.41956599999997</v>
      </c>
      <c r="G23" s="7">
        <v>1.6365158000000001E-2</v>
      </c>
      <c r="H23" s="51"/>
    </row>
    <row r="24" spans="1:8" ht="17.100000000000001" customHeight="1" x14ac:dyDescent="0.2">
      <c r="A24" s="3">
        <v>18</v>
      </c>
      <c r="B24" s="4" t="s">
        <v>389</v>
      </c>
      <c r="C24" s="4" t="s">
        <v>390</v>
      </c>
      <c r="D24" s="4" t="s">
        <v>248</v>
      </c>
      <c r="E24" s="5">
        <v>67444</v>
      </c>
      <c r="F24" s="6">
        <v>484.517696</v>
      </c>
      <c r="G24" s="7">
        <v>1.5534688E-2</v>
      </c>
      <c r="H24" s="51"/>
    </row>
    <row r="25" spans="1:8" ht="17.100000000000001" customHeight="1" x14ac:dyDescent="0.2">
      <c r="A25" s="3">
        <v>19</v>
      </c>
      <c r="B25" s="4" t="s">
        <v>174</v>
      </c>
      <c r="C25" s="4" t="s">
        <v>175</v>
      </c>
      <c r="D25" s="4" t="s">
        <v>22</v>
      </c>
      <c r="E25" s="5">
        <v>222000</v>
      </c>
      <c r="F25" s="6">
        <v>480.18599999999998</v>
      </c>
      <c r="G25" s="7">
        <v>1.5395804000000001E-2</v>
      </c>
      <c r="H25" s="51"/>
    </row>
    <row r="26" spans="1:8" ht="17.100000000000001" customHeight="1" x14ac:dyDescent="0.2">
      <c r="A26" s="3">
        <v>20</v>
      </c>
      <c r="B26" s="4" t="s">
        <v>244</v>
      </c>
      <c r="C26" s="4" t="s">
        <v>245</v>
      </c>
      <c r="D26" s="4" t="s">
        <v>223</v>
      </c>
      <c r="E26" s="5">
        <v>14600</v>
      </c>
      <c r="F26" s="6">
        <v>473.21519999999998</v>
      </c>
      <c r="G26" s="7">
        <v>1.5172305000000001E-2</v>
      </c>
      <c r="H26" s="51"/>
    </row>
    <row r="27" spans="1:8" ht="17.100000000000001" customHeight="1" x14ac:dyDescent="0.2">
      <c r="A27" s="3">
        <v>21</v>
      </c>
      <c r="B27" s="4" t="s">
        <v>391</v>
      </c>
      <c r="C27" s="4" t="s">
        <v>392</v>
      </c>
      <c r="D27" s="4" t="s">
        <v>97</v>
      </c>
      <c r="E27" s="5">
        <v>93044</v>
      </c>
      <c r="F27" s="6">
        <v>446.42511200000001</v>
      </c>
      <c r="G27" s="7">
        <v>1.4313357000000001E-2</v>
      </c>
      <c r="H27" s="51"/>
    </row>
    <row r="28" spans="1:8" ht="17.100000000000001" customHeight="1" x14ac:dyDescent="0.2">
      <c r="A28" s="3">
        <v>22</v>
      </c>
      <c r="B28" s="4" t="s">
        <v>393</v>
      </c>
      <c r="C28" s="4" t="s">
        <v>394</v>
      </c>
      <c r="D28" s="4" t="s">
        <v>97</v>
      </c>
      <c r="E28" s="5">
        <v>48222</v>
      </c>
      <c r="F28" s="6">
        <v>421.24328100000002</v>
      </c>
      <c r="G28" s="7">
        <v>1.3505972999999999E-2</v>
      </c>
      <c r="H28" s="51"/>
    </row>
    <row r="29" spans="1:8" ht="29.1" customHeight="1" x14ac:dyDescent="0.2">
      <c r="A29" s="3">
        <v>23</v>
      </c>
      <c r="B29" s="4" t="s">
        <v>316</v>
      </c>
      <c r="C29" s="4" t="s">
        <v>317</v>
      </c>
      <c r="D29" s="4" t="s">
        <v>318</v>
      </c>
      <c r="E29" s="5">
        <v>62196</v>
      </c>
      <c r="F29" s="6">
        <v>401.31968999999998</v>
      </c>
      <c r="G29" s="7">
        <v>1.2867180000000001E-2</v>
      </c>
      <c r="H29" s="51"/>
    </row>
    <row r="30" spans="1:8" ht="17.100000000000001" customHeight="1" x14ac:dyDescent="0.2">
      <c r="A30" s="3">
        <v>24</v>
      </c>
      <c r="B30" s="4" t="s">
        <v>395</v>
      </c>
      <c r="C30" s="4" t="s">
        <v>396</v>
      </c>
      <c r="D30" s="4" t="s">
        <v>315</v>
      </c>
      <c r="E30" s="5">
        <v>32420</v>
      </c>
      <c r="F30" s="6">
        <v>395.11874999999998</v>
      </c>
      <c r="G30" s="7">
        <v>1.2668364E-2</v>
      </c>
      <c r="H30" s="51"/>
    </row>
    <row r="31" spans="1:8" ht="29.1" customHeight="1" x14ac:dyDescent="0.2">
      <c r="A31" s="3">
        <v>25</v>
      </c>
      <c r="B31" s="4" t="s">
        <v>397</v>
      </c>
      <c r="C31" s="4" t="s">
        <v>398</v>
      </c>
      <c r="D31" s="4" t="s">
        <v>75</v>
      </c>
      <c r="E31" s="5">
        <v>24905</v>
      </c>
      <c r="F31" s="6">
        <v>394.42048499999999</v>
      </c>
      <c r="G31" s="7">
        <v>1.2645976E-2</v>
      </c>
      <c r="H31" s="51"/>
    </row>
    <row r="32" spans="1:8" ht="29.1" customHeight="1" x14ac:dyDescent="0.2">
      <c r="A32" s="3">
        <v>26</v>
      </c>
      <c r="B32" s="4" t="s">
        <v>399</v>
      </c>
      <c r="C32" s="4" t="s">
        <v>400</v>
      </c>
      <c r="D32" s="4" t="s">
        <v>48</v>
      </c>
      <c r="E32" s="5">
        <v>14118</v>
      </c>
      <c r="F32" s="6">
        <v>379.44948599999998</v>
      </c>
      <c r="G32" s="7">
        <v>1.2165973E-2</v>
      </c>
      <c r="H32" s="51"/>
    </row>
    <row r="33" spans="1:8" ht="17.100000000000001" customHeight="1" x14ac:dyDescent="0.2">
      <c r="A33" s="3">
        <v>27</v>
      </c>
      <c r="B33" s="4" t="s">
        <v>401</v>
      </c>
      <c r="C33" s="4" t="s">
        <v>402</v>
      </c>
      <c r="D33" s="4" t="s">
        <v>223</v>
      </c>
      <c r="E33" s="5">
        <v>56320</v>
      </c>
      <c r="F33" s="6">
        <v>371.65568000000002</v>
      </c>
      <c r="G33" s="7">
        <v>1.1916087000000001E-2</v>
      </c>
      <c r="H33" s="51"/>
    </row>
    <row r="34" spans="1:8" ht="17.100000000000001" customHeight="1" x14ac:dyDescent="0.2">
      <c r="A34" s="3">
        <v>28</v>
      </c>
      <c r="B34" s="4" t="s">
        <v>403</v>
      </c>
      <c r="C34" s="4" t="s">
        <v>404</v>
      </c>
      <c r="D34" s="4" t="s">
        <v>277</v>
      </c>
      <c r="E34" s="5">
        <v>43772</v>
      </c>
      <c r="F34" s="6">
        <v>347.06818800000002</v>
      </c>
      <c r="G34" s="7">
        <v>1.1127758999999999E-2</v>
      </c>
      <c r="H34" s="51"/>
    </row>
    <row r="35" spans="1:8" ht="17.100000000000001" customHeight="1" x14ac:dyDescent="0.2">
      <c r="A35" s="3">
        <v>29</v>
      </c>
      <c r="B35" s="4" t="s">
        <v>405</v>
      </c>
      <c r="C35" s="4" t="s">
        <v>406</v>
      </c>
      <c r="D35" s="4" t="s">
        <v>31</v>
      </c>
      <c r="E35" s="5">
        <v>37025</v>
      </c>
      <c r="F35" s="6">
        <v>331.89210000000003</v>
      </c>
      <c r="G35" s="7">
        <v>1.064118E-2</v>
      </c>
      <c r="H35" s="51"/>
    </row>
    <row r="36" spans="1:8" ht="29.1" customHeight="1" x14ac:dyDescent="0.2">
      <c r="A36" s="3">
        <v>30</v>
      </c>
      <c r="B36" s="4" t="s">
        <v>407</v>
      </c>
      <c r="C36" s="4" t="s">
        <v>408</v>
      </c>
      <c r="D36" s="4" t="s">
        <v>203</v>
      </c>
      <c r="E36" s="5">
        <v>100993</v>
      </c>
      <c r="F36" s="6">
        <v>331.156047</v>
      </c>
      <c r="G36" s="7">
        <v>1.0617580999999999E-2</v>
      </c>
      <c r="H36" s="51"/>
    </row>
    <row r="37" spans="1:8" ht="17.100000000000001" customHeight="1" x14ac:dyDescent="0.2">
      <c r="A37" s="3">
        <v>31</v>
      </c>
      <c r="B37" s="4" t="s">
        <v>409</v>
      </c>
      <c r="C37" s="4" t="s">
        <v>410</v>
      </c>
      <c r="D37" s="4" t="s">
        <v>104</v>
      </c>
      <c r="E37" s="5">
        <v>49939</v>
      </c>
      <c r="F37" s="6">
        <v>324.30386600000003</v>
      </c>
      <c r="G37" s="7">
        <v>1.0397885000000001E-2</v>
      </c>
      <c r="H37" s="51"/>
    </row>
    <row r="38" spans="1:8" ht="17.100000000000001" customHeight="1" x14ac:dyDescent="0.2">
      <c r="A38" s="3">
        <v>32</v>
      </c>
      <c r="B38" s="4" t="s">
        <v>411</v>
      </c>
      <c r="C38" s="4" t="s">
        <v>412</v>
      </c>
      <c r="D38" s="4" t="s">
        <v>13</v>
      </c>
      <c r="E38" s="5">
        <v>76646</v>
      </c>
      <c r="F38" s="6">
        <v>322.986244</v>
      </c>
      <c r="G38" s="7">
        <v>1.0355639E-2</v>
      </c>
      <c r="H38" s="51"/>
    </row>
    <row r="39" spans="1:8" ht="29.1" customHeight="1" x14ac:dyDescent="0.2">
      <c r="A39" s="3">
        <v>33</v>
      </c>
      <c r="B39" s="4" t="s">
        <v>291</v>
      </c>
      <c r="C39" s="4" t="s">
        <v>292</v>
      </c>
      <c r="D39" s="4" t="s">
        <v>184</v>
      </c>
      <c r="E39" s="5">
        <v>42540</v>
      </c>
      <c r="F39" s="6">
        <v>319.53921000000003</v>
      </c>
      <c r="G39" s="7">
        <v>1.024512E-2</v>
      </c>
      <c r="H39" s="51"/>
    </row>
    <row r="40" spans="1:8" ht="17.100000000000001" customHeight="1" x14ac:dyDescent="0.2">
      <c r="A40" s="3">
        <v>34</v>
      </c>
      <c r="B40" s="4" t="s">
        <v>41</v>
      </c>
      <c r="C40" s="4" t="s">
        <v>42</v>
      </c>
      <c r="D40" s="4" t="s">
        <v>16</v>
      </c>
      <c r="E40" s="5">
        <v>60165</v>
      </c>
      <c r="F40" s="6">
        <v>319.23549000000003</v>
      </c>
      <c r="G40" s="7">
        <v>1.0235381999999999E-2</v>
      </c>
      <c r="H40" s="51"/>
    </row>
    <row r="41" spans="1:8" ht="29.1" customHeight="1" x14ac:dyDescent="0.2">
      <c r="A41" s="3">
        <v>35</v>
      </c>
      <c r="B41" s="4" t="s">
        <v>413</v>
      </c>
      <c r="C41" s="4" t="s">
        <v>414</v>
      </c>
      <c r="D41" s="4" t="s">
        <v>367</v>
      </c>
      <c r="E41" s="5">
        <v>63174</v>
      </c>
      <c r="F41" s="6">
        <v>317.44934999999998</v>
      </c>
      <c r="G41" s="7">
        <v>1.0178115E-2</v>
      </c>
      <c r="H41" s="51"/>
    </row>
    <row r="42" spans="1:8" ht="29.1" customHeight="1" x14ac:dyDescent="0.2">
      <c r="A42" s="3">
        <v>36</v>
      </c>
      <c r="B42" s="4" t="s">
        <v>63</v>
      </c>
      <c r="C42" s="4" t="s">
        <v>64</v>
      </c>
      <c r="D42" s="4" t="s">
        <v>25</v>
      </c>
      <c r="E42" s="5">
        <v>11904</v>
      </c>
      <c r="F42" s="6">
        <v>312.55737599999998</v>
      </c>
      <c r="G42" s="7">
        <v>1.0021267E-2</v>
      </c>
      <c r="H42" s="51"/>
    </row>
    <row r="43" spans="1:8" ht="17.100000000000001" customHeight="1" x14ac:dyDescent="0.2">
      <c r="A43" s="3">
        <v>37</v>
      </c>
      <c r="B43" s="4" t="s">
        <v>240</v>
      </c>
      <c r="C43" s="4" t="s">
        <v>241</v>
      </c>
      <c r="D43" s="4" t="s">
        <v>97</v>
      </c>
      <c r="E43" s="5">
        <v>47685</v>
      </c>
      <c r="F43" s="6">
        <v>311.66915999999998</v>
      </c>
      <c r="G43" s="7">
        <v>9.9927890000000002E-3</v>
      </c>
      <c r="H43" s="51"/>
    </row>
    <row r="44" spans="1:8" ht="17.100000000000001" customHeight="1" x14ac:dyDescent="0.2">
      <c r="A44" s="3">
        <v>38</v>
      </c>
      <c r="B44" s="4" t="s">
        <v>242</v>
      </c>
      <c r="C44" s="4" t="s">
        <v>243</v>
      </c>
      <c r="D44" s="4" t="s">
        <v>72</v>
      </c>
      <c r="E44" s="5">
        <v>6806</v>
      </c>
      <c r="F44" s="6">
        <v>309.49604399999998</v>
      </c>
      <c r="G44" s="7">
        <v>9.9231140000000002E-3</v>
      </c>
      <c r="H44" s="51"/>
    </row>
    <row r="45" spans="1:8" ht="17.100000000000001" customHeight="1" x14ac:dyDescent="0.2">
      <c r="A45" s="3">
        <v>39</v>
      </c>
      <c r="B45" s="4" t="s">
        <v>415</v>
      </c>
      <c r="C45" s="4" t="s">
        <v>416</v>
      </c>
      <c r="D45" s="4" t="s">
        <v>31</v>
      </c>
      <c r="E45" s="5">
        <v>33015</v>
      </c>
      <c r="F45" s="6">
        <v>301.85614500000003</v>
      </c>
      <c r="G45" s="7">
        <v>9.678163E-3</v>
      </c>
      <c r="H45" s="51"/>
    </row>
    <row r="46" spans="1:8" ht="53.1" customHeight="1" x14ac:dyDescent="0.2">
      <c r="A46" s="3">
        <v>40</v>
      </c>
      <c r="B46" s="4" t="s">
        <v>335</v>
      </c>
      <c r="C46" s="4" t="s">
        <v>863</v>
      </c>
      <c r="D46" s="4" t="s">
        <v>45</v>
      </c>
      <c r="E46" s="5">
        <v>108094</v>
      </c>
      <c r="F46" s="6">
        <v>297.42064099999999</v>
      </c>
      <c r="G46" s="7">
        <v>9.5359510000000008E-3</v>
      </c>
      <c r="H46" s="51"/>
    </row>
    <row r="47" spans="1:8" ht="17.100000000000001" customHeight="1" x14ac:dyDescent="0.2">
      <c r="A47" s="3">
        <v>41</v>
      </c>
      <c r="B47" s="4" t="s">
        <v>417</v>
      </c>
      <c r="C47" s="4" t="s">
        <v>418</v>
      </c>
      <c r="D47" s="4" t="s">
        <v>92</v>
      </c>
      <c r="E47" s="5">
        <v>21225</v>
      </c>
      <c r="F47" s="6">
        <v>296.95897500000001</v>
      </c>
      <c r="G47" s="7">
        <v>9.5211489999999996E-3</v>
      </c>
      <c r="H47" s="51"/>
    </row>
    <row r="48" spans="1:8" ht="29.1" customHeight="1" x14ac:dyDescent="0.2">
      <c r="A48" s="3">
        <v>42</v>
      </c>
      <c r="B48" s="4" t="s">
        <v>419</v>
      </c>
      <c r="C48" s="4" t="s">
        <v>420</v>
      </c>
      <c r="D48" s="4" t="s">
        <v>203</v>
      </c>
      <c r="E48" s="5">
        <v>15127</v>
      </c>
      <c r="F48" s="6">
        <v>290.40814599999999</v>
      </c>
      <c r="G48" s="7">
        <v>9.311115E-3</v>
      </c>
      <c r="H48" s="51"/>
    </row>
    <row r="49" spans="1:8" ht="17.100000000000001" customHeight="1" x14ac:dyDescent="0.2">
      <c r="A49" s="3">
        <v>43</v>
      </c>
      <c r="B49" s="4" t="s">
        <v>421</v>
      </c>
      <c r="C49" s="4" t="s">
        <v>422</v>
      </c>
      <c r="D49" s="4" t="s">
        <v>104</v>
      </c>
      <c r="E49" s="5">
        <v>25665</v>
      </c>
      <c r="F49" s="6">
        <v>282.48182250000002</v>
      </c>
      <c r="G49" s="7">
        <v>9.0569799999999992E-3</v>
      </c>
      <c r="H49" s="51"/>
    </row>
    <row r="50" spans="1:8" ht="29.1" customHeight="1" x14ac:dyDescent="0.2">
      <c r="A50" s="3">
        <v>44</v>
      </c>
      <c r="B50" s="4" t="s">
        <v>423</v>
      </c>
      <c r="C50" s="4" t="s">
        <v>424</v>
      </c>
      <c r="D50" s="4" t="s">
        <v>318</v>
      </c>
      <c r="E50" s="5">
        <v>65640</v>
      </c>
      <c r="F50" s="6">
        <v>273.35777999999999</v>
      </c>
      <c r="G50" s="7">
        <v>8.7644430000000002E-3</v>
      </c>
      <c r="H50" s="51"/>
    </row>
    <row r="51" spans="1:8" ht="17.100000000000001" customHeight="1" x14ac:dyDescent="0.2">
      <c r="A51" s="3">
        <v>45</v>
      </c>
      <c r="B51" s="4" t="s">
        <v>425</v>
      </c>
      <c r="C51" s="4" t="s">
        <v>426</v>
      </c>
      <c r="D51" s="4" t="s">
        <v>13</v>
      </c>
      <c r="E51" s="5">
        <v>343241</v>
      </c>
      <c r="F51" s="6">
        <v>268.41446200000001</v>
      </c>
      <c r="G51" s="7">
        <v>8.6059499999999994E-3</v>
      </c>
      <c r="H51" s="51"/>
    </row>
    <row r="52" spans="1:8" ht="17.100000000000001" customHeight="1" x14ac:dyDescent="0.2">
      <c r="A52" s="3">
        <v>46</v>
      </c>
      <c r="B52" s="4" t="s">
        <v>427</v>
      </c>
      <c r="C52" s="4" t="s">
        <v>428</v>
      </c>
      <c r="D52" s="4" t="s">
        <v>97</v>
      </c>
      <c r="E52" s="5">
        <v>25528</v>
      </c>
      <c r="F52" s="6">
        <v>253.77384799999999</v>
      </c>
      <c r="G52" s="7">
        <v>8.1365399999999994E-3</v>
      </c>
      <c r="H52" s="51"/>
    </row>
    <row r="53" spans="1:8" ht="29.1" customHeight="1" x14ac:dyDescent="0.2">
      <c r="A53" s="3">
        <v>47</v>
      </c>
      <c r="B53" s="4" t="s">
        <v>429</v>
      </c>
      <c r="C53" s="4" t="s">
        <v>430</v>
      </c>
      <c r="D53" s="4" t="s">
        <v>431</v>
      </c>
      <c r="E53" s="5">
        <v>174728</v>
      </c>
      <c r="F53" s="6">
        <v>232.30087599999999</v>
      </c>
      <c r="G53" s="7">
        <v>7.4480700000000002E-3</v>
      </c>
      <c r="H53" s="51"/>
    </row>
    <row r="54" spans="1:8" ht="17.100000000000001" customHeight="1" x14ac:dyDescent="0.2">
      <c r="A54" s="3">
        <v>48</v>
      </c>
      <c r="B54" s="4" t="s">
        <v>432</v>
      </c>
      <c r="C54" s="4" t="s">
        <v>433</v>
      </c>
      <c r="D54" s="4" t="s">
        <v>192</v>
      </c>
      <c r="E54" s="5">
        <v>26884</v>
      </c>
      <c r="F54" s="6">
        <v>228.44678999999999</v>
      </c>
      <c r="G54" s="7">
        <v>7.3244989999999999E-3</v>
      </c>
      <c r="H54" s="51"/>
    </row>
    <row r="55" spans="1:8" ht="29.1" customHeight="1" x14ac:dyDescent="0.2">
      <c r="A55" s="3">
        <v>49</v>
      </c>
      <c r="B55" s="4" t="s">
        <v>434</v>
      </c>
      <c r="C55" s="4" t="s">
        <v>435</v>
      </c>
      <c r="D55" s="4" t="s">
        <v>184</v>
      </c>
      <c r="E55" s="5">
        <v>23134</v>
      </c>
      <c r="F55" s="6">
        <v>224.3998</v>
      </c>
      <c r="G55" s="7">
        <v>7.1947440000000003E-3</v>
      </c>
      <c r="H55" s="51"/>
    </row>
    <row r="56" spans="1:8" ht="17.100000000000001" customHeight="1" x14ac:dyDescent="0.2">
      <c r="A56" s="3">
        <v>50</v>
      </c>
      <c r="B56" s="4" t="s">
        <v>436</v>
      </c>
      <c r="C56" s="4" t="s">
        <v>437</v>
      </c>
      <c r="D56" s="4" t="s">
        <v>72</v>
      </c>
      <c r="E56" s="5">
        <v>34339</v>
      </c>
      <c r="F56" s="6">
        <v>218.96263350000001</v>
      </c>
      <c r="G56" s="7">
        <v>7.0204170000000002E-3</v>
      </c>
      <c r="H56" s="51"/>
    </row>
    <row r="57" spans="1:8" ht="29.1" customHeight="1" x14ac:dyDescent="0.2">
      <c r="A57" s="3">
        <v>51</v>
      </c>
      <c r="B57" s="4" t="s">
        <v>438</v>
      </c>
      <c r="C57" s="4" t="s">
        <v>439</v>
      </c>
      <c r="D57" s="4" t="s">
        <v>104</v>
      </c>
      <c r="E57" s="5">
        <v>12284</v>
      </c>
      <c r="F57" s="6">
        <v>170.710748</v>
      </c>
      <c r="G57" s="7">
        <v>5.4733569999999999E-3</v>
      </c>
      <c r="H57" s="51"/>
    </row>
    <row r="58" spans="1:8" ht="17.100000000000001" customHeight="1" x14ac:dyDescent="0.2">
      <c r="A58" s="3">
        <v>52</v>
      </c>
      <c r="B58" s="4" t="s">
        <v>440</v>
      </c>
      <c r="C58" s="4" t="s">
        <v>441</v>
      </c>
      <c r="D58" s="4" t="s">
        <v>51</v>
      </c>
      <c r="E58" s="5">
        <v>20537</v>
      </c>
      <c r="F58" s="6">
        <v>157.4469105</v>
      </c>
      <c r="G58" s="7">
        <v>5.0480890000000004E-3</v>
      </c>
      <c r="H58" s="51"/>
    </row>
    <row r="59" spans="1:8" ht="17.100000000000001" customHeight="1" x14ac:dyDescent="0.2">
      <c r="A59" s="3">
        <v>53</v>
      </c>
      <c r="B59" s="4" t="s">
        <v>442</v>
      </c>
      <c r="C59" s="4" t="s">
        <v>443</v>
      </c>
      <c r="D59" s="4" t="s">
        <v>232</v>
      </c>
      <c r="E59" s="5">
        <v>20203</v>
      </c>
      <c r="F59" s="6">
        <v>146.188908</v>
      </c>
      <c r="G59" s="7">
        <v>4.6871329999999996E-3</v>
      </c>
      <c r="H59" s="51"/>
    </row>
    <row r="60" spans="1:8" ht="17.100000000000001" customHeight="1" x14ac:dyDescent="0.2">
      <c r="A60" s="3">
        <v>54</v>
      </c>
      <c r="B60" s="4" t="s">
        <v>444</v>
      </c>
      <c r="C60" s="4" t="s">
        <v>445</v>
      </c>
      <c r="D60" s="4" t="s">
        <v>31</v>
      </c>
      <c r="E60" s="5">
        <v>16941</v>
      </c>
      <c r="F60" s="6">
        <v>135.28235549999999</v>
      </c>
      <c r="G60" s="7">
        <v>4.337446E-3</v>
      </c>
      <c r="H60" s="51"/>
    </row>
    <row r="61" spans="1:8" ht="29.1" customHeight="1" x14ac:dyDescent="0.2">
      <c r="A61" s="3">
        <v>55</v>
      </c>
      <c r="B61" s="4" t="s">
        <v>446</v>
      </c>
      <c r="C61" s="4" t="s">
        <v>447</v>
      </c>
      <c r="D61" s="4" t="s">
        <v>203</v>
      </c>
      <c r="E61" s="5">
        <v>3032</v>
      </c>
      <c r="F61" s="6">
        <v>124.522724</v>
      </c>
      <c r="G61" s="7">
        <v>3.9924690000000002E-3</v>
      </c>
      <c r="H61" s="51"/>
    </row>
    <row r="62" spans="1:8" ht="17.100000000000001" customHeight="1" x14ac:dyDescent="0.2">
      <c r="A62" s="3">
        <v>56</v>
      </c>
      <c r="B62" s="4" t="s">
        <v>340</v>
      </c>
      <c r="C62" s="4" t="s">
        <v>341</v>
      </c>
      <c r="D62" s="4" t="s">
        <v>92</v>
      </c>
      <c r="E62" s="5">
        <v>161000</v>
      </c>
      <c r="F62" s="6">
        <v>120.10599999999999</v>
      </c>
      <c r="G62" s="7">
        <v>3.8508589999999999E-3</v>
      </c>
      <c r="H62" s="51"/>
    </row>
    <row r="63" spans="1:8" ht="29.1" customHeight="1" x14ac:dyDescent="0.2">
      <c r="A63" s="3">
        <v>57</v>
      </c>
      <c r="B63" s="4" t="s">
        <v>448</v>
      </c>
      <c r="C63" s="4" t="s">
        <v>449</v>
      </c>
      <c r="D63" s="4" t="s">
        <v>203</v>
      </c>
      <c r="E63" s="5">
        <v>49569</v>
      </c>
      <c r="F63" s="6">
        <v>116.0658135</v>
      </c>
      <c r="G63" s="7">
        <v>3.721322E-3</v>
      </c>
      <c r="H63" s="51"/>
    </row>
    <row r="64" spans="1:8" ht="29.1" customHeight="1" x14ac:dyDescent="0.2">
      <c r="A64" s="3">
        <v>58</v>
      </c>
      <c r="B64" s="4" t="s">
        <v>327</v>
      </c>
      <c r="C64" s="4" t="s">
        <v>328</v>
      </c>
      <c r="D64" s="4" t="s">
        <v>184</v>
      </c>
      <c r="E64" s="5">
        <v>23384</v>
      </c>
      <c r="F64" s="6">
        <v>98.025728000000001</v>
      </c>
      <c r="G64" s="7">
        <v>3.1429169999999998E-3</v>
      </c>
      <c r="H64" s="51"/>
    </row>
    <row r="65" spans="1:8" ht="17.100000000000001" customHeight="1" x14ac:dyDescent="0.2">
      <c r="A65" s="3">
        <v>59</v>
      </c>
      <c r="B65" s="4" t="s">
        <v>450</v>
      </c>
      <c r="C65" s="4" t="s">
        <v>451</v>
      </c>
      <c r="D65" s="4" t="s">
        <v>104</v>
      </c>
      <c r="E65" s="5">
        <v>23405</v>
      </c>
      <c r="F65" s="6">
        <v>70.215000000000003</v>
      </c>
      <c r="G65" s="7">
        <v>2.2512449999999998E-3</v>
      </c>
      <c r="H65" s="51"/>
    </row>
    <row r="66" spans="1:8" ht="29.1" customHeight="1" x14ac:dyDescent="0.2">
      <c r="A66" s="3">
        <v>60</v>
      </c>
      <c r="B66" s="4" t="s">
        <v>452</v>
      </c>
      <c r="C66" s="4" t="s">
        <v>453</v>
      </c>
      <c r="D66" s="4" t="s">
        <v>60</v>
      </c>
      <c r="E66" s="5">
        <v>14211</v>
      </c>
      <c r="F66" s="6">
        <v>52.950186000000002</v>
      </c>
      <c r="G66" s="7">
        <v>1.6976980000000001E-3</v>
      </c>
      <c r="H66" s="51"/>
    </row>
    <row r="67" spans="1:8" ht="17.100000000000001" customHeight="1" x14ac:dyDescent="0.2">
      <c r="A67" s="3">
        <v>61</v>
      </c>
      <c r="B67" s="4" t="s">
        <v>454</v>
      </c>
      <c r="C67" s="4" t="s">
        <v>455</v>
      </c>
      <c r="D67" s="4" t="s">
        <v>16</v>
      </c>
      <c r="E67" s="5">
        <v>12313</v>
      </c>
      <c r="F67" s="6">
        <v>27.414894499999999</v>
      </c>
      <c r="G67" s="7">
        <v>8.7898100000000003E-4</v>
      </c>
      <c r="H67" s="51"/>
    </row>
    <row r="68" spans="1:8" ht="14.1" customHeight="1" x14ac:dyDescent="0.2">
      <c r="A68" s="1"/>
      <c r="B68" s="1"/>
      <c r="C68" s="2" t="s">
        <v>129</v>
      </c>
      <c r="D68" s="1"/>
      <c r="E68" s="1" t="s">
        <v>130</v>
      </c>
      <c r="F68" s="9">
        <v>24018.660210499998</v>
      </c>
      <c r="G68" s="10">
        <v>0.77009033100000002</v>
      </c>
      <c r="H68" s="51"/>
    </row>
    <row r="69" spans="1:8" ht="14.1" customHeight="1" x14ac:dyDescent="0.2">
      <c r="A69" s="1"/>
      <c r="B69" s="1"/>
      <c r="C69" s="11"/>
      <c r="D69" s="1"/>
      <c r="E69" s="1"/>
      <c r="F69" s="12"/>
      <c r="G69" s="12"/>
      <c r="H69" s="51"/>
    </row>
    <row r="70" spans="1:8" ht="14.1" customHeight="1" x14ac:dyDescent="0.2">
      <c r="A70" s="1"/>
      <c r="B70" s="1"/>
      <c r="C70" s="2" t="s">
        <v>131</v>
      </c>
      <c r="D70" s="1"/>
      <c r="E70" s="1"/>
      <c r="F70" s="1"/>
      <c r="G70" s="1"/>
      <c r="H70" s="51"/>
    </row>
    <row r="71" spans="1:8" ht="14.1" customHeight="1" x14ac:dyDescent="0.2">
      <c r="A71" s="1"/>
      <c r="B71" s="1"/>
      <c r="C71" s="2" t="s">
        <v>129</v>
      </c>
      <c r="D71" s="1"/>
      <c r="E71" s="1" t="s">
        <v>130</v>
      </c>
      <c r="F71" s="13">
        <v>0</v>
      </c>
      <c r="G71" s="14">
        <v>0</v>
      </c>
      <c r="H71" s="51"/>
    </row>
    <row r="72" spans="1:8" ht="14.1" customHeight="1" x14ac:dyDescent="0.2">
      <c r="A72" s="1"/>
      <c r="B72" s="1"/>
      <c r="C72" s="11"/>
      <c r="D72" s="1"/>
      <c r="E72" s="1"/>
      <c r="F72" s="12"/>
      <c r="G72" s="12"/>
      <c r="H72" s="51"/>
    </row>
    <row r="73" spans="1:8" ht="14.1" customHeight="1" x14ac:dyDescent="0.2">
      <c r="A73" s="1"/>
      <c r="B73" s="1"/>
      <c r="C73" s="2" t="s">
        <v>132</v>
      </c>
      <c r="D73" s="1"/>
      <c r="E73" s="1"/>
      <c r="F73" s="1"/>
      <c r="G73" s="1"/>
      <c r="H73" s="51"/>
    </row>
    <row r="74" spans="1:8" ht="14.1" customHeight="1" x14ac:dyDescent="0.2">
      <c r="A74" s="1"/>
      <c r="B74" s="1"/>
      <c r="C74" s="2" t="s">
        <v>129</v>
      </c>
      <c r="D74" s="1"/>
      <c r="E74" s="1" t="s">
        <v>130</v>
      </c>
      <c r="F74" s="13">
        <v>0</v>
      </c>
      <c r="G74" s="14">
        <v>0</v>
      </c>
      <c r="H74" s="51"/>
    </row>
    <row r="75" spans="1:8" ht="14.1" customHeight="1" x14ac:dyDescent="0.2">
      <c r="A75" s="1"/>
      <c r="B75" s="1"/>
      <c r="C75" s="11"/>
      <c r="D75" s="1"/>
      <c r="E75" s="1"/>
      <c r="F75" s="12"/>
      <c r="G75" s="12"/>
      <c r="H75" s="51"/>
    </row>
    <row r="76" spans="1:8" ht="14.1" customHeight="1" x14ac:dyDescent="0.2">
      <c r="A76" s="1"/>
      <c r="B76" s="1"/>
      <c r="C76" s="2" t="s">
        <v>133</v>
      </c>
      <c r="D76" s="1"/>
      <c r="E76" s="1"/>
      <c r="F76" s="1"/>
      <c r="G76" s="1"/>
      <c r="H76" s="51"/>
    </row>
    <row r="77" spans="1:8" ht="14.1" customHeight="1" x14ac:dyDescent="0.2">
      <c r="A77" s="1"/>
      <c r="B77" s="1"/>
      <c r="C77" s="2" t="s">
        <v>129</v>
      </c>
      <c r="D77" s="1"/>
      <c r="E77" s="1" t="s">
        <v>130</v>
      </c>
      <c r="F77" s="13">
        <v>0</v>
      </c>
      <c r="G77" s="14">
        <v>0</v>
      </c>
      <c r="H77" s="51"/>
    </row>
    <row r="78" spans="1:8" ht="14.1" customHeight="1" x14ac:dyDescent="0.2">
      <c r="A78" s="1"/>
      <c r="B78" s="1"/>
      <c r="C78" s="11"/>
      <c r="D78" s="1"/>
      <c r="E78" s="1"/>
      <c r="F78" s="12"/>
      <c r="G78" s="12"/>
      <c r="H78" s="51"/>
    </row>
    <row r="79" spans="1:8" ht="14.1" customHeight="1" x14ac:dyDescent="0.2">
      <c r="A79" s="1"/>
      <c r="B79" s="1"/>
      <c r="C79" s="2" t="s">
        <v>134</v>
      </c>
      <c r="D79" s="1"/>
      <c r="E79" s="1"/>
      <c r="F79" s="12"/>
      <c r="G79" s="12"/>
      <c r="H79" s="51"/>
    </row>
    <row r="80" spans="1:8" ht="14.1" customHeight="1" x14ac:dyDescent="0.2">
      <c r="A80" s="1"/>
      <c r="B80" s="1"/>
      <c r="C80" s="2" t="s">
        <v>129</v>
      </c>
      <c r="D80" s="1"/>
      <c r="E80" s="1" t="s">
        <v>130</v>
      </c>
      <c r="F80" s="13">
        <v>0</v>
      </c>
      <c r="G80" s="14">
        <v>0</v>
      </c>
      <c r="H80" s="51"/>
    </row>
    <row r="81" spans="1:8" ht="14.1" customHeight="1" x14ac:dyDescent="0.2">
      <c r="A81" s="1"/>
      <c r="B81" s="1"/>
      <c r="C81" s="11"/>
      <c r="D81" s="1"/>
      <c r="E81" s="1"/>
      <c r="F81" s="12"/>
      <c r="G81" s="12"/>
      <c r="H81" s="51"/>
    </row>
    <row r="82" spans="1:8" ht="14.1" customHeight="1" x14ac:dyDescent="0.2">
      <c r="A82" s="1"/>
      <c r="B82" s="1"/>
      <c r="C82" s="2" t="s">
        <v>135</v>
      </c>
      <c r="D82" s="1"/>
      <c r="E82" s="1"/>
      <c r="F82" s="12"/>
      <c r="G82" s="12"/>
      <c r="H82" s="51"/>
    </row>
    <row r="83" spans="1:8" ht="14.1" customHeight="1" x14ac:dyDescent="0.2">
      <c r="A83" s="1"/>
      <c r="B83" s="1"/>
      <c r="C83" s="2" t="s">
        <v>129</v>
      </c>
      <c r="D83" s="1"/>
      <c r="E83" s="1" t="s">
        <v>130</v>
      </c>
      <c r="F83" s="13">
        <v>0</v>
      </c>
      <c r="G83" s="14">
        <v>0</v>
      </c>
      <c r="H83" s="51"/>
    </row>
    <row r="84" spans="1:8" ht="14.1" customHeight="1" x14ac:dyDescent="0.2">
      <c r="A84" s="1"/>
      <c r="B84" s="1"/>
      <c r="C84" s="11"/>
      <c r="D84" s="1"/>
      <c r="E84" s="1"/>
      <c r="F84" s="12"/>
      <c r="G84" s="12"/>
      <c r="H84" s="51"/>
    </row>
    <row r="85" spans="1:8" ht="18" customHeight="1" x14ac:dyDescent="0.2">
      <c r="A85" s="1"/>
      <c r="B85" s="1"/>
      <c r="C85" s="2" t="s">
        <v>136</v>
      </c>
      <c r="D85" s="1"/>
      <c r="E85" s="1"/>
      <c r="F85" s="9">
        <v>24018.660210499998</v>
      </c>
      <c r="G85" s="10">
        <v>0.77009033100000002</v>
      </c>
      <c r="H85" s="51"/>
    </row>
    <row r="86" spans="1:8" ht="14.1" customHeight="1" x14ac:dyDescent="0.2">
      <c r="A86" s="1"/>
      <c r="B86" s="1"/>
      <c r="C86" s="11"/>
      <c r="D86" s="1"/>
      <c r="E86" s="1"/>
      <c r="F86" s="12"/>
      <c r="G86" s="12"/>
      <c r="H86" s="51"/>
    </row>
    <row r="87" spans="1:8" ht="14.1" customHeight="1" x14ac:dyDescent="0.2">
      <c r="A87" s="1"/>
      <c r="B87" s="1"/>
      <c r="C87" s="2" t="s">
        <v>137</v>
      </c>
      <c r="D87" s="1"/>
      <c r="E87" s="1"/>
      <c r="F87" s="12"/>
      <c r="G87" s="12"/>
      <c r="H87" s="51"/>
    </row>
    <row r="88" spans="1:8" ht="24" customHeight="1" x14ac:dyDescent="0.2">
      <c r="A88" s="1"/>
      <c r="B88" s="1"/>
      <c r="C88" s="2" t="s">
        <v>10</v>
      </c>
      <c r="D88" s="1"/>
      <c r="E88" s="1"/>
      <c r="F88" s="12"/>
      <c r="G88" s="12"/>
      <c r="H88" s="51"/>
    </row>
    <row r="89" spans="1:8" ht="14.1" customHeight="1" x14ac:dyDescent="0.2">
      <c r="A89" s="1"/>
      <c r="B89" s="1"/>
      <c r="C89" s="2" t="s">
        <v>129</v>
      </c>
      <c r="D89" s="1"/>
      <c r="E89" s="1" t="s">
        <v>130</v>
      </c>
      <c r="F89" s="13">
        <v>0</v>
      </c>
      <c r="G89" s="14">
        <v>0</v>
      </c>
      <c r="H89" s="51"/>
    </row>
    <row r="90" spans="1:8" ht="14.1" customHeight="1" x14ac:dyDescent="0.2">
      <c r="A90" s="1"/>
      <c r="B90" s="1"/>
      <c r="C90" s="11"/>
      <c r="D90" s="1"/>
      <c r="E90" s="1"/>
      <c r="F90" s="12"/>
      <c r="G90" s="12"/>
      <c r="H90" s="51"/>
    </row>
    <row r="91" spans="1:8" ht="14.1" customHeight="1" x14ac:dyDescent="0.2">
      <c r="A91" s="1"/>
      <c r="B91" s="1"/>
      <c r="C91" s="2" t="s">
        <v>138</v>
      </c>
      <c r="D91" s="1"/>
      <c r="E91" s="1"/>
      <c r="F91" s="1"/>
      <c r="G91" s="1"/>
      <c r="H91" s="51"/>
    </row>
    <row r="92" spans="1:8" ht="14.1" customHeight="1" x14ac:dyDescent="0.2">
      <c r="A92" s="1"/>
      <c r="B92" s="1"/>
      <c r="C92" s="2" t="s">
        <v>129</v>
      </c>
      <c r="D92" s="1"/>
      <c r="E92" s="1" t="s">
        <v>130</v>
      </c>
      <c r="F92" s="13">
        <v>0</v>
      </c>
      <c r="G92" s="14">
        <v>0</v>
      </c>
      <c r="H92" s="51"/>
    </row>
    <row r="93" spans="1:8" ht="14.1" customHeight="1" x14ac:dyDescent="0.2">
      <c r="A93" s="1"/>
      <c r="B93" s="1"/>
      <c r="C93" s="11"/>
      <c r="D93" s="1"/>
      <c r="E93" s="1"/>
      <c r="F93" s="12"/>
      <c r="G93" s="12"/>
      <c r="H93" s="51"/>
    </row>
    <row r="94" spans="1:8" ht="14.1" customHeight="1" x14ac:dyDescent="0.2">
      <c r="A94" s="1"/>
      <c r="B94" s="1"/>
      <c r="C94" s="2" t="s">
        <v>139</v>
      </c>
      <c r="D94" s="1"/>
      <c r="E94" s="1"/>
      <c r="F94" s="1"/>
      <c r="G94" s="1"/>
      <c r="H94" s="51"/>
    </row>
    <row r="95" spans="1:8" ht="14.1" customHeight="1" x14ac:dyDescent="0.2">
      <c r="A95" s="1"/>
      <c r="B95" s="1"/>
      <c r="C95" s="2" t="s">
        <v>129</v>
      </c>
      <c r="D95" s="1"/>
      <c r="E95" s="1" t="s">
        <v>130</v>
      </c>
      <c r="F95" s="13">
        <v>0</v>
      </c>
      <c r="G95" s="14">
        <v>0</v>
      </c>
      <c r="H95" s="51"/>
    </row>
    <row r="96" spans="1:8" ht="14.1" customHeight="1" x14ac:dyDescent="0.2">
      <c r="A96" s="1"/>
      <c r="B96" s="1"/>
      <c r="C96" s="11"/>
      <c r="D96" s="1"/>
      <c r="E96" s="1"/>
      <c r="F96" s="12"/>
      <c r="G96" s="12"/>
      <c r="H96" s="51"/>
    </row>
    <row r="97" spans="1:8" ht="14.1" customHeight="1" x14ac:dyDescent="0.2">
      <c r="A97" s="1"/>
      <c r="B97" s="1"/>
      <c r="C97" s="2" t="s">
        <v>140</v>
      </c>
      <c r="D97" s="1"/>
      <c r="E97" s="1"/>
      <c r="F97" s="12"/>
      <c r="G97" s="12"/>
      <c r="H97" s="51"/>
    </row>
    <row r="98" spans="1:8" ht="14.1" customHeight="1" x14ac:dyDescent="0.2">
      <c r="A98" s="1"/>
      <c r="B98" s="1"/>
      <c r="C98" s="2" t="s">
        <v>129</v>
      </c>
      <c r="D98" s="1"/>
      <c r="E98" s="1" t="s">
        <v>130</v>
      </c>
      <c r="F98" s="13">
        <v>0</v>
      </c>
      <c r="G98" s="14">
        <v>0</v>
      </c>
      <c r="H98" s="51"/>
    </row>
    <row r="99" spans="1:8" ht="14.1" customHeight="1" x14ac:dyDescent="0.2">
      <c r="A99" s="1"/>
      <c r="B99" s="1"/>
      <c r="C99" s="11"/>
      <c r="D99" s="1"/>
      <c r="E99" s="1"/>
      <c r="F99" s="12"/>
      <c r="G99" s="12"/>
      <c r="H99" s="51"/>
    </row>
    <row r="100" spans="1:8" ht="14.1" customHeight="1" x14ac:dyDescent="0.2">
      <c r="A100" s="1"/>
      <c r="B100" s="1"/>
      <c r="C100" s="2" t="s">
        <v>141</v>
      </c>
      <c r="D100" s="1"/>
      <c r="E100" s="1"/>
      <c r="F100" s="9">
        <v>0</v>
      </c>
      <c r="G100" s="10">
        <v>0</v>
      </c>
      <c r="H100" s="51"/>
    </row>
    <row r="101" spans="1:8" ht="14.1" customHeight="1" x14ac:dyDescent="0.2">
      <c r="A101" s="1"/>
      <c r="B101" s="1"/>
      <c r="C101" s="11"/>
      <c r="D101" s="1"/>
      <c r="E101" s="1"/>
      <c r="F101" s="12"/>
      <c r="G101" s="12"/>
      <c r="H101" s="51"/>
    </row>
    <row r="102" spans="1:8" ht="14.1" customHeight="1" x14ac:dyDescent="0.2">
      <c r="A102" s="1"/>
      <c r="B102" s="1"/>
      <c r="C102" s="2" t="s">
        <v>142</v>
      </c>
      <c r="D102" s="1"/>
      <c r="E102" s="1"/>
      <c r="F102" s="12"/>
      <c r="G102" s="12"/>
      <c r="H102" s="51"/>
    </row>
    <row r="103" spans="1:8" ht="14.1" customHeight="1" x14ac:dyDescent="0.2">
      <c r="A103" s="1"/>
      <c r="B103" s="1"/>
      <c r="C103" s="2" t="s">
        <v>143</v>
      </c>
      <c r="D103" s="1"/>
      <c r="E103" s="1"/>
      <c r="F103" s="12"/>
      <c r="G103" s="12"/>
      <c r="H103" s="51"/>
    </row>
    <row r="104" spans="1:8" ht="14.1" customHeight="1" x14ac:dyDescent="0.2">
      <c r="A104" s="1"/>
      <c r="B104" s="1"/>
      <c r="C104" s="2" t="s">
        <v>129</v>
      </c>
      <c r="D104" s="1"/>
      <c r="E104" s="1" t="s">
        <v>130</v>
      </c>
      <c r="F104" s="13">
        <v>0</v>
      </c>
      <c r="G104" s="14">
        <v>0</v>
      </c>
      <c r="H104" s="51"/>
    </row>
    <row r="105" spans="1:8" ht="14.1" customHeight="1" x14ac:dyDescent="0.2">
      <c r="A105" s="1"/>
      <c r="B105" s="1"/>
      <c r="C105" s="11"/>
      <c r="D105" s="1"/>
      <c r="E105" s="1"/>
      <c r="F105" s="12"/>
      <c r="G105" s="12"/>
      <c r="H105" s="51"/>
    </row>
    <row r="106" spans="1:8" ht="14.1" customHeight="1" x14ac:dyDescent="0.2">
      <c r="A106" s="1"/>
      <c r="B106" s="1"/>
      <c r="C106" s="2" t="s">
        <v>144</v>
      </c>
      <c r="D106" s="1"/>
      <c r="E106" s="1"/>
      <c r="F106" s="12"/>
      <c r="G106" s="12"/>
      <c r="H106" s="51"/>
    </row>
    <row r="107" spans="1:8" ht="14.1" customHeight="1" x14ac:dyDescent="0.2">
      <c r="A107" s="1"/>
      <c r="B107" s="1"/>
      <c r="C107" s="2" t="s">
        <v>129</v>
      </c>
      <c r="D107" s="1"/>
      <c r="E107" s="1" t="s">
        <v>130</v>
      </c>
      <c r="F107" s="13">
        <v>0</v>
      </c>
      <c r="G107" s="14">
        <v>0</v>
      </c>
      <c r="H107" s="51"/>
    </row>
    <row r="108" spans="1:8" ht="14.1" customHeight="1" x14ac:dyDescent="0.2">
      <c r="A108" s="1"/>
      <c r="B108" s="1"/>
      <c r="C108" s="11"/>
      <c r="D108" s="1"/>
      <c r="E108" s="1"/>
      <c r="F108" s="12"/>
      <c r="G108" s="12"/>
      <c r="H108" s="51"/>
    </row>
    <row r="109" spans="1:8" ht="14.1" customHeight="1" x14ac:dyDescent="0.2">
      <c r="A109" s="1"/>
      <c r="B109" s="1"/>
      <c r="C109" s="2" t="s">
        <v>145</v>
      </c>
      <c r="D109" s="1"/>
      <c r="E109" s="1"/>
      <c r="F109" s="12"/>
      <c r="G109" s="12"/>
      <c r="H109" s="51"/>
    </row>
    <row r="110" spans="1:8" ht="14.1" customHeight="1" x14ac:dyDescent="0.2">
      <c r="A110" s="1"/>
      <c r="B110" s="1"/>
      <c r="C110" s="2" t="s">
        <v>129</v>
      </c>
      <c r="D110" s="1"/>
      <c r="E110" s="1" t="s">
        <v>130</v>
      </c>
      <c r="F110" s="13">
        <v>0</v>
      </c>
      <c r="G110" s="14">
        <v>0</v>
      </c>
      <c r="H110" s="51"/>
    </row>
    <row r="111" spans="1:8" ht="14.1" customHeight="1" x14ac:dyDescent="0.2">
      <c r="A111" s="1"/>
      <c r="B111" s="1"/>
      <c r="C111" s="11"/>
      <c r="D111" s="1"/>
      <c r="E111" s="1"/>
      <c r="F111" s="12"/>
      <c r="G111" s="12"/>
      <c r="H111" s="51"/>
    </row>
    <row r="112" spans="1:8" ht="14.1" customHeight="1" x14ac:dyDescent="0.2">
      <c r="A112" s="1"/>
      <c r="B112" s="1"/>
      <c r="C112" s="2" t="s">
        <v>146</v>
      </c>
      <c r="D112" s="1"/>
      <c r="E112" s="1"/>
      <c r="F112" s="12"/>
      <c r="G112" s="12"/>
      <c r="H112" s="51"/>
    </row>
    <row r="113" spans="1:8" ht="17.100000000000001" customHeight="1" x14ac:dyDescent="0.2">
      <c r="A113" s="3">
        <v>1</v>
      </c>
      <c r="B113" s="4"/>
      <c r="C113" s="4" t="s">
        <v>147</v>
      </c>
      <c r="D113" s="4"/>
      <c r="E113" s="8"/>
      <c r="F113" s="6">
        <v>4735.0491499</v>
      </c>
      <c r="G113" s="7">
        <v>0.15181594400000001</v>
      </c>
      <c r="H113" s="51">
        <v>6.1245112103248278</v>
      </c>
    </row>
    <row r="114" spans="1:8" ht="14.1" customHeight="1" x14ac:dyDescent="0.2">
      <c r="A114" s="1"/>
      <c r="B114" s="1"/>
      <c r="C114" s="2" t="s">
        <v>129</v>
      </c>
      <c r="D114" s="1"/>
      <c r="E114" s="1" t="s">
        <v>130</v>
      </c>
      <c r="F114" s="9">
        <v>4735.0491499</v>
      </c>
      <c r="G114" s="10">
        <v>0.15181594400000001</v>
      </c>
      <c r="H114" s="51"/>
    </row>
    <row r="115" spans="1:8" ht="14.1" customHeight="1" x14ac:dyDescent="0.2">
      <c r="A115" s="1"/>
      <c r="B115" s="1"/>
      <c r="C115" s="11"/>
      <c r="D115" s="1"/>
      <c r="E115" s="1"/>
      <c r="F115" s="12"/>
      <c r="G115" s="12"/>
      <c r="H115" s="51"/>
    </row>
    <row r="116" spans="1:8" ht="14.1" customHeight="1" x14ac:dyDescent="0.2">
      <c r="A116" s="1"/>
      <c r="B116" s="1"/>
      <c r="C116" s="2" t="s">
        <v>148</v>
      </c>
      <c r="D116" s="1"/>
      <c r="E116" s="1"/>
      <c r="F116" s="9">
        <v>4735.0491499</v>
      </c>
      <c r="G116" s="10">
        <v>0.15181594400000001</v>
      </c>
      <c r="H116" s="51"/>
    </row>
    <row r="117" spans="1:8" ht="14.1" customHeight="1" x14ac:dyDescent="0.2">
      <c r="A117" s="1"/>
      <c r="B117" s="1"/>
      <c r="C117" s="12"/>
      <c r="D117" s="1"/>
      <c r="E117" s="1"/>
      <c r="F117" s="1"/>
      <c r="G117" s="1"/>
      <c r="H117" s="51"/>
    </row>
    <row r="118" spans="1:8" ht="14.1" customHeight="1" x14ac:dyDescent="0.2">
      <c r="A118" s="1"/>
      <c r="B118" s="1"/>
      <c r="C118" s="2" t="s">
        <v>149</v>
      </c>
      <c r="D118" s="1"/>
      <c r="E118" s="1"/>
      <c r="F118" s="1"/>
      <c r="G118" s="1"/>
      <c r="H118" s="51"/>
    </row>
    <row r="119" spans="1:8" ht="14.1" customHeight="1" x14ac:dyDescent="0.2">
      <c r="A119" s="1"/>
      <c r="B119" s="1"/>
      <c r="C119" s="2" t="s">
        <v>150</v>
      </c>
      <c r="D119" s="1"/>
      <c r="E119" s="1"/>
      <c r="F119" s="1"/>
      <c r="G119" s="1"/>
      <c r="H119" s="51"/>
    </row>
    <row r="120" spans="1:8" ht="14.1" customHeight="1" x14ac:dyDescent="0.2">
      <c r="A120" s="1"/>
      <c r="B120" s="1"/>
      <c r="C120" s="2" t="s">
        <v>129</v>
      </c>
      <c r="D120" s="1"/>
      <c r="E120" s="1" t="s">
        <v>130</v>
      </c>
      <c r="F120" s="13">
        <v>0</v>
      </c>
      <c r="G120" s="14">
        <v>0</v>
      </c>
      <c r="H120" s="51"/>
    </row>
    <row r="121" spans="1:8" ht="14.1" customHeight="1" x14ac:dyDescent="0.2">
      <c r="A121" s="1"/>
      <c r="B121" s="1"/>
      <c r="C121" s="11"/>
      <c r="D121" s="1"/>
      <c r="E121" s="1"/>
      <c r="F121" s="12"/>
      <c r="G121" s="12"/>
      <c r="H121" s="51"/>
    </row>
    <row r="122" spans="1:8" ht="14.1" customHeight="1" x14ac:dyDescent="0.2">
      <c r="A122" s="1"/>
      <c r="B122" s="1"/>
      <c r="C122" s="2" t="s">
        <v>151</v>
      </c>
      <c r="D122" s="1"/>
      <c r="E122" s="1"/>
      <c r="F122" s="1"/>
      <c r="G122" s="1"/>
      <c r="H122" s="51"/>
    </row>
    <row r="123" spans="1:8" ht="14.1" customHeight="1" x14ac:dyDescent="0.2">
      <c r="A123" s="1"/>
      <c r="B123" s="1"/>
      <c r="C123" s="2" t="s">
        <v>152</v>
      </c>
      <c r="D123" s="1"/>
      <c r="E123" s="1"/>
      <c r="F123" s="1"/>
      <c r="G123" s="1"/>
      <c r="H123" s="51"/>
    </row>
    <row r="124" spans="1:8" ht="14.1" customHeight="1" x14ac:dyDescent="0.2">
      <c r="A124" s="1"/>
      <c r="B124" s="1"/>
      <c r="C124" s="2" t="s">
        <v>129</v>
      </c>
      <c r="D124" s="1"/>
      <c r="E124" s="1" t="s">
        <v>130</v>
      </c>
      <c r="F124" s="13">
        <v>0</v>
      </c>
      <c r="G124" s="14">
        <v>0</v>
      </c>
      <c r="H124" s="51"/>
    </row>
    <row r="125" spans="1:8" ht="14.1" customHeight="1" x14ac:dyDescent="0.2">
      <c r="A125" s="1"/>
      <c r="B125" s="1"/>
      <c r="C125" s="11"/>
      <c r="D125" s="1"/>
      <c r="E125" s="1"/>
      <c r="F125" s="12"/>
      <c r="G125" s="12"/>
      <c r="H125" s="51"/>
    </row>
    <row r="126" spans="1:8" ht="14.1" customHeight="1" x14ac:dyDescent="0.2">
      <c r="A126" s="1"/>
      <c r="B126" s="1"/>
      <c r="C126" s="11"/>
      <c r="D126" s="1"/>
      <c r="E126" s="1"/>
      <c r="F126" s="12"/>
      <c r="G126" s="12"/>
      <c r="H126" s="51"/>
    </row>
    <row r="127" spans="1:8" ht="24" customHeight="1" x14ac:dyDescent="0.2">
      <c r="A127" s="1"/>
      <c r="B127" s="1"/>
      <c r="C127" s="2" t="s">
        <v>153</v>
      </c>
      <c r="D127" s="1"/>
      <c r="E127" s="1"/>
      <c r="F127" s="12"/>
      <c r="G127" s="12"/>
      <c r="H127" s="51"/>
    </row>
    <row r="128" spans="1:8" ht="14.1" customHeight="1" x14ac:dyDescent="0.2">
      <c r="A128" s="1"/>
      <c r="B128" s="1"/>
      <c r="C128" s="2" t="s">
        <v>129</v>
      </c>
      <c r="D128" s="1"/>
      <c r="E128" s="1" t="s">
        <v>130</v>
      </c>
      <c r="F128" s="13">
        <v>0</v>
      </c>
      <c r="G128" s="14">
        <v>0</v>
      </c>
      <c r="H128" s="51"/>
    </row>
    <row r="129" spans="1:8" ht="14.1" customHeight="1" x14ac:dyDescent="0.2">
      <c r="A129" s="1"/>
      <c r="B129" s="1"/>
      <c r="C129" s="11"/>
      <c r="D129" s="1"/>
      <c r="E129" s="1"/>
      <c r="F129" s="12"/>
      <c r="G129" s="12"/>
      <c r="H129" s="51"/>
    </row>
    <row r="130" spans="1:8" ht="14.1" customHeight="1" x14ac:dyDescent="0.2">
      <c r="A130" s="1"/>
      <c r="B130" s="4"/>
      <c r="C130" s="4"/>
      <c r="D130" s="2"/>
      <c r="E130" s="1"/>
      <c r="F130" s="4"/>
      <c r="G130" s="8"/>
      <c r="H130" s="51"/>
    </row>
    <row r="131" spans="1:8" ht="18" customHeight="1" x14ac:dyDescent="0.2">
      <c r="A131" s="8"/>
      <c r="B131" s="4"/>
      <c r="C131" s="4" t="s">
        <v>154</v>
      </c>
      <c r="D131" s="4"/>
      <c r="E131" s="8"/>
      <c r="F131" s="6">
        <v>2435.6968904999999</v>
      </c>
      <c r="G131" s="7">
        <v>7.8093724000000003E-2</v>
      </c>
      <c r="H131" s="51"/>
    </row>
    <row r="132" spans="1:8" ht="14.1" customHeight="1" x14ac:dyDescent="0.2">
      <c r="A132" s="11"/>
      <c r="B132" s="11"/>
      <c r="C132" s="2" t="s">
        <v>155</v>
      </c>
      <c r="D132" s="15"/>
      <c r="E132" s="15"/>
      <c r="F132" s="9">
        <v>31189.4062509</v>
      </c>
      <c r="G132" s="10">
        <v>0.99999999900000003</v>
      </c>
      <c r="H132" s="51"/>
    </row>
    <row r="133" spans="1:8" ht="14.1" customHeight="1" x14ac:dyDescent="0.2">
      <c r="A133" s="16"/>
      <c r="B133" s="16"/>
      <c r="C133" s="16"/>
      <c r="D133" s="17"/>
      <c r="E133" s="17"/>
      <c r="F133" s="17"/>
      <c r="G133" s="17"/>
    </row>
    <row r="134" spans="1:8" ht="14.1" customHeight="1" x14ac:dyDescent="0.2">
      <c r="A134" s="18"/>
      <c r="B134" s="18"/>
      <c r="C134" s="18"/>
      <c r="D134" s="20"/>
      <c r="E134" s="20"/>
      <c r="F134" s="20"/>
      <c r="G134" s="20"/>
    </row>
    <row r="135" spans="1:8" ht="14.1" customHeight="1" x14ac:dyDescent="0.2">
      <c r="A135" s="18"/>
      <c r="B135" s="325" t="s">
        <v>157</v>
      </c>
      <c r="C135" s="326"/>
      <c r="D135" s="12" t="s">
        <v>130</v>
      </c>
      <c r="E135" s="21"/>
      <c r="F135" s="20"/>
      <c r="G135" s="20"/>
    </row>
    <row r="136" spans="1:8" ht="29.1" customHeight="1" x14ac:dyDescent="0.2">
      <c r="A136" s="18"/>
      <c r="B136" s="318" t="s">
        <v>158</v>
      </c>
      <c r="C136" s="319"/>
      <c r="D136" s="2" t="s">
        <v>159</v>
      </c>
      <c r="E136" s="21"/>
      <c r="F136" s="20"/>
      <c r="G136" s="20"/>
    </row>
    <row r="137" spans="1:8" ht="17.100000000000001" customHeight="1" x14ac:dyDescent="0.2">
      <c r="A137" s="18"/>
      <c r="B137" s="318" t="s">
        <v>160</v>
      </c>
      <c r="C137" s="319"/>
      <c r="D137" s="2" t="s">
        <v>159</v>
      </c>
      <c r="E137" s="21"/>
      <c r="F137" s="20"/>
      <c r="G137" s="20"/>
    </row>
    <row r="138" spans="1:8" ht="17.100000000000001" customHeight="1" x14ac:dyDescent="0.2">
      <c r="A138" s="18"/>
      <c r="B138" s="318" t="s">
        <v>161</v>
      </c>
      <c r="C138" s="319"/>
      <c r="D138" s="12" t="s">
        <v>130</v>
      </c>
      <c r="E138" s="21"/>
      <c r="F138" s="20"/>
      <c r="G138" s="20"/>
    </row>
    <row r="139" spans="1:8" ht="24" customHeight="1" x14ac:dyDescent="0.2">
      <c r="A139" s="22"/>
      <c r="B139" s="23" t="s">
        <v>130</v>
      </c>
      <c r="C139" s="23" t="s">
        <v>162</v>
      </c>
      <c r="D139" s="23" t="s">
        <v>163</v>
      </c>
      <c r="E139" s="22"/>
      <c r="F139" s="22"/>
      <c r="G139" s="22"/>
    </row>
    <row r="140" spans="1:8" ht="18" customHeight="1" x14ac:dyDescent="0.2">
      <c r="A140" s="22"/>
      <c r="B140" s="23" t="s">
        <v>164</v>
      </c>
      <c r="C140" s="23" t="s">
        <v>165</v>
      </c>
      <c r="D140" s="23" t="s">
        <v>166</v>
      </c>
      <c r="E140" s="22"/>
      <c r="F140" s="22"/>
      <c r="G140" s="22"/>
    </row>
    <row r="141" spans="1:8" ht="17.100000000000001" customHeight="1" x14ac:dyDescent="0.2">
      <c r="A141" s="22"/>
      <c r="B141" s="4" t="s">
        <v>167</v>
      </c>
      <c r="C141" s="24">
        <v>17.3338</v>
      </c>
      <c r="D141" s="24">
        <v>17.312000000000001</v>
      </c>
      <c r="E141" s="22"/>
      <c r="F141" s="19"/>
      <c r="G141" s="25"/>
    </row>
    <row r="142" spans="1:8" ht="17.100000000000001" customHeight="1" x14ac:dyDescent="0.2">
      <c r="A142" s="22"/>
      <c r="B142" s="4" t="s">
        <v>1067</v>
      </c>
      <c r="C142" s="24">
        <v>17.3338</v>
      </c>
      <c r="D142" s="24">
        <v>17.312000000000001</v>
      </c>
      <c r="E142" s="22"/>
      <c r="F142" s="19"/>
      <c r="G142" s="25"/>
    </row>
    <row r="143" spans="1:8" ht="17.100000000000001" customHeight="1" x14ac:dyDescent="0.2">
      <c r="A143" s="22"/>
      <c r="B143" s="4" t="s">
        <v>168</v>
      </c>
      <c r="C143" s="24">
        <v>16.8308</v>
      </c>
      <c r="D143" s="24">
        <v>16.803599999999999</v>
      </c>
      <c r="E143" s="22"/>
      <c r="F143" s="19"/>
      <c r="G143" s="25"/>
    </row>
    <row r="144" spans="1:8" ht="17.100000000000001" customHeight="1" x14ac:dyDescent="0.2">
      <c r="A144" s="22"/>
      <c r="B144" s="4" t="s">
        <v>1068</v>
      </c>
      <c r="C144" s="24">
        <v>16.8308</v>
      </c>
      <c r="D144" s="24">
        <v>16.803599999999999</v>
      </c>
      <c r="E144" s="22"/>
      <c r="F144" s="19"/>
      <c r="G144" s="25"/>
    </row>
    <row r="145" spans="1:7" ht="14.1" customHeight="1" x14ac:dyDescent="0.2">
      <c r="A145" s="22"/>
      <c r="B145" s="22"/>
      <c r="C145" s="22"/>
      <c r="D145" s="22"/>
      <c r="E145" s="22"/>
      <c r="F145" s="22"/>
      <c r="G145" s="22"/>
    </row>
    <row r="146" spans="1:7" ht="17.100000000000001" customHeight="1" x14ac:dyDescent="0.2">
      <c r="A146" s="22"/>
      <c r="B146" s="318" t="s">
        <v>1069</v>
      </c>
      <c r="C146" s="319"/>
      <c r="D146" s="111" t="s">
        <v>159</v>
      </c>
      <c r="E146" s="22"/>
      <c r="F146" s="22"/>
      <c r="G146" s="22"/>
    </row>
    <row r="147" spans="1:7" ht="18" customHeight="1" x14ac:dyDescent="0.2">
      <c r="A147" s="22"/>
      <c r="B147" s="26"/>
      <c r="C147" s="26"/>
      <c r="D147" s="27"/>
      <c r="E147" s="22"/>
      <c r="F147" s="22"/>
      <c r="G147" s="22"/>
    </row>
    <row r="148" spans="1:7" ht="29.1" customHeight="1" x14ac:dyDescent="0.2">
      <c r="A148" s="22"/>
      <c r="B148" s="318" t="s">
        <v>169</v>
      </c>
      <c r="C148" s="319"/>
      <c r="D148" s="2" t="s">
        <v>159</v>
      </c>
      <c r="E148" s="22"/>
      <c r="F148" s="22"/>
      <c r="G148" s="22"/>
    </row>
    <row r="149" spans="1:7" ht="29.1" customHeight="1" x14ac:dyDescent="0.2">
      <c r="A149" s="22"/>
      <c r="B149" s="318" t="s">
        <v>170</v>
      </c>
      <c r="C149" s="319"/>
      <c r="D149" s="2" t="s">
        <v>159</v>
      </c>
      <c r="E149" s="22"/>
      <c r="F149" s="22"/>
      <c r="G149" s="22"/>
    </row>
    <row r="150" spans="1:7" ht="17.100000000000001" customHeight="1" x14ac:dyDescent="0.2">
      <c r="A150" s="22"/>
      <c r="B150" s="318" t="s">
        <v>171</v>
      </c>
      <c r="C150" s="319"/>
      <c r="D150" s="28">
        <v>0.33275593540639103</v>
      </c>
      <c r="E150" s="22"/>
      <c r="F150" s="19"/>
      <c r="G150" s="25"/>
    </row>
    <row r="151" spans="1:7" ht="17.100000000000001" customHeight="1" x14ac:dyDescent="0.2">
      <c r="A151" s="22"/>
      <c r="B151" s="318" t="s">
        <v>172</v>
      </c>
      <c r="C151" s="319"/>
      <c r="D151" s="2" t="s">
        <v>159</v>
      </c>
      <c r="E151" s="22"/>
      <c r="F151" s="22"/>
      <c r="G151" s="22"/>
    </row>
    <row r="165" spans="10:15" x14ac:dyDescent="0.2">
      <c r="J165" s="158"/>
      <c r="K165" s="158"/>
      <c r="L165" s="158"/>
      <c r="M165" s="158"/>
      <c r="N165" s="158"/>
      <c r="O165" s="158"/>
    </row>
  </sheetData>
  <mergeCells count="13">
    <mergeCell ref="A1:H1"/>
    <mergeCell ref="A2:H2"/>
    <mergeCell ref="A3:H3"/>
    <mergeCell ref="B150:C150"/>
    <mergeCell ref="J2:N2"/>
    <mergeCell ref="B135:C135"/>
    <mergeCell ref="B151:C151"/>
    <mergeCell ref="B136:C136"/>
    <mergeCell ref="B137:C137"/>
    <mergeCell ref="B138:C138"/>
    <mergeCell ref="B146:C146"/>
    <mergeCell ref="B148:C148"/>
    <mergeCell ref="B149:C149"/>
  </mergeCells>
  <hyperlinks>
    <hyperlink ref="I1" location="Index!B8" display="Index" xr:uid="{24C98556-2830-4BB9-A461-264EFD783CF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N16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456</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102</v>
      </c>
      <c r="C7" s="4" t="s">
        <v>103</v>
      </c>
      <c r="D7" s="4" t="s">
        <v>104</v>
      </c>
      <c r="E7" s="5">
        <v>270742</v>
      </c>
      <c r="F7" s="6">
        <v>1152.9548070000001</v>
      </c>
      <c r="G7" s="7">
        <v>3.4376728000000002E-2</v>
      </c>
      <c r="H7" s="51"/>
    </row>
    <row r="8" spans="1:14" ht="17.100000000000001" customHeight="1" x14ac:dyDescent="0.2">
      <c r="A8" s="3">
        <v>2</v>
      </c>
      <c r="B8" s="4" t="s">
        <v>29</v>
      </c>
      <c r="C8" s="4" t="s">
        <v>30</v>
      </c>
      <c r="D8" s="4" t="s">
        <v>31</v>
      </c>
      <c r="E8" s="5">
        <v>55216</v>
      </c>
      <c r="F8" s="6">
        <v>1103.2432879999999</v>
      </c>
      <c r="G8" s="7">
        <v>3.2894519999999997E-2</v>
      </c>
      <c r="H8" s="51"/>
    </row>
    <row r="9" spans="1:14" ht="29.1" customHeight="1" x14ac:dyDescent="0.2">
      <c r="A9" s="3">
        <v>3</v>
      </c>
      <c r="B9" s="4" t="s">
        <v>185</v>
      </c>
      <c r="C9" s="4" t="s">
        <v>186</v>
      </c>
      <c r="D9" s="4" t="s">
        <v>104</v>
      </c>
      <c r="E9" s="5">
        <v>254938</v>
      </c>
      <c r="F9" s="6">
        <v>1050.089622</v>
      </c>
      <c r="G9" s="7">
        <v>3.1309679E-2</v>
      </c>
      <c r="H9" s="51"/>
    </row>
    <row r="10" spans="1:14" ht="17.100000000000001" customHeight="1" x14ac:dyDescent="0.2">
      <c r="A10" s="3">
        <v>4</v>
      </c>
      <c r="B10" s="4" t="s">
        <v>82</v>
      </c>
      <c r="C10" s="4" t="s">
        <v>83</v>
      </c>
      <c r="D10" s="4" t="s">
        <v>31</v>
      </c>
      <c r="E10" s="5">
        <v>68405</v>
      </c>
      <c r="F10" s="6">
        <v>988.657465</v>
      </c>
      <c r="G10" s="7">
        <v>2.9478006000000001E-2</v>
      </c>
      <c r="H10" s="51"/>
    </row>
    <row r="11" spans="1:14" ht="17.100000000000001" customHeight="1" x14ac:dyDescent="0.2">
      <c r="A11" s="3">
        <v>5</v>
      </c>
      <c r="B11" s="4" t="s">
        <v>32</v>
      </c>
      <c r="C11" s="4" t="s">
        <v>33</v>
      </c>
      <c r="D11" s="4" t="s">
        <v>31</v>
      </c>
      <c r="E11" s="5">
        <v>43750</v>
      </c>
      <c r="F11" s="6">
        <v>903.06562499999995</v>
      </c>
      <c r="G11" s="7">
        <v>2.6925983000000001E-2</v>
      </c>
      <c r="H11" s="51"/>
    </row>
    <row r="12" spans="1:14" ht="17.100000000000001" customHeight="1" x14ac:dyDescent="0.2">
      <c r="A12" s="3">
        <v>6</v>
      </c>
      <c r="B12" s="4" t="s">
        <v>379</v>
      </c>
      <c r="C12" s="4" t="s">
        <v>380</v>
      </c>
      <c r="D12" s="4" t="s">
        <v>97</v>
      </c>
      <c r="E12" s="5">
        <v>872540</v>
      </c>
      <c r="F12" s="6">
        <v>865.12341000000004</v>
      </c>
      <c r="G12" s="7">
        <v>2.5794689999999999E-2</v>
      </c>
      <c r="H12" s="51"/>
    </row>
    <row r="13" spans="1:14" ht="17.100000000000001" customHeight="1" x14ac:dyDescent="0.2">
      <c r="A13" s="3">
        <v>7</v>
      </c>
      <c r="B13" s="4" t="s">
        <v>401</v>
      </c>
      <c r="C13" s="4" t="s">
        <v>402</v>
      </c>
      <c r="D13" s="4" t="s">
        <v>223</v>
      </c>
      <c r="E13" s="5">
        <v>129586</v>
      </c>
      <c r="F13" s="6">
        <v>855.138014</v>
      </c>
      <c r="G13" s="7">
        <v>2.5496964E-2</v>
      </c>
      <c r="H13" s="51"/>
      <c r="J13" s="157" t="s">
        <v>1097</v>
      </c>
    </row>
    <row r="14" spans="1:14" ht="29.1" customHeight="1" x14ac:dyDescent="0.2">
      <c r="A14" s="3">
        <v>8</v>
      </c>
      <c r="B14" s="4" t="s">
        <v>182</v>
      </c>
      <c r="C14" s="4" t="s">
        <v>183</v>
      </c>
      <c r="D14" s="4" t="s">
        <v>184</v>
      </c>
      <c r="E14" s="5">
        <v>18164</v>
      </c>
      <c r="F14" s="6">
        <v>815.71799399999998</v>
      </c>
      <c r="G14" s="7">
        <v>2.4321609000000001E-2</v>
      </c>
      <c r="H14" s="51"/>
    </row>
    <row r="15" spans="1:14" ht="17.100000000000001" customHeight="1" x14ac:dyDescent="0.2">
      <c r="A15" s="3">
        <v>9</v>
      </c>
      <c r="B15" s="4" t="s">
        <v>319</v>
      </c>
      <c r="C15" s="4" t="s">
        <v>320</v>
      </c>
      <c r="D15" s="4" t="s">
        <v>248</v>
      </c>
      <c r="E15" s="5">
        <v>50644</v>
      </c>
      <c r="F15" s="6">
        <v>753.96254999999996</v>
      </c>
      <c r="G15" s="7">
        <v>2.2480296E-2</v>
      </c>
      <c r="H15" s="51"/>
    </row>
    <row r="16" spans="1:14" ht="17.100000000000001" customHeight="1" x14ac:dyDescent="0.2">
      <c r="A16" s="3">
        <v>10</v>
      </c>
      <c r="B16" s="4" t="s">
        <v>17</v>
      </c>
      <c r="C16" s="4" t="s">
        <v>18</v>
      </c>
      <c r="D16" s="4" t="s">
        <v>19</v>
      </c>
      <c r="E16" s="5">
        <v>92295</v>
      </c>
      <c r="F16" s="6">
        <v>738.26770499999998</v>
      </c>
      <c r="G16" s="7">
        <v>2.2012336E-2</v>
      </c>
      <c r="H16" s="51"/>
    </row>
    <row r="17" spans="1:8" ht="17.100000000000001" customHeight="1" x14ac:dyDescent="0.2">
      <c r="A17" s="3">
        <v>11</v>
      </c>
      <c r="B17" s="4" t="s">
        <v>302</v>
      </c>
      <c r="C17" s="4" t="s">
        <v>303</v>
      </c>
      <c r="D17" s="4" t="s">
        <v>251</v>
      </c>
      <c r="E17" s="5">
        <v>143859</v>
      </c>
      <c r="F17" s="6">
        <v>735.47913749999998</v>
      </c>
      <c r="G17" s="7">
        <v>2.1929191000000001E-2</v>
      </c>
      <c r="H17" s="51"/>
    </row>
    <row r="18" spans="1:8" ht="17.100000000000001" customHeight="1" x14ac:dyDescent="0.2">
      <c r="A18" s="3">
        <v>12</v>
      </c>
      <c r="B18" s="4" t="s">
        <v>385</v>
      </c>
      <c r="C18" s="4" t="s">
        <v>386</v>
      </c>
      <c r="D18" s="4" t="s">
        <v>104</v>
      </c>
      <c r="E18" s="5">
        <v>115651</v>
      </c>
      <c r="F18" s="6">
        <v>735.36688349999997</v>
      </c>
      <c r="G18" s="7">
        <v>2.1925844E-2</v>
      </c>
      <c r="H18" s="51"/>
    </row>
    <row r="19" spans="1:8" ht="17.100000000000001" customHeight="1" x14ac:dyDescent="0.2">
      <c r="A19" s="3">
        <v>13</v>
      </c>
      <c r="B19" s="4" t="s">
        <v>415</v>
      </c>
      <c r="C19" s="4" t="s">
        <v>416</v>
      </c>
      <c r="D19" s="4" t="s">
        <v>31</v>
      </c>
      <c r="E19" s="5">
        <v>78765</v>
      </c>
      <c r="F19" s="6">
        <v>720.14839500000005</v>
      </c>
      <c r="G19" s="7">
        <v>2.1472087000000001E-2</v>
      </c>
      <c r="H19" s="51"/>
    </row>
    <row r="20" spans="1:8" ht="17.100000000000001" customHeight="1" x14ac:dyDescent="0.2">
      <c r="A20" s="3">
        <v>14</v>
      </c>
      <c r="B20" s="4" t="s">
        <v>381</v>
      </c>
      <c r="C20" s="4" t="s">
        <v>382</v>
      </c>
      <c r="D20" s="4" t="s">
        <v>277</v>
      </c>
      <c r="E20" s="5">
        <v>56083</v>
      </c>
      <c r="F20" s="6">
        <v>707.29075450000005</v>
      </c>
      <c r="G20" s="7">
        <v>2.1088721000000001E-2</v>
      </c>
      <c r="H20" s="51"/>
    </row>
    <row r="21" spans="1:8" ht="17.100000000000001" customHeight="1" x14ac:dyDescent="0.2">
      <c r="A21" s="3">
        <v>15</v>
      </c>
      <c r="B21" s="4" t="s">
        <v>383</v>
      </c>
      <c r="C21" s="4" t="s">
        <v>384</v>
      </c>
      <c r="D21" s="4" t="s">
        <v>104</v>
      </c>
      <c r="E21" s="5">
        <v>42388</v>
      </c>
      <c r="F21" s="6">
        <v>699.16886599999998</v>
      </c>
      <c r="G21" s="7">
        <v>2.0846557000000002E-2</v>
      </c>
      <c r="H21" s="51"/>
    </row>
    <row r="22" spans="1:8" ht="17.100000000000001" customHeight="1" x14ac:dyDescent="0.2">
      <c r="A22" s="3">
        <v>16</v>
      </c>
      <c r="B22" s="4" t="s">
        <v>90</v>
      </c>
      <c r="C22" s="4" t="s">
        <v>91</v>
      </c>
      <c r="D22" s="4" t="s">
        <v>92</v>
      </c>
      <c r="E22" s="5">
        <v>114200</v>
      </c>
      <c r="F22" s="6">
        <v>580.93539999999996</v>
      </c>
      <c r="G22" s="7">
        <v>1.7321284999999999E-2</v>
      </c>
      <c r="H22" s="51"/>
    </row>
    <row r="23" spans="1:8" ht="17.100000000000001" customHeight="1" x14ac:dyDescent="0.2">
      <c r="A23" s="3">
        <v>17</v>
      </c>
      <c r="B23" s="4" t="s">
        <v>313</v>
      </c>
      <c r="C23" s="4" t="s">
        <v>314</v>
      </c>
      <c r="D23" s="4" t="s">
        <v>315</v>
      </c>
      <c r="E23" s="5">
        <v>42481</v>
      </c>
      <c r="F23" s="6">
        <v>578.59122000000002</v>
      </c>
      <c r="G23" s="7">
        <v>1.7251389999999998E-2</v>
      </c>
      <c r="H23" s="51"/>
    </row>
    <row r="24" spans="1:8" ht="29.1" customHeight="1" x14ac:dyDescent="0.2">
      <c r="A24" s="3">
        <v>18</v>
      </c>
      <c r="B24" s="4" t="s">
        <v>201</v>
      </c>
      <c r="C24" s="4" t="s">
        <v>202</v>
      </c>
      <c r="D24" s="4" t="s">
        <v>203</v>
      </c>
      <c r="E24" s="5">
        <v>110989</v>
      </c>
      <c r="F24" s="6">
        <v>569.37356999999997</v>
      </c>
      <c r="G24" s="7">
        <v>1.6976555000000001E-2</v>
      </c>
      <c r="H24" s="51"/>
    </row>
    <row r="25" spans="1:8" ht="17.100000000000001" customHeight="1" x14ac:dyDescent="0.2">
      <c r="A25" s="3">
        <v>19</v>
      </c>
      <c r="B25" s="4" t="s">
        <v>417</v>
      </c>
      <c r="C25" s="4" t="s">
        <v>418</v>
      </c>
      <c r="D25" s="4" t="s">
        <v>92</v>
      </c>
      <c r="E25" s="5">
        <v>40454</v>
      </c>
      <c r="F25" s="6">
        <v>565.99191399999995</v>
      </c>
      <c r="G25" s="7">
        <v>1.6875727E-2</v>
      </c>
      <c r="H25" s="51"/>
    </row>
    <row r="26" spans="1:8" ht="17.100000000000001" customHeight="1" x14ac:dyDescent="0.2">
      <c r="A26" s="3">
        <v>20</v>
      </c>
      <c r="B26" s="4" t="s">
        <v>387</v>
      </c>
      <c r="C26" s="4" t="s">
        <v>388</v>
      </c>
      <c r="D26" s="4" t="s">
        <v>208</v>
      </c>
      <c r="E26" s="5">
        <v>194334</v>
      </c>
      <c r="F26" s="6">
        <v>555.98957399999995</v>
      </c>
      <c r="G26" s="7">
        <v>1.6577495000000001E-2</v>
      </c>
      <c r="H26" s="51"/>
    </row>
    <row r="27" spans="1:8" ht="17.100000000000001" customHeight="1" x14ac:dyDescent="0.2">
      <c r="A27" s="3">
        <v>21</v>
      </c>
      <c r="B27" s="4" t="s">
        <v>389</v>
      </c>
      <c r="C27" s="4" t="s">
        <v>390</v>
      </c>
      <c r="D27" s="4" t="s">
        <v>248</v>
      </c>
      <c r="E27" s="5">
        <v>72118</v>
      </c>
      <c r="F27" s="6">
        <v>518.09571200000005</v>
      </c>
      <c r="G27" s="7">
        <v>1.5447644E-2</v>
      </c>
      <c r="H27" s="51"/>
    </row>
    <row r="28" spans="1:8" ht="17.100000000000001" customHeight="1" x14ac:dyDescent="0.2">
      <c r="A28" s="3">
        <v>22</v>
      </c>
      <c r="B28" s="4" t="s">
        <v>174</v>
      </c>
      <c r="C28" s="4" t="s">
        <v>175</v>
      </c>
      <c r="D28" s="4" t="s">
        <v>22</v>
      </c>
      <c r="E28" s="5">
        <v>238095</v>
      </c>
      <c r="F28" s="6">
        <v>514.99948500000005</v>
      </c>
      <c r="G28" s="7">
        <v>1.5355326000000001E-2</v>
      </c>
      <c r="H28" s="51"/>
    </row>
    <row r="29" spans="1:8" ht="17.100000000000001" customHeight="1" x14ac:dyDescent="0.2">
      <c r="A29" s="3">
        <v>23</v>
      </c>
      <c r="B29" s="4" t="s">
        <v>244</v>
      </c>
      <c r="C29" s="4" t="s">
        <v>245</v>
      </c>
      <c r="D29" s="4" t="s">
        <v>223</v>
      </c>
      <c r="E29" s="5">
        <v>15854</v>
      </c>
      <c r="F29" s="6">
        <v>513.85984800000006</v>
      </c>
      <c r="G29" s="7">
        <v>1.5321347000000001E-2</v>
      </c>
      <c r="H29" s="51"/>
    </row>
    <row r="30" spans="1:8" ht="17.100000000000001" customHeight="1" x14ac:dyDescent="0.2">
      <c r="A30" s="3">
        <v>24</v>
      </c>
      <c r="B30" s="4" t="s">
        <v>391</v>
      </c>
      <c r="C30" s="4" t="s">
        <v>392</v>
      </c>
      <c r="D30" s="4" t="s">
        <v>97</v>
      </c>
      <c r="E30" s="5">
        <v>99518</v>
      </c>
      <c r="F30" s="6">
        <v>477.48736400000001</v>
      </c>
      <c r="G30" s="7">
        <v>1.4236857E-2</v>
      </c>
      <c r="H30" s="51"/>
    </row>
    <row r="31" spans="1:8" ht="17.100000000000001" customHeight="1" x14ac:dyDescent="0.2">
      <c r="A31" s="3">
        <v>25</v>
      </c>
      <c r="B31" s="4" t="s">
        <v>393</v>
      </c>
      <c r="C31" s="4" t="s">
        <v>394</v>
      </c>
      <c r="D31" s="4" t="s">
        <v>97</v>
      </c>
      <c r="E31" s="5">
        <v>51919</v>
      </c>
      <c r="F31" s="6">
        <v>453.53842450000002</v>
      </c>
      <c r="G31" s="7">
        <v>1.3522790999999999E-2</v>
      </c>
      <c r="H31" s="51"/>
    </row>
    <row r="32" spans="1:8" ht="29.1" customHeight="1" x14ac:dyDescent="0.2">
      <c r="A32" s="3">
        <v>26</v>
      </c>
      <c r="B32" s="4" t="s">
        <v>63</v>
      </c>
      <c r="C32" s="4" t="s">
        <v>64</v>
      </c>
      <c r="D32" s="4" t="s">
        <v>25</v>
      </c>
      <c r="E32" s="5">
        <v>16781</v>
      </c>
      <c r="F32" s="6">
        <v>440.61032649999999</v>
      </c>
      <c r="G32" s="7">
        <v>1.3137324000000001E-2</v>
      </c>
      <c r="H32" s="51"/>
    </row>
    <row r="33" spans="1:8" ht="29.1" customHeight="1" x14ac:dyDescent="0.2">
      <c r="A33" s="3">
        <v>27</v>
      </c>
      <c r="B33" s="4" t="s">
        <v>316</v>
      </c>
      <c r="C33" s="4" t="s">
        <v>317</v>
      </c>
      <c r="D33" s="4" t="s">
        <v>318</v>
      </c>
      <c r="E33" s="5">
        <v>66434</v>
      </c>
      <c r="F33" s="6">
        <v>428.66538500000001</v>
      </c>
      <c r="G33" s="7">
        <v>1.2781172E-2</v>
      </c>
      <c r="H33" s="51"/>
    </row>
    <row r="34" spans="1:8" ht="17.100000000000001" customHeight="1" x14ac:dyDescent="0.2">
      <c r="A34" s="3">
        <v>28</v>
      </c>
      <c r="B34" s="4" t="s">
        <v>395</v>
      </c>
      <c r="C34" s="4" t="s">
        <v>396</v>
      </c>
      <c r="D34" s="4" t="s">
        <v>315</v>
      </c>
      <c r="E34" s="5">
        <v>34737</v>
      </c>
      <c r="F34" s="6">
        <v>423.35718750000001</v>
      </c>
      <c r="G34" s="7">
        <v>1.2622901000000001E-2</v>
      </c>
      <c r="H34" s="51"/>
    </row>
    <row r="35" spans="1:8" ht="29.1" customHeight="1" x14ac:dyDescent="0.2">
      <c r="A35" s="3">
        <v>29</v>
      </c>
      <c r="B35" s="4" t="s">
        <v>397</v>
      </c>
      <c r="C35" s="4" t="s">
        <v>398</v>
      </c>
      <c r="D35" s="4" t="s">
        <v>75</v>
      </c>
      <c r="E35" s="5">
        <v>26634</v>
      </c>
      <c r="F35" s="6">
        <v>421.80265800000001</v>
      </c>
      <c r="G35" s="7">
        <v>1.2576551E-2</v>
      </c>
      <c r="H35" s="51"/>
    </row>
    <row r="36" spans="1:8" ht="29.1" customHeight="1" x14ac:dyDescent="0.2">
      <c r="A36" s="3">
        <v>30</v>
      </c>
      <c r="B36" s="4" t="s">
        <v>399</v>
      </c>
      <c r="C36" s="4" t="s">
        <v>400</v>
      </c>
      <c r="D36" s="4" t="s">
        <v>48</v>
      </c>
      <c r="E36" s="5">
        <v>14903</v>
      </c>
      <c r="F36" s="6">
        <v>400.54793100000001</v>
      </c>
      <c r="G36" s="7">
        <v>1.1942816E-2</v>
      </c>
      <c r="H36" s="51"/>
    </row>
    <row r="37" spans="1:8" ht="17.100000000000001" customHeight="1" x14ac:dyDescent="0.2">
      <c r="A37" s="3">
        <v>31</v>
      </c>
      <c r="B37" s="4" t="s">
        <v>242</v>
      </c>
      <c r="C37" s="4" t="s">
        <v>243</v>
      </c>
      <c r="D37" s="4" t="s">
        <v>72</v>
      </c>
      <c r="E37" s="5">
        <v>8487</v>
      </c>
      <c r="F37" s="6">
        <v>385.937838</v>
      </c>
      <c r="G37" s="7">
        <v>1.1507198999999999E-2</v>
      </c>
      <c r="H37" s="51"/>
    </row>
    <row r="38" spans="1:8" ht="17.100000000000001" customHeight="1" x14ac:dyDescent="0.2">
      <c r="A38" s="3">
        <v>32</v>
      </c>
      <c r="B38" s="4" t="s">
        <v>403</v>
      </c>
      <c r="C38" s="4" t="s">
        <v>404</v>
      </c>
      <c r="D38" s="4" t="s">
        <v>277</v>
      </c>
      <c r="E38" s="5">
        <v>46872</v>
      </c>
      <c r="F38" s="6">
        <v>371.64808799999997</v>
      </c>
      <c r="G38" s="7">
        <v>1.1081133E-2</v>
      </c>
      <c r="H38" s="51"/>
    </row>
    <row r="39" spans="1:8" ht="17.100000000000001" customHeight="1" x14ac:dyDescent="0.2">
      <c r="A39" s="3">
        <v>33</v>
      </c>
      <c r="B39" s="4" t="s">
        <v>405</v>
      </c>
      <c r="C39" s="4" t="s">
        <v>406</v>
      </c>
      <c r="D39" s="4" t="s">
        <v>31</v>
      </c>
      <c r="E39" s="5">
        <v>40294</v>
      </c>
      <c r="F39" s="6">
        <v>361.19541600000002</v>
      </c>
      <c r="G39" s="7">
        <v>1.0769473999999999E-2</v>
      </c>
      <c r="H39" s="51"/>
    </row>
    <row r="40" spans="1:8" ht="29.1" customHeight="1" x14ac:dyDescent="0.2">
      <c r="A40" s="3">
        <v>34</v>
      </c>
      <c r="B40" s="4" t="s">
        <v>457</v>
      </c>
      <c r="C40" s="4" t="s">
        <v>458</v>
      </c>
      <c r="D40" s="4" t="s">
        <v>367</v>
      </c>
      <c r="E40" s="5">
        <v>58923</v>
      </c>
      <c r="F40" s="6">
        <v>352.21223250000003</v>
      </c>
      <c r="G40" s="7">
        <v>1.0501629E-2</v>
      </c>
      <c r="H40" s="51"/>
    </row>
    <row r="41" spans="1:8" ht="17.100000000000001" customHeight="1" x14ac:dyDescent="0.2">
      <c r="A41" s="3">
        <v>35</v>
      </c>
      <c r="B41" s="4" t="s">
        <v>409</v>
      </c>
      <c r="C41" s="4" t="s">
        <v>410</v>
      </c>
      <c r="D41" s="4" t="s">
        <v>104</v>
      </c>
      <c r="E41" s="5">
        <v>53631</v>
      </c>
      <c r="F41" s="6">
        <v>348.27971400000001</v>
      </c>
      <c r="G41" s="7">
        <v>1.0384377E-2</v>
      </c>
      <c r="H41" s="51"/>
    </row>
    <row r="42" spans="1:8" ht="29.1" customHeight="1" x14ac:dyDescent="0.2">
      <c r="A42" s="3">
        <v>36</v>
      </c>
      <c r="B42" s="4" t="s">
        <v>407</v>
      </c>
      <c r="C42" s="4" t="s">
        <v>408</v>
      </c>
      <c r="D42" s="4" t="s">
        <v>203</v>
      </c>
      <c r="E42" s="5">
        <v>105982</v>
      </c>
      <c r="F42" s="6">
        <v>347.51497799999999</v>
      </c>
      <c r="G42" s="7">
        <v>1.0361575E-2</v>
      </c>
      <c r="H42" s="51"/>
    </row>
    <row r="43" spans="1:8" ht="17.100000000000001" customHeight="1" x14ac:dyDescent="0.2">
      <c r="A43" s="3">
        <v>37</v>
      </c>
      <c r="B43" s="4" t="s">
        <v>411</v>
      </c>
      <c r="C43" s="4" t="s">
        <v>412</v>
      </c>
      <c r="D43" s="4" t="s">
        <v>13</v>
      </c>
      <c r="E43" s="5">
        <v>81720</v>
      </c>
      <c r="F43" s="6">
        <v>344.36808000000002</v>
      </c>
      <c r="G43" s="7">
        <v>1.0267747000000001E-2</v>
      </c>
      <c r="H43" s="51"/>
    </row>
    <row r="44" spans="1:8" ht="29.1" customHeight="1" x14ac:dyDescent="0.2">
      <c r="A44" s="3">
        <v>38</v>
      </c>
      <c r="B44" s="4" t="s">
        <v>413</v>
      </c>
      <c r="C44" s="4" t="s">
        <v>414</v>
      </c>
      <c r="D44" s="4" t="s">
        <v>367</v>
      </c>
      <c r="E44" s="5">
        <v>68454</v>
      </c>
      <c r="F44" s="6">
        <v>343.98135000000002</v>
      </c>
      <c r="G44" s="7">
        <v>1.0256216E-2</v>
      </c>
      <c r="H44" s="51"/>
    </row>
    <row r="45" spans="1:8" ht="17.100000000000001" customHeight="1" x14ac:dyDescent="0.2">
      <c r="A45" s="3">
        <v>39</v>
      </c>
      <c r="B45" s="4" t="s">
        <v>41</v>
      </c>
      <c r="C45" s="4" t="s">
        <v>42</v>
      </c>
      <c r="D45" s="4" t="s">
        <v>16</v>
      </c>
      <c r="E45" s="5">
        <v>64564</v>
      </c>
      <c r="F45" s="6">
        <v>342.57658400000003</v>
      </c>
      <c r="G45" s="7">
        <v>1.0214331E-2</v>
      </c>
      <c r="H45" s="51"/>
    </row>
    <row r="46" spans="1:8" ht="29.1" customHeight="1" x14ac:dyDescent="0.2">
      <c r="A46" s="3">
        <v>40</v>
      </c>
      <c r="B46" s="4" t="s">
        <v>291</v>
      </c>
      <c r="C46" s="4" t="s">
        <v>292</v>
      </c>
      <c r="D46" s="4" t="s">
        <v>184</v>
      </c>
      <c r="E46" s="5">
        <v>45555</v>
      </c>
      <c r="F46" s="6">
        <v>342.18638249999998</v>
      </c>
      <c r="G46" s="7">
        <v>1.0202697E-2</v>
      </c>
      <c r="H46" s="51"/>
    </row>
    <row r="47" spans="1:8" ht="17.100000000000001" customHeight="1" x14ac:dyDescent="0.2">
      <c r="A47" s="3">
        <v>41</v>
      </c>
      <c r="B47" s="4" t="s">
        <v>37</v>
      </c>
      <c r="C47" s="4" t="s">
        <v>38</v>
      </c>
      <c r="D47" s="4" t="s">
        <v>31</v>
      </c>
      <c r="E47" s="5">
        <v>9208</v>
      </c>
      <c r="F47" s="6">
        <v>336.46032000000002</v>
      </c>
      <c r="G47" s="7">
        <v>1.0031966999999999E-2</v>
      </c>
      <c r="H47" s="51"/>
    </row>
    <row r="48" spans="1:8" ht="17.100000000000001" customHeight="1" x14ac:dyDescent="0.2">
      <c r="A48" s="3">
        <v>42</v>
      </c>
      <c r="B48" s="4" t="s">
        <v>240</v>
      </c>
      <c r="C48" s="4" t="s">
        <v>241</v>
      </c>
      <c r="D48" s="4" t="s">
        <v>97</v>
      </c>
      <c r="E48" s="5">
        <v>51171</v>
      </c>
      <c r="F48" s="6">
        <v>334.45365600000002</v>
      </c>
      <c r="G48" s="7">
        <v>9.9721359999999995E-3</v>
      </c>
      <c r="H48" s="51"/>
    </row>
    <row r="49" spans="1:8" ht="17.100000000000001" customHeight="1" x14ac:dyDescent="0.2">
      <c r="A49" s="3">
        <v>43</v>
      </c>
      <c r="B49" s="4" t="s">
        <v>459</v>
      </c>
      <c r="C49" s="4" t="s">
        <v>460</v>
      </c>
      <c r="D49" s="4" t="s">
        <v>97</v>
      </c>
      <c r="E49" s="5">
        <v>503774</v>
      </c>
      <c r="F49" s="6">
        <v>334.25404900000001</v>
      </c>
      <c r="G49" s="7">
        <v>9.9661850000000007E-3</v>
      </c>
      <c r="H49" s="51"/>
    </row>
    <row r="50" spans="1:8" ht="29.1" customHeight="1" x14ac:dyDescent="0.2">
      <c r="A50" s="3">
        <v>44</v>
      </c>
      <c r="B50" s="4" t="s">
        <v>429</v>
      </c>
      <c r="C50" s="4" t="s">
        <v>430</v>
      </c>
      <c r="D50" s="4" t="s">
        <v>431</v>
      </c>
      <c r="E50" s="5">
        <v>247092</v>
      </c>
      <c r="F50" s="6">
        <v>328.50881399999997</v>
      </c>
      <c r="G50" s="7">
        <v>9.7948840000000002E-3</v>
      </c>
      <c r="H50" s="51"/>
    </row>
    <row r="51" spans="1:8" ht="53.1" customHeight="1" x14ac:dyDescent="0.2">
      <c r="A51" s="3">
        <v>45</v>
      </c>
      <c r="B51" s="4" t="s">
        <v>335</v>
      </c>
      <c r="C51" s="4" t="s">
        <v>863</v>
      </c>
      <c r="D51" s="4" t="s">
        <v>45</v>
      </c>
      <c r="E51" s="5">
        <v>116365</v>
      </c>
      <c r="F51" s="6">
        <v>320.17829749999999</v>
      </c>
      <c r="G51" s="7">
        <v>9.546499E-3</v>
      </c>
      <c r="H51" s="51"/>
    </row>
    <row r="52" spans="1:8" ht="29.1" customHeight="1" x14ac:dyDescent="0.2">
      <c r="A52" s="3">
        <v>46</v>
      </c>
      <c r="B52" s="4" t="s">
        <v>419</v>
      </c>
      <c r="C52" s="4" t="s">
        <v>420</v>
      </c>
      <c r="D52" s="4" t="s">
        <v>203</v>
      </c>
      <c r="E52" s="5">
        <v>16433</v>
      </c>
      <c r="F52" s="6">
        <v>315.48073399999998</v>
      </c>
      <c r="G52" s="7">
        <v>9.4064360000000007E-3</v>
      </c>
      <c r="H52" s="51"/>
    </row>
    <row r="53" spans="1:8" ht="17.100000000000001" customHeight="1" x14ac:dyDescent="0.2">
      <c r="A53" s="3">
        <v>47</v>
      </c>
      <c r="B53" s="4" t="s">
        <v>329</v>
      </c>
      <c r="C53" s="4" t="s">
        <v>330</v>
      </c>
      <c r="D53" s="4" t="s">
        <v>36</v>
      </c>
      <c r="E53" s="5">
        <v>132208</v>
      </c>
      <c r="F53" s="6">
        <v>311.61425600000001</v>
      </c>
      <c r="G53" s="7">
        <v>9.2911520000000004E-3</v>
      </c>
      <c r="H53" s="51"/>
    </row>
    <row r="54" spans="1:8" ht="17.100000000000001" customHeight="1" x14ac:dyDescent="0.2">
      <c r="A54" s="3">
        <v>48</v>
      </c>
      <c r="B54" s="4" t="s">
        <v>421</v>
      </c>
      <c r="C54" s="4" t="s">
        <v>422</v>
      </c>
      <c r="D54" s="4" t="s">
        <v>104</v>
      </c>
      <c r="E54" s="5">
        <v>27439</v>
      </c>
      <c r="F54" s="6">
        <v>302.00735350000002</v>
      </c>
      <c r="G54" s="7">
        <v>9.0047110000000003E-3</v>
      </c>
      <c r="H54" s="51"/>
    </row>
    <row r="55" spans="1:8" ht="17.100000000000001" customHeight="1" x14ac:dyDescent="0.2">
      <c r="A55" s="3">
        <v>49</v>
      </c>
      <c r="B55" s="4" t="s">
        <v>427</v>
      </c>
      <c r="C55" s="4" t="s">
        <v>428</v>
      </c>
      <c r="D55" s="4" t="s">
        <v>97</v>
      </c>
      <c r="E55" s="5">
        <v>30109</v>
      </c>
      <c r="F55" s="6">
        <v>299.31356899999997</v>
      </c>
      <c r="G55" s="7">
        <v>8.9243919999999997E-3</v>
      </c>
      <c r="H55" s="51"/>
    </row>
    <row r="56" spans="1:8" ht="29.1" customHeight="1" x14ac:dyDescent="0.2">
      <c r="A56" s="3">
        <v>50</v>
      </c>
      <c r="B56" s="4" t="s">
        <v>423</v>
      </c>
      <c r="C56" s="4" t="s">
        <v>424</v>
      </c>
      <c r="D56" s="4" t="s">
        <v>318</v>
      </c>
      <c r="E56" s="5">
        <v>70561</v>
      </c>
      <c r="F56" s="6">
        <v>293.85128450000002</v>
      </c>
      <c r="G56" s="7">
        <v>8.7615279999999993E-3</v>
      </c>
      <c r="H56" s="51"/>
    </row>
    <row r="57" spans="1:8" ht="17.100000000000001" customHeight="1" x14ac:dyDescent="0.2">
      <c r="A57" s="3">
        <v>51</v>
      </c>
      <c r="B57" s="4" t="s">
        <v>461</v>
      </c>
      <c r="C57" s="4" t="s">
        <v>462</v>
      </c>
      <c r="D57" s="4" t="s">
        <v>260</v>
      </c>
      <c r="E57" s="5">
        <v>86680</v>
      </c>
      <c r="F57" s="6">
        <v>290.46467999999999</v>
      </c>
      <c r="G57" s="7">
        <v>8.6605520000000002E-3</v>
      </c>
      <c r="H57" s="51"/>
    </row>
    <row r="58" spans="1:8" ht="17.100000000000001" customHeight="1" x14ac:dyDescent="0.2">
      <c r="A58" s="3">
        <v>52</v>
      </c>
      <c r="B58" s="4" t="s">
        <v>425</v>
      </c>
      <c r="C58" s="4" t="s">
        <v>426</v>
      </c>
      <c r="D58" s="4" t="s">
        <v>13</v>
      </c>
      <c r="E58" s="5">
        <v>369322</v>
      </c>
      <c r="F58" s="6">
        <v>288.80980399999999</v>
      </c>
      <c r="G58" s="7">
        <v>8.6112099999999994E-3</v>
      </c>
      <c r="H58" s="51"/>
    </row>
    <row r="59" spans="1:8" ht="17.100000000000001" customHeight="1" x14ac:dyDescent="0.2">
      <c r="A59" s="3">
        <v>53</v>
      </c>
      <c r="B59" s="4" t="s">
        <v>450</v>
      </c>
      <c r="C59" s="4" t="s">
        <v>451</v>
      </c>
      <c r="D59" s="4" t="s">
        <v>104</v>
      </c>
      <c r="E59" s="5">
        <v>92539</v>
      </c>
      <c r="F59" s="6">
        <v>277.61700000000002</v>
      </c>
      <c r="G59" s="7">
        <v>8.2774830000000004E-3</v>
      </c>
      <c r="H59" s="51"/>
    </row>
    <row r="60" spans="1:8" ht="17.100000000000001" customHeight="1" x14ac:dyDescent="0.2">
      <c r="A60" s="3">
        <v>54</v>
      </c>
      <c r="B60" s="4" t="s">
        <v>432</v>
      </c>
      <c r="C60" s="4" t="s">
        <v>433</v>
      </c>
      <c r="D60" s="4" t="s">
        <v>192</v>
      </c>
      <c r="E60" s="5">
        <v>31437</v>
      </c>
      <c r="F60" s="6">
        <v>267.13590749999997</v>
      </c>
      <c r="G60" s="7">
        <v>7.9649769999999998E-3</v>
      </c>
      <c r="H60" s="51"/>
    </row>
    <row r="61" spans="1:8" ht="17.100000000000001" customHeight="1" x14ac:dyDescent="0.2">
      <c r="A61" s="3">
        <v>55</v>
      </c>
      <c r="B61" s="4" t="s">
        <v>440</v>
      </c>
      <c r="C61" s="4" t="s">
        <v>441</v>
      </c>
      <c r="D61" s="4" t="s">
        <v>51</v>
      </c>
      <c r="E61" s="5">
        <v>32491</v>
      </c>
      <c r="F61" s="6">
        <v>249.0922515</v>
      </c>
      <c r="G61" s="7">
        <v>7.4269840000000002E-3</v>
      </c>
      <c r="H61" s="51"/>
    </row>
    <row r="62" spans="1:8" ht="29.1" customHeight="1" x14ac:dyDescent="0.2">
      <c r="A62" s="3">
        <v>56</v>
      </c>
      <c r="B62" s="4" t="s">
        <v>434</v>
      </c>
      <c r="C62" s="4" t="s">
        <v>435</v>
      </c>
      <c r="D62" s="4" t="s">
        <v>184</v>
      </c>
      <c r="E62" s="5">
        <v>24941</v>
      </c>
      <c r="F62" s="6">
        <v>241.92769999999999</v>
      </c>
      <c r="G62" s="7">
        <v>7.2133639999999999E-3</v>
      </c>
      <c r="H62" s="51"/>
    </row>
    <row r="63" spans="1:8" ht="17.100000000000001" customHeight="1" x14ac:dyDescent="0.2">
      <c r="A63" s="3">
        <v>57</v>
      </c>
      <c r="B63" s="4" t="s">
        <v>436</v>
      </c>
      <c r="C63" s="4" t="s">
        <v>437</v>
      </c>
      <c r="D63" s="4" t="s">
        <v>72</v>
      </c>
      <c r="E63" s="5">
        <v>36696</v>
      </c>
      <c r="F63" s="6">
        <v>233.99204399999999</v>
      </c>
      <c r="G63" s="7">
        <v>6.9767529999999996E-3</v>
      </c>
      <c r="H63" s="51"/>
    </row>
    <row r="64" spans="1:8" ht="17.100000000000001" customHeight="1" x14ac:dyDescent="0.2">
      <c r="A64" s="3">
        <v>58</v>
      </c>
      <c r="B64" s="4" t="s">
        <v>442</v>
      </c>
      <c r="C64" s="4" t="s">
        <v>443</v>
      </c>
      <c r="D64" s="4" t="s">
        <v>232</v>
      </c>
      <c r="E64" s="5">
        <v>22179</v>
      </c>
      <c r="F64" s="6">
        <v>160.487244</v>
      </c>
      <c r="G64" s="7">
        <v>4.785119E-3</v>
      </c>
      <c r="H64" s="51"/>
    </row>
    <row r="65" spans="1:8" ht="17.100000000000001" customHeight="1" x14ac:dyDescent="0.2">
      <c r="A65" s="3">
        <v>59</v>
      </c>
      <c r="B65" s="4" t="s">
        <v>444</v>
      </c>
      <c r="C65" s="4" t="s">
        <v>445</v>
      </c>
      <c r="D65" s="4" t="s">
        <v>31</v>
      </c>
      <c r="E65" s="5">
        <v>17971</v>
      </c>
      <c r="F65" s="6">
        <v>143.50742049999999</v>
      </c>
      <c r="G65" s="7">
        <v>4.2788460000000002E-3</v>
      </c>
      <c r="H65" s="51"/>
    </row>
    <row r="66" spans="1:8" ht="29.1" customHeight="1" x14ac:dyDescent="0.2">
      <c r="A66" s="3">
        <v>60</v>
      </c>
      <c r="B66" s="4" t="s">
        <v>446</v>
      </c>
      <c r="C66" s="4" t="s">
        <v>447</v>
      </c>
      <c r="D66" s="4" t="s">
        <v>203</v>
      </c>
      <c r="E66" s="5">
        <v>3290</v>
      </c>
      <c r="F66" s="6">
        <v>135.11865499999999</v>
      </c>
      <c r="G66" s="7">
        <v>4.028724E-3</v>
      </c>
      <c r="H66" s="51"/>
    </row>
    <row r="67" spans="1:8" ht="29.1" customHeight="1" x14ac:dyDescent="0.2">
      <c r="A67" s="3">
        <v>61</v>
      </c>
      <c r="B67" s="4" t="s">
        <v>438</v>
      </c>
      <c r="C67" s="4" t="s">
        <v>439</v>
      </c>
      <c r="D67" s="4" t="s">
        <v>104</v>
      </c>
      <c r="E67" s="5">
        <v>9707</v>
      </c>
      <c r="F67" s="6">
        <v>134.898179</v>
      </c>
      <c r="G67" s="7">
        <v>4.0221509999999999E-3</v>
      </c>
      <c r="H67" s="51"/>
    </row>
    <row r="68" spans="1:8" ht="17.100000000000001" customHeight="1" x14ac:dyDescent="0.2">
      <c r="A68" s="3">
        <v>62</v>
      </c>
      <c r="B68" s="4" t="s">
        <v>340</v>
      </c>
      <c r="C68" s="4" t="s">
        <v>341</v>
      </c>
      <c r="D68" s="4" t="s">
        <v>92</v>
      </c>
      <c r="E68" s="5">
        <v>172875</v>
      </c>
      <c r="F68" s="6">
        <v>128.96475000000001</v>
      </c>
      <c r="G68" s="7">
        <v>3.845238E-3</v>
      </c>
      <c r="H68" s="51"/>
    </row>
    <row r="69" spans="1:8" ht="29.1" customHeight="1" x14ac:dyDescent="0.2">
      <c r="A69" s="3">
        <v>63</v>
      </c>
      <c r="B69" s="4" t="s">
        <v>448</v>
      </c>
      <c r="C69" s="4" t="s">
        <v>449</v>
      </c>
      <c r="D69" s="4" t="s">
        <v>203</v>
      </c>
      <c r="E69" s="5">
        <v>53264</v>
      </c>
      <c r="F69" s="6">
        <v>124.71765600000001</v>
      </c>
      <c r="G69" s="7">
        <v>3.7186060000000002E-3</v>
      </c>
      <c r="H69" s="51"/>
    </row>
    <row r="70" spans="1:8" ht="29.1" customHeight="1" x14ac:dyDescent="0.2">
      <c r="A70" s="3">
        <v>64</v>
      </c>
      <c r="B70" s="4" t="s">
        <v>327</v>
      </c>
      <c r="C70" s="4" t="s">
        <v>328</v>
      </c>
      <c r="D70" s="4" t="s">
        <v>184</v>
      </c>
      <c r="E70" s="5">
        <v>25075</v>
      </c>
      <c r="F70" s="6">
        <v>105.1144</v>
      </c>
      <c r="G70" s="7">
        <v>3.1341120000000001E-3</v>
      </c>
      <c r="H70" s="51"/>
    </row>
    <row r="71" spans="1:8" ht="29.1" customHeight="1" x14ac:dyDescent="0.2">
      <c r="A71" s="3">
        <v>65</v>
      </c>
      <c r="B71" s="4" t="s">
        <v>463</v>
      </c>
      <c r="C71" s="4" t="s">
        <v>464</v>
      </c>
      <c r="D71" s="4" t="s">
        <v>184</v>
      </c>
      <c r="E71" s="5">
        <v>9638</v>
      </c>
      <c r="F71" s="6">
        <v>71.306742999999997</v>
      </c>
      <c r="G71" s="7">
        <v>2.1260960000000001E-3</v>
      </c>
      <c r="H71" s="51"/>
    </row>
    <row r="72" spans="1:8" ht="29.1" customHeight="1" x14ac:dyDescent="0.2">
      <c r="A72" s="3">
        <v>66</v>
      </c>
      <c r="B72" s="4" t="s">
        <v>452</v>
      </c>
      <c r="C72" s="4" t="s">
        <v>453</v>
      </c>
      <c r="D72" s="4" t="s">
        <v>60</v>
      </c>
      <c r="E72" s="5">
        <v>14211</v>
      </c>
      <c r="F72" s="6">
        <v>52.950186000000002</v>
      </c>
      <c r="G72" s="7">
        <v>1.5787729999999999E-3</v>
      </c>
      <c r="H72" s="51"/>
    </row>
    <row r="73" spans="1:8" ht="17.100000000000001" customHeight="1" x14ac:dyDescent="0.2">
      <c r="A73" s="3">
        <v>67</v>
      </c>
      <c r="B73" s="4" t="s">
        <v>454</v>
      </c>
      <c r="C73" s="4" t="s">
        <v>455</v>
      </c>
      <c r="D73" s="4" t="s">
        <v>16</v>
      </c>
      <c r="E73" s="5">
        <v>13031</v>
      </c>
      <c r="F73" s="6">
        <v>29.0135215</v>
      </c>
      <c r="G73" s="7">
        <v>8.6507299999999995E-4</v>
      </c>
      <c r="H73" s="51"/>
    </row>
    <row r="74" spans="1:8" ht="14.1" customHeight="1" x14ac:dyDescent="0.2">
      <c r="A74" s="1"/>
      <c r="B74" s="1"/>
      <c r="C74" s="2" t="s">
        <v>129</v>
      </c>
      <c r="D74" s="1"/>
      <c r="E74" s="1" t="s">
        <v>130</v>
      </c>
      <c r="F74" s="9">
        <v>29918.6616545</v>
      </c>
      <c r="G74" s="10">
        <v>0.892060721</v>
      </c>
      <c r="H74" s="51"/>
    </row>
    <row r="75" spans="1:8" ht="14.1" customHeight="1" x14ac:dyDescent="0.2">
      <c r="A75" s="1"/>
      <c r="B75" s="1"/>
      <c r="C75" s="11"/>
      <c r="D75" s="1"/>
      <c r="E75" s="1"/>
      <c r="F75" s="12"/>
      <c r="G75" s="12"/>
      <c r="H75" s="51"/>
    </row>
    <row r="76" spans="1:8" ht="14.1" customHeight="1" x14ac:dyDescent="0.2">
      <c r="A76" s="1"/>
      <c r="B76" s="1"/>
      <c r="C76" s="2" t="s">
        <v>131</v>
      </c>
      <c r="D76" s="1"/>
      <c r="E76" s="1"/>
      <c r="F76" s="1"/>
      <c r="G76" s="1"/>
      <c r="H76" s="51"/>
    </row>
    <row r="77" spans="1:8" ht="14.1" customHeight="1" x14ac:dyDescent="0.2">
      <c r="A77" s="1"/>
      <c r="B77" s="1"/>
      <c r="C77" s="2" t="s">
        <v>129</v>
      </c>
      <c r="D77" s="1"/>
      <c r="E77" s="1" t="s">
        <v>130</v>
      </c>
      <c r="F77" s="13">
        <v>0</v>
      </c>
      <c r="G77" s="14">
        <v>0</v>
      </c>
      <c r="H77" s="51"/>
    </row>
    <row r="78" spans="1:8" ht="14.1" customHeight="1" x14ac:dyDescent="0.2">
      <c r="A78" s="1"/>
      <c r="B78" s="1"/>
      <c r="C78" s="11"/>
      <c r="D78" s="1"/>
      <c r="E78" s="1"/>
      <c r="F78" s="12"/>
      <c r="G78" s="12"/>
      <c r="H78" s="51"/>
    </row>
    <row r="79" spans="1:8" ht="14.1" customHeight="1" x14ac:dyDescent="0.2">
      <c r="A79" s="1"/>
      <c r="B79" s="1"/>
      <c r="C79" s="2" t="s">
        <v>132</v>
      </c>
      <c r="D79" s="1"/>
      <c r="E79" s="1"/>
      <c r="F79" s="1"/>
      <c r="G79" s="1"/>
      <c r="H79" s="51"/>
    </row>
    <row r="80" spans="1:8" ht="14.1" customHeight="1" x14ac:dyDescent="0.2">
      <c r="A80" s="1"/>
      <c r="B80" s="1"/>
      <c r="C80" s="2" t="s">
        <v>129</v>
      </c>
      <c r="D80" s="1"/>
      <c r="E80" s="1" t="s">
        <v>130</v>
      </c>
      <c r="F80" s="13">
        <v>0</v>
      </c>
      <c r="G80" s="14">
        <v>0</v>
      </c>
      <c r="H80" s="51"/>
    </row>
    <row r="81" spans="1:8" ht="14.1" customHeight="1" x14ac:dyDescent="0.2">
      <c r="A81" s="1"/>
      <c r="B81" s="1"/>
      <c r="C81" s="11"/>
      <c r="D81" s="1"/>
      <c r="E81" s="1"/>
      <c r="F81" s="12"/>
      <c r="G81" s="12"/>
      <c r="H81" s="51"/>
    </row>
    <row r="82" spans="1:8" ht="14.1" customHeight="1" x14ac:dyDescent="0.2">
      <c r="A82" s="1"/>
      <c r="B82" s="1"/>
      <c r="C82" s="2" t="s">
        <v>133</v>
      </c>
      <c r="D82" s="1"/>
      <c r="E82" s="1"/>
      <c r="F82" s="1"/>
      <c r="G82" s="1"/>
      <c r="H82" s="51"/>
    </row>
    <row r="83" spans="1:8" ht="14.1" customHeight="1" x14ac:dyDescent="0.2">
      <c r="A83" s="1"/>
      <c r="B83" s="1"/>
      <c r="C83" s="2" t="s">
        <v>129</v>
      </c>
      <c r="D83" s="1"/>
      <c r="E83" s="1" t="s">
        <v>130</v>
      </c>
      <c r="F83" s="13">
        <v>0</v>
      </c>
      <c r="G83" s="14">
        <v>0</v>
      </c>
      <c r="H83" s="51"/>
    </row>
    <row r="84" spans="1:8" ht="14.1" customHeight="1" x14ac:dyDescent="0.2">
      <c r="A84" s="1"/>
      <c r="B84" s="1"/>
      <c r="C84" s="11"/>
      <c r="D84" s="1"/>
      <c r="E84" s="1"/>
      <c r="F84" s="12"/>
      <c r="G84" s="12"/>
      <c r="H84" s="51"/>
    </row>
    <row r="85" spans="1:8" ht="14.1" customHeight="1" x14ac:dyDescent="0.2">
      <c r="A85" s="1"/>
      <c r="B85" s="1"/>
      <c r="C85" s="2" t="s">
        <v>134</v>
      </c>
      <c r="D85" s="1"/>
      <c r="E85" s="1"/>
      <c r="F85" s="12"/>
      <c r="G85" s="12"/>
      <c r="H85" s="51"/>
    </row>
    <row r="86" spans="1:8" ht="14.1" customHeight="1" x14ac:dyDescent="0.2">
      <c r="A86" s="1"/>
      <c r="B86" s="1"/>
      <c r="C86" s="2" t="s">
        <v>129</v>
      </c>
      <c r="D86" s="1"/>
      <c r="E86" s="1" t="s">
        <v>130</v>
      </c>
      <c r="F86" s="13">
        <v>0</v>
      </c>
      <c r="G86" s="14">
        <v>0</v>
      </c>
      <c r="H86" s="51"/>
    </row>
    <row r="87" spans="1:8" ht="14.1" customHeight="1" x14ac:dyDescent="0.2">
      <c r="A87" s="1"/>
      <c r="B87" s="1"/>
      <c r="C87" s="11"/>
      <c r="D87" s="1"/>
      <c r="E87" s="1"/>
      <c r="F87" s="12"/>
      <c r="G87" s="12"/>
      <c r="H87" s="51"/>
    </row>
    <row r="88" spans="1:8" ht="14.1" customHeight="1" x14ac:dyDescent="0.2">
      <c r="A88" s="1"/>
      <c r="B88" s="1"/>
      <c r="C88" s="2" t="s">
        <v>135</v>
      </c>
      <c r="D88" s="1"/>
      <c r="E88" s="1"/>
      <c r="F88" s="12"/>
      <c r="G88" s="12"/>
      <c r="H88" s="51"/>
    </row>
    <row r="89" spans="1:8" ht="14.1" customHeight="1" x14ac:dyDescent="0.2">
      <c r="A89" s="1"/>
      <c r="B89" s="1"/>
      <c r="C89" s="2" t="s">
        <v>129</v>
      </c>
      <c r="D89" s="1"/>
      <c r="E89" s="1" t="s">
        <v>130</v>
      </c>
      <c r="F89" s="13">
        <v>0</v>
      </c>
      <c r="G89" s="14">
        <v>0</v>
      </c>
      <c r="H89" s="51"/>
    </row>
    <row r="90" spans="1:8" ht="14.1" customHeight="1" x14ac:dyDescent="0.2">
      <c r="A90" s="1"/>
      <c r="B90" s="1"/>
      <c r="C90" s="11"/>
      <c r="D90" s="1"/>
      <c r="E90" s="1"/>
      <c r="F90" s="12"/>
      <c r="G90" s="12"/>
      <c r="H90" s="51"/>
    </row>
    <row r="91" spans="1:8" ht="18" customHeight="1" x14ac:dyDescent="0.2">
      <c r="A91" s="1"/>
      <c r="B91" s="1"/>
      <c r="C91" s="2" t="s">
        <v>136</v>
      </c>
      <c r="D91" s="1"/>
      <c r="E91" s="1"/>
      <c r="F91" s="9">
        <v>29918.6616545</v>
      </c>
      <c r="G91" s="10">
        <v>0.892060721</v>
      </c>
      <c r="H91" s="51"/>
    </row>
    <row r="92" spans="1:8" ht="14.1" customHeight="1" x14ac:dyDescent="0.2">
      <c r="A92" s="1"/>
      <c r="B92" s="1"/>
      <c r="C92" s="11"/>
      <c r="D92" s="1"/>
      <c r="E92" s="1"/>
      <c r="F92" s="12"/>
      <c r="G92" s="12"/>
      <c r="H92" s="51"/>
    </row>
    <row r="93" spans="1:8" ht="14.1" customHeight="1" x14ac:dyDescent="0.2">
      <c r="A93" s="1"/>
      <c r="B93" s="1"/>
      <c r="C93" s="2" t="s">
        <v>137</v>
      </c>
      <c r="D93" s="1"/>
      <c r="E93" s="1"/>
      <c r="F93" s="12"/>
      <c r="G93" s="12"/>
      <c r="H93" s="51"/>
    </row>
    <row r="94" spans="1:8" ht="24" customHeight="1" x14ac:dyDescent="0.2">
      <c r="A94" s="1"/>
      <c r="B94" s="1"/>
      <c r="C94" s="2" t="s">
        <v>10</v>
      </c>
      <c r="D94" s="1"/>
      <c r="E94" s="1"/>
      <c r="F94" s="12"/>
      <c r="G94" s="12"/>
      <c r="H94" s="51"/>
    </row>
    <row r="95" spans="1:8" ht="14.1" customHeight="1" x14ac:dyDescent="0.2">
      <c r="A95" s="1"/>
      <c r="B95" s="1"/>
      <c r="C95" s="2" t="s">
        <v>129</v>
      </c>
      <c r="D95" s="1"/>
      <c r="E95" s="1" t="s">
        <v>130</v>
      </c>
      <c r="F95" s="13">
        <v>0</v>
      </c>
      <c r="G95" s="14">
        <v>0</v>
      </c>
      <c r="H95" s="51"/>
    </row>
    <row r="96" spans="1:8" ht="14.1" customHeight="1" x14ac:dyDescent="0.2">
      <c r="A96" s="1"/>
      <c r="B96" s="1"/>
      <c r="C96" s="11"/>
      <c r="D96" s="1"/>
      <c r="E96" s="1"/>
      <c r="F96" s="12"/>
      <c r="G96" s="12"/>
      <c r="H96" s="51"/>
    </row>
    <row r="97" spans="1:8" ht="14.1" customHeight="1" x14ac:dyDescent="0.2">
      <c r="A97" s="1"/>
      <c r="B97" s="1"/>
      <c r="C97" s="2" t="s">
        <v>138</v>
      </c>
      <c r="D97" s="1"/>
      <c r="E97" s="1"/>
      <c r="F97" s="1"/>
      <c r="G97" s="1"/>
      <c r="H97" s="51"/>
    </row>
    <row r="98" spans="1:8" ht="14.1" customHeight="1" x14ac:dyDescent="0.2">
      <c r="A98" s="1"/>
      <c r="B98" s="1"/>
      <c r="C98" s="2" t="s">
        <v>129</v>
      </c>
      <c r="D98" s="1"/>
      <c r="E98" s="1" t="s">
        <v>130</v>
      </c>
      <c r="F98" s="13">
        <v>0</v>
      </c>
      <c r="G98" s="14">
        <v>0</v>
      </c>
      <c r="H98" s="51"/>
    </row>
    <row r="99" spans="1:8" ht="14.1" customHeight="1" x14ac:dyDescent="0.2">
      <c r="A99" s="1"/>
      <c r="B99" s="1"/>
      <c r="C99" s="11"/>
      <c r="D99" s="1"/>
      <c r="E99" s="1"/>
      <c r="F99" s="12"/>
      <c r="G99" s="12"/>
      <c r="H99" s="51"/>
    </row>
    <row r="100" spans="1:8" ht="14.1" customHeight="1" x14ac:dyDescent="0.2">
      <c r="A100" s="1"/>
      <c r="B100" s="1"/>
      <c r="C100" s="2" t="s">
        <v>139</v>
      </c>
      <c r="D100" s="1"/>
      <c r="E100" s="1"/>
      <c r="F100" s="1"/>
      <c r="G100" s="1"/>
      <c r="H100" s="51"/>
    </row>
    <row r="101" spans="1:8" ht="14.1" customHeight="1" x14ac:dyDescent="0.2">
      <c r="A101" s="1"/>
      <c r="B101" s="1"/>
      <c r="C101" s="2" t="s">
        <v>129</v>
      </c>
      <c r="D101" s="1"/>
      <c r="E101" s="1" t="s">
        <v>130</v>
      </c>
      <c r="F101" s="13">
        <v>0</v>
      </c>
      <c r="G101" s="14">
        <v>0</v>
      </c>
      <c r="H101" s="51"/>
    </row>
    <row r="102" spans="1:8" ht="14.1" customHeight="1" x14ac:dyDescent="0.2">
      <c r="A102" s="1"/>
      <c r="B102" s="1"/>
      <c r="C102" s="11"/>
      <c r="D102" s="1"/>
      <c r="E102" s="1"/>
      <c r="F102" s="12"/>
      <c r="G102" s="12"/>
      <c r="H102" s="51"/>
    </row>
    <row r="103" spans="1:8" ht="14.1" customHeight="1" x14ac:dyDescent="0.2">
      <c r="A103" s="1"/>
      <c r="B103" s="1"/>
      <c r="C103" s="2" t="s">
        <v>140</v>
      </c>
      <c r="D103" s="1"/>
      <c r="E103" s="1"/>
      <c r="F103" s="12"/>
      <c r="G103" s="12"/>
      <c r="H103" s="51"/>
    </row>
    <row r="104" spans="1:8" ht="14.1" customHeight="1" x14ac:dyDescent="0.2">
      <c r="A104" s="1"/>
      <c r="B104" s="1"/>
      <c r="C104" s="2" t="s">
        <v>129</v>
      </c>
      <c r="D104" s="1"/>
      <c r="E104" s="1" t="s">
        <v>130</v>
      </c>
      <c r="F104" s="13">
        <v>0</v>
      </c>
      <c r="G104" s="14">
        <v>0</v>
      </c>
      <c r="H104" s="51"/>
    </row>
    <row r="105" spans="1:8" ht="14.1" customHeight="1" x14ac:dyDescent="0.2">
      <c r="A105" s="1"/>
      <c r="B105" s="1"/>
      <c r="C105" s="11"/>
      <c r="D105" s="1"/>
      <c r="E105" s="1"/>
      <c r="F105" s="12"/>
      <c r="G105" s="12"/>
      <c r="H105" s="51"/>
    </row>
    <row r="106" spans="1:8" ht="14.1" customHeight="1" x14ac:dyDescent="0.2">
      <c r="A106" s="1"/>
      <c r="B106" s="1"/>
      <c r="C106" s="2" t="s">
        <v>141</v>
      </c>
      <c r="D106" s="1"/>
      <c r="E106" s="1"/>
      <c r="F106" s="9">
        <v>0</v>
      </c>
      <c r="G106" s="10">
        <v>0</v>
      </c>
      <c r="H106" s="51"/>
    </row>
    <row r="107" spans="1:8" ht="14.1" customHeight="1" x14ac:dyDescent="0.2">
      <c r="A107" s="1"/>
      <c r="B107" s="1"/>
      <c r="C107" s="11"/>
      <c r="D107" s="1"/>
      <c r="E107" s="1"/>
      <c r="F107" s="12"/>
      <c r="G107" s="12"/>
      <c r="H107" s="51"/>
    </row>
    <row r="108" spans="1:8" ht="14.1" customHeight="1" x14ac:dyDescent="0.2">
      <c r="A108" s="1"/>
      <c r="B108" s="1"/>
      <c r="C108" s="2" t="s">
        <v>142</v>
      </c>
      <c r="D108" s="1"/>
      <c r="E108" s="1"/>
      <c r="F108" s="12"/>
      <c r="G108" s="12"/>
      <c r="H108" s="51"/>
    </row>
    <row r="109" spans="1:8" ht="14.1" customHeight="1" x14ac:dyDescent="0.2">
      <c r="A109" s="1"/>
      <c r="B109" s="1"/>
      <c r="C109" s="2" t="s">
        <v>143</v>
      </c>
      <c r="D109" s="1"/>
      <c r="E109" s="1"/>
      <c r="F109" s="12"/>
      <c r="G109" s="12"/>
      <c r="H109" s="51"/>
    </row>
    <row r="110" spans="1:8" ht="14.1" customHeight="1" x14ac:dyDescent="0.2">
      <c r="A110" s="1"/>
      <c r="B110" s="1"/>
      <c r="C110" s="2" t="s">
        <v>129</v>
      </c>
      <c r="D110" s="1"/>
      <c r="E110" s="1" t="s">
        <v>130</v>
      </c>
      <c r="F110" s="13">
        <v>0</v>
      </c>
      <c r="G110" s="14">
        <v>0</v>
      </c>
      <c r="H110" s="51"/>
    </row>
    <row r="111" spans="1:8" ht="14.1" customHeight="1" x14ac:dyDescent="0.2">
      <c r="A111" s="1"/>
      <c r="B111" s="1"/>
      <c r="C111" s="11"/>
      <c r="D111" s="1"/>
      <c r="E111" s="1"/>
      <c r="F111" s="12"/>
      <c r="G111" s="12"/>
      <c r="H111" s="51"/>
    </row>
    <row r="112" spans="1:8" ht="14.1" customHeight="1" x14ac:dyDescent="0.2">
      <c r="A112" s="1"/>
      <c r="B112" s="1"/>
      <c r="C112" s="2" t="s">
        <v>144</v>
      </c>
      <c r="D112" s="1"/>
      <c r="E112" s="1"/>
      <c r="F112" s="12"/>
      <c r="G112" s="12"/>
      <c r="H112" s="51"/>
    </row>
    <row r="113" spans="1:8" ht="14.1" customHeight="1" x14ac:dyDescent="0.2">
      <c r="A113" s="1"/>
      <c r="B113" s="1"/>
      <c r="C113" s="2" t="s">
        <v>129</v>
      </c>
      <c r="D113" s="1"/>
      <c r="E113" s="1" t="s">
        <v>130</v>
      </c>
      <c r="F113" s="13">
        <v>0</v>
      </c>
      <c r="G113" s="14">
        <v>0</v>
      </c>
      <c r="H113" s="51"/>
    </row>
    <row r="114" spans="1:8" ht="14.1" customHeight="1" x14ac:dyDescent="0.2">
      <c r="A114" s="1"/>
      <c r="B114" s="1"/>
      <c r="C114" s="11"/>
      <c r="D114" s="1"/>
      <c r="E114" s="1"/>
      <c r="F114" s="12"/>
      <c r="G114" s="12"/>
      <c r="H114" s="51"/>
    </row>
    <row r="115" spans="1:8" ht="14.1" customHeight="1" x14ac:dyDescent="0.2">
      <c r="A115" s="1"/>
      <c r="B115" s="1"/>
      <c r="C115" s="2" t="s">
        <v>145</v>
      </c>
      <c r="D115" s="1"/>
      <c r="E115" s="1"/>
      <c r="F115" s="12"/>
      <c r="G115" s="12"/>
      <c r="H115" s="51"/>
    </row>
    <row r="116" spans="1:8" ht="14.1" customHeight="1" x14ac:dyDescent="0.2">
      <c r="A116" s="1"/>
      <c r="B116" s="1"/>
      <c r="C116" s="2" t="s">
        <v>129</v>
      </c>
      <c r="D116" s="1"/>
      <c r="E116" s="1" t="s">
        <v>130</v>
      </c>
      <c r="F116" s="13">
        <v>0</v>
      </c>
      <c r="G116" s="14">
        <v>0</v>
      </c>
      <c r="H116" s="51"/>
    </row>
    <row r="117" spans="1:8" ht="14.1" customHeight="1" x14ac:dyDescent="0.2">
      <c r="A117" s="1"/>
      <c r="B117" s="1"/>
      <c r="C117" s="11"/>
      <c r="D117" s="1"/>
      <c r="E117" s="1"/>
      <c r="F117" s="12"/>
      <c r="G117" s="12"/>
      <c r="H117" s="51"/>
    </row>
    <row r="118" spans="1:8" ht="14.1" customHeight="1" x14ac:dyDescent="0.2">
      <c r="A118" s="1"/>
      <c r="B118" s="1"/>
      <c r="C118" s="2" t="s">
        <v>146</v>
      </c>
      <c r="D118" s="1"/>
      <c r="E118" s="1"/>
      <c r="F118" s="12"/>
      <c r="G118" s="12"/>
      <c r="H118" s="51"/>
    </row>
    <row r="119" spans="1:8" ht="17.100000000000001" customHeight="1" x14ac:dyDescent="0.2">
      <c r="A119" s="3">
        <v>1</v>
      </c>
      <c r="B119" s="4"/>
      <c r="C119" s="4" t="s">
        <v>147</v>
      </c>
      <c r="D119" s="4"/>
      <c r="E119" s="8"/>
      <c r="F119" s="6">
        <v>3506.9140738999999</v>
      </c>
      <c r="G119" s="7">
        <v>0.104562842</v>
      </c>
      <c r="H119" s="51">
        <v>6.1245112103248278</v>
      </c>
    </row>
    <row r="120" spans="1:8" ht="14.1" customHeight="1" x14ac:dyDescent="0.2">
      <c r="A120" s="1"/>
      <c r="B120" s="1"/>
      <c r="C120" s="2" t="s">
        <v>129</v>
      </c>
      <c r="D120" s="1"/>
      <c r="E120" s="1" t="s">
        <v>130</v>
      </c>
      <c r="F120" s="9">
        <v>3506.9140738999999</v>
      </c>
      <c r="G120" s="10">
        <v>0.104562842</v>
      </c>
      <c r="H120" s="51"/>
    </row>
    <row r="121" spans="1:8" ht="14.1" customHeight="1" x14ac:dyDescent="0.2">
      <c r="A121" s="1"/>
      <c r="B121" s="1"/>
      <c r="C121" s="11"/>
      <c r="D121" s="1"/>
      <c r="E121" s="1"/>
      <c r="F121" s="12"/>
      <c r="G121" s="12"/>
      <c r="H121" s="51"/>
    </row>
    <row r="122" spans="1:8" ht="14.1" customHeight="1" x14ac:dyDescent="0.2">
      <c r="A122" s="1"/>
      <c r="B122" s="1"/>
      <c r="C122" s="2" t="s">
        <v>148</v>
      </c>
      <c r="D122" s="1"/>
      <c r="E122" s="1"/>
      <c r="F122" s="9">
        <v>3506.9140738999999</v>
      </c>
      <c r="G122" s="10">
        <v>0.104562842</v>
      </c>
      <c r="H122" s="51"/>
    </row>
    <row r="123" spans="1:8" ht="14.1" customHeight="1" x14ac:dyDescent="0.2">
      <c r="A123" s="1"/>
      <c r="B123" s="1"/>
      <c r="C123" s="12"/>
      <c r="D123" s="1"/>
      <c r="E123" s="1"/>
      <c r="F123" s="1"/>
      <c r="G123" s="1"/>
      <c r="H123" s="51"/>
    </row>
    <row r="124" spans="1:8" ht="14.1" customHeight="1" x14ac:dyDescent="0.2">
      <c r="A124" s="1"/>
      <c r="B124" s="1"/>
      <c r="C124" s="2" t="s">
        <v>149</v>
      </c>
      <c r="D124" s="1"/>
      <c r="E124" s="1"/>
      <c r="F124" s="1"/>
      <c r="G124" s="1"/>
      <c r="H124" s="51"/>
    </row>
    <row r="125" spans="1:8" ht="14.1" customHeight="1" x14ac:dyDescent="0.2">
      <c r="A125" s="1"/>
      <c r="B125" s="1"/>
      <c r="C125" s="2" t="s">
        <v>150</v>
      </c>
      <c r="D125" s="1"/>
      <c r="E125" s="1"/>
      <c r="F125" s="1"/>
      <c r="G125" s="1"/>
      <c r="H125" s="51"/>
    </row>
    <row r="126" spans="1:8" ht="14.1" customHeight="1" x14ac:dyDescent="0.2">
      <c r="A126" s="1"/>
      <c r="B126" s="1"/>
      <c r="C126" s="2" t="s">
        <v>129</v>
      </c>
      <c r="D126" s="1"/>
      <c r="E126" s="1" t="s">
        <v>130</v>
      </c>
      <c r="F126" s="13">
        <v>0</v>
      </c>
      <c r="G126" s="14">
        <v>0</v>
      </c>
      <c r="H126" s="51"/>
    </row>
    <row r="127" spans="1:8" ht="14.1" customHeight="1" x14ac:dyDescent="0.2">
      <c r="A127" s="1"/>
      <c r="B127" s="1"/>
      <c r="C127" s="11"/>
      <c r="D127" s="1"/>
      <c r="E127" s="1"/>
      <c r="F127" s="12"/>
      <c r="G127" s="12"/>
      <c r="H127" s="51"/>
    </row>
    <row r="128" spans="1:8" ht="14.1" customHeight="1" x14ac:dyDescent="0.2">
      <c r="A128" s="1"/>
      <c r="B128" s="1"/>
      <c r="C128" s="2" t="s">
        <v>151</v>
      </c>
      <c r="D128" s="1"/>
      <c r="E128" s="1"/>
      <c r="F128" s="1"/>
      <c r="G128" s="1"/>
      <c r="H128" s="51"/>
    </row>
    <row r="129" spans="1:8" ht="14.1" customHeight="1" x14ac:dyDescent="0.2">
      <c r="A129" s="1"/>
      <c r="B129" s="1"/>
      <c r="C129" s="2" t="s">
        <v>152</v>
      </c>
      <c r="D129" s="1"/>
      <c r="E129" s="1"/>
      <c r="F129" s="1"/>
      <c r="G129" s="1"/>
      <c r="H129" s="51"/>
    </row>
    <row r="130" spans="1:8" ht="14.1" customHeight="1" x14ac:dyDescent="0.2">
      <c r="A130" s="1"/>
      <c r="B130" s="1"/>
      <c r="C130" s="2" t="s">
        <v>129</v>
      </c>
      <c r="D130" s="1"/>
      <c r="E130" s="1" t="s">
        <v>130</v>
      </c>
      <c r="F130" s="13">
        <v>0</v>
      </c>
      <c r="G130" s="14">
        <v>0</v>
      </c>
      <c r="H130" s="51"/>
    </row>
    <row r="131" spans="1:8" ht="14.1" customHeight="1" x14ac:dyDescent="0.2">
      <c r="A131" s="1"/>
      <c r="B131" s="1"/>
      <c r="C131" s="11"/>
      <c r="D131" s="1"/>
      <c r="E131" s="1"/>
      <c r="F131" s="12"/>
      <c r="G131" s="12"/>
      <c r="H131" s="51"/>
    </row>
    <row r="132" spans="1:8" ht="14.1" customHeight="1" x14ac:dyDescent="0.2">
      <c r="A132" s="1"/>
      <c r="B132" s="1"/>
      <c r="C132" s="11"/>
      <c r="D132" s="1"/>
      <c r="E132" s="1"/>
      <c r="F132" s="12"/>
      <c r="G132" s="12"/>
      <c r="H132" s="51"/>
    </row>
    <row r="133" spans="1:8" ht="24" customHeight="1" x14ac:dyDescent="0.2">
      <c r="A133" s="1"/>
      <c r="B133" s="1"/>
      <c r="C133" s="2" t="s">
        <v>153</v>
      </c>
      <c r="D133" s="1"/>
      <c r="E133" s="1"/>
      <c r="F133" s="12"/>
      <c r="G133" s="12"/>
      <c r="H133" s="51"/>
    </row>
    <row r="134" spans="1:8" ht="14.1" customHeight="1" x14ac:dyDescent="0.2">
      <c r="A134" s="1"/>
      <c r="B134" s="1"/>
      <c r="C134" s="2" t="s">
        <v>129</v>
      </c>
      <c r="D134" s="1"/>
      <c r="E134" s="1" t="s">
        <v>130</v>
      </c>
      <c r="F134" s="13">
        <v>0</v>
      </c>
      <c r="G134" s="14">
        <v>0</v>
      </c>
      <c r="H134" s="51"/>
    </row>
    <row r="135" spans="1:8" ht="14.1" customHeight="1" x14ac:dyDescent="0.2">
      <c r="A135" s="1"/>
      <c r="B135" s="1"/>
      <c r="C135" s="11"/>
      <c r="D135" s="1"/>
      <c r="E135" s="1"/>
      <c r="F135" s="12"/>
      <c r="G135" s="12"/>
      <c r="H135" s="51"/>
    </row>
    <row r="136" spans="1:8" ht="14.1" customHeight="1" x14ac:dyDescent="0.2">
      <c r="A136" s="1"/>
      <c r="B136" s="4"/>
      <c r="C136" s="4"/>
      <c r="D136" s="2"/>
      <c r="E136" s="1"/>
      <c r="F136" s="4"/>
      <c r="G136" s="8"/>
      <c r="H136" s="51"/>
    </row>
    <row r="137" spans="1:8" ht="18" customHeight="1" x14ac:dyDescent="0.2">
      <c r="A137" s="8"/>
      <c r="B137" s="4"/>
      <c r="C137" s="4" t="s">
        <v>154</v>
      </c>
      <c r="D137" s="4"/>
      <c r="E137" s="8"/>
      <c r="F137" s="6">
        <v>113.24175271</v>
      </c>
      <c r="G137" s="7">
        <v>3.3764379999999998E-3</v>
      </c>
      <c r="H137" s="51"/>
    </row>
    <row r="138" spans="1:8" ht="14.1" customHeight="1" x14ac:dyDescent="0.2">
      <c r="A138" s="11"/>
      <c r="B138" s="11"/>
      <c r="C138" s="2" t="s">
        <v>155</v>
      </c>
      <c r="D138" s="15"/>
      <c r="E138" s="15"/>
      <c r="F138" s="9">
        <v>33538.817481110003</v>
      </c>
      <c r="G138" s="10">
        <v>1.0000000010000001</v>
      </c>
      <c r="H138" s="51"/>
    </row>
    <row r="139" spans="1:8" ht="14.1" customHeight="1" x14ac:dyDescent="0.2">
      <c r="A139" s="16"/>
      <c r="B139" s="16"/>
      <c r="C139" s="16"/>
      <c r="D139" s="17"/>
      <c r="E139" s="17"/>
      <c r="F139" s="17"/>
      <c r="G139" s="17"/>
    </row>
    <row r="140" spans="1:8" ht="14.1" customHeight="1" x14ac:dyDescent="0.2">
      <c r="A140" s="18"/>
      <c r="B140" s="18"/>
      <c r="C140" s="18"/>
      <c r="D140" s="20"/>
      <c r="E140" s="20"/>
      <c r="F140" s="20"/>
      <c r="G140" s="20"/>
    </row>
    <row r="141" spans="1:8" ht="14.1" customHeight="1" x14ac:dyDescent="0.2">
      <c r="A141" s="18"/>
      <c r="B141" s="325" t="s">
        <v>157</v>
      </c>
      <c r="C141" s="326"/>
      <c r="D141" s="12" t="s">
        <v>130</v>
      </c>
      <c r="E141" s="21"/>
      <c r="F141" s="20"/>
      <c r="G141" s="20"/>
    </row>
    <row r="142" spans="1:8" ht="29.1" customHeight="1" x14ac:dyDescent="0.2">
      <c r="A142" s="18"/>
      <c r="B142" s="318" t="s">
        <v>158</v>
      </c>
      <c r="C142" s="319"/>
      <c r="D142" s="2" t="s">
        <v>159</v>
      </c>
      <c r="E142" s="21"/>
      <c r="F142" s="20"/>
      <c r="G142" s="20"/>
    </row>
    <row r="143" spans="1:8" ht="17.100000000000001" customHeight="1" x14ac:dyDescent="0.2">
      <c r="A143" s="18"/>
      <c r="B143" s="318" t="s">
        <v>160</v>
      </c>
      <c r="C143" s="319"/>
      <c r="D143" s="2" t="s">
        <v>159</v>
      </c>
      <c r="E143" s="21"/>
      <c r="F143" s="20"/>
      <c r="G143" s="20"/>
    </row>
    <row r="144" spans="1:8" ht="17.100000000000001" customHeight="1" x14ac:dyDescent="0.2">
      <c r="A144" s="18"/>
      <c r="B144" s="318" t="s">
        <v>161</v>
      </c>
      <c r="C144" s="319"/>
      <c r="D144" s="12" t="s">
        <v>130</v>
      </c>
      <c r="E144" s="21"/>
      <c r="F144" s="20"/>
      <c r="G144" s="20"/>
    </row>
    <row r="145" spans="1:7" ht="24" customHeight="1" x14ac:dyDescent="0.2">
      <c r="A145" s="22"/>
      <c r="B145" s="23" t="s">
        <v>130</v>
      </c>
      <c r="C145" s="23" t="s">
        <v>162</v>
      </c>
      <c r="D145" s="23" t="s">
        <v>163</v>
      </c>
      <c r="E145" s="22"/>
      <c r="F145" s="22"/>
      <c r="G145" s="22"/>
    </row>
    <row r="146" spans="1:7" ht="18" customHeight="1" x14ac:dyDescent="0.2">
      <c r="A146" s="22"/>
      <c r="B146" s="23" t="s">
        <v>164</v>
      </c>
      <c r="C146" s="23" t="s">
        <v>165</v>
      </c>
      <c r="D146" s="23" t="s">
        <v>166</v>
      </c>
      <c r="E146" s="22"/>
      <c r="F146" s="22"/>
      <c r="G146" s="22"/>
    </row>
    <row r="147" spans="1:7" ht="17.100000000000001" customHeight="1" x14ac:dyDescent="0.2">
      <c r="A147" s="22"/>
      <c r="B147" s="4" t="s">
        <v>167</v>
      </c>
      <c r="C147" s="24">
        <v>17.842099999999999</v>
      </c>
      <c r="D147" s="24">
        <v>17.8629</v>
      </c>
      <c r="E147" s="22"/>
      <c r="F147" s="19"/>
      <c r="G147" s="25"/>
    </row>
    <row r="148" spans="1:7" ht="17.100000000000001" customHeight="1" x14ac:dyDescent="0.2">
      <c r="A148" s="22"/>
      <c r="B148" s="4" t="s">
        <v>1067</v>
      </c>
      <c r="C148" s="24">
        <v>17.842099999999999</v>
      </c>
      <c r="D148" s="24">
        <v>17.8629</v>
      </c>
      <c r="E148" s="22"/>
      <c r="F148" s="19"/>
      <c r="G148" s="25"/>
    </row>
    <row r="149" spans="1:7" ht="17.100000000000001" customHeight="1" x14ac:dyDescent="0.2">
      <c r="A149" s="22"/>
      <c r="B149" s="4" t="s">
        <v>168</v>
      </c>
      <c r="C149" s="24">
        <v>17.1038</v>
      </c>
      <c r="D149" s="24">
        <v>17.1128</v>
      </c>
      <c r="E149" s="22"/>
      <c r="F149" s="19"/>
      <c r="G149" s="25"/>
    </row>
    <row r="150" spans="1:7" ht="17.100000000000001" customHeight="1" x14ac:dyDescent="0.2">
      <c r="A150" s="22"/>
      <c r="B150" s="4" t="s">
        <v>1068</v>
      </c>
      <c r="C150" s="24">
        <v>17.1038</v>
      </c>
      <c r="D150" s="24">
        <v>17.1128</v>
      </c>
      <c r="E150" s="22"/>
      <c r="F150" s="19"/>
      <c r="G150" s="25"/>
    </row>
    <row r="151" spans="1:7" ht="14.1" customHeight="1" x14ac:dyDescent="0.2">
      <c r="A151" s="22"/>
      <c r="B151" s="22"/>
      <c r="C151" s="22"/>
      <c r="D151" s="22"/>
      <c r="E151" s="22"/>
      <c r="F151" s="22"/>
      <c r="G151" s="22"/>
    </row>
    <row r="152" spans="1:7" ht="17.100000000000001" customHeight="1" x14ac:dyDescent="0.2">
      <c r="A152" s="22"/>
      <c r="B152" s="318" t="s">
        <v>1069</v>
      </c>
      <c r="C152" s="319"/>
      <c r="D152" s="111" t="s">
        <v>159</v>
      </c>
      <c r="E152" s="22"/>
      <c r="F152" s="22"/>
      <c r="G152" s="22"/>
    </row>
    <row r="153" spans="1:7" ht="18" customHeight="1" x14ac:dyDescent="0.2">
      <c r="A153" s="22"/>
      <c r="B153" s="26"/>
      <c r="C153" s="26"/>
      <c r="D153" s="27"/>
      <c r="E153" s="22"/>
      <c r="F153" s="22"/>
      <c r="G153" s="22"/>
    </row>
    <row r="154" spans="1:7" ht="29.1" customHeight="1" x14ac:dyDescent="0.2">
      <c r="A154" s="22"/>
      <c r="B154" s="318" t="s">
        <v>169</v>
      </c>
      <c r="C154" s="319"/>
      <c r="D154" s="2" t="s">
        <v>159</v>
      </c>
      <c r="E154" s="22"/>
      <c r="F154" s="22"/>
      <c r="G154" s="22"/>
    </row>
    <row r="155" spans="1:7" ht="29.1" customHeight="1" x14ac:dyDescent="0.2">
      <c r="A155" s="22"/>
      <c r="B155" s="318" t="s">
        <v>170</v>
      </c>
      <c r="C155" s="319"/>
      <c r="D155" s="2" t="s">
        <v>159</v>
      </c>
      <c r="E155" s="22"/>
      <c r="F155" s="22"/>
      <c r="G155" s="22"/>
    </row>
    <row r="156" spans="1:7" ht="17.100000000000001" customHeight="1" x14ac:dyDescent="0.2">
      <c r="A156" s="22"/>
      <c r="B156" s="318" t="s">
        <v>171</v>
      </c>
      <c r="C156" s="319"/>
      <c r="D156" s="28">
        <v>0.30870374733256983</v>
      </c>
      <c r="E156" s="22"/>
      <c r="F156" s="19"/>
      <c r="G156" s="25"/>
    </row>
    <row r="157" spans="1:7" ht="17.100000000000001" customHeight="1" x14ac:dyDescent="0.2">
      <c r="A157" s="22"/>
      <c r="B157" s="318" t="s">
        <v>172</v>
      </c>
      <c r="C157" s="319"/>
      <c r="D157" s="2" t="s">
        <v>159</v>
      </c>
      <c r="E157" s="22"/>
      <c r="F157" s="22"/>
      <c r="G157" s="22"/>
    </row>
    <row r="165" spans="10:14" x14ac:dyDescent="0.2">
      <c r="J165" s="158"/>
      <c r="K165" s="158"/>
      <c r="L165" s="158"/>
      <c r="M165" s="158"/>
      <c r="N165" s="158"/>
    </row>
  </sheetData>
  <mergeCells count="13">
    <mergeCell ref="A1:H1"/>
    <mergeCell ref="A2:H2"/>
    <mergeCell ref="A3:H3"/>
    <mergeCell ref="B156:C156"/>
    <mergeCell ref="J2:N2"/>
    <mergeCell ref="B141:C141"/>
    <mergeCell ref="B157:C157"/>
    <mergeCell ref="B142:C142"/>
    <mergeCell ref="B143:C143"/>
    <mergeCell ref="B144:C144"/>
    <mergeCell ref="B152:C152"/>
    <mergeCell ref="B154:C154"/>
    <mergeCell ref="B155:C155"/>
  </mergeCells>
  <hyperlinks>
    <hyperlink ref="I1" location="Index!B9" display="Index" xr:uid="{BDC217DF-5986-4C77-AAD7-4635FFEAFEA0}"/>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O16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465</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102</v>
      </c>
      <c r="C7" s="4" t="s">
        <v>103</v>
      </c>
      <c r="D7" s="4" t="s">
        <v>104</v>
      </c>
      <c r="E7" s="5">
        <v>241828</v>
      </c>
      <c r="F7" s="6">
        <v>1029.8245380000001</v>
      </c>
      <c r="G7" s="7">
        <v>3.4308173999999997E-2</v>
      </c>
      <c r="H7" s="51"/>
    </row>
    <row r="8" spans="1:14" ht="17.100000000000001" customHeight="1" x14ac:dyDescent="0.2">
      <c r="A8" s="3">
        <v>2</v>
      </c>
      <c r="B8" s="4" t="s">
        <v>29</v>
      </c>
      <c r="C8" s="4" t="s">
        <v>30</v>
      </c>
      <c r="D8" s="4" t="s">
        <v>31</v>
      </c>
      <c r="E8" s="5">
        <v>48732</v>
      </c>
      <c r="F8" s="6">
        <v>973.68972599999995</v>
      </c>
      <c r="G8" s="7">
        <v>3.2438066000000002E-2</v>
      </c>
      <c r="H8" s="51"/>
    </row>
    <row r="9" spans="1:14" ht="29.1" customHeight="1" x14ac:dyDescent="0.2">
      <c r="A9" s="3">
        <v>3</v>
      </c>
      <c r="B9" s="4" t="s">
        <v>185</v>
      </c>
      <c r="C9" s="4" t="s">
        <v>186</v>
      </c>
      <c r="D9" s="4" t="s">
        <v>104</v>
      </c>
      <c r="E9" s="5">
        <v>230487</v>
      </c>
      <c r="F9" s="6">
        <v>949.37595299999998</v>
      </c>
      <c r="G9" s="7">
        <v>3.1628062999999998E-2</v>
      </c>
      <c r="H9" s="51"/>
    </row>
    <row r="10" spans="1:14" ht="17.100000000000001" customHeight="1" x14ac:dyDescent="0.2">
      <c r="A10" s="3">
        <v>4</v>
      </c>
      <c r="B10" s="4" t="s">
        <v>82</v>
      </c>
      <c r="C10" s="4" t="s">
        <v>83</v>
      </c>
      <c r="D10" s="4" t="s">
        <v>31</v>
      </c>
      <c r="E10" s="5">
        <v>61134</v>
      </c>
      <c r="F10" s="6">
        <v>883.56970200000001</v>
      </c>
      <c r="G10" s="7">
        <v>2.9435755000000001E-2</v>
      </c>
      <c r="H10" s="51"/>
    </row>
    <row r="11" spans="1:14" ht="17.100000000000001" customHeight="1" x14ac:dyDescent="0.2">
      <c r="A11" s="3">
        <v>5</v>
      </c>
      <c r="B11" s="4" t="s">
        <v>32</v>
      </c>
      <c r="C11" s="4" t="s">
        <v>33</v>
      </c>
      <c r="D11" s="4" t="s">
        <v>31</v>
      </c>
      <c r="E11" s="5">
        <v>39496</v>
      </c>
      <c r="F11" s="6">
        <v>815.25668399999995</v>
      </c>
      <c r="G11" s="7">
        <v>2.7159935E-2</v>
      </c>
      <c r="H11" s="51"/>
    </row>
    <row r="12" spans="1:14" ht="17.100000000000001" customHeight="1" x14ac:dyDescent="0.2">
      <c r="A12" s="3">
        <v>6</v>
      </c>
      <c r="B12" s="4" t="s">
        <v>379</v>
      </c>
      <c r="C12" s="4" t="s">
        <v>380</v>
      </c>
      <c r="D12" s="4" t="s">
        <v>97</v>
      </c>
      <c r="E12" s="5">
        <v>774973</v>
      </c>
      <c r="F12" s="6">
        <v>768.38572950000002</v>
      </c>
      <c r="G12" s="7">
        <v>2.5598448999999999E-2</v>
      </c>
      <c r="H12" s="51"/>
    </row>
    <row r="13" spans="1:14" ht="17.100000000000001" customHeight="1" x14ac:dyDescent="0.2">
      <c r="A13" s="3">
        <v>7</v>
      </c>
      <c r="B13" s="4" t="s">
        <v>401</v>
      </c>
      <c r="C13" s="4" t="s">
        <v>402</v>
      </c>
      <c r="D13" s="4" t="s">
        <v>223</v>
      </c>
      <c r="E13" s="5">
        <v>115911</v>
      </c>
      <c r="F13" s="6">
        <v>764.89668900000004</v>
      </c>
      <c r="G13" s="7">
        <v>2.5482213E-2</v>
      </c>
      <c r="H13" s="51"/>
      <c r="J13" s="157" t="s">
        <v>1097</v>
      </c>
    </row>
    <row r="14" spans="1:14" ht="17.100000000000001" customHeight="1" x14ac:dyDescent="0.2">
      <c r="A14" s="3">
        <v>8</v>
      </c>
      <c r="B14" s="4" t="s">
        <v>383</v>
      </c>
      <c r="C14" s="4" t="s">
        <v>384</v>
      </c>
      <c r="D14" s="4" t="s">
        <v>104</v>
      </c>
      <c r="E14" s="5">
        <v>45571</v>
      </c>
      <c r="F14" s="6">
        <v>751.67085950000001</v>
      </c>
      <c r="G14" s="7">
        <v>2.5041600000000001E-2</v>
      </c>
      <c r="H14" s="51"/>
    </row>
    <row r="15" spans="1:14" ht="29.1" customHeight="1" x14ac:dyDescent="0.2">
      <c r="A15" s="3">
        <v>9</v>
      </c>
      <c r="B15" s="4" t="s">
        <v>182</v>
      </c>
      <c r="C15" s="4" t="s">
        <v>183</v>
      </c>
      <c r="D15" s="4" t="s">
        <v>184</v>
      </c>
      <c r="E15" s="5">
        <v>16196</v>
      </c>
      <c r="F15" s="6">
        <v>727.33806600000003</v>
      </c>
      <c r="G15" s="7">
        <v>2.4230963000000001E-2</v>
      </c>
      <c r="H15" s="51"/>
    </row>
    <row r="16" spans="1:14" ht="17.100000000000001" customHeight="1" x14ac:dyDescent="0.2">
      <c r="A16" s="3">
        <v>10</v>
      </c>
      <c r="B16" s="4" t="s">
        <v>319</v>
      </c>
      <c r="C16" s="4" t="s">
        <v>320</v>
      </c>
      <c r="D16" s="4" t="s">
        <v>248</v>
      </c>
      <c r="E16" s="5">
        <v>45349</v>
      </c>
      <c r="F16" s="6">
        <v>675.13323749999995</v>
      </c>
      <c r="G16" s="7">
        <v>2.2491780999999999E-2</v>
      </c>
      <c r="H16" s="51"/>
    </row>
    <row r="17" spans="1:8" ht="17.100000000000001" customHeight="1" x14ac:dyDescent="0.2">
      <c r="A17" s="3">
        <v>11</v>
      </c>
      <c r="B17" s="4" t="s">
        <v>17</v>
      </c>
      <c r="C17" s="4" t="s">
        <v>18</v>
      </c>
      <c r="D17" s="4" t="s">
        <v>19</v>
      </c>
      <c r="E17" s="5">
        <v>82590</v>
      </c>
      <c r="F17" s="6">
        <v>660.63741000000005</v>
      </c>
      <c r="G17" s="7">
        <v>2.2008858999999999E-2</v>
      </c>
      <c r="H17" s="51"/>
    </row>
    <row r="18" spans="1:8" ht="17.100000000000001" customHeight="1" x14ac:dyDescent="0.2">
      <c r="A18" s="3">
        <v>12</v>
      </c>
      <c r="B18" s="4" t="s">
        <v>302</v>
      </c>
      <c r="C18" s="4" t="s">
        <v>303</v>
      </c>
      <c r="D18" s="4" t="s">
        <v>251</v>
      </c>
      <c r="E18" s="5">
        <v>128698</v>
      </c>
      <c r="F18" s="6">
        <v>657.968525</v>
      </c>
      <c r="G18" s="7">
        <v>2.1919945999999999E-2</v>
      </c>
      <c r="H18" s="51"/>
    </row>
    <row r="19" spans="1:8" ht="17.100000000000001" customHeight="1" x14ac:dyDescent="0.2">
      <c r="A19" s="3">
        <v>13</v>
      </c>
      <c r="B19" s="4" t="s">
        <v>385</v>
      </c>
      <c r="C19" s="4" t="s">
        <v>386</v>
      </c>
      <c r="D19" s="4" t="s">
        <v>104</v>
      </c>
      <c r="E19" s="5">
        <v>101825</v>
      </c>
      <c r="F19" s="6">
        <v>647.45426250000003</v>
      </c>
      <c r="G19" s="7">
        <v>2.1569668E-2</v>
      </c>
      <c r="H19" s="51"/>
    </row>
    <row r="20" spans="1:8" ht="17.100000000000001" customHeight="1" x14ac:dyDescent="0.2">
      <c r="A20" s="3">
        <v>14</v>
      </c>
      <c r="B20" s="4" t="s">
        <v>415</v>
      </c>
      <c r="C20" s="4" t="s">
        <v>416</v>
      </c>
      <c r="D20" s="4" t="s">
        <v>31</v>
      </c>
      <c r="E20" s="5">
        <v>69784</v>
      </c>
      <c r="F20" s="6">
        <v>638.03511200000003</v>
      </c>
      <c r="G20" s="7">
        <v>2.1255873000000002E-2</v>
      </c>
      <c r="H20" s="51"/>
    </row>
    <row r="21" spans="1:8" ht="17.100000000000001" customHeight="1" x14ac:dyDescent="0.2">
      <c r="A21" s="3">
        <v>15</v>
      </c>
      <c r="B21" s="4" t="s">
        <v>381</v>
      </c>
      <c r="C21" s="4" t="s">
        <v>382</v>
      </c>
      <c r="D21" s="4" t="s">
        <v>277</v>
      </c>
      <c r="E21" s="5">
        <v>50165</v>
      </c>
      <c r="F21" s="6">
        <v>632.65589750000004</v>
      </c>
      <c r="G21" s="7">
        <v>2.1076667E-2</v>
      </c>
      <c r="H21" s="51"/>
    </row>
    <row r="22" spans="1:8" ht="17.100000000000001" customHeight="1" x14ac:dyDescent="0.2">
      <c r="A22" s="3">
        <v>16</v>
      </c>
      <c r="B22" s="4" t="s">
        <v>417</v>
      </c>
      <c r="C22" s="4" t="s">
        <v>418</v>
      </c>
      <c r="D22" s="4" t="s">
        <v>92</v>
      </c>
      <c r="E22" s="5">
        <v>42208</v>
      </c>
      <c r="F22" s="6">
        <v>590.53212799999994</v>
      </c>
      <c r="G22" s="7">
        <v>1.9673330999999999E-2</v>
      </c>
      <c r="H22" s="51"/>
    </row>
    <row r="23" spans="1:8" ht="17.100000000000001" customHeight="1" x14ac:dyDescent="0.2">
      <c r="A23" s="3">
        <v>17</v>
      </c>
      <c r="B23" s="4" t="s">
        <v>90</v>
      </c>
      <c r="C23" s="4" t="s">
        <v>91</v>
      </c>
      <c r="D23" s="4" t="s">
        <v>92</v>
      </c>
      <c r="E23" s="5">
        <v>110331</v>
      </c>
      <c r="F23" s="6">
        <v>561.25379699999996</v>
      </c>
      <c r="G23" s="7">
        <v>1.8697934999999999E-2</v>
      </c>
      <c r="H23" s="51"/>
    </row>
    <row r="24" spans="1:8" ht="17.100000000000001" customHeight="1" x14ac:dyDescent="0.2">
      <c r="A24" s="3">
        <v>18</v>
      </c>
      <c r="B24" s="4" t="s">
        <v>313</v>
      </c>
      <c r="C24" s="4" t="s">
        <v>314</v>
      </c>
      <c r="D24" s="4" t="s">
        <v>315</v>
      </c>
      <c r="E24" s="5">
        <v>37952</v>
      </c>
      <c r="F24" s="6">
        <v>516.90624000000003</v>
      </c>
      <c r="G24" s="7">
        <v>1.7220514999999999E-2</v>
      </c>
      <c r="H24" s="51"/>
    </row>
    <row r="25" spans="1:8" ht="29.1" customHeight="1" x14ac:dyDescent="0.2">
      <c r="A25" s="3">
        <v>19</v>
      </c>
      <c r="B25" s="4" t="s">
        <v>201</v>
      </c>
      <c r="C25" s="4" t="s">
        <v>202</v>
      </c>
      <c r="D25" s="4" t="s">
        <v>203</v>
      </c>
      <c r="E25" s="5">
        <v>97944</v>
      </c>
      <c r="F25" s="6">
        <v>502.45272</v>
      </c>
      <c r="G25" s="7">
        <v>1.6739001999999999E-2</v>
      </c>
      <c r="H25" s="51"/>
    </row>
    <row r="26" spans="1:8" ht="17.100000000000001" customHeight="1" x14ac:dyDescent="0.2">
      <c r="A26" s="3">
        <v>20</v>
      </c>
      <c r="B26" s="4" t="s">
        <v>387</v>
      </c>
      <c r="C26" s="4" t="s">
        <v>388</v>
      </c>
      <c r="D26" s="4" t="s">
        <v>208</v>
      </c>
      <c r="E26" s="5">
        <v>171020</v>
      </c>
      <c r="F26" s="6">
        <v>489.28822000000002</v>
      </c>
      <c r="G26" s="7">
        <v>1.6300432E-2</v>
      </c>
      <c r="H26" s="51"/>
    </row>
    <row r="27" spans="1:8" ht="17.100000000000001" customHeight="1" x14ac:dyDescent="0.2">
      <c r="A27" s="3">
        <v>21</v>
      </c>
      <c r="B27" s="4" t="s">
        <v>389</v>
      </c>
      <c r="C27" s="4" t="s">
        <v>390</v>
      </c>
      <c r="D27" s="4" t="s">
        <v>248</v>
      </c>
      <c r="E27" s="5">
        <v>64431</v>
      </c>
      <c r="F27" s="6">
        <v>462.87230399999999</v>
      </c>
      <c r="G27" s="7">
        <v>1.5420397000000001E-2</v>
      </c>
      <c r="H27" s="51"/>
    </row>
    <row r="28" spans="1:8" ht="17.100000000000001" customHeight="1" x14ac:dyDescent="0.2">
      <c r="A28" s="3">
        <v>22</v>
      </c>
      <c r="B28" s="4" t="s">
        <v>174</v>
      </c>
      <c r="C28" s="4" t="s">
        <v>175</v>
      </c>
      <c r="D28" s="4" t="s">
        <v>22</v>
      </c>
      <c r="E28" s="5">
        <v>212457</v>
      </c>
      <c r="F28" s="6">
        <v>459.54449099999999</v>
      </c>
      <c r="G28" s="7">
        <v>1.5309533E-2</v>
      </c>
      <c r="H28" s="51"/>
    </row>
    <row r="29" spans="1:8" ht="17.100000000000001" customHeight="1" x14ac:dyDescent="0.2">
      <c r="A29" s="3">
        <v>23</v>
      </c>
      <c r="B29" s="4" t="s">
        <v>244</v>
      </c>
      <c r="C29" s="4" t="s">
        <v>245</v>
      </c>
      <c r="D29" s="4" t="s">
        <v>223</v>
      </c>
      <c r="E29" s="5">
        <v>13964</v>
      </c>
      <c r="F29" s="6">
        <v>452.60116799999997</v>
      </c>
      <c r="G29" s="7">
        <v>1.5078219E-2</v>
      </c>
      <c r="H29" s="51"/>
    </row>
    <row r="30" spans="1:8" ht="17.100000000000001" customHeight="1" x14ac:dyDescent="0.2">
      <c r="A30" s="3">
        <v>24</v>
      </c>
      <c r="B30" s="4" t="s">
        <v>391</v>
      </c>
      <c r="C30" s="4" t="s">
        <v>392</v>
      </c>
      <c r="D30" s="4" t="s">
        <v>97</v>
      </c>
      <c r="E30" s="5">
        <v>89016</v>
      </c>
      <c r="F30" s="6">
        <v>427.09876800000001</v>
      </c>
      <c r="G30" s="7">
        <v>1.4228617000000001E-2</v>
      </c>
      <c r="H30" s="51"/>
    </row>
    <row r="31" spans="1:8" ht="29.1" customHeight="1" x14ac:dyDescent="0.2">
      <c r="A31" s="3">
        <v>25</v>
      </c>
      <c r="B31" s="4" t="s">
        <v>399</v>
      </c>
      <c r="C31" s="4" t="s">
        <v>400</v>
      </c>
      <c r="D31" s="4" t="s">
        <v>48</v>
      </c>
      <c r="E31" s="5">
        <v>15521</v>
      </c>
      <c r="F31" s="6">
        <v>417.157917</v>
      </c>
      <c r="G31" s="7">
        <v>1.3897441999999999E-2</v>
      </c>
      <c r="H31" s="51"/>
    </row>
    <row r="32" spans="1:8" ht="17.100000000000001" customHeight="1" x14ac:dyDescent="0.2">
      <c r="A32" s="3">
        <v>26</v>
      </c>
      <c r="B32" s="4" t="s">
        <v>393</v>
      </c>
      <c r="C32" s="4" t="s">
        <v>394</v>
      </c>
      <c r="D32" s="4" t="s">
        <v>97</v>
      </c>
      <c r="E32" s="5">
        <v>46286</v>
      </c>
      <c r="F32" s="6">
        <v>404.33135299999998</v>
      </c>
      <c r="G32" s="7">
        <v>1.347013E-2</v>
      </c>
      <c r="H32" s="51"/>
    </row>
    <row r="33" spans="1:8" ht="29.1" customHeight="1" x14ac:dyDescent="0.2">
      <c r="A33" s="3">
        <v>27</v>
      </c>
      <c r="B33" s="4" t="s">
        <v>63</v>
      </c>
      <c r="C33" s="4" t="s">
        <v>64</v>
      </c>
      <c r="D33" s="4" t="s">
        <v>25</v>
      </c>
      <c r="E33" s="5">
        <v>14971</v>
      </c>
      <c r="F33" s="6">
        <v>393.08606150000003</v>
      </c>
      <c r="G33" s="7">
        <v>1.3095498000000001E-2</v>
      </c>
      <c r="H33" s="51"/>
    </row>
    <row r="34" spans="1:8" ht="29.1" customHeight="1" x14ac:dyDescent="0.2">
      <c r="A34" s="3">
        <v>28</v>
      </c>
      <c r="B34" s="4" t="s">
        <v>316</v>
      </c>
      <c r="C34" s="4" t="s">
        <v>317</v>
      </c>
      <c r="D34" s="4" t="s">
        <v>318</v>
      </c>
      <c r="E34" s="5">
        <v>59402</v>
      </c>
      <c r="F34" s="6">
        <v>383.291405</v>
      </c>
      <c r="G34" s="7">
        <v>1.2769193E-2</v>
      </c>
      <c r="H34" s="51"/>
    </row>
    <row r="35" spans="1:8" ht="29.1" customHeight="1" x14ac:dyDescent="0.2">
      <c r="A35" s="3">
        <v>29</v>
      </c>
      <c r="B35" s="4" t="s">
        <v>397</v>
      </c>
      <c r="C35" s="4" t="s">
        <v>398</v>
      </c>
      <c r="D35" s="4" t="s">
        <v>75</v>
      </c>
      <c r="E35" s="5">
        <v>23848</v>
      </c>
      <c r="F35" s="6">
        <v>377.68077599999998</v>
      </c>
      <c r="G35" s="7">
        <v>1.2582276999999999E-2</v>
      </c>
      <c r="H35" s="51"/>
    </row>
    <row r="36" spans="1:8" ht="17.100000000000001" customHeight="1" x14ac:dyDescent="0.2">
      <c r="A36" s="3">
        <v>30</v>
      </c>
      <c r="B36" s="4" t="s">
        <v>395</v>
      </c>
      <c r="C36" s="4" t="s">
        <v>396</v>
      </c>
      <c r="D36" s="4" t="s">
        <v>315</v>
      </c>
      <c r="E36" s="5">
        <v>30957</v>
      </c>
      <c r="F36" s="6">
        <v>377.28843749999999</v>
      </c>
      <c r="G36" s="7">
        <v>1.2569205999999999E-2</v>
      </c>
      <c r="H36" s="51"/>
    </row>
    <row r="37" spans="1:8" ht="17.100000000000001" customHeight="1" x14ac:dyDescent="0.2">
      <c r="A37" s="3">
        <v>31</v>
      </c>
      <c r="B37" s="4" t="s">
        <v>242</v>
      </c>
      <c r="C37" s="4" t="s">
        <v>243</v>
      </c>
      <c r="D37" s="4" t="s">
        <v>72</v>
      </c>
      <c r="E37" s="5">
        <v>7574</v>
      </c>
      <c r="F37" s="6">
        <v>344.42007599999999</v>
      </c>
      <c r="G37" s="7">
        <v>1.1474211E-2</v>
      </c>
      <c r="H37" s="51"/>
    </row>
    <row r="38" spans="1:8" ht="17.100000000000001" customHeight="1" x14ac:dyDescent="0.2">
      <c r="A38" s="3">
        <v>32</v>
      </c>
      <c r="B38" s="4" t="s">
        <v>403</v>
      </c>
      <c r="C38" s="4" t="s">
        <v>404</v>
      </c>
      <c r="D38" s="4" t="s">
        <v>277</v>
      </c>
      <c r="E38" s="5">
        <v>41908</v>
      </c>
      <c r="F38" s="6">
        <v>332.28853199999998</v>
      </c>
      <c r="G38" s="7">
        <v>1.1070053E-2</v>
      </c>
      <c r="H38" s="51"/>
    </row>
    <row r="39" spans="1:8" ht="17.100000000000001" customHeight="1" x14ac:dyDescent="0.2">
      <c r="A39" s="3">
        <v>33</v>
      </c>
      <c r="B39" s="4" t="s">
        <v>405</v>
      </c>
      <c r="C39" s="4" t="s">
        <v>406</v>
      </c>
      <c r="D39" s="4" t="s">
        <v>31</v>
      </c>
      <c r="E39" s="5">
        <v>35318</v>
      </c>
      <c r="F39" s="6">
        <v>316.590552</v>
      </c>
      <c r="G39" s="7">
        <v>1.0547081999999999E-2</v>
      </c>
      <c r="H39" s="51"/>
    </row>
    <row r="40" spans="1:8" ht="29.1" customHeight="1" x14ac:dyDescent="0.2">
      <c r="A40" s="3">
        <v>34</v>
      </c>
      <c r="B40" s="4" t="s">
        <v>457</v>
      </c>
      <c r="C40" s="4" t="s">
        <v>458</v>
      </c>
      <c r="D40" s="4" t="s">
        <v>367</v>
      </c>
      <c r="E40" s="5">
        <v>52350</v>
      </c>
      <c r="F40" s="6">
        <v>312.92212499999999</v>
      </c>
      <c r="G40" s="7">
        <v>1.0424869999999999E-2</v>
      </c>
      <c r="H40" s="51"/>
    </row>
    <row r="41" spans="1:8" ht="17.100000000000001" customHeight="1" x14ac:dyDescent="0.2">
      <c r="A41" s="3">
        <v>35</v>
      </c>
      <c r="B41" s="4" t="s">
        <v>409</v>
      </c>
      <c r="C41" s="4" t="s">
        <v>410</v>
      </c>
      <c r="D41" s="4" t="s">
        <v>104</v>
      </c>
      <c r="E41" s="5">
        <v>47969</v>
      </c>
      <c r="F41" s="6">
        <v>311.51068600000002</v>
      </c>
      <c r="G41" s="7">
        <v>1.0377848E-2</v>
      </c>
      <c r="H41" s="51"/>
    </row>
    <row r="42" spans="1:8" ht="29.1" customHeight="1" x14ac:dyDescent="0.2">
      <c r="A42" s="3">
        <v>36</v>
      </c>
      <c r="B42" s="4" t="s">
        <v>407</v>
      </c>
      <c r="C42" s="4" t="s">
        <v>408</v>
      </c>
      <c r="D42" s="4" t="s">
        <v>203</v>
      </c>
      <c r="E42" s="5">
        <v>94915</v>
      </c>
      <c r="F42" s="6">
        <v>311.22628500000002</v>
      </c>
      <c r="G42" s="7">
        <v>1.0368374E-2</v>
      </c>
      <c r="H42" s="51"/>
    </row>
    <row r="43" spans="1:8" ht="17.100000000000001" customHeight="1" x14ac:dyDescent="0.2">
      <c r="A43" s="3">
        <v>37</v>
      </c>
      <c r="B43" s="4" t="s">
        <v>41</v>
      </c>
      <c r="C43" s="4" t="s">
        <v>42</v>
      </c>
      <c r="D43" s="4" t="s">
        <v>16</v>
      </c>
      <c r="E43" s="5">
        <v>57776</v>
      </c>
      <c r="F43" s="6">
        <v>306.55945600000001</v>
      </c>
      <c r="G43" s="7">
        <v>1.02129E-2</v>
      </c>
      <c r="H43" s="51"/>
    </row>
    <row r="44" spans="1:8" ht="29.1" customHeight="1" x14ac:dyDescent="0.2">
      <c r="A44" s="3">
        <v>38</v>
      </c>
      <c r="B44" s="4" t="s">
        <v>291</v>
      </c>
      <c r="C44" s="4" t="s">
        <v>292</v>
      </c>
      <c r="D44" s="4" t="s">
        <v>184</v>
      </c>
      <c r="E44" s="5">
        <v>40704</v>
      </c>
      <c r="F44" s="6">
        <v>305.74809599999998</v>
      </c>
      <c r="G44" s="7">
        <v>1.018587E-2</v>
      </c>
      <c r="H44" s="51"/>
    </row>
    <row r="45" spans="1:8" ht="29.1" customHeight="1" x14ac:dyDescent="0.2">
      <c r="A45" s="3">
        <v>39</v>
      </c>
      <c r="B45" s="4" t="s">
        <v>413</v>
      </c>
      <c r="C45" s="4" t="s">
        <v>414</v>
      </c>
      <c r="D45" s="4" t="s">
        <v>367</v>
      </c>
      <c r="E45" s="5">
        <v>60710</v>
      </c>
      <c r="F45" s="6">
        <v>305.06774999999999</v>
      </c>
      <c r="G45" s="7">
        <v>1.0163204E-2</v>
      </c>
      <c r="H45" s="51"/>
    </row>
    <row r="46" spans="1:8" ht="17.100000000000001" customHeight="1" x14ac:dyDescent="0.2">
      <c r="A46" s="3">
        <v>40</v>
      </c>
      <c r="B46" s="4" t="s">
        <v>37</v>
      </c>
      <c r="C46" s="4" t="s">
        <v>38</v>
      </c>
      <c r="D46" s="4" t="s">
        <v>31</v>
      </c>
      <c r="E46" s="5">
        <v>8237</v>
      </c>
      <c r="F46" s="6">
        <v>300.97998000000001</v>
      </c>
      <c r="G46" s="7">
        <v>1.0027022E-2</v>
      </c>
      <c r="H46" s="51"/>
    </row>
    <row r="47" spans="1:8" ht="17.100000000000001" customHeight="1" x14ac:dyDescent="0.2">
      <c r="A47" s="3">
        <v>41</v>
      </c>
      <c r="B47" s="4" t="s">
        <v>240</v>
      </c>
      <c r="C47" s="4" t="s">
        <v>241</v>
      </c>
      <c r="D47" s="4" t="s">
        <v>97</v>
      </c>
      <c r="E47" s="5">
        <v>45794</v>
      </c>
      <c r="F47" s="6">
        <v>299.30958399999997</v>
      </c>
      <c r="G47" s="7">
        <v>9.9713739999999999E-3</v>
      </c>
      <c r="H47" s="51"/>
    </row>
    <row r="48" spans="1:8" ht="17.100000000000001" customHeight="1" x14ac:dyDescent="0.2">
      <c r="A48" s="3">
        <v>42</v>
      </c>
      <c r="B48" s="4" t="s">
        <v>459</v>
      </c>
      <c r="C48" s="4" t="s">
        <v>460</v>
      </c>
      <c r="D48" s="4" t="s">
        <v>97</v>
      </c>
      <c r="E48" s="5">
        <v>450454</v>
      </c>
      <c r="F48" s="6">
        <v>298.87622900000002</v>
      </c>
      <c r="G48" s="7">
        <v>9.9569370000000008E-3</v>
      </c>
      <c r="H48" s="51"/>
    </row>
    <row r="49" spans="1:8" ht="17.100000000000001" customHeight="1" x14ac:dyDescent="0.2">
      <c r="A49" s="3">
        <v>43</v>
      </c>
      <c r="B49" s="4" t="s">
        <v>450</v>
      </c>
      <c r="C49" s="4" t="s">
        <v>451</v>
      </c>
      <c r="D49" s="4" t="s">
        <v>104</v>
      </c>
      <c r="E49" s="5">
        <v>98339</v>
      </c>
      <c r="F49" s="6">
        <v>295.017</v>
      </c>
      <c r="G49" s="7">
        <v>9.8283680000000005E-3</v>
      </c>
      <c r="H49" s="51"/>
    </row>
    <row r="50" spans="1:8" ht="29.1" customHeight="1" x14ac:dyDescent="0.2">
      <c r="A50" s="3">
        <v>44</v>
      </c>
      <c r="B50" s="4" t="s">
        <v>429</v>
      </c>
      <c r="C50" s="4" t="s">
        <v>430</v>
      </c>
      <c r="D50" s="4" t="s">
        <v>431</v>
      </c>
      <c r="E50" s="5">
        <v>219543</v>
      </c>
      <c r="F50" s="6">
        <v>291.88241850000003</v>
      </c>
      <c r="G50" s="7">
        <v>9.7239409999999998E-3</v>
      </c>
      <c r="H50" s="51"/>
    </row>
    <row r="51" spans="1:8" ht="53.1" customHeight="1" x14ac:dyDescent="0.2">
      <c r="A51" s="3">
        <v>45</v>
      </c>
      <c r="B51" s="4" t="s">
        <v>335</v>
      </c>
      <c r="C51" s="4" t="s">
        <v>863</v>
      </c>
      <c r="D51" s="4" t="s">
        <v>45</v>
      </c>
      <c r="E51" s="5">
        <v>104294</v>
      </c>
      <c r="F51" s="6">
        <v>286.96494100000001</v>
      </c>
      <c r="G51" s="7">
        <v>9.5601169999999999E-3</v>
      </c>
      <c r="H51" s="51"/>
    </row>
    <row r="52" spans="1:8" ht="17.100000000000001" customHeight="1" x14ac:dyDescent="0.2">
      <c r="A52" s="3">
        <v>46</v>
      </c>
      <c r="B52" s="4" t="s">
        <v>440</v>
      </c>
      <c r="C52" s="4" t="s">
        <v>441</v>
      </c>
      <c r="D52" s="4" t="s">
        <v>51</v>
      </c>
      <c r="E52" s="5">
        <v>37402</v>
      </c>
      <c r="F52" s="6">
        <v>286.74243300000001</v>
      </c>
      <c r="G52" s="7">
        <v>9.5527040000000004E-3</v>
      </c>
      <c r="H52" s="51"/>
    </row>
    <row r="53" spans="1:8" ht="17.100000000000001" customHeight="1" x14ac:dyDescent="0.2">
      <c r="A53" s="3">
        <v>47</v>
      </c>
      <c r="B53" s="4" t="s">
        <v>329</v>
      </c>
      <c r="C53" s="4" t="s">
        <v>330</v>
      </c>
      <c r="D53" s="4" t="s">
        <v>36</v>
      </c>
      <c r="E53" s="5">
        <v>118317</v>
      </c>
      <c r="F53" s="6">
        <v>278.87316900000002</v>
      </c>
      <c r="G53" s="7">
        <v>9.2905430000000001E-3</v>
      </c>
      <c r="H53" s="51"/>
    </row>
    <row r="54" spans="1:8" ht="29.1" customHeight="1" x14ac:dyDescent="0.2">
      <c r="A54" s="3">
        <v>48</v>
      </c>
      <c r="B54" s="4" t="s">
        <v>419</v>
      </c>
      <c r="C54" s="4" t="s">
        <v>420</v>
      </c>
      <c r="D54" s="4" t="s">
        <v>203</v>
      </c>
      <c r="E54" s="5">
        <v>14493</v>
      </c>
      <c r="F54" s="6">
        <v>278.23661399999997</v>
      </c>
      <c r="G54" s="7">
        <v>9.2693359999999995E-3</v>
      </c>
      <c r="H54" s="51"/>
    </row>
    <row r="55" spans="1:8" ht="17.100000000000001" customHeight="1" x14ac:dyDescent="0.2">
      <c r="A55" s="3">
        <v>49</v>
      </c>
      <c r="B55" s="4" t="s">
        <v>421</v>
      </c>
      <c r="C55" s="4" t="s">
        <v>422</v>
      </c>
      <c r="D55" s="4" t="s">
        <v>104</v>
      </c>
      <c r="E55" s="5">
        <v>24543</v>
      </c>
      <c r="F55" s="6">
        <v>270.13252949999998</v>
      </c>
      <c r="G55" s="7">
        <v>8.9993520000000004E-3</v>
      </c>
      <c r="H55" s="51"/>
    </row>
    <row r="56" spans="1:8" ht="17.100000000000001" customHeight="1" x14ac:dyDescent="0.2">
      <c r="A56" s="3">
        <v>50</v>
      </c>
      <c r="B56" s="4" t="s">
        <v>427</v>
      </c>
      <c r="C56" s="4" t="s">
        <v>428</v>
      </c>
      <c r="D56" s="4" t="s">
        <v>97</v>
      </c>
      <c r="E56" s="5">
        <v>26475</v>
      </c>
      <c r="F56" s="6">
        <v>263.18797499999999</v>
      </c>
      <c r="G56" s="7">
        <v>8.7679969999999996E-3</v>
      </c>
      <c r="H56" s="51"/>
    </row>
    <row r="57" spans="1:8" ht="29.1" customHeight="1" x14ac:dyDescent="0.2">
      <c r="A57" s="3">
        <v>51</v>
      </c>
      <c r="B57" s="4" t="s">
        <v>423</v>
      </c>
      <c r="C57" s="4" t="s">
        <v>424</v>
      </c>
      <c r="D57" s="4" t="s">
        <v>318</v>
      </c>
      <c r="E57" s="5">
        <v>62869</v>
      </c>
      <c r="F57" s="6">
        <v>261.81795049999999</v>
      </c>
      <c r="G57" s="7">
        <v>8.7223560000000006E-3</v>
      </c>
      <c r="H57" s="51"/>
    </row>
    <row r="58" spans="1:8" ht="17.100000000000001" customHeight="1" x14ac:dyDescent="0.2">
      <c r="A58" s="3">
        <v>52</v>
      </c>
      <c r="B58" s="4" t="s">
        <v>425</v>
      </c>
      <c r="C58" s="4" t="s">
        <v>426</v>
      </c>
      <c r="D58" s="4" t="s">
        <v>13</v>
      </c>
      <c r="E58" s="5">
        <v>329417</v>
      </c>
      <c r="F58" s="6">
        <v>257.60409399999998</v>
      </c>
      <c r="G58" s="7">
        <v>8.5819729999999997E-3</v>
      </c>
      <c r="H58" s="51"/>
    </row>
    <row r="59" spans="1:8" ht="17.100000000000001" customHeight="1" x14ac:dyDescent="0.2">
      <c r="A59" s="3">
        <v>53</v>
      </c>
      <c r="B59" s="4" t="s">
        <v>461</v>
      </c>
      <c r="C59" s="4" t="s">
        <v>462</v>
      </c>
      <c r="D59" s="4" t="s">
        <v>260</v>
      </c>
      <c r="E59" s="5">
        <v>76500</v>
      </c>
      <c r="F59" s="6">
        <v>256.35149999999999</v>
      </c>
      <c r="G59" s="7">
        <v>8.5402429999999994E-3</v>
      </c>
      <c r="H59" s="51"/>
    </row>
    <row r="60" spans="1:8" ht="17.100000000000001" customHeight="1" x14ac:dyDescent="0.2">
      <c r="A60" s="3">
        <v>54</v>
      </c>
      <c r="B60" s="4" t="s">
        <v>432</v>
      </c>
      <c r="C60" s="4" t="s">
        <v>433</v>
      </c>
      <c r="D60" s="4" t="s">
        <v>192</v>
      </c>
      <c r="E60" s="5">
        <v>28480</v>
      </c>
      <c r="F60" s="6">
        <v>242.00880000000001</v>
      </c>
      <c r="G60" s="7">
        <v>8.0624219999999996E-3</v>
      </c>
      <c r="H60" s="51"/>
    </row>
    <row r="61" spans="1:8" ht="17.100000000000001" customHeight="1" x14ac:dyDescent="0.2">
      <c r="A61" s="3">
        <v>55</v>
      </c>
      <c r="B61" s="4" t="s">
        <v>411</v>
      </c>
      <c r="C61" s="4" t="s">
        <v>412</v>
      </c>
      <c r="D61" s="4" t="s">
        <v>13</v>
      </c>
      <c r="E61" s="5">
        <v>53690</v>
      </c>
      <c r="F61" s="6">
        <v>226.24966000000001</v>
      </c>
      <c r="G61" s="7">
        <v>7.5374129999999998E-3</v>
      </c>
      <c r="H61" s="51"/>
    </row>
    <row r="62" spans="1:8" ht="17.100000000000001" customHeight="1" x14ac:dyDescent="0.2">
      <c r="A62" s="3">
        <v>56</v>
      </c>
      <c r="B62" s="4" t="s">
        <v>436</v>
      </c>
      <c r="C62" s="4" t="s">
        <v>437</v>
      </c>
      <c r="D62" s="4" t="s">
        <v>72</v>
      </c>
      <c r="E62" s="5">
        <v>30910</v>
      </c>
      <c r="F62" s="6">
        <v>197.09761499999999</v>
      </c>
      <c r="G62" s="7">
        <v>6.5662250000000002E-3</v>
      </c>
      <c r="H62" s="51"/>
    </row>
    <row r="63" spans="1:8" ht="17.100000000000001" customHeight="1" x14ac:dyDescent="0.2">
      <c r="A63" s="3">
        <v>57</v>
      </c>
      <c r="B63" s="4" t="s">
        <v>442</v>
      </c>
      <c r="C63" s="4" t="s">
        <v>443</v>
      </c>
      <c r="D63" s="4" t="s">
        <v>232</v>
      </c>
      <c r="E63" s="5">
        <v>19778</v>
      </c>
      <c r="F63" s="6">
        <v>143.113608</v>
      </c>
      <c r="G63" s="7">
        <v>4.7677700000000002E-3</v>
      </c>
      <c r="H63" s="51"/>
    </row>
    <row r="64" spans="1:8" ht="17.100000000000001" customHeight="1" x14ac:dyDescent="0.2">
      <c r="A64" s="3">
        <v>58</v>
      </c>
      <c r="B64" s="4" t="s">
        <v>444</v>
      </c>
      <c r="C64" s="4" t="s">
        <v>445</v>
      </c>
      <c r="D64" s="4" t="s">
        <v>31</v>
      </c>
      <c r="E64" s="5">
        <v>16111</v>
      </c>
      <c r="F64" s="6">
        <v>128.65439050000001</v>
      </c>
      <c r="G64" s="7">
        <v>4.2860670000000002E-3</v>
      </c>
      <c r="H64" s="51"/>
    </row>
    <row r="65" spans="1:8" ht="29.1" customHeight="1" x14ac:dyDescent="0.2">
      <c r="A65" s="3">
        <v>59</v>
      </c>
      <c r="B65" s="4" t="s">
        <v>446</v>
      </c>
      <c r="C65" s="4" t="s">
        <v>447</v>
      </c>
      <c r="D65" s="4" t="s">
        <v>203</v>
      </c>
      <c r="E65" s="5">
        <v>2928</v>
      </c>
      <c r="F65" s="6">
        <v>120.251496</v>
      </c>
      <c r="G65" s="7">
        <v>4.0061280000000003E-3</v>
      </c>
      <c r="H65" s="51"/>
    </row>
    <row r="66" spans="1:8" ht="29.1" customHeight="1" x14ac:dyDescent="0.2">
      <c r="A66" s="3">
        <v>60</v>
      </c>
      <c r="B66" s="4" t="s">
        <v>438</v>
      </c>
      <c r="C66" s="4" t="s">
        <v>439</v>
      </c>
      <c r="D66" s="4" t="s">
        <v>104</v>
      </c>
      <c r="E66" s="5">
        <v>8392</v>
      </c>
      <c r="F66" s="6">
        <v>116.62362400000001</v>
      </c>
      <c r="G66" s="7">
        <v>3.885267E-3</v>
      </c>
      <c r="H66" s="51"/>
    </row>
    <row r="67" spans="1:8" ht="17.100000000000001" customHeight="1" x14ac:dyDescent="0.2">
      <c r="A67" s="3">
        <v>61</v>
      </c>
      <c r="B67" s="4" t="s">
        <v>340</v>
      </c>
      <c r="C67" s="4" t="s">
        <v>341</v>
      </c>
      <c r="D67" s="4" t="s">
        <v>92</v>
      </c>
      <c r="E67" s="5">
        <v>154250</v>
      </c>
      <c r="F67" s="6">
        <v>115.0705</v>
      </c>
      <c r="G67" s="7">
        <v>3.8335259999999999E-3</v>
      </c>
      <c r="H67" s="51"/>
    </row>
    <row r="68" spans="1:8" ht="29.1" customHeight="1" x14ac:dyDescent="0.2">
      <c r="A68" s="3">
        <v>62</v>
      </c>
      <c r="B68" s="4" t="s">
        <v>448</v>
      </c>
      <c r="C68" s="4" t="s">
        <v>449</v>
      </c>
      <c r="D68" s="4" t="s">
        <v>203</v>
      </c>
      <c r="E68" s="5">
        <v>47700</v>
      </c>
      <c r="F68" s="6">
        <v>111.68955</v>
      </c>
      <c r="G68" s="7">
        <v>3.720891E-3</v>
      </c>
      <c r="H68" s="51"/>
    </row>
    <row r="69" spans="1:8" ht="29.1" customHeight="1" x14ac:dyDescent="0.2">
      <c r="A69" s="3">
        <v>63</v>
      </c>
      <c r="B69" s="4" t="s">
        <v>327</v>
      </c>
      <c r="C69" s="4" t="s">
        <v>328</v>
      </c>
      <c r="D69" s="4" t="s">
        <v>184</v>
      </c>
      <c r="E69" s="5">
        <v>22459</v>
      </c>
      <c r="F69" s="6">
        <v>94.148128</v>
      </c>
      <c r="G69" s="7">
        <v>3.1365059999999998E-3</v>
      </c>
      <c r="H69" s="51"/>
    </row>
    <row r="70" spans="1:8" ht="29.1" customHeight="1" x14ac:dyDescent="0.2">
      <c r="A70" s="3">
        <v>64</v>
      </c>
      <c r="B70" s="4" t="s">
        <v>463</v>
      </c>
      <c r="C70" s="4" t="s">
        <v>464</v>
      </c>
      <c r="D70" s="4" t="s">
        <v>184</v>
      </c>
      <c r="E70" s="5">
        <v>8196</v>
      </c>
      <c r="F70" s="6">
        <v>60.638106000000001</v>
      </c>
      <c r="G70" s="7">
        <v>2.0201329999999999E-3</v>
      </c>
      <c r="H70" s="51"/>
    </row>
    <row r="71" spans="1:8" ht="29.1" customHeight="1" x14ac:dyDescent="0.2">
      <c r="A71" s="3">
        <v>65</v>
      </c>
      <c r="B71" s="4" t="s">
        <v>452</v>
      </c>
      <c r="C71" s="4" t="s">
        <v>453</v>
      </c>
      <c r="D71" s="4" t="s">
        <v>60</v>
      </c>
      <c r="E71" s="5">
        <v>14211</v>
      </c>
      <c r="F71" s="6">
        <v>52.950186000000002</v>
      </c>
      <c r="G71" s="7">
        <v>1.764013E-3</v>
      </c>
      <c r="H71" s="51"/>
    </row>
    <row r="72" spans="1:8" ht="17.100000000000001" customHeight="1" x14ac:dyDescent="0.2">
      <c r="A72" s="3">
        <v>66</v>
      </c>
      <c r="B72" s="4" t="s">
        <v>454</v>
      </c>
      <c r="C72" s="4" t="s">
        <v>455</v>
      </c>
      <c r="D72" s="4" t="s">
        <v>16</v>
      </c>
      <c r="E72" s="5">
        <v>11655</v>
      </c>
      <c r="F72" s="6">
        <v>25.9498575</v>
      </c>
      <c r="G72" s="7">
        <v>8.6450899999999996E-4</v>
      </c>
      <c r="H72" s="51"/>
    </row>
    <row r="73" spans="1:8" ht="14.1" customHeight="1" x14ac:dyDescent="0.2">
      <c r="A73" s="1"/>
      <c r="B73" s="1"/>
      <c r="C73" s="2" t="s">
        <v>129</v>
      </c>
      <c r="D73" s="1"/>
      <c r="E73" s="1" t="s">
        <v>130</v>
      </c>
      <c r="F73" s="9">
        <v>26798.033673999998</v>
      </c>
      <c r="G73" s="10">
        <v>0.89276528399999999</v>
      </c>
      <c r="H73" s="51"/>
    </row>
    <row r="74" spans="1:8" ht="14.1" customHeight="1" x14ac:dyDescent="0.2">
      <c r="A74" s="1"/>
      <c r="B74" s="1"/>
      <c r="C74" s="11"/>
      <c r="D74" s="1"/>
      <c r="E74" s="1"/>
      <c r="F74" s="12"/>
      <c r="G74" s="12"/>
      <c r="H74" s="51"/>
    </row>
    <row r="75" spans="1:8" ht="14.1" customHeight="1" x14ac:dyDescent="0.2">
      <c r="A75" s="1"/>
      <c r="B75" s="1"/>
      <c r="C75" s="2" t="s">
        <v>131</v>
      </c>
      <c r="D75" s="1"/>
      <c r="E75" s="1"/>
      <c r="F75" s="1"/>
      <c r="G75" s="1"/>
      <c r="H75" s="51"/>
    </row>
    <row r="76" spans="1:8" ht="14.1" customHeight="1" x14ac:dyDescent="0.2">
      <c r="A76" s="1"/>
      <c r="B76" s="1"/>
      <c r="C76" s="2" t="s">
        <v>129</v>
      </c>
      <c r="D76" s="1"/>
      <c r="E76" s="1" t="s">
        <v>130</v>
      </c>
      <c r="F76" s="13">
        <v>0</v>
      </c>
      <c r="G76" s="14">
        <v>0</v>
      </c>
      <c r="H76" s="51"/>
    </row>
    <row r="77" spans="1:8" ht="14.1" customHeight="1" x14ac:dyDescent="0.2">
      <c r="A77" s="1"/>
      <c r="B77" s="1"/>
      <c r="C77" s="11"/>
      <c r="D77" s="1"/>
      <c r="E77" s="1"/>
      <c r="F77" s="12"/>
      <c r="G77" s="12"/>
      <c r="H77" s="51"/>
    </row>
    <row r="78" spans="1:8" ht="14.1" customHeight="1" x14ac:dyDescent="0.2">
      <c r="A78" s="1"/>
      <c r="B78" s="1"/>
      <c r="C78" s="2" t="s">
        <v>132</v>
      </c>
      <c r="D78" s="1"/>
      <c r="E78" s="1"/>
      <c r="F78" s="1"/>
      <c r="G78" s="1"/>
      <c r="H78" s="51"/>
    </row>
    <row r="79" spans="1:8" ht="14.1" customHeight="1" x14ac:dyDescent="0.2">
      <c r="A79" s="1"/>
      <c r="B79" s="1"/>
      <c r="C79" s="2" t="s">
        <v>129</v>
      </c>
      <c r="D79" s="1"/>
      <c r="E79" s="1" t="s">
        <v>130</v>
      </c>
      <c r="F79" s="13">
        <v>0</v>
      </c>
      <c r="G79" s="14">
        <v>0</v>
      </c>
      <c r="H79" s="51"/>
    </row>
    <row r="80" spans="1:8" ht="14.1" customHeight="1" x14ac:dyDescent="0.2">
      <c r="A80" s="1"/>
      <c r="B80" s="1"/>
      <c r="C80" s="11"/>
      <c r="D80" s="1"/>
      <c r="E80" s="1"/>
      <c r="F80" s="12"/>
      <c r="G80" s="12"/>
      <c r="H80" s="51"/>
    </row>
    <row r="81" spans="1:8" ht="14.1" customHeight="1" x14ac:dyDescent="0.2">
      <c r="A81" s="1"/>
      <c r="B81" s="1"/>
      <c r="C81" s="2" t="s">
        <v>133</v>
      </c>
      <c r="D81" s="1"/>
      <c r="E81" s="1"/>
      <c r="F81" s="1"/>
      <c r="G81" s="1"/>
      <c r="H81" s="51"/>
    </row>
    <row r="82" spans="1:8" ht="14.1" customHeight="1" x14ac:dyDescent="0.2">
      <c r="A82" s="1"/>
      <c r="B82" s="1"/>
      <c r="C82" s="2" t="s">
        <v>129</v>
      </c>
      <c r="D82" s="1"/>
      <c r="E82" s="1" t="s">
        <v>130</v>
      </c>
      <c r="F82" s="13">
        <v>0</v>
      </c>
      <c r="G82" s="14">
        <v>0</v>
      </c>
      <c r="H82" s="51"/>
    </row>
    <row r="83" spans="1:8" ht="14.1" customHeight="1" x14ac:dyDescent="0.2">
      <c r="A83" s="1"/>
      <c r="B83" s="1"/>
      <c r="C83" s="11"/>
      <c r="D83" s="1"/>
      <c r="E83" s="1"/>
      <c r="F83" s="12"/>
      <c r="G83" s="12"/>
      <c r="H83" s="51"/>
    </row>
    <row r="84" spans="1:8" ht="14.1" customHeight="1" x14ac:dyDescent="0.2">
      <c r="A84" s="1"/>
      <c r="B84" s="1"/>
      <c r="C84" s="2" t="s">
        <v>134</v>
      </c>
      <c r="D84" s="1"/>
      <c r="E84" s="1"/>
      <c r="F84" s="12"/>
      <c r="G84" s="12"/>
      <c r="H84" s="51"/>
    </row>
    <row r="85" spans="1:8" ht="14.1" customHeight="1" x14ac:dyDescent="0.2">
      <c r="A85" s="1"/>
      <c r="B85" s="1"/>
      <c r="C85" s="2" t="s">
        <v>129</v>
      </c>
      <c r="D85" s="1"/>
      <c r="E85" s="1" t="s">
        <v>130</v>
      </c>
      <c r="F85" s="13">
        <v>0</v>
      </c>
      <c r="G85" s="14">
        <v>0</v>
      </c>
      <c r="H85" s="51"/>
    </row>
    <row r="86" spans="1:8" ht="14.1" customHeight="1" x14ac:dyDescent="0.2">
      <c r="A86" s="1"/>
      <c r="B86" s="1"/>
      <c r="C86" s="11"/>
      <c r="D86" s="1"/>
      <c r="E86" s="1"/>
      <c r="F86" s="12"/>
      <c r="G86" s="12"/>
      <c r="H86" s="51"/>
    </row>
    <row r="87" spans="1:8" ht="14.1" customHeight="1" x14ac:dyDescent="0.2">
      <c r="A87" s="1"/>
      <c r="B87" s="1"/>
      <c r="C87" s="2" t="s">
        <v>135</v>
      </c>
      <c r="D87" s="1"/>
      <c r="E87" s="1"/>
      <c r="F87" s="12"/>
      <c r="G87" s="12"/>
      <c r="H87" s="51"/>
    </row>
    <row r="88" spans="1:8" ht="14.1" customHeight="1" x14ac:dyDescent="0.2">
      <c r="A88" s="1"/>
      <c r="B88" s="1"/>
      <c r="C88" s="2" t="s">
        <v>129</v>
      </c>
      <c r="D88" s="1"/>
      <c r="E88" s="1" t="s">
        <v>130</v>
      </c>
      <c r="F88" s="13">
        <v>0</v>
      </c>
      <c r="G88" s="14">
        <v>0</v>
      </c>
      <c r="H88" s="51"/>
    </row>
    <row r="89" spans="1:8" ht="14.1" customHeight="1" x14ac:dyDescent="0.2">
      <c r="A89" s="1"/>
      <c r="B89" s="1"/>
      <c r="C89" s="11"/>
      <c r="D89" s="1"/>
      <c r="E89" s="1"/>
      <c r="F89" s="12"/>
      <c r="G89" s="12"/>
      <c r="H89" s="51"/>
    </row>
    <row r="90" spans="1:8" ht="18" customHeight="1" x14ac:dyDescent="0.2">
      <c r="A90" s="1"/>
      <c r="B90" s="1"/>
      <c r="C90" s="2" t="s">
        <v>136</v>
      </c>
      <c r="D90" s="1"/>
      <c r="E90" s="1"/>
      <c r="F90" s="9">
        <v>26798.033673999998</v>
      </c>
      <c r="G90" s="10">
        <v>0.89276528399999999</v>
      </c>
      <c r="H90" s="51"/>
    </row>
    <row r="91" spans="1:8" ht="14.1" customHeight="1" x14ac:dyDescent="0.2">
      <c r="A91" s="1"/>
      <c r="B91" s="1"/>
      <c r="C91" s="11"/>
      <c r="D91" s="1"/>
      <c r="E91" s="1"/>
      <c r="F91" s="12"/>
      <c r="G91" s="12"/>
      <c r="H91" s="51"/>
    </row>
    <row r="92" spans="1:8" ht="14.1" customHeight="1" x14ac:dyDescent="0.2">
      <c r="A92" s="1"/>
      <c r="B92" s="1"/>
      <c r="C92" s="2" t="s">
        <v>137</v>
      </c>
      <c r="D92" s="1"/>
      <c r="E92" s="1"/>
      <c r="F92" s="12"/>
      <c r="G92" s="12"/>
      <c r="H92" s="51"/>
    </row>
    <row r="93" spans="1:8" ht="24" customHeight="1" x14ac:dyDescent="0.2">
      <c r="A93" s="1"/>
      <c r="B93" s="1"/>
      <c r="C93" s="2" t="s">
        <v>10</v>
      </c>
      <c r="D93" s="1"/>
      <c r="E93" s="1"/>
      <c r="F93" s="12"/>
      <c r="G93" s="12"/>
      <c r="H93" s="51"/>
    </row>
    <row r="94" spans="1:8" ht="14.1" customHeight="1" x14ac:dyDescent="0.2">
      <c r="A94" s="1"/>
      <c r="B94" s="1"/>
      <c r="C94" s="2" t="s">
        <v>129</v>
      </c>
      <c r="D94" s="1"/>
      <c r="E94" s="1" t="s">
        <v>130</v>
      </c>
      <c r="F94" s="13">
        <v>0</v>
      </c>
      <c r="G94" s="14">
        <v>0</v>
      </c>
      <c r="H94" s="51"/>
    </row>
    <row r="95" spans="1:8" ht="14.1" customHeight="1" x14ac:dyDescent="0.2">
      <c r="A95" s="1"/>
      <c r="B95" s="1"/>
      <c r="C95" s="11"/>
      <c r="D95" s="1"/>
      <c r="E95" s="1"/>
      <c r="F95" s="12"/>
      <c r="G95" s="12"/>
      <c r="H95" s="51"/>
    </row>
    <row r="96" spans="1:8" ht="14.1" customHeight="1" x14ac:dyDescent="0.2">
      <c r="A96" s="1"/>
      <c r="B96" s="1"/>
      <c r="C96" s="2" t="s">
        <v>138</v>
      </c>
      <c r="D96" s="1"/>
      <c r="E96" s="1"/>
      <c r="F96" s="1"/>
      <c r="G96" s="1"/>
      <c r="H96" s="51"/>
    </row>
    <row r="97" spans="1:8" ht="14.1" customHeight="1" x14ac:dyDescent="0.2">
      <c r="A97" s="1"/>
      <c r="B97" s="1"/>
      <c r="C97" s="2" t="s">
        <v>129</v>
      </c>
      <c r="D97" s="1"/>
      <c r="E97" s="1" t="s">
        <v>130</v>
      </c>
      <c r="F97" s="13">
        <v>0</v>
      </c>
      <c r="G97" s="14">
        <v>0</v>
      </c>
      <c r="H97" s="51"/>
    </row>
    <row r="98" spans="1:8" ht="14.1" customHeight="1" x14ac:dyDescent="0.2">
      <c r="A98" s="1"/>
      <c r="B98" s="1"/>
      <c r="C98" s="11"/>
      <c r="D98" s="1"/>
      <c r="E98" s="1"/>
      <c r="F98" s="12"/>
      <c r="G98" s="12"/>
      <c r="H98" s="51"/>
    </row>
    <row r="99" spans="1:8" ht="14.1" customHeight="1" x14ac:dyDescent="0.2">
      <c r="A99" s="1"/>
      <c r="B99" s="1"/>
      <c r="C99" s="2" t="s">
        <v>139</v>
      </c>
      <c r="D99" s="1"/>
      <c r="E99" s="1"/>
      <c r="F99" s="1"/>
      <c r="G99" s="1"/>
      <c r="H99" s="51"/>
    </row>
    <row r="100" spans="1:8" ht="14.1" customHeight="1" x14ac:dyDescent="0.2">
      <c r="A100" s="1"/>
      <c r="B100" s="1"/>
      <c r="C100" s="2" t="s">
        <v>129</v>
      </c>
      <c r="D100" s="1"/>
      <c r="E100" s="1" t="s">
        <v>130</v>
      </c>
      <c r="F100" s="13">
        <v>0</v>
      </c>
      <c r="G100" s="14">
        <v>0</v>
      </c>
      <c r="H100" s="51"/>
    </row>
    <row r="101" spans="1:8" ht="14.1" customHeight="1" x14ac:dyDescent="0.2">
      <c r="A101" s="1"/>
      <c r="B101" s="1"/>
      <c r="C101" s="11"/>
      <c r="D101" s="1"/>
      <c r="E101" s="1"/>
      <c r="F101" s="12"/>
      <c r="G101" s="12"/>
      <c r="H101" s="51"/>
    </row>
    <row r="102" spans="1:8" ht="14.1" customHeight="1" x14ac:dyDescent="0.2">
      <c r="A102" s="1"/>
      <c r="B102" s="1"/>
      <c r="C102" s="2" t="s">
        <v>140</v>
      </c>
      <c r="D102" s="1"/>
      <c r="E102" s="1"/>
      <c r="F102" s="12"/>
      <c r="G102" s="12"/>
      <c r="H102" s="51"/>
    </row>
    <row r="103" spans="1:8" ht="14.1" customHeight="1" x14ac:dyDescent="0.2">
      <c r="A103" s="1"/>
      <c r="B103" s="1"/>
      <c r="C103" s="2" t="s">
        <v>129</v>
      </c>
      <c r="D103" s="1"/>
      <c r="E103" s="1" t="s">
        <v>130</v>
      </c>
      <c r="F103" s="13">
        <v>0</v>
      </c>
      <c r="G103" s="14">
        <v>0</v>
      </c>
      <c r="H103" s="51"/>
    </row>
    <row r="104" spans="1:8" ht="14.1" customHeight="1" x14ac:dyDescent="0.2">
      <c r="A104" s="1"/>
      <c r="B104" s="1"/>
      <c r="C104" s="11"/>
      <c r="D104" s="1"/>
      <c r="E104" s="1"/>
      <c r="F104" s="12"/>
      <c r="G104" s="12"/>
      <c r="H104" s="51"/>
    </row>
    <row r="105" spans="1:8" ht="14.1" customHeight="1" x14ac:dyDescent="0.2">
      <c r="A105" s="1"/>
      <c r="B105" s="1"/>
      <c r="C105" s="2" t="s">
        <v>141</v>
      </c>
      <c r="D105" s="1"/>
      <c r="E105" s="1"/>
      <c r="F105" s="9">
        <v>0</v>
      </c>
      <c r="G105" s="10">
        <v>0</v>
      </c>
      <c r="H105" s="51"/>
    </row>
    <row r="106" spans="1:8" ht="14.1" customHeight="1" x14ac:dyDescent="0.2">
      <c r="A106" s="1"/>
      <c r="B106" s="1"/>
      <c r="C106" s="11"/>
      <c r="D106" s="1"/>
      <c r="E106" s="1"/>
      <c r="F106" s="12"/>
      <c r="G106" s="12"/>
      <c r="H106" s="51"/>
    </row>
    <row r="107" spans="1:8" ht="14.1" customHeight="1" x14ac:dyDescent="0.2">
      <c r="A107" s="1"/>
      <c r="B107" s="1"/>
      <c r="C107" s="2" t="s">
        <v>142</v>
      </c>
      <c r="D107" s="1"/>
      <c r="E107" s="1"/>
      <c r="F107" s="12"/>
      <c r="G107" s="12"/>
      <c r="H107" s="51"/>
    </row>
    <row r="108" spans="1:8" ht="14.1" customHeight="1" x14ac:dyDescent="0.2">
      <c r="A108" s="1"/>
      <c r="B108" s="1"/>
      <c r="C108" s="2" t="s">
        <v>143</v>
      </c>
      <c r="D108" s="1"/>
      <c r="E108" s="1"/>
      <c r="F108" s="12"/>
      <c r="G108" s="12"/>
      <c r="H108" s="51"/>
    </row>
    <row r="109" spans="1:8" ht="14.1" customHeight="1" x14ac:dyDescent="0.2">
      <c r="A109" s="1"/>
      <c r="B109" s="1"/>
      <c r="C109" s="2" t="s">
        <v>129</v>
      </c>
      <c r="D109" s="1"/>
      <c r="E109" s="1" t="s">
        <v>130</v>
      </c>
      <c r="F109" s="13">
        <v>0</v>
      </c>
      <c r="G109" s="14">
        <v>0</v>
      </c>
      <c r="H109" s="51"/>
    </row>
    <row r="110" spans="1:8" ht="14.1" customHeight="1" x14ac:dyDescent="0.2">
      <c r="A110" s="1"/>
      <c r="B110" s="1"/>
      <c r="C110" s="11"/>
      <c r="D110" s="1"/>
      <c r="E110" s="1"/>
      <c r="F110" s="12"/>
      <c r="G110" s="12"/>
      <c r="H110" s="51"/>
    </row>
    <row r="111" spans="1:8" ht="14.1" customHeight="1" x14ac:dyDescent="0.2">
      <c r="A111" s="1"/>
      <c r="B111" s="1"/>
      <c r="C111" s="2" t="s">
        <v>144</v>
      </c>
      <c r="D111" s="1"/>
      <c r="E111" s="1"/>
      <c r="F111" s="12"/>
      <c r="G111" s="12"/>
      <c r="H111" s="51"/>
    </row>
    <row r="112" spans="1:8" ht="14.1" customHeight="1" x14ac:dyDescent="0.2">
      <c r="A112" s="1"/>
      <c r="B112" s="1"/>
      <c r="C112" s="2" t="s">
        <v>129</v>
      </c>
      <c r="D112" s="1"/>
      <c r="E112" s="1" t="s">
        <v>130</v>
      </c>
      <c r="F112" s="13">
        <v>0</v>
      </c>
      <c r="G112" s="14">
        <v>0</v>
      </c>
      <c r="H112" s="51"/>
    </row>
    <row r="113" spans="1:8" ht="14.1" customHeight="1" x14ac:dyDescent="0.2">
      <c r="A113" s="1"/>
      <c r="B113" s="1"/>
      <c r="C113" s="11"/>
      <c r="D113" s="1"/>
      <c r="E113" s="1"/>
      <c r="F113" s="12"/>
      <c r="G113" s="12"/>
      <c r="H113" s="51"/>
    </row>
    <row r="114" spans="1:8" ht="14.1" customHeight="1" x14ac:dyDescent="0.2">
      <c r="A114" s="1"/>
      <c r="B114" s="1"/>
      <c r="C114" s="2" t="s">
        <v>145</v>
      </c>
      <c r="D114" s="1"/>
      <c r="E114" s="1"/>
      <c r="F114" s="12"/>
      <c r="G114" s="12"/>
      <c r="H114" s="51"/>
    </row>
    <row r="115" spans="1:8" ht="14.1" customHeight="1" x14ac:dyDescent="0.2">
      <c r="A115" s="1"/>
      <c r="B115" s="1"/>
      <c r="C115" s="2" t="s">
        <v>129</v>
      </c>
      <c r="D115" s="1"/>
      <c r="E115" s="1" t="s">
        <v>130</v>
      </c>
      <c r="F115" s="13">
        <v>0</v>
      </c>
      <c r="G115" s="14">
        <v>0</v>
      </c>
      <c r="H115" s="51"/>
    </row>
    <row r="116" spans="1:8" ht="14.1" customHeight="1" x14ac:dyDescent="0.2">
      <c r="A116" s="1"/>
      <c r="B116" s="1"/>
      <c r="C116" s="11"/>
      <c r="D116" s="1"/>
      <c r="E116" s="1"/>
      <c r="F116" s="12"/>
      <c r="G116" s="12"/>
      <c r="H116" s="51"/>
    </row>
    <row r="117" spans="1:8" ht="14.1" customHeight="1" x14ac:dyDescent="0.2">
      <c r="A117" s="1"/>
      <c r="B117" s="1"/>
      <c r="C117" s="2" t="s">
        <v>146</v>
      </c>
      <c r="D117" s="1"/>
      <c r="E117" s="1"/>
      <c r="F117" s="12"/>
      <c r="G117" s="12"/>
      <c r="H117" s="51"/>
    </row>
    <row r="118" spans="1:8" ht="17.100000000000001" customHeight="1" x14ac:dyDescent="0.2">
      <c r="A118" s="3">
        <v>1</v>
      </c>
      <c r="B118" s="4"/>
      <c r="C118" s="4" t="s">
        <v>147</v>
      </c>
      <c r="D118" s="4"/>
      <c r="E118" s="8"/>
      <c r="F118" s="6">
        <v>3193.7272275999999</v>
      </c>
      <c r="G118" s="7">
        <v>0.106397687</v>
      </c>
      <c r="H118" s="51">
        <v>6.1245112103248278</v>
      </c>
    </row>
    <row r="119" spans="1:8" ht="14.1" customHeight="1" x14ac:dyDescent="0.2">
      <c r="A119" s="1"/>
      <c r="B119" s="1"/>
      <c r="C119" s="2" t="s">
        <v>129</v>
      </c>
      <c r="D119" s="1"/>
      <c r="E119" s="1" t="s">
        <v>130</v>
      </c>
      <c r="F119" s="9">
        <v>3193.7272275999999</v>
      </c>
      <c r="G119" s="10">
        <v>0.106397687</v>
      </c>
      <c r="H119" s="51"/>
    </row>
    <row r="120" spans="1:8" ht="14.1" customHeight="1" x14ac:dyDescent="0.2">
      <c r="A120" s="1"/>
      <c r="B120" s="1"/>
      <c r="C120" s="11"/>
      <c r="D120" s="1"/>
      <c r="E120" s="1"/>
      <c r="F120" s="12"/>
      <c r="G120" s="12"/>
      <c r="H120" s="51"/>
    </row>
    <row r="121" spans="1:8" ht="14.1" customHeight="1" x14ac:dyDescent="0.2">
      <c r="A121" s="1"/>
      <c r="B121" s="1"/>
      <c r="C121" s="2" t="s">
        <v>148</v>
      </c>
      <c r="D121" s="1"/>
      <c r="E121" s="1"/>
      <c r="F121" s="9">
        <v>3193.7272275999999</v>
      </c>
      <c r="G121" s="10">
        <v>0.106397687</v>
      </c>
      <c r="H121" s="51"/>
    </row>
    <row r="122" spans="1:8" ht="14.1" customHeight="1" x14ac:dyDescent="0.2">
      <c r="A122" s="1"/>
      <c r="B122" s="1"/>
      <c r="C122" s="12"/>
      <c r="D122" s="1"/>
      <c r="E122" s="1"/>
      <c r="F122" s="1"/>
      <c r="G122" s="1"/>
      <c r="H122" s="51"/>
    </row>
    <row r="123" spans="1:8" ht="14.1" customHeight="1" x14ac:dyDescent="0.2">
      <c r="A123" s="1"/>
      <c r="B123" s="1"/>
      <c r="C123" s="2" t="s">
        <v>149</v>
      </c>
      <c r="D123" s="1"/>
      <c r="E123" s="1"/>
      <c r="F123" s="1"/>
      <c r="G123" s="1"/>
      <c r="H123" s="51"/>
    </row>
    <row r="124" spans="1:8" ht="14.1" customHeight="1" x14ac:dyDescent="0.2">
      <c r="A124" s="1"/>
      <c r="B124" s="1"/>
      <c r="C124" s="2" t="s">
        <v>150</v>
      </c>
      <c r="D124" s="1"/>
      <c r="E124" s="1"/>
      <c r="F124" s="1"/>
      <c r="G124" s="1"/>
      <c r="H124" s="51"/>
    </row>
    <row r="125" spans="1:8" ht="14.1" customHeight="1" x14ac:dyDescent="0.2">
      <c r="A125" s="1"/>
      <c r="B125" s="1"/>
      <c r="C125" s="2" t="s">
        <v>129</v>
      </c>
      <c r="D125" s="1"/>
      <c r="E125" s="1" t="s">
        <v>130</v>
      </c>
      <c r="F125" s="13">
        <v>0</v>
      </c>
      <c r="G125" s="14">
        <v>0</v>
      </c>
      <c r="H125" s="51"/>
    </row>
    <row r="126" spans="1:8" ht="14.1" customHeight="1" x14ac:dyDescent="0.2">
      <c r="A126" s="1"/>
      <c r="B126" s="1"/>
      <c r="C126" s="11"/>
      <c r="D126" s="1"/>
      <c r="E126" s="1"/>
      <c r="F126" s="12"/>
      <c r="G126" s="12"/>
      <c r="H126" s="51"/>
    </row>
    <row r="127" spans="1:8" ht="14.1" customHeight="1" x14ac:dyDescent="0.2">
      <c r="A127" s="1"/>
      <c r="B127" s="1"/>
      <c r="C127" s="2" t="s">
        <v>151</v>
      </c>
      <c r="D127" s="1"/>
      <c r="E127" s="1"/>
      <c r="F127" s="1"/>
      <c r="G127" s="1"/>
      <c r="H127" s="51"/>
    </row>
    <row r="128" spans="1:8" ht="14.1" customHeight="1" x14ac:dyDescent="0.2">
      <c r="A128" s="1"/>
      <c r="B128" s="1"/>
      <c r="C128" s="2" t="s">
        <v>152</v>
      </c>
      <c r="D128" s="1"/>
      <c r="E128" s="1"/>
      <c r="F128" s="1"/>
      <c r="G128" s="1"/>
      <c r="H128" s="51"/>
    </row>
    <row r="129" spans="1:8" ht="14.1" customHeight="1" x14ac:dyDescent="0.2">
      <c r="A129" s="1"/>
      <c r="B129" s="1"/>
      <c r="C129" s="2" t="s">
        <v>129</v>
      </c>
      <c r="D129" s="1"/>
      <c r="E129" s="1" t="s">
        <v>130</v>
      </c>
      <c r="F129" s="13">
        <v>0</v>
      </c>
      <c r="G129" s="14">
        <v>0</v>
      </c>
      <c r="H129" s="51"/>
    </row>
    <row r="130" spans="1:8" ht="14.1" customHeight="1" x14ac:dyDescent="0.2">
      <c r="A130" s="1"/>
      <c r="B130" s="1"/>
      <c r="C130" s="11"/>
      <c r="D130" s="1"/>
      <c r="E130" s="1"/>
      <c r="F130" s="12"/>
      <c r="G130" s="12"/>
      <c r="H130" s="51"/>
    </row>
    <row r="131" spans="1:8" ht="14.1" customHeight="1" x14ac:dyDescent="0.2">
      <c r="A131" s="1"/>
      <c r="B131" s="1"/>
      <c r="C131" s="11"/>
      <c r="D131" s="1"/>
      <c r="E131" s="1"/>
      <c r="F131" s="12"/>
      <c r="G131" s="12"/>
      <c r="H131" s="51"/>
    </row>
    <row r="132" spans="1:8" ht="24" customHeight="1" x14ac:dyDescent="0.2">
      <c r="A132" s="1"/>
      <c r="B132" s="1"/>
      <c r="C132" s="2" t="s">
        <v>153</v>
      </c>
      <c r="D132" s="1"/>
      <c r="E132" s="1"/>
      <c r="F132" s="12"/>
      <c r="G132" s="12"/>
      <c r="H132" s="51"/>
    </row>
    <row r="133" spans="1:8" ht="14.1" customHeight="1" x14ac:dyDescent="0.2">
      <c r="A133" s="1"/>
      <c r="B133" s="1"/>
      <c r="C133" s="2" t="s">
        <v>129</v>
      </c>
      <c r="D133" s="1"/>
      <c r="E133" s="1" t="s">
        <v>130</v>
      </c>
      <c r="F133" s="13">
        <v>0</v>
      </c>
      <c r="G133" s="14">
        <v>0</v>
      </c>
      <c r="H133" s="51"/>
    </row>
    <row r="134" spans="1:8" ht="14.1" customHeight="1" x14ac:dyDescent="0.2">
      <c r="A134" s="1"/>
      <c r="B134" s="1"/>
      <c r="C134" s="11"/>
      <c r="D134" s="1"/>
      <c r="E134" s="1"/>
      <c r="F134" s="12"/>
      <c r="G134" s="12"/>
      <c r="H134" s="51"/>
    </row>
    <row r="135" spans="1:8" ht="14.1" customHeight="1" x14ac:dyDescent="0.2">
      <c r="A135" s="1"/>
      <c r="B135" s="4"/>
      <c r="C135" s="4"/>
      <c r="D135" s="2"/>
      <c r="E135" s="1"/>
      <c r="F135" s="4"/>
      <c r="G135" s="8"/>
      <c r="H135" s="51"/>
    </row>
    <row r="136" spans="1:8" ht="18" customHeight="1" x14ac:dyDescent="0.2">
      <c r="A136" s="8"/>
      <c r="B136" s="4"/>
      <c r="C136" s="4" t="s">
        <v>154</v>
      </c>
      <c r="D136" s="4"/>
      <c r="E136" s="8"/>
      <c r="F136" s="6">
        <v>25.125037800000001</v>
      </c>
      <c r="G136" s="7">
        <v>8.3703E-4</v>
      </c>
      <c r="H136" s="51"/>
    </row>
    <row r="137" spans="1:8" ht="14.1" customHeight="1" x14ac:dyDescent="0.2">
      <c r="A137" s="11"/>
      <c r="B137" s="11"/>
      <c r="C137" s="2" t="s">
        <v>155</v>
      </c>
      <c r="D137" s="15"/>
      <c r="E137" s="15"/>
      <c r="F137" s="9">
        <v>30016.885939399999</v>
      </c>
      <c r="G137" s="10">
        <v>1.0000000010000001</v>
      </c>
      <c r="H137" s="51"/>
    </row>
    <row r="138" spans="1:8" ht="14.1" customHeight="1" x14ac:dyDescent="0.2">
      <c r="A138" s="16"/>
      <c r="B138" s="16"/>
      <c r="C138" s="16"/>
      <c r="D138" s="17"/>
      <c r="E138" s="17"/>
      <c r="F138" s="17"/>
      <c r="G138" s="17"/>
    </row>
    <row r="139" spans="1:8" ht="14.1" customHeight="1" x14ac:dyDescent="0.2">
      <c r="A139" s="18"/>
      <c r="B139" s="18"/>
      <c r="C139" s="18"/>
      <c r="D139" s="20"/>
      <c r="E139" s="20"/>
      <c r="F139" s="20"/>
      <c r="G139" s="20"/>
    </row>
    <row r="140" spans="1:8" ht="14.1" customHeight="1" x14ac:dyDescent="0.2">
      <c r="A140" s="18"/>
      <c r="B140" s="325" t="s">
        <v>157</v>
      </c>
      <c r="C140" s="326"/>
      <c r="D140" s="12" t="s">
        <v>130</v>
      </c>
      <c r="E140" s="21"/>
      <c r="F140" s="20"/>
      <c r="G140" s="20"/>
    </row>
    <row r="141" spans="1:8" ht="29.1" customHeight="1" x14ac:dyDescent="0.2">
      <c r="A141" s="18"/>
      <c r="B141" s="318" t="s">
        <v>158</v>
      </c>
      <c r="C141" s="319"/>
      <c r="D141" s="2" t="s">
        <v>159</v>
      </c>
      <c r="E141" s="21"/>
      <c r="F141" s="20"/>
      <c r="G141" s="20"/>
    </row>
    <row r="142" spans="1:8" ht="17.100000000000001" customHeight="1" x14ac:dyDescent="0.2">
      <c r="A142" s="18"/>
      <c r="B142" s="318" t="s">
        <v>160</v>
      </c>
      <c r="C142" s="319"/>
      <c r="D142" s="2" t="s">
        <v>159</v>
      </c>
      <c r="E142" s="21"/>
      <c r="F142" s="20"/>
      <c r="G142" s="20"/>
    </row>
    <row r="143" spans="1:8" ht="17.100000000000001" customHeight="1" x14ac:dyDescent="0.2">
      <c r="A143" s="18"/>
      <c r="B143" s="318" t="s">
        <v>161</v>
      </c>
      <c r="C143" s="319"/>
      <c r="D143" s="12" t="s">
        <v>130</v>
      </c>
      <c r="E143" s="21"/>
      <c r="F143" s="20"/>
      <c r="G143" s="20"/>
    </row>
    <row r="144" spans="1:8" ht="24" customHeight="1" x14ac:dyDescent="0.2">
      <c r="A144" s="22"/>
      <c r="B144" s="23" t="s">
        <v>130</v>
      </c>
      <c r="C144" s="23" t="s">
        <v>162</v>
      </c>
      <c r="D144" s="23" t="s">
        <v>163</v>
      </c>
      <c r="E144" s="22"/>
      <c r="F144" s="22"/>
      <c r="G144" s="22"/>
    </row>
    <row r="145" spans="1:7" ht="18" customHeight="1" x14ac:dyDescent="0.2">
      <c r="A145" s="22"/>
      <c r="B145" s="23" t="s">
        <v>164</v>
      </c>
      <c r="C145" s="23" t="s">
        <v>165</v>
      </c>
      <c r="D145" s="23" t="s">
        <v>166</v>
      </c>
      <c r="E145" s="22"/>
      <c r="F145" s="22"/>
      <c r="G145" s="22"/>
    </row>
    <row r="146" spans="1:7" ht="17.100000000000001" customHeight="1" x14ac:dyDescent="0.2">
      <c r="A146" s="22"/>
      <c r="B146" s="4" t="s">
        <v>167</v>
      </c>
      <c r="C146" s="24">
        <v>19.804200000000002</v>
      </c>
      <c r="D146" s="24">
        <v>19.832599999999999</v>
      </c>
      <c r="E146" s="22"/>
      <c r="F146" s="19"/>
      <c r="G146" s="25"/>
    </row>
    <row r="147" spans="1:7" ht="17.100000000000001" customHeight="1" x14ac:dyDescent="0.2">
      <c r="A147" s="22"/>
      <c r="B147" s="4" t="s">
        <v>1067</v>
      </c>
      <c r="C147" s="24">
        <v>19.4405</v>
      </c>
      <c r="D147" s="24">
        <v>19.468499999999999</v>
      </c>
      <c r="E147" s="22"/>
      <c r="F147" s="19"/>
      <c r="G147" s="25"/>
    </row>
    <row r="148" spans="1:7" ht="17.100000000000001" customHeight="1" x14ac:dyDescent="0.2">
      <c r="A148" s="22"/>
      <c r="B148" s="4" t="s">
        <v>168</v>
      </c>
      <c r="C148" s="24">
        <v>19.157399999999999</v>
      </c>
      <c r="D148" s="24">
        <v>19.1755</v>
      </c>
      <c r="E148" s="22"/>
      <c r="F148" s="19"/>
      <c r="G148" s="25"/>
    </row>
    <row r="149" spans="1:7" ht="17.100000000000001" customHeight="1" x14ac:dyDescent="0.2">
      <c r="A149" s="22"/>
      <c r="B149" s="4" t="s">
        <v>1068</v>
      </c>
      <c r="C149" s="24">
        <v>18.796500000000002</v>
      </c>
      <c r="D149" s="24">
        <v>18.8142</v>
      </c>
      <c r="E149" s="22"/>
      <c r="F149" s="19"/>
      <c r="G149" s="25"/>
    </row>
    <row r="150" spans="1:7" ht="14.1" customHeight="1" x14ac:dyDescent="0.2">
      <c r="A150" s="22"/>
      <c r="B150" s="22"/>
      <c r="C150" s="22"/>
      <c r="D150" s="22"/>
      <c r="E150" s="22"/>
      <c r="F150" s="22"/>
      <c r="G150" s="22"/>
    </row>
    <row r="151" spans="1:7" ht="17.100000000000001" customHeight="1" x14ac:dyDescent="0.2">
      <c r="A151" s="22"/>
      <c r="B151" s="318" t="s">
        <v>1069</v>
      </c>
      <c r="C151" s="319"/>
      <c r="D151" s="111" t="s">
        <v>159</v>
      </c>
      <c r="E151" s="22"/>
      <c r="F151" s="22"/>
      <c r="G151" s="22"/>
    </row>
    <row r="152" spans="1:7" ht="18" customHeight="1" x14ac:dyDescent="0.2">
      <c r="A152" s="22"/>
      <c r="B152" s="26"/>
      <c r="C152" s="26"/>
      <c r="D152" s="27"/>
      <c r="E152" s="22"/>
      <c r="F152" s="22"/>
      <c r="G152" s="22"/>
    </row>
    <row r="153" spans="1:7" ht="29.1" customHeight="1" x14ac:dyDescent="0.2">
      <c r="A153" s="22"/>
      <c r="B153" s="318" t="s">
        <v>169</v>
      </c>
      <c r="C153" s="319"/>
      <c r="D153" s="2" t="s">
        <v>159</v>
      </c>
      <c r="E153" s="22"/>
      <c r="F153" s="22"/>
      <c r="G153" s="22"/>
    </row>
    <row r="154" spans="1:7" ht="29.1" customHeight="1" x14ac:dyDescent="0.2">
      <c r="A154" s="22"/>
      <c r="B154" s="318" t="s">
        <v>170</v>
      </c>
      <c r="C154" s="319"/>
      <c r="D154" s="2" t="s">
        <v>159</v>
      </c>
      <c r="E154" s="22"/>
      <c r="F154" s="22"/>
      <c r="G154" s="22"/>
    </row>
    <row r="155" spans="1:7" ht="17.100000000000001" customHeight="1" x14ac:dyDescent="0.2">
      <c r="A155" s="22"/>
      <c r="B155" s="318" t="s">
        <v>171</v>
      </c>
      <c r="C155" s="319"/>
      <c r="D155" s="28">
        <v>0.3105900653535924</v>
      </c>
      <c r="E155" s="22"/>
      <c r="F155" s="19"/>
      <c r="G155" s="25"/>
    </row>
    <row r="156" spans="1:7" ht="17.100000000000001" customHeight="1" x14ac:dyDescent="0.2">
      <c r="A156" s="22"/>
      <c r="B156" s="318" t="s">
        <v>172</v>
      </c>
      <c r="C156" s="319"/>
      <c r="D156" s="2" t="s">
        <v>159</v>
      </c>
      <c r="E156" s="22"/>
      <c r="F156" s="22"/>
      <c r="G156" s="22"/>
    </row>
    <row r="164" spans="10:15" x14ac:dyDescent="0.2">
      <c r="J164" s="158"/>
      <c r="K164" s="158"/>
      <c r="L164" s="158"/>
      <c r="M164" s="158"/>
      <c r="N164" s="158"/>
      <c r="O164" s="158"/>
    </row>
  </sheetData>
  <mergeCells count="13">
    <mergeCell ref="A1:H1"/>
    <mergeCell ref="A2:H2"/>
    <mergeCell ref="A3:H3"/>
    <mergeCell ref="B155:C155"/>
    <mergeCell ref="J2:N2"/>
    <mergeCell ref="B140:C140"/>
    <mergeCell ref="B156:C156"/>
    <mergeCell ref="B141:C141"/>
    <mergeCell ref="B142:C142"/>
    <mergeCell ref="B143:C143"/>
    <mergeCell ref="B151:C151"/>
    <mergeCell ref="B153:C153"/>
    <mergeCell ref="B154:C154"/>
  </mergeCells>
  <hyperlinks>
    <hyperlink ref="I1" location="Index!B10" display="Index" xr:uid="{32D6023D-2A70-40C8-A8BE-DC7857281AE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O16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466</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102</v>
      </c>
      <c r="C7" s="4" t="s">
        <v>103</v>
      </c>
      <c r="D7" s="4" t="s">
        <v>104</v>
      </c>
      <c r="E7" s="5">
        <v>172146</v>
      </c>
      <c r="F7" s="6">
        <v>733.08374100000003</v>
      </c>
      <c r="G7" s="7">
        <v>3.4363649000000003E-2</v>
      </c>
      <c r="H7" s="51"/>
    </row>
    <row r="8" spans="1:14" ht="29.1" customHeight="1" x14ac:dyDescent="0.2">
      <c r="A8" s="3">
        <v>2</v>
      </c>
      <c r="B8" s="4" t="s">
        <v>185</v>
      </c>
      <c r="C8" s="4" t="s">
        <v>186</v>
      </c>
      <c r="D8" s="4" t="s">
        <v>104</v>
      </c>
      <c r="E8" s="5">
        <v>162926</v>
      </c>
      <c r="F8" s="6">
        <v>671.09219399999995</v>
      </c>
      <c r="G8" s="7">
        <v>3.1457764999999999E-2</v>
      </c>
      <c r="H8" s="51"/>
    </row>
    <row r="9" spans="1:14" ht="17.100000000000001" customHeight="1" x14ac:dyDescent="0.2">
      <c r="A9" s="3">
        <v>3</v>
      </c>
      <c r="B9" s="4" t="s">
        <v>29</v>
      </c>
      <c r="C9" s="4" t="s">
        <v>30</v>
      </c>
      <c r="D9" s="4" t="s">
        <v>31</v>
      </c>
      <c r="E9" s="5">
        <v>31667</v>
      </c>
      <c r="F9" s="6">
        <v>632.72249350000004</v>
      </c>
      <c r="G9" s="7">
        <v>2.9659167E-2</v>
      </c>
      <c r="H9" s="51"/>
    </row>
    <row r="10" spans="1:14" ht="17.100000000000001" customHeight="1" x14ac:dyDescent="0.2">
      <c r="A10" s="3">
        <v>4</v>
      </c>
      <c r="B10" s="4" t="s">
        <v>82</v>
      </c>
      <c r="C10" s="4" t="s">
        <v>83</v>
      </c>
      <c r="D10" s="4" t="s">
        <v>31</v>
      </c>
      <c r="E10" s="5">
        <v>43501</v>
      </c>
      <c r="F10" s="6">
        <v>628.71995300000003</v>
      </c>
      <c r="G10" s="7">
        <v>2.9471547000000001E-2</v>
      </c>
      <c r="H10" s="51"/>
    </row>
    <row r="11" spans="1:14" ht="17.100000000000001" customHeight="1" x14ac:dyDescent="0.2">
      <c r="A11" s="3">
        <v>5</v>
      </c>
      <c r="B11" s="4" t="s">
        <v>32</v>
      </c>
      <c r="C11" s="4" t="s">
        <v>33</v>
      </c>
      <c r="D11" s="4" t="s">
        <v>31</v>
      </c>
      <c r="E11" s="5">
        <v>28200</v>
      </c>
      <c r="F11" s="6">
        <v>582.09029999999996</v>
      </c>
      <c r="G11" s="7">
        <v>2.7285759E-2</v>
      </c>
      <c r="H11" s="51"/>
    </row>
    <row r="12" spans="1:14" ht="17.100000000000001" customHeight="1" x14ac:dyDescent="0.2">
      <c r="A12" s="3">
        <v>6</v>
      </c>
      <c r="B12" s="4" t="s">
        <v>379</v>
      </c>
      <c r="C12" s="4" t="s">
        <v>380</v>
      </c>
      <c r="D12" s="4" t="s">
        <v>97</v>
      </c>
      <c r="E12" s="5">
        <v>551852</v>
      </c>
      <c r="F12" s="6">
        <v>547.16125799999998</v>
      </c>
      <c r="G12" s="7">
        <v>2.5648443999999999E-2</v>
      </c>
      <c r="H12" s="51"/>
    </row>
    <row r="13" spans="1:14" ht="17.100000000000001" customHeight="1" x14ac:dyDescent="0.2">
      <c r="A13" s="3">
        <v>7</v>
      </c>
      <c r="B13" s="4" t="s">
        <v>401</v>
      </c>
      <c r="C13" s="4" t="s">
        <v>402</v>
      </c>
      <c r="D13" s="4" t="s">
        <v>223</v>
      </c>
      <c r="E13" s="5">
        <v>82518</v>
      </c>
      <c r="F13" s="6">
        <v>544.53628200000003</v>
      </c>
      <c r="G13" s="7">
        <v>2.5525396999999998E-2</v>
      </c>
      <c r="H13" s="51"/>
      <c r="J13" s="157" t="s">
        <v>1097</v>
      </c>
    </row>
    <row r="14" spans="1:14" ht="17.100000000000001" customHeight="1" x14ac:dyDescent="0.2">
      <c r="A14" s="3">
        <v>8</v>
      </c>
      <c r="B14" s="4" t="s">
        <v>383</v>
      </c>
      <c r="C14" s="4" t="s">
        <v>384</v>
      </c>
      <c r="D14" s="4" t="s">
        <v>104</v>
      </c>
      <c r="E14" s="5">
        <v>32500</v>
      </c>
      <c r="F14" s="6">
        <v>536.07124999999996</v>
      </c>
      <c r="G14" s="7">
        <v>2.5128595E-2</v>
      </c>
      <c r="H14" s="51"/>
    </row>
    <row r="15" spans="1:14" ht="29.1" customHeight="1" x14ac:dyDescent="0.2">
      <c r="A15" s="3">
        <v>9</v>
      </c>
      <c r="B15" s="4" t="s">
        <v>182</v>
      </c>
      <c r="C15" s="4" t="s">
        <v>183</v>
      </c>
      <c r="D15" s="4" t="s">
        <v>184</v>
      </c>
      <c r="E15" s="5">
        <v>11594</v>
      </c>
      <c r="F15" s="6">
        <v>520.66914899999995</v>
      </c>
      <c r="G15" s="7">
        <v>2.4406614E-2</v>
      </c>
      <c r="H15" s="51"/>
    </row>
    <row r="16" spans="1:14" ht="17.100000000000001" customHeight="1" x14ac:dyDescent="0.2">
      <c r="A16" s="3">
        <v>10</v>
      </c>
      <c r="B16" s="4" t="s">
        <v>319</v>
      </c>
      <c r="C16" s="4" t="s">
        <v>320</v>
      </c>
      <c r="D16" s="4" t="s">
        <v>248</v>
      </c>
      <c r="E16" s="5">
        <v>32200</v>
      </c>
      <c r="F16" s="6">
        <v>479.3775</v>
      </c>
      <c r="G16" s="7">
        <v>2.2471048E-2</v>
      </c>
      <c r="H16" s="51"/>
    </row>
    <row r="17" spans="1:8" ht="17.100000000000001" customHeight="1" x14ac:dyDescent="0.2">
      <c r="A17" s="3">
        <v>11</v>
      </c>
      <c r="B17" s="4" t="s">
        <v>415</v>
      </c>
      <c r="C17" s="4" t="s">
        <v>416</v>
      </c>
      <c r="D17" s="4" t="s">
        <v>31</v>
      </c>
      <c r="E17" s="5">
        <v>51999</v>
      </c>
      <c r="F17" s="6">
        <v>475.42685699999998</v>
      </c>
      <c r="G17" s="7">
        <v>2.2285860000000001E-2</v>
      </c>
      <c r="H17" s="51"/>
    </row>
    <row r="18" spans="1:8" ht="17.100000000000001" customHeight="1" x14ac:dyDescent="0.2">
      <c r="A18" s="3">
        <v>12</v>
      </c>
      <c r="B18" s="4" t="s">
        <v>385</v>
      </c>
      <c r="C18" s="4" t="s">
        <v>386</v>
      </c>
      <c r="D18" s="4" t="s">
        <v>104</v>
      </c>
      <c r="E18" s="5">
        <v>74088</v>
      </c>
      <c r="F18" s="6">
        <v>471.088548</v>
      </c>
      <c r="G18" s="7">
        <v>2.2082500000000001E-2</v>
      </c>
      <c r="H18" s="51"/>
    </row>
    <row r="19" spans="1:8" ht="17.100000000000001" customHeight="1" x14ac:dyDescent="0.2">
      <c r="A19" s="3">
        <v>13</v>
      </c>
      <c r="B19" s="4" t="s">
        <v>17</v>
      </c>
      <c r="C19" s="4" t="s">
        <v>18</v>
      </c>
      <c r="D19" s="4" t="s">
        <v>19</v>
      </c>
      <c r="E19" s="5">
        <v>58701</v>
      </c>
      <c r="F19" s="6">
        <v>469.54929900000002</v>
      </c>
      <c r="G19" s="7">
        <v>2.2010346E-2</v>
      </c>
      <c r="H19" s="51"/>
    </row>
    <row r="20" spans="1:8" ht="17.100000000000001" customHeight="1" x14ac:dyDescent="0.2">
      <c r="A20" s="3">
        <v>14</v>
      </c>
      <c r="B20" s="4" t="s">
        <v>302</v>
      </c>
      <c r="C20" s="4" t="s">
        <v>303</v>
      </c>
      <c r="D20" s="4" t="s">
        <v>251</v>
      </c>
      <c r="E20" s="5">
        <v>91611</v>
      </c>
      <c r="F20" s="6">
        <v>468.36123750000002</v>
      </c>
      <c r="G20" s="7">
        <v>2.1954655999999999E-2</v>
      </c>
      <c r="H20" s="51"/>
    </row>
    <row r="21" spans="1:8" ht="17.100000000000001" customHeight="1" x14ac:dyDescent="0.2">
      <c r="A21" s="3">
        <v>15</v>
      </c>
      <c r="B21" s="4" t="s">
        <v>381</v>
      </c>
      <c r="C21" s="4" t="s">
        <v>382</v>
      </c>
      <c r="D21" s="4" t="s">
        <v>277</v>
      </c>
      <c r="E21" s="5">
        <v>35713</v>
      </c>
      <c r="F21" s="6">
        <v>450.39449949999999</v>
      </c>
      <c r="G21" s="7">
        <v>2.1112456000000002E-2</v>
      </c>
      <c r="H21" s="51"/>
    </row>
    <row r="22" spans="1:8" ht="17.100000000000001" customHeight="1" x14ac:dyDescent="0.2">
      <c r="A22" s="3">
        <v>16</v>
      </c>
      <c r="B22" s="4" t="s">
        <v>417</v>
      </c>
      <c r="C22" s="4" t="s">
        <v>418</v>
      </c>
      <c r="D22" s="4" t="s">
        <v>92</v>
      </c>
      <c r="E22" s="5">
        <v>30347</v>
      </c>
      <c r="F22" s="6">
        <v>424.58487700000001</v>
      </c>
      <c r="G22" s="7">
        <v>1.9902618E-2</v>
      </c>
      <c r="H22" s="51"/>
    </row>
    <row r="23" spans="1:8" ht="17.100000000000001" customHeight="1" x14ac:dyDescent="0.2">
      <c r="A23" s="3">
        <v>17</v>
      </c>
      <c r="B23" s="4" t="s">
        <v>313</v>
      </c>
      <c r="C23" s="4" t="s">
        <v>314</v>
      </c>
      <c r="D23" s="4" t="s">
        <v>315</v>
      </c>
      <c r="E23" s="5">
        <v>27031</v>
      </c>
      <c r="F23" s="6">
        <v>368.16221999999999</v>
      </c>
      <c r="G23" s="7">
        <v>1.7257779000000001E-2</v>
      </c>
      <c r="H23" s="51"/>
    </row>
    <row r="24" spans="1:8" ht="29.1" customHeight="1" x14ac:dyDescent="0.2">
      <c r="A24" s="3">
        <v>18</v>
      </c>
      <c r="B24" s="4" t="s">
        <v>201</v>
      </c>
      <c r="C24" s="4" t="s">
        <v>202</v>
      </c>
      <c r="D24" s="4" t="s">
        <v>203</v>
      </c>
      <c r="E24" s="5">
        <v>71099</v>
      </c>
      <c r="F24" s="6">
        <v>364.73786999999999</v>
      </c>
      <c r="G24" s="7">
        <v>1.7097260999999999E-2</v>
      </c>
      <c r="H24" s="51"/>
    </row>
    <row r="25" spans="1:8" ht="17.100000000000001" customHeight="1" x14ac:dyDescent="0.2">
      <c r="A25" s="3">
        <v>19</v>
      </c>
      <c r="B25" s="4" t="s">
        <v>387</v>
      </c>
      <c r="C25" s="4" t="s">
        <v>388</v>
      </c>
      <c r="D25" s="4" t="s">
        <v>208</v>
      </c>
      <c r="E25" s="5">
        <v>124748</v>
      </c>
      <c r="F25" s="6">
        <v>356.90402799999998</v>
      </c>
      <c r="G25" s="7">
        <v>1.6730045999999998E-2</v>
      </c>
      <c r="H25" s="51"/>
    </row>
    <row r="26" spans="1:8" ht="17.100000000000001" customHeight="1" x14ac:dyDescent="0.2">
      <c r="A26" s="3">
        <v>20</v>
      </c>
      <c r="B26" s="4" t="s">
        <v>389</v>
      </c>
      <c r="C26" s="4" t="s">
        <v>390</v>
      </c>
      <c r="D26" s="4" t="s">
        <v>248</v>
      </c>
      <c r="E26" s="5">
        <v>45868</v>
      </c>
      <c r="F26" s="6">
        <v>329.51571200000001</v>
      </c>
      <c r="G26" s="7">
        <v>1.5446206000000001E-2</v>
      </c>
      <c r="H26" s="51"/>
    </row>
    <row r="27" spans="1:8" ht="17.100000000000001" customHeight="1" x14ac:dyDescent="0.2">
      <c r="A27" s="3">
        <v>21</v>
      </c>
      <c r="B27" s="4" t="s">
        <v>244</v>
      </c>
      <c r="C27" s="4" t="s">
        <v>245</v>
      </c>
      <c r="D27" s="4" t="s">
        <v>223</v>
      </c>
      <c r="E27" s="5">
        <v>10158</v>
      </c>
      <c r="F27" s="6">
        <v>329.24109600000003</v>
      </c>
      <c r="G27" s="7">
        <v>1.5433333E-2</v>
      </c>
      <c r="H27" s="51"/>
    </row>
    <row r="28" spans="1:8" ht="17.100000000000001" customHeight="1" x14ac:dyDescent="0.2">
      <c r="A28" s="3">
        <v>22</v>
      </c>
      <c r="B28" s="4" t="s">
        <v>174</v>
      </c>
      <c r="C28" s="4" t="s">
        <v>175</v>
      </c>
      <c r="D28" s="4" t="s">
        <v>22</v>
      </c>
      <c r="E28" s="5">
        <v>151387</v>
      </c>
      <c r="F28" s="6">
        <v>327.45008100000001</v>
      </c>
      <c r="G28" s="7">
        <v>1.5349378E-2</v>
      </c>
      <c r="H28" s="51"/>
    </row>
    <row r="29" spans="1:8" ht="29.1" customHeight="1" x14ac:dyDescent="0.2">
      <c r="A29" s="3">
        <v>23</v>
      </c>
      <c r="B29" s="4" t="s">
        <v>399</v>
      </c>
      <c r="C29" s="4" t="s">
        <v>400</v>
      </c>
      <c r="D29" s="4" t="s">
        <v>48</v>
      </c>
      <c r="E29" s="5">
        <v>11405</v>
      </c>
      <c r="F29" s="6">
        <v>306.53218500000003</v>
      </c>
      <c r="G29" s="7">
        <v>1.4368842E-2</v>
      </c>
      <c r="H29" s="51"/>
    </row>
    <row r="30" spans="1:8" ht="17.100000000000001" customHeight="1" x14ac:dyDescent="0.2">
      <c r="A30" s="3">
        <v>24</v>
      </c>
      <c r="B30" s="4" t="s">
        <v>391</v>
      </c>
      <c r="C30" s="4" t="s">
        <v>392</v>
      </c>
      <c r="D30" s="4" t="s">
        <v>97</v>
      </c>
      <c r="E30" s="5">
        <v>63371</v>
      </c>
      <c r="F30" s="6">
        <v>304.054058</v>
      </c>
      <c r="G30" s="7">
        <v>1.4252678E-2</v>
      </c>
      <c r="H30" s="51"/>
    </row>
    <row r="31" spans="1:8" ht="17.100000000000001" customHeight="1" x14ac:dyDescent="0.2">
      <c r="A31" s="3">
        <v>25</v>
      </c>
      <c r="B31" s="4" t="s">
        <v>393</v>
      </c>
      <c r="C31" s="4" t="s">
        <v>394</v>
      </c>
      <c r="D31" s="4" t="s">
        <v>97</v>
      </c>
      <c r="E31" s="5">
        <v>33180</v>
      </c>
      <c r="F31" s="6">
        <v>289.84388999999999</v>
      </c>
      <c r="G31" s="7">
        <v>1.3586569999999999E-2</v>
      </c>
      <c r="H31" s="51"/>
    </row>
    <row r="32" spans="1:8" ht="29.1" customHeight="1" x14ac:dyDescent="0.2">
      <c r="A32" s="3">
        <v>26</v>
      </c>
      <c r="B32" s="4" t="s">
        <v>63</v>
      </c>
      <c r="C32" s="4" t="s">
        <v>64</v>
      </c>
      <c r="D32" s="4" t="s">
        <v>25</v>
      </c>
      <c r="E32" s="5">
        <v>10728</v>
      </c>
      <c r="F32" s="6">
        <v>281.679732</v>
      </c>
      <c r="G32" s="7">
        <v>1.3203871000000001E-2</v>
      </c>
      <c r="H32" s="51"/>
    </row>
    <row r="33" spans="1:8" ht="29.1" customHeight="1" x14ac:dyDescent="0.2">
      <c r="A33" s="3">
        <v>27</v>
      </c>
      <c r="B33" s="4" t="s">
        <v>316</v>
      </c>
      <c r="C33" s="4" t="s">
        <v>317</v>
      </c>
      <c r="D33" s="4" t="s">
        <v>318</v>
      </c>
      <c r="E33" s="5">
        <v>42321</v>
      </c>
      <c r="F33" s="6">
        <v>273.07625250000001</v>
      </c>
      <c r="G33" s="7">
        <v>1.2800578999999999E-2</v>
      </c>
      <c r="H33" s="51"/>
    </row>
    <row r="34" spans="1:8" ht="29.1" customHeight="1" x14ac:dyDescent="0.2">
      <c r="A34" s="3">
        <v>28</v>
      </c>
      <c r="B34" s="4" t="s">
        <v>397</v>
      </c>
      <c r="C34" s="4" t="s">
        <v>398</v>
      </c>
      <c r="D34" s="4" t="s">
        <v>75</v>
      </c>
      <c r="E34" s="5">
        <v>16998</v>
      </c>
      <c r="F34" s="6">
        <v>269.19732599999998</v>
      </c>
      <c r="G34" s="7">
        <v>1.2618753E-2</v>
      </c>
      <c r="H34" s="51"/>
    </row>
    <row r="35" spans="1:8" ht="17.100000000000001" customHeight="1" x14ac:dyDescent="0.2">
      <c r="A35" s="3">
        <v>29</v>
      </c>
      <c r="B35" s="4" t="s">
        <v>395</v>
      </c>
      <c r="C35" s="4" t="s">
        <v>396</v>
      </c>
      <c r="D35" s="4" t="s">
        <v>315</v>
      </c>
      <c r="E35" s="5">
        <v>22068</v>
      </c>
      <c r="F35" s="6">
        <v>268.95375000000001</v>
      </c>
      <c r="G35" s="7">
        <v>1.2607335000000001E-2</v>
      </c>
      <c r="H35" s="51"/>
    </row>
    <row r="36" spans="1:8" ht="17.100000000000001" customHeight="1" x14ac:dyDescent="0.2">
      <c r="A36" s="3">
        <v>30</v>
      </c>
      <c r="B36" s="4" t="s">
        <v>242</v>
      </c>
      <c r="C36" s="4" t="s">
        <v>243</v>
      </c>
      <c r="D36" s="4" t="s">
        <v>72</v>
      </c>
      <c r="E36" s="5">
        <v>5394</v>
      </c>
      <c r="F36" s="6">
        <v>245.286756</v>
      </c>
      <c r="G36" s="7">
        <v>1.1497933E-2</v>
      </c>
      <c r="H36" s="51"/>
    </row>
    <row r="37" spans="1:8" ht="17.100000000000001" customHeight="1" x14ac:dyDescent="0.2">
      <c r="A37" s="3">
        <v>31</v>
      </c>
      <c r="B37" s="4" t="s">
        <v>403</v>
      </c>
      <c r="C37" s="4" t="s">
        <v>404</v>
      </c>
      <c r="D37" s="4" t="s">
        <v>277</v>
      </c>
      <c r="E37" s="5">
        <v>29851</v>
      </c>
      <c r="F37" s="6">
        <v>236.688579</v>
      </c>
      <c r="G37" s="7">
        <v>1.109489E-2</v>
      </c>
      <c r="H37" s="51"/>
    </row>
    <row r="38" spans="1:8" ht="17.100000000000001" customHeight="1" x14ac:dyDescent="0.2">
      <c r="A38" s="3">
        <v>32</v>
      </c>
      <c r="B38" s="4" t="s">
        <v>405</v>
      </c>
      <c r="C38" s="4" t="s">
        <v>406</v>
      </c>
      <c r="D38" s="4" t="s">
        <v>31</v>
      </c>
      <c r="E38" s="5">
        <v>25628</v>
      </c>
      <c r="F38" s="6">
        <v>229.72939199999999</v>
      </c>
      <c r="G38" s="7">
        <v>1.0768674000000001E-2</v>
      </c>
      <c r="H38" s="51"/>
    </row>
    <row r="39" spans="1:8" ht="29.1" customHeight="1" x14ac:dyDescent="0.2">
      <c r="A39" s="3">
        <v>33</v>
      </c>
      <c r="B39" s="4" t="s">
        <v>407</v>
      </c>
      <c r="C39" s="4" t="s">
        <v>408</v>
      </c>
      <c r="D39" s="4" t="s">
        <v>203</v>
      </c>
      <c r="E39" s="5">
        <v>69018</v>
      </c>
      <c r="F39" s="6">
        <v>226.310022</v>
      </c>
      <c r="G39" s="7">
        <v>1.0608390000000001E-2</v>
      </c>
      <c r="H39" s="51"/>
    </row>
    <row r="40" spans="1:8" ht="29.1" customHeight="1" x14ac:dyDescent="0.2">
      <c r="A40" s="3">
        <v>34</v>
      </c>
      <c r="B40" s="4" t="s">
        <v>457</v>
      </c>
      <c r="C40" s="4" t="s">
        <v>458</v>
      </c>
      <c r="D40" s="4" t="s">
        <v>367</v>
      </c>
      <c r="E40" s="5">
        <v>37465</v>
      </c>
      <c r="F40" s="6">
        <v>223.94703749999999</v>
      </c>
      <c r="G40" s="7">
        <v>1.0497624000000001E-2</v>
      </c>
      <c r="H40" s="51"/>
    </row>
    <row r="41" spans="1:8" ht="17.100000000000001" customHeight="1" x14ac:dyDescent="0.2">
      <c r="A41" s="3">
        <v>35</v>
      </c>
      <c r="B41" s="4" t="s">
        <v>409</v>
      </c>
      <c r="C41" s="4" t="s">
        <v>410</v>
      </c>
      <c r="D41" s="4" t="s">
        <v>104</v>
      </c>
      <c r="E41" s="5">
        <v>34209</v>
      </c>
      <c r="F41" s="6">
        <v>222.153246</v>
      </c>
      <c r="G41" s="7">
        <v>1.0413538999999999E-2</v>
      </c>
      <c r="H41" s="51"/>
    </row>
    <row r="42" spans="1:8" ht="29.1" customHeight="1" x14ac:dyDescent="0.2">
      <c r="A42" s="3">
        <v>36</v>
      </c>
      <c r="B42" s="4" t="s">
        <v>413</v>
      </c>
      <c r="C42" s="4" t="s">
        <v>414</v>
      </c>
      <c r="D42" s="4" t="s">
        <v>367</v>
      </c>
      <c r="E42" s="5">
        <v>43436</v>
      </c>
      <c r="F42" s="6">
        <v>218.26589999999999</v>
      </c>
      <c r="G42" s="7">
        <v>1.0231318E-2</v>
      </c>
      <c r="H42" s="51"/>
    </row>
    <row r="43" spans="1:8" ht="17.100000000000001" customHeight="1" x14ac:dyDescent="0.2">
      <c r="A43" s="3">
        <v>37</v>
      </c>
      <c r="B43" s="4" t="s">
        <v>41</v>
      </c>
      <c r="C43" s="4" t="s">
        <v>42</v>
      </c>
      <c r="D43" s="4" t="s">
        <v>16</v>
      </c>
      <c r="E43" s="5">
        <v>41060</v>
      </c>
      <c r="F43" s="6">
        <v>217.86436</v>
      </c>
      <c r="G43" s="7">
        <v>1.0212495E-2</v>
      </c>
      <c r="H43" s="51"/>
    </row>
    <row r="44" spans="1:8" ht="29.1" customHeight="1" x14ac:dyDescent="0.2">
      <c r="A44" s="3">
        <v>38</v>
      </c>
      <c r="B44" s="4" t="s">
        <v>291</v>
      </c>
      <c r="C44" s="4" t="s">
        <v>292</v>
      </c>
      <c r="D44" s="4" t="s">
        <v>184</v>
      </c>
      <c r="E44" s="5">
        <v>28959</v>
      </c>
      <c r="F44" s="6">
        <v>217.52552850000001</v>
      </c>
      <c r="G44" s="7">
        <v>1.0196612000000001E-2</v>
      </c>
      <c r="H44" s="51"/>
    </row>
    <row r="45" spans="1:8" ht="17.100000000000001" customHeight="1" x14ac:dyDescent="0.2">
      <c r="A45" s="3">
        <v>39</v>
      </c>
      <c r="B45" s="4" t="s">
        <v>37</v>
      </c>
      <c r="C45" s="4" t="s">
        <v>38</v>
      </c>
      <c r="D45" s="4" t="s">
        <v>31</v>
      </c>
      <c r="E45" s="5">
        <v>5865</v>
      </c>
      <c r="F45" s="6">
        <v>214.30709999999999</v>
      </c>
      <c r="G45" s="7">
        <v>1.0045747000000001E-2</v>
      </c>
      <c r="H45" s="51"/>
    </row>
    <row r="46" spans="1:8" ht="17.100000000000001" customHeight="1" x14ac:dyDescent="0.2">
      <c r="A46" s="3">
        <v>40</v>
      </c>
      <c r="B46" s="4" t="s">
        <v>459</v>
      </c>
      <c r="C46" s="4" t="s">
        <v>460</v>
      </c>
      <c r="D46" s="4" t="s">
        <v>97</v>
      </c>
      <c r="E46" s="5">
        <v>320700</v>
      </c>
      <c r="F46" s="6">
        <v>212.78444999999999</v>
      </c>
      <c r="G46" s="7">
        <v>9.9743720000000004E-3</v>
      </c>
      <c r="H46" s="51"/>
    </row>
    <row r="47" spans="1:8" ht="17.100000000000001" customHeight="1" x14ac:dyDescent="0.2">
      <c r="A47" s="3">
        <v>41</v>
      </c>
      <c r="B47" s="4" t="s">
        <v>240</v>
      </c>
      <c r="C47" s="4" t="s">
        <v>241</v>
      </c>
      <c r="D47" s="4" t="s">
        <v>97</v>
      </c>
      <c r="E47" s="5">
        <v>32539</v>
      </c>
      <c r="F47" s="6">
        <v>212.674904</v>
      </c>
      <c r="G47" s="7">
        <v>9.9692370000000006E-3</v>
      </c>
      <c r="H47" s="51"/>
    </row>
    <row r="48" spans="1:8" ht="17.100000000000001" customHeight="1" x14ac:dyDescent="0.2">
      <c r="A48" s="3">
        <v>42</v>
      </c>
      <c r="B48" s="4" t="s">
        <v>450</v>
      </c>
      <c r="C48" s="4" t="s">
        <v>451</v>
      </c>
      <c r="D48" s="4" t="s">
        <v>104</v>
      </c>
      <c r="E48" s="5">
        <v>70796</v>
      </c>
      <c r="F48" s="6">
        <v>212.38800000000001</v>
      </c>
      <c r="G48" s="7">
        <v>9.9557880000000001E-3</v>
      </c>
      <c r="H48" s="51"/>
    </row>
    <row r="49" spans="1:8" ht="29.1" customHeight="1" x14ac:dyDescent="0.2">
      <c r="A49" s="3">
        <v>43</v>
      </c>
      <c r="B49" s="4" t="s">
        <v>429</v>
      </c>
      <c r="C49" s="4" t="s">
        <v>430</v>
      </c>
      <c r="D49" s="4" t="s">
        <v>431</v>
      </c>
      <c r="E49" s="5">
        <v>157132</v>
      </c>
      <c r="F49" s="6">
        <v>208.906994</v>
      </c>
      <c r="G49" s="7">
        <v>9.7926149999999993E-3</v>
      </c>
      <c r="H49" s="51"/>
    </row>
    <row r="50" spans="1:8" ht="17.100000000000001" customHeight="1" x14ac:dyDescent="0.2">
      <c r="A50" s="3">
        <v>44</v>
      </c>
      <c r="B50" s="4" t="s">
        <v>90</v>
      </c>
      <c r="C50" s="4" t="s">
        <v>91</v>
      </c>
      <c r="D50" s="4" t="s">
        <v>92</v>
      </c>
      <c r="E50" s="5">
        <v>40384</v>
      </c>
      <c r="F50" s="6">
        <v>205.43340799999999</v>
      </c>
      <c r="G50" s="7">
        <v>9.6297889999999997E-3</v>
      </c>
      <c r="H50" s="51"/>
    </row>
    <row r="51" spans="1:8" ht="53.1" customHeight="1" x14ac:dyDescent="0.2">
      <c r="A51" s="3">
        <v>45</v>
      </c>
      <c r="B51" s="4" t="s">
        <v>335</v>
      </c>
      <c r="C51" s="4" t="s">
        <v>863</v>
      </c>
      <c r="D51" s="4" t="s">
        <v>45</v>
      </c>
      <c r="E51" s="5">
        <v>74468</v>
      </c>
      <c r="F51" s="6">
        <v>204.89870199999999</v>
      </c>
      <c r="G51" s="7">
        <v>9.6047240000000002E-3</v>
      </c>
      <c r="H51" s="51"/>
    </row>
    <row r="52" spans="1:8" ht="29.1" customHeight="1" x14ac:dyDescent="0.2">
      <c r="A52" s="3">
        <v>46</v>
      </c>
      <c r="B52" s="4" t="s">
        <v>419</v>
      </c>
      <c r="C52" s="4" t="s">
        <v>420</v>
      </c>
      <c r="D52" s="4" t="s">
        <v>203</v>
      </c>
      <c r="E52" s="5">
        <v>10472</v>
      </c>
      <c r="F52" s="6">
        <v>201.04145600000001</v>
      </c>
      <c r="G52" s="7">
        <v>9.4239140000000002E-3</v>
      </c>
      <c r="H52" s="51"/>
    </row>
    <row r="53" spans="1:8" ht="17.100000000000001" customHeight="1" x14ac:dyDescent="0.2">
      <c r="A53" s="3">
        <v>47</v>
      </c>
      <c r="B53" s="4" t="s">
        <v>440</v>
      </c>
      <c r="C53" s="4" t="s">
        <v>441</v>
      </c>
      <c r="D53" s="4" t="s">
        <v>51</v>
      </c>
      <c r="E53" s="5">
        <v>26074</v>
      </c>
      <c r="F53" s="6">
        <v>199.896321</v>
      </c>
      <c r="G53" s="7">
        <v>9.3702349999999993E-3</v>
      </c>
      <c r="H53" s="51"/>
    </row>
    <row r="54" spans="1:8" ht="17.100000000000001" customHeight="1" x14ac:dyDescent="0.2">
      <c r="A54" s="3">
        <v>48</v>
      </c>
      <c r="B54" s="4" t="s">
        <v>329</v>
      </c>
      <c r="C54" s="4" t="s">
        <v>330</v>
      </c>
      <c r="D54" s="4" t="s">
        <v>36</v>
      </c>
      <c r="E54" s="5">
        <v>84116</v>
      </c>
      <c r="F54" s="6">
        <v>198.26141200000001</v>
      </c>
      <c r="G54" s="7">
        <v>9.2935980000000001E-3</v>
      </c>
      <c r="H54" s="51"/>
    </row>
    <row r="55" spans="1:8" ht="17.100000000000001" customHeight="1" x14ac:dyDescent="0.2">
      <c r="A55" s="3">
        <v>49</v>
      </c>
      <c r="B55" s="4" t="s">
        <v>421</v>
      </c>
      <c r="C55" s="4" t="s">
        <v>422</v>
      </c>
      <c r="D55" s="4" t="s">
        <v>104</v>
      </c>
      <c r="E55" s="5">
        <v>17492</v>
      </c>
      <c r="F55" s="6">
        <v>192.52569800000001</v>
      </c>
      <c r="G55" s="7">
        <v>9.0247339999999995E-3</v>
      </c>
      <c r="H55" s="51"/>
    </row>
    <row r="56" spans="1:8" ht="17.100000000000001" customHeight="1" x14ac:dyDescent="0.2">
      <c r="A56" s="3">
        <v>50</v>
      </c>
      <c r="B56" s="4" t="s">
        <v>427</v>
      </c>
      <c r="C56" s="4" t="s">
        <v>428</v>
      </c>
      <c r="D56" s="4" t="s">
        <v>97</v>
      </c>
      <c r="E56" s="5">
        <v>19196</v>
      </c>
      <c r="F56" s="6">
        <v>190.82743600000001</v>
      </c>
      <c r="G56" s="7">
        <v>8.9451270000000006E-3</v>
      </c>
      <c r="H56" s="51"/>
    </row>
    <row r="57" spans="1:8" ht="29.1" customHeight="1" x14ac:dyDescent="0.2">
      <c r="A57" s="3">
        <v>51</v>
      </c>
      <c r="B57" s="4" t="s">
        <v>423</v>
      </c>
      <c r="C57" s="4" t="s">
        <v>424</v>
      </c>
      <c r="D57" s="4" t="s">
        <v>318</v>
      </c>
      <c r="E57" s="5">
        <v>44870</v>
      </c>
      <c r="F57" s="6">
        <v>186.86111500000001</v>
      </c>
      <c r="G57" s="7">
        <v>8.7592039999999996E-3</v>
      </c>
      <c r="H57" s="51"/>
    </row>
    <row r="58" spans="1:8" ht="17.100000000000001" customHeight="1" x14ac:dyDescent="0.2">
      <c r="A58" s="3">
        <v>52</v>
      </c>
      <c r="B58" s="4" t="s">
        <v>461</v>
      </c>
      <c r="C58" s="4" t="s">
        <v>462</v>
      </c>
      <c r="D58" s="4" t="s">
        <v>260</v>
      </c>
      <c r="E58" s="5">
        <v>55539</v>
      </c>
      <c r="F58" s="6">
        <v>186.111189</v>
      </c>
      <c r="G58" s="7">
        <v>8.7240500000000006E-3</v>
      </c>
      <c r="H58" s="51"/>
    </row>
    <row r="59" spans="1:8" ht="17.100000000000001" customHeight="1" x14ac:dyDescent="0.2">
      <c r="A59" s="3">
        <v>53</v>
      </c>
      <c r="B59" s="4" t="s">
        <v>425</v>
      </c>
      <c r="C59" s="4" t="s">
        <v>426</v>
      </c>
      <c r="D59" s="4" t="s">
        <v>13</v>
      </c>
      <c r="E59" s="5">
        <v>235040</v>
      </c>
      <c r="F59" s="6">
        <v>183.80127999999999</v>
      </c>
      <c r="G59" s="7">
        <v>8.6157720000000007E-3</v>
      </c>
      <c r="H59" s="51"/>
    </row>
    <row r="60" spans="1:8" ht="17.100000000000001" customHeight="1" x14ac:dyDescent="0.2">
      <c r="A60" s="3">
        <v>54</v>
      </c>
      <c r="B60" s="4" t="s">
        <v>411</v>
      </c>
      <c r="C60" s="4" t="s">
        <v>412</v>
      </c>
      <c r="D60" s="4" t="s">
        <v>13</v>
      </c>
      <c r="E60" s="5">
        <v>39951</v>
      </c>
      <c r="F60" s="6">
        <v>168.35351399999999</v>
      </c>
      <c r="G60" s="7">
        <v>7.8916509999999995E-3</v>
      </c>
      <c r="H60" s="51"/>
    </row>
    <row r="61" spans="1:8" ht="17.100000000000001" customHeight="1" x14ac:dyDescent="0.2">
      <c r="A61" s="3">
        <v>55</v>
      </c>
      <c r="B61" s="4" t="s">
        <v>432</v>
      </c>
      <c r="C61" s="4" t="s">
        <v>433</v>
      </c>
      <c r="D61" s="4" t="s">
        <v>192</v>
      </c>
      <c r="E61" s="5">
        <v>19644</v>
      </c>
      <c r="F61" s="6">
        <v>166.92489</v>
      </c>
      <c r="G61" s="7">
        <v>7.8246840000000002E-3</v>
      </c>
      <c r="H61" s="51"/>
    </row>
    <row r="62" spans="1:8" ht="29.1" customHeight="1" x14ac:dyDescent="0.2">
      <c r="A62" s="3">
        <v>56</v>
      </c>
      <c r="B62" s="4" t="s">
        <v>438</v>
      </c>
      <c r="C62" s="4" t="s">
        <v>439</v>
      </c>
      <c r="D62" s="4" t="s">
        <v>104</v>
      </c>
      <c r="E62" s="5">
        <v>10609</v>
      </c>
      <c r="F62" s="6">
        <v>147.43327300000001</v>
      </c>
      <c r="G62" s="7">
        <v>6.9110049999999996E-3</v>
      </c>
      <c r="H62" s="51"/>
    </row>
    <row r="63" spans="1:8" ht="17.100000000000001" customHeight="1" x14ac:dyDescent="0.2">
      <c r="A63" s="3">
        <v>57</v>
      </c>
      <c r="B63" s="4" t="s">
        <v>436</v>
      </c>
      <c r="C63" s="4" t="s">
        <v>437</v>
      </c>
      <c r="D63" s="4" t="s">
        <v>72</v>
      </c>
      <c r="E63" s="5">
        <v>21910</v>
      </c>
      <c r="F63" s="6">
        <v>139.709115</v>
      </c>
      <c r="G63" s="7">
        <v>6.548931E-3</v>
      </c>
      <c r="H63" s="51"/>
    </row>
    <row r="64" spans="1:8" ht="17.100000000000001" customHeight="1" x14ac:dyDescent="0.2">
      <c r="A64" s="3">
        <v>58</v>
      </c>
      <c r="B64" s="4" t="s">
        <v>454</v>
      </c>
      <c r="C64" s="4" t="s">
        <v>455</v>
      </c>
      <c r="D64" s="4" t="s">
        <v>16</v>
      </c>
      <c r="E64" s="5">
        <v>52998</v>
      </c>
      <c r="F64" s="6">
        <v>118.000047</v>
      </c>
      <c r="G64" s="7">
        <v>5.5313080000000004E-3</v>
      </c>
      <c r="H64" s="51"/>
    </row>
    <row r="65" spans="1:8" ht="17.100000000000001" customHeight="1" x14ac:dyDescent="0.2">
      <c r="A65" s="3">
        <v>59</v>
      </c>
      <c r="B65" s="4" t="s">
        <v>442</v>
      </c>
      <c r="C65" s="4" t="s">
        <v>443</v>
      </c>
      <c r="D65" s="4" t="s">
        <v>232</v>
      </c>
      <c r="E65" s="5">
        <v>14169</v>
      </c>
      <c r="F65" s="6">
        <v>102.526884</v>
      </c>
      <c r="G65" s="7">
        <v>4.8059959999999999E-3</v>
      </c>
      <c r="H65" s="51"/>
    </row>
    <row r="66" spans="1:8" ht="17.100000000000001" customHeight="1" x14ac:dyDescent="0.2">
      <c r="A66" s="3">
        <v>60</v>
      </c>
      <c r="B66" s="4" t="s">
        <v>444</v>
      </c>
      <c r="C66" s="4" t="s">
        <v>445</v>
      </c>
      <c r="D66" s="4" t="s">
        <v>31</v>
      </c>
      <c r="E66" s="5">
        <v>11481</v>
      </c>
      <c r="F66" s="6">
        <v>91.681525500000006</v>
      </c>
      <c r="G66" s="7">
        <v>4.2976150000000003E-3</v>
      </c>
      <c r="H66" s="51"/>
    </row>
    <row r="67" spans="1:8" ht="29.1" customHeight="1" x14ac:dyDescent="0.2">
      <c r="A67" s="3">
        <v>61</v>
      </c>
      <c r="B67" s="4" t="s">
        <v>446</v>
      </c>
      <c r="C67" s="4" t="s">
        <v>447</v>
      </c>
      <c r="D67" s="4" t="s">
        <v>203</v>
      </c>
      <c r="E67" s="5">
        <v>2097</v>
      </c>
      <c r="F67" s="6">
        <v>86.122741500000004</v>
      </c>
      <c r="G67" s="7">
        <v>4.037044E-3</v>
      </c>
      <c r="H67" s="51"/>
    </row>
    <row r="68" spans="1:8" ht="17.100000000000001" customHeight="1" x14ac:dyDescent="0.2">
      <c r="A68" s="3">
        <v>62</v>
      </c>
      <c r="B68" s="4" t="s">
        <v>340</v>
      </c>
      <c r="C68" s="4" t="s">
        <v>341</v>
      </c>
      <c r="D68" s="4" t="s">
        <v>92</v>
      </c>
      <c r="E68" s="5">
        <v>110125</v>
      </c>
      <c r="F68" s="6">
        <v>82.15325</v>
      </c>
      <c r="G68" s="7">
        <v>3.8509730000000002E-3</v>
      </c>
      <c r="H68" s="51"/>
    </row>
    <row r="69" spans="1:8" ht="29.1" customHeight="1" x14ac:dyDescent="0.2">
      <c r="A69" s="3">
        <v>63</v>
      </c>
      <c r="B69" s="4" t="s">
        <v>448</v>
      </c>
      <c r="C69" s="4" t="s">
        <v>449</v>
      </c>
      <c r="D69" s="4" t="s">
        <v>203</v>
      </c>
      <c r="E69" s="5">
        <v>34046</v>
      </c>
      <c r="F69" s="6">
        <v>79.718709000000004</v>
      </c>
      <c r="G69" s="7">
        <v>3.7368520000000001E-3</v>
      </c>
      <c r="H69" s="51"/>
    </row>
    <row r="70" spans="1:8" ht="29.1" customHeight="1" x14ac:dyDescent="0.2">
      <c r="A70" s="3">
        <v>64</v>
      </c>
      <c r="B70" s="4" t="s">
        <v>327</v>
      </c>
      <c r="C70" s="4" t="s">
        <v>328</v>
      </c>
      <c r="D70" s="4" t="s">
        <v>184</v>
      </c>
      <c r="E70" s="5">
        <v>16020</v>
      </c>
      <c r="F70" s="6">
        <v>67.155839999999998</v>
      </c>
      <c r="G70" s="7">
        <v>3.1479619999999998E-3</v>
      </c>
      <c r="H70" s="51"/>
    </row>
    <row r="71" spans="1:8" ht="29.1" customHeight="1" x14ac:dyDescent="0.2">
      <c r="A71" s="3">
        <v>65</v>
      </c>
      <c r="B71" s="4" t="s">
        <v>463</v>
      </c>
      <c r="C71" s="4" t="s">
        <v>464</v>
      </c>
      <c r="D71" s="4" t="s">
        <v>184</v>
      </c>
      <c r="E71" s="5">
        <v>6324</v>
      </c>
      <c r="F71" s="6">
        <v>46.788114</v>
      </c>
      <c r="G71" s="7">
        <v>2.1932150000000001E-3</v>
      </c>
      <c r="H71" s="51"/>
    </row>
    <row r="72" spans="1:8" ht="29.1" customHeight="1" x14ac:dyDescent="0.2">
      <c r="A72" s="3">
        <v>66</v>
      </c>
      <c r="B72" s="4" t="s">
        <v>452</v>
      </c>
      <c r="C72" s="4" t="s">
        <v>453</v>
      </c>
      <c r="D72" s="4" t="s">
        <v>60</v>
      </c>
      <c r="E72" s="5">
        <v>9497</v>
      </c>
      <c r="F72" s="6">
        <v>35.385821999999997</v>
      </c>
      <c r="G72" s="7">
        <v>1.658727E-3</v>
      </c>
      <c r="H72" s="51"/>
    </row>
    <row r="73" spans="1:8" ht="14.1" customHeight="1" x14ac:dyDescent="0.2">
      <c r="A73" s="1"/>
      <c r="B73" s="1"/>
      <c r="C73" s="2" t="s">
        <v>129</v>
      </c>
      <c r="D73" s="1"/>
      <c r="E73" s="1" t="s">
        <v>130</v>
      </c>
      <c r="F73" s="9">
        <v>19084.721649999999</v>
      </c>
      <c r="G73" s="10">
        <v>0.894605396</v>
      </c>
      <c r="H73" s="51"/>
    </row>
    <row r="74" spans="1:8" ht="14.1" customHeight="1" x14ac:dyDescent="0.2">
      <c r="A74" s="1"/>
      <c r="B74" s="1"/>
      <c r="C74" s="11"/>
      <c r="D74" s="1"/>
      <c r="E74" s="1"/>
      <c r="F74" s="12"/>
      <c r="G74" s="12"/>
      <c r="H74" s="51"/>
    </row>
    <row r="75" spans="1:8" ht="14.1" customHeight="1" x14ac:dyDescent="0.2">
      <c r="A75" s="1"/>
      <c r="B75" s="1"/>
      <c r="C75" s="2" t="s">
        <v>131</v>
      </c>
      <c r="D75" s="1"/>
      <c r="E75" s="1"/>
      <c r="F75" s="1"/>
      <c r="G75" s="1"/>
      <c r="H75" s="51"/>
    </row>
    <row r="76" spans="1:8" ht="14.1" customHeight="1" x14ac:dyDescent="0.2">
      <c r="A76" s="1"/>
      <c r="B76" s="1"/>
      <c r="C76" s="2" t="s">
        <v>129</v>
      </c>
      <c r="D76" s="1"/>
      <c r="E76" s="1" t="s">
        <v>130</v>
      </c>
      <c r="F76" s="13">
        <v>0</v>
      </c>
      <c r="G76" s="14">
        <v>0</v>
      </c>
      <c r="H76" s="51"/>
    </row>
    <row r="77" spans="1:8" ht="14.1" customHeight="1" x14ac:dyDescent="0.2">
      <c r="A77" s="1"/>
      <c r="B77" s="1"/>
      <c r="C77" s="11"/>
      <c r="D77" s="1"/>
      <c r="E77" s="1"/>
      <c r="F77" s="12"/>
      <c r="G77" s="12"/>
      <c r="H77" s="51"/>
    </row>
    <row r="78" spans="1:8" ht="14.1" customHeight="1" x14ac:dyDescent="0.2">
      <c r="A78" s="1"/>
      <c r="B78" s="1"/>
      <c r="C78" s="2" t="s">
        <v>132</v>
      </c>
      <c r="D78" s="1"/>
      <c r="E78" s="1"/>
      <c r="F78" s="1"/>
      <c r="G78" s="1"/>
      <c r="H78" s="51"/>
    </row>
    <row r="79" spans="1:8" ht="14.1" customHeight="1" x14ac:dyDescent="0.2">
      <c r="A79" s="1"/>
      <c r="B79" s="1"/>
      <c r="C79" s="2" t="s">
        <v>129</v>
      </c>
      <c r="D79" s="1"/>
      <c r="E79" s="1" t="s">
        <v>130</v>
      </c>
      <c r="F79" s="13">
        <v>0</v>
      </c>
      <c r="G79" s="14">
        <v>0</v>
      </c>
      <c r="H79" s="51"/>
    </row>
    <row r="80" spans="1:8" ht="14.1" customHeight="1" x14ac:dyDescent="0.2">
      <c r="A80" s="1"/>
      <c r="B80" s="1"/>
      <c r="C80" s="11"/>
      <c r="D80" s="1"/>
      <c r="E80" s="1"/>
      <c r="F80" s="12"/>
      <c r="G80" s="12"/>
      <c r="H80" s="51"/>
    </row>
    <row r="81" spans="1:8" ht="14.1" customHeight="1" x14ac:dyDescent="0.2">
      <c r="A81" s="1"/>
      <c r="B81" s="1"/>
      <c r="C81" s="2" t="s">
        <v>133</v>
      </c>
      <c r="D81" s="1"/>
      <c r="E81" s="1"/>
      <c r="F81" s="1"/>
      <c r="G81" s="1"/>
      <c r="H81" s="51"/>
    </row>
    <row r="82" spans="1:8" ht="14.1" customHeight="1" x14ac:dyDescent="0.2">
      <c r="A82" s="1"/>
      <c r="B82" s="1"/>
      <c r="C82" s="2" t="s">
        <v>129</v>
      </c>
      <c r="D82" s="1"/>
      <c r="E82" s="1" t="s">
        <v>130</v>
      </c>
      <c r="F82" s="13">
        <v>0</v>
      </c>
      <c r="G82" s="14">
        <v>0</v>
      </c>
      <c r="H82" s="51"/>
    </row>
    <row r="83" spans="1:8" ht="14.1" customHeight="1" x14ac:dyDescent="0.2">
      <c r="A83" s="1"/>
      <c r="B83" s="1"/>
      <c r="C83" s="11"/>
      <c r="D83" s="1"/>
      <c r="E83" s="1"/>
      <c r="F83" s="12"/>
      <c r="G83" s="12"/>
      <c r="H83" s="51"/>
    </row>
    <row r="84" spans="1:8" ht="14.1" customHeight="1" x14ac:dyDescent="0.2">
      <c r="A84" s="1"/>
      <c r="B84" s="1"/>
      <c r="C84" s="2" t="s">
        <v>134</v>
      </c>
      <c r="D84" s="1"/>
      <c r="E84" s="1"/>
      <c r="F84" s="12"/>
      <c r="G84" s="12"/>
      <c r="H84" s="51"/>
    </row>
    <row r="85" spans="1:8" ht="14.1" customHeight="1" x14ac:dyDescent="0.2">
      <c r="A85" s="1"/>
      <c r="B85" s="1"/>
      <c r="C85" s="2" t="s">
        <v>129</v>
      </c>
      <c r="D85" s="1"/>
      <c r="E85" s="1" t="s">
        <v>130</v>
      </c>
      <c r="F85" s="13">
        <v>0</v>
      </c>
      <c r="G85" s="14">
        <v>0</v>
      </c>
      <c r="H85" s="51"/>
    </row>
    <row r="86" spans="1:8" ht="14.1" customHeight="1" x14ac:dyDescent="0.2">
      <c r="A86" s="1"/>
      <c r="B86" s="1"/>
      <c r="C86" s="11"/>
      <c r="D86" s="1"/>
      <c r="E86" s="1"/>
      <c r="F86" s="12"/>
      <c r="G86" s="12"/>
      <c r="H86" s="51"/>
    </row>
    <row r="87" spans="1:8" ht="14.1" customHeight="1" x14ac:dyDescent="0.2">
      <c r="A87" s="1"/>
      <c r="B87" s="1"/>
      <c r="C87" s="2" t="s">
        <v>135</v>
      </c>
      <c r="D87" s="1"/>
      <c r="E87" s="1"/>
      <c r="F87" s="12"/>
      <c r="G87" s="12"/>
      <c r="H87" s="51"/>
    </row>
    <row r="88" spans="1:8" ht="14.1" customHeight="1" x14ac:dyDescent="0.2">
      <c r="A88" s="1"/>
      <c r="B88" s="1"/>
      <c r="C88" s="2" t="s">
        <v>129</v>
      </c>
      <c r="D88" s="1"/>
      <c r="E88" s="1" t="s">
        <v>130</v>
      </c>
      <c r="F88" s="13">
        <v>0</v>
      </c>
      <c r="G88" s="14">
        <v>0</v>
      </c>
      <c r="H88" s="51"/>
    </row>
    <row r="89" spans="1:8" ht="14.1" customHeight="1" x14ac:dyDescent="0.2">
      <c r="A89" s="1"/>
      <c r="B89" s="1"/>
      <c r="C89" s="11"/>
      <c r="D89" s="1"/>
      <c r="E89" s="1"/>
      <c r="F89" s="12"/>
      <c r="G89" s="12"/>
      <c r="H89" s="51"/>
    </row>
    <row r="90" spans="1:8" ht="18" customHeight="1" x14ac:dyDescent="0.2">
      <c r="A90" s="1"/>
      <c r="B90" s="1"/>
      <c r="C90" s="2" t="s">
        <v>136</v>
      </c>
      <c r="D90" s="1"/>
      <c r="E90" s="1"/>
      <c r="F90" s="9">
        <v>19084.721649999999</v>
      </c>
      <c r="G90" s="10">
        <v>0.894605396</v>
      </c>
      <c r="H90" s="51"/>
    </row>
    <row r="91" spans="1:8" ht="14.1" customHeight="1" x14ac:dyDescent="0.2">
      <c r="A91" s="1"/>
      <c r="B91" s="1"/>
      <c r="C91" s="11"/>
      <c r="D91" s="1"/>
      <c r="E91" s="1"/>
      <c r="F91" s="12"/>
      <c r="G91" s="12"/>
      <c r="H91" s="51"/>
    </row>
    <row r="92" spans="1:8" ht="14.1" customHeight="1" x14ac:dyDescent="0.2">
      <c r="A92" s="1"/>
      <c r="B92" s="1"/>
      <c r="C92" s="2" t="s">
        <v>137</v>
      </c>
      <c r="D92" s="1"/>
      <c r="E92" s="1"/>
      <c r="F92" s="12"/>
      <c r="G92" s="12"/>
      <c r="H92" s="51"/>
    </row>
    <row r="93" spans="1:8" ht="24" customHeight="1" x14ac:dyDescent="0.2">
      <c r="A93" s="1"/>
      <c r="B93" s="1"/>
      <c r="C93" s="2" t="s">
        <v>10</v>
      </c>
      <c r="D93" s="1"/>
      <c r="E93" s="1"/>
      <c r="F93" s="12"/>
      <c r="G93" s="12"/>
      <c r="H93" s="51"/>
    </row>
    <row r="94" spans="1:8" ht="14.1" customHeight="1" x14ac:dyDescent="0.2">
      <c r="A94" s="1"/>
      <c r="B94" s="1"/>
      <c r="C94" s="2" t="s">
        <v>129</v>
      </c>
      <c r="D94" s="1"/>
      <c r="E94" s="1" t="s">
        <v>130</v>
      </c>
      <c r="F94" s="13">
        <v>0</v>
      </c>
      <c r="G94" s="14">
        <v>0</v>
      </c>
      <c r="H94" s="51"/>
    </row>
    <row r="95" spans="1:8" ht="14.1" customHeight="1" x14ac:dyDescent="0.2">
      <c r="A95" s="1"/>
      <c r="B95" s="1"/>
      <c r="C95" s="11"/>
      <c r="D95" s="1"/>
      <c r="E95" s="1"/>
      <c r="F95" s="12"/>
      <c r="G95" s="12"/>
      <c r="H95" s="51"/>
    </row>
    <row r="96" spans="1:8" ht="14.1" customHeight="1" x14ac:dyDescent="0.2">
      <c r="A96" s="1"/>
      <c r="B96" s="1"/>
      <c r="C96" s="2" t="s">
        <v>138</v>
      </c>
      <c r="D96" s="1"/>
      <c r="E96" s="1"/>
      <c r="F96" s="1"/>
      <c r="G96" s="1"/>
      <c r="H96" s="51"/>
    </row>
    <row r="97" spans="1:8" ht="14.1" customHeight="1" x14ac:dyDescent="0.2">
      <c r="A97" s="1"/>
      <c r="B97" s="1"/>
      <c r="C97" s="2" t="s">
        <v>129</v>
      </c>
      <c r="D97" s="1"/>
      <c r="E97" s="1" t="s">
        <v>130</v>
      </c>
      <c r="F97" s="13">
        <v>0</v>
      </c>
      <c r="G97" s="14">
        <v>0</v>
      </c>
      <c r="H97" s="51"/>
    </row>
    <row r="98" spans="1:8" ht="14.1" customHeight="1" x14ac:dyDescent="0.2">
      <c r="A98" s="1"/>
      <c r="B98" s="1"/>
      <c r="C98" s="11"/>
      <c r="D98" s="1"/>
      <c r="E98" s="1"/>
      <c r="F98" s="12"/>
      <c r="G98" s="12"/>
      <c r="H98" s="51"/>
    </row>
    <row r="99" spans="1:8" ht="14.1" customHeight="1" x14ac:dyDescent="0.2">
      <c r="A99" s="1"/>
      <c r="B99" s="1"/>
      <c r="C99" s="2" t="s">
        <v>139</v>
      </c>
      <c r="D99" s="1"/>
      <c r="E99" s="1"/>
      <c r="F99" s="1"/>
      <c r="G99" s="1"/>
      <c r="H99" s="51"/>
    </row>
    <row r="100" spans="1:8" ht="14.1" customHeight="1" x14ac:dyDescent="0.2">
      <c r="A100" s="1"/>
      <c r="B100" s="1"/>
      <c r="C100" s="2" t="s">
        <v>129</v>
      </c>
      <c r="D100" s="1"/>
      <c r="E100" s="1" t="s">
        <v>130</v>
      </c>
      <c r="F100" s="13">
        <v>0</v>
      </c>
      <c r="G100" s="14">
        <v>0</v>
      </c>
      <c r="H100" s="51"/>
    </row>
    <row r="101" spans="1:8" ht="14.1" customHeight="1" x14ac:dyDescent="0.2">
      <c r="A101" s="1"/>
      <c r="B101" s="1"/>
      <c r="C101" s="11"/>
      <c r="D101" s="1"/>
      <c r="E101" s="1"/>
      <c r="F101" s="12"/>
      <c r="G101" s="12"/>
      <c r="H101" s="51"/>
    </row>
    <row r="102" spans="1:8" ht="14.1" customHeight="1" x14ac:dyDescent="0.2">
      <c r="A102" s="1"/>
      <c r="B102" s="1"/>
      <c r="C102" s="2" t="s">
        <v>140</v>
      </c>
      <c r="D102" s="1"/>
      <c r="E102" s="1"/>
      <c r="F102" s="12"/>
      <c r="G102" s="12"/>
      <c r="H102" s="51"/>
    </row>
    <row r="103" spans="1:8" ht="14.1" customHeight="1" x14ac:dyDescent="0.2">
      <c r="A103" s="1"/>
      <c r="B103" s="1"/>
      <c r="C103" s="2" t="s">
        <v>129</v>
      </c>
      <c r="D103" s="1"/>
      <c r="E103" s="1" t="s">
        <v>130</v>
      </c>
      <c r="F103" s="13">
        <v>0</v>
      </c>
      <c r="G103" s="14">
        <v>0</v>
      </c>
      <c r="H103" s="51"/>
    </row>
    <row r="104" spans="1:8" ht="14.1" customHeight="1" x14ac:dyDescent="0.2">
      <c r="A104" s="1"/>
      <c r="B104" s="1"/>
      <c r="C104" s="11"/>
      <c r="D104" s="1"/>
      <c r="E104" s="1"/>
      <c r="F104" s="12"/>
      <c r="G104" s="12"/>
      <c r="H104" s="51"/>
    </row>
    <row r="105" spans="1:8" ht="14.1" customHeight="1" x14ac:dyDescent="0.2">
      <c r="A105" s="1"/>
      <c r="B105" s="1"/>
      <c r="C105" s="2" t="s">
        <v>141</v>
      </c>
      <c r="D105" s="1"/>
      <c r="E105" s="1"/>
      <c r="F105" s="9">
        <v>0</v>
      </c>
      <c r="G105" s="10">
        <v>0</v>
      </c>
      <c r="H105" s="51"/>
    </row>
    <row r="106" spans="1:8" ht="14.1" customHeight="1" x14ac:dyDescent="0.2">
      <c r="A106" s="1"/>
      <c r="B106" s="1"/>
      <c r="C106" s="11"/>
      <c r="D106" s="1"/>
      <c r="E106" s="1"/>
      <c r="F106" s="12"/>
      <c r="G106" s="12"/>
      <c r="H106" s="51"/>
    </row>
    <row r="107" spans="1:8" ht="14.1" customHeight="1" x14ac:dyDescent="0.2">
      <c r="A107" s="1"/>
      <c r="B107" s="1"/>
      <c r="C107" s="2" t="s">
        <v>142</v>
      </c>
      <c r="D107" s="1"/>
      <c r="E107" s="1"/>
      <c r="F107" s="12"/>
      <c r="G107" s="12"/>
      <c r="H107" s="51"/>
    </row>
    <row r="108" spans="1:8" ht="14.1" customHeight="1" x14ac:dyDescent="0.2">
      <c r="A108" s="1"/>
      <c r="B108" s="1"/>
      <c r="C108" s="2" t="s">
        <v>143</v>
      </c>
      <c r="D108" s="1"/>
      <c r="E108" s="1"/>
      <c r="F108" s="12"/>
      <c r="G108" s="12"/>
      <c r="H108" s="51"/>
    </row>
    <row r="109" spans="1:8" ht="14.1" customHeight="1" x14ac:dyDescent="0.2">
      <c r="A109" s="1"/>
      <c r="B109" s="1"/>
      <c r="C109" s="2" t="s">
        <v>129</v>
      </c>
      <c r="D109" s="1"/>
      <c r="E109" s="1" t="s">
        <v>130</v>
      </c>
      <c r="F109" s="13">
        <v>0</v>
      </c>
      <c r="G109" s="14">
        <v>0</v>
      </c>
      <c r="H109" s="51"/>
    </row>
    <row r="110" spans="1:8" ht="14.1" customHeight="1" x14ac:dyDescent="0.2">
      <c r="A110" s="1"/>
      <c r="B110" s="1"/>
      <c r="C110" s="11"/>
      <c r="D110" s="1"/>
      <c r="E110" s="1"/>
      <c r="F110" s="12"/>
      <c r="G110" s="12"/>
      <c r="H110" s="51"/>
    </row>
    <row r="111" spans="1:8" ht="14.1" customHeight="1" x14ac:dyDescent="0.2">
      <c r="A111" s="1"/>
      <c r="B111" s="1"/>
      <c r="C111" s="2" t="s">
        <v>144</v>
      </c>
      <c r="D111" s="1"/>
      <c r="E111" s="1"/>
      <c r="F111" s="12"/>
      <c r="G111" s="12"/>
      <c r="H111" s="51"/>
    </row>
    <row r="112" spans="1:8" ht="14.1" customHeight="1" x14ac:dyDescent="0.2">
      <c r="A112" s="1"/>
      <c r="B112" s="1"/>
      <c r="C112" s="2" t="s">
        <v>129</v>
      </c>
      <c r="D112" s="1"/>
      <c r="E112" s="1" t="s">
        <v>130</v>
      </c>
      <c r="F112" s="13">
        <v>0</v>
      </c>
      <c r="G112" s="14">
        <v>0</v>
      </c>
      <c r="H112" s="51"/>
    </row>
    <row r="113" spans="1:8" ht="14.1" customHeight="1" x14ac:dyDescent="0.2">
      <c r="A113" s="1"/>
      <c r="B113" s="1"/>
      <c r="C113" s="11"/>
      <c r="D113" s="1"/>
      <c r="E113" s="1"/>
      <c r="F113" s="12"/>
      <c r="G113" s="12"/>
      <c r="H113" s="51"/>
    </row>
    <row r="114" spans="1:8" ht="14.1" customHeight="1" x14ac:dyDescent="0.2">
      <c r="A114" s="1"/>
      <c r="B114" s="1"/>
      <c r="C114" s="2" t="s">
        <v>145</v>
      </c>
      <c r="D114" s="1"/>
      <c r="E114" s="1"/>
      <c r="F114" s="12"/>
      <c r="G114" s="12"/>
      <c r="H114" s="51"/>
    </row>
    <row r="115" spans="1:8" ht="14.1" customHeight="1" x14ac:dyDescent="0.2">
      <c r="A115" s="1"/>
      <c r="B115" s="1"/>
      <c r="C115" s="2" t="s">
        <v>129</v>
      </c>
      <c r="D115" s="1"/>
      <c r="E115" s="1" t="s">
        <v>130</v>
      </c>
      <c r="F115" s="13">
        <v>0</v>
      </c>
      <c r="G115" s="14">
        <v>0</v>
      </c>
      <c r="H115" s="51"/>
    </row>
    <row r="116" spans="1:8" ht="14.1" customHeight="1" x14ac:dyDescent="0.2">
      <c r="A116" s="1"/>
      <c r="B116" s="1"/>
      <c r="C116" s="11"/>
      <c r="D116" s="1"/>
      <c r="E116" s="1"/>
      <c r="F116" s="12"/>
      <c r="G116" s="12"/>
      <c r="H116" s="51"/>
    </row>
    <row r="117" spans="1:8" ht="14.1" customHeight="1" x14ac:dyDescent="0.2">
      <c r="A117" s="1"/>
      <c r="B117" s="1"/>
      <c r="C117" s="2" t="s">
        <v>146</v>
      </c>
      <c r="D117" s="1"/>
      <c r="E117" s="1"/>
      <c r="F117" s="12"/>
      <c r="G117" s="12"/>
      <c r="H117" s="51"/>
    </row>
    <row r="118" spans="1:8" ht="17.100000000000001" customHeight="1" x14ac:dyDescent="0.2">
      <c r="A118" s="3">
        <v>1</v>
      </c>
      <c r="B118" s="4"/>
      <c r="C118" s="4" t="s">
        <v>147</v>
      </c>
      <c r="D118" s="4"/>
      <c r="E118" s="8"/>
      <c r="F118" s="6">
        <v>2229.8583242</v>
      </c>
      <c r="G118" s="7">
        <v>0.104525668</v>
      </c>
      <c r="H118" s="51">
        <v>6.1245112103248278</v>
      </c>
    </row>
    <row r="119" spans="1:8" ht="14.1" customHeight="1" x14ac:dyDescent="0.2">
      <c r="A119" s="1"/>
      <c r="B119" s="1"/>
      <c r="C119" s="2" t="s">
        <v>129</v>
      </c>
      <c r="D119" s="1"/>
      <c r="E119" s="1" t="s">
        <v>130</v>
      </c>
      <c r="F119" s="9">
        <v>2229.8583242</v>
      </c>
      <c r="G119" s="10">
        <v>0.104525668</v>
      </c>
      <c r="H119" s="51"/>
    </row>
    <row r="120" spans="1:8" ht="14.1" customHeight="1" x14ac:dyDescent="0.2">
      <c r="A120" s="1"/>
      <c r="B120" s="1"/>
      <c r="C120" s="11"/>
      <c r="D120" s="1"/>
      <c r="E120" s="1"/>
      <c r="F120" s="12"/>
      <c r="G120" s="12"/>
      <c r="H120" s="51"/>
    </row>
    <row r="121" spans="1:8" ht="14.1" customHeight="1" x14ac:dyDescent="0.2">
      <c r="A121" s="1"/>
      <c r="B121" s="1"/>
      <c r="C121" s="2" t="s">
        <v>148</v>
      </c>
      <c r="D121" s="1"/>
      <c r="E121" s="1"/>
      <c r="F121" s="9">
        <v>2229.8583242</v>
      </c>
      <c r="G121" s="10">
        <v>0.104525668</v>
      </c>
      <c r="H121" s="51"/>
    </row>
    <row r="122" spans="1:8" ht="14.1" customHeight="1" x14ac:dyDescent="0.2">
      <c r="A122" s="1"/>
      <c r="B122" s="1"/>
      <c r="C122" s="12"/>
      <c r="D122" s="1"/>
      <c r="E122" s="1"/>
      <c r="F122" s="1"/>
      <c r="G122" s="1"/>
      <c r="H122" s="51"/>
    </row>
    <row r="123" spans="1:8" ht="14.1" customHeight="1" x14ac:dyDescent="0.2">
      <c r="A123" s="1"/>
      <c r="B123" s="1"/>
      <c r="C123" s="2" t="s">
        <v>149</v>
      </c>
      <c r="D123" s="1"/>
      <c r="E123" s="1"/>
      <c r="F123" s="1"/>
      <c r="G123" s="1"/>
      <c r="H123" s="51"/>
    </row>
    <row r="124" spans="1:8" ht="14.1" customHeight="1" x14ac:dyDescent="0.2">
      <c r="A124" s="1"/>
      <c r="B124" s="1"/>
      <c r="C124" s="2" t="s">
        <v>150</v>
      </c>
      <c r="D124" s="1"/>
      <c r="E124" s="1"/>
      <c r="F124" s="1"/>
      <c r="G124" s="1"/>
      <c r="H124" s="51"/>
    </row>
    <row r="125" spans="1:8" ht="14.1" customHeight="1" x14ac:dyDescent="0.2">
      <c r="A125" s="1"/>
      <c r="B125" s="1"/>
      <c r="C125" s="2" t="s">
        <v>129</v>
      </c>
      <c r="D125" s="1"/>
      <c r="E125" s="1" t="s">
        <v>130</v>
      </c>
      <c r="F125" s="13">
        <v>0</v>
      </c>
      <c r="G125" s="14">
        <v>0</v>
      </c>
      <c r="H125" s="51"/>
    </row>
    <row r="126" spans="1:8" ht="14.1" customHeight="1" x14ac:dyDescent="0.2">
      <c r="A126" s="1"/>
      <c r="B126" s="1"/>
      <c r="C126" s="11"/>
      <c r="D126" s="1"/>
      <c r="E126" s="1"/>
      <c r="F126" s="12"/>
      <c r="G126" s="12"/>
      <c r="H126" s="51"/>
    </row>
    <row r="127" spans="1:8" ht="14.1" customHeight="1" x14ac:dyDescent="0.2">
      <c r="A127" s="1"/>
      <c r="B127" s="1"/>
      <c r="C127" s="2" t="s">
        <v>151</v>
      </c>
      <c r="D127" s="1"/>
      <c r="E127" s="1"/>
      <c r="F127" s="1"/>
      <c r="G127" s="1"/>
      <c r="H127" s="51"/>
    </row>
    <row r="128" spans="1:8" ht="14.1" customHeight="1" x14ac:dyDescent="0.2">
      <c r="A128" s="1"/>
      <c r="B128" s="1"/>
      <c r="C128" s="2" t="s">
        <v>152</v>
      </c>
      <c r="D128" s="1"/>
      <c r="E128" s="1"/>
      <c r="F128" s="1"/>
      <c r="G128" s="1"/>
      <c r="H128" s="51"/>
    </row>
    <row r="129" spans="1:8" ht="14.1" customHeight="1" x14ac:dyDescent="0.2">
      <c r="A129" s="1"/>
      <c r="B129" s="1"/>
      <c r="C129" s="2" t="s">
        <v>129</v>
      </c>
      <c r="D129" s="1"/>
      <c r="E129" s="1" t="s">
        <v>130</v>
      </c>
      <c r="F129" s="13">
        <v>0</v>
      </c>
      <c r="G129" s="14">
        <v>0</v>
      </c>
      <c r="H129" s="51"/>
    </row>
    <row r="130" spans="1:8" ht="14.1" customHeight="1" x14ac:dyDescent="0.2">
      <c r="A130" s="1"/>
      <c r="B130" s="1"/>
      <c r="C130" s="11"/>
      <c r="D130" s="1"/>
      <c r="E130" s="1"/>
      <c r="F130" s="12"/>
      <c r="G130" s="12"/>
      <c r="H130" s="51"/>
    </row>
    <row r="131" spans="1:8" ht="14.1" customHeight="1" x14ac:dyDescent="0.2">
      <c r="A131" s="1"/>
      <c r="B131" s="1"/>
      <c r="C131" s="11"/>
      <c r="D131" s="1"/>
      <c r="E131" s="1"/>
      <c r="F131" s="12"/>
      <c r="G131" s="12"/>
      <c r="H131" s="51"/>
    </row>
    <row r="132" spans="1:8" ht="24" customHeight="1" x14ac:dyDescent="0.2">
      <c r="A132" s="1"/>
      <c r="B132" s="1"/>
      <c r="C132" s="2" t="s">
        <v>153</v>
      </c>
      <c r="D132" s="1"/>
      <c r="E132" s="1"/>
      <c r="F132" s="12"/>
      <c r="G132" s="12"/>
      <c r="H132" s="51"/>
    </row>
    <row r="133" spans="1:8" ht="14.1" customHeight="1" x14ac:dyDescent="0.2">
      <c r="A133" s="1"/>
      <c r="B133" s="1"/>
      <c r="C133" s="2" t="s">
        <v>129</v>
      </c>
      <c r="D133" s="1"/>
      <c r="E133" s="1" t="s">
        <v>130</v>
      </c>
      <c r="F133" s="13">
        <v>0</v>
      </c>
      <c r="G133" s="14">
        <v>0</v>
      </c>
      <c r="H133" s="51"/>
    </row>
    <row r="134" spans="1:8" ht="14.1" customHeight="1" x14ac:dyDescent="0.2">
      <c r="A134" s="1"/>
      <c r="B134" s="1"/>
      <c r="C134" s="11"/>
      <c r="D134" s="1"/>
      <c r="E134" s="1"/>
      <c r="F134" s="12"/>
      <c r="G134" s="12"/>
      <c r="H134" s="51"/>
    </row>
    <row r="135" spans="1:8" ht="14.1" customHeight="1" x14ac:dyDescent="0.2">
      <c r="A135" s="1"/>
      <c r="B135" s="4"/>
      <c r="C135" s="4"/>
      <c r="D135" s="2"/>
      <c r="E135" s="1"/>
      <c r="F135" s="4"/>
      <c r="G135" s="8"/>
      <c r="H135" s="51"/>
    </row>
    <row r="136" spans="1:8" ht="18" customHeight="1" x14ac:dyDescent="0.2">
      <c r="A136" s="8"/>
      <c r="B136" s="4"/>
      <c r="C136" s="4" t="s">
        <v>154</v>
      </c>
      <c r="D136" s="4"/>
      <c r="E136" s="8"/>
      <c r="F136" s="6">
        <v>18.537132320000001</v>
      </c>
      <c r="G136" s="7">
        <v>8.6893699999999996E-4</v>
      </c>
      <c r="H136" s="51"/>
    </row>
    <row r="137" spans="1:8" ht="14.1" customHeight="1" x14ac:dyDescent="0.2">
      <c r="A137" s="11"/>
      <c r="B137" s="11"/>
      <c r="C137" s="2" t="s">
        <v>155</v>
      </c>
      <c r="D137" s="15"/>
      <c r="E137" s="15"/>
      <c r="F137" s="9">
        <v>21333.11710652</v>
      </c>
      <c r="G137" s="10">
        <v>1.0000000010000001</v>
      </c>
      <c r="H137" s="51"/>
    </row>
    <row r="138" spans="1:8" ht="14.1" customHeight="1" x14ac:dyDescent="0.2">
      <c r="A138" s="16"/>
      <c r="B138" s="16"/>
      <c r="C138" s="16"/>
      <c r="D138" s="17"/>
      <c r="E138" s="17"/>
      <c r="F138" s="17"/>
      <c r="G138" s="17"/>
    </row>
    <row r="139" spans="1:8" ht="14.1" customHeight="1" x14ac:dyDescent="0.2">
      <c r="A139" s="18"/>
      <c r="B139" s="18"/>
      <c r="C139" s="18"/>
      <c r="D139" s="20"/>
      <c r="E139" s="20"/>
      <c r="F139" s="20"/>
      <c r="G139" s="20"/>
    </row>
    <row r="140" spans="1:8" ht="14.1" customHeight="1" x14ac:dyDescent="0.2">
      <c r="A140" s="18"/>
      <c r="B140" s="325" t="s">
        <v>157</v>
      </c>
      <c r="C140" s="326"/>
      <c r="D140" s="12" t="s">
        <v>130</v>
      </c>
      <c r="E140" s="21"/>
      <c r="F140" s="20"/>
      <c r="G140" s="20"/>
    </row>
    <row r="141" spans="1:8" ht="29.1" customHeight="1" x14ac:dyDescent="0.2">
      <c r="A141" s="18"/>
      <c r="B141" s="318" t="s">
        <v>158</v>
      </c>
      <c r="C141" s="319"/>
      <c r="D141" s="2" t="s">
        <v>159</v>
      </c>
      <c r="E141" s="21"/>
      <c r="F141" s="20"/>
      <c r="G141" s="20"/>
    </row>
    <row r="142" spans="1:8" ht="17.100000000000001" customHeight="1" x14ac:dyDescent="0.2">
      <c r="A142" s="18"/>
      <c r="B142" s="318" t="s">
        <v>160</v>
      </c>
      <c r="C142" s="319"/>
      <c r="D142" s="2" t="s">
        <v>159</v>
      </c>
      <c r="E142" s="21"/>
      <c r="F142" s="20"/>
      <c r="G142" s="20"/>
    </row>
    <row r="143" spans="1:8" ht="17.100000000000001" customHeight="1" x14ac:dyDescent="0.2">
      <c r="A143" s="18"/>
      <c r="B143" s="318" t="s">
        <v>161</v>
      </c>
      <c r="C143" s="319"/>
      <c r="D143" s="12" t="s">
        <v>130</v>
      </c>
      <c r="E143" s="21"/>
      <c r="F143" s="20"/>
      <c r="G143" s="20"/>
    </row>
    <row r="144" spans="1:8" ht="24" customHeight="1" x14ac:dyDescent="0.2">
      <c r="A144" s="22"/>
      <c r="B144" s="23" t="s">
        <v>130</v>
      </c>
      <c r="C144" s="23" t="s">
        <v>162</v>
      </c>
      <c r="D144" s="23" t="s">
        <v>163</v>
      </c>
      <c r="E144" s="22"/>
      <c r="F144" s="22"/>
      <c r="G144" s="22"/>
    </row>
    <row r="145" spans="1:7" ht="18" customHeight="1" x14ac:dyDescent="0.2">
      <c r="A145" s="22"/>
      <c r="B145" s="23" t="s">
        <v>164</v>
      </c>
      <c r="C145" s="23" t="s">
        <v>165</v>
      </c>
      <c r="D145" s="23" t="s">
        <v>166</v>
      </c>
      <c r="E145" s="22"/>
      <c r="F145" s="22"/>
      <c r="G145" s="22"/>
    </row>
    <row r="146" spans="1:7" ht="17.100000000000001" customHeight="1" x14ac:dyDescent="0.2">
      <c r="A146" s="22"/>
      <c r="B146" s="4" t="s">
        <v>167</v>
      </c>
      <c r="C146" s="24">
        <v>20.2804</v>
      </c>
      <c r="D146" s="24">
        <v>20.304600000000001</v>
      </c>
      <c r="E146" s="22"/>
      <c r="F146" s="19"/>
      <c r="G146" s="25"/>
    </row>
    <row r="147" spans="1:7" ht="17.100000000000001" customHeight="1" x14ac:dyDescent="0.2">
      <c r="A147" s="22"/>
      <c r="B147" s="4" t="s">
        <v>1067</v>
      </c>
      <c r="C147" s="24">
        <v>19.556699999999999</v>
      </c>
      <c r="D147" s="24">
        <v>19.580100000000002</v>
      </c>
      <c r="E147" s="22"/>
      <c r="F147" s="19"/>
      <c r="G147" s="25"/>
    </row>
    <row r="148" spans="1:7" ht="17.100000000000001" customHeight="1" x14ac:dyDescent="0.2">
      <c r="A148" s="22"/>
      <c r="B148" s="4" t="s">
        <v>168</v>
      </c>
      <c r="C148" s="24">
        <v>19.6112</v>
      </c>
      <c r="D148" s="24">
        <v>19.625</v>
      </c>
      <c r="E148" s="22"/>
      <c r="F148" s="19"/>
      <c r="G148" s="25"/>
    </row>
    <row r="149" spans="1:7" ht="17.100000000000001" customHeight="1" x14ac:dyDescent="0.2">
      <c r="A149" s="22"/>
      <c r="B149" s="4" t="s">
        <v>1068</v>
      </c>
      <c r="C149" s="24">
        <v>18.8932</v>
      </c>
      <c r="D149" s="24">
        <v>18.906500000000001</v>
      </c>
      <c r="E149" s="22"/>
      <c r="F149" s="19"/>
      <c r="G149" s="25"/>
    </row>
    <row r="150" spans="1:7" ht="14.1" customHeight="1" x14ac:dyDescent="0.2">
      <c r="A150" s="22"/>
      <c r="B150" s="22"/>
      <c r="C150" s="22"/>
      <c r="D150" s="22"/>
      <c r="E150" s="22"/>
      <c r="F150" s="22"/>
      <c r="G150" s="22"/>
    </row>
    <row r="151" spans="1:7" ht="17.100000000000001" customHeight="1" x14ac:dyDescent="0.2">
      <c r="A151" s="22"/>
      <c r="B151" s="318" t="s">
        <v>1069</v>
      </c>
      <c r="C151" s="319"/>
      <c r="D151" s="111" t="s">
        <v>159</v>
      </c>
      <c r="E151" s="22"/>
      <c r="F151" s="22"/>
      <c r="G151" s="22"/>
    </row>
    <row r="152" spans="1:7" ht="18" customHeight="1" x14ac:dyDescent="0.2">
      <c r="A152" s="22"/>
      <c r="B152" s="26"/>
      <c r="C152" s="26"/>
      <c r="D152" s="27"/>
      <c r="E152" s="22"/>
      <c r="F152" s="22"/>
      <c r="G152" s="22"/>
    </row>
    <row r="153" spans="1:7" ht="29.1" customHeight="1" x14ac:dyDescent="0.2">
      <c r="A153" s="22"/>
      <c r="B153" s="318" t="s">
        <v>169</v>
      </c>
      <c r="C153" s="319"/>
      <c r="D153" s="2" t="s">
        <v>159</v>
      </c>
      <c r="E153" s="22"/>
      <c r="F153" s="22"/>
      <c r="G153" s="22"/>
    </row>
    <row r="154" spans="1:7" ht="29.1" customHeight="1" x14ac:dyDescent="0.2">
      <c r="A154" s="22"/>
      <c r="B154" s="318" t="s">
        <v>170</v>
      </c>
      <c r="C154" s="319"/>
      <c r="D154" s="2" t="s">
        <v>159</v>
      </c>
      <c r="E154" s="22"/>
      <c r="F154" s="22"/>
      <c r="G154" s="22"/>
    </row>
    <row r="155" spans="1:7" ht="17.100000000000001" customHeight="1" x14ac:dyDescent="0.2">
      <c r="A155" s="22"/>
      <c r="B155" s="318" t="s">
        <v>171</v>
      </c>
      <c r="C155" s="319"/>
      <c r="D155" s="28">
        <v>0.31407862381761942</v>
      </c>
      <c r="E155" s="22"/>
      <c r="F155" s="19"/>
      <c r="G155" s="25"/>
    </row>
    <row r="156" spans="1:7" ht="17.100000000000001" customHeight="1" x14ac:dyDescent="0.2">
      <c r="A156" s="22"/>
      <c r="B156" s="318" t="s">
        <v>172</v>
      </c>
      <c r="C156" s="319"/>
      <c r="D156" s="2" t="s">
        <v>159</v>
      </c>
      <c r="E156" s="22"/>
      <c r="F156" s="22"/>
      <c r="G156" s="22"/>
    </row>
    <row r="164" spans="10:15" x14ac:dyDescent="0.2">
      <c r="J164" s="158"/>
      <c r="K164" s="158"/>
      <c r="L164" s="158"/>
      <c r="M164" s="158"/>
      <c r="N164" s="158"/>
      <c r="O164" s="158"/>
    </row>
  </sheetData>
  <mergeCells count="13">
    <mergeCell ref="A1:H1"/>
    <mergeCell ref="A2:H2"/>
    <mergeCell ref="A3:H3"/>
    <mergeCell ref="B155:C155"/>
    <mergeCell ref="J2:N2"/>
    <mergeCell ref="B140:C140"/>
    <mergeCell ref="B156:C156"/>
    <mergeCell ref="B141:C141"/>
    <mergeCell ref="B142:C142"/>
    <mergeCell ref="B143:C143"/>
    <mergeCell ref="B151:C151"/>
    <mergeCell ref="B153:C153"/>
    <mergeCell ref="B154:C154"/>
  </mergeCells>
  <hyperlinks>
    <hyperlink ref="I1" location="Index!B11" display="Index" xr:uid="{AB5B99DE-AB07-453B-9A8A-F0013B522E5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O16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467</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383</v>
      </c>
      <c r="C7" s="4" t="s">
        <v>384</v>
      </c>
      <c r="D7" s="4" t="s">
        <v>104</v>
      </c>
      <c r="E7" s="5">
        <v>17407</v>
      </c>
      <c r="F7" s="6">
        <v>287.11976149999998</v>
      </c>
      <c r="G7" s="7">
        <v>3.5377547000000002E-2</v>
      </c>
      <c r="H7" s="51"/>
    </row>
    <row r="8" spans="1:14" ht="17.100000000000001" customHeight="1" x14ac:dyDescent="0.2">
      <c r="A8" s="3">
        <v>2</v>
      </c>
      <c r="B8" s="4" t="s">
        <v>102</v>
      </c>
      <c r="C8" s="4" t="s">
        <v>103</v>
      </c>
      <c r="D8" s="4" t="s">
        <v>104</v>
      </c>
      <c r="E8" s="5">
        <v>65263</v>
      </c>
      <c r="F8" s="6">
        <v>277.92248549999999</v>
      </c>
      <c r="G8" s="7">
        <v>3.4244301999999997E-2</v>
      </c>
      <c r="H8" s="51"/>
    </row>
    <row r="9" spans="1:14" ht="29.1" customHeight="1" x14ac:dyDescent="0.2">
      <c r="A9" s="3">
        <v>3</v>
      </c>
      <c r="B9" s="4" t="s">
        <v>185</v>
      </c>
      <c r="C9" s="4" t="s">
        <v>186</v>
      </c>
      <c r="D9" s="4" t="s">
        <v>104</v>
      </c>
      <c r="E9" s="5">
        <v>61313</v>
      </c>
      <c r="F9" s="6">
        <v>252.548247</v>
      </c>
      <c r="G9" s="7">
        <v>3.1117808E-2</v>
      </c>
      <c r="H9" s="51"/>
    </row>
    <row r="10" spans="1:14" ht="17.100000000000001" customHeight="1" x14ac:dyDescent="0.2">
      <c r="A10" s="3">
        <v>4</v>
      </c>
      <c r="B10" s="4" t="s">
        <v>29</v>
      </c>
      <c r="C10" s="4" t="s">
        <v>30</v>
      </c>
      <c r="D10" s="4" t="s">
        <v>31</v>
      </c>
      <c r="E10" s="5">
        <v>12093</v>
      </c>
      <c r="F10" s="6">
        <v>241.62418650000001</v>
      </c>
      <c r="G10" s="7">
        <v>2.9771796E-2</v>
      </c>
      <c r="H10" s="51"/>
    </row>
    <row r="11" spans="1:14" ht="17.100000000000001" customHeight="1" x14ac:dyDescent="0.2">
      <c r="A11" s="3">
        <v>5</v>
      </c>
      <c r="B11" s="4" t="s">
        <v>82</v>
      </c>
      <c r="C11" s="4" t="s">
        <v>83</v>
      </c>
      <c r="D11" s="4" t="s">
        <v>31</v>
      </c>
      <c r="E11" s="5">
        <v>16493</v>
      </c>
      <c r="F11" s="6">
        <v>238.37332900000001</v>
      </c>
      <c r="G11" s="7">
        <v>2.9371240999999999E-2</v>
      </c>
      <c r="H11" s="51"/>
    </row>
    <row r="12" spans="1:14" ht="17.100000000000001" customHeight="1" x14ac:dyDescent="0.2">
      <c r="A12" s="3">
        <v>6</v>
      </c>
      <c r="B12" s="4" t="s">
        <v>32</v>
      </c>
      <c r="C12" s="4" t="s">
        <v>33</v>
      </c>
      <c r="D12" s="4" t="s">
        <v>31</v>
      </c>
      <c r="E12" s="5">
        <v>10555</v>
      </c>
      <c r="F12" s="6">
        <v>217.87103250000001</v>
      </c>
      <c r="G12" s="7">
        <v>2.6845045000000001E-2</v>
      </c>
      <c r="H12" s="51"/>
    </row>
    <row r="13" spans="1:14" ht="17.100000000000001" customHeight="1" x14ac:dyDescent="0.2">
      <c r="A13" s="3">
        <v>7</v>
      </c>
      <c r="B13" s="4" t="s">
        <v>379</v>
      </c>
      <c r="C13" s="4" t="s">
        <v>380</v>
      </c>
      <c r="D13" s="4" t="s">
        <v>97</v>
      </c>
      <c r="E13" s="5">
        <v>210200</v>
      </c>
      <c r="F13" s="6">
        <v>208.41329999999999</v>
      </c>
      <c r="G13" s="7">
        <v>2.5679707E-2</v>
      </c>
      <c r="H13" s="51"/>
      <c r="J13" s="157" t="s">
        <v>1097</v>
      </c>
    </row>
    <row r="14" spans="1:14" ht="17.100000000000001" customHeight="1" x14ac:dyDescent="0.2">
      <c r="A14" s="3">
        <v>8</v>
      </c>
      <c r="B14" s="4" t="s">
        <v>401</v>
      </c>
      <c r="C14" s="4" t="s">
        <v>402</v>
      </c>
      <c r="D14" s="4" t="s">
        <v>223</v>
      </c>
      <c r="E14" s="5">
        <v>31217</v>
      </c>
      <c r="F14" s="6">
        <v>206.00098299999999</v>
      </c>
      <c r="G14" s="7">
        <v>2.5382472999999999E-2</v>
      </c>
      <c r="H14" s="51"/>
    </row>
    <row r="15" spans="1:14" ht="29.1" customHeight="1" x14ac:dyDescent="0.2">
      <c r="A15" s="3">
        <v>9</v>
      </c>
      <c r="B15" s="4" t="s">
        <v>182</v>
      </c>
      <c r="C15" s="4" t="s">
        <v>183</v>
      </c>
      <c r="D15" s="4" t="s">
        <v>184</v>
      </c>
      <c r="E15" s="5">
        <v>4390</v>
      </c>
      <c r="F15" s="6">
        <v>197.148315</v>
      </c>
      <c r="G15" s="7">
        <v>2.4291689000000002E-2</v>
      </c>
      <c r="H15" s="51"/>
    </row>
    <row r="16" spans="1:14" ht="17.100000000000001" customHeight="1" x14ac:dyDescent="0.2">
      <c r="A16" s="3">
        <v>10</v>
      </c>
      <c r="B16" s="4" t="s">
        <v>319</v>
      </c>
      <c r="C16" s="4" t="s">
        <v>320</v>
      </c>
      <c r="D16" s="4" t="s">
        <v>248</v>
      </c>
      <c r="E16" s="5">
        <v>12162</v>
      </c>
      <c r="F16" s="6">
        <v>181.06177500000001</v>
      </c>
      <c r="G16" s="7">
        <v>2.2309580999999998E-2</v>
      </c>
      <c r="H16" s="51"/>
    </row>
    <row r="17" spans="1:8" ht="17.100000000000001" customHeight="1" x14ac:dyDescent="0.2">
      <c r="A17" s="3">
        <v>11</v>
      </c>
      <c r="B17" s="4" t="s">
        <v>17</v>
      </c>
      <c r="C17" s="4" t="s">
        <v>18</v>
      </c>
      <c r="D17" s="4" t="s">
        <v>19</v>
      </c>
      <c r="E17" s="5">
        <v>22317</v>
      </c>
      <c r="F17" s="6">
        <v>178.51368299999999</v>
      </c>
      <c r="G17" s="7">
        <v>2.1995616999999999E-2</v>
      </c>
      <c r="H17" s="51"/>
    </row>
    <row r="18" spans="1:8" ht="17.100000000000001" customHeight="1" x14ac:dyDescent="0.2">
      <c r="A18" s="3">
        <v>12</v>
      </c>
      <c r="B18" s="4" t="s">
        <v>302</v>
      </c>
      <c r="C18" s="4" t="s">
        <v>303</v>
      </c>
      <c r="D18" s="4" t="s">
        <v>251</v>
      </c>
      <c r="E18" s="5">
        <v>34698</v>
      </c>
      <c r="F18" s="6">
        <v>177.39352500000001</v>
      </c>
      <c r="G18" s="7">
        <v>2.1857596E-2</v>
      </c>
      <c r="H18" s="51"/>
    </row>
    <row r="19" spans="1:8" ht="17.100000000000001" customHeight="1" x14ac:dyDescent="0.2">
      <c r="A19" s="3">
        <v>13</v>
      </c>
      <c r="B19" s="4" t="s">
        <v>415</v>
      </c>
      <c r="C19" s="4" t="s">
        <v>416</v>
      </c>
      <c r="D19" s="4" t="s">
        <v>31</v>
      </c>
      <c r="E19" s="5">
        <v>19221</v>
      </c>
      <c r="F19" s="6">
        <v>175.73760300000001</v>
      </c>
      <c r="G19" s="7">
        <v>2.1653561000000002E-2</v>
      </c>
      <c r="H19" s="51"/>
    </row>
    <row r="20" spans="1:8" ht="17.100000000000001" customHeight="1" x14ac:dyDescent="0.2">
      <c r="A20" s="3">
        <v>14</v>
      </c>
      <c r="B20" s="4" t="s">
        <v>385</v>
      </c>
      <c r="C20" s="4" t="s">
        <v>386</v>
      </c>
      <c r="D20" s="4" t="s">
        <v>104</v>
      </c>
      <c r="E20" s="5">
        <v>27636</v>
      </c>
      <c r="F20" s="6">
        <v>175.72350599999999</v>
      </c>
      <c r="G20" s="7">
        <v>2.1651824E-2</v>
      </c>
      <c r="H20" s="51"/>
    </row>
    <row r="21" spans="1:8" ht="17.100000000000001" customHeight="1" x14ac:dyDescent="0.2">
      <c r="A21" s="3">
        <v>15</v>
      </c>
      <c r="B21" s="4" t="s">
        <v>381</v>
      </c>
      <c r="C21" s="4" t="s">
        <v>382</v>
      </c>
      <c r="D21" s="4" t="s">
        <v>277</v>
      </c>
      <c r="E21" s="5">
        <v>13510</v>
      </c>
      <c r="F21" s="6">
        <v>170.38136499999999</v>
      </c>
      <c r="G21" s="7">
        <v>2.0993590999999999E-2</v>
      </c>
      <c r="H21" s="51"/>
    </row>
    <row r="22" spans="1:8" ht="17.100000000000001" customHeight="1" x14ac:dyDescent="0.2">
      <c r="A22" s="3">
        <v>16</v>
      </c>
      <c r="B22" s="4" t="s">
        <v>417</v>
      </c>
      <c r="C22" s="4" t="s">
        <v>418</v>
      </c>
      <c r="D22" s="4" t="s">
        <v>92</v>
      </c>
      <c r="E22" s="5">
        <v>11320</v>
      </c>
      <c r="F22" s="6">
        <v>158.37812</v>
      </c>
      <c r="G22" s="7">
        <v>1.9514607E-2</v>
      </c>
      <c r="H22" s="51"/>
    </row>
    <row r="23" spans="1:8" ht="17.100000000000001" customHeight="1" x14ac:dyDescent="0.2">
      <c r="A23" s="3">
        <v>17</v>
      </c>
      <c r="B23" s="4" t="s">
        <v>313</v>
      </c>
      <c r="C23" s="4" t="s">
        <v>314</v>
      </c>
      <c r="D23" s="4" t="s">
        <v>315</v>
      </c>
      <c r="E23" s="5">
        <v>10225</v>
      </c>
      <c r="F23" s="6">
        <v>139.2645</v>
      </c>
      <c r="G23" s="7">
        <v>1.7159516999999999E-2</v>
      </c>
      <c r="H23" s="51"/>
    </row>
    <row r="24" spans="1:8" ht="29.1" customHeight="1" x14ac:dyDescent="0.2">
      <c r="A24" s="3">
        <v>18</v>
      </c>
      <c r="B24" s="4" t="s">
        <v>201</v>
      </c>
      <c r="C24" s="4" t="s">
        <v>202</v>
      </c>
      <c r="D24" s="4" t="s">
        <v>203</v>
      </c>
      <c r="E24" s="5">
        <v>26473</v>
      </c>
      <c r="F24" s="6">
        <v>135.80649</v>
      </c>
      <c r="G24" s="7">
        <v>1.6733437E-2</v>
      </c>
      <c r="H24" s="51"/>
    </row>
    <row r="25" spans="1:8" ht="17.100000000000001" customHeight="1" x14ac:dyDescent="0.2">
      <c r="A25" s="3">
        <v>19</v>
      </c>
      <c r="B25" s="4" t="s">
        <v>387</v>
      </c>
      <c r="C25" s="4" t="s">
        <v>388</v>
      </c>
      <c r="D25" s="4" t="s">
        <v>208</v>
      </c>
      <c r="E25" s="5">
        <v>46520</v>
      </c>
      <c r="F25" s="6">
        <v>133.09371999999999</v>
      </c>
      <c r="G25" s="7">
        <v>1.6399183000000001E-2</v>
      </c>
      <c r="H25" s="51"/>
    </row>
    <row r="26" spans="1:8" ht="17.100000000000001" customHeight="1" x14ac:dyDescent="0.2">
      <c r="A26" s="3">
        <v>20</v>
      </c>
      <c r="B26" s="4" t="s">
        <v>389</v>
      </c>
      <c r="C26" s="4" t="s">
        <v>390</v>
      </c>
      <c r="D26" s="4" t="s">
        <v>248</v>
      </c>
      <c r="E26" s="5">
        <v>17350</v>
      </c>
      <c r="F26" s="6">
        <v>124.64239999999999</v>
      </c>
      <c r="G26" s="7">
        <v>1.5357851E-2</v>
      </c>
      <c r="H26" s="51"/>
    </row>
    <row r="27" spans="1:8" ht="17.100000000000001" customHeight="1" x14ac:dyDescent="0.2">
      <c r="A27" s="3">
        <v>21</v>
      </c>
      <c r="B27" s="4" t="s">
        <v>174</v>
      </c>
      <c r="C27" s="4" t="s">
        <v>175</v>
      </c>
      <c r="D27" s="4" t="s">
        <v>22</v>
      </c>
      <c r="E27" s="5">
        <v>57404</v>
      </c>
      <c r="F27" s="6">
        <v>124.164852</v>
      </c>
      <c r="G27" s="7">
        <v>1.5299009000000001E-2</v>
      </c>
      <c r="H27" s="51"/>
    </row>
    <row r="28" spans="1:8" ht="17.100000000000001" customHeight="1" x14ac:dyDescent="0.2">
      <c r="A28" s="3">
        <v>22</v>
      </c>
      <c r="B28" s="4" t="s">
        <v>244</v>
      </c>
      <c r="C28" s="4" t="s">
        <v>245</v>
      </c>
      <c r="D28" s="4" t="s">
        <v>223</v>
      </c>
      <c r="E28" s="5">
        <v>3812</v>
      </c>
      <c r="F28" s="6">
        <v>123.55454400000001</v>
      </c>
      <c r="G28" s="7">
        <v>1.5223810000000001E-2</v>
      </c>
      <c r="H28" s="51"/>
    </row>
    <row r="29" spans="1:8" ht="29.1" customHeight="1" x14ac:dyDescent="0.2">
      <c r="A29" s="3">
        <v>23</v>
      </c>
      <c r="B29" s="4" t="s">
        <v>399</v>
      </c>
      <c r="C29" s="4" t="s">
        <v>400</v>
      </c>
      <c r="D29" s="4" t="s">
        <v>48</v>
      </c>
      <c r="E29" s="5">
        <v>4415</v>
      </c>
      <c r="F29" s="6">
        <v>118.66195500000001</v>
      </c>
      <c r="G29" s="7">
        <v>1.4620968E-2</v>
      </c>
      <c r="H29" s="51"/>
    </row>
    <row r="30" spans="1:8" ht="17.100000000000001" customHeight="1" x14ac:dyDescent="0.2">
      <c r="A30" s="3">
        <v>24</v>
      </c>
      <c r="B30" s="4" t="s">
        <v>391</v>
      </c>
      <c r="C30" s="4" t="s">
        <v>392</v>
      </c>
      <c r="D30" s="4" t="s">
        <v>97</v>
      </c>
      <c r="E30" s="5">
        <v>23973</v>
      </c>
      <c r="F30" s="6">
        <v>115.022454</v>
      </c>
      <c r="G30" s="7">
        <v>1.4172526E-2</v>
      </c>
      <c r="H30" s="51"/>
    </row>
    <row r="31" spans="1:8" ht="17.100000000000001" customHeight="1" x14ac:dyDescent="0.2">
      <c r="A31" s="3">
        <v>25</v>
      </c>
      <c r="B31" s="4" t="s">
        <v>393</v>
      </c>
      <c r="C31" s="4" t="s">
        <v>394</v>
      </c>
      <c r="D31" s="4" t="s">
        <v>97</v>
      </c>
      <c r="E31" s="5">
        <v>12562</v>
      </c>
      <c r="F31" s="6">
        <v>109.73535099999999</v>
      </c>
      <c r="G31" s="7">
        <v>1.3521073999999999E-2</v>
      </c>
      <c r="H31" s="51"/>
    </row>
    <row r="32" spans="1:8" ht="29.1" customHeight="1" x14ac:dyDescent="0.2">
      <c r="A32" s="3">
        <v>26</v>
      </c>
      <c r="B32" s="4" t="s">
        <v>63</v>
      </c>
      <c r="C32" s="4" t="s">
        <v>64</v>
      </c>
      <c r="D32" s="4" t="s">
        <v>25</v>
      </c>
      <c r="E32" s="5">
        <v>4064</v>
      </c>
      <c r="F32" s="6">
        <v>106.706416</v>
      </c>
      <c r="G32" s="7">
        <v>1.3147862999999999E-2</v>
      </c>
      <c r="H32" s="51"/>
    </row>
    <row r="33" spans="1:8" ht="29.1" customHeight="1" x14ac:dyDescent="0.2">
      <c r="A33" s="3">
        <v>27</v>
      </c>
      <c r="B33" s="4" t="s">
        <v>316</v>
      </c>
      <c r="C33" s="4" t="s">
        <v>317</v>
      </c>
      <c r="D33" s="4" t="s">
        <v>318</v>
      </c>
      <c r="E33" s="5">
        <v>16028</v>
      </c>
      <c r="F33" s="6">
        <v>103.42067</v>
      </c>
      <c r="G33" s="7">
        <v>1.2743009E-2</v>
      </c>
      <c r="H33" s="51"/>
    </row>
    <row r="34" spans="1:8" ht="29.1" customHeight="1" x14ac:dyDescent="0.2">
      <c r="A34" s="3">
        <v>28</v>
      </c>
      <c r="B34" s="4" t="s">
        <v>397</v>
      </c>
      <c r="C34" s="4" t="s">
        <v>398</v>
      </c>
      <c r="D34" s="4" t="s">
        <v>75</v>
      </c>
      <c r="E34" s="5">
        <v>6442</v>
      </c>
      <c r="F34" s="6">
        <v>102.02195399999999</v>
      </c>
      <c r="G34" s="7">
        <v>1.2570665999999999E-2</v>
      </c>
      <c r="H34" s="51"/>
    </row>
    <row r="35" spans="1:8" ht="17.100000000000001" customHeight="1" x14ac:dyDescent="0.2">
      <c r="A35" s="3">
        <v>29</v>
      </c>
      <c r="B35" s="4" t="s">
        <v>395</v>
      </c>
      <c r="C35" s="4" t="s">
        <v>396</v>
      </c>
      <c r="D35" s="4" t="s">
        <v>315</v>
      </c>
      <c r="E35" s="5">
        <v>8355</v>
      </c>
      <c r="F35" s="6">
        <v>101.82656249999999</v>
      </c>
      <c r="G35" s="7">
        <v>1.254659E-2</v>
      </c>
      <c r="H35" s="51"/>
    </row>
    <row r="36" spans="1:8" ht="17.100000000000001" customHeight="1" x14ac:dyDescent="0.2">
      <c r="A36" s="3">
        <v>30</v>
      </c>
      <c r="B36" s="4" t="s">
        <v>242</v>
      </c>
      <c r="C36" s="4" t="s">
        <v>243</v>
      </c>
      <c r="D36" s="4" t="s">
        <v>72</v>
      </c>
      <c r="E36" s="5">
        <v>2040</v>
      </c>
      <c r="F36" s="6">
        <v>92.766959999999997</v>
      </c>
      <c r="G36" s="7">
        <v>1.1430309E-2</v>
      </c>
      <c r="H36" s="51"/>
    </row>
    <row r="37" spans="1:8" ht="17.100000000000001" customHeight="1" x14ac:dyDescent="0.2">
      <c r="A37" s="3">
        <v>31</v>
      </c>
      <c r="B37" s="4" t="s">
        <v>403</v>
      </c>
      <c r="C37" s="4" t="s">
        <v>404</v>
      </c>
      <c r="D37" s="4" t="s">
        <v>277</v>
      </c>
      <c r="E37" s="5">
        <v>11291</v>
      </c>
      <c r="F37" s="6">
        <v>89.526338999999993</v>
      </c>
      <c r="G37" s="7">
        <v>1.1031015E-2</v>
      </c>
      <c r="H37" s="51"/>
    </row>
    <row r="38" spans="1:8" ht="17.100000000000001" customHeight="1" x14ac:dyDescent="0.2">
      <c r="A38" s="3">
        <v>32</v>
      </c>
      <c r="B38" s="4" t="s">
        <v>405</v>
      </c>
      <c r="C38" s="4" t="s">
        <v>406</v>
      </c>
      <c r="D38" s="4" t="s">
        <v>31</v>
      </c>
      <c r="E38" s="5">
        <v>9582</v>
      </c>
      <c r="F38" s="6">
        <v>85.893047999999993</v>
      </c>
      <c r="G38" s="7">
        <v>1.0583337999999999E-2</v>
      </c>
      <c r="H38" s="51"/>
    </row>
    <row r="39" spans="1:8" ht="29.1" customHeight="1" x14ac:dyDescent="0.2">
      <c r="A39" s="3">
        <v>33</v>
      </c>
      <c r="B39" s="4" t="s">
        <v>407</v>
      </c>
      <c r="C39" s="4" t="s">
        <v>408</v>
      </c>
      <c r="D39" s="4" t="s">
        <v>203</v>
      </c>
      <c r="E39" s="5">
        <v>25867</v>
      </c>
      <c r="F39" s="6">
        <v>84.817892999999998</v>
      </c>
      <c r="G39" s="7">
        <v>1.0450862E-2</v>
      </c>
      <c r="H39" s="51"/>
    </row>
    <row r="40" spans="1:8" ht="29.1" customHeight="1" x14ac:dyDescent="0.2">
      <c r="A40" s="3">
        <v>34</v>
      </c>
      <c r="B40" s="4" t="s">
        <v>457</v>
      </c>
      <c r="C40" s="4" t="s">
        <v>458</v>
      </c>
      <c r="D40" s="4" t="s">
        <v>367</v>
      </c>
      <c r="E40" s="5">
        <v>14150</v>
      </c>
      <c r="F40" s="6">
        <v>84.581625000000003</v>
      </c>
      <c r="G40" s="7">
        <v>1.042175E-2</v>
      </c>
      <c r="H40" s="51"/>
    </row>
    <row r="41" spans="1:8" ht="17.100000000000001" customHeight="1" x14ac:dyDescent="0.2">
      <c r="A41" s="3">
        <v>35</v>
      </c>
      <c r="B41" s="4" t="s">
        <v>409</v>
      </c>
      <c r="C41" s="4" t="s">
        <v>410</v>
      </c>
      <c r="D41" s="4" t="s">
        <v>104</v>
      </c>
      <c r="E41" s="5">
        <v>12964</v>
      </c>
      <c r="F41" s="6">
        <v>84.188215999999997</v>
      </c>
      <c r="G41" s="7">
        <v>1.0373276000000001E-2</v>
      </c>
      <c r="H41" s="51"/>
    </row>
    <row r="42" spans="1:8" ht="17.100000000000001" customHeight="1" x14ac:dyDescent="0.2">
      <c r="A42" s="3">
        <v>36</v>
      </c>
      <c r="B42" s="4" t="s">
        <v>41</v>
      </c>
      <c r="C42" s="4" t="s">
        <v>42</v>
      </c>
      <c r="D42" s="4" t="s">
        <v>16</v>
      </c>
      <c r="E42" s="5">
        <v>15608</v>
      </c>
      <c r="F42" s="6">
        <v>82.816047999999995</v>
      </c>
      <c r="G42" s="7">
        <v>1.0204204E-2</v>
      </c>
      <c r="H42" s="51"/>
    </row>
    <row r="43" spans="1:8" ht="29.1" customHeight="1" x14ac:dyDescent="0.2">
      <c r="A43" s="3">
        <v>37</v>
      </c>
      <c r="B43" s="4" t="s">
        <v>291</v>
      </c>
      <c r="C43" s="4" t="s">
        <v>292</v>
      </c>
      <c r="D43" s="4" t="s">
        <v>184</v>
      </c>
      <c r="E43" s="5">
        <v>10979</v>
      </c>
      <c r="F43" s="6">
        <v>82.468758500000007</v>
      </c>
      <c r="G43" s="7">
        <v>1.0161412999999999E-2</v>
      </c>
      <c r="H43" s="51"/>
    </row>
    <row r="44" spans="1:8" ht="29.1" customHeight="1" x14ac:dyDescent="0.2">
      <c r="A44" s="3">
        <v>38</v>
      </c>
      <c r="B44" s="4" t="s">
        <v>413</v>
      </c>
      <c r="C44" s="4" t="s">
        <v>414</v>
      </c>
      <c r="D44" s="4" t="s">
        <v>367</v>
      </c>
      <c r="E44" s="5">
        <v>16397</v>
      </c>
      <c r="F44" s="6">
        <v>82.394925000000001</v>
      </c>
      <c r="G44" s="7">
        <v>1.0152315E-2</v>
      </c>
      <c r="H44" s="51"/>
    </row>
    <row r="45" spans="1:8" ht="17.100000000000001" customHeight="1" x14ac:dyDescent="0.2">
      <c r="A45" s="3">
        <v>39</v>
      </c>
      <c r="B45" s="4" t="s">
        <v>240</v>
      </c>
      <c r="C45" s="4" t="s">
        <v>241</v>
      </c>
      <c r="D45" s="4" t="s">
        <v>97</v>
      </c>
      <c r="E45" s="5">
        <v>12364</v>
      </c>
      <c r="F45" s="6">
        <v>80.811104</v>
      </c>
      <c r="G45" s="7">
        <v>9.9571639999999993E-3</v>
      </c>
      <c r="H45" s="51"/>
    </row>
    <row r="46" spans="1:8" ht="17.100000000000001" customHeight="1" x14ac:dyDescent="0.2">
      <c r="A46" s="3">
        <v>40</v>
      </c>
      <c r="B46" s="4" t="s">
        <v>459</v>
      </c>
      <c r="C46" s="4" t="s">
        <v>460</v>
      </c>
      <c r="D46" s="4" t="s">
        <v>97</v>
      </c>
      <c r="E46" s="5">
        <v>121452</v>
      </c>
      <c r="F46" s="6">
        <v>80.583402000000007</v>
      </c>
      <c r="G46" s="7">
        <v>9.9291080000000007E-3</v>
      </c>
      <c r="H46" s="51"/>
    </row>
    <row r="47" spans="1:8" ht="17.100000000000001" customHeight="1" x14ac:dyDescent="0.2">
      <c r="A47" s="3">
        <v>41</v>
      </c>
      <c r="B47" s="4" t="s">
        <v>450</v>
      </c>
      <c r="C47" s="4" t="s">
        <v>451</v>
      </c>
      <c r="D47" s="4" t="s">
        <v>104</v>
      </c>
      <c r="E47" s="5">
        <v>26481</v>
      </c>
      <c r="F47" s="6">
        <v>79.442999999999998</v>
      </c>
      <c r="G47" s="7">
        <v>9.7885929999999999E-3</v>
      </c>
      <c r="H47" s="51"/>
    </row>
    <row r="48" spans="1:8" ht="29.1" customHeight="1" x14ac:dyDescent="0.2">
      <c r="A48" s="3">
        <v>42</v>
      </c>
      <c r="B48" s="4" t="s">
        <v>429</v>
      </c>
      <c r="C48" s="4" t="s">
        <v>430</v>
      </c>
      <c r="D48" s="4" t="s">
        <v>431</v>
      </c>
      <c r="E48" s="5">
        <v>59314</v>
      </c>
      <c r="F48" s="6">
        <v>78.857962999999998</v>
      </c>
      <c r="G48" s="7">
        <v>9.7165080000000004E-3</v>
      </c>
      <c r="H48" s="51"/>
    </row>
    <row r="49" spans="1:8" ht="17.100000000000001" customHeight="1" x14ac:dyDescent="0.2">
      <c r="A49" s="3">
        <v>43</v>
      </c>
      <c r="B49" s="4" t="s">
        <v>37</v>
      </c>
      <c r="C49" s="4" t="s">
        <v>38</v>
      </c>
      <c r="D49" s="4" t="s">
        <v>31</v>
      </c>
      <c r="E49" s="5">
        <v>2150</v>
      </c>
      <c r="F49" s="6">
        <v>78.561000000000007</v>
      </c>
      <c r="G49" s="7">
        <v>9.6799169999999997E-3</v>
      </c>
      <c r="H49" s="51"/>
    </row>
    <row r="50" spans="1:8" ht="53.1" customHeight="1" x14ac:dyDescent="0.2">
      <c r="A50" s="3">
        <v>44</v>
      </c>
      <c r="B50" s="4" t="s">
        <v>335</v>
      </c>
      <c r="C50" s="4" t="s">
        <v>863</v>
      </c>
      <c r="D50" s="4" t="s">
        <v>45</v>
      </c>
      <c r="E50" s="5">
        <v>28232</v>
      </c>
      <c r="F50" s="6">
        <v>77.680347999999995</v>
      </c>
      <c r="G50" s="7">
        <v>9.5714070000000005E-3</v>
      </c>
      <c r="H50" s="51"/>
    </row>
    <row r="51" spans="1:8" ht="17.100000000000001" customHeight="1" x14ac:dyDescent="0.2">
      <c r="A51" s="3">
        <v>45</v>
      </c>
      <c r="B51" s="4" t="s">
        <v>440</v>
      </c>
      <c r="C51" s="4" t="s">
        <v>441</v>
      </c>
      <c r="D51" s="4" t="s">
        <v>51</v>
      </c>
      <c r="E51" s="5">
        <v>10066</v>
      </c>
      <c r="F51" s="6">
        <v>77.170989000000006</v>
      </c>
      <c r="G51" s="7">
        <v>9.5086470000000003E-3</v>
      </c>
      <c r="H51" s="51"/>
    </row>
    <row r="52" spans="1:8" ht="17.100000000000001" customHeight="1" x14ac:dyDescent="0.2">
      <c r="A52" s="3">
        <v>46</v>
      </c>
      <c r="B52" s="4" t="s">
        <v>329</v>
      </c>
      <c r="C52" s="4" t="s">
        <v>330</v>
      </c>
      <c r="D52" s="4" t="s">
        <v>36</v>
      </c>
      <c r="E52" s="5">
        <v>31981</v>
      </c>
      <c r="F52" s="6">
        <v>75.379216999999997</v>
      </c>
      <c r="G52" s="7">
        <v>9.2878730000000003E-3</v>
      </c>
      <c r="H52" s="51"/>
    </row>
    <row r="53" spans="1:8" ht="29.1" customHeight="1" x14ac:dyDescent="0.2">
      <c r="A53" s="3">
        <v>47</v>
      </c>
      <c r="B53" s="4" t="s">
        <v>419</v>
      </c>
      <c r="C53" s="4" t="s">
        <v>420</v>
      </c>
      <c r="D53" s="4" t="s">
        <v>203</v>
      </c>
      <c r="E53" s="5">
        <v>3920</v>
      </c>
      <c r="F53" s="6">
        <v>75.256159999999994</v>
      </c>
      <c r="G53" s="7">
        <v>9.27271E-3</v>
      </c>
      <c r="H53" s="51"/>
    </row>
    <row r="54" spans="1:8" ht="17.100000000000001" customHeight="1" x14ac:dyDescent="0.2">
      <c r="A54" s="3">
        <v>48</v>
      </c>
      <c r="B54" s="4" t="s">
        <v>421</v>
      </c>
      <c r="C54" s="4" t="s">
        <v>422</v>
      </c>
      <c r="D54" s="4" t="s">
        <v>104</v>
      </c>
      <c r="E54" s="5">
        <v>6623</v>
      </c>
      <c r="F54" s="6">
        <v>72.896049500000004</v>
      </c>
      <c r="G54" s="7">
        <v>8.9819089999999997E-3</v>
      </c>
      <c r="H54" s="51"/>
    </row>
    <row r="55" spans="1:8" ht="17.100000000000001" customHeight="1" x14ac:dyDescent="0.2">
      <c r="A55" s="3">
        <v>49</v>
      </c>
      <c r="B55" s="4" t="s">
        <v>427</v>
      </c>
      <c r="C55" s="4" t="s">
        <v>428</v>
      </c>
      <c r="D55" s="4" t="s">
        <v>97</v>
      </c>
      <c r="E55" s="5">
        <v>7194</v>
      </c>
      <c r="F55" s="6">
        <v>71.515553999999995</v>
      </c>
      <c r="G55" s="7">
        <v>8.8118099999999998E-3</v>
      </c>
      <c r="H55" s="51"/>
    </row>
    <row r="56" spans="1:8" ht="29.1" customHeight="1" x14ac:dyDescent="0.2">
      <c r="A56" s="3">
        <v>50</v>
      </c>
      <c r="B56" s="4" t="s">
        <v>423</v>
      </c>
      <c r="C56" s="4" t="s">
        <v>424</v>
      </c>
      <c r="D56" s="4" t="s">
        <v>318</v>
      </c>
      <c r="E56" s="5">
        <v>16994</v>
      </c>
      <c r="F56" s="6">
        <v>70.771512999999999</v>
      </c>
      <c r="G56" s="7">
        <v>8.7201329999999997E-3</v>
      </c>
      <c r="H56" s="51"/>
    </row>
    <row r="57" spans="1:8" ht="17.100000000000001" customHeight="1" x14ac:dyDescent="0.2">
      <c r="A57" s="3">
        <v>51</v>
      </c>
      <c r="B57" s="4" t="s">
        <v>425</v>
      </c>
      <c r="C57" s="4" t="s">
        <v>426</v>
      </c>
      <c r="D57" s="4" t="s">
        <v>13</v>
      </c>
      <c r="E57" s="5">
        <v>88984</v>
      </c>
      <c r="F57" s="6">
        <v>69.585487999999998</v>
      </c>
      <c r="G57" s="7">
        <v>8.5739969999999999E-3</v>
      </c>
      <c r="H57" s="51"/>
    </row>
    <row r="58" spans="1:8" ht="17.100000000000001" customHeight="1" x14ac:dyDescent="0.2">
      <c r="A58" s="3">
        <v>52</v>
      </c>
      <c r="B58" s="4" t="s">
        <v>461</v>
      </c>
      <c r="C58" s="4" t="s">
        <v>462</v>
      </c>
      <c r="D58" s="4" t="s">
        <v>260</v>
      </c>
      <c r="E58" s="5">
        <v>20765</v>
      </c>
      <c r="F58" s="6">
        <v>69.583515000000006</v>
      </c>
      <c r="G58" s="7">
        <v>8.5737539999999994E-3</v>
      </c>
      <c r="H58" s="51"/>
    </row>
    <row r="59" spans="1:8" ht="17.100000000000001" customHeight="1" x14ac:dyDescent="0.2">
      <c r="A59" s="3">
        <v>53</v>
      </c>
      <c r="B59" s="4" t="s">
        <v>411</v>
      </c>
      <c r="C59" s="4" t="s">
        <v>412</v>
      </c>
      <c r="D59" s="4" t="s">
        <v>13</v>
      </c>
      <c r="E59" s="5">
        <v>15004</v>
      </c>
      <c r="F59" s="6">
        <v>63.226855999999998</v>
      </c>
      <c r="G59" s="7">
        <v>7.7905159999999999E-3</v>
      </c>
      <c r="H59" s="51"/>
    </row>
    <row r="60" spans="1:8" ht="17.100000000000001" customHeight="1" x14ac:dyDescent="0.2">
      <c r="A60" s="3">
        <v>54</v>
      </c>
      <c r="B60" s="4" t="s">
        <v>432</v>
      </c>
      <c r="C60" s="4" t="s">
        <v>433</v>
      </c>
      <c r="D60" s="4" t="s">
        <v>192</v>
      </c>
      <c r="E60" s="5">
        <v>7374</v>
      </c>
      <c r="F60" s="6">
        <v>62.660564999999998</v>
      </c>
      <c r="G60" s="7">
        <v>7.7207400000000002E-3</v>
      </c>
      <c r="H60" s="51"/>
    </row>
    <row r="61" spans="1:8" ht="17.100000000000001" customHeight="1" x14ac:dyDescent="0.2">
      <c r="A61" s="3">
        <v>55</v>
      </c>
      <c r="B61" s="4" t="s">
        <v>90</v>
      </c>
      <c r="C61" s="4" t="s">
        <v>91</v>
      </c>
      <c r="D61" s="4" t="s">
        <v>92</v>
      </c>
      <c r="E61" s="5">
        <v>10971</v>
      </c>
      <c r="F61" s="6">
        <v>55.809477000000001</v>
      </c>
      <c r="G61" s="7">
        <v>6.8765809999999997E-3</v>
      </c>
      <c r="H61" s="51"/>
    </row>
    <row r="62" spans="1:8" ht="29.1" customHeight="1" x14ac:dyDescent="0.2">
      <c r="A62" s="3">
        <v>56</v>
      </c>
      <c r="B62" s="4" t="s">
        <v>438</v>
      </c>
      <c r="C62" s="4" t="s">
        <v>439</v>
      </c>
      <c r="D62" s="4" t="s">
        <v>104</v>
      </c>
      <c r="E62" s="5">
        <v>3957</v>
      </c>
      <c r="F62" s="6">
        <v>54.990428999999999</v>
      </c>
      <c r="G62" s="7">
        <v>6.775662E-3</v>
      </c>
      <c r="H62" s="51"/>
    </row>
    <row r="63" spans="1:8" ht="17.100000000000001" customHeight="1" x14ac:dyDescent="0.2">
      <c r="A63" s="3">
        <v>57</v>
      </c>
      <c r="B63" s="4" t="s">
        <v>436</v>
      </c>
      <c r="C63" s="4" t="s">
        <v>437</v>
      </c>
      <c r="D63" s="4" t="s">
        <v>72</v>
      </c>
      <c r="E63" s="5">
        <v>8175</v>
      </c>
      <c r="F63" s="6">
        <v>52.1278875</v>
      </c>
      <c r="G63" s="7">
        <v>6.4229530000000003E-3</v>
      </c>
      <c r="H63" s="51"/>
    </row>
    <row r="64" spans="1:8" ht="17.100000000000001" customHeight="1" x14ac:dyDescent="0.2">
      <c r="A64" s="3">
        <v>58</v>
      </c>
      <c r="B64" s="4" t="s">
        <v>454</v>
      </c>
      <c r="C64" s="4" t="s">
        <v>455</v>
      </c>
      <c r="D64" s="4" t="s">
        <v>16</v>
      </c>
      <c r="E64" s="5">
        <v>20028</v>
      </c>
      <c r="F64" s="6">
        <v>44.592342000000002</v>
      </c>
      <c r="G64" s="7">
        <v>5.4944590000000001E-3</v>
      </c>
      <c r="H64" s="51"/>
    </row>
    <row r="65" spans="1:8" ht="17.100000000000001" customHeight="1" x14ac:dyDescent="0.2">
      <c r="A65" s="3">
        <v>59</v>
      </c>
      <c r="B65" s="4" t="s">
        <v>442</v>
      </c>
      <c r="C65" s="4" t="s">
        <v>443</v>
      </c>
      <c r="D65" s="4" t="s">
        <v>232</v>
      </c>
      <c r="E65" s="5">
        <v>5369</v>
      </c>
      <c r="F65" s="6">
        <v>38.850084000000003</v>
      </c>
      <c r="G65" s="7">
        <v>4.786925E-3</v>
      </c>
      <c r="H65" s="51"/>
    </row>
    <row r="66" spans="1:8" ht="17.100000000000001" customHeight="1" x14ac:dyDescent="0.2">
      <c r="A66" s="3">
        <v>60</v>
      </c>
      <c r="B66" s="4" t="s">
        <v>444</v>
      </c>
      <c r="C66" s="4" t="s">
        <v>445</v>
      </c>
      <c r="D66" s="4" t="s">
        <v>31</v>
      </c>
      <c r="E66" s="5">
        <v>4345</v>
      </c>
      <c r="F66" s="6">
        <v>34.696997500000002</v>
      </c>
      <c r="G66" s="7">
        <v>4.2752010000000002E-3</v>
      </c>
      <c r="H66" s="51"/>
    </row>
    <row r="67" spans="1:8" ht="29.1" customHeight="1" x14ac:dyDescent="0.2">
      <c r="A67" s="3">
        <v>61</v>
      </c>
      <c r="B67" s="4" t="s">
        <v>446</v>
      </c>
      <c r="C67" s="4" t="s">
        <v>447</v>
      </c>
      <c r="D67" s="4" t="s">
        <v>203</v>
      </c>
      <c r="E67" s="5">
        <v>792</v>
      </c>
      <c r="F67" s="6">
        <v>32.527043999999997</v>
      </c>
      <c r="G67" s="7">
        <v>4.0078290000000001E-3</v>
      </c>
      <c r="H67" s="51"/>
    </row>
    <row r="68" spans="1:8" ht="17.100000000000001" customHeight="1" x14ac:dyDescent="0.2">
      <c r="A68" s="3">
        <v>62</v>
      </c>
      <c r="B68" s="4" t="s">
        <v>340</v>
      </c>
      <c r="C68" s="4" t="s">
        <v>341</v>
      </c>
      <c r="D68" s="4" t="s">
        <v>92</v>
      </c>
      <c r="E68" s="5">
        <v>41500</v>
      </c>
      <c r="F68" s="6">
        <v>30.959</v>
      </c>
      <c r="G68" s="7">
        <v>3.8146220000000002E-3</v>
      </c>
      <c r="H68" s="51"/>
    </row>
    <row r="69" spans="1:8" ht="29.1" customHeight="1" x14ac:dyDescent="0.2">
      <c r="A69" s="3">
        <v>63</v>
      </c>
      <c r="B69" s="4" t="s">
        <v>448</v>
      </c>
      <c r="C69" s="4" t="s">
        <v>449</v>
      </c>
      <c r="D69" s="4" t="s">
        <v>203</v>
      </c>
      <c r="E69" s="5">
        <v>12902</v>
      </c>
      <c r="F69" s="6">
        <v>30.210032999999999</v>
      </c>
      <c r="G69" s="7">
        <v>3.7223379999999999E-3</v>
      </c>
      <c r="H69" s="51"/>
    </row>
    <row r="70" spans="1:8" ht="29.1" customHeight="1" x14ac:dyDescent="0.2">
      <c r="A70" s="3">
        <v>64</v>
      </c>
      <c r="B70" s="4" t="s">
        <v>327</v>
      </c>
      <c r="C70" s="4" t="s">
        <v>328</v>
      </c>
      <c r="D70" s="4" t="s">
        <v>184</v>
      </c>
      <c r="E70" s="5">
        <v>6070</v>
      </c>
      <c r="F70" s="6">
        <v>25.445440000000001</v>
      </c>
      <c r="G70" s="7">
        <v>3.1352680000000001E-3</v>
      </c>
      <c r="H70" s="51"/>
    </row>
    <row r="71" spans="1:8" ht="29.1" customHeight="1" x14ac:dyDescent="0.2">
      <c r="A71" s="3">
        <v>65</v>
      </c>
      <c r="B71" s="4" t="s">
        <v>452</v>
      </c>
      <c r="C71" s="4" t="s">
        <v>453</v>
      </c>
      <c r="D71" s="4" t="s">
        <v>60</v>
      </c>
      <c r="E71" s="5">
        <v>3799</v>
      </c>
      <c r="F71" s="6">
        <v>14.155074000000001</v>
      </c>
      <c r="G71" s="7">
        <v>1.7441220000000001E-3</v>
      </c>
      <c r="H71" s="51"/>
    </row>
    <row r="72" spans="1:8" ht="29.1" customHeight="1" x14ac:dyDescent="0.2">
      <c r="A72" s="3">
        <v>66</v>
      </c>
      <c r="B72" s="4" t="s">
        <v>463</v>
      </c>
      <c r="C72" s="4" t="s">
        <v>464</v>
      </c>
      <c r="D72" s="4" t="s">
        <v>184</v>
      </c>
      <c r="E72" s="5">
        <v>1852</v>
      </c>
      <c r="F72" s="6">
        <v>13.702021999999999</v>
      </c>
      <c r="G72" s="7">
        <v>1.6882990000000001E-3</v>
      </c>
      <c r="H72" s="51"/>
    </row>
    <row r="73" spans="1:8" ht="14.1" customHeight="1" x14ac:dyDescent="0.2">
      <c r="A73" s="1"/>
      <c r="B73" s="1"/>
      <c r="C73" s="2" t="s">
        <v>129</v>
      </c>
      <c r="D73" s="1"/>
      <c r="E73" s="1" t="s">
        <v>130</v>
      </c>
      <c r="F73" s="9">
        <v>7263.6354515000003</v>
      </c>
      <c r="G73" s="10">
        <v>0.894991015</v>
      </c>
      <c r="H73" s="51"/>
    </row>
    <row r="74" spans="1:8" ht="14.1" customHeight="1" x14ac:dyDescent="0.2">
      <c r="A74" s="1"/>
      <c r="B74" s="1"/>
      <c r="C74" s="11"/>
      <c r="D74" s="1"/>
      <c r="E74" s="1"/>
      <c r="F74" s="12"/>
      <c r="G74" s="12"/>
      <c r="H74" s="51"/>
    </row>
    <row r="75" spans="1:8" ht="14.1" customHeight="1" x14ac:dyDescent="0.2">
      <c r="A75" s="1"/>
      <c r="B75" s="1"/>
      <c r="C75" s="2" t="s">
        <v>131</v>
      </c>
      <c r="D75" s="1"/>
      <c r="E75" s="1"/>
      <c r="F75" s="1"/>
      <c r="G75" s="1"/>
      <c r="H75" s="51"/>
    </row>
    <row r="76" spans="1:8" ht="14.1" customHeight="1" x14ac:dyDescent="0.2">
      <c r="A76" s="1"/>
      <c r="B76" s="1"/>
      <c r="C76" s="2" t="s">
        <v>129</v>
      </c>
      <c r="D76" s="1"/>
      <c r="E76" s="1" t="s">
        <v>130</v>
      </c>
      <c r="F76" s="13">
        <v>0</v>
      </c>
      <c r="G76" s="14">
        <v>0</v>
      </c>
      <c r="H76" s="51"/>
    </row>
    <row r="77" spans="1:8" ht="14.1" customHeight="1" x14ac:dyDescent="0.2">
      <c r="A77" s="1"/>
      <c r="B77" s="1"/>
      <c r="C77" s="11"/>
      <c r="D77" s="1"/>
      <c r="E77" s="1"/>
      <c r="F77" s="12"/>
      <c r="G77" s="12"/>
      <c r="H77" s="51"/>
    </row>
    <row r="78" spans="1:8" ht="14.1" customHeight="1" x14ac:dyDescent="0.2">
      <c r="A78" s="1"/>
      <c r="B78" s="1"/>
      <c r="C78" s="2" t="s">
        <v>132</v>
      </c>
      <c r="D78" s="1"/>
      <c r="E78" s="1"/>
      <c r="F78" s="1"/>
      <c r="G78" s="1"/>
      <c r="H78" s="51"/>
    </row>
    <row r="79" spans="1:8" ht="14.1" customHeight="1" x14ac:dyDescent="0.2">
      <c r="A79" s="1"/>
      <c r="B79" s="1"/>
      <c r="C79" s="2" t="s">
        <v>129</v>
      </c>
      <c r="D79" s="1"/>
      <c r="E79" s="1" t="s">
        <v>130</v>
      </c>
      <c r="F79" s="13">
        <v>0</v>
      </c>
      <c r="G79" s="14">
        <v>0</v>
      </c>
      <c r="H79" s="51"/>
    </row>
    <row r="80" spans="1:8" ht="14.1" customHeight="1" x14ac:dyDescent="0.2">
      <c r="A80" s="1"/>
      <c r="B80" s="1"/>
      <c r="C80" s="11"/>
      <c r="D80" s="1"/>
      <c r="E80" s="1"/>
      <c r="F80" s="12"/>
      <c r="G80" s="12"/>
      <c r="H80" s="51"/>
    </row>
    <row r="81" spans="1:8" ht="14.1" customHeight="1" x14ac:dyDescent="0.2">
      <c r="A81" s="1"/>
      <c r="B81" s="1"/>
      <c r="C81" s="2" t="s">
        <v>133</v>
      </c>
      <c r="D81" s="1"/>
      <c r="E81" s="1"/>
      <c r="F81" s="1"/>
      <c r="G81" s="1"/>
      <c r="H81" s="51"/>
    </row>
    <row r="82" spans="1:8" ht="14.1" customHeight="1" x14ac:dyDescent="0.2">
      <c r="A82" s="1"/>
      <c r="B82" s="1"/>
      <c r="C82" s="2" t="s">
        <v>129</v>
      </c>
      <c r="D82" s="1"/>
      <c r="E82" s="1" t="s">
        <v>130</v>
      </c>
      <c r="F82" s="13">
        <v>0</v>
      </c>
      <c r="G82" s="14">
        <v>0</v>
      </c>
      <c r="H82" s="51"/>
    </row>
    <row r="83" spans="1:8" ht="14.1" customHeight="1" x14ac:dyDescent="0.2">
      <c r="A83" s="1"/>
      <c r="B83" s="1"/>
      <c r="C83" s="11"/>
      <c r="D83" s="1"/>
      <c r="E83" s="1"/>
      <c r="F83" s="12"/>
      <c r="G83" s="12"/>
      <c r="H83" s="51"/>
    </row>
    <row r="84" spans="1:8" ht="14.1" customHeight="1" x14ac:dyDescent="0.2">
      <c r="A84" s="1"/>
      <c r="B84" s="1"/>
      <c r="C84" s="2" t="s">
        <v>134</v>
      </c>
      <c r="D84" s="1"/>
      <c r="E84" s="1"/>
      <c r="F84" s="12"/>
      <c r="G84" s="12"/>
      <c r="H84" s="51"/>
    </row>
    <row r="85" spans="1:8" ht="14.1" customHeight="1" x14ac:dyDescent="0.2">
      <c r="A85" s="1"/>
      <c r="B85" s="1"/>
      <c r="C85" s="2" t="s">
        <v>129</v>
      </c>
      <c r="D85" s="1"/>
      <c r="E85" s="1" t="s">
        <v>130</v>
      </c>
      <c r="F85" s="13">
        <v>0</v>
      </c>
      <c r="G85" s="14">
        <v>0</v>
      </c>
      <c r="H85" s="51"/>
    </row>
    <row r="86" spans="1:8" ht="14.1" customHeight="1" x14ac:dyDescent="0.2">
      <c r="A86" s="1"/>
      <c r="B86" s="1"/>
      <c r="C86" s="11"/>
      <c r="D86" s="1"/>
      <c r="E86" s="1"/>
      <c r="F86" s="12"/>
      <c r="G86" s="12"/>
      <c r="H86" s="51"/>
    </row>
    <row r="87" spans="1:8" ht="14.1" customHeight="1" x14ac:dyDescent="0.2">
      <c r="A87" s="1"/>
      <c r="B87" s="1"/>
      <c r="C87" s="2" t="s">
        <v>135</v>
      </c>
      <c r="D87" s="1"/>
      <c r="E87" s="1"/>
      <c r="F87" s="12"/>
      <c r="G87" s="12"/>
      <c r="H87" s="51"/>
    </row>
    <row r="88" spans="1:8" ht="14.1" customHeight="1" x14ac:dyDescent="0.2">
      <c r="A88" s="1"/>
      <c r="B88" s="1"/>
      <c r="C88" s="2" t="s">
        <v>129</v>
      </c>
      <c r="D88" s="1"/>
      <c r="E88" s="1" t="s">
        <v>130</v>
      </c>
      <c r="F88" s="13">
        <v>0</v>
      </c>
      <c r="G88" s="14">
        <v>0</v>
      </c>
      <c r="H88" s="51"/>
    </row>
    <row r="89" spans="1:8" ht="14.1" customHeight="1" x14ac:dyDescent="0.2">
      <c r="A89" s="1"/>
      <c r="B89" s="1"/>
      <c r="C89" s="11"/>
      <c r="D89" s="1"/>
      <c r="E89" s="1"/>
      <c r="F89" s="12"/>
      <c r="G89" s="12"/>
      <c r="H89" s="51"/>
    </row>
    <row r="90" spans="1:8" ht="18" customHeight="1" x14ac:dyDescent="0.2">
      <c r="A90" s="1"/>
      <c r="B90" s="1"/>
      <c r="C90" s="2" t="s">
        <v>136</v>
      </c>
      <c r="D90" s="1"/>
      <c r="E90" s="1"/>
      <c r="F90" s="9">
        <v>7263.6354515000003</v>
      </c>
      <c r="G90" s="10">
        <v>0.894991015</v>
      </c>
      <c r="H90" s="51"/>
    </row>
    <row r="91" spans="1:8" ht="14.1" customHeight="1" x14ac:dyDescent="0.2">
      <c r="A91" s="1"/>
      <c r="B91" s="1"/>
      <c r="C91" s="11"/>
      <c r="D91" s="1"/>
      <c r="E91" s="1"/>
      <c r="F91" s="12"/>
      <c r="G91" s="12"/>
      <c r="H91" s="51"/>
    </row>
    <row r="92" spans="1:8" ht="14.1" customHeight="1" x14ac:dyDescent="0.2">
      <c r="A92" s="1"/>
      <c r="B92" s="1"/>
      <c r="C92" s="2" t="s">
        <v>137</v>
      </c>
      <c r="D92" s="1"/>
      <c r="E92" s="1"/>
      <c r="F92" s="12"/>
      <c r="G92" s="12"/>
      <c r="H92" s="51"/>
    </row>
    <row r="93" spans="1:8" ht="24" customHeight="1" x14ac:dyDescent="0.2">
      <c r="A93" s="1"/>
      <c r="B93" s="1"/>
      <c r="C93" s="2" t="s">
        <v>10</v>
      </c>
      <c r="D93" s="1"/>
      <c r="E93" s="1"/>
      <c r="F93" s="12"/>
      <c r="G93" s="12"/>
      <c r="H93" s="51"/>
    </row>
    <row r="94" spans="1:8" ht="14.1" customHeight="1" x14ac:dyDescent="0.2">
      <c r="A94" s="1"/>
      <c r="B94" s="1"/>
      <c r="C94" s="2" t="s">
        <v>129</v>
      </c>
      <c r="D94" s="1"/>
      <c r="E94" s="1" t="s">
        <v>130</v>
      </c>
      <c r="F94" s="13">
        <v>0</v>
      </c>
      <c r="G94" s="14">
        <v>0</v>
      </c>
      <c r="H94" s="51"/>
    </row>
    <row r="95" spans="1:8" ht="14.1" customHeight="1" x14ac:dyDescent="0.2">
      <c r="A95" s="1"/>
      <c r="B95" s="1"/>
      <c r="C95" s="11"/>
      <c r="D95" s="1"/>
      <c r="E95" s="1"/>
      <c r="F95" s="12"/>
      <c r="G95" s="12"/>
      <c r="H95" s="51"/>
    </row>
    <row r="96" spans="1:8" ht="14.1" customHeight="1" x14ac:dyDescent="0.2">
      <c r="A96" s="1"/>
      <c r="B96" s="1"/>
      <c r="C96" s="2" t="s">
        <v>138</v>
      </c>
      <c r="D96" s="1"/>
      <c r="E96" s="1"/>
      <c r="F96" s="1"/>
      <c r="G96" s="1"/>
      <c r="H96" s="51"/>
    </row>
    <row r="97" spans="1:8" ht="14.1" customHeight="1" x14ac:dyDescent="0.2">
      <c r="A97" s="1"/>
      <c r="B97" s="1"/>
      <c r="C97" s="2" t="s">
        <v>129</v>
      </c>
      <c r="D97" s="1"/>
      <c r="E97" s="1" t="s">
        <v>130</v>
      </c>
      <c r="F97" s="13">
        <v>0</v>
      </c>
      <c r="G97" s="14">
        <v>0</v>
      </c>
      <c r="H97" s="51"/>
    </row>
    <row r="98" spans="1:8" ht="14.1" customHeight="1" x14ac:dyDescent="0.2">
      <c r="A98" s="1"/>
      <c r="B98" s="1"/>
      <c r="C98" s="11"/>
      <c r="D98" s="1"/>
      <c r="E98" s="1"/>
      <c r="F98" s="12"/>
      <c r="G98" s="12"/>
      <c r="H98" s="51"/>
    </row>
    <row r="99" spans="1:8" ht="14.1" customHeight="1" x14ac:dyDescent="0.2">
      <c r="A99" s="1"/>
      <c r="B99" s="1"/>
      <c r="C99" s="2" t="s">
        <v>139</v>
      </c>
      <c r="D99" s="1"/>
      <c r="E99" s="1"/>
      <c r="F99" s="1"/>
      <c r="G99" s="1"/>
      <c r="H99" s="51"/>
    </row>
    <row r="100" spans="1:8" ht="14.1" customHeight="1" x14ac:dyDescent="0.2">
      <c r="A100" s="1"/>
      <c r="B100" s="1"/>
      <c r="C100" s="2" t="s">
        <v>129</v>
      </c>
      <c r="D100" s="1"/>
      <c r="E100" s="1" t="s">
        <v>130</v>
      </c>
      <c r="F100" s="13">
        <v>0</v>
      </c>
      <c r="G100" s="14">
        <v>0</v>
      </c>
      <c r="H100" s="51"/>
    </row>
    <row r="101" spans="1:8" ht="14.1" customHeight="1" x14ac:dyDescent="0.2">
      <c r="A101" s="1"/>
      <c r="B101" s="1"/>
      <c r="C101" s="11"/>
      <c r="D101" s="1"/>
      <c r="E101" s="1"/>
      <c r="F101" s="12"/>
      <c r="G101" s="12"/>
      <c r="H101" s="51"/>
    </row>
    <row r="102" spans="1:8" ht="14.1" customHeight="1" x14ac:dyDescent="0.2">
      <c r="A102" s="1"/>
      <c r="B102" s="1"/>
      <c r="C102" s="2" t="s">
        <v>140</v>
      </c>
      <c r="D102" s="1"/>
      <c r="E102" s="1"/>
      <c r="F102" s="12"/>
      <c r="G102" s="12"/>
      <c r="H102" s="51"/>
    </row>
    <row r="103" spans="1:8" ht="14.1" customHeight="1" x14ac:dyDescent="0.2">
      <c r="A103" s="1"/>
      <c r="B103" s="1"/>
      <c r="C103" s="2" t="s">
        <v>129</v>
      </c>
      <c r="D103" s="1"/>
      <c r="E103" s="1" t="s">
        <v>130</v>
      </c>
      <c r="F103" s="13">
        <v>0</v>
      </c>
      <c r="G103" s="14">
        <v>0</v>
      </c>
      <c r="H103" s="51"/>
    </row>
    <row r="104" spans="1:8" ht="14.1" customHeight="1" x14ac:dyDescent="0.2">
      <c r="A104" s="1"/>
      <c r="B104" s="1"/>
      <c r="C104" s="11"/>
      <c r="D104" s="1"/>
      <c r="E104" s="1"/>
      <c r="F104" s="12"/>
      <c r="G104" s="12"/>
      <c r="H104" s="51"/>
    </row>
    <row r="105" spans="1:8" ht="14.1" customHeight="1" x14ac:dyDescent="0.2">
      <c r="A105" s="1"/>
      <c r="B105" s="1"/>
      <c r="C105" s="2" t="s">
        <v>141</v>
      </c>
      <c r="D105" s="1"/>
      <c r="E105" s="1"/>
      <c r="F105" s="9">
        <v>0</v>
      </c>
      <c r="G105" s="10">
        <v>0</v>
      </c>
      <c r="H105" s="51"/>
    </row>
    <row r="106" spans="1:8" ht="14.1" customHeight="1" x14ac:dyDescent="0.2">
      <c r="A106" s="1"/>
      <c r="B106" s="1"/>
      <c r="C106" s="11"/>
      <c r="D106" s="1"/>
      <c r="E106" s="1"/>
      <c r="F106" s="12"/>
      <c r="G106" s="12"/>
      <c r="H106" s="51"/>
    </row>
    <row r="107" spans="1:8" ht="14.1" customHeight="1" x14ac:dyDescent="0.2">
      <c r="A107" s="1"/>
      <c r="B107" s="1"/>
      <c r="C107" s="2" t="s">
        <v>142</v>
      </c>
      <c r="D107" s="1"/>
      <c r="E107" s="1"/>
      <c r="F107" s="12"/>
      <c r="G107" s="12"/>
      <c r="H107" s="51"/>
    </row>
    <row r="108" spans="1:8" ht="14.1" customHeight="1" x14ac:dyDescent="0.2">
      <c r="A108" s="1"/>
      <c r="B108" s="1"/>
      <c r="C108" s="2" t="s">
        <v>143</v>
      </c>
      <c r="D108" s="1"/>
      <c r="E108" s="1"/>
      <c r="F108" s="12"/>
      <c r="G108" s="12"/>
      <c r="H108" s="51"/>
    </row>
    <row r="109" spans="1:8" ht="14.1" customHeight="1" x14ac:dyDescent="0.2">
      <c r="A109" s="1"/>
      <c r="B109" s="1"/>
      <c r="C109" s="2" t="s">
        <v>129</v>
      </c>
      <c r="D109" s="1"/>
      <c r="E109" s="1" t="s">
        <v>130</v>
      </c>
      <c r="F109" s="13">
        <v>0</v>
      </c>
      <c r="G109" s="14">
        <v>0</v>
      </c>
      <c r="H109" s="51"/>
    </row>
    <row r="110" spans="1:8" ht="14.1" customHeight="1" x14ac:dyDescent="0.2">
      <c r="A110" s="1"/>
      <c r="B110" s="1"/>
      <c r="C110" s="11"/>
      <c r="D110" s="1"/>
      <c r="E110" s="1"/>
      <c r="F110" s="12"/>
      <c r="G110" s="12"/>
      <c r="H110" s="51"/>
    </row>
    <row r="111" spans="1:8" ht="14.1" customHeight="1" x14ac:dyDescent="0.2">
      <c r="A111" s="1"/>
      <c r="B111" s="1"/>
      <c r="C111" s="2" t="s">
        <v>144</v>
      </c>
      <c r="D111" s="1"/>
      <c r="E111" s="1"/>
      <c r="F111" s="12"/>
      <c r="G111" s="12"/>
      <c r="H111" s="51"/>
    </row>
    <row r="112" spans="1:8" ht="14.1" customHeight="1" x14ac:dyDescent="0.2">
      <c r="A112" s="1"/>
      <c r="B112" s="1"/>
      <c r="C112" s="2" t="s">
        <v>129</v>
      </c>
      <c r="D112" s="1"/>
      <c r="E112" s="1" t="s">
        <v>130</v>
      </c>
      <c r="F112" s="13">
        <v>0</v>
      </c>
      <c r="G112" s="14">
        <v>0</v>
      </c>
      <c r="H112" s="51"/>
    </row>
    <row r="113" spans="1:8" ht="14.1" customHeight="1" x14ac:dyDescent="0.2">
      <c r="A113" s="1"/>
      <c r="B113" s="1"/>
      <c r="C113" s="11"/>
      <c r="D113" s="1"/>
      <c r="E113" s="1"/>
      <c r="F113" s="12"/>
      <c r="G113" s="12"/>
      <c r="H113" s="51"/>
    </row>
    <row r="114" spans="1:8" ht="14.1" customHeight="1" x14ac:dyDescent="0.2">
      <c r="A114" s="1"/>
      <c r="B114" s="1"/>
      <c r="C114" s="2" t="s">
        <v>145</v>
      </c>
      <c r="D114" s="1"/>
      <c r="E114" s="1"/>
      <c r="F114" s="12"/>
      <c r="G114" s="12"/>
      <c r="H114" s="51"/>
    </row>
    <row r="115" spans="1:8" ht="14.1" customHeight="1" x14ac:dyDescent="0.2">
      <c r="A115" s="1"/>
      <c r="B115" s="1"/>
      <c r="C115" s="2" t="s">
        <v>129</v>
      </c>
      <c r="D115" s="1"/>
      <c r="E115" s="1" t="s">
        <v>130</v>
      </c>
      <c r="F115" s="13">
        <v>0</v>
      </c>
      <c r="G115" s="14">
        <v>0</v>
      </c>
      <c r="H115" s="51"/>
    </row>
    <row r="116" spans="1:8" ht="14.1" customHeight="1" x14ac:dyDescent="0.2">
      <c r="A116" s="1"/>
      <c r="B116" s="1"/>
      <c r="C116" s="11"/>
      <c r="D116" s="1"/>
      <c r="E116" s="1"/>
      <c r="F116" s="12"/>
      <c r="G116" s="12"/>
      <c r="H116" s="51"/>
    </row>
    <row r="117" spans="1:8" ht="14.1" customHeight="1" x14ac:dyDescent="0.2">
      <c r="A117" s="1"/>
      <c r="B117" s="1"/>
      <c r="C117" s="2" t="s">
        <v>146</v>
      </c>
      <c r="D117" s="1"/>
      <c r="E117" s="1"/>
      <c r="F117" s="12"/>
      <c r="G117" s="12"/>
      <c r="H117" s="51"/>
    </row>
    <row r="118" spans="1:8" ht="17.100000000000001" customHeight="1" x14ac:dyDescent="0.2">
      <c r="A118" s="3">
        <v>1</v>
      </c>
      <c r="B118" s="4"/>
      <c r="C118" s="4" t="s">
        <v>147</v>
      </c>
      <c r="D118" s="4"/>
      <c r="E118" s="8"/>
      <c r="F118" s="6">
        <v>845.59544059999996</v>
      </c>
      <c r="G118" s="7">
        <v>0.104190295</v>
      </c>
      <c r="H118" s="51">
        <v>6.1245112103248278</v>
      </c>
    </row>
    <row r="119" spans="1:8" ht="14.1" customHeight="1" x14ac:dyDescent="0.2">
      <c r="A119" s="1"/>
      <c r="B119" s="1"/>
      <c r="C119" s="2" t="s">
        <v>129</v>
      </c>
      <c r="D119" s="1"/>
      <c r="E119" s="1" t="s">
        <v>130</v>
      </c>
      <c r="F119" s="9">
        <v>845.59544059999996</v>
      </c>
      <c r="G119" s="10">
        <v>0.104190295</v>
      </c>
      <c r="H119" s="51"/>
    </row>
    <row r="120" spans="1:8" ht="14.1" customHeight="1" x14ac:dyDescent="0.2">
      <c r="A120" s="1"/>
      <c r="B120" s="1"/>
      <c r="C120" s="11"/>
      <c r="D120" s="1"/>
      <c r="E120" s="1"/>
      <c r="F120" s="12"/>
      <c r="G120" s="12"/>
      <c r="H120" s="51"/>
    </row>
    <row r="121" spans="1:8" ht="14.1" customHeight="1" x14ac:dyDescent="0.2">
      <c r="A121" s="1"/>
      <c r="B121" s="1"/>
      <c r="C121" s="2" t="s">
        <v>148</v>
      </c>
      <c r="D121" s="1"/>
      <c r="E121" s="1"/>
      <c r="F121" s="9">
        <v>845.59544059999996</v>
      </c>
      <c r="G121" s="10">
        <v>0.104190295</v>
      </c>
      <c r="H121" s="51"/>
    </row>
    <row r="122" spans="1:8" ht="14.1" customHeight="1" x14ac:dyDescent="0.2">
      <c r="A122" s="1"/>
      <c r="B122" s="1"/>
      <c r="C122" s="12"/>
      <c r="D122" s="1"/>
      <c r="E122" s="1"/>
      <c r="F122" s="1"/>
      <c r="G122" s="1"/>
      <c r="H122" s="51"/>
    </row>
    <row r="123" spans="1:8" ht="14.1" customHeight="1" x14ac:dyDescent="0.2">
      <c r="A123" s="1"/>
      <c r="B123" s="1"/>
      <c r="C123" s="2" t="s">
        <v>149</v>
      </c>
      <c r="D123" s="1"/>
      <c r="E123" s="1"/>
      <c r="F123" s="1"/>
      <c r="G123" s="1"/>
      <c r="H123" s="51"/>
    </row>
    <row r="124" spans="1:8" ht="14.1" customHeight="1" x14ac:dyDescent="0.2">
      <c r="A124" s="1"/>
      <c r="B124" s="1"/>
      <c r="C124" s="2" t="s">
        <v>150</v>
      </c>
      <c r="D124" s="1"/>
      <c r="E124" s="1"/>
      <c r="F124" s="1"/>
      <c r="G124" s="1"/>
      <c r="H124" s="51"/>
    </row>
    <row r="125" spans="1:8" ht="14.1" customHeight="1" x14ac:dyDescent="0.2">
      <c r="A125" s="1"/>
      <c r="B125" s="1"/>
      <c r="C125" s="2" t="s">
        <v>129</v>
      </c>
      <c r="D125" s="1"/>
      <c r="E125" s="1" t="s">
        <v>130</v>
      </c>
      <c r="F125" s="13">
        <v>0</v>
      </c>
      <c r="G125" s="14">
        <v>0</v>
      </c>
      <c r="H125" s="51"/>
    </row>
    <row r="126" spans="1:8" ht="14.1" customHeight="1" x14ac:dyDescent="0.2">
      <c r="A126" s="1"/>
      <c r="B126" s="1"/>
      <c r="C126" s="11"/>
      <c r="D126" s="1"/>
      <c r="E126" s="1"/>
      <c r="F126" s="12"/>
      <c r="G126" s="12"/>
      <c r="H126" s="51"/>
    </row>
    <row r="127" spans="1:8" ht="14.1" customHeight="1" x14ac:dyDescent="0.2">
      <c r="A127" s="1"/>
      <c r="B127" s="1"/>
      <c r="C127" s="2" t="s">
        <v>151</v>
      </c>
      <c r="D127" s="1"/>
      <c r="E127" s="1"/>
      <c r="F127" s="1"/>
      <c r="G127" s="1"/>
      <c r="H127" s="51"/>
    </row>
    <row r="128" spans="1:8" ht="14.1" customHeight="1" x14ac:dyDescent="0.2">
      <c r="A128" s="1"/>
      <c r="B128" s="1"/>
      <c r="C128" s="2" t="s">
        <v>152</v>
      </c>
      <c r="D128" s="1"/>
      <c r="E128" s="1"/>
      <c r="F128" s="1"/>
      <c r="G128" s="1"/>
      <c r="H128" s="51"/>
    </row>
    <row r="129" spans="1:8" ht="14.1" customHeight="1" x14ac:dyDescent="0.2">
      <c r="A129" s="1"/>
      <c r="B129" s="1"/>
      <c r="C129" s="2" t="s">
        <v>129</v>
      </c>
      <c r="D129" s="1"/>
      <c r="E129" s="1" t="s">
        <v>130</v>
      </c>
      <c r="F129" s="13">
        <v>0</v>
      </c>
      <c r="G129" s="14">
        <v>0</v>
      </c>
      <c r="H129" s="51"/>
    </row>
    <row r="130" spans="1:8" ht="14.1" customHeight="1" x14ac:dyDescent="0.2">
      <c r="A130" s="1"/>
      <c r="B130" s="1"/>
      <c r="C130" s="11"/>
      <c r="D130" s="1"/>
      <c r="E130" s="1"/>
      <c r="F130" s="12"/>
      <c r="G130" s="12"/>
      <c r="H130" s="51"/>
    </row>
    <row r="131" spans="1:8" ht="14.1" customHeight="1" x14ac:dyDescent="0.2">
      <c r="A131" s="1"/>
      <c r="B131" s="1"/>
      <c r="C131" s="11"/>
      <c r="D131" s="1"/>
      <c r="E131" s="1"/>
      <c r="F131" s="12"/>
      <c r="G131" s="12"/>
      <c r="H131" s="51"/>
    </row>
    <row r="132" spans="1:8" ht="24" customHeight="1" x14ac:dyDescent="0.2">
      <c r="A132" s="1"/>
      <c r="B132" s="1"/>
      <c r="C132" s="2" t="s">
        <v>153</v>
      </c>
      <c r="D132" s="1"/>
      <c r="E132" s="1"/>
      <c r="F132" s="12"/>
      <c r="G132" s="12"/>
      <c r="H132" s="51"/>
    </row>
    <row r="133" spans="1:8" ht="14.1" customHeight="1" x14ac:dyDescent="0.2">
      <c r="A133" s="1"/>
      <c r="B133" s="1"/>
      <c r="C133" s="2" t="s">
        <v>129</v>
      </c>
      <c r="D133" s="1"/>
      <c r="E133" s="1" t="s">
        <v>130</v>
      </c>
      <c r="F133" s="13">
        <v>0</v>
      </c>
      <c r="G133" s="14">
        <v>0</v>
      </c>
      <c r="H133" s="51"/>
    </row>
    <row r="134" spans="1:8" ht="14.1" customHeight="1" x14ac:dyDescent="0.2">
      <c r="A134" s="1"/>
      <c r="B134" s="1"/>
      <c r="C134" s="11"/>
      <c r="D134" s="1"/>
      <c r="E134" s="1"/>
      <c r="F134" s="12"/>
      <c r="G134" s="12"/>
      <c r="H134" s="51"/>
    </row>
    <row r="135" spans="1:8" ht="14.1" customHeight="1" x14ac:dyDescent="0.2">
      <c r="A135" s="1"/>
      <c r="B135" s="4"/>
      <c r="C135" s="4"/>
      <c r="D135" s="2"/>
      <c r="E135" s="1"/>
      <c r="F135" s="4"/>
      <c r="G135" s="8"/>
      <c r="H135" s="51"/>
    </row>
    <row r="136" spans="1:8" ht="18" customHeight="1" x14ac:dyDescent="0.2">
      <c r="A136" s="8"/>
      <c r="B136" s="4"/>
      <c r="C136" s="4" t="s">
        <v>154</v>
      </c>
      <c r="D136" s="4"/>
      <c r="E136" s="8"/>
      <c r="F136" s="6">
        <v>6.6443638800000002</v>
      </c>
      <c r="G136" s="7">
        <v>8.1868700000000002E-4</v>
      </c>
      <c r="H136" s="51"/>
    </row>
    <row r="137" spans="1:8" ht="14.1" customHeight="1" x14ac:dyDescent="0.2">
      <c r="A137" s="11"/>
      <c r="B137" s="11"/>
      <c r="C137" s="2" t="s">
        <v>155</v>
      </c>
      <c r="D137" s="15"/>
      <c r="E137" s="15"/>
      <c r="F137" s="9">
        <v>8115.8752755799997</v>
      </c>
      <c r="G137" s="10">
        <v>0.99999999900000003</v>
      </c>
      <c r="H137" s="51"/>
    </row>
    <row r="138" spans="1:8" ht="14.1" customHeight="1" x14ac:dyDescent="0.2">
      <c r="A138" s="16"/>
      <c r="B138" s="16"/>
      <c r="C138" s="16"/>
      <c r="D138" s="17"/>
      <c r="E138" s="17"/>
      <c r="F138" s="17"/>
      <c r="G138" s="17"/>
    </row>
    <row r="139" spans="1:8" ht="14.1" customHeight="1" x14ac:dyDescent="0.2">
      <c r="A139" s="18"/>
      <c r="B139" s="18"/>
      <c r="C139" s="18"/>
      <c r="D139" s="20"/>
      <c r="E139" s="20"/>
      <c r="F139" s="20"/>
      <c r="G139" s="20"/>
    </row>
    <row r="140" spans="1:8" ht="14.1" customHeight="1" x14ac:dyDescent="0.2">
      <c r="A140" s="18"/>
      <c r="B140" s="325" t="s">
        <v>157</v>
      </c>
      <c r="C140" s="326"/>
      <c r="D140" s="12" t="s">
        <v>130</v>
      </c>
      <c r="E140" s="21"/>
      <c r="F140" s="20"/>
      <c r="G140" s="20"/>
    </row>
    <row r="141" spans="1:8" ht="29.1" customHeight="1" x14ac:dyDescent="0.2">
      <c r="A141" s="18"/>
      <c r="B141" s="318" t="s">
        <v>158</v>
      </c>
      <c r="C141" s="319"/>
      <c r="D141" s="2" t="s">
        <v>159</v>
      </c>
      <c r="E141" s="21"/>
      <c r="F141" s="20"/>
      <c r="G141" s="20"/>
    </row>
    <row r="142" spans="1:8" ht="17.100000000000001" customHeight="1" x14ac:dyDescent="0.2">
      <c r="A142" s="18"/>
      <c r="B142" s="318" t="s">
        <v>160</v>
      </c>
      <c r="C142" s="319"/>
      <c r="D142" s="2" t="s">
        <v>159</v>
      </c>
      <c r="E142" s="21"/>
      <c r="F142" s="20"/>
      <c r="G142" s="20"/>
    </row>
    <row r="143" spans="1:8" ht="17.100000000000001" customHeight="1" x14ac:dyDescent="0.2">
      <c r="A143" s="18"/>
      <c r="B143" s="318" t="s">
        <v>161</v>
      </c>
      <c r="C143" s="319"/>
      <c r="D143" s="12" t="s">
        <v>130</v>
      </c>
      <c r="E143" s="21"/>
      <c r="F143" s="20"/>
      <c r="G143" s="20"/>
    </row>
    <row r="144" spans="1:8" ht="24" customHeight="1" x14ac:dyDescent="0.2">
      <c r="A144" s="22"/>
      <c r="B144" s="23" t="s">
        <v>130</v>
      </c>
      <c r="C144" s="23" t="s">
        <v>162</v>
      </c>
      <c r="D144" s="23" t="s">
        <v>163</v>
      </c>
      <c r="E144" s="22"/>
      <c r="F144" s="22"/>
      <c r="G144" s="22"/>
    </row>
    <row r="145" spans="1:7" ht="18" customHeight="1" x14ac:dyDescent="0.2">
      <c r="A145" s="22"/>
      <c r="B145" s="23" t="s">
        <v>164</v>
      </c>
      <c r="C145" s="23" t="s">
        <v>165</v>
      </c>
      <c r="D145" s="23" t="s">
        <v>166</v>
      </c>
      <c r="E145" s="22"/>
      <c r="F145" s="22"/>
      <c r="G145" s="22"/>
    </row>
    <row r="146" spans="1:7" ht="17.100000000000001" customHeight="1" x14ac:dyDescent="0.2">
      <c r="A146" s="22"/>
      <c r="B146" s="4" t="s">
        <v>167</v>
      </c>
      <c r="C146" s="24">
        <v>20.4922</v>
      </c>
      <c r="D146" s="24">
        <v>20.529900000000001</v>
      </c>
      <c r="E146" s="22"/>
      <c r="F146" s="19"/>
      <c r="G146" s="25"/>
    </row>
    <row r="147" spans="1:7" ht="17.100000000000001" customHeight="1" x14ac:dyDescent="0.2">
      <c r="A147" s="22"/>
      <c r="B147" s="4" t="s">
        <v>1067</v>
      </c>
      <c r="C147" s="24">
        <v>19.763500000000001</v>
      </c>
      <c r="D147" s="24">
        <v>19.799900000000001</v>
      </c>
      <c r="E147" s="22"/>
      <c r="F147" s="19"/>
      <c r="G147" s="25"/>
    </row>
    <row r="148" spans="1:7" ht="17.100000000000001" customHeight="1" x14ac:dyDescent="0.2">
      <c r="A148" s="22"/>
      <c r="B148" s="4" t="s">
        <v>168</v>
      </c>
      <c r="C148" s="24">
        <v>20.005299999999998</v>
      </c>
      <c r="D148" s="24">
        <v>20.032900000000001</v>
      </c>
      <c r="E148" s="22"/>
      <c r="F148" s="19"/>
      <c r="G148" s="25"/>
    </row>
    <row r="149" spans="1:7" ht="17.100000000000001" customHeight="1" x14ac:dyDescent="0.2">
      <c r="A149" s="22"/>
      <c r="B149" s="4" t="s">
        <v>1068</v>
      </c>
      <c r="C149" s="24">
        <v>19.2819</v>
      </c>
      <c r="D149" s="24">
        <v>19.308499999999999</v>
      </c>
      <c r="E149" s="22"/>
      <c r="F149" s="19"/>
      <c r="G149" s="25"/>
    </row>
    <row r="150" spans="1:7" ht="14.1" customHeight="1" x14ac:dyDescent="0.2">
      <c r="A150" s="22"/>
      <c r="B150" s="22"/>
      <c r="C150" s="22"/>
      <c r="D150" s="22"/>
      <c r="E150" s="22"/>
      <c r="F150" s="22"/>
      <c r="G150" s="22"/>
    </row>
    <row r="151" spans="1:7" ht="17.100000000000001" customHeight="1" x14ac:dyDescent="0.2">
      <c r="A151" s="22"/>
      <c r="B151" s="318" t="s">
        <v>1069</v>
      </c>
      <c r="C151" s="319"/>
      <c r="D151" s="111" t="s">
        <v>159</v>
      </c>
      <c r="E151" s="22"/>
      <c r="F151" s="22"/>
      <c r="G151" s="22"/>
    </row>
    <row r="152" spans="1:7" ht="18" customHeight="1" x14ac:dyDescent="0.2">
      <c r="A152" s="22"/>
      <c r="B152" s="26"/>
      <c r="C152" s="26"/>
      <c r="D152" s="27"/>
      <c r="E152" s="22"/>
      <c r="F152" s="22"/>
      <c r="G152" s="22"/>
    </row>
    <row r="153" spans="1:7" ht="29.1" customHeight="1" x14ac:dyDescent="0.2">
      <c r="A153" s="22"/>
      <c r="B153" s="318" t="s">
        <v>169</v>
      </c>
      <c r="C153" s="319"/>
      <c r="D153" s="2" t="s">
        <v>159</v>
      </c>
      <c r="E153" s="22"/>
      <c r="F153" s="22"/>
      <c r="G153" s="22"/>
    </row>
    <row r="154" spans="1:7" ht="29.1" customHeight="1" x14ac:dyDescent="0.2">
      <c r="A154" s="22"/>
      <c r="B154" s="318" t="s">
        <v>170</v>
      </c>
      <c r="C154" s="319"/>
      <c r="D154" s="2" t="s">
        <v>159</v>
      </c>
      <c r="E154" s="22"/>
      <c r="F154" s="22"/>
      <c r="G154" s="22"/>
    </row>
    <row r="155" spans="1:7" ht="17.100000000000001" customHeight="1" x14ac:dyDescent="0.2">
      <c r="A155" s="22"/>
      <c r="B155" s="318" t="s">
        <v>171</v>
      </c>
      <c r="C155" s="319"/>
      <c r="D155" s="28">
        <v>0.32473077822770074</v>
      </c>
      <c r="E155" s="22"/>
      <c r="F155" s="19"/>
      <c r="G155" s="25"/>
    </row>
    <row r="156" spans="1:7" ht="17.100000000000001" customHeight="1" x14ac:dyDescent="0.2">
      <c r="A156" s="22"/>
      <c r="B156" s="318" t="s">
        <v>172</v>
      </c>
      <c r="C156" s="319"/>
      <c r="D156" s="2" t="s">
        <v>159</v>
      </c>
      <c r="E156" s="22"/>
      <c r="F156" s="22"/>
      <c r="G156" s="22"/>
    </row>
    <row r="162" spans="10:15" x14ac:dyDescent="0.2">
      <c r="J162" s="158"/>
      <c r="K162" s="158"/>
      <c r="L162" s="158"/>
      <c r="M162" s="158"/>
      <c r="N162" s="158"/>
      <c r="O162" s="158"/>
    </row>
  </sheetData>
  <mergeCells count="13">
    <mergeCell ref="A1:H1"/>
    <mergeCell ref="A2:H2"/>
    <mergeCell ref="A3:H3"/>
    <mergeCell ref="J2:N2"/>
    <mergeCell ref="B155:C155"/>
    <mergeCell ref="B140:C140"/>
    <mergeCell ref="B156:C156"/>
    <mergeCell ref="B141:C141"/>
    <mergeCell ref="B142:C142"/>
    <mergeCell ref="B143:C143"/>
    <mergeCell ref="B151:C151"/>
    <mergeCell ref="B153:C153"/>
    <mergeCell ref="B154:C154"/>
  </mergeCells>
  <hyperlinks>
    <hyperlink ref="I1" location="Index!B12" display="Index" xr:uid="{3A69D694-9471-4682-8623-AE161CE199A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O16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468</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383</v>
      </c>
      <c r="C7" s="4" t="s">
        <v>384</v>
      </c>
      <c r="D7" s="4" t="s">
        <v>104</v>
      </c>
      <c r="E7" s="5">
        <v>9128</v>
      </c>
      <c r="F7" s="6">
        <v>150.56179599999999</v>
      </c>
      <c r="G7" s="7">
        <v>3.5855683999999999E-2</v>
      </c>
      <c r="H7" s="51"/>
    </row>
    <row r="8" spans="1:14" ht="17.100000000000001" customHeight="1" x14ac:dyDescent="0.2">
      <c r="A8" s="3">
        <v>2</v>
      </c>
      <c r="B8" s="4" t="s">
        <v>29</v>
      </c>
      <c r="C8" s="4" t="s">
        <v>30</v>
      </c>
      <c r="D8" s="4" t="s">
        <v>31</v>
      </c>
      <c r="E8" s="5">
        <v>7409</v>
      </c>
      <c r="F8" s="6">
        <v>148.03552450000001</v>
      </c>
      <c r="G8" s="7">
        <v>3.5254062000000003E-2</v>
      </c>
      <c r="H8" s="51"/>
    </row>
    <row r="9" spans="1:14" ht="17.100000000000001" customHeight="1" x14ac:dyDescent="0.2">
      <c r="A9" s="3">
        <v>3</v>
      </c>
      <c r="B9" s="4" t="s">
        <v>102</v>
      </c>
      <c r="C9" s="4" t="s">
        <v>103</v>
      </c>
      <c r="D9" s="4" t="s">
        <v>104</v>
      </c>
      <c r="E9" s="5">
        <v>33781</v>
      </c>
      <c r="F9" s="6">
        <v>143.85638850000001</v>
      </c>
      <c r="G9" s="7">
        <v>3.4258818000000003E-2</v>
      </c>
      <c r="H9" s="51"/>
    </row>
    <row r="10" spans="1:14" ht="29.1" customHeight="1" x14ac:dyDescent="0.2">
      <c r="A10" s="3">
        <v>4</v>
      </c>
      <c r="B10" s="4" t="s">
        <v>185</v>
      </c>
      <c r="C10" s="4" t="s">
        <v>186</v>
      </c>
      <c r="D10" s="4" t="s">
        <v>104</v>
      </c>
      <c r="E10" s="5">
        <v>31926</v>
      </c>
      <c r="F10" s="6">
        <v>131.50319400000001</v>
      </c>
      <c r="G10" s="7">
        <v>3.1316955E-2</v>
      </c>
      <c r="H10" s="51"/>
    </row>
    <row r="11" spans="1:14" ht="17.100000000000001" customHeight="1" x14ac:dyDescent="0.2">
      <c r="A11" s="3">
        <v>5</v>
      </c>
      <c r="B11" s="4" t="s">
        <v>82</v>
      </c>
      <c r="C11" s="4" t="s">
        <v>83</v>
      </c>
      <c r="D11" s="4" t="s">
        <v>31</v>
      </c>
      <c r="E11" s="5">
        <v>8542</v>
      </c>
      <c r="F11" s="6">
        <v>123.457526</v>
      </c>
      <c r="G11" s="7">
        <v>2.9400910999999998E-2</v>
      </c>
      <c r="H11" s="51"/>
    </row>
    <row r="12" spans="1:14" ht="17.100000000000001" customHeight="1" x14ac:dyDescent="0.2">
      <c r="A12" s="3">
        <v>6</v>
      </c>
      <c r="B12" s="4" t="s">
        <v>32</v>
      </c>
      <c r="C12" s="4" t="s">
        <v>33</v>
      </c>
      <c r="D12" s="4" t="s">
        <v>31</v>
      </c>
      <c r="E12" s="5">
        <v>5450</v>
      </c>
      <c r="F12" s="6">
        <v>112.49617499999999</v>
      </c>
      <c r="G12" s="7">
        <v>2.679051E-2</v>
      </c>
      <c r="H12" s="51"/>
    </row>
    <row r="13" spans="1:14" ht="17.100000000000001" customHeight="1" x14ac:dyDescent="0.2">
      <c r="A13" s="3">
        <v>7</v>
      </c>
      <c r="B13" s="4" t="s">
        <v>379</v>
      </c>
      <c r="C13" s="4" t="s">
        <v>380</v>
      </c>
      <c r="D13" s="4" t="s">
        <v>97</v>
      </c>
      <c r="E13" s="5">
        <v>108727</v>
      </c>
      <c r="F13" s="6">
        <v>107.8028205</v>
      </c>
      <c r="G13" s="7">
        <v>2.5672805999999999E-2</v>
      </c>
      <c r="H13" s="51"/>
    </row>
    <row r="14" spans="1:14" ht="17.100000000000001" customHeight="1" x14ac:dyDescent="0.2">
      <c r="A14" s="3">
        <v>8</v>
      </c>
      <c r="B14" s="4" t="s">
        <v>401</v>
      </c>
      <c r="C14" s="4" t="s">
        <v>402</v>
      </c>
      <c r="D14" s="4" t="s">
        <v>223</v>
      </c>
      <c r="E14" s="5">
        <v>16149</v>
      </c>
      <c r="F14" s="6">
        <v>106.567251</v>
      </c>
      <c r="G14" s="7">
        <v>2.5378561000000001E-2</v>
      </c>
      <c r="H14" s="51"/>
      <c r="J14" s="157" t="s">
        <v>1097</v>
      </c>
    </row>
    <row r="15" spans="1:14" ht="29.1" customHeight="1" x14ac:dyDescent="0.2">
      <c r="A15" s="3">
        <v>9</v>
      </c>
      <c r="B15" s="4" t="s">
        <v>182</v>
      </c>
      <c r="C15" s="4" t="s">
        <v>183</v>
      </c>
      <c r="D15" s="4" t="s">
        <v>184</v>
      </c>
      <c r="E15" s="5">
        <v>2276</v>
      </c>
      <c r="F15" s="6">
        <v>102.21174600000001</v>
      </c>
      <c r="G15" s="7">
        <v>2.4341314999999999E-2</v>
      </c>
      <c r="H15" s="51"/>
    </row>
    <row r="16" spans="1:14" ht="17.100000000000001" customHeight="1" x14ac:dyDescent="0.2">
      <c r="A16" s="3">
        <v>10</v>
      </c>
      <c r="B16" s="4" t="s">
        <v>319</v>
      </c>
      <c r="C16" s="4" t="s">
        <v>320</v>
      </c>
      <c r="D16" s="4" t="s">
        <v>248</v>
      </c>
      <c r="E16" s="5">
        <v>6299</v>
      </c>
      <c r="F16" s="6">
        <v>93.776362500000005</v>
      </c>
      <c r="G16" s="7">
        <v>2.2332462000000001E-2</v>
      </c>
      <c r="H16" s="51"/>
    </row>
    <row r="17" spans="1:8" ht="17.100000000000001" customHeight="1" x14ac:dyDescent="0.2">
      <c r="A17" s="3">
        <v>11</v>
      </c>
      <c r="B17" s="4" t="s">
        <v>385</v>
      </c>
      <c r="C17" s="4" t="s">
        <v>386</v>
      </c>
      <c r="D17" s="4" t="s">
        <v>104</v>
      </c>
      <c r="E17" s="5">
        <v>14697</v>
      </c>
      <c r="F17" s="6">
        <v>93.450874499999998</v>
      </c>
      <c r="G17" s="7">
        <v>2.2254948E-2</v>
      </c>
      <c r="H17" s="51"/>
    </row>
    <row r="18" spans="1:8" ht="17.100000000000001" customHeight="1" x14ac:dyDescent="0.2">
      <c r="A18" s="3">
        <v>12</v>
      </c>
      <c r="B18" s="4" t="s">
        <v>17</v>
      </c>
      <c r="C18" s="4" t="s">
        <v>18</v>
      </c>
      <c r="D18" s="4" t="s">
        <v>19</v>
      </c>
      <c r="E18" s="5">
        <v>11554</v>
      </c>
      <c r="F18" s="6">
        <v>92.420445999999998</v>
      </c>
      <c r="G18" s="7">
        <v>2.2009556E-2</v>
      </c>
      <c r="H18" s="51"/>
    </row>
    <row r="19" spans="1:8" ht="17.100000000000001" customHeight="1" x14ac:dyDescent="0.2">
      <c r="A19" s="3">
        <v>13</v>
      </c>
      <c r="B19" s="4" t="s">
        <v>302</v>
      </c>
      <c r="C19" s="4" t="s">
        <v>303</v>
      </c>
      <c r="D19" s="4" t="s">
        <v>251</v>
      </c>
      <c r="E19" s="5">
        <v>17981</v>
      </c>
      <c r="F19" s="6">
        <v>91.927862500000003</v>
      </c>
      <c r="G19" s="7">
        <v>2.1892248999999999E-2</v>
      </c>
      <c r="H19" s="51"/>
    </row>
    <row r="20" spans="1:8" ht="17.100000000000001" customHeight="1" x14ac:dyDescent="0.2">
      <c r="A20" s="3">
        <v>14</v>
      </c>
      <c r="B20" s="4" t="s">
        <v>381</v>
      </c>
      <c r="C20" s="4" t="s">
        <v>382</v>
      </c>
      <c r="D20" s="4" t="s">
        <v>277</v>
      </c>
      <c r="E20" s="5">
        <v>6988</v>
      </c>
      <c r="F20" s="6">
        <v>88.129161999999994</v>
      </c>
      <c r="G20" s="7">
        <v>2.0987604E-2</v>
      </c>
      <c r="H20" s="51"/>
    </row>
    <row r="21" spans="1:8" ht="17.100000000000001" customHeight="1" x14ac:dyDescent="0.2">
      <c r="A21" s="3">
        <v>15</v>
      </c>
      <c r="B21" s="4" t="s">
        <v>417</v>
      </c>
      <c r="C21" s="4" t="s">
        <v>418</v>
      </c>
      <c r="D21" s="4" t="s">
        <v>92</v>
      </c>
      <c r="E21" s="5">
        <v>6219</v>
      </c>
      <c r="F21" s="6">
        <v>87.010029000000003</v>
      </c>
      <c r="G21" s="7">
        <v>2.0721086999999999E-2</v>
      </c>
      <c r="H21" s="51"/>
    </row>
    <row r="22" spans="1:8" ht="17.100000000000001" customHeight="1" x14ac:dyDescent="0.2">
      <c r="A22" s="3">
        <v>16</v>
      </c>
      <c r="B22" s="4" t="s">
        <v>313</v>
      </c>
      <c r="C22" s="4" t="s">
        <v>314</v>
      </c>
      <c r="D22" s="4" t="s">
        <v>315</v>
      </c>
      <c r="E22" s="5">
        <v>5299</v>
      </c>
      <c r="F22" s="6">
        <v>72.172380000000004</v>
      </c>
      <c r="G22" s="7">
        <v>1.7187561000000001E-2</v>
      </c>
      <c r="H22" s="51"/>
    </row>
    <row r="23" spans="1:8" ht="29.1" customHeight="1" x14ac:dyDescent="0.2">
      <c r="A23" s="3">
        <v>17</v>
      </c>
      <c r="B23" s="4" t="s">
        <v>201</v>
      </c>
      <c r="C23" s="4" t="s">
        <v>202</v>
      </c>
      <c r="D23" s="4" t="s">
        <v>203</v>
      </c>
      <c r="E23" s="5">
        <v>14038</v>
      </c>
      <c r="F23" s="6">
        <v>72.014939999999996</v>
      </c>
      <c r="G23" s="7">
        <v>1.7150067000000001E-2</v>
      </c>
      <c r="H23" s="51"/>
    </row>
    <row r="24" spans="1:8" ht="17.100000000000001" customHeight="1" x14ac:dyDescent="0.2">
      <c r="A24" s="3">
        <v>18</v>
      </c>
      <c r="B24" s="4" t="s">
        <v>387</v>
      </c>
      <c r="C24" s="4" t="s">
        <v>388</v>
      </c>
      <c r="D24" s="4" t="s">
        <v>208</v>
      </c>
      <c r="E24" s="5">
        <v>24683</v>
      </c>
      <c r="F24" s="6">
        <v>70.618063000000006</v>
      </c>
      <c r="G24" s="7">
        <v>1.6817406999999999E-2</v>
      </c>
      <c r="H24" s="51"/>
    </row>
    <row r="25" spans="1:8" ht="17.100000000000001" customHeight="1" x14ac:dyDescent="0.2">
      <c r="A25" s="3">
        <v>19</v>
      </c>
      <c r="B25" s="4" t="s">
        <v>244</v>
      </c>
      <c r="C25" s="4" t="s">
        <v>245</v>
      </c>
      <c r="D25" s="4" t="s">
        <v>223</v>
      </c>
      <c r="E25" s="5">
        <v>2021</v>
      </c>
      <c r="F25" s="6">
        <v>65.504651999999993</v>
      </c>
      <c r="G25" s="7">
        <v>1.5599668000000001E-2</v>
      </c>
      <c r="H25" s="51"/>
    </row>
    <row r="26" spans="1:8" ht="17.100000000000001" customHeight="1" x14ac:dyDescent="0.2">
      <c r="A26" s="3">
        <v>20</v>
      </c>
      <c r="B26" s="4" t="s">
        <v>389</v>
      </c>
      <c r="C26" s="4" t="s">
        <v>390</v>
      </c>
      <c r="D26" s="4" t="s">
        <v>248</v>
      </c>
      <c r="E26" s="5">
        <v>8986</v>
      </c>
      <c r="F26" s="6">
        <v>64.555424000000002</v>
      </c>
      <c r="G26" s="7">
        <v>1.5373614000000001E-2</v>
      </c>
      <c r="H26" s="51"/>
    </row>
    <row r="27" spans="1:8" ht="17.100000000000001" customHeight="1" x14ac:dyDescent="0.2">
      <c r="A27" s="3">
        <v>21</v>
      </c>
      <c r="B27" s="4" t="s">
        <v>174</v>
      </c>
      <c r="C27" s="4" t="s">
        <v>175</v>
      </c>
      <c r="D27" s="4" t="s">
        <v>22</v>
      </c>
      <c r="E27" s="5">
        <v>29674</v>
      </c>
      <c r="F27" s="6">
        <v>64.184861999999995</v>
      </c>
      <c r="G27" s="7">
        <v>1.5285366E-2</v>
      </c>
      <c r="H27" s="51"/>
    </row>
    <row r="28" spans="1:8" ht="29.1" customHeight="1" x14ac:dyDescent="0.2">
      <c r="A28" s="3">
        <v>22</v>
      </c>
      <c r="B28" s="4" t="s">
        <v>399</v>
      </c>
      <c r="C28" s="4" t="s">
        <v>400</v>
      </c>
      <c r="D28" s="4" t="s">
        <v>48</v>
      </c>
      <c r="E28" s="5">
        <v>2243</v>
      </c>
      <c r="F28" s="6">
        <v>60.285111000000001</v>
      </c>
      <c r="G28" s="7">
        <v>1.4356656000000001E-2</v>
      </c>
      <c r="H28" s="51"/>
    </row>
    <row r="29" spans="1:8" ht="17.100000000000001" customHeight="1" x14ac:dyDescent="0.2">
      <c r="A29" s="3">
        <v>23</v>
      </c>
      <c r="B29" s="4" t="s">
        <v>391</v>
      </c>
      <c r="C29" s="4" t="s">
        <v>392</v>
      </c>
      <c r="D29" s="4" t="s">
        <v>97</v>
      </c>
      <c r="E29" s="5">
        <v>12401</v>
      </c>
      <c r="F29" s="6">
        <v>59.499997999999998</v>
      </c>
      <c r="G29" s="7">
        <v>1.4169684E-2</v>
      </c>
      <c r="H29" s="51"/>
    </row>
    <row r="30" spans="1:8" ht="17.100000000000001" customHeight="1" x14ac:dyDescent="0.2">
      <c r="A30" s="3">
        <v>24</v>
      </c>
      <c r="B30" s="4" t="s">
        <v>393</v>
      </c>
      <c r="C30" s="4" t="s">
        <v>394</v>
      </c>
      <c r="D30" s="4" t="s">
        <v>97</v>
      </c>
      <c r="E30" s="5">
        <v>6517</v>
      </c>
      <c r="F30" s="6">
        <v>56.929253500000002</v>
      </c>
      <c r="G30" s="7">
        <v>1.3557471999999999E-2</v>
      </c>
      <c r="H30" s="51"/>
    </row>
    <row r="31" spans="1:8" ht="29.1" customHeight="1" x14ac:dyDescent="0.2">
      <c r="A31" s="3">
        <v>25</v>
      </c>
      <c r="B31" s="4" t="s">
        <v>63</v>
      </c>
      <c r="C31" s="4" t="s">
        <v>64</v>
      </c>
      <c r="D31" s="4" t="s">
        <v>25</v>
      </c>
      <c r="E31" s="5">
        <v>2108</v>
      </c>
      <c r="F31" s="6">
        <v>55.348702000000003</v>
      </c>
      <c r="G31" s="7">
        <v>1.318107E-2</v>
      </c>
      <c r="H31" s="51"/>
    </row>
    <row r="32" spans="1:8" ht="29.1" customHeight="1" x14ac:dyDescent="0.2">
      <c r="A32" s="3">
        <v>26</v>
      </c>
      <c r="B32" s="4" t="s">
        <v>316</v>
      </c>
      <c r="C32" s="4" t="s">
        <v>317</v>
      </c>
      <c r="D32" s="4" t="s">
        <v>318</v>
      </c>
      <c r="E32" s="5">
        <v>8297</v>
      </c>
      <c r="F32" s="6">
        <v>53.536392499999998</v>
      </c>
      <c r="G32" s="7">
        <v>1.2749475999999999E-2</v>
      </c>
      <c r="H32" s="51"/>
    </row>
    <row r="33" spans="1:8" ht="29.1" customHeight="1" x14ac:dyDescent="0.2">
      <c r="A33" s="3">
        <v>27</v>
      </c>
      <c r="B33" s="4" t="s">
        <v>397</v>
      </c>
      <c r="C33" s="4" t="s">
        <v>398</v>
      </c>
      <c r="D33" s="4" t="s">
        <v>75</v>
      </c>
      <c r="E33" s="5">
        <v>3341</v>
      </c>
      <c r="F33" s="6">
        <v>52.911417</v>
      </c>
      <c r="G33" s="7">
        <v>1.260064E-2</v>
      </c>
      <c r="H33" s="51"/>
    </row>
    <row r="34" spans="1:8" ht="17.100000000000001" customHeight="1" x14ac:dyDescent="0.2">
      <c r="A34" s="3">
        <v>28</v>
      </c>
      <c r="B34" s="4" t="s">
        <v>395</v>
      </c>
      <c r="C34" s="4" t="s">
        <v>396</v>
      </c>
      <c r="D34" s="4" t="s">
        <v>315</v>
      </c>
      <c r="E34" s="5">
        <v>4311</v>
      </c>
      <c r="F34" s="6">
        <v>52.540312499999999</v>
      </c>
      <c r="G34" s="7">
        <v>1.2512262999999999E-2</v>
      </c>
      <c r="H34" s="51"/>
    </row>
    <row r="35" spans="1:8" ht="17.100000000000001" customHeight="1" x14ac:dyDescent="0.2">
      <c r="A35" s="3">
        <v>29</v>
      </c>
      <c r="B35" s="4" t="s">
        <v>415</v>
      </c>
      <c r="C35" s="4" t="s">
        <v>416</v>
      </c>
      <c r="D35" s="4" t="s">
        <v>31</v>
      </c>
      <c r="E35" s="5">
        <v>5737</v>
      </c>
      <c r="F35" s="6">
        <v>52.453391000000003</v>
      </c>
      <c r="G35" s="7">
        <v>1.2491563000000001E-2</v>
      </c>
      <c r="H35" s="51"/>
    </row>
    <row r="36" spans="1:8" ht="17.100000000000001" customHeight="1" x14ac:dyDescent="0.2">
      <c r="A36" s="3">
        <v>30</v>
      </c>
      <c r="B36" s="4" t="s">
        <v>242</v>
      </c>
      <c r="C36" s="4" t="s">
        <v>243</v>
      </c>
      <c r="D36" s="4" t="s">
        <v>72</v>
      </c>
      <c r="E36" s="5">
        <v>1054</v>
      </c>
      <c r="F36" s="6">
        <v>47.929595999999997</v>
      </c>
      <c r="G36" s="7">
        <v>1.1414240000000001E-2</v>
      </c>
      <c r="H36" s="51"/>
    </row>
    <row r="37" spans="1:8" ht="17.100000000000001" customHeight="1" x14ac:dyDescent="0.2">
      <c r="A37" s="3">
        <v>31</v>
      </c>
      <c r="B37" s="4" t="s">
        <v>403</v>
      </c>
      <c r="C37" s="4" t="s">
        <v>404</v>
      </c>
      <c r="D37" s="4" t="s">
        <v>277</v>
      </c>
      <c r="E37" s="5">
        <v>5849</v>
      </c>
      <c r="F37" s="6">
        <v>46.376721000000003</v>
      </c>
      <c r="G37" s="7">
        <v>1.1044429E-2</v>
      </c>
      <c r="H37" s="51"/>
    </row>
    <row r="38" spans="1:8" ht="17.100000000000001" customHeight="1" x14ac:dyDescent="0.2">
      <c r="A38" s="3">
        <v>32</v>
      </c>
      <c r="B38" s="4" t="s">
        <v>405</v>
      </c>
      <c r="C38" s="4" t="s">
        <v>406</v>
      </c>
      <c r="D38" s="4" t="s">
        <v>31</v>
      </c>
      <c r="E38" s="5">
        <v>5096</v>
      </c>
      <c r="F38" s="6">
        <v>45.680543999999998</v>
      </c>
      <c r="G38" s="7">
        <v>1.0878637E-2</v>
      </c>
      <c r="H38" s="51"/>
    </row>
    <row r="39" spans="1:8" ht="29.1" customHeight="1" x14ac:dyDescent="0.2">
      <c r="A39" s="3">
        <v>33</v>
      </c>
      <c r="B39" s="4" t="s">
        <v>407</v>
      </c>
      <c r="C39" s="4" t="s">
        <v>408</v>
      </c>
      <c r="D39" s="4" t="s">
        <v>203</v>
      </c>
      <c r="E39" s="5">
        <v>13484</v>
      </c>
      <c r="F39" s="6">
        <v>44.214036</v>
      </c>
      <c r="G39" s="7">
        <v>1.0529393999999999E-2</v>
      </c>
      <c r="H39" s="51"/>
    </row>
    <row r="40" spans="1:8" ht="29.1" customHeight="1" x14ac:dyDescent="0.2">
      <c r="A40" s="3">
        <v>34</v>
      </c>
      <c r="B40" s="4" t="s">
        <v>457</v>
      </c>
      <c r="C40" s="4" t="s">
        <v>458</v>
      </c>
      <c r="D40" s="4" t="s">
        <v>367</v>
      </c>
      <c r="E40" s="5">
        <v>7362</v>
      </c>
      <c r="F40" s="6">
        <v>44.006354999999999</v>
      </c>
      <c r="G40" s="7">
        <v>1.0479936E-2</v>
      </c>
      <c r="H40" s="51"/>
    </row>
    <row r="41" spans="1:8" ht="17.100000000000001" customHeight="1" x14ac:dyDescent="0.2">
      <c r="A41" s="3">
        <v>35</v>
      </c>
      <c r="B41" s="4" t="s">
        <v>409</v>
      </c>
      <c r="C41" s="4" t="s">
        <v>410</v>
      </c>
      <c r="D41" s="4" t="s">
        <v>104</v>
      </c>
      <c r="E41" s="5">
        <v>6701</v>
      </c>
      <c r="F41" s="6">
        <v>43.516294000000002</v>
      </c>
      <c r="G41" s="7">
        <v>1.0363229999999999E-2</v>
      </c>
      <c r="H41" s="51"/>
    </row>
    <row r="42" spans="1:8" ht="29.1" customHeight="1" x14ac:dyDescent="0.2">
      <c r="A42" s="3">
        <v>36</v>
      </c>
      <c r="B42" s="4" t="s">
        <v>413</v>
      </c>
      <c r="C42" s="4" t="s">
        <v>414</v>
      </c>
      <c r="D42" s="4" t="s">
        <v>367</v>
      </c>
      <c r="E42" s="5">
        <v>8568</v>
      </c>
      <c r="F42" s="6">
        <v>43.054200000000002</v>
      </c>
      <c r="G42" s="7">
        <v>1.0253184E-2</v>
      </c>
      <c r="H42" s="51"/>
    </row>
    <row r="43" spans="1:8" ht="17.100000000000001" customHeight="1" x14ac:dyDescent="0.2">
      <c r="A43" s="3">
        <v>37</v>
      </c>
      <c r="B43" s="4" t="s">
        <v>41</v>
      </c>
      <c r="C43" s="4" t="s">
        <v>42</v>
      </c>
      <c r="D43" s="4" t="s">
        <v>16</v>
      </c>
      <c r="E43" s="5">
        <v>8081</v>
      </c>
      <c r="F43" s="6">
        <v>42.877786</v>
      </c>
      <c r="G43" s="7">
        <v>1.0211171999999999E-2</v>
      </c>
      <c r="H43" s="51"/>
    </row>
    <row r="44" spans="1:8" ht="29.1" customHeight="1" x14ac:dyDescent="0.2">
      <c r="A44" s="3">
        <v>38</v>
      </c>
      <c r="B44" s="4" t="s">
        <v>291</v>
      </c>
      <c r="C44" s="4" t="s">
        <v>292</v>
      </c>
      <c r="D44" s="4" t="s">
        <v>184</v>
      </c>
      <c r="E44" s="5">
        <v>5691</v>
      </c>
      <c r="F44" s="6">
        <v>42.747946499999998</v>
      </c>
      <c r="G44" s="7">
        <v>1.0180251E-2</v>
      </c>
      <c r="H44" s="51"/>
    </row>
    <row r="45" spans="1:8" ht="17.100000000000001" customHeight="1" x14ac:dyDescent="0.2">
      <c r="A45" s="3">
        <v>39</v>
      </c>
      <c r="B45" s="4" t="s">
        <v>450</v>
      </c>
      <c r="C45" s="4" t="s">
        <v>451</v>
      </c>
      <c r="D45" s="4" t="s">
        <v>104</v>
      </c>
      <c r="E45" s="5">
        <v>14021</v>
      </c>
      <c r="F45" s="6">
        <v>42.063000000000002</v>
      </c>
      <c r="G45" s="7">
        <v>1.0017134E-2</v>
      </c>
      <c r="H45" s="51"/>
    </row>
    <row r="46" spans="1:8" ht="17.100000000000001" customHeight="1" x14ac:dyDescent="0.2">
      <c r="A46" s="3">
        <v>40</v>
      </c>
      <c r="B46" s="4" t="s">
        <v>240</v>
      </c>
      <c r="C46" s="4" t="s">
        <v>241</v>
      </c>
      <c r="D46" s="4" t="s">
        <v>97</v>
      </c>
      <c r="E46" s="5">
        <v>6402</v>
      </c>
      <c r="F46" s="6">
        <v>41.843471999999998</v>
      </c>
      <c r="G46" s="7">
        <v>9.9648540000000004E-3</v>
      </c>
      <c r="H46" s="51"/>
    </row>
    <row r="47" spans="1:8" ht="17.100000000000001" customHeight="1" x14ac:dyDescent="0.2">
      <c r="A47" s="3">
        <v>41</v>
      </c>
      <c r="B47" s="4" t="s">
        <v>459</v>
      </c>
      <c r="C47" s="4" t="s">
        <v>460</v>
      </c>
      <c r="D47" s="4" t="s">
        <v>97</v>
      </c>
      <c r="E47" s="5">
        <v>62967</v>
      </c>
      <c r="F47" s="6">
        <v>41.7786045</v>
      </c>
      <c r="G47" s="7">
        <v>9.9494059999999992E-3</v>
      </c>
      <c r="H47" s="51"/>
    </row>
    <row r="48" spans="1:8" ht="17.100000000000001" customHeight="1" x14ac:dyDescent="0.2">
      <c r="A48" s="3">
        <v>42</v>
      </c>
      <c r="B48" s="4" t="s">
        <v>440</v>
      </c>
      <c r="C48" s="4" t="s">
        <v>441</v>
      </c>
      <c r="D48" s="4" t="s">
        <v>51</v>
      </c>
      <c r="E48" s="5">
        <v>5422</v>
      </c>
      <c r="F48" s="6">
        <v>41.567762999999999</v>
      </c>
      <c r="G48" s="7">
        <v>9.8991949999999995E-3</v>
      </c>
      <c r="H48" s="51"/>
    </row>
    <row r="49" spans="1:8" ht="17.100000000000001" customHeight="1" x14ac:dyDescent="0.2">
      <c r="A49" s="3">
        <v>43</v>
      </c>
      <c r="B49" s="4" t="s">
        <v>432</v>
      </c>
      <c r="C49" s="4" t="s">
        <v>433</v>
      </c>
      <c r="D49" s="4" t="s">
        <v>192</v>
      </c>
      <c r="E49" s="5">
        <v>4863</v>
      </c>
      <c r="F49" s="6">
        <v>41.323342500000003</v>
      </c>
      <c r="G49" s="7">
        <v>9.8409870000000007E-3</v>
      </c>
      <c r="H49" s="51"/>
    </row>
    <row r="50" spans="1:8" ht="29.1" customHeight="1" x14ac:dyDescent="0.2">
      <c r="A50" s="3">
        <v>44</v>
      </c>
      <c r="B50" s="4" t="s">
        <v>429</v>
      </c>
      <c r="C50" s="4" t="s">
        <v>430</v>
      </c>
      <c r="D50" s="4" t="s">
        <v>431</v>
      </c>
      <c r="E50" s="5">
        <v>30866</v>
      </c>
      <c r="F50" s="6">
        <v>41.036346999999999</v>
      </c>
      <c r="G50" s="7">
        <v>9.7726400000000008E-3</v>
      </c>
      <c r="H50" s="51"/>
    </row>
    <row r="51" spans="1:8" ht="53.1" customHeight="1" x14ac:dyDescent="0.2">
      <c r="A51" s="3">
        <v>45</v>
      </c>
      <c r="B51" s="4" t="s">
        <v>335</v>
      </c>
      <c r="C51" s="4" t="s">
        <v>863</v>
      </c>
      <c r="D51" s="4" t="s">
        <v>45</v>
      </c>
      <c r="E51" s="5">
        <v>14626</v>
      </c>
      <c r="F51" s="6">
        <v>40.243439000000002</v>
      </c>
      <c r="G51" s="7">
        <v>9.5838130000000001E-3</v>
      </c>
      <c r="H51" s="51"/>
    </row>
    <row r="52" spans="1:8" ht="29.1" customHeight="1" x14ac:dyDescent="0.2">
      <c r="A52" s="3">
        <v>46</v>
      </c>
      <c r="B52" s="4" t="s">
        <v>419</v>
      </c>
      <c r="C52" s="4" t="s">
        <v>420</v>
      </c>
      <c r="D52" s="4" t="s">
        <v>203</v>
      </c>
      <c r="E52" s="5">
        <v>2084</v>
      </c>
      <c r="F52" s="6">
        <v>40.008631999999999</v>
      </c>
      <c r="G52" s="7">
        <v>9.5278940000000003E-3</v>
      </c>
      <c r="H52" s="51"/>
    </row>
    <row r="53" spans="1:8" ht="17.100000000000001" customHeight="1" x14ac:dyDescent="0.2">
      <c r="A53" s="3">
        <v>47</v>
      </c>
      <c r="B53" s="4" t="s">
        <v>329</v>
      </c>
      <c r="C53" s="4" t="s">
        <v>330</v>
      </c>
      <c r="D53" s="4" t="s">
        <v>36</v>
      </c>
      <c r="E53" s="5">
        <v>16529</v>
      </c>
      <c r="F53" s="6">
        <v>38.958852999999998</v>
      </c>
      <c r="G53" s="7">
        <v>9.2778940000000001E-3</v>
      </c>
      <c r="H53" s="51"/>
    </row>
    <row r="54" spans="1:8" ht="17.100000000000001" customHeight="1" x14ac:dyDescent="0.2">
      <c r="A54" s="3">
        <v>48</v>
      </c>
      <c r="B54" s="4" t="s">
        <v>421</v>
      </c>
      <c r="C54" s="4" t="s">
        <v>422</v>
      </c>
      <c r="D54" s="4" t="s">
        <v>104</v>
      </c>
      <c r="E54" s="5">
        <v>3437</v>
      </c>
      <c r="F54" s="6">
        <v>37.829340500000001</v>
      </c>
      <c r="G54" s="7">
        <v>9.0089049999999993E-3</v>
      </c>
      <c r="H54" s="51"/>
    </row>
    <row r="55" spans="1:8" ht="17.100000000000001" customHeight="1" x14ac:dyDescent="0.2">
      <c r="A55" s="3">
        <v>49</v>
      </c>
      <c r="B55" s="4" t="s">
        <v>427</v>
      </c>
      <c r="C55" s="4" t="s">
        <v>428</v>
      </c>
      <c r="D55" s="4" t="s">
        <v>97</v>
      </c>
      <c r="E55" s="5">
        <v>3781</v>
      </c>
      <c r="F55" s="6">
        <v>37.586920999999997</v>
      </c>
      <c r="G55" s="7">
        <v>8.9511729999999998E-3</v>
      </c>
      <c r="H55" s="51"/>
    </row>
    <row r="56" spans="1:8" ht="17.100000000000001" customHeight="1" x14ac:dyDescent="0.2">
      <c r="A56" s="3">
        <v>50</v>
      </c>
      <c r="B56" s="4" t="s">
        <v>37</v>
      </c>
      <c r="C56" s="4" t="s">
        <v>38</v>
      </c>
      <c r="D56" s="4" t="s">
        <v>31</v>
      </c>
      <c r="E56" s="5">
        <v>1021</v>
      </c>
      <c r="F56" s="6">
        <v>37.307340000000003</v>
      </c>
      <c r="G56" s="7">
        <v>8.8845920000000002E-3</v>
      </c>
      <c r="H56" s="51"/>
    </row>
    <row r="57" spans="1:8" ht="17.100000000000001" customHeight="1" x14ac:dyDescent="0.2">
      <c r="A57" s="3">
        <v>51</v>
      </c>
      <c r="B57" s="4" t="s">
        <v>461</v>
      </c>
      <c r="C57" s="4" t="s">
        <v>462</v>
      </c>
      <c r="D57" s="4" t="s">
        <v>260</v>
      </c>
      <c r="E57" s="5">
        <v>11014</v>
      </c>
      <c r="F57" s="6">
        <v>36.907913999999998</v>
      </c>
      <c r="G57" s="7">
        <v>8.7894710000000001E-3</v>
      </c>
      <c r="H57" s="51"/>
    </row>
    <row r="58" spans="1:8" ht="29.1" customHeight="1" x14ac:dyDescent="0.2">
      <c r="A58" s="3">
        <v>52</v>
      </c>
      <c r="B58" s="4" t="s">
        <v>423</v>
      </c>
      <c r="C58" s="4" t="s">
        <v>424</v>
      </c>
      <c r="D58" s="4" t="s">
        <v>318</v>
      </c>
      <c r="E58" s="5">
        <v>8758</v>
      </c>
      <c r="F58" s="6">
        <v>36.472690999999998</v>
      </c>
      <c r="G58" s="7">
        <v>8.685824E-3</v>
      </c>
      <c r="H58" s="51"/>
    </row>
    <row r="59" spans="1:8" ht="17.100000000000001" customHeight="1" x14ac:dyDescent="0.2">
      <c r="A59" s="3">
        <v>53</v>
      </c>
      <c r="B59" s="4" t="s">
        <v>411</v>
      </c>
      <c r="C59" s="4" t="s">
        <v>412</v>
      </c>
      <c r="D59" s="4" t="s">
        <v>13</v>
      </c>
      <c r="E59" s="5">
        <v>8109</v>
      </c>
      <c r="F59" s="6">
        <v>34.171326000000001</v>
      </c>
      <c r="G59" s="7">
        <v>8.1377629999999992E-3</v>
      </c>
      <c r="H59" s="51"/>
    </row>
    <row r="60" spans="1:8" ht="29.1" customHeight="1" x14ac:dyDescent="0.2">
      <c r="A60" s="3">
        <v>54</v>
      </c>
      <c r="B60" s="4" t="s">
        <v>438</v>
      </c>
      <c r="C60" s="4" t="s">
        <v>439</v>
      </c>
      <c r="D60" s="4" t="s">
        <v>104</v>
      </c>
      <c r="E60" s="5">
        <v>2300</v>
      </c>
      <c r="F60" s="6">
        <v>31.963100000000001</v>
      </c>
      <c r="G60" s="7">
        <v>7.6118829999999998E-3</v>
      </c>
      <c r="H60" s="51"/>
    </row>
    <row r="61" spans="1:8" ht="17.100000000000001" customHeight="1" x14ac:dyDescent="0.2">
      <c r="A61" s="3">
        <v>55</v>
      </c>
      <c r="B61" s="4" t="s">
        <v>90</v>
      </c>
      <c r="C61" s="4" t="s">
        <v>91</v>
      </c>
      <c r="D61" s="4" t="s">
        <v>92</v>
      </c>
      <c r="E61" s="5">
        <v>5816</v>
      </c>
      <c r="F61" s="6">
        <v>29.585992000000001</v>
      </c>
      <c r="G61" s="7">
        <v>7.0457849999999997E-3</v>
      </c>
      <c r="H61" s="51"/>
    </row>
    <row r="62" spans="1:8" ht="17.100000000000001" customHeight="1" x14ac:dyDescent="0.2">
      <c r="A62" s="3">
        <v>56</v>
      </c>
      <c r="B62" s="4" t="s">
        <v>436</v>
      </c>
      <c r="C62" s="4" t="s">
        <v>437</v>
      </c>
      <c r="D62" s="4" t="s">
        <v>72</v>
      </c>
      <c r="E62" s="5">
        <v>4235</v>
      </c>
      <c r="F62" s="6">
        <v>27.0044775</v>
      </c>
      <c r="G62" s="7">
        <v>6.4310069999999999E-3</v>
      </c>
      <c r="H62" s="51"/>
    </row>
    <row r="63" spans="1:8" ht="17.100000000000001" customHeight="1" x14ac:dyDescent="0.2">
      <c r="A63" s="3">
        <v>57</v>
      </c>
      <c r="B63" s="4" t="s">
        <v>454</v>
      </c>
      <c r="C63" s="4" t="s">
        <v>455</v>
      </c>
      <c r="D63" s="4" t="s">
        <v>16</v>
      </c>
      <c r="E63" s="5">
        <v>10375</v>
      </c>
      <c r="F63" s="6">
        <v>23.099937499999999</v>
      </c>
      <c r="G63" s="7">
        <v>5.5011569999999996E-3</v>
      </c>
      <c r="H63" s="51"/>
    </row>
    <row r="64" spans="1:8" ht="17.100000000000001" customHeight="1" x14ac:dyDescent="0.2">
      <c r="A64" s="3">
        <v>58</v>
      </c>
      <c r="B64" s="4" t="s">
        <v>442</v>
      </c>
      <c r="C64" s="4" t="s">
        <v>443</v>
      </c>
      <c r="D64" s="4" t="s">
        <v>232</v>
      </c>
      <c r="E64" s="5">
        <v>2788</v>
      </c>
      <c r="F64" s="6">
        <v>20.173967999999999</v>
      </c>
      <c r="G64" s="7">
        <v>4.8043490000000003E-3</v>
      </c>
      <c r="H64" s="51"/>
    </row>
    <row r="65" spans="1:8" ht="17.100000000000001" customHeight="1" x14ac:dyDescent="0.2">
      <c r="A65" s="3">
        <v>59</v>
      </c>
      <c r="B65" s="4" t="s">
        <v>444</v>
      </c>
      <c r="C65" s="4" t="s">
        <v>445</v>
      </c>
      <c r="D65" s="4" t="s">
        <v>31</v>
      </c>
      <c r="E65" s="5">
        <v>2256</v>
      </c>
      <c r="F65" s="6">
        <v>18.015288000000002</v>
      </c>
      <c r="G65" s="7">
        <v>4.2902679999999999E-3</v>
      </c>
      <c r="H65" s="51"/>
    </row>
    <row r="66" spans="1:8" ht="17.100000000000001" customHeight="1" x14ac:dyDescent="0.2">
      <c r="A66" s="3">
        <v>60</v>
      </c>
      <c r="B66" s="4" t="s">
        <v>425</v>
      </c>
      <c r="C66" s="4" t="s">
        <v>426</v>
      </c>
      <c r="D66" s="4" t="s">
        <v>13</v>
      </c>
      <c r="E66" s="5">
        <v>21843</v>
      </c>
      <c r="F66" s="6">
        <v>17.081226000000001</v>
      </c>
      <c r="G66" s="7">
        <v>4.0678249999999997E-3</v>
      </c>
      <c r="H66" s="51"/>
    </row>
    <row r="67" spans="1:8" ht="29.1" customHeight="1" x14ac:dyDescent="0.2">
      <c r="A67" s="3">
        <v>61</v>
      </c>
      <c r="B67" s="4" t="s">
        <v>446</v>
      </c>
      <c r="C67" s="4" t="s">
        <v>447</v>
      </c>
      <c r="D67" s="4" t="s">
        <v>203</v>
      </c>
      <c r="E67" s="5">
        <v>411</v>
      </c>
      <c r="F67" s="6">
        <v>16.879564500000001</v>
      </c>
      <c r="G67" s="7">
        <v>4.0197999999999996E-3</v>
      </c>
      <c r="H67" s="51"/>
    </row>
    <row r="68" spans="1:8" ht="17.100000000000001" customHeight="1" x14ac:dyDescent="0.2">
      <c r="A68" s="3">
        <v>62</v>
      </c>
      <c r="B68" s="4" t="s">
        <v>340</v>
      </c>
      <c r="C68" s="4" t="s">
        <v>341</v>
      </c>
      <c r="D68" s="4" t="s">
        <v>92</v>
      </c>
      <c r="E68" s="5">
        <v>21125</v>
      </c>
      <c r="F68" s="6">
        <v>15.75925</v>
      </c>
      <c r="G68" s="7">
        <v>3.7530020000000001E-3</v>
      </c>
      <c r="H68" s="51"/>
    </row>
    <row r="69" spans="1:8" ht="29.1" customHeight="1" x14ac:dyDescent="0.2">
      <c r="A69" s="3">
        <v>63</v>
      </c>
      <c r="B69" s="4" t="s">
        <v>448</v>
      </c>
      <c r="C69" s="4" t="s">
        <v>449</v>
      </c>
      <c r="D69" s="4" t="s">
        <v>203</v>
      </c>
      <c r="E69" s="5">
        <v>6683</v>
      </c>
      <c r="F69" s="6">
        <v>15.648244500000001</v>
      </c>
      <c r="G69" s="7">
        <v>3.7265660000000002E-3</v>
      </c>
      <c r="H69" s="51"/>
    </row>
    <row r="70" spans="1:8" ht="29.1" customHeight="1" x14ac:dyDescent="0.2">
      <c r="A70" s="3">
        <v>64</v>
      </c>
      <c r="B70" s="4" t="s">
        <v>327</v>
      </c>
      <c r="C70" s="4" t="s">
        <v>328</v>
      </c>
      <c r="D70" s="4" t="s">
        <v>184</v>
      </c>
      <c r="E70" s="5">
        <v>3145</v>
      </c>
      <c r="F70" s="6">
        <v>13.18384</v>
      </c>
      <c r="G70" s="7">
        <v>3.1396779999999999E-3</v>
      </c>
      <c r="H70" s="51"/>
    </row>
    <row r="71" spans="1:8" ht="29.1" customHeight="1" x14ac:dyDescent="0.2">
      <c r="A71" s="3">
        <v>65</v>
      </c>
      <c r="B71" s="4" t="s">
        <v>463</v>
      </c>
      <c r="C71" s="4" t="s">
        <v>464</v>
      </c>
      <c r="D71" s="4" t="s">
        <v>184</v>
      </c>
      <c r="E71" s="5">
        <v>982</v>
      </c>
      <c r="F71" s="6">
        <v>7.2653270000000001</v>
      </c>
      <c r="G71" s="7">
        <v>1.730208E-3</v>
      </c>
      <c r="H71" s="51"/>
    </row>
    <row r="72" spans="1:8" ht="29.1" customHeight="1" x14ac:dyDescent="0.2">
      <c r="A72" s="3">
        <v>66</v>
      </c>
      <c r="B72" s="4" t="s">
        <v>452</v>
      </c>
      <c r="C72" s="4" t="s">
        <v>453</v>
      </c>
      <c r="D72" s="4" t="s">
        <v>60</v>
      </c>
      <c r="E72" s="5">
        <v>1899</v>
      </c>
      <c r="F72" s="6">
        <v>7.0756740000000002</v>
      </c>
      <c r="G72" s="7">
        <v>1.685043E-3</v>
      </c>
      <c r="H72" s="51"/>
    </row>
    <row r="73" spans="1:8" ht="14.1" customHeight="1" x14ac:dyDescent="0.2">
      <c r="A73" s="1"/>
      <c r="B73" s="1"/>
      <c r="C73" s="2" t="s">
        <v>129</v>
      </c>
      <c r="D73" s="1"/>
      <c r="E73" s="1" t="s">
        <v>130</v>
      </c>
      <c r="F73" s="9">
        <v>3758.0004094999999</v>
      </c>
      <c r="G73" s="10">
        <v>0.89495262399999997</v>
      </c>
      <c r="H73" s="51"/>
    </row>
    <row r="74" spans="1:8" ht="14.1" customHeight="1" x14ac:dyDescent="0.2">
      <c r="A74" s="1"/>
      <c r="B74" s="1"/>
      <c r="C74" s="11"/>
      <c r="D74" s="1"/>
      <c r="E74" s="1"/>
      <c r="F74" s="12"/>
      <c r="G74" s="12"/>
      <c r="H74" s="51"/>
    </row>
    <row r="75" spans="1:8" ht="14.1" customHeight="1" x14ac:dyDescent="0.2">
      <c r="A75" s="1"/>
      <c r="B75" s="1"/>
      <c r="C75" s="2" t="s">
        <v>131</v>
      </c>
      <c r="D75" s="1"/>
      <c r="E75" s="1"/>
      <c r="F75" s="1"/>
      <c r="G75" s="1"/>
      <c r="H75" s="51"/>
    </row>
    <row r="76" spans="1:8" ht="14.1" customHeight="1" x14ac:dyDescent="0.2">
      <c r="A76" s="1"/>
      <c r="B76" s="1"/>
      <c r="C76" s="2" t="s">
        <v>129</v>
      </c>
      <c r="D76" s="1"/>
      <c r="E76" s="1" t="s">
        <v>130</v>
      </c>
      <c r="F76" s="13">
        <v>0</v>
      </c>
      <c r="G76" s="14">
        <v>0</v>
      </c>
      <c r="H76" s="51"/>
    </row>
    <row r="77" spans="1:8" ht="14.1" customHeight="1" x14ac:dyDescent="0.2">
      <c r="A77" s="1"/>
      <c r="B77" s="1"/>
      <c r="C77" s="11"/>
      <c r="D77" s="1"/>
      <c r="E77" s="1"/>
      <c r="F77" s="12"/>
      <c r="G77" s="12"/>
      <c r="H77" s="51"/>
    </row>
    <row r="78" spans="1:8" ht="14.1" customHeight="1" x14ac:dyDescent="0.2">
      <c r="A78" s="1"/>
      <c r="B78" s="1"/>
      <c r="C78" s="2" t="s">
        <v>132</v>
      </c>
      <c r="D78" s="1"/>
      <c r="E78" s="1"/>
      <c r="F78" s="1"/>
      <c r="G78" s="1"/>
      <c r="H78" s="51"/>
    </row>
    <row r="79" spans="1:8" ht="14.1" customHeight="1" x14ac:dyDescent="0.2">
      <c r="A79" s="1"/>
      <c r="B79" s="1"/>
      <c r="C79" s="2" t="s">
        <v>129</v>
      </c>
      <c r="D79" s="1"/>
      <c r="E79" s="1" t="s">
        <v>130</v>
      </c>
      <c r="F79" s="13">
        <v>0</v>
      </c>
      <c r="G79" s="14">
        <v>0</v>
      </c>
      <c r="H79" s="51"/>
    </row>
    <row r="80" spans="1:8" ht="14.1" customHeight="1" x14ac:dyDescent="0.2">
      <c r="A80" s="1"/>
      <c r="B80" s="1"/>
      <c r="C80" s="11"/>
      <c r="D80" s="1"/>
      <c r="E80" s="1"/>
      <c r="F80" s="12"/>
      <c r="G80" s="12"/>
      <c r="H80" s="51"/>
    </row>
    <row r="81" spans="1:8" ht="14.1" customHeight="1" x14ac:dyDescent="0.2">
      <c r="A81" s="1"/>
      <c r="B81" s="1"/>
      <c r="C81" s="2" t="s">
        <v>133</v>
      </c>
      <c r="D81" s="1"/>
      <c r="E81" s="1"/>
      <c r="F81" s="1"/>
      <c r="G81" s="1"/>
      <c r="H81" s="51"/>
    </row>
    <row r="82" spans="1:8" ht="14.1" customHeight="1" x14ac:dyDescent="0.2">
      <c r="A82" s="1"/>
      <c r="B82" s="1"/>
      <c r="C82" s="2" t="s">
        <v>129</v>
      </c>
      <c r="D82" s="1"/>
      <c r="E82" s="1" t="s">
        <v>130</v>
      </c>
      <c r="F82" s="13">
        <v>0</v>
      </c>
      <c r="G82" s="14">
        <v>0</v>
      </c>
      <c r="H82" s="51"/>
    </row>
    <row r="83" spans="1:8" ht="14.1" customHeight="1" x14ac:dyDescent="0.2">
      <c r="A83" s="1"/>
      <c r="B83" s="1"/>
      <c r="C83" s="11"/>
      <c r="D83" s="1"/>
      <c r="E83" s="1"/>
      <c r="F83" s="12"/>
      <c r="G83" s="12"/>
      <c r="H83" s="51"/>
    </row>
    <row r="84" spans="1:8" ht="14.1" customHeight="1" x14ac:dyDescent="0.2">
      <c r="A84" s="1"/>
      <c r="B84" s="1"/>
      <c r="C84" s="2" t="s">
        <v>134</v>
      </c>
      <c r="D84" s="1"/>
      <c r="E84" s="1"/>
      <c r="F84" s="12"/>
      <c r="G84" s="12"/>
      <c r="H84" s="51"/>
    </row>
    <row r="85" spans="1:8" ht="14.1" customHeight="1" x14ac:dyDescent="0.2">
      <c r="A85" s="1"/>
      <c r="B85" s="1"/>
      <c r="C85" s="2" t="s">
        <v>129</v>
      </c>
      <c r="D85" s="1"/>
      <c r="E85" s="1" t="s">
        <v>130</v>
      </c>
      <c r="F85" s="13">
        <v>0</v>
      </c>
      <c r="G85" s="14">
        <v>0</v>
      </c>
      <c r="H85" s="51"/>
    </row>
    <row r="86" spans="1:8" ht="14.1" customHeight="1" x14ac:dyDescent="0.2">
      <c r="A86" s="1"/>
      <c r="B86" s="1"/>
      <c r="C86" s="11"/>
      <c r="D86" s="1"/>
      <c r="E86" s="1"/>
      <c r="F86" s="12"/>
      <c r="G86" s="12"/>
      <c r="H86" s="51"/>
    </row>
    <row r="87" spans="1:8" ht="14.1" customHeight="1" x14ac:dyDescent="0.2">
      <c r="A87" s="1"/>
      <c r="B87" s="1"/>
      <c r="C87" s="2" t="s">
        <v>135</v>
      </c>
      <c r="D87" s="1"/>
      <c r="E87" s="1"/>
      <c r="F87" s="12"/>
      <c r="G87" s="12"/>
      <c r="H87" s="51"/>
    </row>
    <row r="88" spans="1:8" ht="14.1" customHeight="1" x14ac:dyDescent="0.2">
      <c r="A88" s="1"/>
      <c r="B88" s="1"/>
      <c r="C88" s="2" t="s">
        <v>129</v>
      </c>
      <c r="D88" s="1"/>
      <c r="E88" s="1" t="s">
        <v>130</v>
      </c>
      <c r="F88" s="13">
        <v>0</v>
      </c>
      <c r="G88" s="14">
        <v>0</v>
      </c>
      <c r="H88" s="51"/>
    </row>
    <row r="89" spans="1:8" ht="14.1" customHeight="1" x14ac:dyDescent="0.2">
      <c r="A89" s="1"/>
      <c r="B89" s="1"/>
      <c r="C89" s="11"/>
      <c r="D89" s="1"/>
      <c r="E89" s="1"/>
      <c r="F89" s="12"/>
      <c r="G89" s="12"/>
      <c r="H89" s="51"/>
    </row>
    <row r="90" spans="1:8" ht="18" customHeight="1" x14ac:dyDescent="0.2">
      <c r="A90" s="1"/>
      <c r="B90" s="1"/>
      <c r="C90" s="2" t="s">
        <v>136</v>
      </c>
      <c r="D90" s="1"/>
      <c r="E90" s="1"/>
      <c r="F90" s="9">
        <v>3758.0004094999999</v>
      </c>
      <c r="G90" s="10">
        <v>0.89495262399999997</v>
      </c>
      <c r="H90" s="51"/>
    </row>
    <row r="91" spans="1:8" ht="14.1" customHeight="1" x14ac:dyDescent="0.2">
      <c r="A91" s="1"/>
      <c r="B91" s="1"/>
      <c r="C91" s="11"/>
      <c r="D91" s="1"/>
      <c r="E91" s="1"/>
      <c r="F91" s="12"/>
      <c r="G91" s="12"/>
      <c r="H91" s="51"/>
    </row>
    <row r="92" spans="1:8" ht="14.1" customHeight="1" x14ac:dyDescent="0.2">
      <c r="A92" s="1"/>
      <c r="B92" s="1"/>
      <c r="C92" s="2" t="s">
        <v>137</v>
      </c>
      <c r="D92" s="1"/>
      <c r="E92" s="1"/>
      <c r="F92" s="12"/>
      <c r="G92" s="12"/>
      <c r="H92" s="51"/>
    </row>
    <row r="93" spans="1:8" ht="24" customHeight="1" x14ac:dyDescent="0.2">
      <c r="A93" s="1"/>
      <c r="B93" s="1"/>
      <c r="C93" s="2" t="s">
        <v>10</v>
      </c>
      <c r="D93" s="1"/>
      <c r="E93" s="1"/>
      <c r="F93" s="12"/>
      <c r="G93" s="12"/>
      <c r="H93" s="51"/>
    </row>
    <row r="94" spans="1:8" ht="14.1" customHeight="1" x14ac:dyDescent="0.2">
      <c r="A94" s="1"/>
      <c r="B94" s="1"/>
      <c r="C94" s="2" t="s">
        <v>129</v>
      </c>
      <c r="D94" s="1"/>
      <c r="E94" s="1" t="s">
        <v>130</v>
      </c>
      <c r="F94" s="13">
        <v>0</v>
      </c>
      <c r="G94" s="14">
        <v>0</v>
      </c>
      <c r="H94" s="51"/>
    </row>
    <row r="95" spans="1:8" ht="14.1" customHeight="1" x14ac:dyDescent="0.2">
      <c r="A95" s="1"/>
      <c r="B95" s="1"/>
      <c r="C95" s="11"/>
      <c r="D95" s="1"/>
      <c r="E95" s="1"/>
      <c r="F95" s="12"/>
      <c r="G95" s="12"/>
      <c r="H95" s="51"/>
    </row>
    <row r="96" spans="1:8" ht="14.1" customHeight="1" x14ac:dyDescent="0.2">
      <c r="A96" s="1"/>
      <c r="B96" s="1"/>
      <c r="C96" s="2" t="s">
        <v>138</v>
      </c>
      <c r="D96" s="1"/>
      <c r="E96" s="1"/>
      <c r="F96" s="1"/>
      <c r="G96" s="1"/>
      <c r="H96" s="51"/>
    </row>
    <row r="97" spans="1:8" ht="14.1" customHeight="1" x14ac:dyDescent="0.2">
      <c r="A97" s="1"/>
      <c r="B97" s="1"/>
      <c r="C97" s="2" t="s">
        <v>129</v>
      </c>
      <c r="D97" s="1"/>
      <c r="E97" s="1" t="s">
        <v>130</v>
      </c>
      <c r="F97" s="13">
        <v>0</v>
      </c>
      <c r="G97" s="14">
        <v>0</v>
      </c>
      <c r="H97" s="51"/>
    </row>
    <row r="98" spans="1:8" ht="14.1" customHeight="1" x14ac:dyDescent="0.2">
      <c r="A98" s="1"/>
      <c r="B98" s="1"/>
      <c r="C98" s="11"/>
      <c r="D98" s="1"/>
      <c r="E98" s="1"/>
      <c r="F98" s="12"/>
      <c r="G98" s="12"/>
      <c r="H98" s="51"/>
    </row>
    <row r="99" spans="1:8" ht="14.1" customHeight="1" x14ac:dyDescent="0.2">
      <c r="A99" s="1"/>
      <c r="B99" s="1"/>
      <c r="C99" s="2" t="s">
        <v>139</v>
      </c>
      <c r="D99" s="1"/>
      <c r="E99" s="1"/>
      <c r="F99" s="1"/>
      <c r="G99" s="1"/>
      <c r="H99" s="51"/>
    </row>
    <row r="100" spans="1:8" ht="14.1" customHeight="1" x14ac:dyDescent="0.2">
      <c r="A100" s="1"/>
      <c r="B100" s="1"/>
      <c r="C100" s="2" t="s">
        <v>129</v>
      </c>
      <c r="D100" s="1"/>
      <c r="E100" s="1" t="s">
        <v>130</v>
      </c>
      <c r="F100" s="13">
        <v>0</v>
      </c>
      <c r="G100" s="14">
        <v>0</v>
      </c>
      <c r="H100" s="51"/>
    </row>
    <row r="101" spans="1:8" ht="14.1" customHeight="1" x14ac:dyDescent="0.2">
      <c r="A101" s="1"/>
      <c r="B101" s="1"/>
      <c r="C101" s="11"/>
      <c r="D101" s="1"/>
      <c r="E101" s="1"/>
      <c r="F101" s="12"/>
      <c r="G101" s="12"/>
      <c r="H101" s="51"/>
    </row>
    <row r="102" spans="1:8" ht="14.1" customHeight="1" x14ac:dyDescent="0.2">
      <c r="A102" s="1"/>
      <c r="B102" s="1"/>
      <c r="C102" s="2" t="s">
        <v>140</v>
      </c>
      <c r="D102" s="1"/>
      <c r="E102" s="1"/>
      <c r="F102" s="12"/>
      <c r="G102" s="12"/>
      <c r="H102" s="51"/>
    </row>
    <row r="103" spans="1:8" ht="14.1" customHeight="1" x14ac:dyDescent="0.2">
      <c r="A103" s="1"/>
      <c r="B103" s="1"/>
      <c r="C103" s="2" t="s">
        <v>129</v>
      </c>
      <c r="D103" s="1"/>
      <c r="E103" s="1" t="s">
        <v>130</v>
      </c>
      <c r="F103" s="13">
        <v>0</v>
      </c>
      <c r="G103" s="14">
        <v>0</v>
      </c>
      <c r="H103" s="51"/>
    </row>
    <row r="104" spans="1:8" ht="14.1" customHeight="1" x14ac:dyDescent="0.2">
      <c r="A104" s="1"/>
      <c r="B104" s="1"/>
      <c r="C104" s="11"/>
      <c r="D104" s="1"/>
      <c r="E104" s="1"/>
      <c r="F104" s="12"/>
      <c r="G104" s="12"/>
      <c r="H104" s="51"/>
    </row>
    <row r="105" spans="1:8" ht="14.1" customHeight="1" x14ac:dyDescent="0.2">
      <c r="A105" s="1"/>
      <c r="B105" s="1"/>
      <c r="C105" s="2" t="s">
        <v>141</v>
      </c>
      <c r="D105" s="1"/>
      <c r="E105" s="1"/>
      <c r="F105" s="9">
        <v>0</v>
      </c>
      <c r="G105" s="10">
        <v>0</v>
      </c>
      <c r="H105" s="51"/>
    </row>
    <row r="106" spans="1:8" ht="14.1" customHeight="1" x14ac:dyDescent="0.2">
      <c r="A106" s="1"/>
      <c r="B106" s="1"/>
      <c r="C106" s="11"/>
      <c r="D106" s="1"/>
      <c r="E106" s="1"/>
      <c r="F106" s="12"/>
      <c r="G106" s="12"/>
      <c r="H106" s="51"/>
    </row>
    <row r="107" spans="1:8" ht="14.1" customHeight="1" x14ac:dyDescent="0.2">
      <c r="A107" s="1"/>
      <c r="B107" s="1"/>
      <c r="C107" s="2" t="s">
        <v>142</v>
      </c>
      <c r="D107" s="1"/>
      <c r="E107" s="1"/>
      <c r="F107" s="12"/>
      <c r="G107" s="12"/>
      <c r="H107" s="51"/>
    </row>
    <row r="108" spans="1:8" ht="14.1" customHeight="1" x14ac:dyDescent="0.2">
      <c r="A108" s="1"/>
      <c r="B108" s="1"/>
      <c r="C108" s="2" t="s">
        <v>143</v>
      </c>
      <c r="D108" s="1"/>
      <c r="E108" s="1"/>
      <c r="F108" s="12"/>
      <c r="G108" s="12"/>
      <c r="H108" s="51"/>
    </row>
    <row r="109" spans="1:8" ht="14.1" customHeight="1" x14ac:dyDescent="0.2">
      <c r="A109" s="1"/>
      <c r="B109" s="1"/>
      <c r="C109" s="2" t="s">
        <v>129</v>
      </c>
      <c r="D109" s="1"/>
      <c r="E109" s="1" t="s">
        <v>130</v>
      </c>
      <c r="F109" s="13">
        <v>0</v>
      </c>
      <c r="G109" s="14">
        <v>0</v>
      </c>
      <c r="H109" s="51"/>
    </row>
    <row r="110" spans="1:8" ht="14.1" customHeight="1" x14ac:dyDescent="0.2">
      <c r="A110" s="1"/>
      <c r="B110" s="1"/>
      <c r="C110" s="11"/>
      <c r="D110" s="1"/>
      <c r="E110" s="1"/>
      <c r="F110" s="12"/>
      <c r="G110" s="12"/>
      <c r="H110" s="51"/>
    </row>
    <row r="111" spans="1:8" ht="14.1" customHeight="1" x14ac:dyDescent="0.2">
      <c r="A111" s="1"/>
      <c r="B111" s="1"/>
      <c r="C111" s="2" t="s">
        <v>144</v>
      </c>
      <c r="D111" s="1"/>
      <c r="E111" s="1"/>
      <c r="F111" s="12"/>
      <c r="G111" s="12"/>
      <c r="H111" s="51"/>
    </row>
    <row r="112" spans="1:8" ht="14.1" customHeight="1" x14ac:dyDescent="0.2">
      <c r="A112" s="1"/>
      <c r="B112" s="1"/>
      <c r="C112" s="2" t="s">
        <v>129</v>
      </c>
      <c r="D112" s="1"/>
      <c r="E112" s="1" t="s">
        <v>130</v>
      </c>
      <c r="F112" s="13">
        <v>0</v>
      </c>
      <c r="G112" s="14">
        <v>0</v>
      </c>
      <c r="H112" s="51"/>
    </row>
    <row r="113" spans="1:8" ht="14.1" customHeight="1" x14ac:dyDescent="0.2">
      <c r="A113" s="1"/>
      <c r="B113" s="1"/>
      <c r="C113" s="11"/>
      <c r="D113" s="1"/>
      <c r="E113" s="1"/>
      <c r="F113" s="12"/>
      <c r="G113" s="12"/>
      <c r="H113" s="51"/>
    </row>
    <row r="114" spans="1:8" ht="14.1" customHeight="1" x14ac:dyDescent="0.2">
      <c r="A114" s="1"/>
      <c r="B114" s="1"/>
      <c r="C114" s="2" t="s">
        <v>145</v>
      </c>
      <c r="D114" s="1"/>
      <c r="E114" s="1"/>
      <c r="F114" s="12"/>
      <c r="G114" s="12"/>
      <c r="H114" s="51"/>
    </row>
    <row r="115" spans="1:8" ht="14.1" customHeight="1" x14ac:dyDescent="0.2">
      <c r="A115" s="1"/>
      <c r="B115" s="1"/>
      <c r="C115" s="2" t="s">
        <v>129</v>
      </c>
      <c r="D115" s="1"/>
      <c r="E115" s="1" t="s">
        <v>130</v>
      </c>
      <c r="F115" s="13">
        <v>0</v>
      </c>
      <c r="G115" s="14">
        <v>0</v>
      </c>
      <c r="H115" s="51"/>
    </row>
    <row r="116" spans="1:8" ht="14.1" customHeight="1" x14ac:dyDescent="0.2">
      <c r="A116" s="1"/>
      <c r="B116" s="1"/>
      <c r="C116" s="11"/>
      <c r="D116" s="1"/>
      <c r="E116" s="1"/>
      <c r="F116" s="12"/>
      <c r="G116" s="12"/>
      <c r="H116" s="51"/>
    </row>
    <row r="117" spans="1:8" ht="14.1" customHeight="1" x14ac:dyDescent="0.2">
      <c r="A117" s="1"/>
      <c r="B117" s="1"/>
      <c r="C117" s="2" t="s">
        <v>146</v>
      </c>
      <c r="D117" s="1"/>
      <c r="E117" s="1"/>
      <c r="F117" s="12"/>
      <c r="G117" s="12"/>
      <c r="H117" s="51"/>
    </row>
    <row r="118" spans="1:8" ht="17.100000000000001" customHeight="1" x14ac:dyDescent="0.2">
      <c r="A118" s="3">
        <v>1</v>
      </c>
      <c r="B118" s="4"/>
      <c r="C118" s="4" t="s">
        <v>147</v>
      </c>
      <c r="D118" s="4"/>
      <c r="E118" s="8"/>
      <c r="F118" s="6">
        <v>437.47428200000002</v>
      </c>
      <c r="G118" s="7">
        <v>0.104182734</v>
      </c>
      <c r="H118" s="51">
        <v>6.1245112103248278</v>
      </c>
    </row>
    <row r="119" spans="1:8" ht="14.1" customHeight="1" x14ac:dyDescent="0.2">
      <c r="A119" s="1"/>
      <c r="B119" s="1"/>
      <c r="C119" s="2" t="s">
        <v>129</v>
      </c>
      <c r="D119" s="1"/>
      <c r="E119" s="1" t="s">
        <v>130</v>
      </c>
      <c r="F119" s="9">
        <v>437.47428200000002</v>
      </c>
      <c r="G119" s="10">
        <v>0.104182734</v>
      </c>
      <c r="H119" s="51"/>
    </row>
    <row r="120" spans="1:8" ht="14.1" customHeight="1" x14ac:dyDescent="0.2">
      <c r="A120" s="1"/>
      <c r="B120" s="1"/>
      <c r="C120" s="11"/>
      <c r="D120" s="1"/>
      <c r="E120" s="1"/>
      <c r="F120" s="12"/>
      <c r="G120" s="12"/>
      <c r="H120" s="51"/>
    </row>
    <row r="121" spans="1:8" ht="14.1" customHeight="1" x14ac:dyDescent="0.2">
      <c r="A121" s="1"/>
      <c r="B121" s="1"/>
      <c r="C121" s="2" t="s">
        <v>148</v>
      </c>
      <c r="D121" s="1"/>
      <c r="E121" s="1"/>
      <c r="F121" s="9">
        <v>437.47428200000002</v>
      </c>
      <c r="G121" s="10">
        <v>0.104182734</v>
      </c>
      <c r="H121" s="51"/>
    </row>
    <row r="122" spans="1:8" ht="14.1" customHeight="1" x14ac:dyDescent="0.2">
      <c r="A122" s="1"/>
      <c r="B122" s="1"/>
      <c r="C122" s="12"/>
      <c r="D122" s="1"/>
      <c r="E122" s="1"/>
      <c r="F122" s="1"/>
      <c r="G122" s="1"/>
      <c r="H122" s="51"/>
    </row>
    <row r="123" spans="1:8" ht="14.1" customHeight="1" x14ac:dyDescent="0.2">
      <c r="A123" s="1"/>
      <c r="B123" s="1"/>
      <c r="C123" s="2" t="s">
        <v>149</v>
      </c>
      <c r="D123" s="1"/>
      <c r="E123" s="1"/>
      <c r="F123" s="1"/>
      <c r="G123" s="1"/>
      <c r="H123" s="51"/>
    </row>
    <row r="124" spans="1:8" ht="14.1" customHeight="1" x14ac:dyDescent="0.2">
      <c r="A124" s="1"/>
      <c r="B124" s="1"/>
      <c r="C124" s="2" t="s">
        <v>150</v>
      </c>
      <c r="D124" s="1"/>
      <c r="E124" s="1"/>
      <c r="F124" s="1"/>
      <c r="G124" s="1"/>
      <c r="H124" s="51"/>
    </row>
    <row r="125" spans="1:8" ht="14.1" customHeight="1" x14ac:dyDescent="0.2">
      <c r="A125" s="1"/>
      <c r="B125" s="1"/>
      <c r="C125" s="2" t="s">
        <v>129</v>
      </c>
      <c r="D125" s="1"/>
      <c r="E125" s="1" t="s">
        <v>130</v>
      </c>
      <c r="F125" s="13">
        <v>0</v>
      </c>
      <c r="G125" s="14">
        <v>0</v>
      </c>
      <c r="H125" s="51"/>
    </row>
    <row r="126" spans="1:8" ht="14.1" customHeight="1" x14ac:dyDescent="0.2">
      <c r="A126" s="1"/>
      <c r="B126" s="1"/>
      <c r="C126" s="11"/>
      <c r="D126" s="1"/>
      <c r="E126" s="1"/>
      <c r="F126" s="12"/>
      <c r="G126" s="12"/>
      <c r="H126" s="51"/>
    </row>
    <row r="127" spans="1:8" ht="14.1" customHeight="1" x14ac:dyDescent="0.2">
      <c r="A127" s="1"/>
      <c r="B127" s="1"/>
      <c r="C127" s="2" t="s">
        <v>151</v>
      </c>
      <c r="D127" s="1"/>
      <c r="E127" s="1"/>
      <c r="F127" s="1"/>
      <c r="G127" s="1"/>
      <c r="H127" s="51"/>
    </row>
    <row r="128" spans="1:8" ht="14.1" customHeight="1" x14ac:dyDescent="0.2">
      <c r="A128" s="1"/>
      <c r="B128" s="1"/>
      <c r="C128" s="2" t="s">
        <v>152</v>
      </c>
      <c r="D128" s="1"/>
      <c r="E128" s="1"/>
      <c r="F128" s="1"/>
      <c r="G128" s="1"/>
      <c r="H128" s="51"/>
    </row>
    <row r="129" spans="1:8" ht="14.1" customHeight="1" x14ac:dyDescent="0.2">
      <c r="A129" s="1"/>
      <c r="B129" s="1"/>
      <c r="C129" s="2" t="s">
        <v>129</v>
      </c>
      <c r="D129" s="1"/>
      <c r="E129" s="1" t="s">
        <v>130</v>
      </c>
      <c r="F129" s="13">
        <v>0</v>
      </c>
      <c r="G129" s="14">
        <v>0</v>
      </c>
      <c r="H129" s="51"/>
    </row>
    <row r="130" spans="1:8" ht="14.1" customHeight="1" x14ac:dyDescent="0.2">
      <c r="A130" s="1"/>
      <c r="B130" s="1"/>
      <c r="C130" s="11"/>
      <c r="D130" s="1"/>
      <c r="E130" s="1"/>
      <c r="F130" s="12"/>
      <c r="G130" s="12"/>
      <c r="H130" s="51"/>
    </row>
    <row r="131" spans="1:8" ht="14.1" customHeight="1" x14ac:dyDescent="0.2">
      <c r="A131" s="1"/>
      <c r="B131" s="1"/>
      <c r="C131" s="11"/>
      <c r="D131" s="1"/>
      <c r="E131" s="1"/>
      <c r="F131" s="12"/>
      <c r="G131" s="12"/>
      <c r="H131" s="51"/>
    </row>
    <row r="132" spans="1:8" ht="24" customHeight="1" x14ac:dyDescent="0.2">
      <c r="A132" s="1"/>
      <c r="B132" s="1"/>
      <c r="C132" s="2" t="s">
        <v>153</v>
      </c>
      <c r="D132" s="1"/>
      <c r="E132" s="1"/>
      <c r="F132" s="12"/>
      <c r="G132" s="12"/>
      <c r="H132" s="51"/>
    </row>
    <row r="133" spans="1:8" ht="14.1" customHeight="1" x14ac:dyDescent="0.2">
      <c r="A133" s="1"/>
      <c r="B133" s="1"/>
      <c r="C133" s="2" t="s">
        <v>129</v>
      </c>
      <c r="D133" s="1"/>
      <c r="E133" s="1" t="s">
        <v>130</v>
      </c>
      <c r="F133" s="13">
        <v>0</v>
      </c>
      <c r="G133" s="14">
        <v>0</v>
      </c>
      <c r="H133" s="51"/>
    </row>
    <row r="134" spans="1:8" ht="14.1" customHeight="1" x14ac:dyDescent="0.2">
      <c r="A134" s="1"/>
      <c r="B134" s="1"/>
      <c r="C134" s="11"/>
      <c r="D134" s="1"/>
      <c r="E134" s="1"/>
      <c r="F134" s="12"/>
      <c r="G134" s="12"/>
      <c r="H134" s="51"/>
    </row>
    <row r="135" spans="1:8" ht="14.1" customHeight="1" x14ac:dyDescent="0.2">
      <c r="A135" s="1"/>
      <c r="B135" s="4"/>
      <c r="C135" s="4"/>
      <c r="D135" s="2"/>
      <c r="E135" s="1"/>
      <c r="F135" s="4"/>
      <c r="G135" s="8"/>
      <c r="H135" s="51"/>
    </row>
    <row r="136" spans="1:8" ht="18" customHeight="1" x14ac:dyDescent="0.2">
      <c r="A136" s="8"/>
      <c r="B136" s="4"/>
      <c r="C136" s="4" t="s">
        <v>154</v>
      </c>
      <c r="D136" s="4"/>
      <c r="E136" s="8"/>
      <c r="F136" s="6">
        <v>3.6307261799999999</v>
      </c>
      <c r="G136" s="7">
        <v>8.6464300000000001E-4</v>
      </c>
      <c r="H136" s="51"/>
    </row>
    <row r="137" spans="1:8" ht="14.1" customHeight="1" x14ac:dyDescent="0.2">
      <c r="A137" s="11"/>
      <c r="B137" s="11"/>
      <c r="C137" s="2" t="s">
        <v>155</v>
      </c>
      <c r="D137" s="15"/>
      <c r="E137" s="15"/>
      <c r="F137" s="9">
        <v>4199.1054176799998</v>
      </c>
      <c r="G137" s="10">
        <v>1.0000000010000001</v>
      </c>
      <c r="H137" s="51"/>
    </row>
    <row r="138" spans="1:8" ht="14.1" customHeight="1" x14ac:dyDescent="0.2">
      <c r="A138" s="16"/>
      <c r="B138" s="16"/>
      <c r="C138" s="16"/>
      <c r="D138" s="17"/>
      <c r="E138" s="17"/>
      <c r="F138" s="17"/>
      <c r="G138" s="17"/>
    </row>
    <row r="139" spans="1:8" ht="14.1" customHeight="1" x14ac:dyDescent="0.2">
      <c r="A139" s="18"/>
      <c r="B139" s="18"/>
      <c r="C139" s="18"/>
      <c r="D139" s="20"/>
      <c r="E139" s="20"/>
      <c r="F139" s="20"/>
      <c r="G139" s="20"/>
    </row>
    <row r="140" spans="1:8" ht="14.1" customHeight="1" x14ac:dyDescent="0.2">
      <c r="A140" s="18"/>
      <c r="B140" s="325" t="s">
        <v>157</v>
      </c>
      <c r="C140" s="326"/>
      <c r="D140" s="12" t="s">
        <v>130</v>
      </c>
      <c r="E140" s="21"/>
      <c r="F140" s="20"/>
      <c r="G140" s="20"/>
    </row>
    <row r="141" spans="1:8" ht="29.1" customHeight="1" x14ac:dyDescent="0.2">
      <c r="A141" s="18"/>
      <c r="B141" s="318" t="s">
        <v>158</v>
      </c>
      <c r="C141" s="319"/>
      <c r="D141" s="2" t="s">
        <v>159</v>
      </c>
      <c r="E141" s="21"/>
      <c r="F141" s="20"/>
      <c r="G141" s="20"/>
    </row>
    <row r="142" spans="1:8" ht="17.100000000000001" customHeight="1" x14ac:dyDescent="0.2">
      <c r="A142" s="18"/>
      <c r="B142" s="318" t="s">
        <v>160</v>
      </c>
      <c r="C142" s="319"/>
      <c r="D142" s="2" t="s">
        <v>159</v>
      </c>
      <c r="E142" s="21"/>
      <c r="F142" s="20"/>
      <c r="G142" s="20"/>
    </row>
    <row r="143" spans="1:8" ht="17.100000000000001" customHeight="1" x14ac:dyDescent="0.2">
      <c r="A143" s="18"/>
      <c r="B143" s="318" t="s">
        <v>161</v>
      </c>
      <c r="C143" s="319"/>
      <c r="D143" s="12" t="s">
        <v>130</v>
      </c>
      <c r="E143" s="21"/>
      <c r="F143" s="20"/>
      <c r="G143" s="20"/>
    </row>
    <row r="144" spans="1:8" ht="24" customHeight="1" x14ac:dyDescent="0.2">
      <c r="A144" s="22"/>
      <c r="B144" s="23" t="s">
        <v>130</v>
      </c>
      <c r="C144" s="23" t="s">
        <v>162</v>
      </c>
      <c r="D144" s="23" t="s">
        <v>163</v>
      </c>
      <c r="E144" s="22"/>
      <c r="F144" s="22"/>
      <c r="G144" s="22"/>
    </row>
    <row r="145" spans="1:7" ht="18" customHeight="1" x14ac:dyDescent="0.2">
      <c r="A145" s="22"/>
      <c r="B145" s="23" t="s">
        <v>164</v>
      </c>
      <c r="C145" s="23" t="s">
        <v>165</v>
      </c>
      <c r="D145" s="23" t="s">
        <v>166</v>
      </c>
      <c r="E145" s="22"/>
      <c r="F145" s="22"/>
      <c r="G145" s="22"/>
    </row>
    <row r="146" spans="1:7" ht="17.100000000000001" customHeight="1" x14ac:dyDescent="0.2">
      <c r="A146" s="22"/>
      <c r="B146" s="4" t="s">
        <v>167</v>
      </c>
      <c r="C146" s="24">
        <v>23.025099999999998</v>
      </c>
      <c r="D146" s="24">
        <v>23.073799999999999</v>
      </c>
      <c r="E146" s="22"/>
      <c r="F146" s="19"/>
      <c r="G146" s="25"/>
    </row>
    <row r="147" spans="1:7" ht="17.100000000000001" customHeight="1" x14ac:dyDescent="0.2">
      <c r="A147" s="22"/>
      <c r="B147" s="4" t="s">
        <v>1067</v>
      </c>
      <c r="C147" s="24">
        <v>21.5852</v>
      </c>
      <c r="D147" s="24">
        <v>21.630800000000001</v>
      </c>
      <c r="E147" s="22"/>
      <c r="F147" s="19"/>
      <c r="G147" s="25"/>
    </row>
    <row r="148" spans="1:7" ht="17.100000000000001" customHeight="1" x14ac:dyDescent="0.2">
      <c r="A148" s="22"/>
      <c r="B148" s="4" t="s">
        <v>168</v>
      </c>
      <c r="C148" s="24">
        <v>22.524799999999999</v>
      </c>
      <c r="D148" s="24">
        <v>22.562100000000001</v>
      </c>
      <c r="E148" s="22"/>
      <c r="F148" s="19"/>
      <c r="G148" s="25"/>
    </row>
    <row r="149" spans="1:7" ht="17.100000000000001" customHeight="1" x14ac:dyDescent="0.2">
      <c r="A149" s="22"/>
      <c r="B149" s="4" t="s">
        <v>1068</v>
      </c>
      <c r="C149" s="24">
        <v>21.095199999999998</v>
      </c>
      <c r="D149" s="24">
        <v>21.130099999999999</v>
      </c>
      <c r="E149" s="22"/>
      <c r="F149" s="19"/>
      <c r="G149" s="25"/>
    </row>
    <row r="150" spans="1:7" ht="14.1" customHeight="1" x14ac:dyDescent="0.2">
      <c r="A150" s="22"/>
      <c r="B150" s="22"/>
      <c r="C150" s="22"/>
      <c r="D150" s="22"/>
      <c r="E150" s="22"/>
      <c r="F150" s="22"/>
      <c r="G150" s="22"/>
    </row>
    <row r="151" spans="1:7" ht="17.100000000000001" customHeight="1" x14ac:dyDescent="0.2">
      <c r="A151" s="22"/>
      <c r="B151" s="318" t="s">
        <v>1069</v>
      </c>
      <c r="C151" s="319"/>
      <c r="D151" s="111" t="s">
        <v>159</v>
      </c>
      <c r="E151" s="22"/>
      <c r="F151" s="22"/>
      <c r="G151" s="22"/>
    </row>
    <row r="152" spans="1:7" ht="18" customHeight="1" x14ac:dyDescent="0.2">
      <c r="A152" s="22"/>
      <c r="B152" s="26"/>
      <c r="C152" s="26"/>
      <c r="D152" s="27"/>
      <c r="E152" s="22"/>
      <c r="F152" s="22"/>
      <c r="G152" s="22"/>
    </row>
    <row r="153" spans="1:7" ht="29.1" customHeight="1" x14ac:dyDescent="0.2">
      <c r="A153" s="22"/>
      <c r="B153" s="318" t="s">
        <v>169</v>
      </c>
      <c r="C153" s="319"/>
      <c r="D153" s="2" t="s">
        <v>159</v>
      </c>
      <c r="E153" s="22"/>
      <c r="F153" s="22"/>
      <c r="G153" s="22"/>
    </row>
    <row r="154" spans="1:7" ht="29.1" customHeight="1" x14ac:dyDescent="0.2">
      <c r="A154" s="22"/>
      <c r="B154" s="318" t="s">
        <v>170</v>
      </c>
      <c r="C154" s="319"/>
      <c r="D154" s="2" t="s">
        <v>159</v>
      </c>
      <c r="E154" s="22"/>
      <c r="F154" s="22"/>
      <c r="G154" s="22"/>
    </row>
    <row r="155" spans="1:7" ht="17.100000000000001" customHeight="1" x14ac:dyDescent="0.2">
      <c r="A155" s="22"/>
      <c r="B155" s="318" t="s">
        <v>171</v>
      </c>
      <c r="C155" s="319"/>
      <c r="D155" s="28">
        <v>0.3300816880031045</v>
      </c>
      <c r="E155" s="22"/>
      <c r="F155" s="19"/>
      <c r="G155" s="25"/>
    </row>
    <row r="156" spans="1:7" ht="17.100000000000001" customHeight="1" x14ac:dyDescent="0.2">
      <c r="A156" s="22"/>
      <c r="B156" s="318" t="s">
        <v>172</v>
      </c>
      <c r="C156" s="319"/>
      <c r="D156" s="2" t="s">
        <v>159</v>
      </c>
      <c r="E156" s="22"/>
      <c r="F156" s="22"/>
      <c r="G156" s="22"/>
    </row>
    <row r="162" spans="10:15" x14ac:dyDescent="0.2">
      <c r="J162" s="158"/>
      <c r="K162" s="158"/>
      <c r="L162" s="158"/>
      <c r="M162" s="158"/>
      <c r="N162" s="158"/>
      <c r="O162" s="158"/>
    </row>
  </sheetData>
  <mergeCells count="13">
    <mergeCell ref="A1:H1"/>
    <mergeCell ref="A2:H2"/>
    <mergeCell ref="A3:H3"/>
    <mergeCell ref="B155:C155"/>
    <mergeCell ref="J2:N2"/>
    <mergeCell ref="B140:C140"/>
    <mergeCell ref="B156:C156"/>
    <mergeCell ref="B141:C141"/>
    <mergeCell ref="B142:C142"/>
    <mergeCell ref="B143:C143"/>
    <mergeCell ref="B151:C151"/>
    <mergeCell ref="B153:C153"/>
    <mergeCell ref="B154:C154"/>
  </mergeCells>
  <hyperlinks>
    <hyperlink ref="I1" location="Index!B13" display="Index" xr:uid="{7CBB543C-7E9A-4C3D-B0FD-0B8D80F9629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O15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469</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29</v>
      </c>
      <c r="C7" s="4" t="s">
        <v>30</v>
      </c>
      <c r="D7" s="4" t="s">
        <v>31</v>
      </c>
      <c r="E7" s="5">
        <v>33960</v>
      </c>
      <c r="F7" s="6">
        <v>678.53778</v>
      </c>
      <c r="G7" s="7">
        <v>4.625891E-2</v>
      </c>
      <c r="H7" s="51"/>
    </row>
    <row r="8" spans="1:14" ht="17.100000000000001" customHeight="1" x14ac:dyDescent="0.2">
      <c r="A8" s="3">
        <v>2</v>
      </c>
      <c r="B8" s="4" t="s">
        <v>102</v>
      </c>
      <c r="C8" s="4" t="s">
        <v>103</v>
      </c>
      <c r="D8" s="4" t="s">
        <v>104</v>
      </c>
      <c r="E8" s="5">
        <v>119971</v>
      </c>
      <c r="F8" s="6">
        <v>510.89650349999999</v>
      </c>
      <c r="G8" s="7">
        <v>3.4830066E-2</v>
      </c>
      <c r="H8" s="51"/>
    </row>
    <row r="9" spans="1:14" ht="29.1" customHeight="1" x14ac:dyDescent="0.2">
      <c r="A9" s="3">
        <v>3</v>
      </c>
      <c r="B9" s="4" t="s">
        <v>185</v>
      </c>
      <c r="C9" s="4" t="s">
        <v>186</v>
      </c>
      <c r="D9" s="4" t="s">
        <v>104</v>
      </c>
      <c r="E9" s="5">
        <v>120960</v>
      </c>
      <c r="F9" s="6">
        <v>498.23424</v>
      </c>
      <c r="G9" s="7">
        <v>3.3966823E-2</v>
      </c>
      <c r="H9" s="51"/>
    </row>
    <row r="10" spans="1:14" ht="17.100000000000001" customHeight="1" x14ac:dyDescent="0.2">
      <c r="A10" s="3">
        <v>4</v>
      </c>
      <c r="B10" s="4" t="s">
        <v>32</v>
      </c>
      <c r="C10" s="4" t="s">
        <v>33</v>
      </c>
      <c r="D10" s="4" t="s">
        <v>31</v>
      </c>
      <c r="E10" s="5">
        <v>19181</v>
      </c>
      <c r="F10" s="6">
        <v>395.92461150000003</v>
      </c>
      <c r="G10" s="7">
        <v>2.6991925E-2</v>
      </c>
      <c r="H10" s="51"/>
    </row>
    <row r="11" spans="1:14" ht="17.100000000000001" customHeight="1" x14ac:dyDescent="0.2">
      <c r="A11" s="3">
        <v>5</v>
      </c>
      <c r="B11" s="4" t="s">
        <v>379</v>
      </c>
      <c r="C11" s="4" t="s">
        <v>380</v>
      </c>
      <c r="D11" s="4" t="s">
        <v>97</v>
      </c>
      <c r="E11" s="5">
        <v>384936</v>
      </c>
      <c r="F11" s="6">
        <v>381.66404399999999</v>
      </c>
      <c r="G11" s="7">
        <v>2.6019719E-2</v>
      </c>
      <c r="H11" s="51"/>
    </row>
    <row r="12" spans="1:14" ht="17.100000000000001" customHeight="1" x14ac:dyDescent="0.2">
      <c r="A12" s="3">
        <v>6</v>
      </c>
      <c r="B12" s="4" t="s">
        <v>387</v>
      </c>
      <c r="C12" s="4" t="s">
        <v>388</v>
      </c>
      <c r="D12" s="4" t="s">
        <v>208</v>
      </c>
      <c r="E12" s="5">
        <v>127326</v>
      </c>
      <c r="F12" s="6">
        <v>364.27968600000003</v>
      </c>
      <c r="G12" s="7">
        <v>2.4834551E-2</v>
      </c>
      <c r="H12" s="51"/>
    </row>
    <row r="13" spans="1:14" ht="29.1" customHeight="1" x14ac:dyDescent="0.2">
      <c r="A13" s="3">
        <v>7</v>
      </c>
      <c r="B13" s="4" t="s">
        <v>182</v>
      </c>
      <c r="C13" s="4" t="s">
        <v>183</v>
      </c>
      <c r="D13" s="4" t="s">
        <v>184</v>
      </c>
      <c r="E13" s="5">
        <v>7906</v>
      </c>
      <c r="F13" s="6">
        <v>355.04660100000001</v>
      </c>
      <c r="G13" s="7">
        <v>2.4205091000000001E-2</v>
      </c>
      <c r="H13" s="51"/>
      <c r="J13" s="157" t="s">
        <v>1097</v>
      </c>
    </row>
    <row r="14" spans="1:14" ht="17.100000000000001" customHeight="1" x14ac:dyDescent="0.2">
      <c r="A14" s="3">
        <v>8</v>
      </c>
      <c r="B14" s="4" t="s">
        <v>82</v>
      </c>
      <c r="C14" s="4" t="s">
        <v>83</v>
      </c>
      <c r="D14" s="4" t="s">
        <v>31</v>
      </c>
      <c r="E14" s="5">
        <v>23527</v>
      </c>
      <c r="F14" s="6">
        <v>340.035731</v>
      </c>
      <c r="G14" s="7">
        <v>2.3181733999999999E-2</v>
      </c>
      <c r="H14" s="51"/>
    </row>
    <row r="15" spans="1:14" ht="17.100000000000001" customHeight="1" x14ac:dyDescent="0.2">
      <c r="A15" s="3">
        <v>9</v>
      </c>
      <c r="B15" s="4" t="s">
        <v>70</v>
      </c>
      <c r="C15" s="4" t="s">
        <v>71</v>
      </c>
      <c r="D15" s="4" t="s">
        <v>72</v>
      </c>
      <c r="E15" s="5">
        <v>10363</v>
      </c>
      <c r="F15" s="6">
        <v>332.89583049999999</v>
      </c>
      <c r="G15" s="7">
        <v>2.2694974999999999E-2</v>
      </c>
      <c r="H15" s="51"/>
    </row>
    <row r="16" spans="1:14" ht="29.1" customHeight="1" x14ac:dyDescent="0.2">
      <c r="A16" s="3">
        <v>10</v>
      </c>
      <c r="B16" s="4" t="s">
        <v>399</v>
      </c>
      <c r="C16" s="4" t="s">
        <v>400</v>
      </c>
      <c r="D16" s="4" t="s">
        <v>48</v>
      </c>
      <c r="E16" s="5">
        <v>12377</v>
      </c>
      <c r="F16" s="6">
        <v>332.65662900000001</v>
      </c>
      <c r="G16" s="7">
        <v>2.2678667999999999E-2</v>
      </c>
      <c r="H16" s="51"/>
    </row>
    <row r="17" spans="1:8" ht="17.100000000000001" customHeight="1" x14ac:dyDescent="0.2">
      <c r="A17" s="3">
        <v>11</v>
      </c>
      <c r="B17" s="4" t="s">
        <v>383</v>
      </c>
      <c r="C17" s="4" t="s">
        <v>384</v>
      </c>
      <c r="D17" s="4" t="s">
        <v>104</v>
      </c>
      <c r="E17" s="5">
        <v>20160</v>
      </c>
      <c r="F17" s="6">
        <v>332.52911999999998</v>
      </c>
      <c r="G17" s="7">
        <v>2.2669974999999998E-2</v>
      </c>
      <c r="H17" s="51"/>
    </row>
    <row r="18" spans="1:8" ht="17.100000000000001" customHeight="1" x14ac:dyDescent="0.2">
      <c r="A18" s="3">
        <v>12</v>
      </c>
      <c r="B18" s="4" t="s">
        <v>302</v>
      </c>
      <c r="C18" s="4" t="s">
        <v>303</v>
      </c>
      <c r="D18" s="4" t="s">
        <v>251</v>
      </c>
      <c r="E18" s="5">
        <v>64027</v>
      </c>
      <c r="F18" s="6">
        <v>327.33803749999998</v>
      </c>
      <c r="G18" s="7">
        <v>2.2316076000000001E-2</v>
      </c>
      <c r="H18" s="51"/>
    </row>
    <row r="19" spans="1:8" ht="17.100000000000001" customHeight="1" x14ac:dyDescent="0.2">
      <c r="A19" s="3">
        <v>13</v>
      </c>
      <c r="B19" s="4" t="s">
        <v>17</v>
      </c>
      <c r="C19" s="4" t="s">
        <v>18</v>
      </c>
      <c r="D19" s="4" t="s">
        <v>19</v>
      </c>
      <c r="E19" s="5">
        <v>40285</v>
      </c>
      <c r="F19" s="6">
        <v>322.23971499999999</v>
      </c>
      <c r="G19" s="7">
        <v>2.1968501000000001E-2</v>
      </c>
      <c r="H19" s="51"/>
    </row>
    <row r="20" spans="1:8" ht="17.100000000000001" customHeight="1" x14ac:dyDescent="0.2">
      <c r="A20" s="3">
        <v>14</v>
      </c>
      <c r="B20" s="4" t="s">
        <v>319</v>
      </c>
      <c r="C20" s="4" t="s">
        <v>320</v>
      </c>
      <c r="D20" s="4" t="s">
        <v>248</v>
      </c>
      <c r="E20" s="5">
        <v>21555</v>
      </c>
      <c r="F20" s="6">
        <v>320.90006249999999</v>
      </c>
      <c r="G20" s="7">
        <v>2.1877171000000001E-2</v>
      </c>
      <c r="H20" s="51"/>
    </row>
    <row r="21" spans="1:8" ht="17.100000000000001" customHeight="1" x14ac:dyDescent="0.2">
      <c r="A21" s="3">
        <v>15</v>
      </c>
      <c r="B21" s="4" t="s">
        <v>417</v>
      </c>
      <c r="C21" s="4" t="s">
        <v>418</v>
      </c>
      <c r="D21" s="4" t="s">
        <v>92</v>
      </c>
      <c r="E21" s="5">
        <v>21498</v>
      </c>
      <c r="F21" s="6">
        <v>300.77851800000002</v>
      </c>
      <c r="G21" s="7">
        <v>2.0505397000000002E-2</v>
      </c>
      <c r="H21" s="51"/>
    </row>
    <row r="22" spans="1:8" ht="17.100000000000001" customHeight="1" x14ac:dyDescent="0.2">
      <c r="A22" s="3">
        <v>16</v>
      </c>
      <c r="B22" s="4" t="s">
        <v>381</v>
      </c>
      <c r="C22" s="4" t="s">
        <v>382</v>
      </c>
      <c r="D22" s="4" t="s">
        <v>277</v>
      </c>
      <c r="E22" s="5">
        <v>23695</v>
      </c>
      <c r="F22" s="6">
        <v>298.82949250000001</v>
      </c>
      <c r="G22" s="7">
        <v>2.0372523E-2</v>
      </c>
      <c r="H22" s="51"/>
    </row>
    <row r="23" spans="1:8" ht="29.1" customHeight="1" x14ac:dyDescent="0.2">
      <c r="A23" s="3">
        <v>17</v>
      </c>
      <c r="B23" s="4" t="s">
        <v>201</v>
      </c>
      <c r="C23" s="4" t="s">
        <v>202</v>
      </c>
      <c r="D23" s="4" t="s">
        <v>203</v>
      </c>
      <c r="E23" s="5">
        <v>53018</v>
      </c>
      <c r="F23" s="6">
        <v>271.98234000000002</v>
      </c>
      <c r="G23" s="7">
        <v>1.8542234000000001E-2</v>
      </c>
      <c r="H23" s="51"/>
    </row>
    <row r="24" spans="1:8" ht="17.100000000000001" customHeight="1" x14ac:dyDescent="0.2">
      <c r="A24" s="3">
        <v>18</v>
      </c>
      <c r="B24" s="4" t="s">
        <v>401</v>
      </c>
      <c r="C24" s="4" t="s">
        <v>402</v>
      </c>
      <c r="D24" s="4" t="s">
        <v>223</v>
      </c>
      <c r="E24" s="5">
        <v>40028</v>
      </c>
      <c r="F24" s="6">
        <v>264.14477199999999</v>
      </c>
      <c r="G24" s="7">
        <v>1.8007913E-2</v>
      </c>
      <c r="H24" s="51"/>
    </row>
    <row r="25" spans="1:8" ht="17.100000000000001" customHeight="1" x14ac:dyDescent="0.2">
      <c r="A25" s="3">
        <v>19</v>
      </c>
      <c r="B25" s="4" t="s">
        <v>313</v>
      </c>
      <c r="C25" s="4" t="s">
        <v>314</v>
      </c>
      <c r="D25" s="4" t="s">
        <v>315</v>
      </c>
      <c r="E25" s="5">
        <v>18321</v>
      </c>
      <c r="F25" s="6">
        <v>249.53201999999999</v>
      </c>
      <c r="G25" s="7">
        <v>1.7011696999999999E-2</v>
      </c>
      <c r="H25" s="51"/>
    </row>
    <row r="26" spans="1:8" ht="17.100000000000001" customHeight="1" x14ac:dyDescent="0.2">
      <c r="A26" s="3">
        <v>20</v>
      </c>
      <c r="B26" s="4" t="s">
        <v>174</v>
      </c>
      <c r="C26" s="4" t="s">
        <v>175</v>
      </c>
      <c r="D26" s="4" t="s">
        <v>22</v>
      </c>
      <c r="E26" s="5">
        <v>102232</v>
      </c>
      <c r="F26" s="6">
        <v>221.127816</v>
      </c>
      <c r="G26" s="7">
        <v>1.5075257E-2</v>
      </c>
      <c r="H26" s="51"/>
    </row>
    <row r="27" spans="1:8" ht="17.100000000000001" customHeight="1" x14ac:dyDescent="0.2">
      <c r="A27" s="3">
        <v>21</v>
      </c>
      <c r="B27" s="4" t="s">
        <v>389</v>
      </c>
      <c r="C27" s="4" t="s">
        <v>390</v>
      </c>
      <c r="D27" s="4" t="s">
        <v>248</v>
      </c>
      <c r="E27" s="5">
        <v>30500</v>
      </c>
      <c r="F27" s="6">
        <v>219.11199999999999</v>
      </c>
      <c r="G27" s="7">
        <v>1.4937829999999999E-2</v>
      </c>
      <c r="H27" s="51"/>
    </row>
    <row r="28" spans="1:8" ht="17.100000000000001" customHeight="1" x14ac:dyDescent="0.2">
      <c r="A28" s="3">
        <v>22</v>
      </c>
      <c r="B28" s="4" t="s">
        <v>391</v>
      </c>
      <c r="C28" s="4" t="s">
        <v>392</v>
      </c>
      <c r="D28" s="4" t="s">
        <v>97</v>
      </c>
      <c r="E28" s="5">
        <v>43956</v>
      </c>
      <c r="F28" s="6">
        <v>210.90088800000001</v>
      </c>
      <c r="G28" s="7">
        <v>1.4378043E-2</v>
      </c>
      <c r="H28" s="51"/>
    </row>
    <row r="29" spans="1:8" ht="17.100000000000001" customHeight="1" x14ac:dyDescent="0.2">
      <c r="A29" s="3">
        <v>23</v>
      </c>
      <c r="B29" s="4" t="s">
        <v>393</v>
      </c>
      <c r="C29" s="4" t="s">
        <v>394</v>
      </c>
      <c r="D29" s="4" t="s">
        <v>97</v>
      </c>
      <c r="E29" s="5">
        <v>22444</v>
      </c>
      <c r="F29" s="6">
        <v>196.059562</v>
      </c>
      <c r="G29" s="7">
        <v>1.3366243999999999E-2</v>
      </c>
      <c r="H29" s="51"/>
    </row>
    <row r="30" spans="1:8" ht="17.100000000000001" customHeight="1" x14ac:dyDescent="0.2">
      <c r="A30" s="3">
        <v>24</v>
      </c>
      <c r="B30" s="4" t="s">
        <v>415</v>
      </c>
      <c r="C30" s="4" t="s">
        <v>416</v>
      </c>
      <c r="D30" s="4" t="s">
        <v>31</v>
      </c>
      <c r="E30" s="5">
        <v>20871</v>
      </c>
      <c r="F30" s="6">
        <v>190.823553</v>
      </c>
      <c r="G30" s="7">
        <v>1.3009282E-2</v>
      </c>
      <c r="H30" s="51"/>
    </row>
    <row r="31" spans="1:8" ht="29.1" customHeight="1" x14ac:dyDescent="0.2">
      <c r="A31" s="3">
        <v>25</v>
      </c>
      <c r="B31" s="4" t="s">
        <v>397</v>
      </c>
      <c r="C31" s="4" t="s">
        <v>398</v>
      </c>
      <c r="D31" s="4" t="s">
        <v>75</v>
      </c>
      <c r="E31" s="5">
        <v>11589</v>
      </c>
      <c r="F31" s="6">
        <v>183.53499299999999</v>
      </c>
      <c r="G31" s="7">
        <v>1.2512389E-2</v>
      </c>
      <c r="H31" s="51"/>
    </row>
    <row r="32" spans="1:8" ht="29.1" customHeight="1" x14ac:dyDescent="0.2">
      <c r="A32" s="3">
        <v>26</v>
      </c>
      <c r="B32" s="4" t="s">
        <v>316</v>
      </c>
      <c r="C32" s="4" t="s">
        <v>317</v>
      </c>
      <c r="D32" s="4" t="s">
        <v>318</v>
      </c>
      <c r="E32" s="5">
        <v>28411</v>
      </c>
      <c r="F32" s="6">
        <v>183.3219775</v>
      </c>
      <c r="G32" s="7">
        <v>1.2497866999999999E-2</v>
      </c>
      <c r="H32" s="51"/>
    </row>
    <row r="33" spans="1:8" ht="17.100000000000001" customHeight="1" x14ac:dyDescent="0.2">
      <c r="A33" s="3">
        <v>27</v>
      </c>
      <c r="B33" s="4" t="s">
        <v>395</v>
      </c>
      <c r="C33" s="4" t="s">
        <v>396</v>
      </c>
      <c r="D33" s="4" t="s">
        <v>315</v>
      </c>
      <c r="E33" s="5">
        <v>14772</v>
      </c>
      <c r="F33" s="6">
        <v>180.03375</v>
      </c>
      <c r="G33" s="7">
        <v>1.2273694E-2</v>
      </c>
      <c r="H33" s="51"/>
    </row>
    <row r="34" spans="1:8" ht="17.100000000000001" customHeight="1" x14ac:dyDescent="0.2">
      <c r="A34" s="3">
        <v>28</v>
      </c>
      <c r="B34" s="4" t="s">
        <v>427</v>
      </c>
      <c r="C34" s="4" t="s">
        <v>428</v>
      </c>
      <c r="D34" s="4" t="s">
        <v>97</v>
      </c>
      <c r="E34" s="5">
        <v>17966</v>
      </c>
      <c r="F34" s="6">
        <v>178.60000600000001</v>
      </c>
      <c r="G34" s="7">
        <v>1.2175949E-2</v>
      </c>
      <c r="H34" s="51"/>
    </row>
    <row r="35" spans="1:8" ht="17.100000000000001" customHeight="1" x14ac:dyDescent="0.2">
      <c r="A35" s="3">
        <v>29</v>
      </c>
      <c r="B35" s="4" t="s">
        <v>405</v>
      </c>
      <c r="C35" s="4" t="s">
        <v>406</v>
      </c>
      <c r="D35" s="4" t="s">
        <v>31</v>
      </c>
      <c r="E35" s="5">
        <v>19126</v>
      </c>
      <c r="F35" s="6">
        <v>171.44546399999999</v>
      </c>
      <c r="G35" s="7">
        <v>1.1688192999999999E-2</v>
      </c>
      <c r="H35" s="51"/>
    </row>
    <row r="36" spans="1:8" ht="29.1" customHeight="1" x14ac:dyDescent="0.2">
      <c r="A36" s="3">
        <v>30</v>
      </c>
      <c r="B36" s="4" t="s">
        <v>470</v>
      </c>
      <c r="C36" s="4" t="s">
        <v>471</v>
      </c>
      <c r="D36" s="4" t="s">
        <v>472</v>
      </c>
      <c r="E36" s="5">
        <v>36994</v>
      </c>
      <c r="F36" s="6">
        <v>163.67995300000001</v>
      </c>
      <c r="G36" s="7">
        <v>1.1158784E-2</v>
      </c>
      <c r="H36" s="51"/>
    </row>
    <row r="37" spans="1:8" ht="17.100000000000001" customHeight="1" x14ac:dyDescent="0.2">
      <c r="A37" s="3">
        <v>31</v>
      </c>
      <c r="B37" s="4" t="s">
        <v>403</v>
      </c>
      <c r="C37" s="4" t="s">
        <v>404</v>
      </c>
      <c r="D37" s="4" t="s">
        <v>277</v>
      </c>
      <c r="E37" s="5">
        <v>19892</v>
      </c>
      <c r="F37" s="6">
        <v>157.723668</v>
      </c>
      <c r="G37" s="7">
        <v>1.0752717E-2</v>
      </c>
      <c r="H37" s="51"/>
    </row>
    <row r="38" spans="1:8" ht="29.1" customHeight="1" x14ac:dyDescent="0.2">
      <c r="A38" s="3">
        <v>32</v>
      </c>
      <c r="B38" s="4" t="s">
        <v>457</v>
      </c>
      <c r="C38" s="4" t="s">
        <v>458</v>
      </c>
      <c r="D38" s="4" t="s">
        <v>367</v>
      </c>
      <c r="E38" s="5">
        <v>25833</v>
      </c>
      <c r="F38" s="6">
        <v>154.41675749999999</v>
      </c>
      <c r="G38" s="7">
        <v>1.0527271E-2</v>
      </c>
      <c r="H38" s="51"/>
    </row>
    <row r="39" spans="1:8" ht="17.100000000000001" customHeight="1" x14ac:dyDescent="0.2">
      <c r="A39" s="3">
        <v>33</v>
      </c>
      <c r="B39" s="4" t="s">
        <v>450</v>
      </c>
      <c r="C39" s="4" t="s">
        <v>451</v>
      </c>
      <c r="D39" s="4" t="s">
        <v>104</v>
      </c>
      <c r="E39" s="5">
        <v>51244</v>
      </c>
      <c r="F39" s="6">
        <v>153.732</v>
      </c>
      <c r="G39" s="7">
        <v>1.0480588000000001E-2</v>
      </c>
      <c r="H39" s="51"/>
    </row>
    <row r="40" spans="1:8" ht="29.1" customHeight="1" x14ac:dyDescent="0.2">
      <c r="A40" s="3">
        <v>34</v>
      </c>
      <c r="B40" s="4" t="s">
        <v>407</v>
      </c>
      <c r="C40" s="4" t="s">
        <v>408</v>
      </c>
      <c r="D40" s="4" t="s">
        <v>203</v>
      </c>
      <c r="E40" s="5">
        <v>46637</v>
      </c>
      <c r="F40" s="6">
        <v>152.92272299999999</v>
      </c>
      <c r="G40" s="7">
        <v>1.0425416E-2</v>
      </c>
      <c r="H40" s="51"/>
    </row>
    <row r="41" spans="1:8" ht="29.1" customHeight="1" x14ac:dyDescent="0.2">
      <c r="A41" s="3">
        <v>35</v>
      </c>
      <c r="B41" s="4" t="s">
        <v>413</v>
      </c>
      <c r="C41" s="4" t="s">
        <v>414</v>
      </c>
      <c r="D41" s="4" t="s">
        <v>367</v>
      </c>
      <c r="E41" s="5">
        <v>30368</v>
      </c>
      <c r="F41" s="6">
        <v>152.5992</v>
      </c>
      <c r="G41" s="7">
        <v>1.040336E-2</v>
      </c>
      <c r="H41" s="51"/>
    </row>
    <row r="42" spans="1:8" ht="17.100000000000001" customHeight="1" x14ac:dyDescent="0.2">
      <c r="A42" s="3">
        <v>36</v>
      </c>
      <c r="B42" s="4" t="s">
        <v>409</v>
      </c>
      <c r="C42" s="4" t="s">
        <v>410</v>
      </c>
      <c r="D42" s="4" t="s">
        <v>104</v>
      </c>
      <c r="E42" s="5">
        <v>23119</v>
      </c>
      <c r="F42" s="6">
        <v>150.13478599999999</v>
      </c>
      <c r="G42" s="7">
        <v>1.0235350000000001E-2</v>
      </c>
      <c r="H42" s="51"/>
    </row>
    <row r="43" spans="1:8" ht="29.1" customHeight="1" x14ac:dyDescent="0.2">
      <c r="A43" s="3">
        <v>37</v>
      </c>
      <c r="B43" s="4" t="s">
        <v>419</v>
      </c>
      <c r="C43" s="4" t="s">
        <v>420</v>
      </c>
      <c r="D43" s="4" t="s">
        <v>203</v>
      </c>
      <c r="E43" s="5">
        <v>7795</v>
      </c>
      <c r="F43" s="6">
        <v>149.64841000000001</v>
      </c>
      <c r="G43" s="7">
        <v>1.0202190999999999E-2</v>
      </c>
      <c r="H43" s="51"/>
    </row>
    <row r="44" spans="1:8" ht="17.100000000000001" customHeight="1" x14ac:dyDescent="0.2">
      <c r="A44" s="3">
        <v>38</v>
      </c>
      <c r="B44" s="4" t="s">
        <v>41</v>
      </c>
      <c r="C44" s="4" t="s">
        <v>42</v>
      </c>
      <c r="D44" s="4" t="s">
        <v>16</v>
      </c>
      <c r="E44" s="5">
        <v>28181</v>
      </c>
      <c r="F44" s="6">
        <v>149.52838600000001</v>
      </c>
      <c r="G44" s="7">
        <v>1.0194009E-2</v>
      </c>
      <c r="H44" s="51"/>
    </row>
    <row r="45" spans="1:8" ht="29.1" customHeight="1" x14ac:dyDescent="0.2">
      <c r="A45" s="3">
        <v>39</v>
      </c>
      <c r="B45" s="4" t="s">
        <v>291</v>
      </c>
      <c r="C45" s="4" t="s">
        <v>292</v>
      </c>
      <c r="D45" s="4" t="s">
        <v>184</v>
      </c>
      <c r="E45" s="5">
        <v>19852</v>
      </c>
      <c r="F45" s="6">
        <v>149.11829800000001</v>
      </c>
      <c r="G45" s="7">
        <v>1.0166051000000001E-2</v>
      </c>
      <c r="H45" s="51"/>
    </row>
    <row r="46" spans="1:8" ht="17.100000000000001" customHeight="1" x14ac:dyDescent="0.2">
      <c r="A46" s="3">
        <v>40</v>
      </c>
      <c r="B46" s="4" t="s">
        <v>240</v>
      </c>
      <c r="C46" s="4" t="s">
        <v>241</v>
      </c>
      <c r="D46" s="4" t="s">
        <v>97</v>
      </c>
      <c r="E46" s="5">
        <v>22326</v>
      </c>
      <c r="F46" s="6">
        <v>145.92273599999999</v>
      </c>
      <c r="G46" s="7">
        <v>9.9481959999999994E-3</v>
      </c>
      <c r="H46" s="51"/>
    </row>
    <row r="47" spans="1:8" ht="29.1" customHeight="1" x14ac:dyDescent="0.2">
      <c r="A47" s="3">
        <v>41</v>
      </c>
      <c r="B47" s="4" t="s">
        <v>429</v>
      </c>
      <c r="C47" s="4" t="s">
        <v>430</v>
      </c>
      <c r="D47" s="4" t="s">
        <v>431</v>
      </c>
      <c r="E47" s="5">
        <v>107873</v>
      </c>
      <c r="F47" s="6">
        <v>143.41715350000001</v>
      </c>
      <c r="G47" s="7">
        <v>9.7773789999999992E-3</v>
      </c>
      <c r="H47" s="51"/>
    </row>
    <row r="48" spans="1:8" ht="17.100000000000001" customHeight="1" x14ac:dyDescent="0.2">
      <c r="A48" s="3">
        <v>42</v>
      </c>
      <c r="B48" s="4" t="s">
        <v>37</v>
      </c>
      <c r="C48" s="4" t="s">
        <v>38</v>
      </c>
      <c r="D48" s="4" t="s">
        <v>31</v>
      </c>
      <c r="E48" s="5">
        <v>3907</v>
      </c>
      <c r="F48" s="6">
        <v>142.76177999999999</v>
      </c>
      <c r="G48" s="7">
        <v>9.7327000000000004E-3</v>
      </c>
      <c r="H48" s="51"/>
    </row>
    <row r="49" spans="1:8" ht="17.100000000000001" customHeight="1" x14ac:dyDescent="0.2">
      <c r="A49" s="3">
        <v>43</v>
      </c>
      <c r="B49" s="4" t="s">
        <v>459</v>
      </c>
      <c r="C49" s="4" t="s">
        <v>460</v>
      </c>
      <c r="D49" s="4" t="s">
        <v>97</v>
      </c>
      <c r="E49" s="5">
        <v>214883</v>
      </c>
      <c r="F49" s="6">
        <v>142.5748705</v>
      </c>
      <c r="G49" s="7">
        <v>9.7199569999999996E-3</v>
      </c>
      <c r="H49" s="51"/>
    </row>
    <row r="50" spans="1:8" ht="29.1" customHeight="1" x14ac:dyDescent="0.2">
      <c r="A50" s="3">
        <v>44</v>
      </c>
      <c r="B50" s="4" t="s">
        <v>473</v>
      </c>
      <c r="C50" s="4" t="s">
        <v>474</v>
      </c>
      <c r="D50" s="4" t="s">
        <v>203</v>
      </c>
      <c r="E50" s="5">
        <v>2436</v>
      </c>
      <c r="F50" s="6">
        <v>140.82028800000001</v>
      </c>
      <c r="G50" s="7">
        <v>9.6003389999999994E-3</v>
      </c>
      <c r="H50" s="51"/>
    </row>
    <row r="51" spans="1:8" ht="53.1" customHeight="1" x14ac:dyDescent="0.2">
      <c r="A51" s="3">
        <v>45</v>
      </c>
      <c r="B51" s="4" t="s">
        <v>335</v>
      </c>
      <c r="C51" s="4" t="s">
        <v>863</v>
      </c>
      <c r="D51" s="4" t="s">
        <v>45</v>
      </c>
      <c r="E51" s="5">
        <v>50508</v>
      </c>
      <c r="F51" s="6">
        <v>138.97276199999999</v>
      </c>
      <c r="G51" s="7">
        <v>9.4743850000000001E-3</v>
      </c>
      <c r="H51" s="51"/>
    </row>
    <row r="52" spans="1:8" ht="17.100000000000001" customHeight="1" x14ac:dyDescent="0.2">
      <c r="A52" s="3">
        <v>46</v>
      </c>
      <c r="B52" s="4" t="s">
        <v>329</v>
      </c>
      <c r="C52" s="4" t="s">
        <v>330</v>
      </c>
      <c r="D52" s="4" t="s">
        <v>36</v>
      </c>
      <c r="E52" s="5">
        <v>57782</v>
      </c>
      <c r="F52" s="6">
        <v>136.19217399999999</v>
      </c>
      <c r="G52" s="7">
        <v>9.2848210000000004E-3</v>
      </c>
      <c r="H52" s="51"/>
    </row>
    <row r="53" spans="1:8" ht="17.100000000000001" customHeight="1" x14ac:dyDescent="0.2">
      <c r="A53" s="3">
        <v>47</v>
      </c>
      <c r="B53" s="4" t="s">
        <v>440</v>
      </c>
      <c r="C53" s="4" t="s">
        <v>441</v>
      </c>
      <c r="D53" s="4" t="s">
        <v>51</v>
      </c>
      <c r="E53" s="5">
        <v>17619</v>
      </c>
      <c r="F53" s="6">
        <v>135.0760635</v>
      </c>
      <c r="G53" s="7">
        <v>9.20873E-3</v>
      </c>
      <c r="H53" s="51"/>
    </row>
    <row r="54" spans="1:8" ht="17.100000000000001" customHeight="1" x14ac:dyDescent="0.2">
      <c r="A54" s="3">
        <v>48</v>
      </c>
      <c r="B54" s="4" t="s">
        <v>475</v>
      </c>
      <c r="C54" s="4" t="s">
        <v>476</v>
      </c>
      <c r="D54" s="4" t="s">
        <v>104</v>
      </c>
      <c r="E54" s="5">
        <v>8109</v>
      </c>
      <c r="F54" s="6">
        <v>132.541605</v>
      </c>
      <c r="G54" s="7">
        <v>9.0359450000000001E-3</v>
      </c>
      <c r="H54" s="51"/>
    </row>
    <row r="55" spans="1:8" ht="29.1" customHeight="1" x14ac:dyDescent="0.2">
      <c r="A55" s="3">
        <v>49</v>
      </c>
      <c r="B55" s="4" t="s">
        <v>438</v>
      </c>
      <c r="C55" s="4" t="s">
        <v>439</v>
      </c>
      <c r="D55" s="4" t="s">
        <v>104</v>
      </c>
      <c r="E55" s="5">
        <v>9500</v>
      </c>
      <c r="F55" s="6">
        <v>132.0215</v>
      </c>
      <c r="G55" s="7">
        <v>9.0004869999999997E-3</v>
      </c>
      <c r="H55" s="51"/>
    </row>
    <row r="56" spans="1:8" ht="17.100000000000001" customHeight="1" x14ac:dyDescent="0.2">
      <c r="A56" s="3">
        <v>50</v>
      </c>
      <c r="B56" s="4" t="s">
        <v>385</v>
      </c>
      <c r="C56" s="4" t="s">
        <v>386</v>
      </c>
      <c r="D56" s="4" t="s">
        <v>104</v>
      </c>
      <c r="E56" s="5">
        <v>20567</v>
      </c>
      <c r="F56" s="6">
        <v>130.77526950000001</v>
      </c>
      <c r="G56" s="7">
        <v>8.915526E-3</v>
      </c>
      <c r="H56" s="51"/>
    </row>
    <row r="57" spans="1:8" ht="29.1" customHeight="1" x14ac:dyDescent="0.2">
      <c r="A57" s="3">
        <v>51</v>
      </c>
      <c r="B57" s="4" t="s">
        <v>423</v>
      </c>
      <c r="C57" s="4" t="s">
        <v>424</v>
      </c>
      <c r="D57" s="4" t="s">
        <v>318</v>
      </c>
      <c r="E57" s="5">
        <v>29888</v>
      </c>
      <c r="F57" s="6">
        <v>124.468576</v>
      </c>
      <c r="G57" s="7">
        <v>8.4855710000000008E-3</v>
      </c>
      <c r="H57" s="51"/>
    </row>
    <row r="58" spans="1:8" ht="17.100000000000001" customHeight="1" x14ac:dyDescent="0.2">
      <c r="A58" s="3">
        <v>52</v>
      </c>
      <c r="B58" s="4" t="s">
        <v>432</v>
      </c>
      <c r="C58" s="4" t="s">
        <v>433</v>
      </c>
      <c r="D58" s="4" t="s">
        <v>192</v>
      </c>
      <c r="E58" s="5">
        <v>14087</v>
      </c>
      <c r="F58" s="6">
        <v>119.70428250000001</v>
      </c>
      <c r="G58" s="7">
        <v>8.1607680000000005E-3</v>
      </c>
      <c r="H58" s="51"/>
    </row>
    <row r="59" spans="1:8" ht="17.100000000000001" customHeight="1" x14ac:dyDescent="0.2">
      <c r="A59" s="3">
        <v>53</v>
      </c>
      <c r="B59" s="4" t="s">
        <v>477</v>
      </c>
      <c r="C59" s="4" t="s">
        <v>478</v>
      </c>
      <c r="D59" s="4" t="s">
        <v>248</v>
      </c>
      <c r="E59" s="5">
        <v>63181</v>
      </c>
      <c r="F59" s="6">
        <v>117.832565</v>
      </c>
      <c r="G59" s="7">
        <v>8.0331650000000001E-3</v>
      </c>
      <c r="H59" s="51"/>
    </row>
    <row r="60" spans="1:8" ht="17.100000000000001" customHeight="1" x14ac:dyDescent="0.2">
      <c r="A60" s="3">
        <v>54</v>
      </c>
      <c r="B60" s="4" t="s">
        <v>436</v>
      </c>
      <c r="C60" s="4" t="s">
        <v>437</v>
      </c>
      <c r="D60" s="4" t="s">
        <v>72</v>
      </c>
      <c r="E60" s="5">
        <v>15982</v>
      </c>
      <c r="F60" s="6">
        <v>101.909223</v>
      </c>
      <c r="G60" s="7">
        <v>6.9476010000000003E-3</v>
      </c>
      <c r="H60" s="51"/>
    </row>
    <row r="61" spans="1:8" ht="29.1" customHeight="1" x14ac:dyDescent="0.2">
      <c r="A61" s="3">
        <v>55</v>
      </c>
      <c r="B61" s="4" t="s">
        <v>479</v>
      </c>
      <c r="C61" s="4" t="s">
        <v>480</v>
      </c>
      <c r="D61" s="4" t="s">
        <v>60</v>
      </c>
      <c r="E61" s="5">
        <v>103230</v>
      </c>
      <c r="F61" s="6">
        <v>89.964945</v>
      </c>
      <c r="G61" s="7">
        <v>6.1333070000000002E-3</v>
      </c>
      <c r="H61" s="51"/>
    </row>
    <row r="62" spans="1:8" ht="29.1" customHeight="1" x14ac:dyDescent="0.2">
      <c r="A62" s="3">
        <v>56</v>
      </c>
      <c r="B62" s="4" t="s">
        <v>481</v>
      </c>
      <c r="C62" s="4" t="s">
        <v>482</v>
      </c>
      <c r="D62" s="4" t="s">
        <v>203</v>
      </c>
      <c r="E62" s="5">
        <v>2024</v>
      </c>
      <c r="F62" s="6">
        <v>86.330684000000005</v>
      </c>
      <c r="G62" s="7">
        <v>5.885543E-3</v>
      </c>
      <c r="H62" s="51"/>
    </row>
    <row r="63" spans="1:8" ht="17.100000000000001" customHeight="1" x14ac:dyDescent="0.2">
      <c r="A63" s="3">
        <v>57</v>
      </c>
      <c r="B63" s="4" t="s">
        <v>454</v>
      </c>
      <c r="C63" s="4" t="s">
        <v>455</v>
      </c>
      <c r="D63" s="4" t="s">
        <v>16</v>
      </c>
      <c r="E63" s="5">
        <v>34897</v>
      </c>
      <c r="F63" s="6">
        <v>77.698170500000003</v>
      </c>
      <c r="G63" s="7">
        <v>5.2970270000000002E-3</v>
      </c>
      <c r="H63" s="51"/>
    </row>
    <row r="64" spans="1:8" ht="17.100000000000001" customHeight="1" x14ac:dyDescent="0.2">
      <c r="A64" s="3">
        <v>58</v>
      </c>
      <c r="B64" s="4" t="s">
        <v>442</v>
      </c>
      <c r="C64" s="4" t="s">
        <v>443</v>
      </c>
      <c r="D64" s="4" t="s">
        <v>232</v>
      </c>
      <c r="E64" s="5">
        <v>9697</v>
      </c>
      <c r="F64" s="6">
        <v>70.167491999999996</v>
      </c>
      <c r="G64" s="7">
        <v>4.7836270000000004E-3</v>
      </c>
      <c r="H64" s="51"/>
    </row>
    <row r="65" spans="1:8" ht="17.100000000000001" customHeight="1" x14ac:dyDescent="0.2">
      <c r="A65" s="3">
        <v>59</v>
      </c>
      <c r="B65" s="4" t="s">
        <v>421</v>
      </c>
      <c r="C65" s="4" t="s">
        <v>422</v>
      </c>
      <c r="D65" s="4" t="s">
        <v>104</v>
      </c>
      <c r="E65" s="5">
        <v>5957</v>
      </c>
      <c r="F65" s="6">
        <v>65.565720499999998</v>
      </c>
      <c r="G65" s="7">
        <v>4.4699040000000002E-3</v>
      </c>
      <c r="H65" s="51"/>
    </row>
    <row r="66" spans="1:8" ht="17.100000000000001" customHeight="1" x14ac:dyDescent="0.2">
      <c r="A66" s="3">
        <v>60</v>
      </c>
      <c r="B66" s="4" t="s">
        <v>444</v>
      </c>
      <c r="C66" s="4" t="s">
        <v>445</v>
      </c>
      <c r="D66" s="4" t="s">
        <v>31</v>
      </c>
      <c r="E66" s="5">
        <v>7769</v>
      </c>
      <c r="F66" s="6">
        <v>62.0393495</v>
      </c>
      <c r="G66" s="7">
        <v>4.2294960000000001E-3</v>
      </c>
      <c r="H66" s="51"/>
    </row>
    <row r="67" spans="1:8" ht="29.1" customHeight="1" x14ac:dyDescent="0.2">
      <c r="A67" s="3">
        <v>61</v>
      </c>
      <c r="B67" s="4" t="s">
        <v>446</v>
      </c>
      <c r="C67" s="4" t="s">
        <v>447</v>
      </c>
      <c r="D67" s="4" t="s">
        <v>203</v>
      </c>
      <c r="E67" s="5">
        <v>1438</v>
      </c>
      <c r="F67" s="6">
        <v>59.057941</v>
      </c>
      <c r="G67" s="7">
        <v>4.0262400000000004E-3</v>
      </c>
      <c r="H67" s="51"/>
    </row>
    <row r="68" spans="1:8" ht="17.100000000000001" customHeight="1" x14ac:dyDescent="0.2">
      <c r="A68" s="3">
        <v>62</v>
      </c>
      <c r="B68" s="4" t="s">
        <v>340</v>
      </c>
      <c r="C68" s="4" t="s">
        <v>341</v>
      </c>
      <c r="D68" s="4" t="s">
        <v>92</v>
      </c>
      <c r="E68" s="5">
        <v>72875</v>
      </c>
      <c r="F68" s="6">
        <v>54.364750000000001</v>
      </c>
      <c r="G68" s="7">
        <v>3.7062850000000001E-3</v>
      </c>
      <c r="H68" s="51"/>
    </row>
    <row r="69" spans="1:8" ht="29.1" customHeight="1" x14ac:dyDescent="0.2">
      <c r="A69" s="3">
        <v>63</v>
      </c>
      <c r="B69" s="4" t="s">
        <v>448</v>
      </c>
      <c r="C69" s="4" t="s">
        <v>449</v>
      </c>
      <c r="D69" s="4" t="s">
        <v>203</v>
      </c>
      <c r="E69" s="5">
        <v>23079</v>
      </c>
      <c r="F69" s="6">
        <v>54.039478500000001</v>
      </c>
      <c r="G69" s="7">
        <v>3.6841090000000001E-3</v>
      </c>
      <c r="H69" s="51"/>
    </row>
    <row r="70" spans="1:8" ht="29.1" customHeight="1" x14ac:dyDescent="0.2">
      <c r="A70" s="3">
        <v>64</v>
      </c>
      <c r="B70" s="4" t="s">
        <v>327</v>
      </c>
      <c r="C70" s="4" t="s">
        <v>328</v>
      </c>
      <c r="D70" s="4" t="s">
        <v>184</v>
      </c>
      <c r="E70" s="5">
        <v>10835</v>
      </c>
      <c r="F70" s="6">
        <v>45.420319999999997</v>
      </c>
      <c r="G70" s="7">
        <v>3.096503E-3</v>
      </c>
      <c r="H70" s="51"/>
    </row>
    <row r="71" spans="1:8" ht="17.100000000000001" customHeight="1" x14ac:dyDescent="0.2">
      <c r="A71" s="3">
        <v>65</v>
      </c>
      <c r="B71" s="4" t="s">
        <v>425</v>
      </c>
      <c r="C71" s="4" t="s">
        <v>426</v>
      </c>
      <c r="D71" s="4" t="s">
        <v>13</v>
      </c>
      <c r="E71" s="5">
        <v>47153</v>
      </c>
      <c r="F71" s="6">
        <v>36.873646000000001</v>
      </c>
      <c r="G71" s="7">
        <v>2.5138389999999999E-3</v>
      </c>
      <c r="H71" s="51"/>
    </row>
    <row r="72" spans="1:8" ht="29.1" customHeight="1" x14ac:dyDescent="0.2">
      <c r="A72" s="3">
        <v>66</v>
      </c>
      <c r="B72" s="4" t="s">
        <v>452</v>
      </c>
      <c r="C72" s="4" t="s">
        <v>453</v>
      </c>
      <c r="D72" s="4" t="s">
        <v>60</v>
      </c>
      <c r="E72" s="5">
        <v>6615</v>
      </c>
      <c r="F72" s="6">
        <v>24.647490000000001</v>
      </c>
      <c r="G72" s="7">
        <v>1.680328E-3</v>
      </c>
      <c r="H72" s="51"/>
    </row>
    <row r="73" spans="1:8" ht="14.1" customHeight="1" x14ac:dyDescent="0.2">
      <c r="A73" s="1"/>
      <c r="B73" s="1"/>
      <c r="C73" s="2" t="s">
        <v>129</v>
      </c>
      <c r="D73" s="1"/>
      <c r="E73" s="1" t="s">
        <v>130</v>
      </c>
      <c r="F73" s="9">
        <v>13058.070760500001</v>
      </c>
      <c r="G73" s="10">
        <v>0.89022621199999996</v>
      </c>
      <c r="H73" s="51"/>
    </row>
    <row r="74" spans="1:8" ht="14.1" customHeight="1" x14ac:dyDescent="0.2">
      <c r="A74" s="1"/>
      <c r="B74" s="1"/>
      <c r="C74" s="11"/>
      <c r="D74" s="1"/>
      <c r="E74" s="1"/>
      <c r="F74" s="12"/>
      <c r="G74" s="12"/>
      <c r="H74" s="51"/>
    </row>
    <row r="75" spans="1:8" ht="14.1" customHeight="1" x14ac:dyDescent="0.2">
      <c r="A75" s="1"/>
      <c r="B75" s="1"/>
      <c r="C75" s="2" t="s">
        <v>131</v>
      </c>
      <c r="D75" s="1"/>
      <c r="E75" s="1"/>
      <c r="F75" s="1"/>
      <c r="G75" s="1"/>
      <c r="H75" s="51"/>
    </row>
    <row r="76" spans="1:8" ht="14.1" customHeight="1" x14ac:dyDescent="0.2">
      <c r="A76" s="1"/>
      <c r="B76" s="1"/>
      <c r="C76" s="2" t="s">
        <v>129</v>
      </c>
      <c r="D76" s="1"/>
      <c r="E76" s="1" t="s">
        <v>130</v>
      </c>
      <c r="F76" s="13">
        <v>0</v>
      </c>
      <c r="G76" s="14">
        <v>0</v>
      </c>
      <c r="H76" s="51"/>
    </row>
    <row r="77" spans="1:8" ht="14.1" customHeight="1" x14ac:dyDescent="0.2">
      <c r="A77" s="1"/>
      <c r="B77" s="1"/>
      <c r="C77" s="11"/>
      <c r="D77" s="1"/>
      <c r="E77" s="1"/>
      <c r="F77" s="12"/>
      <c r="G77" s="12"/>
      <c r="H77" s="51"/>
    </row>
    <row r="78" spans="1:8" ht="14.1" customHeight="1" x14ac:dyDescent="0.2">
      <c r="A78" s="1"/>
      <c r="B78" s="1"/>
      <c r="C78" s="2" t="s">
        <v>132</v>
      </c>
      <c r="D78" s="1"/>
      <c r="E78" s="1"/>
      <c r="F78" s="1"/>
      <c r="G78" s="1"/>
      <c r="H78" s="51"/>
    </row>
    <row r="79" spans="1:8" ht="14.1" customHeight="1" x14ac:dyDescent="0.2">
      <c r="A79" s="1"/>
      <c r="B79" s="1"/>
      <c r="C79" s="2" t="s">
        <v>129</v>
      </c>
      <c r="D79" s="1"/>
      <c r="E79" s="1" t="s">
        <v>130</v>
      </c>
      <c r="F79" s="13">
        <v>0</v>
      </c>
      <c r="G79" s="14">
        <v>0</v>
      </c>
      <c r="H79" s="51"/>
    </row>
    <row r="80" spans="1:8" ht="14.1" customHeight="1" x14ac:dyDescent="0.2">
      <c r="A80" s="1"/>
      <c r="B80" s="1"/>
      <c r="C80" s="11"/>
      <c r="D80" s="1"/>
      <c r="E80" s="1"/>
      <c r="F80" s="12"/>
      <c r="G80" s="12"/>
      <c r="H80" s="51"/>
    </row>
    <row r="81" spans="1:8" ht="14.1" customHeight="1" x14ac:dyDescent="0.2">
      <c r="A81" s="1"/>
      <c r="B81" s="1"/>
      <c r="C81" s="2" t="s">
        <v>133</v>
      </c>
      <c r="D81" s="1"/>
      <c r="E81" s="1"/>
      <c r="F81" s="1"/>
      <c r="G81" s="1"/>
      <c r="H81" s="51"/>
    </row>
    <row r="82" spans="1:8" ht="14.1" customHeight="1" x14ac:dyDescent="0.2">
      <c r="A82" s="1"/>
      <c r="B82" s="1"/>
      <c r="C82" s="2" t="s">
        <v>129</v>
      </c>
      <c r="D82" s="1"/>
      <c r="E82" s="1" t="s">
        <v>130</v>
      </c>
      <c r="F82" s="13">
        <v>0</v>
      </c>
      <c r="G82" s="14">
        <v>0</v>
      </c>
      <c r="H82" s="51"/>
    </row>
    <row r="83" spans="1:8" ht="14.1" customHeight="1" x14ac:dyDescent="0.2">
      <c r="A83" s="1"/>
      <c r="B83" s="1"/>
      <c r="C83" s="11"/>
      <c r="D83" s="1"/>
      <c r="E83" s="1"/>
      <c r="F83" s="12"/>
      <c r="G83" s="12"/>
      <c r="H83" s="51"/>
    </row>
    <row r="84" spans="1:8" ht="14.1" customHeight="1" x14ac:dyDescent="0.2">
      <c r="A84" s="1"/>
      <c r="B84" s="1"/>
      <c r="C84" s="2" t="s">
        <v>134</v>
      </c>
      <c r="D84" s="1"/>
      <c r="E84" s="1"/>
      <c r="F84" s="12"/>
      <c r="G84" s="12"/>
      <c r="H84" s="51"/>
    </row>
    <row r="85" spans="1:8" ht="14.1" customHeight="1" x14ac:dyDescent="0.2">
      <c r="A85" s="1"/>
      <c r="B85" s="1"/>
      <c r="C85" s="2" t="s">
        <v>129</v>
      </c>
      <c r="D85" s="1"/>
      <c r="E85" s="1" t="s">
        <v>130</v>
      </c>
      <c r="F85" s="13">
        <v>0</v>
      </c>
      <c r="G85" s="14">
        <v>0</v>
      </c>
      <c r="H85" s="51"/>
    </row>
    <row r="86" spans="1:8" ht="14.1" customHeight="1" x14ac:dyDescent="0.2">
      <c r="A86" s="1"/>
      <c r="B86" s="1"/>
      <c r="C86" s="11"/>
      <c r="D86" s="1"/>
      <c r="E86" s="1"/>
      <c r="F86" s="12"/>
      <c r="G86" s="12"/>
      <c r="H86" s="51"/>
    </row>
    <row r="87" spans="1:8" ht="14.1" customHeight="1" x14ac:dyDescent="0.2">
      <c r="A87" s="1"/>
      <c r="B87" s="1"/>
      <c r="C87" s="2" t="s">
        <v>135</v>
      </c>
      <c r="D87" s="1"/>
      <c r="E87" s="1"/>
      <c r="F87" s="12"/>
      <c r="G87" s="12"/>
      <c r="H87" s="51"/>
    </row>
    <row r="88" spans="1:8" ht="14.1" customHeight="1" x14ac:dyDescent="0.2">
      <c r="A88" s="1"/>
      <c r="B88" s="1"/>
      <c r="C88" s="2" t="s">
        <v>129</v>
      </c>
      <c r="D88" s="1"/>
      <c r="E88" s="1" t="s">
        <v>130</v>
      </c>
      <c r="F88" s="13">
        <v>0</v>
      </c>
      <c r="G88" s="14">
        <v>0</v>
      </c>
      <c r="H88" s="51"/>
    </row>
    <row r="89" spans="1:8" ht="14.1" customHeight="1" x14ac:dyDescent="0.2">
      <c r="A89" s="1"/>
      <c r="B89" s="1"/>
      <c r="C89" s="11"/>
      <c r="D89" s="1"/>
      <c r="E89" s="1"/>
      <c r="F89" s="12"/>
      <c r="G89" s="12"/>
      <c r="H89" s="51"/>
    </row>
    <row r="90" spans="1:8" ht="18" customHeight="1" x14ac:dyDescent="0.2">
      <c r="A90" s="1"/>
      <c r="B90" s="1"/>
      <c r="C90" s="2" t="s">
        <v>136</v>
      </c>
      <c r="D90" s="1"/>
      <c r="E90" s="1"/>
      <c r="F90" s="9">
        <v>13058.070760500001</v>
      </c>
      <c r="G90" s="10">
        <v>0.89022621199999996</v>
      </c>
      <c r="H90" s="51"/>
    </row>
    <row r="91" spans="1:8" ht="14.1" customHeight="1" x14ac:dyDescent="0.2">
      <c r="A91" s="1"/>
      <c r="B91" s="1"/>
      <c r="C91" s="11"/>
      <c r="D91" s="1"/>
      <c r="E91" s="1"/>
      <c r="F91" s="12"/>
      <c r="G91" s="12"/>
      <c r="H91" s="51"/>
    </row>
    <row r="92" spans="1:8" ht="14.1" customHeight="1" x14ac:dyDescent="0.2">
      <c r="A92" s="1"/>
      <c r="B92" s="1"/>
      <c r="C92" s="2" t="s">
        <v>137</v>
      </c>
      <c r="D92" s="1"/>
      <c r="E92" s="1"/>
      <c r="F92" s="12"/>
      <c r="G92" s="12"/>
      <c r="H92" s="51"/>
    </row>
    <row r="93" spans="1:8" ht="24" customHeight="1" x14ac:dyDescent="0.2">
      <c r="A93" s="1"/>
      <c r="B93" s="1"/>
      <c r="C93" s="2" t="s">
        <v>10</v>
      </c>
      <c r="D93" s="1"/>
      <c r="E93" s="1"/>
      <c r="F93" s="12"/>
      <c r="G93" s="12"/>
      <c r="H93" s="51"/>
    </row>
    <row r="94" spans="1:8" ht="14.1" customHeight="1" x14ac:dyDescent="0.2">
      <c r="A94" s="1"/>
      <c r="B94" s="1"/>
      <c r="C94" s="2" t="s">
        <v>129</v>
      </c>
      <c r="D94" s="1"/>
      <c r="E94" s="1" t="s">
        <v>130</v>
      </c>
      <c r="F94" s="13">
        <v>0</v>
      </c>
      <c r="G94" s="14">
        <v>0</v>
      </c>
      <c r="H94" s="51"/>
    </row>
    <row r="95" spans="1:8" ht="14.1" customHeight="1" x14ac:dyDescent="0.2">
      <c r="A95" s="1"/>
      <c r="B95" s="1"/>
      <c r="C95" s="11"/>
      <c r="D95" s="1"/>
      <c r="E95" s="1"/>
      <c r="F95" s="12"/>
      <c r="G95" s="12"/>
      <c r="H95" s="51"/>
    </row>
    <row r="96" spans="1:8" ht="14.1" customHeight="1" x14ac:dyDescent="0.2">
      <c r="A96" s="1"/>
      <c r="B96" s="1"/>
      <c r="C96" s="2" t="s">
        <v>138</v>
      </c>
      <c r="D96" s="1"/>
      <c r="E96" s="1"/>
      <c r="F96" s="1"/>
      <c r="G96" s="1"/>
      <c r="H96" s="51"/>
    </row>
    <row r="97" spans="1:8" ht="14.1" customHeight="1" x14ac:dyDescent="0.2">
      <c r="A97" s="1"/>
      <c r="B97" s="1"/>
      <c r="C97" s="2" t="s">
        <v>129</v>
      </c>
      <c r="D97" s="1"/>
      <c r="E97" s="1" t="s">
        <v>130</v>
      </c>
      <c r="F97" s="13">
        <v>0</v>
      </c>
      <c r="G97" s="14">
        <v>0</v>
      </c>
      <c r="H97" s="51"/>
    </row>
    <row r="98" spans="1:8" ht="14.1" customHeight="1" x14ac:dyDescent="0.2">
      <c r="A98" s="1"/>
      <c r="B98" s="1"/>
      <c r="C98" s="11"/>
      <c r="D98" s="1"/>
      <c r="E98" s="1"/>
      <c r="F98" s="12"/>
      <c r="G98" s="12"/>
      <c r="H98" s="51"/>
    </row>
    <row r="99" spans="1:8" ht="14.1" customHeight="1" x14ac:dyDescent="0.2">
      <c r="A99" s="1"/>
      <c r="B99" s="1"/>
      <c r="C99" s="2" t="s">
        <v>139</v>
      </c>
      <c r="D99" s="1"/>
      <c r="E99" s="1"/>
      <c r="F99" s="1"/>
      <c r="G99" s="1"/>
      <c r="H99" s="51"/>
    </row>
    <row r="100" spans="1:8" ht="14.1" customHeight="1" x14ac:dyDescent="0.2">
      <c r="A100" s="1"/>
      <c r="B100" s="1"/>
      <c r="C100" s="2" t="s">
        <v>129</v>
      </c>
      <c r="D100" s="1"/>
      <c r="E100" s="1" t="s">
        <v>130</v>
      </c>
      <c r="F100" s="13">
        <v>0</v>
      </c>
      <c r="G100" s="14">
        <v>0</v>
      </c>
      <c r="H100" s="51"/>
    </row>
    <row r="101" spans="1:8" ht="14.1" customHeight="1" x14ac:dyDescent="0.2">
      <c r="A101" s="1"/>
      <c r="B101" s="1"/>
      <c r="C101" s="11"/>
      <c r="D101" s="1"/>
      <c r="E101" s="1"/>
      <c r="F101" s="12"/>
      <c r="G101" s="12"/>
      <c r="H101" s="51"/>
    </row>
    <row r="102" spans="1:8" ht="14.1" customHeight="1" x14ac:dyDescent="0.2">
      <c r="A102" s="1"/>
      <c r="B102" s="1"/>
      <c r="C102" s="2" t="s">
        <v>140</v>
      </c>
      <c r="D102" s="1"/>
      <c r="E102" s="1"/>
      <c r="F102" s="12"/>
      <c r="G102" s="12"/>
      <c r="H102" s="51"/>
    </row>
    <row r="103" spans="1:8" ht="14.1" customHeight="1" x14ac:dyDescent="0.2">
      <c r="A103" s="1"/>
      <c r="B103" s="1"/>
      <c r="C103" s="2" t="s">
        <v>129</v>
      </c>
      <c r="D103" s="1"/>
      <c r="E103" s="1" t="s">
        <v>130</v>
      </c>
      <c r="F103" s="13">
        <v>0</v>
      </c>
      <c r="G103" s="14">
        <v>0</v>
      </c>
      <c r="H103" s="51"/>
    </row>
    <row r="104" spans="1:8" ht="14.1" customHeight="1" x14ac:dyDescent="0.2">
      <c r="A104" s="1"/>
      <c r="B104" s="1"/>
      <c r="C104" s="11"/>
      <c r="D104" s="1"/>
      <c r="E104" s="1"/>
      <c r="F104" s="12"/>
      <c r="G104" s="12"/>
      <c r="H104" s="51"/>
    </row>
    <row r="105" spans="1:8" ht="14.1" customHeight="1" x14ac:dyDescent="0.2">
      <c r="A105" s="1"/>
      <c r="B105" s="1"/>
      <c r="C105" s="2" t="s">
        <v>141</v>
      </c>
      <c r="D105" s="1"/>
      <c r="E105" s="1"/>
      <c r="F105" s="9">
        <v>0</v>
      </c>
      <c r="G105" s="10">
        <v>0</v>
      </c>
      <c r="H105" s="51"/>
    </row>
    <row r="106" spans="1:8" ht="14.1" customHeight="1" x14ac:dyDescent="0.2">
      <c r="A106" s="1"/>
      <c r="B106" s="1"/>
      <c r="C106" s="11"/>
      <c r="D106" s="1"/>
      <c r="E106" s="1"/>
      <c r="F106" s="12"/>
      <c r="G106" s="12"/>
      <c r="H106" s="51"/>
    </row>
    <row r="107" spans="1:8" ht="14.1" customHeight="1" x14ac:dyDescent="0.2">
      <c r="A107" s="1"/>
      <c r="B107" s="1"/>
      <c r="C107" s="2" t="s">
        <v>142</v>
      </c>
      <c r="D107" s="1"/>
      <c r="E107" s="1"/>
      <c r="F107" s="12"/>
      <c r="G107" s="12"/>
      <c r="H107" s="51"/>
    </row>
    <row r="108" spans="1:8" ht="14.1" customHeight="1" x14ac:dyDescent="0.2">
      <c r="A108" s="1"/>
      <c r="B108" s="1"/>
      <c r="C108" s="2" t="s">
        <v>143</v>
      </c>
      <c r="D108" s="1"/>
      <c r="E108" s="1"/>
      <c r="F108" s="12"/>
      <c r="G108" s="12"/>
      <c r="H108" s="51"/>
    </row>
    <row r="109" spans="1:8" ht="14.1" customHeight="1" x14ac:dyDescent="0.2">
      <c r="A109" s="1"/>
      <c r="B109" s="1"/>
      <c r="C109" s="2" t="s">
        <v>129</v>
      </c>
      <c r="D109" s="1"/>
      <c r="E109" s="1" t="s">
        <v>130</v>
      </c>
      <c r="F109" s="13">
        <v>0</v>
      </c>
      <c r="G109" s="14">
        <v>0</v>
      </c>
      <c r="H109" s="51"/>
    </row>
    <row r="110" spans="1:8" ht="14.1" customHeight="1" x14ac:dyDescent="0.2">
      <c r="A110" s="1"/>
      <c r="B110" s="1"/>
      <c r="C110" s="11"/>
      <c r="D110" s="1"/>
      <c r="E110" s="1"/>
      <c r="F110" s="12"/>
      <c r="G110" s="12"/>
      <c r="H110" s="51"/>
    </row>
    <row r="111" spans="1:8" ht="14.1" customHeight="1" x14ac:dyDescent="0.2">
      <c r="A111" s="1"/>
      <c r="B111" s="1"/>
      <c r="C111" s="2" t="s">
        <v>144</v>
      </c>
      <c r="D111" s="1"/>
      <c r="E111" s="1"/>
      <c r="F111" s="12"/>
      <c r="G111" s="12"/>
      <c r="H111" s="51"/>
    </row>
    <row r="112" spans="1:8" ht="14.1" customHeight="1" x14ac:dyDescent="0.2">
      <c r="A112" s="1"/>
      <c r="B112" s="1"/>
      <c r="C112" s="2" t="s">
        <v>129</v>
      </c>
      <c r="D112" s="1"/>
      <c r="E112" s="1" t="s">
        <v>130</v>
      </c>
      <c r="F112" s="13">
        <v>0</v>
      </c>
      <c r="G112" s="14">
        <v>0</v>
      </c>
      <c r="H112" s="51"/>
    </row>
    <row r="113" spans="1:8" ht="14.1" customHeight="1" x14ac:dyDescent="0.2">
      <c r="A113" s="1"/>
      <c r="B113" s="1"/>
      <c r="C113" s="11"/>
      <c r="D113" s="1"/>
      <c r="E113" s="1"/>
      <c r="F113" s="12"/>
      <c r="G113" s="12"/>
      <c r="H113" s="51"/>
    </row>
    <row r="114" spans="1:8" ht="14.1" customHeight="1" x14ac:dyDescent="0.2">
      <c r="A114" s="1"/>
      <c r="B114" s="1"/>
      <c r="C114" s="2" t="s">
        <v>145</v>
      </c>
      <c r="D114" s="1"/>
      <c r="E114" s="1"/>
      <c r="F114" s="12"/>
      <c r="G114" s="12"/>
      <c r="H114" s="51"/>
    </row>
    <row r="115" spans="1:8" ht="14.1" customHeight="1" x14ac:dyDescent="0.2">
      <c r="A115" s="1"/>
      <c r="B115" s="1"/>
      <c r="C115" s="2" t="s">
        <v>129</v>
      </c>
      <c r="D115" s="1"/>
      <c r="E115" s="1" t="s">
        <v>130</v>
      </c>
      <c r="F115" s="13">
        <v>0</v>
      </c>
      <c r="G115" s="14">
        <v>0</v>
      </c>
      <c r="H115" s="51"/>
    </row>
    <row r="116" spans="1:8" ht="14.1" customHeight="1" x14ac:dyDescent="0.2">
      <c r="A116" s="1"/>
      <c r="B116" s="1"/>
      <c r="C116" s="11"/>
      <c r="D116" s="1"/>
      <c r="E116" s="1"/>
      <c r="F116" s="12"/>
      <c r="G116" s="12"/>
      <c r="H116" s="51"/>
    </row>
    <row r="117" spans="1:8" ht="14.1" customHeight="1" x14ac:dyDescent="0.2">
      <c r="A117" s="1"/>
      <c r="B117" s="1"/>
      <c r="C117" s="2" t="s">
        <v>146</v>
      </c>
      <c r="D117" s="1"/>
      <c r="E117" s="1"/>
      <c r="F117" s="12"/>
      <c r="G117" s="12"/>
      <c r="H117" s="51"/>
    </row>
    <row r="118" spans="1:8" ht="17.100000000000001" customHeight="1" x14ac:dyDescent="0.2">
      <c r="A118" s="3">
        <v>1</v>
      </c>
      <c r="B118" s="4"/>
      <c r="C118" s="4" t="s">
        <v>147</v>
      </c>
      <c r="D118" s="4"/>
      <c r="E118" s="8"/>
      <c r="F118" s="6">
        <v>1594.8733657</v>
      </c>
      <c r="G118" s="7">
        <v>0.108729544</v>
      </c>
      <c r="H118" s="51">
        <v>6.1245112103248278</v>
      </c>
    </row>
    <row r="119" spans="1:8" ht="14.1" customHeight="1" x14ac:dyDescent="0.2">
      <c r="A119" s="1"/>
      <c r="B119" s="1"/>
      <c r="C119" s="2" t="s">
        <v>129</v>
      </c>
      <c r="D119" s="1"/>
      <c r="E119" s="1" t="s">
        <v>130</v>
      </c>
      <c r="F119" s="9">
        <v>1594.8733657</v>
      </c>
      <c r="G119" s="10">
        <v>0.108729544</v>
      </c>
      <c r="H119" s="51"/>
    </row>
    <row r="120" spans="1:8" ht="14.1" customHeight="1" x14ac:dyDescent="0.2">
      <c r="A120" s="1"/>
      <c r="B120" s="1"/>
      <c r="C120" s="11"/>
      <c r="D120" s="1"/>
      <c r="E120" s="1"/>
      <c r="F120" s="12"/>
      <c r="G120" s="12"/>
      <c r="H120" s="51"/>
    </row>
    <row r="121" spans="1:8" ht="14.1" customHeight="1" x14ac:dyDescent="0.2">
      <c r="A121" s="1"/>
      <c r="B121" s="1"/>
      <c r="C121" s="2" t="s">
        <v>148</v>
      </c>
      <c r="D121" s="1"/>
      <c r="E121" s="1"/>
      <c r="F121" s="9">
        <v>1594.8733657</v>
      </c>
      <c r="G121" s="10">
        <v>0.108729544</v>
      </c>
      <c r="H121" s="51"/>
    </row>
    <row r="122" spans="1:8" ht="14.1" customHeight="1" x14ac:dyDescent="0.2">
      <c r="A122" s="1"/>
      <c r="B122" s="1"/>
      <c r="C122" s="12"/>
      <c r="D122" s="1"/>
      <c r="E122" s="1"/>
      <c r="F122" s="1"/>
      <c r="G122" s="1"/>
      <c r="H122" s="51"/>
    </row>
    <row r="123" spans="1:8" ht="14.1" customHeight="1" x14ac:dyDescent="0.2">
      <c r="A123" s="1"/>
      <c r="B123" s="1"/>
      <c r="C123" s="2" t="s">
        <v>149</v>
      </c>
      <c r="D123" s="1"/>
      <c r="E123" s="1"/>
      <c r="F123" s="1"/>
      <c r="G123" s="1"/>
      <c r="H123" s="51"/>
    </row>
    <row r="124" spans="1:8" ht="14.1" customHeight="1" x14ac:dyDescent="0.2">
      <c r="A124" s="1"/>
      <c r="B124" s="1"/>
      <c r="C124" s="2" t="s">
        <v>150</v>
      </c>
      <c r="D124" s="1"/>
      <c r="E124" s="1"/>
      <c r="F124" s="1"/>
      <c r="G124" s="1"/>
      <c r="H124" s="51"/>
    </row>
    <row r="125" spans="1:8" ht="14.1" customHeight="1" x14ac:dyDescent="0.2">
      <c r="A125" s="1"/>
      <c r="B125" s="1"/>
      <c r="C125" s="2" t="s">
        <v>129</v>
      </c>
      <c r="D125" s="1"/>
      <c r="E125" s="1" t="s">
        <v>130</v>
      </c>
      <c r="F125" s="13">
        <v>0</v>
      </c>
      <c r="G125" s="14">
        <v>0</v>
      </c>
      <c r="H125" s="51"/>
    </row>
    <row r="126" spans="1:8" ht="14.1" customHeight="1" x14ac:dyDescent="0.2">
      <c r="A126" s="1"/>
      <c r="B126" s="1"/>
      <c r="C126" s="11"/>
      <c r="D126" s="1"/>
      <c r="E126" s="1"/>
      <c r="F126" s="12"/>
      <c r="G126" s="12"/>
      <c r="H126" s="51"/>
    </row>
    <row r="127" spans="1:8" ht="14.1" customHeight="1" x14ac:dyDescent="0.2">
      <c r="A127" s="1"/>
      <c r="B127" s="1"/>
      <c r="C127" s="2" t="s">
        <v>151</v>
      </c>
      <c r="D127" s="1"/>
      <c r="E127" s="1"/>
      <c r="F127" s="1"/>
      <c r="G127" s="1"/>
      <c r="H127" s="51"/>
    </row>
    <row r="128" spans="1:8" ht="14.1" customHeight="1" x14ac:dyDescent="0.2">
      <c r="A128" s="1"/>
      <c r="B128" s="1"/>
      <c r="C128" s="2" t="s">
        <v>152</v>
      </c>
      <c r="D128" s="1"/>
      <c r="E128" s="1"/>
      <c r="F128" s="1"/>
      <c r="G128" s="1"/>
      <c r="H128" s="51"/>
    </row>
    <row r="129" spans="1:8" ht="14.1" customHeight="1" x14ac:dyDescent="0.2">
      <c r="A129" s="1"/>
      <c r="B129" s="1"/>
      <c r="C129" s="2" t="s">
        <v>129</v>
      </c>
      <c r="D129" s="1"/>
      <c r="E129" s="1" t="s">
        <v>130</v>
      </c>
      <c r="F129" s="13">
        <v>0</v>
      </c>
      <c r="G129" s="14">
        <v>0</v>
      </c>
      <c r="H129" s="51"/>
    </row>
    <row r="130" spans="1:8" ht="14.1" customHeight="1" x14ac:dyDescent="0.2">
      <c r="A130" s="1"/>
      <c r="B130" s="1"/>
      <c r="C130" s="11"/>
      <c r="D130" s="1"/>
      <c r="E130" s="1"/>
      <c r="F130" s="12"/>
      <c r="G130" s="12"/>
      <c r="H130" s="51"/>
    </row>
    <row r="131" spans="1:8" ht="14.1" customHeight="1" x14ac:dyDescent="0.2">
      <c r="A131" s="1"/>
      <c r="B131" s="1"/>
      <c r="C131" s="11"/>
      <c r="D131" s="1"/>
      <c r="E131" s="1"/>
      <c r="F131" s="12"/>
      <c r="G131" s="12"/>
      <c r="H131" s="51"/>
    </row>
    <row r="132" spans="1:8" ht="24" customHeight="1" x14ac:dyDescent="0.2">
      <c r="A132" s="1"/>
      <c r="B132" s="1"/>
      <c r="C132" s="2" t="s">
        <v>153</v>
      </c>
      <c r="D132" s="1"/>
      <c r="E132" s="1"/>
      <c r="F132" s="12"/>
      <c r="G132" s="12"/>
      <c r="H132" s="51"/>
    </row>
    <row r="133" spans="1:8" ht="14.1" customHeight="1" x14ac:dyDescent="0.2">
      <c r="A133" s="1"/>
      <c r="B133" s="1"/>
      <c r="C133" s="2" t="s">
        <v>129</v>
      </c>
      <c r="D133" s="1"/>
      <c r="E133" s="1" t="s">
        <v>130</v>
      </c>
      <c r="F133" s="13">
        <v>0</v>
      </c>
      <c r="G133" s="14">
        <v>0</v>
      </c>
      <c r="H133" s="51"/>
    </row>
    <row r="134" spans="1:8" ht="14.1" customHeight="1" x14ac:dyDescent="0.2">
      <c r="A134" s="1"/>
      <c r="B134" s="1"/>
      <c r="C134" s="11"/>
      <c r="D134" s="1"/>
      <c r="E134" s="1"/>
      <c r="F134" s="12"/>
      <c r="G134" s="12"/>
      <c r="H134" s="51"/>
    </row>
    <row r="135" spans="1:8" ht="14.1" customHeight="1" x14ac:dyDescent="0.2">
      <c r="A135" s="1"/>
      <c r="B135" s="4"/>
      <c r="C135" s="4"/>
      <c r="D135" s="2"/>
      <c r="E135" s="1"/>
      <c r="F135" s="4"/>
      <c r="G135" s="8"/>
      <c r="H135" s="51"/>
    </row>
    <row r="136" spans="1:8" ht="18" customHeight="1" x14ac:dyDescent="0.2">
      <c r="A136" s="8"/>
      <c r="B136" s="4"/>
      <c r="C136" s="4" t="s">
        <v>154</v>
      </c>
      <c r="D136" s="4"/>
      <c r="E136" s="8"/>
      <c r="F136" s="6">
        <v>15.31718379</v>
      </c>
      <c r="G136" s="7">
        <v>1.0442400000000001E-3</v>
      </c>
      <c r="H136" s="51"/>
    </row>
    <row r="137" spans="1:8" ht="14.1" customHeight="1" x14ac:dyDescent="0.2">
      <c r="A137" s="11"/>
      <c r="B137" s="11"/>
      <c r="C137" s="2" t="s">
        <v>155</v>
      </c>
      <c r="D137" s="15"/>
      <c r="E137" s="15"/>
      <c r="F137" s="9">
        <v>14668.261309990001</v>
      </c>
      <c r="G137" s="10">
        <v>0.999999996</v>
      </c>
      <c r="H137" s="51"/>
    </row>
    <row r="138" spans="1:8" ht="14.1" customHeight="1" x14ac:dyDescent="0.2">
      <c r="A138" s="16"/>
      <c r="B138" s="16"/>
      <c r="C138" s="16"/>
      <c r="D138" s="17"/>
      <c r="E138" s="17"/>
      <c r="F138" s="17"/>
      <c r="G138" s="17"/>
    </row>
    <row r="139" spans="1:8" ht="14.1" customHeight="1" x14ac:dyDescent="0.2">
      <c r="A139" s="18"/>
      <c r="B139" s="18"/>
      <c r="C139" s="18"/>
      <c r="D139" s="20"/>
      <c r="E139" s="20"/>
      <c r="F139" s="20"/>
      <c r="G139" s="20"/>
    </row>
    <row r="140" spans="1:8" ht="14.1" customHeight="1" x14ac:dyDescent="0.2">
      <c r="A140" s="18"/>
      <c r="B140" s="325" t="s">
        <v>157</v>
      </c>
      <c r="C140" s="326"/>
      <c r="D140" s="12" t="s">
        <v>130</v>
      </c>
      <c r="E140" s="21"/>
      <c r="F140" s="20"/>
      <c r="G140" s="20"/>
    </row>
    <row r="141" spans="1:8" ht="29.1" customHeight="1" x14ac:dyDescent="0.2">
      <c r="A141" s="18"/>
      <c r="B141" s="318" t="s">
        <v>158</v>
      </c>
      <c r="C141" s="319"/>
      <c r="D141" s="2" t="s">
        <v>159</v>
      </c>
      <c r="E141" s="21"/>
      <c r="F141" s="20"/>
      <c r="G141" s="20"/>
    </row>
    <row r="142" spans="1:8" ht="17.100000000000001" customHeight="1" x14ac:dyDescent="0.2">
      <c r="A142" s="18"/>
      <c r="B142" s="318" t="s">
        <v>160</v>
      </c>
      <c r="C142" s="319"/>
      <c r="D142" s="2" t="s">
        <v>159</v>
      </c>
      <c r="E142" s="21"/>
      <c r="F142" s="20"/>
      <c r="G142" s="20"/>
    </row>
    <row r="143" spans="1:8" ht="17.100000000000001" customHeight="1" x14ac:dyDescent="0.2">
      <c r="A143" s="18"/>
      <c r="B143" s="318" t="s">
        <v>161</v>
      </c>
      <c r="C143" s="319"/>
      <c r="D143" s="12" t="s">
        <v>130</v>
      </c>
      <c r="E143" s="21"/>
      <c r="F143" s="20"/>
      <c r="G143" s="20"/>
    </row>
    <row r="144" spans="1:8" ht="24" customHeight="1" x14ac:dyDescent="0.2">
      <c r="A144" s="22"/>
      <c r="B144" s="23" t="s">
        <v>130</v>
      </c>
      <c r="C144" s="23" t="s">
        <v>162</v>
      </c>
      <c r="D144" s="23" t="s">
        <v>163</v>
      </c>
      <c r="E144" s="22"/>
      <c r="F144" s="22"/>
      <c r="G144" s="22"/>
    </row>
    <row r="145" spans="1:15" ht="18" customHeight="1" x14ac:dyDescent="0.2">
      <c r="A145" s="22"/>
      <c r="B145" s="23" t="s">
        <v>164</v>
      </c>
      <c r="C145" s="23" t="s">
        <v>165</v>
      </c>
      <c r="D145" s="23" t="s">
        <v>166</v>
      </c>
      <c r="E145" s="22"/>
      <c r="F145" s="22"/>
      <c r="G145" s="22"/>
    </row>
    <row r="146" spans="1:15" ht="17.100000000000001" customHeight="1" x14ac:dyDescent="0.2">
      <c r="A146" s="22"/>
      <c r="B146" s="4" t="s">
        <v>167</v>
      </c>
      <c r="C146" s="24">
        <v>23.0684</v>
      </c>
      <c r="D146" s="24">
        <v>23.146799999999999</v>
      </c>
      <c r="E146" s="22"/>
      <c r="F146" s="19"/>
      <c r="G146" s="25"/>
    </row>
    <row r="147" spans="1:15" ht="17.100000000000001" customHeight="1" x14ac:dyDescent="0.2">
      <c r="A147" s="22"/>
      <c r="B147" s="4" t="s">
        <v>1067</v>
      </c>
      <c r="C147" s="24">
        <v>21.652000000000001</v>
      </c>
      <c r="D147" s="24">
        <v>21.7255</v>
      </c>
      <c r="E147" s="22"/>
      <c r="F147" s="19"/>
      <c r="G147" s="25"/>
    </row>
    <row r="148" spans="1:15" ht="17.100000000000001" customHeight="1" x14ac:dyDescent="0.2">
      <c r="A148" s="22"/>
      <c r="B148" s="4" t="s">
        <v>168</v>
      </c>
      <c r="C148" s="24">
        <v>22.654199999999999</v>
      </c>
      <c r="D148" s="24">
        <v>22.723400000000002</v>
      </c>
      <c r="E148" s="22"/>
      <c r="F148" s="19"/>
      <c r="G148" s="25"/>
    </row>
    <row r="149" spans="1:15" ht="17.100000000000001" customHeight="1" x14ac:dyDescent="0.2">
      <c r="A149" s="22"/>
      <c r="B149" s="4" t="s">
        <v>1068</v>
      </c>
      <c r="C149" s="24">
        <v>21.2454</v>
      </c>
      <c r="D149" s="24">
        <v>21.310300000000002</v>
      </c>
      <c r="E149" s="22"/>
      <c r="F149" s="19"/>
      <c r="G149" s="25"/>
    </row>
    <row r="150" spans="1:15" ht="14.1" customHeight="1" x14ac:dyDescent="0.2">
      <c r="A150" s="22"/>
      <c r="B150" s="22"/>
      <c r="C150" s="22"/>
      <c r="D150" s="22"/>
      <c r="E150" s="22"/>
      <c r="F150" s="22"/>
      <c r="G150" s="22"/>
    </row>
    <row r="151" spans="1:15" ht="17.100000000000001" customHeight="1" x14ac:dyDescent="0.2">
      <c r="A151" s="22"/>
      <c r="B151" s="318" t="s">
        <v>1069</v>
      </c>
      <c r="C151" s="319"/>
      <c r="D151" s="111" t="s">
        <v>159</v>
      </c>
      <c r="E151" s="22"/>
      <c r="F151" s="22"/>
      <c r="G151" s="22"/>
    </row>
    <row r="152" spans="1:15" ht="18" customHeight="1" x14ac:dyDescent="0.2">
      <c r="A152" s="22"/>
      <c r="B152" s="26"/>
      <c r="C152" s="26"/>
      <c r="D152" s="27"/>
      <c r="E152" s="22"/>
      <c r="F152" s="22"/>
      <c r="G152" s="22"/>
    </row>
    <row r="153" spans="1:15" ht="29.1" customHeight="1" x14ac:dyDescent="0.2">
      <c r="A153" s="22"/>
      <c r="B153" s="318" t="s">
        <v>169</v>
      </c>
      <c r="C153" s="319"/>
      <c r="D153" s="2" t="s">
        <v>159</v>
      </c>
      <c r="E153" s="22"/>
      <c r="F153" s="22"/>
      <c r="G153" s="22"/>
    </row>
    <row r="154" spans="1:15" ht="29.1" customHeight="1" x14ac:dyDescent="0.2">
      <c r="A154" s="22"/>
      <c r="B154" s="318" t="s">
        <v>170</v>
      </c>
      <c r="C154" s="319"/>
      <c r="D154" s="2" t="s">
        <v>159</v>
      </c>
      <c r="E154" s="22"/>
      <c r="F154" s="22"/>
      <c r="G154" s="22"/>
    </row>
    <row r="155" spans="1:15" ht="17.100000000000001" customHeight="1" x14ac:dyDescent="0.2">
      <c r="A155" s="22"/>
      <c r="B155" s="318" t="s">
        <v>171</v>
      </c>
      <c r="C155" s="319"/>
      <c r="D155" s="28">
        <v>0.41175314127752827</v>
      </c>
      <c r="E155" s="22"/>
      <c r="F155" s="19"/>
      <c r="G155" s="25"/>
    </row>
    <row r="156" spans="1:15" ht="17.100000000000001" customHeight="1" x14ac:dyDescent="0.2">
      <c r="A156" s="22"/>
      <c r="B156" s="318" t="s">
        <v>172</v>
      </c>
      <c r="C156" s="319"/>
      <c r="D156" s="2" t="s">
        <v>159</v>
      </c>
      <c r="E156" s="22"/>
      <c r="F156" s="22"/>
      <c r="G156" s="22"/>
      <c r="J156" s="158"/>
      <c r="K156" s="158"/>
      <c r="L156" s="158"/>
      <c r="M156" s="158"/>
      <c r="N156" s="158"/>
      <c r="O156" s="158"/>
    </row>
  </sheetData>
  <mergeCells count="13">
    <mergeCell ref="A1:H1"/>
    <mergeCell ref="A2:H2"/>
    <mergeCell ref="A3:H3"/>
    <mergeCell ref="B155:C155"/>
    <mergeCell ref="J2:N2"/>
    <mergeCell ref="B140:C140"/>
    <mergeCell ref="B156:C156"/>
    <mergeCell ref="B141:C141"/>
    <mergeCell ref="B142:C142"/>
    <mergeCell ref="B143:C143"/>
    <mergeCell ref="B151:C151"/>
    <mergeCell ref="B153:C153"/>
    <mergeCell ref="B154:C154"/>
  </mergeCells>
  <hyperlinks>
    <hyperlink ref="I1" location="Index!B14" display="Index" xr:uid="{B53C331B-B031-42F4-88D1-4984DEBD115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N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483</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29.1" customHeight="1" x14ac:dyDescent="0.2">
      <c r="A7" s="3">
        <v>1</v>
      </c>
      <c r="B7" s="4" t="s">
        <v>185</v>
      </c>
      <c r="C7" s="4" t="s">
        <v>186</v>
      </c>
      <c r="D7" s="4" t="s">
        <v>104</v>
      </c>
      <c r="E7" s="5">
        <v>27823</v>
      </c>
      <c r="F7" s="6">
        <v>114.602937</v>
      </c>
      <c r="G7" s="7">
        <v>3.5808530999999998E-2</v>
      </c>
      <c r="H7" s="51"/>
    </row>
    <row r="8" spans="1:14" ht="17.100000000000001" customHeight="1" x14ac:dyDescent="0.2">
      <c r="A8" s="3">
        <v>2</v>
      </c>
      <c r="B8" s="4" t="s">
        <v>102</v>
      </c>
      <c r="C8" s="4" t="s">
        <v>103</v>
      </c>
      <c r="D8" s="4" t="s">
        <v>104</v>
      </c>
      <c r="E8" s="5">
        <v>26505</v>
      </c>
      <c r="F8" s="6">
        <v>112.8715425</v>
      </c>
      <c r="G8" s="7">
        <v>3.5267543999999998E-2</v>
      </c>
      <c r="H8" s="51"/>
    </row>
    <row r="9" spans="1:14" ht="17.100000000000001" customHeight="1" x14ac:dyDescent="0.2">
      <c r="A9" s="3">
        <v>3</v>
      </c>
      <c r="B9" s="4" t="s">
        <v>383</v>
      </c>
      <c r="C9" s="4" t="s">
        <v>384</v>
      </c>
      <c r="D9" s="4" t="s">
        <v>104</v>
      </c>
      <c r="E9" s="5">
        <v>6741</v>
      </c>
      <c r="F9" s="6">
        <v>111.1894245</v>
      </c>
      <c r="G9" s="7">
        <v>3.4741953999999999E-2</v>
      </c>
      <c r="H9" s="51"/>
    </row>
    <row r="10" spans="1:14" ht="17.100000000000001" customHeight="1" x14ac:dyDescent="0.2">
      <c r="A10" s="3">
        <v>4</v>
      </c>
      <c r="B10" s="4" t="s">
        <v>82</v>
      </c>
      <c r="C10" s="4" t="s">
        <v>83</v>
      </c>
      <c r="D10" s="4" t="s">
        <v>31</v>
      </c>
      <c r="E10" s="5">
        <v>7681</v>
      </c>
      <c r="F10" s="6">
        <v>111.013493</v>
      </c>
      <c r="G10" s="7">
        <v>3.4686982999999998E-2</v>
      </c>
      <c r="H10" s="51"/>
    </row>
    <row r="11" spans="1:14" ht="17.100000000000001" customHeight="1" x14ac:dyDescent="0.2">
      <c r="A11" s="3">
        <v>5</v>
      </c>
      <c r="B11" s="4" t="s">
        <v>29</v>
      </c>
      <c r="C11" s="4" t="s">
        <v>30</v>
      </c>
      <c r="D11" s="4" t="s">
        <v>31</v>
      </c>
      <c r="E11" s="5">
        <v>5488</v>
      </c>
      <c r="F11" s="6">
        <v>109.652984</v>
      </c>
      <c r="G11" s="7">
        <v>3.4261882E-2</v>
      </c>
      <c r="H11" s="51"/>
    </row>
    <row r="12" spans="1:14" ht="17.100000000000001" customHeight="1" x14ac:dyDescent="0.2">
      <c r="A12" s="3">
        <v>6</v>
      </c>
      <c r="B12" s="4" t="s">
        <v>401</v>
      </c>
      <c r="C12" s="4" t="s">
        <v>402</v>
      </c>
      <c r="D12" s="4" t="s">
        <v>223</v>
      </c>
      <c r="E12" s="5">
        <v>13845</v>
      </c>
      <c r="F12" s="6">
        <v>91.363155000000006</v>
      </c>
      <c r="G12" s="7">
        <v>2.8547090000000001E-2</v>
      </c>
      <c r="H12" s="51"/>
    </row>
    <row r="13" spans="1:14" ht="17.100000000000001" customHeight="1" x14ac:dyDescent="0.2">
      <c r="A13" s="3">
        <v>7</v>
      </c>
      <c r="B13" s="4" t="s">
        <v>379</v>
      </c>
      <c r="C13" s="4" t="s">
        <v>380</v>
      </c>
      <c r="D13" s="4" t="s">
        <v>97</v>
      </c>
      <c r="E13" s="5">
        <v>91263</v>
      </c>
      <c r="F13" s="6">
        <v>90.487264499999995</v>
      </c>
      <c r="G13" s="7">
        <v>2.8273412000000001E-2</v>
      </c>
      <c r="H13" s="51"/>
      <c r="J13" s="157" t="s">
        <v>1120</v>
      </c>
    </row>
    <row r="14" spans="1:14" ht="17.100000000000001" customHeight="1" x14ac:dyDescent="0.2">
      <c r="A14" s="3">
        <v>8</v>
      </c>
      <c r="B14" s="4" t="s">
        <v>385</v>
      </c>
      <c r="C14" s="4" t="s">
        <v>386</v>
      </c>
      <c r="D14" s="4" t="s">
        <v>104</v>
      </c>
      <c r="E14" s="5">
        <v>14146</v>
      </c>
      <c r="F14" s="6">
        <v>89.947340999999994</v>
      </c>
      <c r="G14" s="7">
        <v>2.8104707999999999E-2</v>
      </c>
      <c r="H14" s="51"/>
    </row>
    <row r="15" spans="1:14" ht="17.100000000000001" customHeight="1" x14ac:dyDescent="0.2">
      <c r="A15" s="3">
        <v>9</v>
      </c>
      <c r="B15" s="4" t="s">
        <v>302</v>
      </c>
      <c r="C15" s="4" t="s">
        <v>303</v>
      </c>
      <c r="D15" s="4" t="s">
        <v>251</v>
      </c>
      <c r="E15" s="5">
        <v>16846</v>
      </c>
      <c r="F15" s="6">
        <v>86.125174999999999</v>
      </c>
      <c r="G15" s="7">
        <v>2.6910445000000002E-2</v>
      </c>
      <c r="H15" s="51"/>
    </row>
    <row r="16" spans="1:14" ht="29.1" customHeight="1" x14ac:dyDescent="0.2">
      <c r="A16" s="3">
        <v>10</v>
      </c>
      <c r="B16" s="4" t="s">
        <v>201</v>
      </c>
      <c r="C16" s="4" t="s">
        <v>202</v>
      </c>
      <c r="D16" s="4" t="s">
        <v>203</v>
      </c>
      <c r="E16" s="5">
        <v>16491</v>
      </c>
      <c r="F16" s="6">
        <v>84.598830000000007</v>
      </c>
      <c r="G16" s="7">
        <v>2.6433526999999998E-2</v>
      </c>
      <c r="H16" s="51"/>
    </row>
    <row r="17" spans="1:8" ht="17.100000000000001" customHeight="1" x14ac:dyDescent="0.2">
      <c r="A17" s="3">
        <v>11</v>
      </c>
      <c r="B17" s="4" t="s">
        <v>319</v>
      </c>
      <c r="C17" s="4" t="s">
        <v>320</v>
      </c>
      <c r="D17" s="4" t="s">
        <v>248</v>
      </c>
      <c r="E17" s="5">
        <v>5630</v>
      </c>
      <c r="F17" s="6">
        <v>83.816625000000002</v>
      </c>
      <c r="G17" s="7">
        <v>2.6189120999999999E-2</v>
      </c>
      <c r="H17" s="51"/>
    </row>
    <row r="18" spans="1:8" ht="17.100000000000001" customHeight="1" x14ac:dyDescent="0.2">
      <c r="A18" s="3">
        <v>12</v>
      </c>
      <c r="B18" s="4" t="s">
        <v>415</v>
      </c>
      <c r="C18" s="4" t="s">
        <v>416</v>
      </c>
      <c r="D18" s="4" t="s">
        <v>31</v>
      </c>
      <c r="E18" s="5">
        <v>9092</v>
      </c>
      <c r="F18" s="6">
        <v>83.128156000000004</v>
      </c>
      <c r="G18" s="7">
        <v>2.5974003999999998E-2</v>
      </c>
      <c r="H18" s="51"/>
    </row>
    <row r="19" spans="1:8" ht="29.1" customHeight="1" x14ac:dyDescent="0.2">
      <c r="A19" s="3">
        <v>13</v>
      </c>
      <c r="B19" s="4" t="s">
        <v>182</v>
      </c>
      <c r="C19" s="4" t="s">
        <v>183</v>
      </c>
      <c r="D19" s="4" t="s">
        <v>184</v>
      </c>
      <c r="E19" s="5">
        <v>1842</v>
      </c>
      <c r="F19" s="6">
        <v>82.721457000000001</v>
      </c>
      <c r="G19" s="7">
        <v>2.5846928000000002E-2</v>
      </c>
      <c r="H19" s="51"/>
    </row>
    <row r="20" spans="1:8" ht="17.100000000000001" customHeight="1" x14ac:dyDescent="0.2">
      <c r="A20" s="3">
        <v>14</v>
      </c>
      <c r="B20" s="4" t="s">
        <v>387</v>
      </c>
      <c r="C20" s="4" t="s">
        <v>388</v>
      </c>
      <c r="D20" s="4" t="s">
        <v>208</v>
      </c>
      <c r="E20" s="5">
        <v>24416</v>
      </c>
      <c r="F20" s="6">
        <v>69.854175999999995</v>
      </c>
      <c r="G20" s="7">
        <v>2.1826451E-2</v>
      </c>
      <c r="H20" s="51"/>
    </row>
    <row r="21" spans="1:8" ht="17.100000000000001" customHeight="1" x14ac:dyDescent="0.2">
      <c r="A21" s="3">
        <v>15</v>
      </c>
      <c r="B21" s="4" t="s">
        <v>244</v>
      </c>
      <c r="C21" s="4" t="s">
        <v>245</v>
      </c>
      <c r="D21" s="4" t="s">
        <v>223</v>
      </c>
      <c r="E21" s="5">
        <v>2123</v>
      </c>
      <c r="F21" s="6">
        <v>68.810676000000001</v>
      </c>
      <c r="G21" s="7">
        <v>2.1500401999999998E-2</v>
      </c>
      <c r="H21" s="51"/>
    </row>
    <row r="22" spans="1:8" ht="17.100000000000001" customHeight="1" x14ac:dyDescent="0.2">
      <c r="A22" s="3">
        <v>16</v>
      </c>
      <c r="B22" s="4" t="s">
        <v>411</v>
      </c>
      <c r="C22" s="4" t="s">
        <v>412</v>
      </c>
      <c r="D22" s="4" t="s">
        <v>13</v>
      </c>
      <c r="E22" s="5">
        <v>14751</v>
      </c>
      <c r="F22" s="6">
        <v>62.160713999999999</v>
      </c>
      <c r="G22" s="7">
        <v>1.9422571999999999E-2</v>
      </c>
      <c r="H22" s="51"/>
    </row>
    <row r="23" spans="1:8" ht="29.1" customHeight="1" x14ac:dyDescent="0.2">
      <c r="A23" s="3">
        <v>17</v>
      </c>
      <c r="B23" s="4" t="s">
        <v>429</v>
      </c>
      <c r="C23" s="4" t="s">
        <v>430</v>
      </c>
      <c r="D23" s="4" t="s">
        <v>431</v>
      </c>
      <c r="E23" s="5">
        <v>44667</v>
      </c>
      <c r="F23" s="6">
        <v>59.384776500000001</v>
      </c>
      <c r="G23" s="7">
        <v>1.8555209999999999E-2</v>
      </c>
      <c r="H23" s="51"/>
    </row>
    <row r="24" spans="1:8" ht="29.1" customHeight="1" x14ac:dyDescent="0.2">
      <c r="A24" s="3">
        <v>18</v>
      </c>
      <c r="B24" s="4" t="s">
        <v>399</v>
      </c>
      <c r="C24" s="4" t="s">
        <v>400</v>
      </c>
      <c r="D24" s="4" t="s">
        <v>48</v>
      </c>
      <c r="E24" s="5">
        <v>2187</v>
      </c>
      <c r="F24" s="6">
        <v>58.779998999999997</v>
      </c>
      <c r="G24" s="7">
        <v>1.8366243000000001E-2</v>
      </c>
      <c r="H24" s="51"/>
    </row>
    <row r="25" spans="1:8" ht="17.100000000000001" customHeight="1" x14ac:dyDescent="0.2">
      <c r="A25" s="3">
        <v>19</v>
      </c>
      <c r="B25" s="4" t="s">
        <v>389</v>
      </c>
      <c r="C25" s="4" t="s">
        <v>390</v>
      </c>
      <c r="D25" s="4" t="s">
        <v>248</v>
      </c>
      <c r="E25" s="5">
        <v>8151</v>
      </c>
      <c r="F25" s="6">
        <v>58.556784</v>
      </c>
      <c r="G25" s="7">
        <v>1.8296498000000001E-2</v>
      </c>
      <c r="H25" s="51"/>
    </row>
    <row r="26" spans="1:8" ht="17.100000000000001" customHeight="1" x14ac:dyDescent="0.2">
      <c r="A26" s="3">
        <v>20</v>
      </c>
      <c r="B26" s="4" t="s">
        <v>425</v>
      </c>
      <c r="C26" s="4" t="s">
        <v>426</v>
      </c>
      <c r="D26" s="4" t="s">
        <v>13</v>
      </c>
      <c r="E26" s="5">
        <v>70325</v>
      </c>
      <c r="F26" s="6">
        <v>54.994149999999998</v>
      </c>
      <c r="G26" s="7">
        <v>1.7183327000000002E-2</v>
      </c>
      <c r="H26" s="51"/>
    </row>
    <row r="27" spans="1:8" ht="17.100000000000001" customHeight="1" x14ac:dyDescent="0.2">
      <c r="A27" s="3">
        <v>21</v>
      </c>
      <c r="B27" s="4" t="s">
        <v>391</v>
      </c>
      <c r="C27" s="4" t="s">
        <v>392</v>
      </c>
      <c r="D27" s="4" t="s">
        <v>97</v>
      </c>
      <c r="E27" s="5">
        <v>11094</v>
      </c>
      <c r="F27" s="6">
        <v>53.229011999999997</v>
      </c>
      <c r="G27" s="7">
        <v>1.6631796000000001E-2</v>
      </c>
      <c r="H27" s="51"/>
    </row>
    <row r="28" spans="1:8" ht="17.100000000000001" customHeight="1" x14ac:dyDescent="0.2">
      <c r="A28" s="3">
        <v>22</v>
      </c>
      <c r="B28" s="4" t="s">
        <v>432</v>
      </c>
      <c r="C28" s="4" t="s">
        <v>433</v>
      </c>
      <c r="D28" s="4" t="s">
        <v>192</v>
      </c>
      <c r="E28" s="5">
        <v>6215</v>
      </c>
      <c r="F28" s="6">
        <v>52.8119625</v>
      </c>
      <c r="G28" s="7">
        <v>1.6501485999999999E-2</v>
      </c>
      <c r="H28" s="51"/>
    </row>
    <row r="29" spans="1:8" ht="17.100000000000001" customHeight="1" x14ac:dyDescent="0.2">
      <c r="A29" s="3">
        <v>23</v>
      </c>
      <c r="B29" s="4" t="s">
        <v>242</v>
      </c>
      <c r="C29" s="4" t="s">
        <v>243</v>
      </c>
      <c r="D29" s="4" t="s">
        <v>72</v>
      </c>
      <c r="E29" s="5">
        <v>1151</v>
      </c>
      <c r="F29" s="6">
        <v>52.340573999999997</v>
      </c>
      <c r="G29" s="7">
        <v>1.6354197000000001E-2</v>
      </c>
      <c r="H29" s="51"/>
    </row>
    <row r="30" spans="1:8" ht="29.1" customHeight="1" x14ac:dyDescent="0.2">
      <c r="A30" s="3">
        <v>24</v>
      </c>
      <c r="B30" s="4" t="s">
        <v>419</v>
      </c>
      <c r="C30" s="4" t="s">
        <v>420</v>
      </c>
      <c r="D30" s="4" t="s">
        <v>203</v>
      </c>
      <c r="E30" s="5">
        <v>2681</v>
      </c>
      <c r="F30" s="6">
        <v>51.469838000000003</v>
      </c>
      <c r="G30" s="7">
        <v>1.608213E-2</v>
      </c>
      <c r="H30" s="51"/>
    </row>
    <row r="31" spans="1:8" ht="17.100000000000001" customHeight="1" x14ac:dyDescent="0.2">
      <c r="A31" s="3">
        <v>25</v>
      </c>
      <c r="B31" s="4" t="s">
        <v>90</v>
      </c>
      <c r="C31" s="4" t="s">
        <v>91</v>
      </c>
      <c r="D31" s="4" t="s">
        <v>92</v>
      </c>
      <c r="E31" s="5">
        <v>9950</v>
      </c>
      <c r="F31" s="6">
        <v>50.615650000000002</v>
      </c>
      <c r="G31" s="7">
        <v>1.5815231999999999E-2</v>
      </c>
      <c r="H31" s="51"/>
    </row>
    <row r="32" spans="1:8" ht="29.1" customHeight="1" x14ac:dyDescent="0.2">
      <c r="A32" s="3">
        <v>26</v>
      </c>
      <c r="B32" s="4" t="s">
        <v>316</v>
      </c>
      <c r="C32" s="4" t="s">
        <v>317</v>
      </c>
      <c r="D32" s="4" t="s">
        <v>318</v>
      </c>
      <c r="E32" s="5">
        <v>7830</v>
      </c>
      <c r="F32" s="6">
        <v>50.523074999999999</v>
      </c>
      <c r="G32" s="7">
        <v>1.5786306E-2</v>
      </c>
      <c r="H32" s="51"/>
    </row>
    <row r="33" spans="1:8" ht="17.100000000000001" customHeight="1" x14ac:dyDescent="0.2">
      <c r="A33" s="3">
        <v>27</v>
      </c>
      <c r="B33" s="4" t="s">
        <v>395</v>
      </c>
      <c r="C33" s="4" t="s">
        <v>396</v>
      </c>
      <c r="D33" s="4" t="s">
        <v>315</v>
      </c>
      <c r="E33" s="5">
        <v>4118</v>
      </c>
      <c r="F33" s="6">
        <v>50.188124999999999</v>
      </c>
      <c r="G33" s="7">
        <v>1.5681648999999999E-2</v>
      </c>
      <c r="H33" s="51"/>
    </row>
    <row r="34" spans="1:8" ht="17.100000000000001" customHeight="1" x14ac:dyDescent="0.2">
      <c r="A34" s="3">
        <v>28</v>
      </c>
      <c r="B34" s="4" t="s">
        <v>313</v>
      </c>
      <c r="C34" s="4" t="s">
        <v>314</v>
      </c>
      <c r="D34" s="4" t="s">
        <v>315</v>
      </c>
      <c r="E34" s="5">
        <v>3672</v>
      </c>
      <c r="F34" s="6">
        <v>50.012639999999998</v>
      </c>
      <c r="G34" s="7">
        <v>1.5626817000000001E-2</v>
      </c>
      <c r="H34" s="51"/>
    </row>
    <row r="35" spans="1:8" ht="29.1" customHeight="1" x14ac:dyDescent="0.2">
      <c r="A35" s="3">
        <v>29</v>
      </c>
      <c r="B35" s="4" t="s">
        <v>457</v>
      </c>
      <c r="C35" s="4" t="s">
        <v>458</v>
      </c>
      <c r="D35" s="4" t="s">
        <v>367</v>
      </c>
      <c r="E35" s="5">
        <v>8191</v>
      </c>
      <c r="F35" s="6">
        <v>48.961702500000001</v>
      </c>
      <c r="G35" s="7">
        <v>1.5298444E-2</v>
      </c>
      <c r="H35" s="51"/>
    </row>
    <row r="36" spans="1:8" ht="17.100000000000001" customHeight="1" x14ac:dyDescent="0.2">
      <c r="A36" s="3">
        <v>30</v>
      </c>
      <c r="B36" s="4" t="s">
        <v>409</v>
      </c>
      <c r="C36" s="4" t="s">
        <v>410</v>
      </c>
      <c r="D36" s="4" t="s">
        <v>104</v>
      </c>
      <c r="E36" s="5">
        <v>7524</v>
      </c>
      <c r="F36" s="6">
        <v>48.860855999999998</v>
      </c>
      <c r="G36" s="7">
        <v>1.5266933999999999E-2</v>
      </c>
      <c r="H36" s="51"/>
    </row>
    <row r="37" spans="1:8" ht="17.100000000000001" customHeight="1" x14ac:dyDescent="0.2">
      <c r="A37" s="3">
        <v>31</v>
      </c>
      <c r="B37" s="4" t="s">
        <v>417</v>
      </c>
      <c r="C37" s="4" t="s">
        <v>418</v>
      </c>
      <c r="D37" s="4" t="s">
        <v>92</v>
      </c>
      <c r="E37" s="5">
        <v>3479</v>
      </c>
      <c r="F37" s="6">
        <v>48.674689000000001</v>
      </c>
      <c r="G37" s="7">
        <v>1.5208765000000001E-2</v>
      </c>
      <c r="H37" s="51"/>
    </row>
    <row r="38" spans="1:8" ht="17.100000000000001" customHeight="1" x14ac:dyDescent="0.2">
      <c r="A38" s="3">
        <v>32</v>
      </c>
      <c r="B38" s="4" t="s">
        <v>32</v>
      </c>
      <c r="C38" s="4" t="s">
        <v>33</v>
      </c>
      <c r="D38" s="4" t="s">
        <v>31</v>
      </c>
      <c r="E38" s="5">
        <v>2356</v>
      </c>
      <c r="F38" s="6">
        <v>48.631374000000001</v>
      </c>
      <c r="G38" s="7">
        <v>1.5195231E-2</v>
      </c>
      <c r="H38" s="51"/>
    </row>
    <row r="39" spans="1:8" ht="17.100000000000001" customHeight="1" x14ac:dyDescent="0.2">
      <c r="A39" s="3">
        <v>33</v>
      </c>
      <c r="B39" s="4" t="s">
        <v>461</v>
      </c>
      <c r="C39" s="4" t="s">
        <v>462</v>
      </c>
      <c r="D39" s="4" t="s">
        <v>260</v>
      </c>
      <c r="E39" s="5">
        <v>14444</v>
      </c>
      <c r="F39" s="6">
        <v>48.401843999999997</v>
      </c>
      <c r="G39" s="7">
        <v>1.5123512E-2</v>
      </c>
      <c r="H39" s="51"/>
    </row>
    <row r="40" spans="1:8" ht="17.100000000000001" customHeight="1" x14ac:dyDescent="0.2">
      <c r="A40" s="3">
        <v>34</v>
      </c>
      <c r="B40" s="4" t="s">
        <v>403</v>
      </c>
      <c r="C40" s="4" t="s">
        <v>404</v>
      </c>
      <c r="D40" s="4" t="s">
        <v>277</v>
      </c>
      <c r="E40" s="5">
        <v>6040</v>
      </c>
      <c r="F40" s="6">
        <v>47.891159999999999</v>
      </c>
      <c r="G40" s="7">
        <v>1.4963944999999999E-2</v>
      </c>
      <c r="H40" s="51"/>
    </row>
    <row r="41" spans="1:8" ht="29.1" customHeight="1" x14ac:dyDescent="0.2">
      <c r="A41" s="3">
        <v>35</v>
      </c>
      <c r="B41" s="4" t="s">
        <v>63</v>
      </c>
      <c r="C41" s="4" t="s">
        <v>64</v>
      </c>
      <c r="D41" s="4" t="s">
        <v>25</v>
      </c>
      <c r="E41" s="5">
        <v>1823</v>
      </c>
      <c r="F41" s="6">
        <v>47.865599500000002</v>
      </c>
      <c r="G41" s="7">
        <v>1.4955959E-2</v>
      </c>
      <c r="H41" s="51"/>
    </row>
    <row r="42" spans="1:8" ht="17.100000000000001" customHeight="1" x14ac:dyDescent="0.2">
      <c r="A42" s="3">
        <v>36</v>
      </c>
      <c r="B42" s="4" t="s">
        <v>427</v>
      </c>
      <c r="C42" s="4" t="s">
        <v>428</v>
      </c>
      <c r="D42" s="4" t="s">
        <v>97</v>
      </c>
      <c r="E42" s="5">
        <v>4638</v>
      </c>
      <c r="F42" s="6">
        <v>46.106358</v>
      </c>
      <c r="G42" s="7">
        <v>1.4406271E-2</v>
      </c>
      <c r="H42" s="51"/>
    </row>
    <row r="43" spans="1:8" ht="17.100000000000001" customHeight="1" x14ac:dyDescent="0.2">
      <c r="A43" s="3">
        <v>37</v>
      </c>
      <c r="B43" s="4" t="s">
        <v>174</v>
      </c>
      <c r="C43" s="4" t="s">
        <v>175</v>
      </c>
      <c r="D43" s="4" t="s">
        <v>22</v>
      </c>
      <c r="E43" s="5">
        <v>21314</v>
      </c>
      <c r="F43" s="6">
        <v>46.102181999999999</v>
      </c>
      <c r="G43" s="7">
        <v>1.4404966E-2</v>
      </c>
      <c r="H43" s="51"/>
    </row>
    <row r="44" spans="1:8" ht="17.100000000000001" customHeight="1" x14ac:dyDescent="0.2">
      <c r="A44" s="3">
        <v>38</v>
      </c>
      <c r="B44" s="4" t="s">
        <v>381</v>
      </c>
      <c r="C44" s="4" t="s">
        <v>382</v>
      </c>
      <c r="D44" s="4" t="s">
        <v>277</v>
      </c>
      <c r="E44" s="5">
        <v>3553</v>
      </c>
      <c r="F44" s="6">
        <v>44.808659499999997</v>
      </c>
      <c r="G44" s="7">
        <v>1.4000795E-2</v>
      </c>
      <c r="H44" s="51"/>
    </row>
    <row r="45" spans="1:8" ht="29.1" customHeight="1" x14ac:dyDescent="0.2">
      <c r="A45" s="3">
        <v>39</v>
      </c>
      <c r="B45" s="4" t="s">
        <v>407</v>
      </c>
      <c r="C45" s="4" t="s">
        <v>408</v>
      </c>
      <c r="D45" s="4" t="s">
        <v>203</v>
      </c>
      <c r="E45" s="5">
        <v>13550</v>
      </c>
      <c r="F45" s="6">
        <v>44.43045</v>
      </c>
      <c r="G45" s="7">
        <v>1.3882621E-2</v>
      </c>
      <c r="H45" s="51"/>
    </row>
    <row r="46" spans="1:8" ht="29.1" customHeight="1" x14ac:dyDescent="0.2">
      <c r="A46" s="3">
        <v>40</v>
      </c>
      <c r="B46" s="4" t="s">
        <v>397</v>
      </c>
      <c r="C46" s="4" t="s">
        <v>398</v>
      </c>
      <c r="D46" s="4" t="s">
        <v>75</v>
      </c>
      <c r="E46" s="5">
        <v>2627</v>
      </c>
      <c r="F46" s="6">
        <v>41.603799000000002</v>
      </c>
      <c r="G46" s="7">
        <v>1.2999413E-2</v>
      </c>
      <c r="H46" s="51"/>
    </row>
    <row r="47" spans="1:8" ht="17.100000000000001" customHeight="1" x14ac:dyDescent="0.2">
      <c r="A47" s="3">
        <v>41</v>
      </c>
      <c r="B47" s="4" t="s">
        <v>459</v>
      </c>
      <c r="C47" s="4" t="s">
        <v>460</v>
      </c>
      <c r="D47" s="4" t="s">
        <v>97</v>
      </c>
      <c r="E47" s="5">
        <v>59081</v>
      </c>
      <c r="F47" s="6">
        <v>39.200243499999999</v>
      </c>
      <c r="G47" s="7">
        <v>1.2248403999999999E-2</v>
      </c>
      <c r="H47" s="51"/>
    </row>
    <row r="48" spans="1:8" ht="17.100000000000001" customHeight="1" x14ac:dyDescent="0.2">
      <c r="A48" s="3">
        <v>42</v>
      </c>
      <c r="B48" s="4" t="s">
        <v>393</v>
      </c>
      <c r="C48" s="4" t="s">
        <v>394</v>
      </c>
      <c r="D48" s="4" t="s">
        <v>97</v>
      </c>
      <c r="E48" s="5">
        <v>4394</v>
      </c>
      <c r="F48" s="6">
        <v>38.383786999999998</v>
      </c>
      <c r="G48" s="7">
        <v>1.1993297E-2</v>
      </c>
      <c r="H48" s="51"/>
    </row>
    <row r="49" spans="1:8" ht="29.1" customHeight="1" x14ac:dyDescent="0.2">
      <c r="A49" s="3">
        <v>43</v>
      </c>
      <c r="B49" s="4" t="s">
        <v>291</v>
      </c>
      <c r="C49" s="4" t="s">
        <v>292</v>
      </c>
      <c r="D49" s="4" t="s">
        <v>184</v>
      </c>
      <c r="E49" s="5">
        <v>5060</v>
      </c>
      <c r="F49" s="6">
        <v>38.008189999999999</v>
      </c>
      <c r="G49" s="7">
        <v>1.1875939E-2</v>
      </c>
      <c r="H49" s="51"/>
    </row>
    <row r="50" spans="1:8" ht="53.1" customHeight="1" x14ac:dyDescent="0.2">
      <c r="A50" s="3">
        <v>44</v>
      </c>
      <c r="B50" s="4" t="s">
        <v>335</v>
      </c>
      <c r="C50" s="4" t="s">
        <v>863</v>
      </c>
      <c r="D50" s="4" t="s">
        <v>45</v>
      </c>
      <c r="E50" s="5">
        <v>11330</v>
      </c>
      <c r="F50" s="6">
        <v>31.174495</v>
      </c>
      <c r="G50" s="7">
        <v>9.7406999999999997E-3</v>
      </c>
      <c r="H50" s="51"/>
    </row>
    <row r="51" spans="1:8" ht="17.100000000000001" customHeight="1" x14ac:dyDescent="0.2">
      <c r="A51" s="3">
        <v>45</v>
      </c>
      <c r="B51" s="4" t="s">
        <v>440</v>
      </c>
      <c r="C51" s="4" t="s">
        <v>441</v>
      </c>
      <c r="D51" s="4" t="s">
        <v>51</v>
      </c>
      <c r="E51" s="5">
        <v>4036</v>
      </c>
      <c r="F51" s="6">
        <v>30.941994000000001</v>
      </c>
      <c r="G51" s="7">
        <v>9.6680540000000006E-3</v>
      </c>
      <c r="H51" s="51"/>
    </row>
    <row r="52" spans="1:8" ht="17.100000000000001" customHeight="1" x14ac:dyDescent="0.2">
      <c r="A52" s="3">
        <v>46</v>
      </c>
      <c r="B52" s="4" t="s">
        <v>477</v>
      </c>
      <c r="C52" s="4" t="s">
        <v>478</v>
      </c>
      <c r="D52" s="4" t="s">
        <v>248</v>
      </c>
      <c r="E52" s="5">
        <v>16207</v>
      </c>
      <c r="F52" s="6">
        <v>30.226054999999999</v>
      </c>
      <c r="G52" s="7">
        <v>9.4443530000000008E-3</v>
      </c>
      <c r="H52" s="51"/>
    </row>
    <row r="53" spans="1:8" ht="17.100000000000001" customHeight="1" x14ac:dyDescent="0.2">
      <c r="A53" s="3">
        <v>47</v>
      </c>
      <c r="B53" s="4" t="s">
        <v>442</v>
      </c>
      <c r="C53" s="4" t="s">
        <v>443</v>
      </c>
      <c r="D53" s="4" t="s">
        <v>232</v>
      </c>
      <c r="E53" s="5">
        <v>3908</v>
      </c>
      <c r="F53" s="6">
        <v>28.278288</v>
      </c>
      <c r="G53" s="7">
        <v>8.8357590000000003E-3</v>
      </c>
      <c r="H53" s="51"/>
    </row>
    <row r="54" spans="1:8" ht="17.100000000000001" customHeight="1" x14ac:dyDescent="0.2">
      <c r="A54" s="3">
        <v>48</v>
      </c>
      <c r="B54" s="4" t="s">
        <v>405</v>
      </c>
      <c r="C54" s="4" t="s">
        <v>406</v>
      </c>
      <c r="D54" s="4" t="s">
        <v>31</v>
      </c>
      <c r="E54" s="5">
        <v>3042</v>
      </c>
      <c r="F54" s="6">
        <v>27.268488000000001</v>
      </c>
      <c r="G54" s="7">
        <v>8.5202400000000001E-3</v>
      </c>
      <c r="H54" s="51"/>
    </row>
    <row r="55" spans="1:8" ht="29.1" customHeight="1" x14ac:dyDescent="0.2">
      <c r="A55" s="3">
        <v>49</v>
      </c>
      <c r="B55" s="4" t="s">
        <v>446</v>
      </c>
      <c r="C55" s="4" t="s">
        <v>447</v>
      </c>
      <c r="D55" s="4" t="s">
        <v>203</v>
      </c>
      <c r="E55" s="5">
        <v>596</v>
      </c>
      <c r="F55" s="6">
        <v>24.477422000000001</v>
      </c>
      <c r="G55" s="7">
        <v>7.6481509999999997E-3</v>
      </c>
      <c r="H55" s="51"/>
    </row>
    <row r="56" spans="1:8" ht="17.100000000000001" customHeight="1" x14ac:dyDescent="0.2">
      <c r="A56" s="3">
        <v>50</v>
      </c>
      <c r="B56" s="4" t="s">
        <v>329</v>
      </c>
      <c r="C56" s="4" t="s">
        <v>330</v>
      </c>
      <c r="D56" s="4" t="s">
        <v>36</v>
      </c>
      <c r="E56" s="5">
        <v>10358</v>
      </c>
      <c r="F56" s="6">
        <v>24.413806000000001</v>
      </c>
      <c r="G56" s="7">
        <v>7.6282729999999997E-3</v>
      </c>
      <c r="H56" s="51"/>
    </row>
    <row r="57" spans="1:8" ht="29.1" customHeight="1" x14ac:dyDescent="0.2">
      <c r="A57" s="3">
        <v>51</v>
      </c>
      <c r="B57" s="4" t="s">
        <v>470</v>
      </c>
      <c r="C57" s="4" t="s">
        <v>471</v>
      </c>
      <c r="D57" s="4" t="s">
        <v>472</v>
      </c>
      <c r="E57" s="5">
        <v>4036</v>
      </c>
      <c r="F57" s="6">
        <v>17.857282000000001</v>
      </c>
      <c r="G57" s="7">
        <v>5.579639E-3</v>
      </c>
      <c r="H57" s="51"/>
    </row>
    <row r="58" spans="1:8" ht="29.1" customHeight="1" x14ac:dyDescent="0.2">
      <c r="A58" s="3">
        <v>52</v>
      </c>
      <c r="B58" s="4" t="s">
        <v>463</v>
      </c>
      <c r="C58" s="4" t="s">
        <v>464</v>
      </c>
      <c r="D58" s="4" t="s">
        <v>184</v>
      </c>
      <c r="E58" s="5">
        <v>2348</v>
      </c>
      <c r="F58" s="6">
        <v>17.371677999999999</v>
      </c>
      <c r="G58" s="7">
        <v>5.4279089999999999E-3</v>
      </c>
      <c r="H58" s="51"/>
    </row>
    <row r="59" spans="1:8" ht="17.100000000000001" customHeight="1" x14ac:dyDescent="0.2">
      <c r="A59" s="3">
        <v>53</v>
      </c>
      <c r="B59" s="4" t="s">
        <v>340</v>
      </c>
      <c r="C59" s="4" t="s">
        <v>341</v>
      </c>
      <c r="D59" s="4" t="s">
        <v>92</v>
      </c>
      <c r="E59" s="5">
        <v>22875</v>
      </c>
      <c r="F59" s="6">
        <v>17.06475</v>
      </c>
      <c r="G59" s="7">
        <v>5.3320069999999997E-3</v>
      </c>
      <c r="H59" s="51"/>
    </row>
    <row r="60" spans="1:8" ht="17.100000000000001" customHeight="1" x14ac:dyDescent="0.2">
      <c r="A60" s="3">
        <v>54</v>
      </c>
      <c r="B60" s="4" t="s">
        <v>444</v>
      </c>
      <c r="C60" s="4" t="s">
        <v>445</v>
      </c>
      <c r="D60" s="4" t="s">
        <v>31</v>
      </c>
      <c r="E60" s="5">
        <v>2107</v>
      </c>
      <c r="F60" s="6">
        <v>16.8254485</v>
      </c>
      <c r="G60" s="7">
        <v>5.2572349999999999E-3</v>
      </c>
      <c r="H60" s="51"/>
    </row>
    <row r="61" spans="1:8" ht="17.100000000000001" customHeight="1" x14ac:dyDescent="0.2">
      <c r="A61" s="3">
        <v>55</v>
      </c>
      <c r="B61" s="4" t="s">
        <v>454</v>
      </c>
      <c r="C61" s="4" t="s">
        <v>455</v>
      </c>
      <c r="D61" s="4" t="s">
        <v>16</v>
      </c>
      <c r="E61" s="5">
        <v>1978</v>
      </c>
      <c r="F61" s="6">
        <v>4.4040169999999996</v>
      </c>
      <c r="G61" s="7">
        <v>1.376068E-3</v>
      </c>
      <c r="H61" s="51"/>
    </row>
    <row r="62" spans="1:8" ht="29.1" customHeight="1" x14ac:dyDescent="0.2">
      <c r="A62" s="3">
        <v>56</v>
      </c>
      <c r="B62" s="4" t="s">
        <v>448</v>
      </c>
      <c r="C62" s="4" t="s">
        <v>449</v>
      </c>
      <c r="D62" s="4" t="s">
        <v>203</v>
      </c>
      <c r="E62" s="5">
        <v>1719</v>
      </c>
      <c r="F62" s="6">
        <v>4.0250385</v>
      </c>
      <c r="G62" s="7">
        <v>1.2576530000000001E-3</v>
      </c>
      <c r="H62" s="51"/>
    </row>
    <row r="63" spans="1:8" ht="14.1" customHeight="1" x14ac:dyDescent="0.2">
      <c r="A63" s="1"/>
      <c r="B63" s="1"/>
      <c r="C63" s="2" t="s">
        <v>129</v>
      </c>
      <c r="D63" s="1"/>
      <c r="E63" s="1" t="s">
        <v>130</v>
      </c>
      <c r="F63" s="9">
        <v>3047.5101924999999</v>
      </c>
      <c r="G63" s="10">
        <v>0.95221698200000005</v>
      </c>
      <c r="H63" s="51"/>
    </row>
    <row r="64" spans="1:8" ht="14.1" customHeight="1" x14ac:dyDescent="0.2">
      <c r="A64" s="1"/>
      <c r="B64" s="1"/>
      <c r="C64" s="11"/>
      <c r="D64" s="1"/>
      <c r="E64" s="1"/>
      <c r="F64" s="12"/>
      <c r="G64" s="12"/>
      <c r="H64" s="51"/>
    </row>
    <row r="65" spans="1:8" ht="14.1" customHeight="1" x14ac:dyDescent="0.2">
      <c r="A65" s="1"/>
      <c r="B65" s="1"/>
      <c r="C65" s="2" t="s">
        <v>131</v>
      </c>
      <c r="D65" s="1"/>
      <c r="E65" s="1"/>
      <c r="F65" s="1"/>
      <c r="G65" s="1"/>
      <c r="H65" s="51"/>
    </row>
    <row r="66" spans="1:8" ht="14.1" customHeight="1" x14ac:dyDescent="0.2">
      <c r="A66" s="1"/>
      <c r="B66" s="1"/>
      <c r="C66" s="2" t="s">
        <v>129</v>
      </c>
      <c r="D66" s="1"/>
      <c r="E66" s="1" t="s">
        <v>130</v>
      </c>
      <c r="F66" s="13">
        <v>0</v>
      </c>
      <c r="G66" s="14">
        <v>0</v>
      </c>
      <c r="H66" s="51"/>
    </row>
    <row r="67" spans="1:8" ht="14.1" customHeight="1" x14ac:dyDescent="0.2">
      <c r="A67" s="1"/>
      <c r="B67" s="1"/>
      <c r="C67" s="11"/>
      <c r="D67" s="1"/>
      <c r="E67" s="1"/>
      <c r="F67" s="12"/>
      <c r="G67" s="12"/>
      <c r="H67" s="51"/>
    </row>
    <row r="68" spans="1:8" ht="14.1" customHeight="1" x14ac:dyDescent="0.2">
      <c r="A68" s="1"/>
      <c r="B68" s="1"/>
      <c r="C68" s="2" t="s">
        <v>132</v>
      </c>
      <c r="D68" s="1"/>
      <c r="E68" s="1"/>
      <c r="F68" s="1"/>
      <c r="G68" s="1"/>
      <c r="H68" s="51"/>
    </row>
    <row r="69" spans="1:8" ht="14.1" customHeight="1" x14ac:dyDescent="0.2">
      <c r="A69" s="1"/>
      <c r="B69" s="1"/>
      <c r="C69" s="2" t="s">
        <v>129</v>
      </c>
      <c r="D69" s="1"/>
      <c r="E69" s="1" t="s">
        <v>130</v>
      </c>
      <c r="F69" s="13">
        <v>0</v>
      </c>
      <c r="G69" s="14">
        <v>0</v>
      </c>
      <c r="H69" s="51"/>
    </row>
    <row r="70" spans="1:8" ht="14.1" customHeight="1" x14ac:dyDescent="0.2">
      <c r="A70" s="1"/>
      <c r="B70" s="1"/>
      <c r="C70" s="11"/>
      <c r="D70" s="1"/>
      <c r="E70" s="1"/>
      <c r="F70" s="12"/>
      <c r="G70" s="12"/>
      <c r="H70" s="51"/>
    </row>
    <row r="71" spans="1:8" ht="14.1" customHeight="1" x14ac:dyDescent="0.2">
      <c r="A71" s="1"/>
      <c r="B71" s="1"/>
      <c r="C71" s="2" t="s">
        <v>133</v>
      </c>
      <c r="D71" s="1"/>
      <c r="E71" s="1"/>
      <c r="F71" s="1"/>
      <c r="G71" s="1"/>
      <c r="H71" s="51"/>
    </row>
    <row r="72" spans="1:8" ht="14.1" customHeight="1" x14ac:dyDescent="0.2">
      <c r="A72" s="1"/>
      <c r="B72" s="1"/>
      <c r="C72" s="2" t="s">
        <v>129</v>
      </c>
      <c r="D72" s="1"/>
      <c r="E72" s="1" t="s">
        <v>130</v>
      </c>
      <c r="F72" s="13">
        <v>0</v>
      </c>
      <c r="G72" s="14">
        <v>0</v>
      </c>
      <c r="H72" s="51"/>
    </row>
    <row r="73" spans="1:8" ht="14.1" customHeight="1" x14ac:dyDescent="0.2">
      <c r="A73" s="1"/>
      <c r="B73" s="1"/>
      <c r="C73" s="11"/>
      <c r="D73" s="1"/>
      <c r="E73" s="1"/>
      <c r="F73" s="12"/>
      <c r="G73" s="12"/>
      <c r="H73" s="51"/>
    </row>
    <row r="74" spans="1:8" ht="14.1" customHeight="1" x14ac:dyDescent="0.2">
      <c r="A74" s="1"/>
      <c r="B74" s="1"/>
      <c r="C74" s="2" t="s">
        <v>134</v>
      </c>
      <c r="D74" s="1"/>
      <c r="E74" s="1"/>
      <c r="F74" s="12"/>
      <c r="G74" s="12"/>
      <c r="H74" s="51"/>
    </row>
    <row r="75" spans="1:8" ht="14.1" customHeight="1" x14ac:dyDescent="0.2">
      <c r="A75" s="1"/>
      <c r="B75" s="1"/>
      <c r="C75" s="2" t="s">
        <v>129</v>
      </c>
      <c r="D75" s="1"/>
      <c r="E75" s="1" t="s">
        <v>130</v>
      </c>
      <c r="F75" s="13">
        <v>0</v>
      </c>
      <c r="G75" s="14">
        <v>0</v>
      </c>
      <c r="H75" s="51"/>
    </row>
    <row r="76" spans="1:8" ht="14.1" customHeight="1" x14ac:dyDescent="0.2">
      <c r="A76" s="1"/>
      <c r="B76" s="1"/>
      <c r="C76" s="11"/>
      <c r="D76" s="1"/>
      <c r="E76" s="1"/>
      <c r="F76" s="12"/>
      <c r="G76" s="12"/>
      <c r="H76" s="51"/>
    </row>
    <row r="77" spans="1:8" ht="14.1" customHeight="1" x14ac:dyDescent="0.2">
      <c r="A77" s="1"/>
      <c r="B77" s="1"/>
      <c r="C77" s="2" t="s">
        <v>135</v>
      </c>
      <c r="D77" s="1"/>
      <c r="E77" s="1"/>
      <c r="F77" s="12"/>
      <c r="G77" s="12"/>
      <c r="H77" s="51"/>
    </row>
    <row r="78" spans="1:8" ht="14.1" customHeight="1" x14ac:dyDescent="0.2">
      <c r="A78" s="1"/>
      <c r="B78" s="1"/>
      <c r="C78" s="2" t="s">
        <v>129</v>
      </c>
      <c r="D78" s="1"/>
      <c r="E78" s="1" t="s">
        <v>130</v>
      </c>
      <c r="F78" s="13">
        <v>0</v>
      </c>
      <c r="G78" s="14">
        <v>0</v>
      </c>
      <c r="H78" s="51"/>
    </row>
    <row r="79" spans="1:8" ht="14.1" customHeight="1" x14ac:dyDescent="0.2">
      <c r="A79" s="1"/>
      <c r="B79" s="1"/>
      <c r="C79" s="11"/>
      <c r="D79" s="1"/>
      <c r="E79" s="1"/>
      <c r="F79" s="12"/>
      <c r="G79" s="12"/>
      <c r="H79" s="51"/>
    </row>
    <row r="80" spans="1:8" ht="18" customHeight="1" x14ac:dyDescent="0.2">
      <c r="A80" s="1"/>
      <c r="B80" s="1"/>
      <c r="C80" s="2" t="s">
        <v>136</v>
      </c>
      <c r="D80" s="1"/>
      <c r="E80" s="1"/>
      <c r="F80" s="9">
        <v>3047.5101924999999</v>
      </c>
      <c r="G80" s="10">
        <v>0.95221698200000005</v>
      </c>
      <c r="H80" s="51"/>
    </row>
    <row r="81" spans="1:8" ht="14.1" customHeight="1" x14ac:dyDescent="0.2">
      <c r="A81" s="1"/>
      <c r="B81" s="1"/>
      <c r="C81" s="11"/>
      <c r="D81" s="1"/>
      <c r="E81" s="1"/>
      <c r="F81" s="12"/>
      <c r="G81" s="12"/>
      <c r="H81" s="51"/>
    </row>
    <row r="82" spans="1:8" ht="14.1" customHeight="1" x14ac:dyDescent="0.2">
      <c r="A82" s="1"/>
      <c r="B82" s="1"/>
      <c r="C82" s="2" t="s">
        <v>137</v>
      </c>
      <c r="D82" s="1"/>
      <c r="E82" s="1"/>
      <c r="F82" s="12"/>
      <c r="G82" s="12"/>
      <c r="H82" s="51"/>
    </row>
    <row r="83" spans="1:8" ht="24" customHeight="1" x14ac:dyDescent="0.2">
      <c r="A83" s="1"/>
      <c r="B83" s="1"/>
      <c r="C83" s="2" t="s">
        <v>10</v>
      </c>
      <c r="D83" s="1"/>
      <c r="E83" s="1"/>
      <c r="F83" s="12"/>
      <c r="G83" s="12"/>
      <c r="H83" s="51"/>
    </row>
    <row r="84" spans="1:8" ht="14.1" customHeight="1" x14ac:dyDescent="0.2">
      <c r="A84" s="1"/>
      <c r="B84" s="1"/>
      <c r="C84" s="2" t="s">
        <v>129</v>
      </c>
      <c r="D84" s="1"/>
      <c r="E84" s="1" t="s">
        <v>130</v>
      </c>
      <c r="F84" s="13">
        <v>0</v>
      </c>
      <c r="G84" s="14">
        <v>0</v>
      </c>
      <c r="H84" s="51"/>
    </row>
    <row r="85" spans="1:8" ht="14.1" customHeight="1" x14ac:dyDescent="0.2">
      <c r="A85" s="1"/>
      <c r="B85" s="1"/>
      <c r="C85" s="11"/>
      <c r="D85" s="1"/>
      <c r="E85" s="1"/>
      <c r="F85" s="12"/>
      <c r="G85" s="12"/>
      <c r="H85" s="51"/>
    </row>
    <row r="86" spans="1:8" ht="14.1" customHeight="1" x14ac:dyDescent="0.2">
      <c r="A86" s="1"/>
      <c r="B86" s="1"/>
      <c r="C86" s="2" t="s">
        <v>138</v>
      </c>
      <c r="D86" s="1"/>
      <c r="E86" s="1"/>
      <c r="F86" s="1"/>
      <c r="G86" s="1"/>
      <c r="H86" s="51"/>
    </row>
    <row r="87" spans="1:8" ht="14.1" customHeight="1" x14ac:dyDescent="0.2">
      <c r="A87" s="1"/>
      <c r="B87" s="1"/>
      <c r="C87" s="2" t="s">
        <v>129</v>
      </c>
      <c r="D87" s="1"/>
      <c r="E87" s="1" t="s">
        <v>130</v>
      </c>
      <c r="F87" s="13">
        <v>0</v>
      </c>
      <c r="G87" s="14">
        <v>0</v>
      </c>
      <c r="H87" s="51"/>
    </row>
    <row r="88" spans="1:8" ht="14.1" customHeight="1" x14ac:dyDescent="0.2">
      <c r="A88" s="1"/>
      <c r="B88" s="1"/>
      <c r="C88" s="11"/>
      <c r="D88" s="1"/>
      <c r="E88" s="1"/>
      <c r="F88" s="12"/>
      <c r="G88" s="12"/>
      <c r="H88" s="51"/>
    </row>
    <row r="89" spans="1:8" ht="14.1" customHeight="1" x14ac:dyDescent="0.2">
      <c r="A89" s="1"/>
      <c r="B89" s="1"/>
      <c r="C89" s="2" t="s">
        <v>139</v>
      </c>
      <c r="D89" s="1"/>
      <c r="E89" s="1"/>
      <c r="F89" s="1"/>
      <c r="G89" s="1"/>
      <c r="H89" s="51"/>
    </row>
    <row r="90" spans="1:8" ht="14.1" customHeight="1" x14ac:dyDescent="0.2">
      <c r="A90" s="1"/>
      <c r="B90" s="1"/>
      <c r="C90" s="2" t="s">
        <v>129</v>
      </c>
      <c r="D90" s="1"/>
      <c r="E90" s="1" t="s">
        <v>130</v>
      </c>
      <c r="F90" s="13">
        <v>0</v>
      </c>
      <c r="G90" s="14">
        <v>0</v>
      </c>
      <c r="H90" s="51"/>
    </row>
    <row r="91" spans="1:8" ht="14.1" customHeight="1" x14ac:dyDescent="0.2">
      <c r="A91" s="1"/>
      <c r="B91" s="1"/>
      <c r="C91" s="11"/>
      <c r="D91" s="1"/>
      <c r="E91" s="1"/>
      <c r="F91" s="12"/>
      <c r="G91" s="12"/>
      <c r="H91" s="51"/>
    </row>
    <row r="92" spans="1:8" ht="14.1" customHeight="1" x14ac:dyDescent="0.2">
      <c r="A92" s="1"/>
      <c r="B92" s="1"/>
      <c r="C92" s="2" t="s">
        <v>140</v>
      </c>
      <c r="D92" s="1"/>
      <c r="E92" s="1"/>
      <c r="F92" s="12"/>
      <c r="G92" s="12"/>
      <c r="H92" s="51"/>
    </row>
    <row r="93" spans="1:8" ht="14.1" customHeight="1" x14ac:dyDescent="0.2">
      <c r="A93" s="1"/>
      <c r="B93" s="1"/>
      <c r="C93" s="2" t="s">
        <v>129</v>
      </c>
      <c r="D93" s="1"/>
      <c r="E93" s="1" t="s">
        <v>130</v>
      </c>
      <c r="F93" s="13">
        <v>0</v>
      </c>
      <c r="G93" s="14">
        <v>0</v>
      </c>
      <c r="H93" s="51"/>
    </row>
    <row r="94" spans="1:8" ht="14.1" customHeight="1" x14ac:dyDescent="0.2">
      <c r="A94" s="1"/>
      <c r="B94" s="1"/>
      <c r="C94" s="11"/>
      <c r="D94" s="1"/>
      <c r="E94" s="1"/>
      <c r="F94" s="12"/>
      <c r="G94" s="12"/>
      <c r="H94" s="51"/>
    </row>
    <row r="95" spans="1:8" ht="14.1" customHeight="1" x14ac:dyDescent="0.2">
      <c r="A95" s="1"/>
      <c r="B95" s="1"/>
      <c r="C95" s="2" t="s">
        <v>141</v>
      </c>
      <c r="D95" s="1"/>
      <c r="E95" s="1"/>
      <c r="F95" s="9">
        <v>0</v>
      </c>
      <c r="G95" s="10">
        <v>0</v>
      </c>
      <c r="H95" s="51"/>
    </row>
    <row r="96" spans="1:8" ht="14.1" customHeight="1" x14ac:dyDescent="0.2">
      <c r="A96" s="1"/>
      <c r="B96" s="1"/>
      <c r="C96" s="11"/>
      <c r="D96" s="1"/>
      <c r="E96" s="1"/>
      <c r="F96" s="12"/>
      <c r="G96" s="12"/>
      <c r="H96" s="51"/>
    </row>
    <row r="97" spans="1:8" ht="14.1" customHeight="1" x14ac:dyDescent="0.2">
      <c r="A97" s="1"/>
      <c r="B97" s="1"/>
      <c r="C97" s="2" t="s">
        <v>142</v>
      </c>
      <c r="D97" s="1"/>
      <c r="E97" s="1"/>
      <c r="F97" s="12"/>
      <c r="G97" s="12"/>
      <c r="H97" s="51"/>
    </row>
    <row r="98" spans="1:8" ht="14.1" customHeight="1" x14ac:dyDescent="0.2">
      <c r="A98" s="1"/>
      <c r="B98" s="1"/>
      <c r="C98" s="2" t="s">
        <v>143</v>
      </c>
      <c r="D98" s="1"/>
      <c r="E98" s="1"/>
      <c r="F98" s="12"/>
      <c r="G98" s="12"/>
      <c r="H98" s="51"/>
    </row>
    <row r="99" spans="1:8" ht="14.1" customHeight="1" x14ac:dyDescent="0.2">
      <c r="A99" s="1"/>
      <c r="B99" s="1"/>
      <c r="C99" s="2" t="s">
        <v>129</v>
      </c>
      <c r="D99" s="1"/>
      <c r="E99" s="1" t="s">
        <v>130</v>
      </c>
      <c r="F99" s="13">
        <v>0</v>
      </c>
      <c r="G99" s="14">
        <v>0</v>
      </c>
      <c r="H99" s="51"/>
    </row>
    <row r="100" spans="1:8" ht="14.1" customHeight="1" x14ac:dyDescent="0.2">
      <c r="A100" s="1"/>
      <c r="B100" s="1"/>
      <c r="C100" s="11"/>
      <c r="D100" s="1"/>
      <c r="E100" s="1"/>
      <c r="F100" s="12"/>
      <c r="G100" s="12"/>
      <c r="H100" s="51"/>
    </row>
    <row r="101" spans="1:8" ht="14.1" customHeight="1" x14ac:dyDescent="0.2">
      <c r="A101" s="1"/>
      <c r="B101" s="1"/>
      <c r="C101" s="2" t="s">
        <v>144</v>
      </c>
      <c r="D101" s="1"/>
      <c r="E101" s="1"/>
      <c r="F101" s="12"/>
      <c r="G101" s="12"/>
      <c r="H101" s="51"/>
    </row>
    <row r="102" spans="1:8" ht="14.1" customHeight="1" x14ac:dyDescent="0.2">
      <c r="A102" s="1"/>
      <c r="B102" s="1"/>
      <c r="C102" s="2" t="s">
        <v>129</v>
      </c>
      <c r="D102" s="1"/>
      <c r="E102" s="1" t="s">
        <v>130</v>
      </c>
      <c r="F102" s="13">
        <v>0</v>
      </c>
      <c r="G102" s="14">
        <v>0</v>
      </c>
      <c r="H102" s="51"/>
    </row>
    <row r="103" spans="1:8" ht="14.1" customHeight="1" x14ac:dyDescent="0.2">
      <c r="A103" s="1"/>
      <c r="B103" s="1"/>
      <c r="C103" s="11"/>
      <c r="D103" s="1"/>
      <c r="E103" s="1"/>
      <c r="F103" s="12"/>
      <c r="G103" s="12"/>
      <c r="H103" s="51"/>
    </row>
    <row r="104" spans="1:8" ht="14.1" customHeight="1" x14ac:dyDescent="0.2">
      <c r="A104" s="1"/>
      <c r="B104" s="1"/>
      <c r="C104" s="2" t="s">
        <v>145</v>
      </c>
      <c r="D104" s="1"/>
      <c r="E104" s="1"/>
      <c r="F104" s="12"/>
      <c r="G104" s="12"/>
      <c r="H104" s="51"/>
    </row>
    <row r="105" spans="1:8" ht="14.1" customHeight="1" x14ac:dyDescent="0.2">
      <c r="A105" s="1"/>
      <c r="B105" s="1"/>
      <c r="C105" s="2" t="s">
        <v>129</v>
      </c>
      <c r="D105" s="1"/>
      <c r="E105" s="1" t="s">
        <v>130</v>
      </c>
      <c r="F105" s="13">
        <v>0</v>
      </c>
      <c r="G105" s="14">
        <v>0</v>
      </c>
      <c r="H105" s="51"/>
    </row>
    <row r="106" spans="1:8" ht="14.1" customHeight="1" x14ac:dyDescent="0.2">
      <c r="A106" s="1"/>
      <c r="B106" s="1"/>
      <c r="C106" s="11"/>
      <c r="D106" s="1"/>
      <c r="E106" s="1"/>
      <c r="F106" s="12"/>
      <c r="G106" s="12"/>
      <c r="H106" s="51"/>
    </row>
    <row r="107" spans="1:8" ht="14.1" customHeight="1" x14ac:dyDescent="0.2">
      <c r="A107" s="1"/>
      <c r="B107" s="1"/>
      <c r="C107" s="2" t="s">
        <v>146</v>
      </c>
      <c r="D107" s="1"/>
      <c r="E107" s="1"/>
      <c r="F107" s="12"/>
      <c r="G107" s="12"/>
      <c r="H107" s="51"/>
    </row>
    <row r="108" spans="1:8" ht="17.100000000000001" customHeight="1" x14ac:dyDescent="0.2">
      <c r="A108" s="3">
        <v>1</v>
      </c>
      <c r="B108" s="4"/>
      <c r="C108" s="4" t="s">
        <v>147</v>
      </c>
      <c r="D108" s="4"/>
      <c r="E108" s="8"/>
      <c r="F108" s="6">
        <v>153.94160830000001</v>
      </c>
      <c r="G108" s="7">
        <v>4.8100188000000002E-2</v>
      </c>
      <c r="H108" s="51">
        <v>6.1245112103248278</v>
      </c>
    </row>
    <row r="109" spans="1:8" ht="14.1" customHeight="1" x14ac:dyDescent="0.2">
      <c r="A109" s="1"/>
      <c r="B109" s="1"/>
      <c r="C109" s="2" t="s">
        <v>129</v>
      </c>
      <c r="D109" s="1"/>
      <c r="E109" s="1" t="s">
        <v>130</v>
      </c>
      <c r="F109" s="9">
        <v>153.94160830000001</v>
      </c>
      <c r="G109" s="10">
        <v>4.8100188000000002E-2</v>
      </c>
      <c r="H109" s="51"/>
    </row>
    <row r="110" spans="1:8" ht="14.1" customHeight="1" x14ac:dyDescent="0.2">
      <c r="A110" s="1"/>
      <c r="B110" s="1"/>
      <c r="C110" s="11"/>
      <c r="D110" s="1"/>
      <c r="E110" s="1"/>
      <c r="F110" s="12"/>
      <c r="G110" s="12"/>
      <c r="H110" s="51"/>
    </row>
    <row r="111" spans="1:8" ht="14.1" customHeight="1" x14ac:dyDescent="0.2">
      <c r="A111" s="1"/>
      <c r="B111" s="1"/>
      <c r="C111" s="2" t="s">
        <v>148</v>
      </c>
      <c r="D111" s="1"/>
      <c r="E111" s="1"/>
      <c r="F111" s="9">
        <v>153.94160830000001</v>
      </c>
      <c r="G111" s="10">
        <v>4.8100188000000002E-2</v>
      </c>
      <c r="H111" s="51"/>
    </row>
    <row r="112" spans="1:8" ht="14.1" customHeight="1" x14ac:dyDescent="0.2">
      <c r="A112" s="1"/>
      <c r="B112" s="1"/>
      <c r="C112" s="12"/>
      <c r="D112" s="1"/>
      <c r="E112" s="1"/>
      <c r="F112" s="1"/>
      <c r="G112" s="1"/>
      <c r="H112" s="51"/>
    </row>
    <row r="113" spans="1:8" ht="14.1" customHeight="1" x14ac:dyDescent="0.2">
      <c r="A113" s="1"/>
      <c r="B113" s="1"/>
      <c r="C113" s="2" t="s">
        <v>149</v>
      </c>
      <c r="D113" s="1"/>
      <c r="E113" s="1"/>
      <c r="F113" s="1"/>
      <c r="G113" s="1"/>
      <c r="H113" s="51"/>
    </row>
    <row r="114" spans="1:8" ht="14.1" customHeight="1" x14ac:dyDescent="0.2">
      <c r="A114" s="1"/>
      <c r="B114" s="1"/>
      <c r="C114" s="2" t="s">
        <v>150</v>
      </c>
      <c r="D114" s="1"/>
      <c r="E114" s="1"/>
      <c r="F114" s="1"/>
      <c r="G114" s="1"/>
      <c r="H114" s="51"/>
    </row>
    <row r="115" spans="1:8" ht="14.1" customHeight="1" x14ac:dyDescent="0.2">
      <c r="A115" s="1"/>
      <c r="B115" s="1"/>
      <c r="C115" s="2" t="s">
        <v>129</v>
      </c>
      <c r="D115" s="1"/>
      <c r="E115" s="1" t="s">
        <v>130</v>
      </c>
      <c r="F115" s="13">
        <v>0</v>
      </c>
      <c r="G115" s="14">
        <v>0</v>
      </c>
      <c r="H115" s="51"/>
    </row>
    <row r="116" spans="1:8" ht="14.1" customHeight="1" x14ac:dyDescent="0.2">
      <c r="A116" s="1"/>
      <c r="B116" s="1"/>
      <c r="C116" s="11"/>
      <c r="D116" s="1"/>
      <c r="E116" s="1"/>
      <c r="F116" s="12"/>
      <c r="G116" s="12"/>
      <c r="H116" s="51"/>
    </row>
    <row r="117" spans="1:8" ht="14.1" customHeight="1" x14ac:dyDescent="0.2">
      <c r="A117" s="1"/>
      <c r="B117" s="1"/>
      <c r="C117" s="2" t="s">
        <v>151</v>
      </c>
      <c r="D117" s="1"/>
      <c r="E117" s="1"/>
      <c r="F117" s="1"/>
      <c r="G117" s="1"/>
      <c r="H117" s="51"/>
    </row>
    <row r="118" spans="1:8" ht="14.1" customHeight="1" x14ac:dyDescent="0.2">
      <c r="A118" s="1"/>
      <c r="B118" s="1"/>
      <c r="C118" s="2" t="s">
        <v>152</v>
      </c>
      <c r="D118" s="1"/>
      <c r="E118" s="1"/>
      <c r="F118" s="1"/>
      <c r="G118" s="1"/>
      <c r="H118" s="51"/>
    </row>
    <row r="119" spans="1:8" ht="14.1" customHeight="1" x14ac:dyDescent="0.2">
      <c r="A119" s="1"/>
      <c r="B119" s="1"/>
      <c r="C119" s="2" t="s">
        <v>129</v>
      </c>
      <c r="D119" s="1"/>
      <c r="E119" s="1" t="s">
        <v>130</v>
      </c>
      <c r="F119" s="13">
        <v>0</v>
      </c>
      <c r="G119" s="14">
        <v>0</v>
      </c>
      <c r="H119" s="51"/>
    </row>
    <row r="120" spans="1:8" ht="14.1" customHeight="1" x14ac:dyDescent="0.2">
      <c r="A120" s="1"/>
      <c r="B120" s="1"/>
      <c r="C120" s="11"/>
      <c r="D120" s="1"/>
      <c r="E120" s="1"/>
      <c r="F120" s="12"/>
      <c r="G120" s="12"/>
      <c r="H120" s="51"/>
    </row>
    <row r="121" spans="1:8" ht="14.1" customHeight="1" x14ac:dyDescent="0.2">
      <c r="A121" s="1"/>
      <c r="B121" s="1"/>
      <c r="C121" s="11"/>
      <c r="D121" s="1"/>
      <c r="E121" s="1"/>
      <c r="F121" s="12"/>
      <c r="G121" s="12"/>
      <c r="H121" s="51"/>
    </row>
    <row r="122" spans="1:8" ht="24" customHeight="1" x14ac:dyDescent="0.2">
      <c r="A122" s="1"/>
      <c r="B122" s="1"/>
      <c r="C122" s="2" t="s">
        <v>153</v>
      </c>
      <c r="D122" s="1"/>
      <c r="E122" s="1"/>
      <c r="F122" s="12"/>
      <c r="G122" s="12"/>
      <c r="H122" s="51"/>
    </row>
    <row r="123" spans="1:8" ht="14.1" customHeight="1" x14ac:dyDescent="0.2">
      <c r="A123" s="1"/>
      <c r="B123" s="1"/>
      <c r="C123" s="2" t="s">
        <v>129</v>
      </c>
      <c r="D123" s="1"/>
      <c r="E123" s="1" t="s">
        <v>130</v>
      </c>
      <c r="F123" s="13">
        <v>0</v>
      </c>
      <c r="G123" s="14">
        <v>0</v>
      </c>
      <c r="H123" s="51"/>
    </row>
    <row r="124" spans="1:8" ht="14.1" customHeight="1" x14ac:dyDescent="0.2">
      <c r="A124" s="1"/>
      <c r="B124" s="1"/>
      <c r="C124" s="11"/>
      <c r="D124" s="1"/>
      <c r="E124" s="1"/>
      <c r="F124" s="12"/>
      <c r="G124" s="12"/>
      <c r="H124" s="51"/>
    </row>
    <row r="125" spans="1:8" ht="14.1" customHeight="1" x14ac:dyDescent="0.2">
      <c r="A125" s="1"/>
      <c r="B125" s="4"/>
      <c r="C125" s="4"/>
      <c r="D125" s="2"/>
      <c r="E125" s="1"/>
      <c r="F125" s="4"/>
      <c r="G125" s="8"/>
      <c r="H125" s="51"/>
    </row>
    <row r="126" spans="1:8" ht="18" customHeight="1" x14ac:dyDescent="0.2">
      <c r="A126" s="8"/>
      <c r="B126" s="4"/>
      <c r="C126" s="4" t="s">
        <v>154</v>
      </c>
      <c r="D126" s="4"/>
      <c r="E126" s="8"/>
      <c r="F126" s="6">
        <v>-1.01507831</v>
      </c>
      <c r="G126" s="7">
        <v>-3.1716900000000001E-4</v>
      </c>
      <c r="H126" s="51"/>
    </row>
    <row r="127" spans="1:8" ht="14.1" customHeight="1" x14ac:dyDescent="0.2">
      <c r="A127" s="11"/>
      <c r="B127" s="11"/>
      <c r="C127" s="2" t="s">
        <v>155</v>
      </c>
      <c r="D127" s="15"/>
      <c r="E127" s="15"/>
      <c r="F127" s="9">
        <v>3200.4367224900002</v>
      </c>
      <c r="G127" s="10">
        <v>1.0000000010000001</v>
      </c>
      <c r="H127" s="51"/>
    </row>
    <row r="128" spans="1:8" ht="14.1" customHeight="1" x14ac:dyDescent="0.2">
      <c r="A128" s="16"/>
      <c r="B128" s="16"/>
      <c r="C128" s="16"/>
      <c r="D128" s="17"/>
      <c r="E128" s="17"/>
      <c r="F128" s="17"/>
      <c r="G128" s="17"/>
    </row>
    <row r="129" spans="1:7" ht="14.1" customHeight="1" x14ac:dyDescent="0.2">
      <c r="A129" s="18"/>
      <c r="B129" s="327" t="s">
        <v>130</v>
      </c>
      <c r="C129" s="327"/>
      <c r="D129" s="327"/>
      <c r="E129" s="327"/>
      <c r="F129" s="327"/>
      <c r="G129" s="20"/>
    </row>
    <row r="130" spans="1:7" ht="14.1" customHeight="1" x14ac:dyDescent="0.2">
      <c r="A130" s="18"/>
      <c r="B130" s="327" t="s">
        <v>130</v>
      </c>
      <c r="C130" s="327"/>
      <c r="D130" s="327"/>
      <c r="E130" s="327"/>
      <c r="F130" s="327"/>
      <c r="G130" s="20"/>
    </row>
    <row r="131" spans="1:7" ht="14.1" customHeight="1" x14ac:dyDescent="0.2">
      <c r="A131" s="18"/>
      <c r="B131" s="18"/>
      <c r="C131" s="18"/>
      <c r="D131" s="20"/>
      <c r="E131" s="20"/>
      <c r="F131" s="20"/>
      <c r="G131" s="20"/>
    </row>
    <row r="132" spans="1:7" ht="14.1" customHeight="1" x14ac:dyDescent="0.2">
      <c r="A132" s="18"/>
      <c r="B132" s="325" t="s">
        <v>157</v>
      </c>
      <c r="C132" s="326"/>
      <c r="D132" s="12" t="s">
        <v>130</v>
      </c>
      <c r="E132" s="21"/>
      <c r="F132" s="20"/>
      <c r="G132" s="20"/>
    </row>
    <row r="133" spans="1:7" ht="29.1" customHeight="1" x14ac:dyDescent="0.2">
      <c r="A133" s="18"/>
      <c r="B133" s="318" t="s">
        <v>158</v>
      </c>
      <c r="C133" s="319"/>
      <c r="D133" s="2" t="s">
        <v>159</v>
      </c>
      <c r="E133" s="21"/>
      <c r="F133" s="20"/>
      <c r="G133" s="20"/>
    </row>
    <row r="134" spans="1:7" ht="17.100000000000001" customHeight="1" x14ac:dyDescent="0.2">
      <c r="A134" s="18"/>
      <c r="B134" s="318" t="s">
        <v>160</v>
      </c>
      <c r="C134" s="319"/>
      <c r="D134" s="2" t="s">
        <v>159</v>
      </c>
      <c r="E134" s="21"/>
      <c r="F134" s="20"/>
      <c r="G134" s="20"/>
    </row>
    <row r="135" spans="1:7" ht="17.100000000000001" customHeight="1" x14ac:dyDescent="0.2">
      <c r="A135" s="18"/>
      <c r="B135" s="318" t="s">
        <v>161</v>
      </c>
      <c r="C135" s="319"/>
      <c r="D135" s="12" t="s">
        <v>130</v>
      </c>
      <c r="E135" s="21"/>
      <c r="F135" s="20"/>
      <c r="G135" s="20"/>
    </row>
    <row r="136" spans="1:7" ht="24" customHeight="1" x14ac:dyDescent="0.2">
      <c r="A136" s="22"/>
      <c r="B136" s="23" t="s">
        <v>130</v>
      </c>
      <c r="C136" s="23" t="s">
        <v>162</v>
      </c>
      <c r="D136" s="23" t="s">
        <v>163</v>
      </c>
      <c r="E136" s="22"/>
      <c r="F136" s="22"/>
      <c r="G136" s="22"/>
    </row>
    <row r="137" spans="1:7" ht="18" customHeight="1" x14ac:dyDescent="0.2">
      <c r="A137" s="22"/>
      <c r="B137" s="23" t="s">
        <v>164</v>
      </c>
      <c r="C137" s="23" t="s">
        <v>165</v>
      </c>
      <c r="D137" s="23" t="s">
        <v>166</v>
      </c>
      <c r="E137" s="22"/>
      <c r="F137" s="22"/>
      <c r="G137" s="22"/>
    </row>
    <row r="138" spans="1:7" ht="17.100000000000001" customHeight="1" x14ac:dyDescent="0.2">
      <c r="A138" s="22"/>
      <c r="B138" s="4" t="s">
        <v>167</v>
      </c>
      <c r="C138" s="24">
        <v>17.243200000000002</v>
      </c>
      <c r="D138" s="24">
        <v>17.221</v>
      </c>
      <c r="E138" s="22"/>
      <c r="F138" s="19"/>
      <c r="G138" s="25"/>
    </row>
    <row r="139" spans="1:7" ht="17.100000000000001" customHeight="1" x14ac:dyDescent="0.2">
      <c r="A139" s="22"/>
      <c r="B139" s="4" t="s">
        <v>1067</v>
      </c>
      <c r="C139" s="24">
        <v>17.243200000000002</v>
      </c>
      <c r="D139" s="24">
        <v>17.221</v>
      </c>
      <c r="E139" s="22"/>
      <c r="F139" s="19"/>
      <c r="G139" s="25"/>
    </row>
    <row r="140" spans="1:7" ht="17.100000000000001" customHeight="1" x14ac:dyDescent="0.2">
      <c r="A140" s="22"/>
      <c r="B140" s="4" t="s">
        <v>168</v>
      </c>
      <c r="C140" s="24">
        <v>16.799700000000001</v>
      </c>
      <c r="D140" s="24">
        <v>16.772600000000001</v>
      </c>
      <c r="E140" s="22"/>
      <c r="F140" s="19"/>
      <c r="G140" s="25"/>
    </row>
    <row r="141" spans="1:7" ht="17.100000000000001" customHeight="1" x14ac:dyDescent="0.2">
      <c r="A141" s="22"/>
      <c r="B141" s="4" t="s">
        <v>1068</v>
      </c>
      <c r="C141" s="24">
        <v>16.799700000000001</v>
      </c>
      <c r="D141" s="24">
        <v>16.772600000000001</v>
      </c>
      <c r="E141" s="22"/>
      <c r="F141" s="19"/>
      <c r="G141" s="25"/>
    </row>
    <row r="142" spans="1:7" ht="14.1" customHeight="1" x14ac:dyDescent="0.2">
      <c r="A142" s="22"/>
      <c r="B142" s="22"/>
      <c r="C142" s="22"/>
      <c r="D142" s="22"/>
      <c r="E142" s="22"/>
      <c r="F142" s="22"/>
      <c r="G142" s="22"/>
    </row>
    <row r="143" spans="1:7" ht="17.100000000000001" customHeight="1" x14ac:dyDescent="0.2">
      <c r="A143" s="22"/>
      <c r="B143" s="318" t="s">
        <v>1069</v>
      </c>
      <c r="C143" s="319"/>
      <c r="D143" s="111" t="s">
        <v>159</v>
      </c>
      <c r="E143" s="22"/>
      <c r="F143" s="22"/>
      <c r="G143" s="22"/>
    </row>
    <row r="144" spans="1:7" ht="18" customHeight="1" x14ac:dyDescent="0.2">
      <c r="A144" s="22"/>
      <c r="B144" s="26"/>
      <c r="C144" s="26"/>
      <c r="D144" s="27"/>
      <c r="E144" s="22"/>
      <c r="F144" s="22"/>
      <c r="G144" s="22"/>
    </row>
    <row r="145" spans="1:14" ht="29.1" customHeight="1" x14ac:dyDescent="0.2">
      <c r="A145" s="22"/>
      <c r="B145" s="318" t="s">
        <v>169</v>
      </c>
      <c r="C145" s="319"/>
      <c r="D145" s="2" t="s">
        <v>159</v>
      </c>
      <c r="E145" s="22"/>
      <c r="F145" s="22"/>
      <c r="G145" s="22"/>
    </row>
    <row r="146" spans="1:14" ht="29.1" customHeight="1" x14ac:dyDescent="0.2">
      <c r="A146" s="22"/>
      <c r="B146" s="318" t="s">
        <v>170</v>
      </c>
      <c r="C146" s="319"/>
      <c r="D146" s="2" t="s">
        <v>159</v>
      </c>
      <c r="E146" s="22"/>
      <c r="F146" s="22"/>
      <c r="G146" s="22"/>
    </row>
    <row r="147" spans="1:14" ht="17.100000000000001" customHeight="1" x14ac:dyDescent="0.2">
      <c r="A147" s="22"/>
      <c r="B147" s="318" t="s">
        <v>171</v>
      </c>
      <c r="C147" s="319"/>
      <c r="D147" s="28">
        <v>0.17606659501900182</v>
      </c>
      <c r="E147" s="22"/>
      <c r="F147" s="19"/>
      <c r="G147" s="25"/>
    </row>
    <row r="148" spans="1:14" ht="17.100000000000001" customHeight="1" x14ac:dyDescent="0.2">
      <c r="A148" s="22"/>
      <c r="B148" s="318" t="s">
        <v>172</v>
      </c>
      <c r="C148" s="319"/>
      <c r="D148" s="2" t="s">
        <v>159</v>
      </c>
      <c r="E148" s="22"/>
      <c r="F148" s="22"/>
      <c r="G148" s="22"/>
    </row>
    <row r="158" spans="1:14" x14ac:dyDescent="0.2">
      <c r="J158" s="158"/>
      <c r="K158" s="158"/>
      <c r="L158" s="158"/>
      <c r="M158" s="158"/>
      <c r="N158" s="158"/>
    </row>
  </sheetData>
  <mergeCells count="15">
    <mergeCell ref="A1:H1"/>
    <mergeCell ref="A2:H2"/>
    <mergeCell ref="A3:H3"/>
    <mergeCell ref="J2:N2"/>
    <mergeCell ref="B147:C147"/>
    <mergeCell ref="B132:C132"/>
    <mergeCell ref="B129:F129"/>
    <mergeCell ref="B130:F130"/>
    <mergeCell ref="B148:C148"/>
    <mergeCell ref="B133:C133"/>
    <mergeCell ref="B134:C134"/>
    <mergeCell ref="B135:C135"/>
    <mergeCell ref="B143:C143"/>
    <mergeCell ref="B145:C145"/>
    <mergeCell ref="B146:C146"/>
  </mergeCells>
  <hyperlinks>
    <hyperlink ref="I1" location="Index!B15" display="Index" xr:uid="{5B00449C-A05B-425D-9ED6-9F91F14C0F32}"/>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N15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484</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383</v>
      </c>
      <c r="C7" s="4" t="s">
        <v>384</v>
      </c>
      <c r="D7" s="4" t="s">
        <v>104</v>
      </c>
      <c r="E7" s="5">
        <v>4578</v>
      </c>
      <c r="F7" s="6">
        <v>75.511820999999998</v>
      </c>
      <c r="G7" s="7">
        <v>3.5891592E-2</v>
      </c>
      <c r="H7" s="51"/>
    </row>
    <row r="8" spans="1:14" ht="29.1" customHeight="1" x14ac:dyDescent="0.2">
      <c r="A8" s="3">
        <v>2</v>
      </c>
      <c r="B8" s="4" t="s">
        <v>185</v>
      </c>
      <c r="C8" s="4" t="s">
        <v>186</v>
      </c>
      <c r="D8" s="4" t="s">
        <v>104</v>
      </c>
      <c r="E8" s="5">
        <v>17793</v>
      </c>
      <c r="F8" s="6">
        <v>73.289366999999999</v>
      </c>
      <c r="G8" s="7">
        <v>3.4835234999999999E-2</v>
      </c>
      <c r="H8" s="51"/>
    </row>
    <row r="9" spans="1:14" ht="17.100000000000001" customHeight="1" x14ac:dyDescent="0.2">
      <c r="A9" s="3">
        <v>3</v>
      </c>
      <c r="B9" s="4" t="s">
        <v>102</v>
      </c>
      <c r="C9" s="4" t="s">
        <v>103</v>
      </c>
      <c r="D9" s="4" t="s">
        <v>104</v>
      </c>
      <c r="E9" s="5">
        <v>17019</v>
      </c>
      <c r="F9" s="6">
        <v>72.475411500000007</v>
      </c>
      <c r="G9" s="7">
        <v>3.4448353000000001E-2</v>
      </c>
      <c r="H9" s="51"/>
    </row>
    <row r="10" spans="1:14" ht="17.100000000000001" customHeight="1" x14ac:dyDescent="0.2">
      <c r="A10" s="3">
        <v>4</v>
      </c>
      <c r="B10" s="4" t="s">
        <v>29</v>
      </c>
      <c r="C10" s="4" t="s">
        <v>30</v>
      </c>
      <c r="D10" s="4" t="s">
        <v>31</v>
      </c>
      <c r="E10" s="5">
        <v>3493</v>
      </c>
      <c r="F10" s="6">
        <v>69.791886500000004</v>
      </c>
      <c r="G10" s="7">
        <v>3.3172844E-2</v>
      </c>
      <c r="H10" s="51"/>
    </row>
    <row r="11" spans="1:14" ht="17.100000000000001" customHeight="1" x14ac:dyDescent="0.2">
      <c r="A11" s="3">
        <v>5</v>
      </c>
      <c r="B11" s="4" t="s">
        <v>82</v>
      </c>
      <c r="C11" s="4" t="s">
        <v>83</v>
      </c>
      <c r="D11" s="4" t="s">
        <v>31</v>
      </c>
      <c r="E11" s="5">
        <v>4789</v>
      </c>
      <c r="F11" s="6">
        <v>69.215417000000002</v>
      </c>
      <c r="G11" s="7">
        <v>3.2898841999999998E-2</v>
      </c>
      <c r="H11" s="51"/>
    </row>
    <row r="12" spans="1:14" ht="17.100000000000001" customHeight="1" x14ac:dyDescent="0.2">
      <c r="A12" s="3">
        <v>6</v>
      </c>
      <c r="B12" s="4" t="s">
        <v>385</v>
      </c>
      <c r="C12" s="4" t="s">
        <v>386</v>
      </c>
      <c r="D12" s="4" t="s">
        <v>104</v>
      </c>
      <c r="E12" s="5">
        <v>10545</v>
      </c>
      <c r="F12" s="6">
        <v>67.050382499999998</v>
      </c>
      <c r="G12" s="7">
        <v>3.1869778000000001E-2</v>
      </c>
      <c r="H12" s="51"/>
    </row>
    <row r="13" spans="1:14" ht="17.100000000000001" customHeight="1" x14ac:dyDescent="0.2">
      <c r="A13" s="3">
        <v>7</v>
      </c>
      <c r="B13" s="4" t="s">
        <v>379</v>
      </c>
      <c r="C13" s="4" t="s">
        <v>380</v>
      </c>
      <c r="D13" s="4" t="s">
        <v>97</v>
      </c>
      <c r="E13" s="5">
        <v>59758</v>
      </c>
      <c r="F13" s="6">
        <v>59.250056999999998</v>
      </c>
      <c r="G13" s="7">
        <v>2.8162197999999999E-2</v>
      </c>
      <c r="H13" s="51"/>
      <c r="J13" s="157" t="s">
        <v>1094</v>
      </c>
    </row>
    <row r="14" spans="1:14" ht="17.100000000000001" customHeight="1" x14ac:dyDescent="0.2">
      <c r="A14" s="3">
        <v>8</v>
      </c>
      <c r="B14" s="4" t="s">
        <v>401</v>
      </c>
      <c r="C14" s="4" t="s">
        <v>402</v>
      </c>
      <c r="D14" s="4" t="s">
        <v>223</v>
      </c>
      <c r="E14" s="5">
        <v>8856</v>
      </c>
      <c r="F14" s="6">
        <v>58.440744000000002</v>
      </c>
      <c r="G14" s="7">
        <v>2.7777522999999998E-2</v>
      </c>
      <c r="H14" s="51"/>
    </row>
    <row r="15" spans="1:14" ht="17.100000000000001" customHeight="1" x14ac:dyDescent="0.2">
      <c r="A15" s="3">
        <v>9</v>
      </c>
      <c r="B15" s="4" t="s">
        <v>319</v>
      </c>
      <c r="C15" s="4" t="s">
        <v>320</v>
      </c>
      <c r="D15" s="4" t="s">
        <v>248</v>
      </c>
      <c r="E15" s="5">
        <v>3795</v>
      </c>
      <c r="F15" s="6">
        <v>56.498062500000003</v>
      </c>
      <c r="G15" s="7">
        <v>2.6854144999999999E-2</v>
      </c>
      <c r="H15" s="51"/>
    </row>
    <row r="16" spans="1:14" ht="29.1" customHeight="1" x14ac:dyDescent="0.2">
      <c r="A16" s="3">
        <v>10</v>
      </c>
      <c r="B16" s="4" t="s">
        <v>182</v>
      </c>
      <c r="C16" s="4" t="s">
        <v>183</v>
      </c>
      <c r="D16" s="4" t="s">
        <v>184</v>
      </c>
      <c r="E16" s="5">
        <v>1246</v>
      </c>
      <c r="F16" s="6">
        <v>55.955990999999997</v>
      </c>
      <c r="G16" s="7">
        <v>2.6596491999999999E-2</v>
      </c>
      <c r="H16" s="51"/>
    </row>
    <row r="17" spans="1:8" ht="17.100000000000001" customHeight="1" x14ac:dyDescent="0.2">
      <c r="A17" s="3">
        <v>11</v>
      </c>
      <c r="B17" s="4" t="s">
        <v>302</v>
      </c>
      <c r="C17" s="4" t="s">
        <v>303</v>
      </c>
      <c r="D17" s="4" t="s">
        <v>251</v>
      </c>
      <c r="E17" s="5">
        <v>10907</v>
      </c>
      <c r="F17" s="6">
        <v>55.762037499999998</v>
      </c>
      <c r="G17" s="7">
        <v>2.6504303999999999E-2</v>
      </c>
      <c r="H17" s="51"/>
    </row>
    <row r="18" spans="1:8" ht="17.100000000000001" customHeight="1" x14ac:dyDescent="0.2">
      <c r="A18" s="3">
        <v>12</v>
      </c>
      <c r="B18" s="4" t="s">
        <v>415</v>
      </c>
      <c r="C18" s="4" t="s">
        <v>416</v>
      </c>
      <c r="D18" s="4" t="s">
        <v>31</v>
      </c>
      <c r="E18" s="5">
        <v>5962</v>
      </c>
      <c r="F18" s="6">
        <v>54.510565999999997</v>
      </c>
      <c r="G18" s="7">
        <v>2.5909465999999999E-2</v>
      </c>
      <c r="H18" s="51"/>
    </row>
    <row r="19" spans="1:8" ht="29.1" customHeight="1" x14ac:dyDescent="0.2">
      <c r="A19" s="3">
        <v>13</v>
      </c>
      <c r="B19" s="4" t="s">
        <v>201</v>
      </c>
      <c r="C19" s="4" t="s">
        <v>202</v>
      </c>
      <c r="D19" s="4" t="s">
        <v>203</v>
      </c>
      <c r="E19" s="5">
        <v>9440</v>
      </c>
      <c r="F19" s="6">
        <v>48.427199999999999</v>
      </c>
      <c r="G19" s="7">
        <v>2.3017975999999999E-2</v>
      </c>
      <c r="H19" s="51"/>
    </row>
    <row r="20" spans="1:8" ht="17.100000000000001" customHeight="1" x14ac:dyDescent="0.2">
      <c r="A20" s="3">
        <v>14</v>
      </c>
      <c r="B20" s="4" t="s">
        <v>387</v>
      </c>
      <c r="C20" s="4" t="s">
        <v>388</v>
      </c>
      <c r="D20" s="4" t="s">
        <v>208</v>
      </c>
      <c r="E20" s="5">
        <v>15930</v>
      </c>
      <c r="F20" s="6">
        <v>45.57573</v>
      </c>
      <c r="G20" s="7">
        <v>2.1662641E-2</v>
      </c>
      <c r="H20" s="51"/>
    </row>
    <row r="21" spans="1:8" ht="17.100000000000001" customHeight="1" x14ac:dyDescent="0.2">
      <c r="A21" s="3">
        <v>15</v>
      </c>
      <c r="B21" s="4" t="s">
        <v>381</v>
      </c>
      <c r="C21" s="4" t="s">
        <v>382</v>
      </c>
      <c r="D21" s="4" t="s">
        <v>277</v>
      </c>
      <c r="E21" s="5">
        <v>3437</v>
      </c>
      <c r="F21" s="6">
        <v>43.3457255</v>
      </c>
      <c r="G21" s="7">
        <v>2.0602696E-2</v>
      </c>
      <c r="H21" s="51"/>
    </row>
    <row r="22" spans="1:8" ht="17.100000000000001" customHeight="1" x14ac:dyDescent="0.2">
      <c r="A22" s="3">
        <v>16</v>
      </c>
      <c r="B22" s="4" t="s">
        <v>244</v>
      </c>
      <c r="C22" s="4" t="s">
        <v>245</v>
      </c>
      <c r="D22" s="4" t="s">
        <v>223</v>
      </c>
      <c r="E22" s="5">
        <v>1308</v>
      </c>
      <c r="F22" s="6">
        <v>42.394896000000003</v>
      </c>
      <c r="G22" s="7">
        <v>2.0150755999999999E-2</v>
      </c>
      <c r="H22" s="51"/>
    </row>
    <row r="23" spans="1:8" ht="17.100000000000001" customHeight="1" x14ac:dyDescent="0.2">
      <c r="A23" s="3">
        <v>17</v>
      </c>
      <c r="B23" s="4" t="s">
        <v>90</v>
      </c>
      <c r="C23" s="4" t="s">
        <v>91</v>
      </c>
      <c r="D23" s="4" t="s">
        <v>92</v>
      </c>
      <c r="E23" s="5">
        <v>7883</v>
      </c>
      <c r="F23" s="6">
        <v>40.100821000000003</v>
      </c>
      <c r="G23" s="7">
        <v>1.9060357E-2</v>
      </c>
      <c r="H23" s="51"/>
    </row>
    <row r="24" spans="1:8" ht="17.100000000000001" customHeight="1" x14ac:dyDescent="0.2">
      <c r="A24" s="3">
        <v>18</v>
      </c>
      <c r="B24" s="4" t="s">
        <v>32</v>
      </c>
      <c r="C24" s="4" t="s">
        <v>33</v>
      </c>
      <c r="D24" s="4" t="s">
        <v>31</v>
      </c>
      <c r="E24" s="5">
        <v>1906</v>
      </c>
      <c r="F24" s="6">
        <v>39.342699000000003</v>
      </c>
      <c r="G24" s="7">
        <v>1.8700014000000001E-2</v>
      </c>
      <c r="H24" s="51"/>
    </row>
    <row r="25" spans="1:8" ht="29.1" customHeight="1" x14ac:dyDescent="0.2">
      <c r="A25" s="3">
        <v>19</v>
      </c>
      <c r="B25" s="4" t="s">
        <v>399</v>
      </c>
      <c r="C25" s="4" t="s">
        <v>400</v>
      </c>
      <c r="D25" s="4" t="s">
        <v>48</v>
      </c>
      <c r="E25" s="5">
        <v>1417</v>
      </c>
      <c r="F25" s="6">
        <v>38.084708999999997</v>
      </c>
      <c r="G25" s="7">
        <v>1.8102077000000001E-2</v>
      </c>
      <c r="H25" s="51"/>
    </row>
    <row r="26" spans="1:8" ht="29.1" customHeight="1" x14ac:dyDescent="0.2">
      <c r="A26" s="3">
        <v>20</v>
      </c>
      <c r="B26" s="4" t="s">
        <v>429</v>
      </c>
      <c r="C26" s="4" t="s">
        <v>430</v>
      </c>
      <c r="D26" s="4" t="s">
        <v>431</v>
      </c>
      <c r="E26" s="5">
        <v>28099</v>
      </c>
      <c r="F26" s="6">
        <v>37.357620500000003</v>
      </c>
      <c r="G26" s="7">
        <v>1.7756483999999999E-2</v>
      </c>
      <c r="H26" s="51"/>
    </row>
    <row r="27" spans="1:8" ht="17.100000000000001" customHeight="1" x14ac:dyDescent="0.2">
      <c r="A27" s="3">
        <v>21</v>
      </c>
      <c r="B27" s="4" t="s">
        <v>389</v>
      </c>
      <c r="C27" s="4" t="s">
        <v>390</v>
      </c>
      <c r="D27" s="4" t="s">
        <v>248</v>
      </c>
      <c r="E27" s="5">
        <v>5099</v>
      </c>
      <c r="F27" s="6">
        <v>36.631216000000002</v>
      </c>
      <c r="G27" s="7">
        <v>1.7411216E-2</v>
      </c>
      <c r="H27" s="51"/>
    </row>
    <row r="28" spans="1:8" ht="29.1" customHeight="1" x14ac:dyDescent="0.2">
      <c r="A28" s="3">
        <v>22</v>
      </c>
      <c r="B28" s="4" t="s">
        <v>419</v>
      </c>
      <c r="C28" s="4" t="s">
        <v>420</v>
      </c>
      <c r="D28" s="4" t="s">
        <v>203</v>
      </c>
      <c r="E28" s="5">
        <v>1815</v>
      </c>
      <c r="F28" s="6">
        <v>34.844369999999998</v>
      </c>
      <c r="G28" s="7">
        <v>1.6561909E-2</v>
      </c>
      <c r="H28" s="51"/>
    </row>
    <row r="29" spans="1:8" ht="17.100000000000001" customHeight="1" x14ac:dyDescent="0.2">
      <c r="A29" s="3">
        <v>23</v>
      </c>
      <c r="B29" s="4" t="s">
        <v>391</v>
      </c>
      <c r="C29" s="4" t="s">
        <v>392</v>
      </c>
      <c r="D29" s="4" t="s">
        <v>97</v>
      </c>
      <c r="E29" s="5">
        <v>6934</v>
      </c>
      <c r="F29" s="6">
        <v>33.269331999999999</v>
      </c>
      <c r="G29" s="7">
        <v>1.5813276000000001E-2</v>
      </c>
      <c r="H29" s="51"/>
    </row>
    <row r="30" spans="1:8" ht="17.100000000000001" customHeight="1" x14ac:dyDescent="0.2">
      <c r="A30" s="3">
        <v>24</v>
      </c>
      <c r="B30" s="4" t="s">
        <v>427</v>
      </c>
      <c r="C30" s="4" t="s">
        <v>428</v>
      </c>
      <c r="D30" s="4" t="s">
        <v>97</v>
      </c>
      <c r="E30" s="5">
        <v>3328</v>
      </c>
      <c r="F30" s="6">
        <v>33.083647999999997</v>
      </c>
      <c r="G30" s="7">
        <v>1.5725019E-2</v>
      </c>
      <c r="H30" s="51"/>
    </row>
    <row r="31" spans="1:8" ht="17.100000000000001" customHeight="1" x14ac:dyDescent="0.2">
      <c r="A31" s="3">
        <v>25</v>
      </c>
      <c r="B31" s="4" t="s">
        <v>411</v>
      </c>
      <c r="C31" s="4" t="s">
        <v>412</v>
      </c>
      <c r="D31" s="4" t="s">
        <v>13</v>
      </c>
      <c r="E31" s="5">
        <v>7838</v>
      </c>
      <c r="F31" s="6">
        <v>33.029331999999997</v>
      </c>
      <c r="G31" s="7">
        <v>1.5699201999999999E-2</v>
      </c>
      <c r="H31" s="51"/>
    </row>
    <row r="32" spans="1:8" ht="29.1" customHeight="1" x14ac:dyDescent="0.2">
      <c r="A32" s="3">
        <v>26</v>
      </c>
      <c r="B32" s="4" t="s">
        <v>316</v>
      </c>
      <c r="C32" s="4" t="s">
        <v>317</v>
      </c>
      <c r="D32" s="4" t="s">
        <v>318</v>
      </c>
      <c r="E32" s="5">
        <v>5082</v>
      </c>
      <c r="F32" s="6">
        <v>32.791604999999997</v>
      </c>
      <c r="G32" s="7">
        <v>1.5586206999999999E-2</v>
      </c>
      <c r="H32" s="51"/>
    </row>
    <row r="33" spans="1:8" ht="17.100000000000001" customHeight="1" x14ac:dyDescent="0.2">
      <c r="A33" s="3">
        <v>27</v>
      </c>
      <c r="B33" s="4" t="s">
        <v>432</v>
      </c>
      <c r="C33" s="4" t="s">
        <v>433</v>
      </c>
      <c r="D33" s="4" t="s">
        <v>192</v>
      </c>
      <c r="E33" s="5">
        <v>3820</v>
      </c>
      <c r="F33" s="6">
        <v>32.460450000000002</v>
      </c>
      <c r="G33" s="7">
        <v>1.5428806E-2</v>
      </c>
      <c r="H33" s="51"/>
    </row>
    <row r="34" spans="1:8" ht="17.100000000000001" customHeight="1" x14ac:dyDescent="0.2">
      <c r="A34" s="3">
        <v>28</v>
      </c>
      <c r="B34" s="4" t="s">
        <v>461</v>
      </c>
      <c r="C34" s="4" t="s">
        <v>462</v>
      </c>
      <c r="D34" s="4" t="s">
        <v>260</v>
      </c>
      <c r="E34" s="5">
        <v>9664</v>
      </c>
      <c r="F34" s="6">
        <v>32.384064000000002</v>
      </c>
      <c r="G34" s="7">
        <v>1.5392499E-2</v>
      </c>
      <c r="H34" s="51"/>
    </row>
    <row r="35" spans="1:8" ht="17.100000000000001" customHeight="1" x14ac:dyDescent="0.2">
      <c r="A35" s="3">
        <v>29</v>
      </c>
      <c r="B35" s="4" t="s">
        <v>395</v>
      </c>
      <c r="C35" s="4" t="s">
        <v>396</v>
      </c>
      <c r="D35" s="4" t="s">
        <v>315</v>
      </c>
      <c r="E35" s="5">
        <v>2656</v>
      </c>
      <c r="F35" s="6">
        <v>32.369999999999997</v>
      </c>
      <c r="G35" s="7">
        <v>1.5385813999999999E-2</v>
      </c>
      <c r="H35" s="51"/>
    </row>
    <row r="36" spans="1:8" ht="17.100000000000001" customHeight="1" x14ac:dyDescent="0.2">
      <c r="A36" s="3">
        <v>30</v>
      </c>
      <c r="B36" s="4" t="s">
        <v>313</v>
      </c>
      <c r="C36" s="4" t="s">
        <v>314</v>
      </c>
      <c r="D36" s="4" t="s">
        <v>315</v>
      </c>
      <c r="E36" s="5">
        <v>2367</v>
      </c>
      <c r="F36" s="6">
        <v>32.23854</v>
      </c>
      <c r="G36" s="7">
        <v>1.5323329E-2</v>
      </c>
      <c r="H36" s="51"/>
    </row>
    <row r="37" spans="1:8" ht="17.100000000000001" customHeight="1" x14ac:dyDescent="0.2">
      <c r="A37" s="3">
        <v>31</v>
      </c>
      <c r="B37" s="4" t="s">
        <v>242</v>
      </c>
      <c r="C37" s="4" t="s">
        <v>243</v>
      </c>
      <c r="D37" s="4" t="s">
        <v>72</v>
      </c>
      <c r="E37" s="5">
        <v>700</v>
      </c>
      <c r="F37" s="6">
        <v>31.831800000000001</v>
      </c>
      <c r="G37" s="7">
        <v>1.5130002E-2</v>
      </c>
      <c r="H37" s="51"/>
    </row>
    <row r="38" spans="1:8" ht="17.100000000000001" customHeight="1" x14ac:dyDescent="0.2">
      <c r="A38" s="3">
        <v>32</v>
      </c>
      <c r="B38" s="4" t="s">
        <v>417</v>
      </c>
      <c r="C38" s="4" t="s">
        <v>418</v>
      </c>
      <c r="D38" s="4" t="s">
        <v>92</v>
      </c>
      <c r="E38" s="5">
        <v>2275</v>
      </c>
      <c r="F38" s="6">
        <v>31.829525</v>
      </c>
      <c r="G38" s="7">
        <v>1.5128920000000001E-2</v>
      </c>
      <c r="H38" s="51"/>
    </row>
    <row r="39" spans="1:8" ht="17.100000000000001" customHeight="1" x14ac:dyDescent="0.2">
      <c r="A39" s="3">
        <v>33</v>
      </c>
      <c r="B39" s="4" t="s">
        <v>425</v>
      </c>
      <c r="C39" s="4" t="s">
        <v>426</v>
      </c>
      <c r="D39" s="4" t="s">
        <v>13</v>
      </c>
      <c r="E39" s="5">
        <v>40346</v>
      </c>
      <c r="F39" s="6">
        <v>31.550571999999999</v>
      </c>
      <c r="G39" s="7">
        <v>1.4996331E-2</v>
      </c>
      <c r="H39" s="51"/>
    </row>
    <row r="40" spans="1:8" ht="29.1" customHeight="1" x14ac:dyDescent="0.2">
      <c r="A40" s="3">
        <v>34</v>
      </c>
      <c r="B40" s="4" t="s">
        <v>63</v>
      </c>
      <c r="C40" s="4" t="s">
        <v>64</v>
      </c>
      <c r="D40" s="4" t="s">
        <v>25</v>
      </c>
      <c r="E40" s="5">
        <v>1193</v>
      </c>
      <c r="F40" s="6">
        <v>31.324004500000001</v>
      </c>
      <c r="G40" s="7">
        <v>1.4888640999999999E-2</v>
      </c>
      <c r="H40" s="51"/>
    </row>
    <row r="41" spans="1:8" ht="17.100000000000001" customHeight="1" x14ac:dyDescent="0.2">
      <c r="A41" s="3">
        <v>35</v>
      </c>
      <c r="B41" s="4" t="s">
        <v>403</v>
      </c>
      <c r="C41" s="4" t="s">
        <v>404</v>
      </c>
      <c r="D41" s="4" t="s">
        <v>277</v>
      </c>
      <c r="E41" s="5">
        <v>3807</v>
      </c>
      <c r="F41" s="6">
        <v>30.185703</v>
      </c>
      <c r="G41" s="7">
        <v>1.4347594E-2</v>
      </c>
      <c r="H41" s="51"/>
    </row>
    <row r="42" spans="1:8" ht="17.100000000000001" customHeight="1" x14ac:dyDescent="0.2">
      <c r="A42" s="3">
        <v>36</v>
      </c>
      <c r="B42" s="4" t="s">
        <v>409</v>
      </c>
      <c r="C42" s="4" t="s">
        <v>410</v>
      </c>
      <c r="D42" s="4" t="s">
        <v>104</v>
      </c>
      <c r="E42" s="5">
        <v>4498</v>
      </c>
      <c r="F42" s="6">
        <v>29.210011999999999</v>
      </c>
      <c r="G42" s="7">
        <v>1.3883837E-2</v>
      </c>
      <c r="H42" s="51"/>
    </row>
    <row r="43" spans="1:8" ht="17.100000000000001" customHeight="1" x14ac:dyDescent="0.2">
      <c r="A43" s="3">
        <v>37</v>
      </c>
      <c r="B43" s="4" t="s">
        <v>174</v>
      </c>
      <c r="C43" s="4" t="s">
        <v>175</v>
      </c>
      <c r="D43" s="4" t="s">
        <v>22</v>
      </c>
      <c r="E43" s="5">
        <v>13326</v>
      </c>
      <c r="F43" s="6">
        <v>28.824138000000001</v>
      </c>
      <c r="G43" s="7">
        <v>1.3700426999999999E-2</v>
      </c>
      <c r="H43" s="51"/>
    </row>
    <row r="44" spans="1:8" ht="53.1" customHeight="1" x14ac:dyDescent="0.2">
      <c r="A44" s="3">
        <v>38</v>
      </c>
      <c r="B44" s="4" t="s">
        <v>335</v>
      </c>
      <c r="C44" s="4" t="s">
        <v>863</v>
      </c>
      <c r="D44" s="4" t="s">
        <v>45</v>
      </c>
      <c r="E44" s="5">
        <v>10454</v>
      </c>
      <c r="F44" s="6">
        <v>28.764181000000001</v>
      </c>
      <c r="G44" s="7">
        <v>1.3671928999999999E-2</v>
      </c>
      <c r="H44" s="51"/>
    </row>
    <row r="45" spans="1:8" ht="29.1" customHeight="1" x14ac:dyDescent="0.2">
      <c r="A45" s="3">
        <v>39</v>
      </c>
      <c r="B45" s="4" t="s">
        <v>397</v>
      </c>
      <c r="C45" s="4" t="s">
        <v>398</v>
      </c>
      <c r="D45" s="4" t="s">
        <v>75</v>
      </c>
      <c r="E45" s="5">
        <v>1669</v>
      </c>
      <c r="F45" s="6">
        <v>26.431953</v>
      </c>
      <c r="G45" s="7">
        <v>1.2563395E-2</v>
      </c>
      <c r="H45" s="51"/>
    </row>
    <row r="46" spans="1:8" ht="17.100000000000001" customHeight="1" x14ac:dyDescent="0.2">
      <c r="A46" s="3">
        <v>40</v>
      </c>
      <c r="B46" s="4" t="s">
        <v>459</v>
      </c>
      <c r="C46" s="4" t="s">
        <v>460</v>
      </c>
      <c r="D46" s="4" t="s">
        <v>97</v>
      </c>
      <c r="E46" s="5">
        <v>38221</v>
      </c>
      <c r="F46" s="6">
        <v>25.359633500000001</v>
      </c>
      <c r="G46" s="7">
        <v>1.205371E-2</v>
      </c>
      <c r="H46" s="51"/>
    </row>
    <row r="47" spans="1:8" ht="17.100000000000001" customHeight="1" x14ac:dyDescent="0.2">
      <c r="A47" s="3">
        <v>41</v>
      </c>
      <c r="B47" s="4" t="s">
        <v>393</v>
      </c>
      <c r="C47" s="4" t="s">
        <v>394</v>
      </c>
      <c r="D47" s="4" t="s">
        <v>97</v>
      </c>
      <c r="E47" s="5">
        <v>2752</v>
      </c>
      <c r="F47" s="6">
        <v>24.040095999999998</v>
      </c>
      <c r="G47" s="7">
        <v>1.1426520000000001E-2</v>
      </c>
      <c r="H47" s="51"/>
    </row>
    <row r="48" spans="1:8" ht="29.1" customHeight="1" x14ac:dyDescent="0.2">
      <c r="A48" s="3">
        <v>42</v>
      </c>
      <c r="B48" s="4" t="s">
        <v>407</v>
      </c>
      <c r="C48" s="4" t="s">
        <v>408</v>
      </c>
      <c r="D48" s="4" t="s">
        <v>203</v>
      </c>
      <c r="E48" s="5">
        <v>7291</v>
      </c>
      <c r="F48" s="6">
        <v>23.907188999999999</v>
      </c>
      <c r="G48" s="7">
        <v>1.1363348000000001E-2</v>
      </c>
      <c r="H48" s="51"/>
    </row>
    <row r="49" spans="1:8" ht="29.1" customHeight="1" x14ac:dyDescent="0.2">
      <c r="A49" s="3">
        <v>43</v>
      </c>
      <c r="B49" s="4" t="s">
        <v>291</v>
      </c>
      <c r="C49" s="4" t="s">
        <v>292</v>
      </c>
      <c r="D49" s="4" t="s">
        <v>184</v>
      </c>
      <c r="E49" s="5">
        <v>3180</v>
      </c>
      <c r="F49" s="6">
        <v>23.886569999999999</v>
      </c>
      <c r="G49" s="7">
        <v>1.1353547E-2</v>
      </c>
      <c r="H49" s="51"/>
    </row>
    <row r="50" spans="1:8" ht="29.1" customHeight="1" x14ac:dyDescent="0.2">
      <c r="A50" s="3">
        <v>44</v>
      </c>
      <c r="B50" s="4" t="s">
        <v>457</v>
      </c>
      <c r="C50" s="4" t="s">
        <v>458</v>
      </c>
      <c r="D50" s="4" t="s">
        <v>367</v>
      </c>
      <c r="E50" s="5">
        <v>3485</v>
      </c>
      <c r="F50" s="6">
        <v>20.831587500000001</v>
      </c>
      <c r="G50" s="7">
        <v>9.9014810000000002E-3</v>
      </c>
      <c r="H50" s="51"/>
    </row>
    <row r="51" spans="1:8" ht="17.100000000000001" customHeight="1" x14ac:dyDescent="0.2">
      <c r="A51" s="3">
        <v>45</v>
      </c>
      <c r="B51" s="4" t="s">
        <v>405</v>
      </c>
      <c r="C51" s="4" t="s">
        <v>406</v>
      </c>
      <c r="D51" s="4" t="s">
        <v>31</v>
      </c>
      <c r="E51" s="5">
        <v>2300</v>
      </c>
      <c r="F51" s="6">
        <v>20.6172</v>
      </c>
      <c r="G51" s="7">
        <v>9.7995800000000004E-3</v>
      </c>
      <c r="H51" s="51"/>
    </row>
    <row r="52" spans="1:8" ht="17.100000000000001" customHeight="1" x14ac:dyDescent="0.2">
      <c r="A52" s="3">
        <v>46</v>
      </c>
      <c r="B52" s="4" t="s">
        <v>329</v>
      </c>
      <c r="C52" s="4" t="s">
        <v>330</v>
      </c>
      <c r="D52" s="4" t="s">
        <v>36</v>
      </c>
      <c r="E52" s="5">
        <v>8337</v>
      </c>
      <c r="F52" s="6">
        <v>19.650309</v>
      </c>
      <c r="G52" s="7">
        <v>9.3400059999999997E-3</v>
      </c>
      <c r="H52" s="51"/>
    </row>
    <row r="53" spans="1:8" ht="17.100000000000001" customHeight="1" x14ac:dyDescent="0.2">
      <c r="A53" s="3">
        <v>47</v>
      </c>
      <c r="B53" s="4" t="s">
        <v>440</v>
      </c>
      <c r="C53" s="4" t="s">
        <v>441</v>
      </c>
      <c r="D53" s="4" t="s">
        <v>51</v>
      </c>
      <c r="E53" s="5">
        <v>2557</v>
      </c>
      <c r="F53" s="6">
        <v>19.603240499999998</v>
      </c>
      <c r="G53" s="7">
        <v>9.317634E-3</v>
      </c>
      <c r="H53" s="51"/>
    </row>
    <row r="54" spans="1:8" ht="29.1" customHeight="1" x14ac:dyDescent="0.2">
      <c r="A54" s="3">
        <v>48</v>
      </c>
      <c r="B54" s="4" t="s">
        <v>446</v>
      </c>
      <c r="C54" s="4" t="s">
        <v>447</v>
      </c>
      <c r="D54" s="4" t="s">
        <v>203</v>
      </c>
      <c r="E54" s="5">
        <v>472</v>
      </c>
      <c r="F54" s="6">
        <v>19.384803999999999</v>
      </c>
      <c r="G54" s="7">
        <v>9.2138089999999999E-3</v>
      </c>
      <c r="H54" s="51"/>
    </row>
    <row r="55" spans="1:8" ht="29.1" customHeight="1" x14ac:dyDescent="0.2">
      <c r="A55" s="3">
        <v>49</v>
      </c>
      <c r="B55" s="4" t="s">
        <v>470</v>
      </c>
      <c r="C55" s="4" t="s">
        <v>471</v>
      </c>
      <c r="D55" s="4" t="s">
        <v>472</v>
      </c>
      <c r="E55" s="5">
        <v>4343</v>
      </c>
      <c r="F55" s="6">
        <v>19.2156035</v>
      </c>
      <c r="G55" s="7">
        <v>9.1333860000000003E-3</v>
      </c>
      <c r="H55" s="51"/>
    </row>
    <row r="56" spans="1:8" ht="17.100000000000001" customHeight="1" x14ac:dyDescent="0.2">
      <c r="A56" s="3">
        <v>50</v>
      </c>
      <c r="B56" s="4" t="s">
        <v>477</v>
      </c>
      <c r="C56" s="4" t="s">
        <v>478</v>
      </c>
      <c r="D56" s="4" t="s">
        <v>248</v>
      </c>
      <c r="E56" s="5">
        <v>10135</v>
      </c>
      <c r="F56" s="6">
        <v>18.901775000000001</v>
      </c>
      <c r="G56" s="7">
        <v>8.9842199999999994E-3</v>
      </c>
      <c r="H56" s="51"/>
    </row>
    <row r="57" spans="1:8" ht="17.100000000000001" customHeight="1" x14ac:dyDescent="0.2">
      <c r="A57" s="3">
        <v>51</v>
      </c>
      <c r="B57" s="4" t="s">
        <v>442</v>
      </c>
      <c r="C57" s="4" t="s">
        <v>443</v>
      </c>
      <c r="D57" s="4" t="s">
        <v>232</v>
      </c>
      <c r="E57" s="5">
        <v>2336</v>
      </c>
      <c r="F57" s="6">
        <v>16.903296000000001</v>
      </c>
      <c r="G57" s="7">
        <v>8.0343210000000005E-3</v>
      </c>
      <c r="H57" s="51"/>
    </row>
    <row r="58" spans="1:8" ht="17.100000000000001" customHeight="1" x14ac:dyDescent="0.2">
      <c r="A58" s="3">
        <v>52</v>
      </c>
      <c r="B58" s="4" t="s">
        <v>340</v>
      </c>
      <c r="C58" s="4" t="s">
        <v>341</v>
      </c>
      <c r="D58" s="4" t="s">
        <v>92</v>
      </c>
      <c r="E58" s="5">
        <v>14375</v>
      </c>
      <c r="F58" s="6">
        <v>10.723750000000001</v>
      </c>
      <c r="G58" s="7">
        <v>5.0971150000000002E-3</v>
      </c>
      <c r="H58" s="51"/>
    </row>
    <row r="59" spans="1:8" ht="17.100000000000001" customHeight="1" x14ac:dyDescent="0.2">
      <c r="A59" s="3">
        <v>53</v>
      </c>
      <c r="B59" s="4" t="s">
        <v>444</v>
      </c>
      <c r="C59" s="4" t="s">
        <v>445</v>
      </c>
      <c r="D59" s="4" t="s">
        <v>31</v>
      </c>
      <c r="E59" s="5">
        <v>1303</v>
      </c>
      <c r="F59" s="6">
        <v>10.4051065</v>
      </c>
      <c r="G59" s="7">
        <v>4.9456609999999996E-3</v>
      </c>
      <c r="H59" s="51"/>
    </row>
    <row r="60" spans="1:8" ht="29.1" customHeight="1" x14ac:dyDescent="0.2">
      <c r="A60" s="3">
        <v>54</v>
      </c>
      <c r="B60" s="4" t="s">
        <v>463</v>
      </c>
      <c r="C60" s="4" t="s">
        <v>464</v>
      </c>
      <c r="D60" s="4" t="s">
        <v>184</v>
      </c>
      <c r="E60" s="5">
        <v>1125</v>
      </c>
      <c r="F60" s="6">
        <v>8.3233125000000001</v>
      </c>
      <c r="G60" s="7">
        <v>3.9561609999999997E-3</v>
      </c>
      <c r="H60" s="51"/>
    </row>
    <row r="61" spans="1:8" ht="17.100000000000001" customHeight="1" x14ac:dyDescent="0.2">
      <c r="A61" s="3">
        <v>55</v>
      </c>
      <c r="B61" s="4" t="s">
        <v>454</v>
      </c>
      <c r="C61" s="4" t="s">
        <v>455</v>
      </c>
      <c r="D61" s="4" t="s">
        <v>16</v>
      </c>
      <c r="E61" s="5">
        <v>1389</v>
      </c>
      <c r="F61" s="6">
        <v>3.0926084999999999</v>
      </c>
      <c r="G61" s="7">
        <v>1.4699509999999999E-3</v>
      </c>
      <c r="H61" s="51"/>
    </row>
    <row r="62" spans="1:8" ht="29.1" customHeight="1" x14ac:dyDescent="0.2">
      <c r="A62" s="3">
        <v>56</v>
      </c>
      <c r="B62" s="4" t="s">
        <v>448</v>
      </c>
      <c r="C62" s="4" t="s">
        <v>449</v>
      </c>
      <c r="D62" s="4" t="s">
        <v>203</v>
      </c>
      <c r="E62" s="5">
        <v>1120</v>
      </c>
      <c r="F62" s="6">
        <v>2.6224799999999999</v>
      </c>
      <c r="G62" s="7">
        <v>1.246493E-3</v>
      </c>
      <c r="H62" s="51"/>
    </row>
    <row r="63" spans="1:8" ht="14.1" customHeight="1" x14ac:dyDescent="0.2">
      <c r="A63" s="1"/>
      <c r="B63" s="1"/>
      <c r="C63" s="2" t="s">
        <v>129</v>
      </c>
      <c r="D63" s="1"/>
      <c r="E63" s="1" t="s">
        <v>130</v>
      </c>
      <c r="F63" s="9">
        <v>1992.9041514999999</v>
      </c>
      <c r="G63" s="10">
        <v>0.94724906900000005</v>
      </c>
      <c r="H63" s="51"/>
    </row>
    <row r="64" spans="1:8" ht="14.1" customHeight="1" x14ac:dyDescent="0.2">
      <c r="A64" s="1"/>
      <c r="B64" s="1"/>
      <c r="C64" s="11"/>
      <c r="D64" s="1"/>
      <c r="E64" s="1"/>
      <c r="F64" s="12"/>
      <c r="G64" s="12"/>
      <c r="H64" s="51"/>
    </row>
    <row r="65" spans="1:8" ht="14.1" customHeight="1" x14ac:dyDescent="0.2">
      <c r="A65" s="1"/>
      <c r="B65" s="1"/>
      <c r="C65" s="2" t="s">
        <v>131</v>
      </c>
      <c r="D65" s="1"/>
      <c r="E65" s="1"/>
      <c r="F65" s="1"/>
      <c r="G65" s="1"/>
      <c r="H65" s="51"/>
    </row>
    <row r="66" spans="1:8" ht="14.1" customHeight="1" x14ac:dyDescent="0.2">
      <c r="A66" s="1"/>
      <c r="B66" s="1"/>
      <c r="C66" s="2" t="s">
        <v>129</v>
      </c>
      <c r="D66" s="1"/>
      <c r="E66" s="1" t="s">
        <v>130</v>
      </c>
      <c r="F66" s="13">
        <v>0</v>
      </c>
      <c r="G66" s="14">
        <v>0</v>
      </c>
      <c r="H66" s="51"/>
    </row>
    <row r="67" spans="1:8" ht="14.1" customHeight="1" x14ac:dyDescent="0.2">
      <c r="A67" s="1"/>
      <c r="B67" s="1"/>
      <c r="C67" s="11"/>
      <c r="D67" s="1"/>
      <c r="E67" s="1"/>
      <c r="F67" s="12"/>
      <c r="G67" s="12"/>
      <c r="H67" s="51"/>
    </row>
    <row r="68" spans="1:8" ht="14.1" customHeight="1" x14ac:dyDescent="0.2">
      <c r="A68" s="1"/>
      <c r="B68" s="1"/>
      <c r="C68" s="2" t="s">
        <v>132</v>
      </c>
      <c r="D68" s="1"/>
      <c r="E68" s="1"/>
      <c r="F68" s="1"/>
      <c r="G68" s="1"/>
      <c r="H68" s="51"/>
    </row>
    <row r="69" spans="1:8" ht="14.1" customHeight="1" x14ac:dyDescent="0.2">
      <c r="A69" s="1"/>
      <c r="B69" s="1"/>
      <c r="C69" s="2" t="s">
        <v>129</v>
      </c>
      <c r="D69" s="1"/>
      <c r="E69" s="1" t="s">
        <v>130</v>
      </c>
      <c r="F69" s="13">
        <v>0</v>
      </c>
      <c r="G69" s="14">
        <v>0</v>
      </c>
      <c r="H69" s="51"/>
    </row>
    <row r="70" spans="1:8" ht="14.1" customHeight="1" x14ac:dyDescent="0.2">
      <c r="A70" s="1"/>
      <c r="B70" s="1"/>
      <c r="C70" s="11"/>
      <c r="D70" s="1"/>
      <c r="E70" s="1"/>
      <c r="F70" s="12"/>
      <c r="G70" s="12"/>
      <c r="H70" s="51"/>
    </row>
    <row r="71" spans="1:8" ht="14.1" customHeight="1" x14ac:dyDescent="0.2">
      <c r="A71" s="1"/>
      <c r="B71" s="1"/>
      <c r="C71" s="2" t="s">
        <v>133</v>
      </c>
      <c r="D71" s="1"/>
      <c r="E71" s="1"/>
      <c r="F71" s="1"/>
      <c r="G71" s="1"/>
      <c r="H71" s="51"/>
    </row>
    <row r="72" spans="1:8" ht="14.1" customHeight="1" x14ac:dyDescent="0.2">
      <c r="A72" s="1"/>
      <c r="B72" s="1"/>
      <c r="C72" s="2" t="s">
        <v>129</v>
      </c>
      <c r="D72" s="1"/>
      <c r="E72" s="1" t="s">
        <v>130</v>
      </c>
      <c r="F72" s="13">
        <v>0</v>
      </c>
      <c r="G72" s="14">
        <v>0</v>
      </c>
      <c r="H72" s="51"/>
    </row>
    <row r="73" spans="1:8" ht="14.1" customHeight="1" x14ac:dyDescent="0.2">
      <c r="A73" s="1"/>
      <c r="B73" s="1"/>
      <c r="C73" s="11"/>
      <c r="D73" s="1"/>
      <c r="E73" s="1"/>
      <c r="F73" s="12"/>
      <c r="G73" s="12"/>
      <c r="H73" s="51"/>
    </row>
    <row r="74" spans="1:8" ht="14.1" customHeight="1" x14ac:dyDescent="0.2">
      <c r="A74" s="1"/>
      <c r="B74" s="1"/>
      <c r="C74" s="2" t="s">
        <v>134</v>
      </c>
      <c r="D74" s="1"/>
      <c r="E74" s="1"/>
      <c r="F74" s="12"/>
      <c r="G74" s="12"/>
      <c r="H74" s="51"/>
    </row>
    <row r="75" spans="1:8" ht="14.1" customHeight="1" x14ac:dyDescent="0.2">
      <c r="A75" s="1"/>
      <c r="B75" s="1"/>
      <c r="C75" s="2" t="s">
        <v>129</v>
      </c>
      <c r="D75" s="1"/>
      <c r="E75" s="1" t="s">
        <v>130</v>
      </c>
      <c r="F75" s="13">
        <v>0</v>
      </c>
      <c r="G75" s="14">
        <v>0</v>
      </c>
      <c r="H75" s="51"/>
    </row>
    <row r="76" spans="1:8" ht="14.1" customHeight="1" x14ac:dyDescent="0.2">
      <c r="A76" s="1"/>
      <c r="B76" s="1"/>
      <c r="C76" s="11"/>
      <c r="D76" s="1"/>
      <c r="E76" s="1"/>
      <c r="F76" s="12"/>
      <c r="G76" s="12"/>
      <c r="H76" s="51"/>
    </row>
    <row r="77" spans="1:8" ht="14.1" customHeight="1" x14ac:dyDescent="0.2">
      <c r="A77" s="1"/>
      <c r="B77" s="1"/>
      <c r="C77" s="2" t="s">
        <v>135</v>
      </c>
      <c r="D77" s="1"/>
      <c r="E77" s="1"/>
      <c r="F77" s="12"/>
      <c r="G77" s="12"/>
      <c r="H77" s="51"/>
    </row>
    <row r="78" spans="1:8" ht="14.1" customHeight="1" x14ac:dyDescent="0.2">
      <c r="A78" s="1"/>
      <c r="B78" s="1"/>
      <c r="C78" s="2" t="s">
        <v>129</v>
      </c>
      <c r="D78" s="1"/>
      <c r="E78" s="1" t="s">
        <v>130</v>
      </c>
      <c r="F78" s="13">
        <v>0</v>
      </c>
      <c r="G78" s="14">
        <v>0</v>
      </c>
      <c r="H78" s="51"/>
    </row>
    <row r="79" spans="1:8" ht="14.1" customHeight="1" x14ac:dyDescent="0.2">
      <c r="A79" s="1"/>
      <c r="B79" s="1"/>
      <c r="C79" s="11"/>
      <c r="D79" s="1"/>
      <c r="E79" s="1"/>
      <c r="F79" s="12"/>
      <c r="G79" s="12"/>
      <c r="H79" s="51"/>
    </row>
    <row r="80" spans="1:8" ht="18" customHeight="1" x14ac:dyDescent="0.2">
      <c r="A80" s="1"/>
      <c r="B80" s="1"/>
      <c r="C80" s="2" t="s">
        <v>136</v>
      </c>
      <c r="D80" s="1"/>
      <c r="E80" s="1"/>
      <c r="F80" s="9">
        <v>1992.9041514999999</v>
      </c>
      <c r="G80" s="10">
        <v>0.94724906900000005</v>
      </c>
      <c r="H80" s="51"/>
    </row>
    <row r="81" spans="1:8" ht="14.1" customHeight="1" x14ac:dyDescent="0.2">
      <c r="A81" s="1"/>
      <c r="B81" s="1"/>
      <c r="C81" s="11"/>
      <c r="D81" s="1"/>
      <c r="E81" s="1"/>
      <c r="F81" s="12"/>
      <c r="G81" s="12"/>
      <c r="H81" s="51"/>
    </row>
    <row r="82" spans="1:8" ht="14.1" customHeight="1" x14ac:dyDescent="0.2">
      <c r="A82" s="1"/>
      <c r="B82" s="1"/>
      <c r="C82" s="2" t="s">
        <v>137</v>
      </c>
      <c r="D82" s="1"/>
      <c r="E82" s="1"/>
      <c r="F82" s="12"/>
      <c r="G82" s="12"/>
      <c r="H82" s="51"/>
    </row>
    <row r="83" spans="1:8" ht="24" customHeight="1" x14ac:dyDescent="0.2">
      <c r="A83" s="1"/>
      <c r="B83" s="1"/>
      <c r="C83" s="2" t="s">
        <v>10</v>
      </c>
      <c r="D83" s="1"/>
      <c r="E83" s="1"/>
      <c r="F83" s="12"/>
      <c r="G83" s="12"/>
      <c r="H83" s="51"/>
    </row>
    <row r="84" spans="1:8" ht="14.1" customHeight="1" x14ac:dyDescent="0.2">
      <c r="A84" s="1"/>
      <c r="B84" s="1"/>
      <c r="C84" s="2" t="s">
        <v>129</v>
      </c>
      <c r="D84" s="1"/>
      <c r="E84" s="1" t="s">
        <v>130</v>
      </c>
      <c r="F84" s="13">
        <v>0</v>
      </c>
      <c r="G84" s="14">
        <v>0</v>
      </c>
      <c r="H84" s="51"/>
    </row>
    <row r="85" spans="1:8" ht="14.1" customHeight="1" x14ac:dyDescent="0.2">
      <c r="A85" s="1"/>
      <c r="B85" s="1"/>
      <c r="C85" s="11"/>
      <c r="D85" s="1"/>
      <c r="E85" s="1"/>
      <c r="F85" s="12"/>
      <c r="G85" s="12"/>
      <c r="H85" s="51"/>
    </row>
    <row r="86" spans="1:8" ht="14.1" customHeight="1" x14ac:dyDescent="0.2">
      <c r="A86" s="1"/>
      <c r="B86" s="1"/>
      <c r="C86" s="2" t="s">
        <v>138</v>
      </c>
      <c r="D86" s="1"/>
      <c r="E86" s="1"/>
      <c r="F86" s="1"/>
      <c r="G86" s="1"/>
      <c r="H86" s="51"/>
    </row>
    <row r="87" spans="1:8" ht="14.1" customHeight="1" x14ac:dyDescent="0.2">
      <c r="A87" s="1"/>
      <c r="B87" s="1"/>
      <c r="C87" s="2" t="s">
        <v>129</v>
      </c>
      <c r="D87" s="1"/>
      <c r="E87" s="1" t="s">
        <v>130</v>
      </c>
      <c r="F87" s="13">
        <v>0</v>
      </c>
      <c r="G87" s="14">
        <v>0</v>
      </c>
      <c r="H87" s="51"/>
    </row>
    <row r="88" spans="1:8" ht="14.1" customHeight="1" x14ac:dyDescent="0.2">
      <c r="A88" s="1"/>
      <c r="B88" s="1"/>
      <c r="C88" s="11"/>
      <c r="D88" s="1"/>
      <c r="E88" s="1"/>
      <c r="F88" s="12"/>
      <c r="G88" s="12"/>
      <c r="H88" s="51"/>
    </row>
    <row r="89" spans="1:8" ht="14.1" customHeight="1" x14ac:dyDescent="0.2">
      <c r="A89" s="1"/>
      <c r="B89" s="1"/>
      <c r="C89" s="2" t="s">
        <v>139</v>
      </c>
      <c r="D89" s="1"/>
      <c r="E89" s="1"/>
      <c r="F89" s="1"/>
      <c r="G89" s="1"/>
      <c r="H89" s="51"/>
    </row>
    <row r="90" spans="1:8" ht="14.1" customHeight="1" x14ac:dyDescent="0.2">
      <c r="A90" s="1"/>
      <c r="B90" s="1"/>
      <c r="C90" s="2" t="s">
        <v>129</v>
      </c>
      <c r="D90" s="1"/>
      <c r="E90" s="1" t="s">
        <v>130</v>
      </c>
      <c r="F90" s="13">
        <v>0</v>
      </c>
      <c r="G90" s="14">
        <v>0</v>
      </c>
      <c r="H90" s="51"/>
    </row>
    <row r="91" spans="1:8" ht="14.1" customHeight="1" x14ac:dyDescent="0.2">
      <c r="A91" s="1"/>
      <c r="B91" s="1"/>
      <c r="C91" s="11"/>
      <c r="D91" s="1"/>
      <c r="E91" s="1"/>
      <c r="F91" s="12"/>
      <c r="G91" s="12"/>
      <c r="H91" s="51"/>
    </row>
    <row r="92" spans="1:8" ht="14.1" customHeight="1" x14ac:dyDescent="0.2">
      <c r="A92" s="1"/>
      <c r="B92" s="1"/>
      <c r="C92" s="2" t="s">
        <v>140</v>
      </c>
      <c r="D92" s="1"/>
      <c r="E92" s="1"/>
      <c r="F92" s="12"/>
      <c r="G92" s="12"/>
      <c r="H92" s="51"/>
    </row>
    <row r="93" spans="1:8" ht="14.1" customHeight="1" x14ac:dyDescent="0.2">
      <c r="A93" s="1"/>
      <c r="B93" s="1"/>
      <c r="C93" s="2" t="s">
        <v>129</v>
      </c>
      <c r="D93" s="1"/>
      <c r="E93" s="1" t="s">
        <v>130</v>
      </c>
      <c r="F93" s="13">
        <v>0</v>
      </c>
      <c r="G93" s="14">
        <v>0</v>
      </c>
      <c r="H93" s="51"/>
    </row>
    <row r="94" spans="1:8" ht="14.1" customHeight="1" x14ac:dyDescent="0.2">
      <c r="A94" s="1"/>
      <c r="B94" s="1"/>
      <c r="C94" s="11"/>
      <c r="D94" s="1"/>
      <c r="E94" s="1"/>
      <c r="F94" s="12"/>
      <c r="G94" s="12"/>
      <c r="H94" s="51"/>
    </row>
    <row r="95" spans="1:8" ht="14.1" customHeight="1" x14ac:dyDescent="0.2">
      <c r="A95" s="1"/>
      <c r="B95" s="1"/>
      <c r="C95" s="2" t="s">
        <v>141</v>
      </c>
      <c r="D95" s="1"/>
      <c r="E95" s="1"/>
      <c r="F95" s="9">
        <v>0</v>
      </c>
      <c r="G95" s="10">
        <v>0</v>
      </c>
      <c r="H95" s="51"/>
    </row>
    <row r="96" spans="1:8" ht="14.1" customHeight="1" x14ac:dyDescent="0.2">
      <c r="A96" s="1"/>
      <c r="B96" s="1"/>
      <c r="C96" s="11"/>
      <c r="D96" s="1"/>
      <c r="E96" s="1"/>
      <c r="F96" s="12"/>
      <c r="G96" s="12"/>
      <c r="H96" s="51"/>
    </row>
    <row r="97" spans="1:8" ht="14.1" customHeight="1" x14ac:dyDescent="0.2">
      <c r="A97" s="1"/>
      <c r="B97" s="1"/>
      <c r="C97" s="2" t="s">
        <v>142</v>
      </c>
      <c r="D97" s="1"/>
      <c r="E97" s="1"/>
      <c r="F97" s="12"/>
      <c r="G97" s="12"/>
      <c r="H97" s="51"/>
    </row>
    <row r="98" spans="1:8" ht="14.1" customHeight="1" x14ac:dyDescent="0.2">
      <c r="A98" s="1"/>
      <c r="B98" s="1"/>
      <c r="C98" s="2" t="s">
        <v>143</v>
      </c>
      <c r="D98" s="1"/>
      <c r="E98" s="1"/>
      <c r="F98" s="12"/>
      <c r="G98" s="12"/>
      <c r="H98" s="51"/>
    </row>
    <row r="99" spans="1:8" ht="14.1" customHeight="1" x14ac:dyDescent="0.2">
      <c r="A99" s="1"/>
      <c r="B99" s="1"/>
      <c r="C99" s="2" t="s">
        <v>129</v>
      </c>
      <c r="D99" s="1"/>
      <c r="E99" s="1" t="s">
        <v>130</v>
      </c>
      <c r="F99" s="13">
        <v>0</v>
      </c>
      <c r="G99" s="14">
        <v>0</v>
      </c>
      <c r="H99" s="51"/>
    </row>
    <row r="100" spans="1:8" ht="14.1" customHeight="1" x14ac:dyDescent="0.2">
      <c r="A100" s="1"/>
      <c r="B100" s="1"/>
      <c r="C100" s="11"/>
      <c r="D100" s="1"/>
      <c r="E100" s="1"/>
      <c r="F100" s="12"/>
      <c r="G100" s="12"/>
      <c r="H100" s="51"/>
    </row>
    <row r="101" spans="1:8" ht="14.1" customHeight="1" x14ac:dyDescent="0.2">
      <c r="A101" s="1"/>
      <c r="B101" s="1"/>
      <c r="C101" s="2" t="s">
        <v>144</v>
      </c>
      <c r="D101" s="1"/>
      <c r="E101" s="1"/>
      <c r="F101" s="12"/>
      <c r="G101" s="12"/>
      <c r="H101" s="51"/>
    </row>
    <row r="102" spans="1:8" ht="14.1" customHeight="1" x14ac:dyDescent="0.2">
      <c r="A102" s="1"/>
      <c r="B102" s="1"/>
      <c r="C102" s="2" t="s">
        <v>129</v>
      </c>
      <c r="D102" s="1"/>
      <c r="E102" s="1" t="s">
        <v>130</v>
      </c>
      <c r="F102" s="13">
        <v>0</v>
      </c>
      <c r="G102" s="14">
        <v>0</v>
      </c>
      <c r="H102" s="51"/>
    </row>
    <row r="103" spans="1:8" ht="14.1" customHeight="1" x14ac:dyDescent="0.2">
      <c r="A103" s="1"/>
      <c r="B103" s="1"/>
      <c r="C103" s="11"/>
      <c r="D103" s="1"/>
      <c r="E103" s="1"/>
      <c r="F103" s="12"/>
      <c r="G103" s="12"/>
      <c r="H103" s="51"/>
    </row>
    <row r="104" spans="1:8" ht="14.1" customHeight="1" x14ac:dyDescent="0.2">
      <c r="A104" s="1"/>
      <c r="B104" s="1"/>
      <c r="C104" s="2" t="s">
        <v>145</v>
      </c>
      <c r="D104" s="1"/>
      <c r="E104" s="1"/>
      <c r="F104" s="12"/>
      <c r="G104" s="12"/>
      <c r="H104" s="51"/>
    </row>
    <row r="105" spans="1:8" ht="14.1" customHeight="1" x14ac:dyDescent="0.2">
      <c r="A105" s="1"/>
      <c r="B105" s="1"/>
      <c r="C105" s="2" t="s">
        <v>129</v>
      </c>
      <c r="D105" s="1"/>
      <c r="E105" s="1" t="s">
        <v>130</v>
      </c>
      <c r="F105" s="13">
        <v>0</v>
      </c>
      <c r="G105" s="14">
        <v>0</v>
      </c>
      <c r="H105" s="51"/>
    </row>
    <row r="106" spans="1:8" ht="14.1" customHeight="1" x14ac:dyDescent="0.2">
      <c r="A106" s="1"/>
      <c r="B106" s="1"/>
      <c r="C106" s="11"/>
      <c r="D106" s="1"/>
      <c r="E106" s="1"/>
      <c r="F106" s="12"/>
      <c r="G106" s="12"/>
      <c r="H106" s="51"/>
    </row>
    <row r="107" spans="1:8" ht="14.1" customHeight="1" x14ac:dyDescent="0.2">
      <c r="A107" s="1"/>
      <c r="B107" s="1"/>
      <c r="C107" s="2" t="s">
        <v>146</v>
      </c>
      <c r="D107" s="1"/>
      <c r="E107" s="1"/>
      <c r="F107" s="12"/>
      <c r="G107" s="12"/>
      <c r="H107" s="51"/>
    </row>
    <row r="108" spans="1:8" ht="17.100000000000001" customHeight="1" x14ac:dyDescent="0.2">
      <c r="A108" s="3">
        <v>1</v>
      </c>
      <c r="B108" s="4"/>
      <c r="C108" s="4" t="s">
        <v>147</v>
      </c>
      <c r="D108" s="4"/>
      <c r="E108" s="8"/>
      <c r="F108" s="6">
        <v>109.61142340000001</v>
      </c>
      <c r="G108" s="7">
        <v>5.2099503999999998E-2</v>
      </c>
      <c r="H108" s="51">
        <v>6.1245112103248278</v>
      </c>
    </row>
    <row r="109" spans="1:8" ht="14.1" customHeight="1" x14ac:dyDescent="0.2">
      <c r="A109" s="1"/>
      <c r="B109" s="1"/>
      <c r="C109" s="2" t="s">
        <v>129</v>
      </c>
      <c r="D109" s="1"/>
      <c r="E109" s="1" t="s">
        <v>130</v>
      </c>
      <c r="F109" s="9">
        <v>109.61142340000001</v>
      </c>
      <c r="G109" s="10">
        <v>5.2099503999999998E-2</v>
      </c>
      <c r="H109" s="51"/>
    </row>
    <row r="110" spans="1:8" ht="14.1" customHeight="1" x14ac:dyDescent="0.2">
      <c r="A110" s="1"/>
      <c r="B110" s="1"/>
      <c r="C110" s="11"/>
      <c r="D110" s="1"/>
      <c r="E110" s="1"/>
      <c r="F110" s="12"/>
      <c r="G110" s="12"/>
      <c r="H110" s="51"/>
    </row>
    <row r="111" spans="1:8" ht="14.1" customHeight="1" x14ac:dyDescent="0.2">
      <c r="A111" s="1"/>
      <c r="B111" s="1"/>
      <c r="C111" s="2" t="s">
        <v>148</v>
      </c>
      <c r="D111" s="1"/>
      <c r="E111" s="1"/>
      <c r="F111" s="9">
        <v>109.61142340000001</v>
      </c>
      <c r="G111" s="10">
        <v>5.2099503999999998E-2</v>
      </c>
      <c r="H111" s="51"/>
    </row>
    <row r="112" spans="1:8" ht="14.1" customHeight="1" x14ac:dyDescent="0.2">
      <c r="A112" s="1"/>
      <c r="B112" s="1"/>
      <c r="C112" s="12"/>
      <c r="D112" s="1"/>
      <c r="E112" s="1"/>
      <c r="F112" s="1"/>
      <c r="G112" s="1"/>
      <c r="H112" s="51"/>
    </row>
    <row r="113" spans="1:8" ht="14.1" customHeight="1" x14ac:dyDescent="0.2">
      <c r="A113" s="1"/>
      <c r="B113" s="1"/>
      <c r="C113" s="2" t="s">
        <v>149</v>
      </c>
      <c r="D113" s="1"/>
      <c r="E113" s="1"/>
      <c r="F113" s="1"/>
      <c r="G113" s="1"/>
      <c r="H113" s="51"/>
    </row>
    <row r="114" spans="1:8" ht="14.1" customHeight="1" x14ac:dyDescent="0.2">
      <c r="A114" s="1"/>
      <c r="B114" s="1"/>
      <c r="C114" s="2" t="s">
        <v>150</v>
      </c>
      <c r="D114" s="1"/>
      <c r="E114" s="1"/>
      <c r="F114" s="1"/>
      <c r="G114" s="1"/>
      <c r="H114" s="51"/>
    </row>
    <row r="115" spans="1:8" ht="14.1" customHeight="1" x14ac:dyDescent="0.2">
      <c r="A115" s="1"/>
      <c r="B115" s="1"/>
      <c r="C115" s="2" t="s">
        <v>129</v>
      </c>
      <c r="D115" s="1"/>
      <c r="E115" s="1" t="s">
        <v>130</v>
      </c>
      <c r="F115" s="13">
        <v>0</v>
      </c>
      <c r="G115" s="14">
        <v>0</v>
      </c>
      <c r="H115" s="51"/>
    </row>
    <row r="116" spans="1:8" ht="14.1" customHeight="1" x14ac:dyDescent="0.2">
      <c r="A116" s="1"/>
      <c r="B116" s="1"/>
      <c r="C116" s="11"/>
      <c r="D116" s="1"/>
      <c r="E116" s="1"/>
      <c r="F116" s="12"/>
      <c r="G116" s="12"/>
      <c r="H116" s="51"/>
    </row>
    <row r="117" spans="1:8" ht="14.1" customHeight="1" x14ac:dyDescent="0.2">
      <c r="A117" s="1"/>
      <c r="B117" s="1"/>
      <c r="C117" s="2" t="s">
        <v>151</v>
      </c>
      <c r="D117" s="1"/>
      <c r="E117" s="1"/>
      <c r="F117" s="1"/>
      <c r="G117" s="1"/>
      <c r="H117" s="51"/>
    </row>
    <row r="118" spans="1:8" ht="14.1" customHeight="1" x14ac:dyDescent="0.2">
      <c r="A118" s="1"/>
      <c r="B118" s="1"/>
      <c r="C118" s="2" t="s">
        <v>152</v>
      </c>
      <c r="D118" s="1"/>
      <c r="E118" s="1"/>
      <c r="F118" s="1"/>
      <c r="G118" s="1"/>
      <c r="H118" s="51"/>
    </row>
    <row r="119" spans="1:8" ht="14.1" customHeight="1" x14ac:dyDescent="0.2">
      <c r="A119" s="1"/>
      <c r="B119" s="1"/>
      <c r="C119" s="2" t="s">
        <v>129</v>
      </c>
      <c r="D119" s="1"/>
      <c r="E119" s="1" t="s">
        <v>130</v>
      </c>
      <c r="F119" s="13">
        <v>0</v>
      </c>
      <c r="G119" s="14">
        <v>0</v>
      </c>
      <c r="H119" s="51"/>
    </row>
    <row r="120" spans="1:8" ht="14.1" customHeight="1" x14ac:dyDescent="0.2">
      <c r="A120" s="1"/>
      <c r="B120" s="1"/>
      <c r="C120" s="11"/>
      <c r="D120" s="1"/>
      <c r="E120" s="1"/>
      <c r="F120" s="12"/>
      <c r="G120" s="12"/>
      <c r="H120" s="51"/>
    </row>
    <row r="121" spans="1:8" ht="14.1" customHeight="1" x14ac:dyDescent="0.2">
      <c r="A121" s="1"/>
      <c r="B121" s="1"/>
      <c r="C121" s="11"/>
      <c r="D121" s="1"/>
      <c r="E121" s="1"/>
      <c r="F121" s="12"/>
      <c r="G121" s="12"/>
      <c r="H121" s="51"/>
    </row>
    <row r="122" spans="1:8" ht="24" customHeight="1" x14ac:dyDescent="0.2">
      <c r="A122" s="1"/>
      <c r="B122" s="1"/>
      <c r="C122" s="2" t="s">
        <v>153</v>
      </c>
      <c r="D122" s="1"/>
      <c r="E122" s="1"/>
      <c r="F122" s="12"/>
      <c r="G122" s="12"/>
      <c r="H122" s="51"/>
    </row>
    <row r="123" spans="1:8" ht="14.1" customHeight="1" x14ac:dyDescent="0.2">
      <c r="A123" s="1"/>
      <c r="B123" s="1"/>
      <c r="C123" s="2" t="s">
        <v>129</v>
      </c>
      <c r="D123" s="1"/>
      <c r="E123" s="1" t="s">
        <v>130</v>
      </c>
      <c r="F123" s="13">
        <v>0</v>
      </c>
      <c r="G123" s="14">
        <v>0</v>
      </c>
      <c r="H123" s="51"/>
    </row>
    <row r="124" spans="1:8" ht="14.1" customHeight="1" x14ac:dyDescent="0.2">
      <c r="A124" s="1"/>
      <c r="B124" s="1"/>
      <c r="C124" s="11"/>
      <c r="D124" s="1"/>
      <c r="E124" s="1"/>
      <c r="F124" s="12"/>
      <c r="G124" s="12"/>
      <c r="H124" s="51"/>
    </row>
    <row r="125" spans="1:8" ht="14.1" customHeight="1" x14ac:dyDescent="0.2">
      <c r="A125" s="1"/>
      <c r="B125" s="4"/>
      <c r="C125" s="4"/>
      <c r="D125" s="2"/>
      <c r="E125" s="1"/>
      <c r="F125" s="4"/>
      <c r="G125" s="8"/>
      <c r="H125" s="51"/>
    </row>
    <row r="126" spans="1:8" ht="18" customHeight="1" x14ac:dyDescent="0.2">
      <c r="A126" s="8"/>
      <c r="B126" s="4"/>
      <c r="C126" s="4" t="s">
        <v>154</v>
      </c>
      <c r="D126" s="4"/>
      <c r="E126" s="8"/>
      <c r="F126" s="6">
        <v>1.3705348100000001</v>
      </c>
      <c r="G126" s="7">
        <v>6.5143000000000004E-4</v>
      </c>
      <c r="H126" s="51"/>
    </row>
    <row r="127" spans="1:8" ht="14.1" customHeight="1" x14ac:dyDescent="0.2">
      <c r="A127" s="11"/>
      <c r="B127" s="11"/>
      <c r="C127" s="2" t="s">
        <v>155</v>
      </c>
      <c r="D127" s="15"/>
      <c r="E127" s="15"/>
      <c r="F127" s="9">
        <v>2103.8861097099998</v>
      </c>
      <c r="G127" s="10">
        <v>1.000000003</v>
      </c>
      <c r="H127" s="51"/>
    </row>
    <row r="128" spans="1:8" ht="14.1" customHeight="1" x14ac:dyDescent="0.2">
      <c r="A128" s="16"/>
      <c r="B128" s="16"/>
      <c r="C128" s="16"/>
      <c r="D128" s="17"/>
      <c r="E128" s="17"/>
      <c r="F128" s="17"/>
      <c r="G128" s="17"/>
    </row>
    <row r="129" spans="1:7" ht="14.1" customHeight="1" x14ac:dyDescent="0.2">
      <c r="A129" s="18"/>
      <c r="B129" s="327" t="s">
        <v>130</v>
      </c>
      <c r="C129" s="327"/>
      <c r="D129" s="327"/>
      <c r="E129" s="327"/>
      <c r="F129" s="327"/>
      <c r="G129" s="20"/>
    </row>
    <row r="130" spans="1:7" ht="14.1" customHeight="1" x14ac:dyDescent="0.2">
      <c r="A130" s="18"/>
      <c r="B130" s="327" t="s">
        <v>130</v>
      </c>
      <c r="C130" s="327"/>
      <c r="D130" s="327"/>
      <c r="E130" s="327"/>
      <c r="F130" s="327"/>
      <c r="G130" s="20"/>
    </row>
    <row r="131" spans="1:7" ht="14.1" customHeight="1" x14ac:dyDescent="0.2">
      <c r="A131" s="18"/>
      <c r="B131" s="18"/>
      <c r="C131" s="18"/>
      <c r="D131" s="20"/>
      <c r="E131" s="20"/>
      <c r="F131" s="20"/>
      <c r="G131" s="20"/>
    </row>
    <row r="132" spans="1:7" ht="14.1" customHeight="1" x14ac:dyDescent="0.2">
      <c r="A132" s="18"/>
      <c r="B132" s="325" t="s">
        <v>157</v>
      </c>
      <c r="C132" s="326"/>
      <c r="D132" s="12" t="s">
        <v>130</v>
      </c>
      <c r="E132" s="21"/>
      <c r="F132" s="20"/>
      <c r="G132" s="20"/>
    </row>
    <row r="133" spans="1:7" ht="29.1" customHeight="1" x14ac:dyDescent="0.2">
      <c r="A133" s="18"/>
      <c r="B133" s="318" t="s">
        <v>158</v>
      </c>
      <c r="C133" s="319"/>
      <c r="D133" s="2" t="s">
        <v>159</v>
      </c>
      <c r="E133" s="21"/>
      <c r="F133" s="20"/>
      <c r="G133" s="20"/>
    </row>
    <row r="134" spans="1:7" ht="17.100000000000001" customHeight="1" x14ac:dyDescent="0.2">
      <c r="A134" s="18"/>
      <c r="B134" s="318" t="s">
        <v>160</v>
      </c>
      <c r="C134" s="319"/>
      <c r="D134" s="2" t="s">
        <v>159</v>
      </c>
      <c r="E134" s="21"/>
      <c r="F134" s="20"/>
      <c r="G134" s="20"/>
    </row>
    <row r="135" spans="1:7" ht="17.100000000000001" customHeight="1" x14ac:dyDescent="0.2">
      <c r="A135" s="18"/>
      <c r="B135" s="318" t="s">
        <v>161</v>
      </c>
      <c r="C135" s="319"/>
      <c r="D135" s="12" t="s">
        <v>130</v>
      </c>
      <c r="E135" s="21"/>
      <c r="F135" s="20"/>
      <c r="G135" s="20"/>
    </row>
    <row r="136" spans="1:7" ht="24" customHeight="1" x14ac:dyDescent="0.2">
      <c r="A136" s="22"/>
      <c r="B136" s="23" t="s">
        <v>130</v>
      </c>
      <c r="C136" s="23" t="s">
        <v>162</v>
      </c>
      <c r="D136" s="23" t="s">
        <v>163</v>
      </c>
      <c r="E136" s="22"/>
      <c r="F136" s="22"/>
      <c r="G136" s="22"/>
    </row>
    <row r="137" spans="1:7" ht="18" customHeight="1" x14ac:dyDescent="0.2">
      <c r="A137" s="22"/>
      <c r="B137" s="23" t="s">
        <v>164</v>
      </c>
      <c r="C137" s="23" t="s">
        <v>165</v>
      </c>
      <c r="D137" s="23" t="s">
        <v>166</v>
      </c>
      <c r="E137" s="22"/>
      <c r="F137" s="22"/>
      <c r="G137" s="22"/>
    </row>
    <row r="138" spans="1:7" ht="17.100000000000001" customHeight="1" x14ac:dyDescent="0.2">
      <c r="A138" s="22"/>
      <c r="B138" s="4" t="s">
        <v>167</v>
      </c>
      <c r="C138" s="24">
        <v>19.6845</v>
      </c>
      <c r="D138" s="24">
        <v>19.638999999999999</v>
      </c>
      <c r="E138" s="22"/>
      <c r="F138" s="19"/>
      <c r="G138" s="25"/>
    </row>
    <row r="139" spans="1:7" ht="17.100000000000001" customHeight="1" x14ac:dyDescent="0.2">
      <c r="A139" s="22"/>
      <c r="B139" s="4" t="s">
        <v>1067</v>
      </c>
      <c r="C139" s="24">
        <v>19.008500000000002</v>
      </c>
      <c r="D139" s="24">
        <v>18.964500000000001</v>
      </c>
      <c r="E139" s="22"/>
      <c r="F139" s="19"/>
      <c r="G139" s="25"/>
    </row>
    <row r="140" spans="1:7" ht="17.100000000000001" customHeight="1" x14ac:dyDescent="0.2">
      <c r="A140" s="22"/>
      <c r="B140" s="4" t="s">
        <v>168</v>
      </c>
      <c r="C140" s="24">
        <v>19.432700000000001</v>
      </c>
      <c r="D140" s="24">
        <v>19.385899999999999</v>
      </c>
      <c r="E140" s="22"/>
      <c r="F140" s="19"/>
      <c r="G140" s="25"/>
    </row>
    <row r="141" spans="1:7" ht="17.100000000000001" customHeight="1" x14ac:dyDescent="0.2">
      <c r="A141" s="22"/>
      <c r="B141" s="4" t="s">
        <v>1068</v>
      </c>
      <c r="C141" s="24">
        <v>18.758500000000002</v>
      </c>
      <c r="D141" s="24">
        <v>18.7133</v>
      </c>
      <c r="E141" s="22"/>
      <c r="F141" s="19"/>
      <c r="G141" s="25"/>
    </row>
    <row r="142" spans="1:7" ht="14.1" customHeight="1" x14ac:dyDescent="0.2">
      <c r="A142" s="22"/>
      <c r="B142" s="22"/>
      <c r="C142" s="22"/>
      <c r="D142" s="22"/>
      <c r="E142" s="22"/>
      <c r="F142" s="22"/>
      <c r="G142" s="22"/>
    </row>
    <row r="143" spans="1:7" ht="17.100000000000001" customHeight="1" x14ac:dyDescent="0.2">
      <c r="A143" s="22"/>
      <c r="B143" s="318" t="s">
        <v>1069</v>
      </c>
      <c r="C143" s="319"/>
      <c r="D143" s="111" t="s">
        <v>159</v>
      </c>
      <c r="E143" s="22"/>
      <c r="F143" s="22"/>
      <c r="G143" s="22"/>
    </row>
    <row r="144" spans="1:7" ht="18" customHeight="1" x14ac:dyDescent="0.2">
      <c r="A144" s="22"/>
      <c r="B144" s="26"/>
      <c r="C144" s="26"/>
      <c r="D144" s="27"/>
      <c r="E144" s="22"/>
      <c r="F144" s="22"/>
      <c r="G144" s="22"/>
    </row>
    <row r="145" spans="1:14" ht="29.1" customHeight="1" x14ac:dyDescent="0.2">
      <c r="A145" s="22"/>
      <c r="B145" s="318" t="s">
        <v>169</v>
      </c>
      <c r="C145" s="319"/>
      <c r="D145" s="2" t="s">
        <v>159</v>
      </c>
      <c r="E145" s="22"/>
      <c r="F145" s="22"/>
      <c r="G145" s="22"/>
    </row>
    <row r="146" spans="1:14" ht="29.1" customHeight="1" x14ac:dyDescent="0.2">
      <c r="A146" s="22"/>
      <c r="B146" s="318" t="s">
        <v>170</v>
      </c>
      <c r="C146" s="319"/>
      <c r="D146" s="2" t="s">
        <v>159</v>
      </c>
      <c r="E146" s="22"/>
      <c r="F146" s="22"/>
      <c r="G146" s="22"/>
    </row>
    <row r="147" spans="1:14" ht="17.100000000000001" customHeight="1" x14ac:dyDescent="0.2">
      <c r="A147" s="22"/>
      <c r="B147" s="318" t="s">
        <v>171</v>
      </c>
      <c r="C147" s="319"/>
      <c r="D147" s="28">
        <v>0.16612985950279119</v>
      </c>
      <c r="E147" s="22"/>
      <c r="F147" s="19"/>
      <c r="G147" s="25"/>
    </row>
    <row r="148" spans="1:14" ht="17.100000000000001" customHeight="1" x14ac:dyDescent="0.2">
      <c r="A148" s="22"/>
      <c r="B148" s="318" t="s">
        <v>172</v>
      </c>
      <c r="C148" s="319"/>
      <c r="D148" s="2" t="s">
        <v>159</v>
      </c>
      <c r="E148" s="22"/>
      <c r="F148" s="22"/>
      <c r="G148" s="22"/>
    </row>
    <row r="155" spans="1:14" x14ac:dyDescent="0.2">
      <c r="J155" s="158"/>
      <c r="K155" s="158"/>
      <c r="L155" s="158"/>
      <c r="M155" s="158"/>
      <c r="N155" s="158"/>
    </row>
  </sheetData>
  <mergeCells count="15">
    <mergeCell ref="A1:H1"/>
    <mergeCell ref="A2:H2"/>
    <mergeCell ref="A3:H3"/>
    <mergeCell ref="J2:N2"/>
    <mergeCell ref="B147:C147"/>
    <mergeCell ref="B132:C132"/>
    <mergeCell ref="B129:F129"/>
    <mergeCell ref="B130:F130"/>
    <mergeCell ref="B148:C148"/>
    <mergeCell ref="B133:C133"/>
    <mergeCell ref="B134:C134"/>
    <mergeCell ref="B135:C135"/>
    <mergeCell ref="B143:C143"/>
    <mergeCell ref="B145:C145"/>
    <mergeCell ref="B146:C146"/>
  </mergeCells>
  <hyperlinks>
    <hyperlink ref="I1" location="Index!B16" display="Index" xr:uid="{1B4BF7AD-9D9B-4558-A578-566D7DBD0187}"/>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N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485</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14</v>
      </c>
      <c r="C7" s="4" t="s">
        <v>15</v>
      </c>
      <c r="D7" s="4" t="s">
        <v>16</v>
      </c>
      <c r="E7" s="5">
        <v>19408</v>
      </c>
      <c r="F7" s="6">
        <v>167.29696000000001</v>
      </c>
      <c r="G7" s="7">
        <v>9.7341905000000006E-2</v>
      </c>
      <c r="H7" s="51"/>
    </row>
    <row r="8" spans="1:14" ht="17.100000000000001" customHeight="1" x14ac:dyDescent="0.2">
      <c r="A8" s="3">
        <v>2</v>
      </c>
      <c r="B8" s="4" t="s">
        <v>20</v>
      </c>
      <c r="C8" s="4" t="s">
        <v>21</v>
      </c>
      <c r="D8" s="4" t="s">
        <v>22</v>
      </c>
      <c r="E8" s="5">
        <v>5610</v>
      </c>
      <c r="F8" s="6">
        <v>133.391775</v>
      </c>
      <c r="G8" s="7">
        <v>7.7614138999999999E-2</v>
      </c>
      <c r="H8" s="51"/>
    </row>
    <row r="9" spans="1:14" ht="17.100000000000001" customHeight="1" x14ac:dyDescent="0.2">
      <c r="A9" s="3">
        <v>3</v>
      </c>
      <c r="B9" s="4" t="s">
        <v>296</v>
      </c>
      <c r="C9" s="4" t="s">
        <v>297</v>
      </c>
      <c r="D9" s="4" t="s">
        <v>223</v>
      </c>
      <c r="E9" s="5">
        <v>8300</v>
      </c>
      <c r="F9" s="6">
        <v>117.31635</v>
      </c>
      <c r="G9" s="7">
        <v>6.8260636999999999E-2</v>
      </c>
      <c r="H9" s="51"/>
    </row>
    <row r="10" spans="1:14" ht="17.100000000000001" customHeight="1" x14ac:dyDescent="0.2">
      <c r="A10" s="3">
        <v>4</v>
      </c>
      <c r="B10" s="4" t="s">
        <v>269</v>
      </c>
      <c r="C10" s="4" t="s">
        <v>270</v>
      </c>
      <c r="D10" s="4" t="s">
        <v>16</v>
      </c>
      <c r="E10" s="5">
        <v>7350</v>
      </c>
      <c r="F10" s="6">
        <v>104.46922499999999</v>
      </c>
      <c r="G10" s="7">
        <v>6.0785524E-2</v>
      </c>
      <c r="H10" s="51"/>
    </row>
    <row r="11" spans="1:14" ht="17.100000000000001" customHeight="1" x14ac:dyDescent="0.2">
      <c r="A11" s="3">
        <v>5</v>
      </c>
      <c r="B11" s="4" t="s">
        <v>41</v>
      </c>
      <c r="C11" s="4" t="s">
        <v>42</v>
      </c>
      <c r="D11" s="4" t="s">
        <v>16</v>
      </c>
      <c r="E11" s="5">
        <v>17595</v>
      </c>
      <c r="F11" s="6">
        <v>93.359070000000003</v>
      </c>
      <c r="G11" s="7">
        <v>5.4321069E-2</v>
      </c>
      <c r="H11" s="51"/>
    </row>
    <row r="12" spans="1:14" ht="29.1" customHeight="1" x14ac:dyDescent="0.2">
      <c r="A12" s="3">
        <v>6</v>
      </c>
      <c r="B12" s="4" t="s">
        <v>298</v>
      </c>
      <c r="C12" s="4" t="s">
        <v>299</v>
      </c>
      <c r="D12" s="4" t="s">
        <v>97</v>
      </c>
      <c r="E12" s="5">
        <v>3376</v>
      </c>
      <c r="F12" s="6">
        <v>77.234440000000006</v>
      </c>
      <c r="G12" s="7">
        <v>4.4938936999999998E-2</v>
      </c>
      <c r="H12" s="51"/>
    </row>
    <row r="13" spans="1:14" ht="17.100000000000001" customHeight="1" x14ac:dyDescent="0.2">
      <c r="A13" s="3">
        <v>7</v>
      </c>
      <c r="B13" s="4" t="s">
        <v>11</v>
      </c>
      <c r="C13" s="4" t="s">
        <v>12</v>
      </c>
      <c r="D13" s="4" t="s">
        <v>13</v>
      </c>
      <c r="E13" s="5">
        <v>3340</v>
      </c>
      <c r="F13" s="6">
        <v>61.713180000000001</v>
      </c>
      <c r="G13" s="7">
        <v>3.5907875999999998E-2</v>
      </c>
      <c r="H13" s="51"/>
      <c r="J13" s="157" t="s">
        <v>1094</v>
      </c>
    </row>
    <row r="14" spans="1:14" ht="17.100000000000001" customHeight="1" x14ac:dyDescent="0.2">
      <c r="A14" s="3">
        <v>8</v>
      </c>
      <c r="B14" s="4" t="s">
        <v>195</v>
      </c>
      <c r="C14" s="4" t="s">
        <v>196</v>
      </c>
      <c r="D14" s="4" t="s">
        <v>16</v>
      </c>
      <c r="E14" s="5">
        <v>8341</v>
      </c>
      <c r="F14" s="6">
        <v>61.156211999999996</v>
      </c>
      <c r="G14" s="7">
        <v>3.5583803999999997E-2</v>
      </c>
      <c r="H14" s="51"/>
    </row>
    <row r="15" spans="1:14" ht="29.1" customHeight="1" x14ac:dyDescent="0.2">
      <c r="A15" s="3">
        <v>9</v>
      </c>
      <c r="B15" s="4" t="s">
        <v>182</v>
      </c>
      <c r="C15" s="4" t="s">
        <v>183</v>
      </c>
      <c r="D15" s="4" t="s">
        <v>184</v>
      </c>
      <c r="E15" s="5">
        <v>1204</v>
      </c>
      <c r="F15" s="6">
        <v>54.069834</v>
      </c>
      <c r="G15" s="7">
        <v>3.1460587999999998E-2</v>
      </c>
      <c r="H15" s="51"/>
    </row>
    <row r="16" spans="1:14" ht="17.100000000000001" customHeight="1" x14ac:dyDescent="0.2">
      <c r="A16" s="3">
        <v>10</v>
      </c>
      <c r="B16" s="4" t="s">
        <v>17</v>
      </c>
      <c r="C16" s="4" t="s">
        <v>18</v>
      </c>
      <c r="D16" s="4" t="s">
        <v>19</v>
      </c>
      <c r="E16" s="5">
        <v>6757</v>
      </c>
      <c r="F16" s="6">
        <v>54.049242999999997</v>
      </c>
      <c r="G16" s="7">
        <v>3.1448607000000003E-2</v>
      </c>
      <c r="H16" s="51"/>
    </row>
    <row r="17" spans="1:8" ht="29.1" customHeight="1" x14ac:dyDescent="0.2">
      <c r="A17" s="3">
        <v>11</v>
      </c>
      <c r="B17" s="4" t="s">
        <v>23</v>
      </c>
      <c r="C17" s="4" t="s">
        <v>24</v>
      </c>
      <c r="D17" s="4" t="s">
        <v>25</v>
      </c>
      <c r="E17" s="5">
        <v>746</v>
      </c>
      <c r="F17" s="6">
        <v>46.663046000000001</v>
      </c>
      <c r="G17" s="7">
        <v>2.7150939999999998E-2</v>
      </c>
      <c r="H17" s="51"/>
    </row>
    <row r="18" spans="1:8" ht="17.100000000000001" customHeight="1" x14ac:dyDescent="0.2">
      <c r="A18" s="3">
        <v>12</v>
      </c>
      <c r="B18" s="4" t="s">
        <v>321</v>
      </c>
      <c r="C18" s="4" t="s">
        <v>322</v>
      </c>
      <c r="D18" s="4" t="s">
        <v>310</v>
      </c>
      <c r="E18" s="5">
        <v>12606</v>
      </c>
      <c r="F18" s="6">
        <v>41.877132000000003</v>
      </c>
      <c r="G18" s="7">
        <v>2.4366252000000001E-2</v>
      </c>
      <c r="H18" s="51"/>
    </row>
    <row r="19" spans="1:8" ht="17.100000000000001" customHeight="1" x14ac:dyDescent="0.2">
      <c r="A19" s="3">
        <v>13</v>
      </c>
      <c r="B19" s="4" t="s">
        <v>300</v>
      </c>
      <c r="C19" s="4" t="s">
        <v>301</v>
      </c>
      <c r="D19" s="4" t="s">
        <v>235</v>
      </c>
      <c r="E19" s="5">
        <v>3200</v>
      </c>
      <c r="F19" s="6">
        <v>40.014400000000002</v>
      </c>
      <c r="G19" s="7">
        <v>2.3282418999999999E-2</v>
      </c>
      <c r="H19" s="51"/>
    </row>
    <row r="20" spans="1:8" ht="17.100000000000001" customHeight="1" x14ac:dyDescent="0.2">
      <c r="A20" s="3">
        <v>14</v>
      </c>
      <c r="B20" s="4" t="s">
        <v>70</v>
      </c>
      <c r="C20" s="4" t="s">
        <v>71</v>
      </c>
      <c r="D20" s="4" t="s">
        <v>72</v>
      </c>
      <c r="E20" s="5">
        <v>1240</v>
      </c>
      <c r="F20" s="6">
        <v>39.83314</v>
      </c>
      <c r="G20" s="7">
        <v>2.3176953E-2</v>
      </c>
      <c r="H20" s="51"/>
    </row>
    <row r="21" spans="1:8" ht="29.1" customHeight="1" x14ac:dyDescent="0.2">
      <c r="A21" s="3">
        <v>15</v>
      </c>
      <c r="B21" s="4" t="s">
        <v>226</v>
      </c>
      <c r="C21" s="4" t="s">
        <v>227</v>
      </c>
      <c r="D21" s="4" t="s">
        <v>213</v>
      </c>
      <c r="E21" s="5">
        <v>4000</v>
      </c>
      <c r="F21" s="6">
        <v>39.768000000000001</v>
      </c>
      <c r="G21" s="7">
        <v>2.3139051000000001E-2</v>
      </c>
      <c r="H21" s="51"/>
    </row>
    <row r="22" spans="1:8" ht="17.100000000000001" customHeight="1" x14ac:dyDescent="0.2">
      <c r="A22" s="3">
        <v>16</v>
      </c>
      <c r="B22" s="4" t="s">
        <v>387</v>
      </c>
      <c r="C22" s="4" t="s">
        <v>388</v>
      </c>
      <c r="D22" s="4" t="s">
        <v>208</v>
      </c>
      <c r="E22" s="5">
        <v>13359</v>
      </c>
      <c r="F22" s="6">
        <v>38.220098999999998</v>
      </c>
      <c r="G22" s="7">
        <v>2.2238403E-2</v>
      </c>
      <c r="H22" s="51"/>
    </row>
    <row r="23" spans="1:8" ht="17.100000000000001" customHeight="1" x14ac:dyDescent="0.2">
      <c r="A23" s="3">
        <v>17</v>
      </c>
      <c r="B23" s="4" t="s">
        <v>374</v>
      </c>
      <c r="C23" s="4" t="s">
        <v>375</v>
      </c>
      <c r="D23" s="4" t="s">
        <v>104</v>
      </c>
      <c r="E23" s="5">
        <v>1421</v>
      </c>
      <c r="F23" s="6">
        <v>37.044759499999998</v>
      </c>
      <c r="G23" s="7">
        <v>2.1554530999999998E-2</v>
      </c>
      <c r="H23" s="51"/>
    </row>
    <row r="24" spans="1:8" ht="17.100000000000001" customHeight="1" x14ac:dyDescent="0.2">
      <c r="A24" s="3">
        <v>18</v>
      </c>
      <c r="B24" s="4" t="s">
        <v>359</v>
      </c>
      <c r="C24" s="4" t="s">
        <v>360</v>
      </c>
      <c r="D24" s="4" t="s">
        <v>69</v>
      </c>
      <c r="E24" s="5">
        <v>9000</v>
      </c>
      <c r="F24" s="6">
        <v>36.414000000000001</v>
      </c>
      <c r="G24" s="7">
        <v>2.1187523E-2</v>
      </c>
      <c r="H24" s="51"/>
    </row>
    <row r="25" spans="1:8" ht="17.100000000000001" customHeight="1" x14ac:dyDescent="0.2">
      <c r="A25" s="3">
        <v>19</v>
      </c>
      <c r="B25" s="4" t="s">
        <v>199</v>
      </c>
      <c r="C25" s="4" t="s">
        <v>200</v>
      </c>
      <c r="D25" s="4" t="s">
        <v>16</v>
      </c>
      <c r="E25" s="5">
        <v>25574</v>
      </c>
      <c r="F25" s="6">
        <v>33.859976000000003</v>
      </c>
      <c r="G25" s="7">
        <v>1.9701461E-2</v>
      </c>
      <c r="H25" s="51"/>
    </row>
    <row r="26" spans="1:8" ht="17.100000000000001" customHeight="1" x14ac:dyDescent="0.2">
      <c r="A26" s="3">
        <v>20</v>
      </c>
      <c r="B26" s="4" t="s">
        <v>306</v>
      </c>
      <c r="C26" s="4" t="s">
        <v>307</v>
      </c>
      <c r="D26" s="4" t="s">
        <v>223</v>
      </c>
      <c r="E26" s="5">
        <v>960</v>
      </c>
      <c r="F26" s="6">
        <v>28.843679999999999</v>
      </c>
      <c r="G26" s="7">
        <v>1.6782723999999999E-2</v>
      </c>
      <c r="H26" s="51"/>
    </row>
    <row r="27" spans="1:8" ht="17.100000000000001" customHeight="1" x14ac:dyDescent="0.2">
      <c r="A27" s="3">
        <v>21</v>
      </c>
      <c r="B27" s="4" t="s">
        <v>336</v>
      </c>
      <c r="C27" s="4" t="s">
        <v>337</v>
      </c>
      <c r="D27" s="4" t="s">
        <v>16</v>
      </c>
      <c r="E27" s="5">
        <v>1570</v>
      </c>
      <c r="F27" s="6">
        <v>28.561440000000001</v>
      </c>
      <c r="G27" s="7">
        <v>1.6618503E-2</v>
      </c>
      <c r="H27" s="51"/>
    </row>
    <row r="28" spans="1:8" ht="17.100000000000001" customHeight="1" x14ac:dyDescent="0.2">
      <c r="A28" s="3">
        <v>22</v>
      </c>
      <c r="B28" s="4" t="s">
        <v>323</v>
      </c>
      <c r="C28" s="4" t="s">
        <v>324</v>
      </c>
      <c r="D28" s="4" t="s">
        <v>223</v>
      </c>
      <c r="E28" s="5">
        <v>3000</v>
      </c>
      <c r="F28" s="6">
        <v>27.970500000000001</v>
      </c>
      <c r="G28" s="7">
        <v>1.6274664000000001E-2</v>
      </c>
      <c r="H28" s="51"/>
    </row>
    <row r="29" spans="1:8" ht="17.100000000000001" customHeight="1" x14ac:dyDescent="0.2">
      <c r="A29" s="3">
        <v>23</v>
      </c>
      <c r="B29" s="4" t="s">
        <v>230</v>
      </c>
      <c r="C29" s="4" t="s">
        <v>231</v>
      </c>
      <c r="D29" s="4" t="s">
        <v>232</v>
      </c>
      <c r="E29" s="5">
        <v>6000</v>
      </c>
      <c r="F29" s="6">
        <v>25.716000000000001</v>
      </c>
      <c r="G29" s="7">
        <v>1.4962881000000001E-2</v>
      </c>
      <c r="H29" s="51"/>
    </row>
    <row r="30" spans="1:8" ht="29.1" customHeight="1" x14ac:dyDescent="0.2">
      <c r="A30" s="3">
        <v>24</v>
      </c>
      <c r="B30" s="4" t="s">
        <v>304</v>
      </c>
      <c r="C30" s="4" t="s">
        <v>305</v>
      </c>
      <c r="D30" s="4" t="s">
        <v>203</v>
      </c>
      <c r="E30" s="5">
        <v>2650</v>
      </c>
      <c r="F30" s="6">
        <v>25.139225</v>
      </c>
      <c r="G30" s="7">
        <v>1.4627283E-2</v>
      </c>
      <c r="H30" s="51"/>
    </row>
    <row r="31" spans="1:8" ht="17.100000000000001" customHeight="1" x14ac:dyDescent="0.2">
      <c r="A31" s="3">
        <v>25</v>
      </c>
      <c r="B31" s="4" t="s">
        <v>486</v>
      </c>
      <c r="C31" s="4" t="s">
        <v>487</v>
      </c>
      <c r="D31" s="4" t="s">
        <v>189</v>
      </c>
      <c r="E31" s="5">
        <v>7000</v>
      </c>
      <c r="F31" s="6">
        <v>24.437000000000001</v>
      </c>
      <c r="G31" s="7">
        <v>1.4218692999999999E-2</v>
      </c>
      <c r="H31" s="51"/>
    </row>
    <row r="32" spans="1:8" ht="17.100000000000001" customHeight="1" x14ac:dyDescent="0.2">
      <c r="A32" s="3">
        <v>26</v>
      </c>
      <c r="B32" s="4" t="s">
        <v>174</v>
      </c>
      <c r="C32" s="4" t="s">
        <v>175</v>
      </c>
      <c r="D32" s="4" t="s">
        <v>22</v>
      </c>
      <c r="E32" s="5">
        <v>10787</v>
      </c>
      <c r="F32" s="6">
        <v>23.332280999999998</v>
      </c>
      <c r="G32" s="7">
        <v>1.3575911E-2</v>
      </c>
      <c r="H32" s="51"/>
    </row>
    <row r="33" spans="1:8" ht="29.1" customHeight="1" x14ac:dyDescent="0.2">
      <c r="A33" s="3">
        <v>27</v>
      </c>
      <c r="B33" s="4" t="s">
        <v>316</v>
      </c>
      <c r="C33" s="4" t="s">
        <v>317</v>
      </c>
      <c r="D33" s="4" t="s">
        <v>318</v>
      </c>
      <c r="E33" s="5">
        <v>3500</v>
      </c>
      <c r="F33" s="6">
        <v>22.583749999999998</v>
      </c>
      <c r="G33" s="7">
        <v>1.3140377999999999E-2</v>
      </c>
      <c r="H33" s="51"/>
    </row>
    <row r="34" spans="1:8" ht="17.100000000000001" customHeight="1" x14ac:dyDescent="0.2">
      <c r="A34" s="3">
        <v>28</v>
      </c>
      <c r="B34" s="4" t="s">
        <v>308</v>
      </c>
      <c r="C34" s="4" t="s">
        <v>309</v>
      </c>
      <c r="D34" s="4" t="s">
        <v>310</v>
      </c>
      <c r="E34" s="5">
        <v>788</v>
      </c>
      <c r="F34" s="6">
        <v>21.248025999999999</v>
      </c>
      <c r="G34" s="7">
        <v>1.2363185E-2</v>
      </c>
      <c r="H34" s="51"/>
    </row>
    <row r="35" spans="1:8" ht="29.1" customHeight="1" x14ac:dyDescent="0.2">
      <c r="A35" s="3">
        <v>29</v>
      </c>
      <c r="B35" s="4" t="s">
        <v>488</v>
      </c>
      <c r="C35" s="4" t="s">
        <v>489</v>
      </c>
      <c r="D35" s="4" t="s">
        <v>203</v>
      </c>
      <c r="E35" s="5">
        <v>1814</v>
      </c>
      <c r="F35" s="6">
        <v>20.225193000000001</v>
      </c>
      <c r="G35" s="7">
        <v>1.1768048999999999E-2</v>
      </c>
      <c r="H35" s="51"/>
    </row>
    <row r="36" spans="1:8" ht="17.100000000000001" customHeight="1" x14ac:dyDescent="0.2">
      <c r="A36" s="3">
        <v>30</v>
      </c>
      <c r="B36" s="4" t="s">
        <v>338</v>
      </c>
      <c r="C36" s="4" t="s">
        <v>339</v>
      </c>
      <c r="D36" s="4" t="s">
        <v>16</v>
      </c>
      <c r="E36" s="5">
        <v>1556</v>
      </c>
      <c r="F36" s="6">
        <v>18.441711999999999</v>
      </c>
      <c r="G36" s="7">
        <v>1.0730329E-2</v>
      </c>
      <c r="H36" s="51"/>
    </row>
    <row r="37" spans="1:8" ht="29.1" customHeight="1" x14ac:dyDescent="0.2">
      <c r="A37" s="3">
        <v>31</v>
      </c>
      <c r="B37" s="4" t="s">
        <v>365</v>
      </c>
      <c r="C37" s="4" t="s">
        <v>366</v>
      </c>
      <c r="D37" s="4" t="s">
        <v>367</v>
      </c>
      <c r="E37" s="5">
        <v>2272</v>
      </c>
      <c r="F37" s="6">
        <v>18.240752000000001</v>
      </c>
      <c r="G37" s="7">
        <v>1.06134E-2</v>
      </c>
      <c r="H37" s="51"/>
    </row>
    <row r="38" spans="1:8" ht="17.100000000000001" customHeight="1" x14ac:dyDescent="0.2">
      <c r="A38" s="3">
        <v>32</v>
      </c>
      <c r="B38" s="4" t="s">
        <v>100</v>
      </c>
      <c r="C38" s="4" t="s">
        <v>101</v>
      </c>
      <c r="D38" s="4" t="s">
        <v>22</v>
      </c>
      <c r="E38" s="5">
        <v>5912</v>
      </c>
      <c r="F38" s="6">
        <v>18.019776</v>
      </c>
      <c r="G38" s="7">
        <v>1.0484825E-2</v>
      </c>
      <c r="H38" s="51"/>
    </row>
    <row r="39" spans="1:8" ht="29.1" customHeight="1" x14ac:dyDescent="0.2">
      <c r="A39" s="3">
        <v>33</v>
      </c>
      <c r="B39" s="4" t="s">
        <v>490</v>
      </c>
      <c r="C39" s="4" t="s">
        <v>491</v>
      </c>
      <c r="D39" s="4" t="s">
        <v>25</v>
      </c>
      <c r="E39" s="5">
        <v>1871</v>
      </c>
      <c r="F39" s="6">
        <v>17.8727275</v>
      </c>
      <c r="G39" s="7">
        <v>1.0399265E-2</v>
      </c>
      <c r="H39" s="51"/>
    </row>
    <row r="40" spans="1:8" ht="17.100000000000001" customHeight="1" x14ac:dyDescent="0.2">
      <c r="A40" s="3">
        <v>34</v>
      </c>
      <c r="B40" s="4" t="s">
        <v>49</v>
      </c>
      <c r="C40" s="4" t="s">
        <v>50</v>
      </c>
      <c r="D40" s="4" t="s">
        <v>51</v>
      </c>
      <c r="E40" s="5">
        <v>2464</v>
      </c>
      <c r="F40" s="6">
        <v>17.535056000000001</v>
      </c>
      <c r="G40" s="7">
        <v>1.020279E-2</v>
      </c>
      <c r="H40" s="51"/>
    </row>
    <row r="41" spans="1:8" ht="17.100000000000001" customHeight="1" x14ac:dyDescent="0.2">
      <c r="A41" s="3">
        <v>35</v>
      </c>
      <c r="B41" s="4" t="s">
        <v>325</v>
      </c>
      <c r="C41" s="4" t="s">
        <v>326</v>
      </c>
      <c r="D41" s="4" t="s">
        <v>223</v>
      </c>
      <c r="E41" s="5">
        <v>2582</v>
      </c>
      <c r="F41" s="6">
        <v>10.179535</v>
      </c>
      <c r="G41" s="7">
        <v>5.9229729999999998E-3</v>
      </c>
      <c r="H41" s="51"/>
    </row>
    <row r="42" spans="1:8" ht="29.1" customHeight="1" x14ac:dyDescent="0.2">
      <c r="A42" s="3">
        <v>36</v>
      </c>
      <c r="B42" s="4" t="s">
        <v>236</v>
      </c>
      <c r="C42" s="4" t="s">
        <v>237</v>
      </c>
      <c r="D42" s="4" t="s">
        <v>203</v>
      </c>
      <c r="E42" s="5">
        <v>462</v>
      </c>
      <c r="F42" s="6">
        <v>9.6689670000000003</v>
      </c>
      <c r="G42" s="7">
        <v>5.6258979999999998E-3</v>
      </c>
      <c r="H42" s="51"/>
    </row>
    <row r="43" spans="1:8" ht="17.100000000000001" customHeight="1" x14ac:dyDescent="0.2">
      <c r="A43" s="3">
        <v>37</v>
      </c>
      <c r="B43" s="4" t="s">
        <v>115</v>
      </c>
      <c r="C43" s="4" t="s">
        <v>116</v>
      </c>
      <c r="D43" s="4" t="s">
        <v>117</v>
      </c>
      <c r="E43" s="5">
        <v>2289</v>
      </c>
      <c r="F43" s="6">
        <v>8.9396895000000001</v>
      </c>
      <c r="G43" s="7">
        <v>5.2015669999999998E-3</v>
      </c>
      <c r="H43" s="51"/>
    </row>
    <row r="44" spans="1:8" ht="17.100000000000001" customHeight="1" x14ac:dyDescent="0.2">
      <c r="A44" s="3">
        <v>38</v>
      </c>
      <c r="B44" s="4" t="s">
        <v>344</v>
      </c>
      <c r="C44" s="38" t="s">
        <v>969</v>
      </c>
      <c r="D44" s="4" t="s">
        <v>19</v>
      </c>
      <c r="E44" s="5">
        <v>482</v>
      </c>
      <c r="F44" s="6">
        <v>1.937881</v>
      </c>
      <c r="G44" s="7">
        <v>1.1275580000000001E-3</v>
      </c>
      <c r="H44" s="51"/>
    </row>
    <row r="45" spans="1:8" ht="14.1" customHeight="1" x14ac:dyDescent="0.2">
      <c r="A45" s="1"/>
      <c r="B45" s="1"/>
      <c r="C45" s="2" t="s">
        <v>129</v>
      </c>
      <c r="D45" s="1"/>
      <c r="E45" s="1" t="s">
        <v>130</v>
      </c>
      <c r="F45" s="9">
        <v>1646.6440324999994</v>
      </c>
      <c r="G45" s="10">
        <v>0.95810149499999997</v>
      </c>
      <c r="H45" s="51"/>
    </row>
    <row r="46" spans="1:8" ht="14.1" customHeight="1" x14ac:dyDescent="0.2">
      <c r="A46" s="1"/>
      <c r="B46" s="1"/>
      <c r="C46" s="11"/>
      <c r="D46" s="1"/>
      <c r="E46" s="1"/>
      <c r="F46" s="12"/>
      <c r="G46" s="12"/>
      <c r="H46" s="51"/>
    </row>
    <row r="47" spans="1:8" ht="14.1" customHeight="1" x14ac:dyDescent="0.2">
      <c r="A47" s="1"/>
      <c r="B47" s="1"/>
      <c r="C47" s="2" t="s">
        <v>131</v>
      </c>
      <c r="D47" s="1"/>
      <c r="E47" s="1"/>
      <c r="F47" s="1"/>
      <c r="G47" s="1"/>
      <c r="H47" s="51"/>
    </row>
    <row r="48" spans="1:8" ht="14.1" customHeight="1" x14ac:dyDescent="0.2">
      <c r="A48" s="1"/>
      <c r="B48" s="1"/>
      <c r="C48" s="2" t="s">
        <v>129</v>
      </c>
      <c r="D48" s="1"/>
      <c r="E48" s="1" t="s">
        <v>130</v>
      </c>
      <c r="F48" s="13">
        <v>0</v>
      </c>
      <c r="G48" s="14">
        <v>0</v>
      </c>
      <c r="H48" s="51"/>
    </row>
    <row r="49" spans="1:8" ht="14.1" customHeight="1" x14ac:dyDescent="0.2">
      <c r="A49" s="1"/>
      <c r="B49" s="1"/>
      <c r="C49" s="11"/>
      <c r="D49" s="1"/>
      <c r="E49" s="1"/>
      <c r="F49" s="12"/>
      <c r="G49" s="12"/>
      <c r="H49" s="51"/>
    </row>
    <row r="50" spans="1:8" ht="14.1" customHeight="1" x14ac:dyDescent="0.2">
      <c r="A50" s="1"/>
      <c r="B50" s="1"/>
      <c r="C50" s="2" t="s">
        <v>132</v>
      </c>
      <c r="D50" s="1"/>
      <c r="E50" s="1"/>
      <c r="F50" s="1"/>
      <c r="G50" s="1"/>
      <c r="H50" s="51"/>
    </row>
    <row r="51" spans="1:8" ht="14.1" customHeight="1" x14ac:dyDescent="0.2">
      <c r="A51" s="1"/>
      <c r="B51" s="1"/>
      <c r="C51" s="2" t="s">
        <v>129</v>
      </c>
      <c r="D51" s="1"/>
      <c r="E51" s="1" t="s">
        <v>130</v>
      </c>
      <c r="F51" s="13">
        <v>0</v>
      </c>
      <c r="G51" s="14">
        <v>0</v>
      </c>
      <c r="H51" s="51"/>
    </row>
    <row r="52" spans="1:8" ht="14.1" customHeight="1" x14ac:dyDescent="0.2">
      <c r="A52" s="1"/>
      <c r="B52" s="1"/>
      <c r="C52" s="11"/>
      <c r="D52" s="1"/>
      <c r="E52" s="1"/>
      <c r="F52" s="12"/>
      <c r="G52" s="12"/>
      <c r="H52" s="51"/>
    </row>
    <row r="53" spans="1:8" ht="14.1" customHeight="1" x14ac:dyDescent="0.2">
      <c r="A53" s="1"/>
      <c r="B53" s="1"/>
      <c r="C53" s="2" t="s">
        <v>133</v>
      </c>
      <c r="D53" s="1"/>
      <c r="E53" s="1"/>
      <c r="F53" s="1"/>
      <c r="G53" s="1"/>
      <c r="H53" s="51"/>
    </row>
    <row r="54" spans="1:8" ht="14.1" customHeight="1" x14ac:dyDescent="0.2">
      <c r="A54" s="1"/>
      <c r="B54" s="1"/>
      <c r="C54" s="2" t="s">
        <v>129</v>
      </c>
      <c r="D54" s="1"/>
      <c r="E54" s="1" t="s">
        <v>130</v>
      </c>
      <c r="F54" s="9">
        <v>0</v>
      </c>
      <c r="G54" s="10">
        <v>0</v>
      </c>
      <c r="H54" s="51"/>
    </row>
    <row r="55" spans="1:8" ht="14.1" customHeight="1" x14ac:dyDescent="0.2">
      <c r="A55" s="1"/>
      <c r="B55" s="1"/>
      <c r="C55" s="11"/>
      <c r="D55" s="1"/>
      <c r="E55" s="1"/>
      <c r="F55" s="12"/>
      <c r="G55" s="12"/>
      <c r="H55" s="51"/>
    </row>
    <row r="56" spans="1:8" ht="14.1" customHeight="1" x14ac:dyDescent="0.2">
      <c r="A56" s="1"/>
      <c r="B56" s="1"/>
      <c r="C56" s="2" t="s">
        <v>134</v>
      </c>
      <c r="D56" s="1"/>
      <c r="E56" s="1"/>
      <c r="F56" s="12"/>
      <c r="G56" s="12"/>
      <c r="H56" s="51"/>
    </row>
    <row r="57" spans="1:8" ht="14.1" customHeight="1" x14ac:dyDescent="0.2">
      <c r="A57" s="1"/>
      <c r="B57" s="1"/>
      <c r="C57" s="2" t="s">
        <v>129</v>
      </c>
      <c r="D57" s="1"/>
      <c r="E57" s="1" t="s">
        <v>130</v>
      </c>
      <c r="F57" s="13">
        <v>0</v>
      </c>
      <c r="G57" s="14">
        <v>0</v>
      </c>
      <c r="H57" s="51"/>
    </row>
    <row r="58" spans="1:8" ht="14.1" customHeight="1" x14ac:dyDescent="0.2">
      <c r="A58" s="1"/>
      <c r="B58" s="1"/>
      <c r="C58" s="11"/>
      <c r="D58" s="1"/>
      <c r="E58" s="1"/>
      <c r="F58" s="12"/>
      <c r="G58" s="12"/>
      <c r="H58" s="51"/>
    </row>
    <row r="59" spans="1:8" ht="14.1" customHeight="1" x14ac:dyDescent="0.2">
      <c r="A59" s="1"/>
      <c r="B59" s="1"/>
      <c r="C59" s="2" t="s">
        <v>135</v>
      </c>
      <c r="D59" s="1"/>
      <c r="E59" s="1"/>
      <c r="F59" s="12"/>
      <c r="G59" s="12"/>
      <c r="H59" s="51"/>
    </row>
    <row r="60" spans="1:8" ht="14.1" customHeight="1" x14ac:dyDescent="0.2">
      <c r="A60" s="1"/>
      <c r="B60" s="1"/>
      <c r="C60" s="2" t="s">
        <v>129</v>
      </c>
      <c r="D60" s="1"/>
      <c r="E60" s="1" t="s">
        <v>130</v>
      </c>
      <c r="F60" s="13">
        <v>0</v>
      </c>
      <c r="G60" s="14">
        <v>0</v>
      </c>
      <c r="H60" s="51"/>
    </row>
    <row r="61" spans="1:8" ht="14.1" customHeight="1" x14ac:dyDescent="0.2">
      <c r="A61" s="1"/>
      <c r="B61" s="1"/>
      <c r="C61" s="11"/>
      <c r="D61" s="1"/>
      <c r="E61" s="1"/>
      <c r="F61" s="12"/>
      <c r="G61" s="12"/>
      <c r="H61" s="51"/>
    </row>
    <row r="62" spans="1:8" ht="18" customHeight="1" x14ac:dyDescent="0.2">
      <c r="A62" s="1"/>
      <c r="B62" s="1"/>
      <c r="C62" s="2" t="s">
        <v>136</v>
      </c>
      <c r="D62" s="1"/>
      <c r="E62" s="1"/>
      <c r="F62" s="9">
        <v>1646.6440325000001</v>
      </c>
      <c r="G62" s="10">
        <v>0.95810149499999997</v>
      </c>
      <c r="H62" s="51"/>
    </row>
    <row r="63" spans="1:8" ht="14.1" customHeight="1" x14ac:dyDescent="0.2">
      <c r="A63" s="1"/>
      <c r="B63" s="1"/>
      <c r="C63" s="11"/>
      <c r="D63" s="1"/>
      <c r="E63" s="1"/>
      <c r="F63" s="12"/>
      <c r="G63" s="12"/>
      <c r="H63" s="51"/>
    </row>
    <row r="64" spans="1:8" ht="14.1" customHeight="1" x14ac:dyDescent="0.2">
      <c r="A64" s="1"/>
      <c r="B64" s="1"/>
      <c r="C64" s="2" t="s">
        <v>137</v>
      </c>
      <c r="D64" s="1"/>
      <c r="E64" s="1"/>
      <c r="F64" s="12"/>
      <c r="G64" s="12"/>
      <c r="H64" s="51"/>
    </row>
    <row r="65" spans="1:8" ht="24" customHeight="1" x14ac:dyDescent="0.2">
      <c r="A65" s="1"/>
      <c r="B65" s="1"/>
      <c r="C65" s="2" t="s">
        <v>10</v>
      </c>
      <c r="D65" s="1"/>
      <c r="E65" s="1"/>
      <c r="F65" s="12"/>
      <c r="G65" s="12"/>
      <c r="H65" s="51"/>
    </row>
    <row r="66" spans="1:8" ht="14.1" customHeight="1" x14ac:dyDescent="0.2">
      <c r="A66" s="1"/>
      <c r="B66" s="1"/>
      <c r="C66" s="2" t="s">
        <v>129</v>
      </c>
      <c r="D66" s="1"/>
      <c r="E66" s="1" t="s">
        <v>130</v>
      </c>
      <c r="F66" s="13">
        <v>0</v>
      </c>
      <c r="G66" s="14">
        <v>0</v>
      </c>
      <c r="H66" s="51"/>
    </row>
    <row r="67" spans="1:8" ht="14.1" customHeight="1" x14ac:dyDescent="0.2">
      <c r="A67" s="1"/>
      <c r="B67" s="1"/>
      <c r="C67" s="11"/>
      <c r="D67" s="1"/>
      <c r="E67" s="1"/>
      <c r="F67" s="12"/>
      <c r="G67" s="12"/>
      <c r="H67" s="51"/>
    </row>
    <row r="68" spans="1:8" ht="14.1" customHeight="1" x14ac:dyDescent="0.2">
      <c r="A68" s="1"/>
      <c r="B68" s="1"/>
      <c r="C68" s="2" t="s">
        <v>138</v>
      </c>
      <c r="D68" s="1"/>
      <c r="E68" s="1"/>
      <c r="F68" s="1"/>
      <c r="G68" s="1"/>
      <c r="H68" s="51"/>
    </row>
    <row r="69" spans="1:8" ht="14.1" customHeight="1" x14ac:dyDescent="0.2">
      <c r="A69" s="1"/>
      <c r="B69" s="1"/>
      <c r="C69" s="2" t="s">
        <v>129</v>
      </c>
      <c r="D69" s="1"/>
      <c r="E69" s="1" t="s">
        <v>130</v>
      </c>
      <c r="F69" s="13">
        <v>0</v>
      </c>
      <c r="G69" s="14">
        <v>0</v>
      </c>
      <c r="H69" s="51"/>
    </row>
    <row r="70" spans="1:8" ht="14.1" customHeight="1" x14ac:dyDescent="0.2">
      <c r="A70" s="1"/>
      <c r="B70" s="1"/>
      <c r="C70" s="11"/>
      <c r="D70" s="1"/>
      <c r="E70" s="1"/>
      <c r="F70" s="12"/>
      <c r="G70" s="12"/>
      <c r="H70" s="51"/>
    </row>
    <row r="71" spans="1:8" ht="14.1" customHeight="1" x14ac:dyDescent="0.2">
      <c r="A71" s="1"/>
      <c r="B71" s="1"/>
      <c r="C71" s="2" t="s">
        <v>139</v>
      </c>
      <c r="D71" s="1"/>
      <c r="E71" s="1"/>
      <c r="F71" s="1"/>
      <c r="G71" s="1"/>
      <c r="H71" s="51"/>
    </row>
    <row r="72" spans="1:8" ht="14.1" customHeight="1" x14ac:dyDescent="0.2">
      <c r="A72" s="1"/>
      <c r="B72" s="1"/>
      <c r="C72" s="2" t="s">
        <v>129</v>
      </c>
      <c r="D72" s="1"/>
      <c r="E72" s="1" t="s">
        <v>130</v>
      </c>
      <c r="F72" s="13">
        <v>0</v>
      </c>
      <c r="G72" s="14">
        <v>0</v>
      </c>
      <c r="H72" s="51"/>
    </row>
    <row r="73" spans="1:8" ht="14.1" customHeight="1" x14ac:dyDescent="0.2">
      <c r="A73" s="1"/>
      <c r="B73" s="1"/>
      <c r="C73" s="11"/>
      <c r="D73" s="1"/>
      <c r="E73" s="1"/>
      <c r="F73" s="12"/>
      <c r="G73" s="12"/>
      <c r="H73" s="51"/>
    </row>
    <row r="74" spans="1:8" ht="14.1" customHeight="1" x14ac:dyDescent="0.2">
      <c r="A74" s="1"/>
      <c r="B74" s="1"/>
      <c r="C74" s="2" t="s">
        <v>140</v>
      </c>
      <c r="D74" s="1"/>
      <c r="E74" s="1"/>
      <c r="F74" s="12"/>
      <c r="G74" s="12"/>
      <c r="H74" s="51"/>
    </row>
    <row r="75" spans="1:8" ht="14.1" customHeight="1" x14ac:dyDescent="0.2">
      <c r="A75" s="1"/>
      <c r="B75" s="1"/>
      <c r="C75" s="2" t="s">
        <v>129</v>
      </c>
      <c r="D75" s="1"/>
      <c r="E75" s="1" t="s">
        <v>130</v>
      </c>
      <c r="F75" s="13">
        <v>0</v>
      </c>
      <c r="G75" s="14">
        <v>0</v>
      </c>
      <c r="H75" s="51"/>
    </row>
    <row r="76" spans="1:8" ht="14.1" customHeight="1" x14ac:dyDescent="0.2">
      <c r="A76" s="1"/>
      <c r="B76" s="1"/>
      <c r="C76" s="11"/>
      <c r="D76" s="1"/>
      <c r="E76" s="1"/>
      <c r="F76" s="12"/>
      <c r="G76" s="12"/>
      <c r="H76" s="51"/>
    </row>
    <row r="77" spans="1:8" ht="14.1" customHeight="1" x14ac:dyDescent="0.2">
      <c r="A77" s="1"/>
      <c r="B77" s="1"/>
      <c r="C77" s="2" t="s">
        <v>141</v>
      </c>
      <c r="D77" s="1"/>
      <c r="E77" s="1"/>
      <c r="F77" s="9">
        <v>0</v>
      </c>
      <c r="G77" s="10">
        <v>0</v>
      </c>
      <c r="H77" s="51"/>
    </row>
    <row r="78" spans="1:8" ht="14.1" customHeight="1" x14ac:dyDescent="0.2">
      <c r="A78" s="1"/>
      <c r="B78" s="1"/>
      <c r="C78" s="11"/>
      <c r="D78" s="1"/>
      <c r="E78" s="1"/>
      <c r="F78" s="12"/>
      <c r="G78" s="12"/>
      <c r="H78" s="51"/>
    </row>
    <row r="79" spans="1:8" ht="14.1" customHeight="1" x14ac:dyDescent="0.2">
      <c r="A79" s="1"/>
      <c r="B79" s="1"/>
      <c r="C79" s="2" t="s">
        <v>142</v>
      </c>
      <c r="D79" s="1"/>
      <c r="E79" s="1"/>
      <c r="F79" s="12"/>
      <c r="G79" s="12"/>
      <c r="H79" s="51"/>
    </row>
    <row r="80" spans="1:8" ht="14.1" customHeight="1" x14ac:dyDescent="0.2">
      <c r="A80" s="1"/>
      <c r="B80" s="1"/>
      <c r="C80" s="2" t="s">
        <v>143</v>
      </c>
      <c r="D80" s="1"/>
      <c r="E80" s="1"/>
      <c r="F80" s="12"/>
      <c r="G80" s="12"/>
      <c r="H80" s="51"/>
    </row>
    <row r="81" spans="1:8" ht="14.1" customHeight="1" x14ac:dyDescent="0.2">
      <c r="A81" s="1"/>
      <c r="B81" s="1"/>
      <c r="C81" s="2" t="s">
        <v>129</v>
      </c>
      <c r="D81" s="1"/>
      <c r="E81" s="1" t="s">
        <v>130</v>
      </c>
      <c r="F81" s="13">
        <v>0</v>
      </c>
      <c r="G81" s="14">
        <v>0</v>
      </c>
      <c r="H81" s="51"/>
    </row>
    <row r="82" spans="1:8" ht="14.1" customHeight="1" x14ac:dyDescent="0.2">
      <c r="A82" s="1"/>
      <c r="B82" s="1"/>
      <c r="C82" s="11"/>
      <c r="D82" s="1"/>
      <c r="E82" s="1"/>
      <c r="F82" s="12"/>
      <c r="G82" s="12"/>
      <c r="H82" s="51"/>
    </row>
    <row r="83" spans="1:8" ht="14.1" customHeight="1" x14ac:dyDescent="0.2">
      <c r="A83" s="1"/>
      <c r="B83" s="1"/>
      <c r="C83" s="2" t="s">
        <v>144</v>
      </c>
      <c r="D83" s="1"/>
      <c r="E83" s="1"/>
      <c r="F83" s="12"/>
      <c r="G83" s="12"/>
      <c r="H83" s="51"/>
    </row>
    <row r="84" spans="1:8" ht="14.1" customHeight="1" x14ac:dyDescent="0.2">
      <c r="A84" s="1"/>
      <c r="B84" s="1"/>
      <c r="C84" s="2" t="s">
        <v>129</v>
      </c>
      <c r="D84" s="1"/>
      <c r="E84" s="1" t="s">
        <v>130</v>
      </c>
      <c r="F84" s="13">
        <v>0</v>
      </c>
      <c r="G84" s="14">
        <v>0</v>
      </c>
      <c r="H84" s="51"/>
    </row>
    <row r="85" spans="1:8" ht="14.1" customHeight="1" x14ac:dyDescent="0.2">
      <c r="A85" s="1"/>
      <c r="B85" s="1"/>
      <c r="C85" s="11"/>
      <c r="D85" s="1"/>
      <c r="E85" s="1"/>
      <c r="F85" s="12"/>
      <c r="G85" s="12"/>
      <c r="H85" s="51"/>
    </row>
    <row r="86" spans="1:8" ht="14.1" customHeight="1" x14ac:dyDescent="0.2">
      <c r="A86" s="1"/>
      <c r="B86" s="1"/>
      <c r="C86" s="2" t="s">
        <v>145</v>
      </c>
      <c r="D86" s="1"/>
      <c r="E86" s="1"/>
      <c r="F86" s="12"/>
      <c r="G86" s="12"/>
      <c r="H86" s="51"/>
    </row>
    <row r="87" spans="1:8" ht="14.1" customHeight="1" x14ac:dyDescent="0.2">
      <c r="A87" s="1"/>
      <c r="B87" s="1"/>
      <c r="C87" s="2" t="s">
        <v>129</v>
      </c>
      <c r="D87" s="1"/>
      <c r="E87" s="1" t="s">
        <v>130</v>
      </c>
      <c r="F87" s="13">
        <v>0</v>
      </c>
      <c r="G87" s="14">
        <v>0</v>
      </c>
      <c r="H87" s="51"/>
    </row>
    <row r="88" spans="1:8" ht="14.1" customHeight="1" x14ac:dyDescent="0.2">
      <c r="A88" s="1"/>
      <c r="B88" s="1"/>
      <c r="C88" s="11"/>
      <c r="D88" s="1"/>
      <c r="E88" s="1"/>
      <c r="F88" s="12"/>
      <c r="G88" s="12"/>
      <c r="H88" s="51"/>
    </row>
    <row r="89" spans="1:8" ht="14.1" customHeight="1" x14ac:dyDescent="0.2">
      <c r="A89" s="1"/>
      <c r="B89" s="1"/>
      <c r="C89" s="2" t="s">
        <v>146</v>
      </c>
      <c r="D89" s="1"/>
      <c r="E89" s="1"/>
      <c r="F89" s="12"/>
      <c r="G89" s="12"/>
      <c r="H89" s="51"/>
    </row>
    <row r="90" spans="1:8" ht="17.100000000000001" customHeight="1" x14ac:dyDescent="0.2">
      <c r="A90" s="3">
        <v>1</v>
      </c>
      <c r="B90" s="4"/>
      <c r="C90" s="4" t="s">
        <v>147</v>
      </c>
      <c r="D90" s="4"/>
      <c r="E90" s="8"/>
      <c r="F90" s="6">
        <v>69.867929500000002</v>
      </c>
      <c r="G90" s="7">
        <v>4.0652725000000001E-2</v>
      </c>
      <c r="H90" s="51">
        <v>6.1245112103248278</v>
      </c>
    </row>
    <row r="91" spans="1:8" ht="14.1" customHeight="1" x14ac:dyDescent="0.2">
      <c r="A91" s="1"/>
      <c r="B91" s="1"/>
      <c r="C91" s="2" t="s">
        <v>129</v>
      </c>
      <c r="D91" s="1"/>
      <c r="E91" s="1" t="s">
        <v>130</v>
      </c>
      <c r="F91" s="9">
        <v>69.867929500000002</v>
      </c>
      <c r="G91" s="10">
        <v>4.0652725000000001E-2</v>
      </c>
      <c r="H91" s="51"/>
    </row>
    <row r="92" spans="1:8" ht="14.1" customHeight="1" x14ac:dyDescent="0.2">
      <c r="A92" s="1"/>
      <c r="B92" s="1"/>
      <c r="C92" s="11"/>
      <c r="D92" s="1"/>
      <c r="E92" s="1"/>
      <c r="F92" s="12"/>
      <c r="G92" s="12"/>
      <c r="H92" s="51"/>
    </row>
    <row r="93" spans="1:8" ht="14.1" customHeight="1" x14ac:dyDescent="0.2">
      <c r="A93" s="1"/>
      <c r="B93" s="1"/>
      <c r="C93" s="2" t="s">
        <v>148</v>
      </c>
      <c r="D93" s="1"/>
      <c r="E93" s="1"/>
      <c r="F93" s="9">
        <v>69.867929500000002</v>
      </c>
      <c r="G93" s="10">
        <v>4.0652725000000001E-2</v>
      </c>
      <c r="H93" s="51"/>
    </row>
    <row r="94" spans="1:8" ht="14.1" customHeight="1" x14ac:dyDescent="0.2">
      <c r="A94" s="1"/>
      <c r="B94" s="1"/>
      <c r="C94" s="12"/>
      <c r="D94" s="1"/>
      <c r="E94" s="1"/>
      <c r="F94" s="1"/>
      <c r="G94" s="1"/>
      <c r="H94" s="51"/>
    </row>
    <row r="95" spans="1:8" ht="14.1" customHeight="1" x14ac:dyDescent="0.2">
      <c r="A95" s="1"/>
      <c r="B95" s="1"/>
      <c r="C95" s="2" t="s">
        <v>149</v>
      </c>
      <c r="D95" s="1"/>
      <c r="E95" s="1"/>
      <c r="F95" s="1"/>
      <c r="G95" s="1"/>
      <c r="H95" s="51"/>
    </row>
    <row r="96" spans="1:8" ht="14.1" customHeight="1" x14ac:dyDescent="0.2">
      <c r="A96" s="1"/>
      <c r="B96" s="1"/>
      <c r="C96" s="2" t="s">
        <v>150</v>
      </c>
      <c r="D96" s="1"/>
      <c r="E96" s="1"/>
      <c r="F96" s="1"/>
      <c r="G96" s="1"/>
      <c r="H96" s="51"/>
    </row>
    <row r="97" spans="1:8" ht="14.1" customHeight="1" x14ac:dyDescent="0.2">
      <c r="A97" s="1"/>
      <c r="B97" s="1"/>
      <c r="C97" s="2" t="s">
        <v>129</v>
      </c>
      <c r="D97" s="1"/>
      <c r="E97" s="1" t="s">
        <v>130</v>
      </c>
      <c r="F97" s="13">
        <v>0</v>
      </c>
      <c r="G97" s="14">
        <v>0</v>
      </c>
      <c r="H97" s="51"/>
    </row>
    <row r="98" spans="1:8" ht="14.1" customHeight="1" x14ac:dyDescent="0.2">
      <c r="A98" s="1"/>
      <c r="B98" s="1"/>
      <c r="C98" s="11"/>
      <c r="D98" s="1"/>
      <c r="E98" s="1"/>
      <c r="F98" s="12"/>
      <c r="G98" s="12"/>
      <c r="H98" s="51"/>
    </row>
    <row r="99" spans="1:8" ht="14.1" customHeight="1" x14ac:dyDescent="0.2">
      <c r="A99" s="1"/>
      <c r="B99" s="1"/>
      <c r="C99" s="2" t="s">
        <v>151</v>
      </c>
      <c r="D99" s="1"/>
      <c r="E99" s="1"/>
      <c r="F99" s="1"/>
      <c r="G99" s="1"/>
      <c r="H99" s="51"/>
    </row>
    <row r="100" spans="1:8" ht="14.1" customHeight="1" x14ac:dyDescent="0.2">
      <c r="A100" s="1"/>
      <c r="B100" s="1"/>
      <c r="C100" s="2" t="s">
        <v>152</v>
      </c>
      <c r="D100" s="1"/>
      <c r="E100" s="1"/>
      <c r="F100" s="1"/>
      <c r="G100" s="1"/>
      <c r="H100" s="51"/>
    </row>
    <row r="101" spans="1:8" ht="14.1" customHeight="1" x14ac:dyDescent="0.2">
      <c r="A101" s="1"/>
      <c r="B101" s="1"/>
      <c r="C101" s="2" t="s">
        <v>129</v>
      </c>
      <c r="D101" s="1"/>
      <c r="E101" s="1" t="s">
        <v>130</v>
      </c>
      <c r="F101" s="13">
        <v>0</v>
      </c>
      <c r="G101" s="14">
        <v>0</v>
      </c>
      <c r="H101" s="51"/>
    </row>
    <row r="102" spans="1:8" ht="14.1" customHeight="1" x14ac:dyDescent="0.2">
      <c r="A102" s="1"/>
      <c r="B102" s="1"/>
      <c r="C102" s="11"/>
      <c r="D102" s="1"/>
      <c r="E102" s="1"/>
      <c r="F102" s="12"/>
      <c r="G102" s="12"/>
      <c r="H102" s="51"/>
    </row>
    <row r="103" spans="1:8" ht="14.1" customHeight="1" x14ac:dyDescent="0.2">
      <c r="A103" s="1"/>
      <c r="B103" s="1"/>
      <c r="C103" s="11"/>
      <c r="D103" s="1"/>
      <c r="E103" s="1"/>
      <c r="F103" s="12"/>
      <c r="G103" s="12"/>
      <c r="H103" s="51"/>
    </row>
    <row r="104" spans="1:8" ht="24" customHeight="1" x14ac:dyDescent="0.2">
      <c r="A104" s="1"/>
      <c r="B104" s="1"/>
      <c r="C104" s="2" t="s">
        <v>153</v>
      </c>
      <c r="D104" s="1"/>
      <c r="E104" s="1"/>
      <c r="F104" s="12"/>
      <c r="G104" s="12"/>
      <c r="H104" s="51"/>
    </row>
    <row r="105" spans="1:8" ht="14.1" customHeight="1" x14ac:dyDescent="0.2">
      <c r="A105" s="1"/>
      <c r="B105" s="1"/>
      <c r="C105" s="2" t="s">
        <v>129</v>
      </c>
      <c r="D105" s="1"/>
      <c r="E105" s="1" t="s">
        <v>130</v>
      </c>
      <c r="F105" s="13">
        <v>0</v>
      </c>
      <c r="G105" s="14">
        <v>0</v>
      </c>
      <c r="H105" s="51"/>
    </row>
    <row r="106" spans="1:8" ht="14.1" customHeight="1" x14ac:dyDescent="0.2">
      <c r="A106" s="1"/>
      <c r="B106" s="1"/>
      <c r="C106" s="11"/>
      <c r="D106" s="1"/>
      <c r="E106" s="1"/>
      <c r="F106" s="12"/>
      <c r="G106" s="12"/>
      <c r="H106" s="51"/>
    </row>
    <row r="107" spans="1:8" ht="14.1" customHeight="1" x14ac:dyDescent="0.2">
      <c r="A107" s="1"/>
      <c r="B107" s="4"/>
      <c r="C107" s="4"/>
      <c r="D107" s="2"/>
      <c r="E107" s="1"/>
      <c r="F107" s="4"/>
      <c r="G107" s="8"/>
      <c r="H107" s="51"/>
    </row>
    <row r="108" spans="1:8" ht="18" customHeight="1" x14ac:dyDescent="0.2">
      <c r="A108" s="8"/>
      <c r="B108" s="4"/>
      <c r="C108" s="4" t="s">
        <v>154</v>
      </c>
      <c r="D108" s="4"/>
      <c r="E108" s="8"/>
      <c r="F108" s="6">
        <v>2.1410622899999998</v>
      </c>
      <c r="G108" s="7">
        <v>1.245779E-3</v>
      </c>
      <c r="H108" s="51"/>
    </row>
    <row r="109" spans="1:8" ht="14.1" customHeight="1" x14ac:dyDescent="0.2">
      <c r="A109" s="11"/>
      <c r="B109" s="11"/>
      <c r="C109" s="2" t="s">
        <v>155</v>
      </c>
      <c r="D109" s="15"/>
      <c r="E109" s="15"/>
      <c r="F109" s="9">
        <v>1718.6530242900001</v>
      </c>
      <c r="G109" s="10">
        <v>0.99999999900000003</v>
      </c>
      <c r="H109" s="51"/>
    </row>
    <row r="110" spans="1:8" ht="14.1" customHeight="1" x14ac:dyDescent="0.2">
      <c r="A110" s="16"/>
      <c r="B110" s="16"/>
      <c r="C110" s="16"/>
      <c r="D110" s="17"/>
      <c r="E110" s="17"/>
      <c r="F110" s="17"/>
      <c r="G110" s="17"/>
    </row>
    <row r="111" spans="1:8" ht="14.1" customHeight="1" x14ac:dyDescent="0.2">
      <c r="A111" s="18"/>
      <c r="B111" s="327" t="s">
        <v>130</v>
      </c>
      <c r="C111" s="327"/>
      <c r="D111" s="327"/>
      <c r="E111" s="327"/>
      <c r="F111" s="327"/>
      <c r="G111" s="20"/>
    </row>
    <row r="112" spans="1:8" ht="14.1" customHeight="1" x14ac:dyDescent="0.2">
      <c r="A112" s="18"/>
      <c r="B112" s="327" t="s">
        <v>130</v>
      </c>
      <c r="C112" s="327"/>
      <c r="D112" s="327"/>
      <c r="E112" s="327"/>
      <c r="F112" s="327"/>
      <c r="G112" s="20"/>
    </row>
    <row r="113" spans="1:7" ht="14.1" customHeight="1" x14ac:dyDescent="0.2">
      <c r="A113" s="18"/>
      <c r="B113" s="18"/>
      <c r="C113" s="18"/>
      <c r="D113" s="20"/>
      <c r="E113" s="20"/>
      <c r="F113" s="20"/>
      <c r="G113" s="20"/>
    </row>
    <row r="114" spans="1:7" ht="14.1" customHeight="1" x14ac:dyDescent="0.2">
      <c r="A114" s="18"/>
      <c r="B114" s="325" t="s">
        <v>157</v>
      </c>
      <c r="C114" s="326"/>
      <c r="D114" s="12" t="s">
        <v>130</v>
      </c>
      <c r="E114" s="21"/>
      <c r="F114" s="20"/>
      <c r="G114" s="20"/>
    </row>
    <row r="115" spans="1:7" ht="29.1" customHeight="1" x14ac:dyDescent="0.2">
      <c r="A115" s="18"/>
      <c r="B115" s="318" t="s">
        <v>158</v>
      </c>
      <c r="C115" s="319"/>
      <c r="D115" s="2" t="s">
        <v>159</v>
      </c>
      <c r="E115" s="21"/>
      <c r="F115" s="20"/>
      <c r="G115" s="20"/>
    </row>
    <row r="116" spans="1:7" ht="17.100000000000001" customHeight="1" x14ac:dyDescent="0.2">
      <c r="A116" s="18"/>
      <c r="B116" s="318" t="s">
        <v>160</v>
      </c>
      <c r="C116" s="319"/>
      <c r="D116" s="2" t="s">
        <v>159</v>
      </c>
      <c r="E116" s="21"/>
      <c r="F116" s="20"/>
      <c r="G116" s="20"/>
    </row>
    <row r="117" spans="1:7" ht="17.100000000000001" customHeight="1" x14ac:dyDescent="0.2">
      <c r="A117" s="18"/>
      <c r="B117" s="318" t="s">
        <v>161</v>
      </c>
      <c r="C117" s="319"/>
      <c r="D117" s="12" t="s">
        <v>130</v>
      </c>
      <c r="E117" s="21"/>
      <c r="F117" s="20"/>
      <c r="G117" s="20"/>
    </row>
    <row r="118" spans="1:7" ht="24" customHeight="1" x14ac:dyDescent="0.2">
      <c r="A118" s="22"/>
      <c r="B118" s="23" t="s">
        <v>130</v>
      </c>
      <c r="C118" s="23" t="s">
        <v>162</v>
      </c>
      <c r="D118" s="23" t="s">
        <v>163</v>
      </c>
      <c r="E118" s="22"/>
      <c r="F118" s="22"/>
      <c r="G118" s="22"/>
    </row>
    <row r="119" spans="1:7" ht="18" customHeight="1" x14ac:dyDescent="0.2">
      <c r="A119" s="22"/>
      <c r="B119" s="23" t="s">
        <v>164</v>
      </c>
      <c r="C119" s="23" t="s">
        <v>165</v>
      </c>
      <c r="D119" s="23" t="s">
        <v>166</v>
      </c>
      <c r="E119" s="22"/>
      <c r="F119" s="22"/>
      <c r="G119" s="22"/>
    </row>
    <row r="120" spans="1:7" ht="17.100000000000001" customHeight="1" x14ac:dyDescent="0.2">
      <c r="A120" s="22"/>
      <c r="B120" s="4" t="s">
        <v>167</v>
      </c>
      <c r="C120" s="24">
        <v>23.0093</v>
      </c>
      <c r="D120" s="24">
        <v>22.449000000000002</v>
      </c>
      <c r="E120" s="22"/>
      <c r="F120" s="19"/>
      <c r="G120" s="25"/>
    </row>
    <row r="121" spans="1:7" ht="17.100000000000001" customHeight="1" x14ac:dyDescent="0.2">
      <c r="A121" s="22"/>
      <c r="B121" s="4" t="s">
        <v>1067</v>
      </c>
      <c r="C121" s="24">
        <v>19.1677</v>
      </c>
      <c r="D121" s="24">
        <v>18.700900000000001</v>
      </c>
      <c r="E121" s="22"/>
      <c r="F121" s="19"/>
      <c r="G121" s="25"/>
    </row>
    <row r="122" spans="1:7" ht="17.100000000000001" customHeight="1" x14ac:dyDescent="0.2">
      <c r="A122" s="22"/>
      <c r="B122" s="4" t="s">
        <v>168</v>
      </c>
      <c r="C122" s="24">
        <v>22.466100000000001</v>
      </c>
      <c r="D122" s="24">
        <v>21.912600000000001</v>
      </c>
      <c r="E122" s="22"/>
      <c r="F122" s="19"/>
      <c r="G122" s="25"/>
    </row>
    <row r="123" spans="1:7" ht="17.100000000000001" customHeight="1" x14ac:dyDescent="0.2">
      <c r="A123" s="22"/>
      <c r="B123" s="4" t="s">
        <v>1068</v>
      </c>
      <c r="C123" s="24">
        <v>18.651199999999999</v>
      </c>
      <c r="D123" s="24">
        <v>18.191800000000001</v>
      </c>
      <c r="E123" s="22"/>
      <c r="F123" s="19"/>
      <c r="G123" s="25"/>
    </row>
    <row r="124" spans="1:7" ht="14.1" customHeight="1" x14ac:dyDescent="0.2">
      <c r="A124" s="22"/>
      <c r="B124" s="22"/>
      <c r="C124" s="22"/>
      <c r="D124" s="22"/>
      <c r="E124" s="22"/>
      <c r="F124" s="22"/>
      <c r="G124" s="22"/>
    </row>
    <row r="125" spans="1:7" ht="17.100000000000001" customHeight="1" x14ac:dyDescent="0.2">
      <c r="A125" s="22"/>
      <c r="B125" s="318" t="s">
        <v>1069</v>
      </c>
      <c r="C125" s="319"/>
      <c r="D125" s="111" t="s">
        <v>159</v>
      </c>
      <c r="E125" s="22"/>
      <c r="F125" s="22"/>
      <c r="G125" s="22"/>
    </row>
    <row r="126" spans="1:7" ht="18" customHeight="1" x14ac:dyDescent="0.2">
      <c r="A126" s="22"/>
      <c r="B126" s="26"/>
      <c r="C126" s="26"/>
      <c r="D126" s="27"/>
      <c r="E126" s="22"/>
      <c r="F126" s="22"/>
      <c r="G126" s="22"/>
    </row>
    <row r="127" spans="1:7" ht="29.1" customHeight="1" x14ac:dyDescent="0.2">
      <c r="A127" s="22"/>
      <c r="B127" s="318" t="s">
        <v>169</v>
      </c>
      <c r="C127" s="319"/>
      <c r="D127" s="2" t="s">
        <v>159</v>
      </c>
      <c r="E127" s="22"/>
      <c r="F127" s="22"/>
      <c r="G127" s="22"/>
    </row>
    <row r="128" spans="1:7" ht="29.1" customHeight="1" x14ac:dyDescent="0.2">
      <c r="A128" s="22"/>
      <c r="B128" s="318" t="s">
        <v>170</v>
      </c>
      <c r="C128" s="319"/>
      <c r="D128" s="2" t="s">
        <v>159</v>
      </c>
      <c r="E128" s="22"/>
      <c r="F128" s="22"/>
      <c r="G128" s="22"/>
    </row>
    <row r="129" spans="1:14" ht="17.100000000000001" customHeight="1" x14ac:dyDescent="0.2">
      <c r="A129" s="22"/>
      <c r="B129" s="318" t="s">
        <v>171</v>
      </c>
      <c r="C129" s="319"/>
      <c r="D129" s="28">
        <v>4.2122020591888729E-2</v>
      </c>
      <c r="E129" s="22"/>
      <c r="F129" s="19"/>
      <c r="G129" s="25"/>
    </row>
    <row r="130" spans="1:14" ht="17.100000000000001" customHeight="1" x14ac:dyDescent="0.2">
      <c r="A130" s="22"/>
      <c r="B130" s="318" t="s">
        <v>172</v>
      </c>
      <c r="C130" s="319"/>
      <c r="D130" s="2" t="s">
        <v>159</v>
      </c>
      <c r="E130" s="22"/>
      <c r="F130" s="22"/>
      <c r="G130" s="22"/>
      <c r="J130" s="158"/>
      <c r="K130" s="158"/>
      <c r="L130" s="158"/>
      <c r="M130" s="158"/>
      <c r="N130" s="158"/>
    </row>
  </sheetData>
  <mergeCells count="15">
    <mergeCell ref="A1:H1"/>
    <mergeCell ref="A2:H2"/>
    <mergeCell ref="A3:H3"/>
    <mergeCell ref="J2:N2"/>
    <mergeCell ref="B129:C129"/>
    <mergeCell ref="B114:C114"/>
    <mergeCell ref="B111:F111"/>
    <mergeCell ref="B112:F112"/>
    <mergeCell ref="B130:C130"/>
    <mergeCell ref="B115:C115"/>
    <mergeCell ref="B116:C116"/>
    <mergeCell ref="B117:C117"/>
    <mergeCell ref="B125:C125"/>
    <mergeCell ref="B127:C127"/>
    <mergeCell ref="B128:C128"/>
  </mergeCells>
  <hyperlinks>
    <hyperlink ref="I1" location="Index!B17" display="Index" xr:uid="{7C5D4B81-611E-40C3-B8FE-C6D26E2AEBD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N129"/>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492</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14</v>
      </c>
      <c r="C7" s="4" t="s">
        <v>15</v>
      </c>
      <c r="D7" s="4" t="s">
        <v>16</v>
      </c>
      <c r="E7" s="5">
        <v>12332</v>
      </c>
      <c r="F7" s="6">
        <v>106.30184</v>
      </c>
      <c r="G7" s="7">
        <v>9.7296383E-2</v>
      </c>
      <c r="H7" s="51"/>
    </row>
    <row r="8" spans="1:14" ht="17.100000000000001" customHeight="1" x14ac:dyDescent="0.2">
      <c r="A8" s="3">
        <v>2</v>
      </c>
      <c r="B8" s="4" t="s">
        <v>20</v>
      </c>
      <c r="C8" s="4" t="s">
        <v>21</v>
      </c>
      <c r="D8" s="4" t="s">
        <v>22</v>
      </c>
      <c r="E8" s="5">
        <v>3489</v>
      </c>
      <c r="F8" s="6">
        <v>82.959697500000004</v>
      </c>
      <c r="G8" s="7">
        <v>7.5931690999999996E-2</v>
      </c>
      <c r="H8" s="51"/>
    </row>
    <row r="9" spans="1:14" ht="17.100000000000001" customHeight="1" x14ac:dyDescent="0.2">
      <c r="A9" s="3">
        <v>3</v>
      </c>
      <c r="B9" s="4" t="s">
        <v>296</v>
      </c>
      <c r="C9" s="4" t="s">
        <v>297</v>
      </c>
      <c r="D9" s="4" t="s">
        <v>223</v>
      </c>
      <c r="E9" s="5">
        <v>5779</v>
      </c>
      <c r="F9" s="6">
        <v>81.683275499999993</v>
      </c>
      <c r="G9" s="7">
        <v>7.4763403000000006E-2</v>
      </c>
      <c r="H9" s="51"/>
    </row>
    <row r="10" spans="1:14" ht="17.100000000000001" customHeight="1" x14ac:dyDescent="0.2">
      <c r="A10" s="3">
        <v>4</v>
      </c>
      <c r="B10" s="4" t="s">
        <v>269</v>
      </c>
      <c r="C10" s="4" t="s">
        <v>270</v>
      </c>
      <c r="D10" s="4" t="s">
        <v>16</v>
      </c>
      <c r="E10" s="5">
        <v>4906</v>
      </c>
      <c r="F10" s="6">
        <v>69.731431000000001</v>
      </c>
      <c r="G10" s="7">
        <v>6.3824068999999997E-2</v>
      </c>
      <c r="H10" s="51"/>
    </row>
    <row r="11" spans="1:14" ht="17.100000000000001" customHeight="1" x14ac:dyDescent="0.2">
      <c r="A11" s="3">
        <v>5</v>
      </c>
      <c r="B11" s="4" t="s">
        <v>41</v>
      </c>
      <c r="C11" s="4" t="s">
        <v>42</v>
      </c>
      <c r="D11" s="4" t="s">
        <v>16</v>
      </c>
      <c r="E11" s="5">
        <v>12485</v>
      </c>
      <c r="F11" s="6">
        <v>66.245410000000007</v>
      </c>
      <c r="G11" s="7">
        <v>6.0633369999999999E-2</v>
      </c>
      <c r="H11" s="51"/>
    </row>
    <row r="12" spans="1:14" ht="29.1" customHeight="1" x14ac:dyDescent="0.2">
      <c r="A12" s="3">
        <v>6</v>
      </c>
      <c r="B12" s="4" t="s">
        <v>298</v>
      </c>
      <c r="C12" s="4" t="s">
        <v>299</v>
      </c>
      <c r="D12" s="4" t="s">
        <v>97</v>
      </c>
      <c r="E12" s="5">
        <v>2230</v>
      </c>
      <c r="F12" s="6">
        <v>51.016824999999997</v>
      </c>
      <c r="G12" s="7">
        <v>4.6694887999999997E-2</v>
      </c>
      <c r="H12" s="51"/>
    </row>
    <row r="13" spans="1:14" ht="17.100000000000001" customHeight="1" x14ac:dyDescent="0.2">
      <c r="A13" s="3">
        <v>7</v>
      </c>
      <c r="B13" s="4" t="s">
        <v>11</v>
      </c>
      <c r="C13" s="4" t="s">
        <v>12</v>
      </c>
      <c r="D13" s="4" t="s">
        <v>13</v>
      </c>
      <c r="E13" s="5">
        <v>2233</v>
      </c>
      <c r="F13" s="6">
        <v>41.259141</v>
      </c>
      <c r="G13" s="7">
        <v>3.7763835000000003E-2</v>
      </c>
      <c r="H13" s="51"/>
      <c r="J13" s="157" t="s">
        <v>1094</v>
      </c>
    </row>
    <row r="14" spans="1:14" ht="17.100000000000001" customHeight="1" x14ac:dyDescent="0.2">
      <c r="A14" s="3">
        <v>8</v>
      </c>
      <c r="B14" s="4" t="s">
        <v>195</v>
      </c>
      <c r="C14" s="4" t="s">
        <v>196</v>
      </c>
      <c r="D14" s="4" t="s">
        <v>16</v>
      </c>
      <c r="E14" s="5">
        <v>5335</v>
      </c>
      <c r="F14" s="6">
        <v>39.116219999999998</v>
      </c>
      <c r="G14" s="7">
        <v>3.5802453999999997E-2</v>
      </c>
      <c r="H14" s="51"/>
    </row>
    <row r="15" spans="1:14" ht="17.100000000000001" customHeight="1" x14ac:dyDescent="0.2">
      <c r="A15" s="3">
        <v>9</v>
      </c>
      <c r="B15" s="4" t="s">
        <v>17</v>
      </c>
      <c r="C15" s="4" t="s">
        <v>18</v>
      </c>
      <c r="D15" s="4" t="s">
        <v>19</v>
      </c>
      <c r="E15" s="5">
        <v>4570</v>
      </c>
      <c r="F15" s="6">
        <v>36.555430000000001</v>
      </c>
      <c r="G15" s="7">
        <v>3.3458604000000003E-2</v>
      </c>
      <c r="H15" s="51"/>
    </row>
    <row r="16" spans="1:14" ht="29.1" customHeight="1" x14ac:dyDescent="0.2">
      <c r="A16" s="3">
        <v>10</v>
      </c>
      <c r="B16" s="4" t="s">
        <v>23</v>
      </c>
      <c r="C16" s="4" t="s">
        <v>24</v>
      </c>
      <c r="D16" s="4" t="s">
        <v>25</v>
      </c>
      <c r="E16" s="5">
        <v>501</v>
      </c>
      <c r="F16" s="6">
        <v>31.338051</v>
      </c>
      <c r="G16" s="7">
        <v>2.8683219999999999E-2</v>
      </c>
      <c r="H16" s="51"/>
    </row>
    <row r="17" spans="1:8" ht="17.100000000000001" customHeight="1" x14ac:dyDescent="0.2">
      <c r="A17" s="3">
        <v>11</v>
      </c>
      <c r="B17" s="4" t="s">
        <v>359</v>
      </c>
      <c r="C17" s="4" t="s">
        <v>360</v>
      </c>
      <c r="D17" s="4" t="s">
        <v>69</v>
      </c>
      <c r="E17" s="5">
        <v>7590</v>
      </c>
      <c r="F17" s="6">
        <v>30.709140000000001</v>
      </c>
      <c r="G17" s="7">
        <v>2.8107587E-2</v>
      </c>
      <c r="H17" s="51"/>
    </row>
    <row r="18" spans="1:8" ht="17.100000000000001" customHeight="1" x14ac:dyDescent="0.2">
      <c r="A18" s="3">
        <v>12</v>
      </c>
      <c r="B18" s="4" t="s">
        <v>374</v>
      </c>
      <c r="C18" s="4" t="s">
        <v>375</v>
      </c>
      <c r="D18" s="4" t="s">
        <v>104</v>
      </c>
      <c r="E18" s="5">
        <v>959</v>
      </c>
      <c r="F18" s="6">
        <v>25.000650499999999</v>
      </c>
      <c r="G18" s="7">
        <v>2.2882698E-2</v>
      </c>
      <c r="H18" s="51"/>
    </row>
    <row r="19" spans="1:8" ht="17.100000000000001" customHeight="1" x14ac:dyDescent="0.2">
      <c r="A19" s="3">
        <v>13</v>
      </c>
      <c r="B19" s="4" t="s">
        <v>321</v>
      </c>
      <c r="C19" s="4" t="s">
        <v>322</v>
      </c>
      <c r="D19" s="4" t="s">
        <v>310</v>
      </c>
      <c r="E19" s="5">
        <v>7286</v>
      </c>
      <c r="F19" s="6">
        <v>24.204091999999999</v>
      </c>
      <c r="G19" s="7">
        <v>2.2153619999999999E-2</v>
      </c>
      <c r="H19" s="51"/>
    </row>
    <row r="20" spans="1:8" ht="29.1" customHeight="1" x14ac:dyDescent="0.2">
      <c r="A20" s="3">
        <v>14</v>
      </c>
      <c r="B20" s="4" t="s">
        <v>182</v>
      </c>
      <c r="C20" s="4" t="s">
        <v>183</v>
      </c>
      <c r="D20" s="4" t="s">
        <v>184</v>
      </c>
      <c r="E20" s="5">
        <v>526</v>
      </c>
      <c r="F20" s="6">
        <v>23.621870999999999</v>
      </c>
      <c r="G20" s="7">
        <v>2.1620723000000001E-2</v>
      </c>
      <c r="H20" s="51"/>
    </row>
    <row r="21" spans="1:8" ht="17.100000000000001" customHeight="1" x14ac:dyDescent="0.2">
      <c r="A21" s="3">
        <v>15</v>
      </c>
      <c r="B21" s="4" t="s">
        <v>300</v>
      </c>
      <c r="C21" s="4" t="s">
        <v>301</v>
      </c>
      <c r="D21" s="4" t="s">
        <v>235</v>
      </c>
      <c r="E21" s="5">
        <v>1859</v>
      </c>
      <c r="F21" s="6">
        <v>23.245865500000001</v>
      </c>
      <c r="G21" s="7">
        <v>2.1276571000000001E-2</v>
      </c>
      <c r="H21" s="51"/>
    </row>
    <row r="22" spans="1:8" ht="29.1" customHeight="1" x14ac:dyDescent="0.2">
      <c r="A22" s="3">
        <v>16</v>
      </c>
      <c r="B22" s="4" t="s">
        <v>226</v>
      </c>
      <c r="C22" s="4" t="s">
        <v>227</v>
      </c>
      <c r="D22" s="4" t="s">
        <v>213</v>
      </c>
      <c r="E22" s="5">
        <v>2059</v>
      </c>
      <c r="F22" s="6">
        <v>20.470578</v>
      </c>
      <c r="G22" s="7">
        <v>1.8736394E-2</v>
      </c>
      <c r="H22" s="51"/>
    </row>
    <row r="23" spans="1:8" ht="17.100000000000001" customHeight="1" x14ac:dyDescent="0.2">
      <c r="A23" s="3">
        <v>17</v>
      </c>
      <c r="B23" s="4" t="s">
        <v>306</v>
      </c>
      <c r="C23" s="4" t="s">
        <v>307</v>
      </c>
      <c r="D23" s="4" t="s">
        <v>223</v>
      </c>
      <c r="E23" s="5">
        <v>672</v>
      </c>
      <c r="F23" s="6">
        <v>20.190576</v>
      </c>
      <c r="G23" s="7">
        <v>1.8480112999999999E-2</v>
      </c>
      <c r="H23" s="51"/>
    </row>
    <row r="24" spans="1:8" ht="17.100000000000001" customHeight="1" x14ac:dyDescent="0.2">
      <c r="A24" s="3">
        <v>18</v>
      </c>
      <c r="B24" s="4" t="s">
        <v>70</v>
      </c>
      <c r="C24" s="4" t="s">
        <v>71</v>
      </c>
      <c r="D24" s="4" t="s">
        <v>72</v>
      </c>
      <c r="E24" s="5">
        <v>587</v>
      </c>
      <c r="F24" s="6">
        <v>18.8564945</v>
      </c>
      <c r="G24" s="7">
        <v>1.7259048999999999E-2</v>
      </c>
      <c r="H24" s="51"/>
    </row>
    <row r="25" spans="1:8" ht="29.1" customHeight="1" x14ac:dyDescent="0.2">
      <c r="A25" s="3">
        <v>19</v>
      </c>
      <c r="B25" s="4" t="s">
        <v>316</v>
      </c>
      <c r="C25" s="4" t="s">
        <v>317</v>
      </c>
      <c r="D25" s="4" t="s">
        <v>318</v>
      </c>
      <c r="E25" s="5">
        <v>2788</v>
      </c>
      <c r="F25" s="6">
        <v>17.989570000000001</v>
      </c>
      <c r="G25" s="7">
        <v>1.6465567E-2</v>
      </c>
      <c r="H25" s="51"/>
    </row>
    <row r="26" spans="1:8" ht="17.100000000000001" customHeight="1" x14ac:dyDescent="0.2">
      <c r="A26" s="3">
        <v>20</v>
      </c>
      <c r="B26" s="4" t="s">
        <v>174</v>
      </c>
      <c r="C26" s="4" t="s">
        <v>175</v>
      </c>
      <c r="D26" s="4" t="s">
        <v>22</v>
      </c>
      <c r="E26" s="5">
        <v>8132</v>
      </c>
      <c r="F26" s="6">
        <v>17.589516</v>
      </c>
      <c r="G26" s="7">
        <v>1.6099404000000001E-2</v>
      </c>
      <c r="H26" s="51"/>
    </row>
    <row r="27" spans="1:8" ht="17.100000000000001" customHeight="1" x14ac:dyDescent="0.2">
      <c r="A27" s="3">
        <v>21</v>
      </c>
      <c r="B27" s="4" t="s">
        <v>323</v>
      </c>
      <c r="C27" s="4" t="s">
        <v>324</v>
      </c>
      <c r="D27" s="4" t="s">
        <v>223</v>
      </c>
      <c r="E27" s="5">
        <v>1859</v>
      </c>
      <c r="F27" s="6">
        <v>17.332386499999998</v>
      </c>
      <c r="G27" s="7">
        <v>1.5864058E-2</v>
      </c>
      <c r="H27" s="51"/>
    </row>
    <row r="28" spans="1:8" ht="17.100000000000001" customHeight="1" x14ac:dyDescent="0.2">
      <c r="A28" s="3">
        <v>22</v>
      </c>
      <c r="B28" s="4" t="s">
        <v>336</v>
      </c>
      <c r="C28" s="4" t="s">
        <v>337</v>
      </c>
      <c r="D28" s="4" t="s">
        <v>16</v>
      </c>
      <c r="E28" s="5">
        <v>916</v>
      </c>
      <c r="F28" s="6">
        <v>16.663872000000001</v>
      </c>
      <c r="G28" s="7">
        <v>1.5252177E-2</v>
      </c>
      <c r="H28" s="51"/>
    </row>
    <row r="29" spans="1:8" ht="17.100000000000001" customHeight="1" x14ac:dyDescent="0.2">
      <c r="A29" s="3">
        <v>23</v>
      </c>
      <c r="B29" s="4" t="s">
        <v>387</v>
      </c>
      <c r="C29" s="4" t="s">
        <v>388</v>
      </c>
      <c r="D29" s="4" t="s">
        <v>208</v>
      </c>
      <c r="E29" s="5">
        <v>5791</v>
      </c>
      <c r="F29" s="6">
        <v>16.568051000000001</v>
      </c>
      <c r="G29" s="7">
        <v>1.5164472999999999E-2</v>
      </c>
      <c r="H29" s="51"/>
    </row>
    <row r="30" spans="1:8" ht="17.100000000000001" customHeight="1" x14ac:dyDescent="0.2">
      <c r="A30" s="3">
        <v>24</v>
      </c>
      <c r="B30" s="4" t="s">
        <v>230</v>
      </c>
      <c r="C30" s="4" t="s">
        <v>231</v>
      </c>
      <c r="D30" s="4" t="s">
        <v>232</v>
      </c>
      <c r="E30" s="5">
        <v>3810</v>
      </c>
      <c r="F30" s="6">
        <v>16.329660000000001</v>
      </c>
      <c r="G30" s="7">
        <v>1.4946278E-2</v>
      </c>
      <c r="H30" s="51"/>
    </row>
    <row r="31" spans="1:8" ht="17.100000000000001" customHeight="1" x14ac:dyDescent="0.2">
      <c r="A31" s="3">
        <v>25</v>
      </c>
      <c r="B31" s="4" t="s">
        <v>486</v>
      </c>
      <c r="C31" s="4" t="s">
        <v>487</v>
      </c>
      <c r="D31" s="4" t="s">
        <v>189</v>
      </c>
      <c r="E31" s="5">
        <v>4646</v>
      </c>
      <c r="F31" s="6">
        <v>16.219186000000001</v>
      </c>
      <c r="G31" s="7">
        <v>1.4845163E-2</v>
      </c>
      <c r="H31" s="51"/>
    </row>
    <row r="32" spans="1:8" ht="17.100000000000001" customHeight="1" x14ac:dyDescent="0.2">
      <c r="A32" s="3">
        <v>26</v>
      </c>
      <c r="B32" s="4" t="s">
        <v>199</v>
      </c>
      <c r="C32" s="4" t="s">
        <v>200</v>
      </c>
      <c r="D32" s="4" t="s">
        <v>16</v>
      </c>
      <c r="E32" s="5">
        <v>12176</v>
      </c>
      <c r="F32" s="6">
        <v>16.121023999999998</v>
      </c>
      <c r="G32" s="7">
        <v>1.4755317E-2</v>
      </c>
      <c r="H32" s="51"/>
    </row>
    <row r="33" spans="1:8" ht="17.100000000000001" customHeight="1" x14ac:dyDescent="0.2">
      <c r="A33" s="3">
        <v>27</v>
      </c>
      <c r="B33" s="4" t="s">
        <v>308</v>
      </c>
      <c r="C33" s="4" t="s">
        <v>309</v>
      </c>
      <c r="D33" s="4" t="s">
        <v>310</v>
      </c>
      <c r="E33" s="5">
        <v>517</v>
      </c>
      <c r="F33" s="6">
        <v>13.9406465</v>
      </c>
      <c r="G33" s="7">
        <v>1.2759652E-2</v>
      </c>
      <c r="H33" s="51"/>
    </row>
    <row r="34" spans="1:8" ht="29.1" customHeight="1" x14ac:dyDescent="0.2">
      <c r="A34" s="3">
        <v>28</v>
      </c>
      <c r="B34" s="4" t="s">
        <v>488</v>
      </c>
      <c r="C34" s="4" t="s">
        <v>489</v>
      </c>
      <c r="D34" s="4" t="s">
        <v>203</v>
      </c>
      <c r="E34" s="5">
        <v>1213</v>
      </c>
      <c r="F34" s="6">
        <v>13.524343500000001</v>
      </c>
      <c r="G34" s="7">
        <v>1.2378616E-2</v>
      </c>
      <c r="H34" s="51"/>
    </row>
    <row r="35" spans="1:8" ht="17.100000000000001" customHeight="1" x14ac:dyDescent="0.2">
      <c r="A35" s="3">
        <v>29</v>
      </c>
      <c r="B35" s="4" t="s">
        <v>338</v>
      </c>
      <c r="C35" s="4" t="s">
        <v>339</v>
      </c>
      <c r="D35" s="4" t="s">
        <v>16</v>
      </c>
      <c r="E35" s="5">
        <v>1052</v>
      </c>
      <c r="F35" s="6">
        <v>12.468304</v>
      </c>
      <c r="G35" s="7">
        <v>1.141204E-2</v>
      </c>
      <c r="H35" s="51"/>
    </row>
    <row r="36" spans="1:8" ht="29.1" customHeight="1" x14ac:dyDescent="0.2">
      <c r="A36" s="3">
        <v>30</v>
      </c>
      <c r="B36" s="4" t="s">
        <v>365</v>
      </c>
      <c r="C36" s="4" t="s">
        <v>366</v>
      </c>
      <c r="D36" s="4" t="s">
        <v>367</v>
      </c>
      <c r="E36" s="5">
        <v>1535</v>
      </c>
      <c r="F36" s="6">
        <v>12.3237475</v>
      </c>
      <c r="G36" s="7">
        <v>1.127973E-2</v>
      </c>
      <c r="H36" s="51"/>
    </row>
    <row r="37" spans="1:8" ht="17.100000000000001" customHeight="1" x14ac:dyDescent="0.2">
      <c r="A37" s="3">
        <v>31</v>
      </c>
      <c r="B37" s="4" t="s">
        <v>100</v>
      </c>
      <c r="C37" s="4" t="s">
        <v>101</v>
      </c>
      <c r="D37" s="4" t="s">
        <v>22</v>
      </c>
      <c r="E37" s="5">
        <v>3989</v>
      </c>
      <c r="F37" s="6">
        <v>12.158472</v>
      </c>
      <c r="G37" s="7">
        <v>1.1128456E-2</v>
      </c>
      <c r="H37" s="51"/>
    </row>
    <row r="38" spans="1:8" ht="29.1" customHeight="1" x14ac:dyDescent="0.2">
      <c r="A38" s="3">
        <v>32</v>
      </c>
      <c r="B38" s="4" t="s">
        <v>490</v>
      </c>
      <c r="C38" s="4" t="s">
        <v>491</v>
      </c>
      <c r="D38" s="4" t="s">
        <v>25</v>
      </c>
      <c r="E38" s="5">
        <v>1266</v>
      </c>
      <c r="F38" s="6">
        <v>12.093465</v>
      </c>
      <c r="G38" s="7">
        <v>1.1068956E-2</v>
      </c>
      <c r="H38" s="51"/>
    </row>
    <row r="39" spans="1:8" ht="17.100000000000001" customHeight="1" x14ac:dyDescent="0.2">
      <c r="A39" s="3">
        <v>33</v>
      </c>
      <c r="B39" s="4" t="s">
        <v>115</v>
      </c>
      <c r="C39" s="4" t="s">
        <v>116</v>
      </c>
      <c r="D39" s="4" t="s">
        <v>117</v>
      </c>
      <c r="E39" s="5">
        <v>2990</v>
      </c>
      <c r="F39" s="6">
        <v>11.677445000000001</v>
      </c>
      <c r="G39" s="7">
        <v>1.068818E-2</v>
      </c>
      <c r="H39" s="51"/>
    </row>
    <row r="40" spans="1:8" ht="17.100000000000001" customHeight="1" x14ac:dyDescent="0.2">
      <c r="A40" s="3">
        <v>34</v>
      </c>
      <c r="B40" s="4" t="s">
        <v>49</v>
      </c>
      <c r="C40" s="4" t="s">
        <v>50</v>
      </c>
      <c r="D40" s="4" t="s">
        <v>51</v>
      </c>
      <c r="E40" s="5">
        <v>1593</v>
      </c>
      <c r="F40" s="6">
        <v>11.336584500000001</v>
      </c>
      <c r="G40" s="7">
        <v>1.0376195E-2</v>
      </c>
      <c r="H40" s="51"/>
    </row>
    <row r="41" spans="1:8" ht="17.100000000000001" customHeight="1" x14ac:dyDescent="0.2">
      <c r="A41" s="3">
        <v>35</v>
      </c>
      <c r="B41" s="4" t="s">
        <v>325</v>
      </c>
      <c r="C41" s="4" t="s">
        <v>326</v>
      </c>
      <c r="D41" s="4" t="s">
        <v>223</v>
      </c>
      <c r="E41" s="5">
        <v>1742</v>
      </c>
      <c r="F41" s="6">
        <v>6.8678350000000004</v>
      </c>
      <c r="G41" s="7">
        <v>6.2860199999999998E-3</v>
      </c>
      <c r="H41" s="51"/>
    </row>
    <row r="42" spans="1:8" ht="29.1" customHeight="1" x14ac:dyDescent="0.2">
      <c r="A42" s="3">
        <v>36</v>
      </c>
      <c r="B42" s="4" t="s">
        <v>236</v>
      </c>
      <c r="C42" s="4" t="s">
        <v>237</v>
      </c>
      <c r="D42" s="4" t="s">
        <v>203</v>
      </c>
      <c r="E42" s="5">
        <v>311</v>
      </c>
      <c r="F42" s="6">
        <v>6.5087634999999997</v>
      </c>
      <c r="G42" s="7">
        <v>5.9573680000000002E-3</v>
      </c>
      <c r="H42" s="51"/>
    </row>
    <row r="43" spans="1:8" ht="17.100000000000001" customHeight="1" x14ac:dyDescent="0.2">
      <c r="A43" s="3">
        <v>37</v>
      </c>
      <c r="B43" s="4" t="s">
        <v>344</v>
      </c>
      <c r="C43" s="38" t="s">
        <v>969</v>
      </c>
      <c r="D43" s="4" t="s">
        <v>19</v>
      </c>
      <c r="E43" s="5">
        <v>327</v>
      </c>
      <c r="F43" s="6">
        <v>1.3147035</v>
      </c>
      <c r="G43" s="7">
        <v>1.2033269999999999E-3</v>
      </c>
      <c r="H43" s="51"/>
    </row>
    <row r="44" spans="1:8" ht="14.1" customHeight="1" x14ac:dyDescent="0.2">
      <c r="A44" s="1"/>
      <c r="B44" s="1"/>
      <c r="C44" s="2" t="s">
        <v>129</v>
      </c>
      <c r="D44" s="1"/>
      <c r="E44" s="1" t="s">
        <v>130</v>
      </c>
      <c r="F44" s="9">
        <v>1041.5341639999999</v>
      </c>
      <c r="G44" s="10">
        <v>0.95329964900000019</v>
      </c>
      <c r="H44" s="51"/>
    </row>
    <row r="45" spans="1:8" ht="14.1" customHeight="1" x14ac:dyDescent="0.2">
      <c r="A45" s="1"/>
      <c r="B45" s="1"/>
      <c r="C45" s="11"/>
      <c r="D45" s="1"/>
      <c r="E45" s="1"/>
      <c r="F45" s="12"/>
      <c r="G45" s="12"/>
      <c r="H45" s="51"/>
    </row>
    <row r="46" spans="1:8" ht="14.1" customHeight="1" x14ac:dyDescent="0.2">
      <c r="A46" s="1"/>
      <c r="B46" s="1"/>
      <c r="C46" s="2" t="s">
        <v>131</v>
      </c>
      <c r="D46" s="1"/>
      <c r="E46" s="1"/>
      <c r="F46" s="1"/>
      <c r="G46" s="1"/>
      <c r="H46" s="51"/>
    </row>
    <row r="47" spans="1:8" ht="14.1" customHeight="1" x14ac:dyDescent="0.2">
      <c r="A47" s="1"/>
      <c r="B47" s="1"/>
      <c r="C47" s="2" t="s">
        <v>129</v>
      </c>
      <c r="D47" s="1"/>
      <c r="E47" s="1" t="s">
        <v>130</v>
      </c>
      <c r="F47" s="13">
        <v>0</v>
      </c>
      <c r="G47" s="14">
        <v>0</v>
      </c>
      <c r="H47" s="51"/>
    </row>
    <row r="48" spans="1:8" ht="14.1" customHeight="1" x14ac:dyDescent="0.2">
      <c r="A48" s="1"/>
      <c r="B48" s="1"/>
      <c r="C48" s="11"/>
      <c r="D48" s="1"/>
      <c r="E48" s="1"/>
      <c r="F48" s="12"/>
      <c r="G48" s="12"/>
      <c r="H48" s="51"/>
    </row>
    <row r="49" spans="1:8" ht="14.1" customHeight="1" x14ac:dyDescent="0.2">
      <c r="A49" s="1"/>
      <c r="B49" s="1"/>
      <c r="C49" s="2" t="s">
        <v>132</v>
      </c>
      <c r="D49" s="1"/>
      <c r="E49" s="1"/>
      <c r="F49" s="1"/>
      <c r="G49" s="1"/>
      <c r="H49" s="51"/>
    </row>
    <row r="50" spans="1:8" ht="14.1" customHeight="1" x14ac:dyDescent="0.2">
      <c r="A50" s="1"/>
      <c r="B50" s="1"/>
      <c r="C50" s="2" t="s">
        <v>129</v>
      </c>
      <c r="D50" s="1"/>
      <c r="E50" s="1" t="s">
        <v>130</v>
      </c>
      <c r="F50" s="13">
        <v>0</v>
      </c>
      <c r="G50" s="14">
        <v>0</v>
      </c>
      <c r="H50" s="51"/>
    </row>
    <row r="51" spans="1:8" ht="14.1" customHeight="1" x14ac:dyDescent="0.2">
      <c r="A51" s="1"/>
      <c r="B51" s="1"/>
      <c r="C51" s="11"/>
      <c r="D51" s="1"/>
      <c r="E51" s="1"/>
      <c r="F51" s="12"/>
      <c r="G51" s="12"/>
      <c r="H51" s="51"/>
    </row>
    <row r="52" spans="1:8" ht="14.1" customHeight="1" x14ac:dyDescent="0.2">
      <c r="A52" s="1"/>
      <c r="B52" s="1"/>
      <c r="C52" s="2" t="s">
        <v>133</v>
      </c>
      <c r="D52" s="1"/>
      <c r="E52" s="1"/>
      <c r="F52" s="1"/>
      <c r="G52" s="1"/>
      <c r="H52" s="51"/>
    </row>
    <row r="53" spans="1:8" ht="14.1" customHeight="1" x14ac:dyDescent="0.2">
      <c r="A53" s="1"/>
      <c r="B53" s="1"/>
      <c r="C53" s="2" t="s">
        <v>129</v>
      </c>
      <c r="D53" s="1"/>
      <c r="E53" s="1" t="s">
        <v>130</v>
      </c>
      <c r="F53" s="9">
        <v>0</v>
      </c>
      <c r="G53" s="10">
        <v>0</v>
      </c>
      <c r="H53" s="51"/>
    </row>
    <row r="54" spans="1:8" ht="14.1" customHeight="1" x14ac:dyDescent="0.2">
      <c r="A54" s="1"/>
      <c r="B54" s="1"/>
      <c r="C54" s="11"/>
      <c r="D54" s="1"/>
      <c r="E54" s="1"/>
      <c r="F54" s="12"/>
      <c r="G54" s="12"/>
      <c r="H54" s="51"/>
    </row>
    <row r="55" spans="1:8" ht="14.1" customHeight="1" x14ac:dyDescent="0.2">
      <c r="A55" s="1"/>
      <c r="B55" s="1"/>
      <c r="C55" s="2" t="s">
        <v>134</v>
      </c>
      <c r="D55" s="1"/>
      <c r="E55" s="1"/>
      <c r="F55" s="12"/>
      <c r="G55" s="12"/>
      <c r="H55" s="51"/>
    </row>
    <row r="56" spans="1:8" ht="14.1" customHeight="1" x14ac:dyDescent="0.2">
      <c r="A56" s="1"/>
      <c r="B56" s="1"/>
      <c r="C56" s="2" t="s">
        <v>129</v>
      </c>
      <c r="D56" s="1"/>
      <c r="E56" s="1" t="s">
        <v>130</v>
      </c>
      <c r="F56" s="13">
        <v>0</v>
      </c>
      <c r="G56" s="14">
        <v>0</v>
      </c>
      <c r="H56" s="51"/>
    </row>
    <row r="57" spans="1:8" ht="14.1" customHeight="1" x14ac:dyDescent="0.2">
      <c r="A57" s="1"/>
      <c r="B57" s="1"/>
      <c r="C57" s="11"/>
      <c r="D57" s="1"/>
      <c r="E57" s="1"/>
      <c r="F57" s="12"/>
      <c r="G57" s="12"/>
      <c r="H57" s="51"/>
    </row>
    <row r="58" spans="1:8" ht="14.1" customHeight="1" x14ac:dyDescent="0.2">
      <c r="A58" s="1"/>
      <c r="B58" s="1"/>
      <c r="C58" s="2" t="s">
        <v>135</v>
      </c>
      <c r="D58" s="1"/>
      <c r="E58" s="1"/>
      <c r="F58" s="12"/>
      <c r="G58" s="12"/>
      <c r="H58" s="51"/>
    </row>
    <row r="59" spans="1:8" ht="14.1" customHeight="1" x14ac:dyDescent="0.2">
      <c r="A59" s="1"/>
      <c r="B59" s="1"/>
      <c r="C59" s="2" t="s">
        <v>129</v>
      </c>
      <c r="D59" s="1"/>
      <c r="E59" s="1" t="s">
        <v>130</v>
      </c>
      <c r="F59" s="13">
        <v>0</v>
      </c>
      <c r="G59" s="14">
        <v>0</v>
      </c>
      <c r="H59" s="51"/>
    </row>
    <row r="60" spans="1:8" ht="14.1" customHeight="1" x14ac:dyDescent="0.2">
      <c r="A60" s="1"/>
      <c r="B60" s="1"/>
      <c r="C60" s="11"/>
      <c r="D60" s="1"/>
      <c r="E60" s="1"/>
      <c r="F60" s="12"/>
      <c r="G60" s="12"/>
      <c r="H60" s="51"/>
    </row>
    <row r="61" spans="1:8" ht="18" customHeight="1" x14ac:dyDescent="0.2">
      <c r="A61" s="1"/>
      <c r="B61" s="1"/>
      <c r="C61" s="2" t="s">
        <v>136</v>
      </c>
      <c r="D61" s="1"/>
      <c r="E61" s="1"/>
      <c r="F61" s="9">
        <v>1041.5341639999999</v>
      </c>
      <c r="G61" s="10">
        <v>0.95329964899999997</v>
      </c>
      <c r="H61" s="51"/>
    </row>
    <row r="62" spans="1:8" ht="14.1" customHeight="1" x14ac:dyDescent="0.2">
      <c r="A62" s="1"/>
      <c r="B62" s="1"/>
      <c r="C62" s="11"/>
      <c r="D62" s="1"/>
      <c r="E62" s="1"/>
      <c r="F62" s="12"/>
      <c r="G62" s="12"/>
      <c r="H62" s="51"/>
    </row>
    <row r="63" spans="1:8" ht="14.1" customHeight="1" x14ac:dyDescent="0.2">
      <c r="A63" s="1"/>
      <c r="B63" s="1"/>
      <c r="C63" s="2" t="s">
        <v>137</v>
      </c>
      <c r="D63" s="1"/>
      <c r="E63" s="1"/>
      <c r="F63" s="12"/>
      <c r="G63" s="12"/>
      <c r="H63" s="51"/>
    </row>
    <row r="64" spans="1:8" ht="24" customHeight="1" x14ac:dyDescent="0.2">
      <c r="A64" s="1"/>
      <c r="B64" s="1"/>
      <c r="C64" s="2" t="s">
        <v>10</v>
      </c>
      <c r="D64" s="1"/>
      <c r="E64" s="1"/>
      <c r="F64" s="12"/>
      <c r="G64" s="12"/>
      <c r="H64" s="51"/>
    </row>
    <row r="65" spans="1:8" ht="14.1" customHeight="1" x14ac:dyDescent="0.2">
      <c r="A65" s="1"/>
      <c r="B65" s="1"/>
      <c r="C65" s="2" t="s">
        <v>129</v>
      </c>
      <c r="D65" s="1"/>
      <c r="E65" s="1" t="s">
        <v>130</v>
      </c>
      <c r="F65" s="13">
        <v>0</v>
      </c>
      <c r="G65" s="14">
        <v>0</v>
      </c>
      <c r="H65" s="51"/>
    </row>
    <row r="66" spans="1:8" ht="14.1" customHeight="1" x14ac:dyDescent="0.2">
      <c r="A66" s="1"/>
      <c r="B66" s="1"/>
      <c r="C66" s="11"/>
      <c r="D66" s="1"/>
      <c r="E66" s="1"/>
      <c r="F66" s="12"/>
      <c r="G66" s="12"/>
      <c r="H66" s="51"/>
    </row>
    <row r="67" spans="1:8" ht="14.1" customHeight="1" x14ac:dyDescent="0.2">
      <c r="A67" s="1"/>
      <c r="B67" s="1"/>
      <c r="C67" s="2" t="s">
        <v>138</v>
      </c>
      <c r="D67" s="1"/>
      <c r="E67" s="1"/>
      <c r="F67" s="1"/>
      <c r="G67" s="1"/>
      <c r="H67" s="51"/>
    </row>
    <row r="68" spans="1:8" ht="14.1" customHeight="1" x14ac:dyDescent="0.2">
      <c r="A68" s="1"/>
      <c r="B68" s="1"/>
      <c r="C68" s="2" t="s">
        <v>129</v>
      </c>
      <c r="D68" s="1"/>
      <c r="E68" s="1" t="s">
        <v>130</v>
      </c>
      <c r="F68" s="13">
        <v>0</v>
      </c>
      <c r="G68" s="14">
        <v>0</v>
      </c>
      <c r="H68" s="51"/>
    </row>
    <row r="69" spans="1:8" ht="14.1" customHeight="1" x14ac:dyDescent="0.2">
      <c r="A69" s="1"/>
      <c r="B69" s="1"/>
      <c r="C69" s="11"/>
      <c r="D69" s="1"/>
      <c r="E69" s="1"/>
      <c r="F69" s="12"/>
      <c r="G69" s="12"/>
      <c r="H69" s="51"/>
    </row>
    <row r="70" spans="1:8" ht="14.1" customHeight="1" x14ac:dyDescent="0.2">
      <c r="A70" s="1"/>
      <c r="B70" s="1"/>
      <c r="C70" s="2" t="s">
        <v>139</v>
      </c>
      <c r="D70" s="1"/>
      <c r="E70" s="1"/>
      <c r="F70" s="1"/>
      <c r="G70" s="1"/>
      <c r="H70" s="51"/>
    </row>
    <row r="71" spans="1:8" ht="14.1" customHeight="1" x14ac:dyDescent="0.2">
      <c r="A71" s="1"/>
      <c r="B71" s="1"/>
      <c r="C71" s="2" t="s">
        <v>129</v>
      </c>
      <c r="D71" s="1"/>
      <c r="E71" s="1" t="s">
        <v>130</v>
      </c>
      <c r="F71" s="13">
        <v>0</v>
      </c>
      <c r="G71" s="14">
        <v>0</v>
      </c>
      <c r="H71" s="51"/>
    </row>
    <row r="72" spans="1:8" ht="14.1" customHeight="1" x14ac:dyDescent="0.2">
      <c r="A72" s="1"/>
      <c r="B72" s="1"/>
      <c r="C72" s="11"/>
      <c r="D72" s="1"/>
      <c r="E72" s="1"/>
      <c r="F72" s="12"/>
      <c r="G72" s="12"/>
      <c r="H72" s="51"/>
    </row>
    <row r="73" spans="1:8" ht="14.1" customHeight="1" x14ac:dyDescent="0.2">
      <c r="A73" s="1"/>
      <c r="B73" s="1"/>
      <c r="C73" s="2" t="s">
        <v>140</v>
      </c>
      <c r="D73" s="1"/>
      <c r="E73" s="1"/>
      <c r="F73" s="12"/>
      <c r="G73" s="12"/>
      <c r="H73" s="51"/>
    </row>
    <row r="74" spans="1:8" ht="14.1" customHeight="1" x14ac:dyDescent="0.2">
      <c r="A74" s="1"/>
      <c r="B74" s="1"/>
      <c r="C74" s="2" t="s">
        <v>129</v>
      </c>
      <c r="D74" s="1"/>
      <c r="E74" s="1" t="s">
        <v>130</v>
      </c>
      <c r="F74" s="13">
        <v>0</v>
      </c>
      <c r="G74" s="14">
        <v>0</v>
      </c>
      <c r="H74" s="51"/>
    </row>
    <row r="75" spans="1:8" ht="14.1" customHeight="1" x14ac:dyDescent="0.2">
      <c r="A75" s="1"/>
      <c r="B75" s="1"/>
      <c r="C75" s="11"/>
      <c r="D75" s="1"/>
      <c r="E75" s="1"/>
      <c r="F75" s="12"/>
      <c r="G75" s="12"/>
      <c r="H75" s="51"/>
    </row>
    <row r="76" spans="1:8" ht="14.1" customHeight="1" x14ac:dyDescent="0.2">
      <c r="A76" s="1"/>
      <c r="B76" s="1"/>
      <c r="C76" s="2" t="s">
        <v>141</v>
      </c>
      <c r="D76" s="1"/>
      <c r="E76" s="1"/>
      <c r="F76" s="9">
        <v>0</v>
      </c>
      <c r="G76" s="10">
        <v>0</v>
      </c>
      <c r="H76" s="51"/>
    </row>
    <row r="77" spans="1:8" ht="14.1" customHeight="1" x14ac:dyDescent="0.2">
      <c r="A77" s="1"/>
      <c r="B77" s="1"/>
      <c r="C77" s="11"/>
      <c r="D77" s="1"/>
      <c r="E77" s="1"/>
      <c r="F77" s="12"/>
      <c r="G77" s="12"/>
      <c r="H77" s="51"/>
    </row>
    <row r="78" spans="1:8" ht="14.1" customHeight="1" x14ac:dyDescent="0.2">
      <c r="A78" s="1"/>
      <c r="B78" s="1"/>
      <c r="C78" s="2" t="s">
        <v>142</v>
      </c>
      <c r="D78" s="1"/>
      <c r="E78" s="1"/>
      <c r="F78" s="12"/>
      <c r="G78" s="12"/>
      <c r="H78" s="51"/>
    </row>
    <row r="79" spans="1:8" ht="14.1" customHeight="1" x14ac:dyDescent="0.2">
      <c r="A79" s="1"/>
      <c r="B79" s="1"/>
      <c r="C79" s="2" t="s">
        <v>143</v>
      </c>
      <c r="D79" s="1"/>
      <c r="E79" s="1"/>
      <c r="F79" s="12"/>
      <c r="G79" s="12"/>
      <c r="H79" s="51"/>
    </row>
    <row r="80" spans="1:8" ht="14.1" customHeight="1" x14ac:dyDescent="0.2">
      <c r="A80" s="1"/>
      <c r="B80" s="1"/>
      <c r="C80" s="2" t="s">
        <v>129</v>
      </c>
      <c r="D80" s="1"/>
      <c r="E80" s="1" t="s">
        <v>130</v>
      </c>
      <c r="F80" s="13">
        <v>0</v>
      </c>
      <c r="G80" s="14">
        <v>0</v>
      </c>
      <c r="H80" s="51"/>
    </row>
    <row r="81" spans="1:8" ht="14.1" customHeight="1" x14ac:dyDescent="0.2">
      <c r="A81" s="1"/>
      <c r="B81" s="1"/>
      <c r="C81" s="11"/>
      <c r="D81" s="1"/>
      <c r="E81" s="1"/>
      <c r="F81" s="12"/>
      <c r="G81" s="12"/>
      <c r="H81" s="51"/>
    </row>
    <row r="82" spans="1:8" ht="14.1" customHeight="1" x14ac:dyDescent="0.2">
      <c r="A82" s="1"/>
      <c r="B82" s="1"/>
      <c r="C82" s="2" t="s">
        <v>144</v>
      </c>
      <c r="D82" s="1"/>
      <c r="E82" s="1"/>
      <c r="F82" s="12"/>
      <c r="G82" s="12"/>
      <c r="H82" s="51"/>
    </row>
    <row r="83" spans="1:8" ht="14.1" customHeight="1" x14ac:dyDescent="0.2">
      <c r="A83" s="1"/>
      <c r="B83" s="1"/>
      <c r="C83" s="2" t="s">
        <v>129</v>
      </c>
      <c r="D83" s="1"/>
      <c r="E83" s="1" t="s">
        <v>130</v>
      </c>
      <c r="F83" s="13">
        <v>0</v>
      </c>
      <c r="G83" s="14">
        <v>0</v>
      </c>
      <c r="H83" s="51"/>
    </row>
    <row r="84" spans="1:8" ht="14.1" customHeight="1" x14ac:dyDescent="0.2">
      <c r="A84" s="1"/>
      <c r="B84" s="1"/>
      <c r="C84" s="11"/>
      <c r="D84" s="1"/>
      <c r="E84" s="1"/>
      <c r="F84" s="12"/>
      <c r="G84" s="12"/>
      <c r="H84" s="51"/>
    </row>
    <row r="85" spans="1:8" ht="14.1" customHeight="1" x14ac:dyDescent="0.2">
      <c r="A85" s="1"/>
      <c r="B85" s="1"/>
      <c r="C85" s="2" t="s">
        <v>145</v>
      </c>
      <c r="D85" s="1"/>
      <c r="E85" s="1"/>
      <c r="F85" s="12"/>
      <c r="G85" s="12"/>
      <c r="H85" s="51"/>
    </row>
    <row r="86" spans="1:8" ht="14.1" customHeight="1" x14ac:dyDescent="0.2">
      <c r="A86" s="1"/>
      <c r="B86" s="1"/>
      <c r="C86" s="2" t="s">
        <v>129</v>
      </c>
      <c r="D86" s="1"/>
      <c r="E86" s="1" t="s">
        <v>130</v>
      </c>
      <c r="F86" s="13">
        <v>0</v>
      </c>
      <c r="G86" s="14">
        <v>0</v>
      </c>
      <c r="H86" s="51"/>
    </row>
    <row r="87" spans="1:8" ht="14.1" customHeight="1" x14ac:dyDescent="0.2">
      <c r="A87" s="1"/>
      <c r="B87" s="1"/>
      <c r="C87" s="11"/>
      <c r="D87" s="1"/>
      <c r="E87" s="1"/>
      <c r="F87" s="12"/>
      <c r="G87" s="12"/>
      <c r="H87" s="51"/>
    </row>
    <row r="88" spans="1:8" ht="14.1" customHeight="1" x14ac:dyDescent="0.2">
      <c r="A88" s="1"/>
      <c r="B88" s="1"/>
      <c r="C88" s="2" t="s">
        <v>146</v>
      </c>
      <c r="D88" s="1"/>
      <c r="E88" s="1"/>
      <c r="F88" s="12"/>
      <c r="G88" s="12"/>
      <c r="H88" s="51"/>
    </row>
    <row r="89" spans="1:8" ht="17.100000000000001" customHeight="1" x14ac:dyDescent="0.2">
      <c r="A89" s="3">
        <v>1</v>
      </c>
      <c r="B89" s="4"/>
      <c r="C89" s="4" t="s">
        <v>147</v>
      </c>
      <c r="D89" s="4"/>
      <c r="E89" s="8"/>
      <c r="F89" s="6">
        <v>49.030718999999998</v>
      </c>
      <c r="G89" s="7">
        <v>4.4877037000000002E-2</v>
      </c>
      <c r="H89" s="51">
        <v>6.1245112103248278</v>
      </c>
    </row>
    <row r="90" spans="1:8" ht="14.1" customHeight="1" x14ac:dyDescent="0.2">
      <c r="A90" s="1"/>
      <c r="B90" s="1"/>
      <c r="C90" s="2" t="s">
        <v>129</v>
      </c>
      <c r="D90" s="1"/>
      <c r="E90" s="1" t="s">
        <v>130</v>
      </c>
      <c r="F90" s="9">
        <v>49.030718999999998</v>
      </c>
      <c r="G90" s="10">
        <v>4.4877037000000002E-2</v>
      </c>
      <c r="H90" s="51"/>
    </row>
    <row r="91" spans="1:8" ht="14.1" customHeight="1" x14ac:dyDescent="0.2">
      <c r="A91" s="1"/>
      <c r="B91" s="1"/>
      <c r="C91" s="11"/>
      <c r="D91" s="1"/>
      <c r="E91" s="1"/>
      <c r="F91" s="12"/>
      <c r="G91" s="12"/>
      <c r="H91" s="51"/>
    </row>
    <row r="92" spans="1:8" ht="14.1" customHeight="1" x14ac:dyDescent="0.2">
      <c r="A92" s="1"/>
      <c r="B92" s="1"/>
      <c r="C92" s="2" t="s">
        <v>148</v>
      </c>
      <c r="D92" s="1"/>
      <c r="E92" s="1"/>
      <c r="F92" s="9">
        <v>49.030718999999998</v>
      </c>
      <c r="G92" s="10">
        <v>4.4877037000000002E-2</v>
      </c>
      <c r="H92" s="51"/>
    </row>
    <row r="93" spans="1:8" ht="14.1" customHeight="1" x14ac:dyDescent="0.2">
      <c r="A93" s="1"/>
      <c r="B93" s="1"/>
      <c r="C93" s="12"/>
      <c r="D93" s="1"/>
      <c r="E93" s="1"/>
      <c r="F93" s="1"/>
      <c r="G93" s="1"/>
      <c r="H93" s="51"/>
    </row>
    <row r="94" spans="1:8" ht="14.1" customHeight="1" x14ac:dyDescent="0.2">
      <c r="A94" s="1"/>
      <c r="B94" s="1"/>
      <c r="C94" s="2" t="s">
        <v>149</v>
      </c>
      <c r="D94" s="1"/>
      <c r="E94" s="1"/>
      <c r="F94" s="1"/>
      <c r="G94" s="1"/>
      <c r="H94" s="51"/>
    </row>
    <row r="95" spans="1:8" ht="14.1" customHeight="1" x14ac:dyDescent="0.2">
      <c r="A95" s="1"/>
      <c r="B95" s="1"/>
      <c r="C95" s="2" t="s">
        <v>150</v>
      </c>
      <c r="D95" s="1"/>
      <c r="E95" s="1"/>
      <c r="F95" s="1"/>
      <c r="G95" s="1"/>
      <c r="H95" s="51"/>
    </row>
    <row r="96" spans="1:8" ht="14.1" customHeight="1" x14ac:dyDescent="0.2">
      <c r="A96" s="1"/>
      <c r="B96" s="1"/>
      <c r="C96" s="2" t="s">
        <v>129</v>
      </c>
      <c r="D96" s="1"/>
      <c r="E96" s="1" t="s">
        <v>130</v>
      </c>
      <c r="F96" s="13">
        <v>0</v>
      </c>
      <c r="G96" s="14">
        <v>0</v>
      </c>
      <c r="H96" s="51"/>
    </row>
    <row r="97" spans="1:8" ht="14.1" customHeight="1" x14ac:dyDescent="0.2">
      <c r="A97" s="1"/>
      <c r="B97" s="1"/>
      <c r="C97" s="11"/>
      <c r="D97" s="1"/>
      <c r="E97" s="1"/>
      <c r="F97" s="12"/>
      <c r="G97" s="12"/>
      <c r="H97" s="51"/>
    </row>
    <row r="98" spans="1:8" ht="14.1" customHeight="1" x14ac:dyDescent="0.2">
      <c r="A98" s="1"/>
      <c r="B98" s="1"/>
      <c r="C98" s="2" t="s">
        <v>151</v>
      </c>
      <c r="D98" s="1"/>
      <c r="E98" s="1"/>
      <c r="F98" s="1"/>
      <c r="G98" s="1"/>
      <c r="H98" s="51"/>
    </row>
    <row r="99" spans="1:8" ht="14.1" customHeight="1" x14ac:dyDescent="0.2">
      <c r="A99" s="1"/>
      <c r="B99" s="1"/>
      <c r="C99" s="2" t="s">
        <v>152</v>
      </c>
      <c r="D99" s="1"/>
      <c r="E99" s="1"/>
      <c r="F99" s="1"/>
      <c r="G99" s="1"/>
      <c r="H99" s="51"/>
    </row>
    <row r="100" spans="1:8" ht="14.1" customHeight="1" x14ac:dyDescent="0.2">
      <c r="A100" s="1"/>
      <c r="B100" s="1"/>
      <c r="C100" s="2" t="s">
        <v>129</v>
      </c>
      <c r="D100" s="1"/>
      <c r="E100" s="1" t="s">
        <v>130</v>
      </c>
      <c r="F100" s="13">
        <v>0</v>
      </c>
      <c r="G100" s="14">
        <v>0</v>
      </c>
      <c r="H100" s="51"/>
    </row>
    <row r="101" spans="1:8" ht="14.1" customHeight="1" x14ac:dyDescent="0.2">
      <c r="A101" s="1"/>
      <c r="B101" s="1"/>
      <c r="C101" s="11"/>
      <c r="D101" s="1"/>
      <c r="E101" s="1"/>
      <c r="F101" s="12"/>
      <c r="G101" s="12"/>
      <c r="H101" s="51"/>
    </row>
    <row r="102" spans="1:8" ht="14.1" customHeight="1" x14ac:dyDescent="0.2">
      <c r="A102" s="1"/>
      <c r="B102" s="1"/>
      <c r="C102" s="11"/>
      <c r="D102" s="1"/>
      <c r="E102" s="1"/>
      <c r="F102" s="12"/>
      <c r="G102" s="12"/>
      <c r="H102" s="51"/>
    </row>
    <row r="103" spans="1:8" ht="24" customHeight="1" x14ac:dyDescent="0.2">
      <c r="A103" s="1"/>
      <c r="B103" s="1"/>
      <c r="C103" s="2" t="s">
        <v>153</v>
      </c>
      <c r="D103" s="1"/>
      <c r="E103" s="1"/>
      <c r="F103" s="12"/>
      <c r="G103" s="12"/>
      <c r="H103" s="51"/>
    </row>
    <row r="104" spans="1:8" ht="14.1" customHeight="1" x14ac:dyDescent="0.2">
      <c r="A104" s="1"/>
      <c r="B104" s="1"/>
      <c r="C104" s="2" t="s">
        <v>129</v>
      </c>
      <c r="D104" s="1"/>
      <c r="E104" s="1" t="s">
        <v>130</v>
      </c>
      <c r="F104" s="13">
        <v>0</v>
      </c>
      <c r="G104" s="14">
        <v>0</v>
      </c>
      <c r="H104" s="51"/>
    </row>
    <row r="105" spans="1:8" ht="14.1" customHeight="1" x14ac:dyDescent="0.2">
      <c r="A105" s="1"/>
      <c r="B105" s="1"/>
      <c r="C105" s="11"/>
      <c r="D105" s="1"/>
      <c r="E105" s="1"/>
      <c r="F105" s="12"/>
      <c r="G105" s="12"/>
      <c r="H105" s="51"/>
    </row>
    <row r="106" spans="1:8" ht="14.1" customHeight="1" x14ac:dyDescent="0.2">
      <c r="A106" s="1"/>
      <c r="B106" s="4"/>
      <c r="C106" s="4"/>
      <c r="D106" s="2"/>
      <c r="E106" s="1"/>
      <c r="F106" s="4"/>
      <c r="G106" s="8"/>
      <c r="H106" s="51"/>
    </row>
    <row r="107" spans="1:8" ht="18" customHeight="1" x14ac:dyDescent="0.2">
      <c r="A107" s="8"/>
      <c r="B107" s="4"/>
      <c r="C107" s="4" t="s">
        <v>154</v>
      </c>
      <c r="D107" s="4"/>
      <c r="E107" s="8"/>
      <c r="F107" s="6">
        <v>1.9920727</v>
      </c>
      <c r="G107" s="7">
        <v>1.8233119999999999E-3</v>
      </c>
      <c r="H107" s="51"/>
    </row>
    <row r="108" spans="1:8" ht="14.1" customHeight="1" x14ac:dyDescent="0.2">
      <c r="A108" s="11"/>
      <c r="B108" s="11"/>
      <c r="C108" s="2" t="s">
        <v>155</v>
      </c>
      <c r="D108" s="15"/>
      <c r="E108" s="15"/>
      <c r="F108" s="9">
        <v>1092.5569556999999</v>
      </c>
      <c r="G108" s="10">
        <v>0.99999999799999995</v>
      </c>
      <c r="H108" s="51"/>
    </row>
    <row r="109" spans="1:8" ht="14.1" customHeight="1" x14ac:dyDescent="0.2">
      <c r="A109" s="16"/>
      <c r="B109" s="16"/>
      <c r="C109" s="16"/>
      <c r="D109" s="17"/>
      <c r="E109" s="17"/>
      <c r="F109" s="17"/>
      <c r="G109" s="17"/>
    </row>
    <row r="110" spans="1:8" ht="14.1" customHeight="1" x14ac:dyDescent="0.2">
      <c r="A110" s="18"/>
      <c r="B110" s="327" t="s">
        <v>130</v>
      </c>
      <c r="C110" s="327"/>
      <c r="D110" s="327"/>
      <c r="E110" s="327"/>
      <c r="F110" s="327"/>
      <c r="G110" s="20"/>
    </row>
    <row r="111" spans="1:8" ht="14.1" customHeight="1" x14ac:dyDescent="0.2">
      <c r="A111" s="18"/>
      <c r="B111" s="327" t="s">
        <v>130</v>
      </c>
      <c r="C111" s="327"/>
      <c r="D111" s="327"/>
      <c r="E111" s="327"/>
      <c r="F111" s="327"/>
      <c r="G111" s="20"/>
    </row>
    <row r="112" spans="1:8" ht="14.1" customHeight="1" x14ac:dyDescent="0.2">
      <c r="A112" s="18"/>
      <c r="B112" s="18"/>
      <c r="C112" s="18"/>
      <c r="D112" s="20"/>
      <c r="E112" s="20"/>
      <c r="F112" s="20"/>
      <c r="G112" s="20"/>
    </row>
    <row r="113" spans="1:14" ht="14.1" customHeight="1" x14ac:dyDescent="0.2">
      <c r="A113" s="18"/>
      <c r="B113" s="325" t="s">
        <v>157</v>
      </c>
      <c r="C113" s="326"/>
      <c r="D113" s="12" t="s">
        <v>130</v>
      </c>
      <c r="E113" s="21"/>
      <c r="F113" s="20"/>
      <c r="G113" s="20"/>
    </row>
    <row r="114" spans="1:14" ht="29.1" customHeight="1" x14ac:dyDescent="0.2">
      <c r="A114" s="18"/>
      <c r="B114" s="318" t="s">
        <v>158</v>
      </c>
      <c r="C114" s="319"/>
      <c r="D114" s="2" t="s">
        <v>159</v>
      </c>
      <c r="E114" s="21"/>
      <c r="F114" s="20"/>
      <c r="G114" s="20"/>
    </row>
    <row r="115" spans="1:14" ht="17.100000000000001" customHeight="1" x14ac:dyDescent="0.2">
      <c r="A115" s="18"/>
      <c r="B115" s="318" t="s">
        <v>160</v>
      </c>
      <c r="C115" s="319"/>
      <c r="D115" s="2" t="s">
        <v>159</v>
      </c>
      <c r="E115" s="21"/>
      <c r="F115" s="20"/>
      <c r="G115" s="20"/>
    </row>
    <row r="116" spans="1:14" ht="17.100000000000001" customHeight="1" x14ac:dyDescent="0.2">
      <c r="A116" s="18"/>
      <c r="B116" s="318" t="s">
        <v>161</v>
      </c>
      <c r="C116" s="319"/>
      <c r="D116" s="12" t="s">
        <v>130</v>
      </c>
      <c r="E116" s="21"/>
      <c r="F116" s="20"/>
      <c r="G116" s="20"/>
    </row>
    <row r="117" spans="1:14" ht="24" customHeight="1" x14ac:dyDescent="0.2">
      <c r="A117" s="22"/>
      <c r="B117" s="23" t="s">
        <v>130</v>
      </c>
      <c r="C117" s="23" t="s">
        <v>162</v>
      </c>
      <c r="D117" s="23" t="s">
        <v>163</v>
      </c>
      <c r="E117" s="22"/>
      <c r="F117" s="22"/>
      <c r="G117" s="22"/>
    </row>
    <row r="118" spans="1:14" ht="18" customHeight="1" x14ac:dyDescent="0.2">
      <c r="A118" s="22"/>
      <c r="B118" s="23" t="s">
        <v>164</v>
      </c>
      <c r="C118" s="23" t="s">
        <v>165</v>
      </c>
      <c r="D118" s="23" t="s">
        <v>166</v>
      </c>
      <c r="E118" s="22"/>
      <c r="F118" s="22"/>
      <c r="G118" s="22"/>
    </row>
    <row r="119" spans="1:14" ht="17.100000000000001" customHeight="1" x14ac:dyDescent="0.2">
      <c r="A119" s="22"/>
      <c r="B119" s="4" t="s">
        <v>167</v>
      </c>
      <c r="C119" s="24">
        <v>25.082599999999999</v>
      </c>
      <c r="D119" s="24">
        <v>24.378499999999999</v>
      </c>
      <c r="E119" s="22"/>
      <c r="F119" s="19"/>
      <c r="G119" s="25"/>
    </row>
    <row r="120" spans="1:14" ht="17.100000000000001" customHeight="1" x14ac:dyDescent="0.2">
      <c r="A120" s="22"/>
      <c r="B120" s="4" t="s">
        <v>1067</v>
      </c>
      <c r="C120" s="24">
        <v>20.322900000000001</v>
      </c>
      <c r="D120" s="24">
        <v>19.752400000000002</v>
      </c>
      <c r="E120" s="22"/>
      <c r="F120" s="19"/>
      <c r="G120" s="25"/>
    </row>
    <row r="121" spans="1:14" ht="17.100000000000001" customHeight="1" x14ac:dyDescent="0.2">
      <c r="A121" s="22"/>
      <c r="B121" s="4" t="s">
        <v>168</v>
      </c>
      <c r="C121" s="24">
        <v>24.4815</v>
      </c>
      <c r="D121" s="24">
        <v>23.790700000000001</v>
      </c>
      <c r="E121" s="22"/>
      <c r="F121" s="19"/>
      <c r="G121" s="25"/>
    </row>
    <row r="122" spans="1:14" ht="17.100000000000001" customHeight="1" x14ac:dyDescent="0.2">
      <c r="A122" s="22"/>
      <c r="B122" s="4" t="s">
        <v>1068</v>
      </c>
      <c r="C122" s="24">
        <v>19.759599999999999</v>
      </c>
      <c r="D122" s="24">
        <v>19.202100000000002</v>
      </c>
      <c r="E122" s="22"/>
      <c r="F122" s="19"/>
      <c r="G122" s="25"/>
    </row>
    <row r="123" spans="1:14" ht="14.1" customHeight="1" x14ac:dyDescent="0.2">
      <c r="A123" s="22"/>
      <c r="B123" s="22"/>
      <c r="C123" s="22"/>
      <c r="D123" s="22"/>
      <c r="E123" s="22"/>
      <c r="F123" s="22"/>
      <c r="G123" s="22"/>
    </row>
    <row r="124" spans="1:14" ht="17.100000000000001" customHeight="1" x14ac:dyDescent="0.2">
      <c r="A124" s="22"/>
      <c r="B124" s="318" t="s">
        <v>1069</v>
      </c>
      <c r="C124" s="319"/>
      <c r="D124" s="111" t="s">
        <v>159</v>
      </c>
      <c r="E124" s="22"/>
      <c r="F124" s="22"/>
      <c r="G124" s="22"/>
    </row>
    <row r="125" spans="1:14" ht="18" customHeight="1" x14ac:dyDescent="0.2">
      <c r="A125" s="22"/>
      <c r="B125" s="26"/>
      <c r="C125" s="26"/>
      <c r="D125" s="27"/>
      <c r="E125" s="22"/>
      <c r="F125" s="22"/>
      <c r="G125" s="22"/>
    </row>
    <row r="126" spans="1:14" ht="29.1" customHeight="1" x14ac:dyDescent="0.2">
      <c r="A126" s="22"/>
      <c r="B126" s="318" t="s">
        <v>169</v>
      </c>
      <c r="C126" s="319"/>
      <c r="D126" s="2" t="s">
        <v>159</v>
      </c>
      <c r="E126" s="22"/>
      <c r="F126" s="22"/>
      <c r="G126" s="22"/>
    </row>
    <row r="127" spans="1:14" ht="29.1" customHeight="1" x14ac:dyDescent="0.2">
      <c r="A127" s="22"/>
      <c r="B127" s="318" t="s">
        <v>170</v>
      </c>
      <c r="C127" s="319"/>
      <c r="D127" s="2" t="s">
        <v>159</v>
      </c>
      <c r="E127" s="22"/>
      <c r="F127" s="22"/>
      <c r="G127" s="22"/>
      <c r="J127" s="158"/>
      <c r="K127" s="158"/>
      <c r="L127" s="158"/>
      <c r="M127" s="158"/>
      <c r="N127" s="158"/>
    </row>
    <row r="128" spans="1:14" ht="17.100000000000001" customHeight="1" x14ac:dyDescent="0.2">
      <c r="A128" s="22"/>
      <c r="B128" s="318" t="s">
        <v>171</v>
      </c>
      <c r="C128" s="319"/>
      <c r="D128" s="28">
        <v>4.7560399743174407E-2</v>
      </c>
      <c r="E128" s="22"/>
      <c r="F128" s="19"/>
      <c r="G128" s="25"/>
    </row>
    <row r="129" spans="1:7" ht="17.100000000000001" customHeight="1" x14ac:dyDescent="0.2">
      <c r="A129" s="22"/>
      <c r="B129" s="318" t="s">
        <v>172</v>
      </c>
      <c r="C129" s="319"/>
      <c r="D129" s="2" t="s">
        <v>159</v>
      </c>
      <c r="E129" s="22"/>
      <c r="F129" s="22"/>
      <c r="G129" s="22"/>
    </row>
  </sheetData>
  <mergeCells count="15">
    <mergeCell ref="A1:H1"/>
    <mergeCell ref="A2:H2"/>
    <mergeCell ref="A3:H3"/>
    <mergeCell ref="J2:N2"/>
    <mergeCell ref="B128:C128"/>
    <mergeCell ref="B113:C113"/>
    <mergeCell ref="B110:F110"/>
    <mergeCell ref="B111:F111"/>
    <mergeCell ref="B129:C129"/>
    <mergeCell ref="B114:C114"/>
    <mergeCell ref="B115:C115"/>
    <mergeCell ref="B116:C116"/>
    <mergeCell ref="B124:C124"/>
    <mergeCell ref="B126:C126"/>
    <mergeCell ref="B127:C127"/>
  </mergeCells>
  <hyperlinks>
    <hyperlink ref="I1" location="Index!B18" display="Index" xr:uid="{05416120-B939-45F8-9CA6-D0808825021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N15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493</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102</v>
      </c>
      <c r="C7" s="4" t="s">
        <v>103</v>
      </c>
      <c r="D7" s="4" t="s">
        <v>104</v>
      </c>
      <c r="E7" s="5">
        <v>65253</v>
      </c>
      <c r="F7" s="6">
        <v>277.87990050000002</v>
      </c>
      <c r="G7" s="7">
        <v>4.0118238000000001E-2</v>
      </c>
      <c r="H7" s="51"/>
    </row>
    <row r="8" spans="1:14" ht="17.100000000000001" customHeight="1" x14ac:dyDescent="0.2">
      <c r="A8" s="3">
        <v>2</v>
      </c>
      <c r="B8" s="4" t="s">
        <v>401</v>
      </c>
      <c r="C8" s="4" t="s">
        <v>402</v>
      </c>
      <c r="D8" s="4" t="s">
        <v>223</v>
      </c>
      <c r="E8" s="5">
        <v>37699</v>
      </c>
      <c r="F8" s="6">
        <v>248.775701</v>
      </c>
      <c r="G8" s="7">
        <v>3.5916389999999999E-2</v>
      </c>
      <c r="H8" s="51"/>
    </row>
    <row r="9" spans="1:14" ht="17.100000000000001" customHeight="1" x14ac:dyDescent="0.2">
      <c r="A9" s="3">
        <v>3</v>
      </c>
      <c r="B9" s="4" t="s">
        <v>29</v>
      </c>
      <c r="C9" s="4" t="s">
        <v>30</v>
      </c>
      <c r="D9" s="4" t="s">
        <v>31</v>
      </c>
      <c r="E9" s="5">
        <v>12434</v>
      </c>
      <c r="F9" s="6">
        <v>248.43753699999999</v>
      </c>
      <c r="G9" s="7">
        <v>3.5867568000000002E-2</v>
      </c>
      <c r="H9" s="51"/>
    </row>
    <row r="10" spans="1:14" ht="17.100000000000001" customHeight="1" x14ac:dyDescent="0.2">
      <c r="A10" s="3">
        <v>4</v>
      </c>
      <c r="B10" s="4" t="s">
        <v>385</v>
      </c>
      <c r="C10" s="4" t="s">
        <v>386</v>
      </c>
      <c r="D10" s="4" t="s">
        <v>104</v>
      </c>
      <c r="E10" s="5">
        <v>37592</v>
      </c>
      <c r="F10" s="6">
        <v>239.02873199999999</v>
      </c>
      <c r="G10" s="7">
        <v>3.4509194999999999E-2</v>
      </c>
      <c r="H10" s="51"/>
    </row>
    <row r="11" spans="1:14" ht="17.100000000000001" customHeight="1" x14ac:dyDescent="0.2">
      <c r="A11" s="3">
        <v>5</v>
      </c>
      <c r="B11" s="4" t="s">
        <v>82</v>
      </c>
      <c r="C11" s="4" t="s">
        <v>83</v>
      </c>
      <c r="D11" s="4" t="s">
        <v>31</v>
      </c>
      <c r="E11" s="5">
        <v>15897</v>
      </c>
      <c r="F11" s="6">
        <v>229.75934100000001</v>
      </c>
      <c r="G11" s="7">
        <v>3.3170948999999998E-2</v>
      </c>
      <c r="H11" s="51"/>
    </row>
    <row r="12" spans="1:14" ht="29.1" customHeight="1" x14ac:dyDescent="0.2">
      <c r="A12" s="3">
        <v>6</v>
      </c>
      <c r="B12" s="4" t="s">
        <v>182</v>
      </c>
      <c r="C12" s="4" t="s">
        <v>183</v>
      </c>
      <c r="D12" s="4" t="s">
        <v>184</v>
      </c>
      <c r="E12" s="5">
        <v>4936</v>
      </c>
      <c r="F12" s="6">
        <v>221.66835599999999</v>
      </c>
      <c r="G12" s="7">
        <v>3.2002833000000001E-2</v>
      </c>
      <c r="H12" s="51"/>
      <c r="J12" s="157" t="s">
        <v>1098</v>
      </c>
    </row>
    <row r="13" spans="1:14" ht="17.100000000000001" customHeight="1" x14ac:dyDescent="0.2">
      <c r="A13" s="3">
        <v>7</v>
      </c>
      <c r="B13" s="4" t="s">
        <v>313</v>
      </c>
      <c r="C13" s="4" t="s">
        <v>314</v>
      </c>
      <c r="D13" s="4" t="s">
        <v>315</v>
      </c>
      <c r="E13" s="5">
        <v>16028</v>
      </c>
      <c r="F13" s="6">
        <v>218.30135999999999</v>
      </c>
      <c r="G13" s="7">
        <v>3.1516730999999999E-2</v>
      </c>
      <c r="H13" s="51"/>
    </row>
    <row r="14" spans="1:14" ht="17.100000000000001" customHeight="1" x14ac:dyDescent="0.2">
      <c r="A14" s="3">
        <v>8</v>
      </c>
      <c r="B14" s="4" t="s">
        <v>32</v>
      </c>
      <c r="C14" s="4" t="s">
        <v>33</v>
      </c>
      <c r="D14" s="4" t="s">
        <v>31</v>
      </c>
      <c r="E14" s="5">
        <v>10116</v>
      </c>
      <c r="F14" s="6">
        <v>208.809414</v>
      </c>
      <c r="G14" s="7">
        <v>3.0146354E-2</v>
      </c>
      <c r="H14" s="51"/>
    </row>
    <row r="15" spans="1:14" ht="17.100000000000001" customHeight="1" x14ac:dyDescent="0.2">
      <c r="A15" s="3">
        <v>9</v>
      </c>
      <c r="B15" s="4" t="s">
        <v>387</v>
      </c>
      <c r="C15" s="4" t="s">
        <v>388</v>
      </c>
      <c r="D15" s="4" t="s">
        <v>208</v>
      </c>
      <c r="E15" s="5">
        <v>72529</v>
      </c>
      <c r="F15" s="6">
        <v>207.50546900000001</v>
      </c>
      <c r="G15" s="7">
        <v>2.9958100000000001E-2</v>
      </c>
      <c r="H15" s="51"/>
    </row>
    <row r="16" spans="1:14" ht="17.100000000000001" customHeight="1" x14ac:dyDescent="0.2">
      <c r="A16" s="3">
        <v>10</v>
      </c>
      <c r="B16" s="4" t="s">
        <v>90</v>
      </c>
      <c r="C16" s="4" t="s">
        <v>91</v>
      </c>
      <c r="D16" s="4" t="s">
        <v>92</v>
      </c>
      <c r="E16" s="5">
        <v>40332</v>
      </c>
      <c r="F16" s="6">
        <v>205.16888399999999</v>
      </c>
      <c r="G16" s="7">
        <v>2.9620760999999999E-2</v>
      </c>
      <c r="H16" s="51"/>
    </row>
    <row r="17" spans="1:8" ht="17.100000000000001" customHeight="1" x14ac:dyDescent="0.2">
      <c r="A17" s="3">
        <v>11</v>
      </c>
      <c r="B17" s="4" t="s">
        <v>379</v>
      </c>
      <c r="C17" s="4" t="s">
        <v>380</v>
      </c>
      <c r="D17" s="4" t="s">
        <v>97</v>
      </c>
      <c r="E17" s="5">
        <v>192978</v>
      </c>
      <c r="F17" s="6">
        <v>191.33768699999999</v>
      </c>
      <c r="G17" s="7">
        <v>2.7623915999999998E-2</v>
      </c>
      <c r="H17" s="51"/>
    </row>
    <row r="18" spans="1:8" ht="17.100000000000001" customHeight="1" x14ac:dyDescent="0.2">
      <c r="A18" s="3">
        <v>12</v>
      </c>
      <c r="B18" s="4" t="s">
        <v>411</v>
      </c>
      <c r="C18" s="4" t="s">
        <v>412</v>
      </c>
      <c r="D18" s="4" t="s">
        <v>13</v>
      </c>
      <c r="E18" s="5">
        <v>44883</v>
      </c>
      <c r="F18" s="6">
        <v>189.13696200000001</v>
      </c>
      <c r="G18" s="7">
        <v>2.7306191E-2</v>
      </c>
      <c r="H18" s="51"/>
    </row>
    <row r="19" spans="1:8" ht="17.100000000000001" customHeight="1" x14ac:dyDescent="0.2">
      <c r="A19" s="3">
        <v>13</v>
      </c>
      <c r="B19" s="4" t="s">
        <v>302</v>
      </c>
      <c r="C19" s="4" t="s">
        <v>303</v>
      </c>
      <c r="D19" s="4" t="s">
        <v>251</v>
      </c>
      <c r="E19" s="5">
        <v>36966</v>
      </c>
      <c r="F19" s="6">
        <v>188.988675</v>
      </c>
      <c r="G19" s="7">
        <v>2.7284783E-2</v>
      </c>
      <c r="H19" s="51"/>
    </row>
    <row r="20" spans="1:8" ht="17.100000000000001" customHeight="1" x14ac:dyDescent="0.2">
      <c r="A20" s="3">
        <v>14</v>
      </c>
      <c r="B20" s="4" t="s">
        <v>319</v>
      </c>
      <c r="C20" s="4" t="s">
        <v>320</v>
      </c>
      <c r="D20" s="4" t="s">
        <v>248</v>
      </c>
      <c r="E20" s="5">
        <v>12562</v>
      </c>
      <c r="F20" s="6">
        <v>187.016775</v>
      </c>
      <c r="G20" s="7">
        <v>2.7000093999999999E-2</v>
      </c>
      <c r="H20" s="51"/>
    </row>
    <row r="21" spans="1:8" ht="17.100000000000001" customHeight="1" x14ac:dyDescent="0.2">
      <c r="A21" s="3">
        <v>15</v>
      </c>
      <c r="B21" s="4" t="s">
        <v>383</v>
      </c>
      <c r="C21" s="4" t="s">
        <v>384</v>
      </c>
      <c r="D21" s="4" t="s">
        <v>104</v>
      </c>
      <c r="E21" s="5">
        <v>11132</v>
      </c>
      <c r="F21" s="6">
        <v>183.61677399999999</v>
      </c>
      <c r="G21" s="7">
        <v>2.6509227E-2</v>
      </c>
      <c r="H21" s="51"/>
    </row>
    <row r="22" spans="1:8" ht="29.1" customHeight="1" x14ac:dyDescent="0.2">
      <c r="A22" s="3">
        <v>16</v>
      </c>
      <c r="B22" s="4" t="s">
        <v>399</v>
      </c>
      <c r="C22" s="4" t="s">
        <v>400</v>
      </c>
      <c r="D22" s="4" t="s">
        <v>48</v>
      </c>
      <c r="E22" s="5">
        <v>6607</v>
      </c>
      <c r="F22" s="6">
        <v>177.57633899999999</v>
      </c>
      <c r="G22" s="7">
        <v>2.5637153999999999E-2</v>
      </c>
      <c r="H22" s="51"/>
    </row>
    <row r="23" spans="1:8" ht="29.1" customHeight="1" x14ac:dyDescent="0.2">
      <c r="A23" s="3">
        <v>17</v>
      </c>
      <c r="B23" s="4" t="s">
        <v>470</v>
      </c>
      <c r="C23" s="4" t="s">
        <v>471</v>
      </c>
      <c r="D23" s="4" t="s">
        <v>472</v>
      </c>
      <c r="E23" s="5">
        <v>32139</v>
      </c>
      <c r="F23" s="6">
        <v>142.1990055</v>
      </c>
      <c r="G23" s="7">
        <v>2.0529637E-2</v>
      </c>
      <c r="H23" s="51"/>
    </row>
    <row r="24" spans="1:8" ht="29.1" customHeight="1" x14ac:dyDescent="0.2">
      <c r="A24" s="3">
        <v>18</v>
      </c>
      <c r="B24" s="4" t="s">
        <v>63</v>
      </c>
      <c r="C24" s="4" t="s">
        <v>64</v>
      </c>
      <c r="D24" s="4" t="s">
        <v>25</v>
      </c>
      <c r="E24" s="5">
        <v>5414</v>
      </c>
      <c r="F24" s="6">
        <v>142.152691</v>
      </c>
      <c r="G24" s="7">
        <v>2.0522951000000001E-2</v>
      </c>
      <c r="H24" s="51"/>
    </row>
    <row r="25" spans="1:8" ht="17.100000000000001" customHeight="1" x14ac:dyDescent="0.2">
      <c r="A25" s="3">
        <v>19</v>
      </c>
      <c r="B25" s="4" t="s">
        <v>389</v>
      </c>
      <c r="C25" s="4" t="s">
        <v>390</v>
      </c>
      <c r="D25" s="4" t="s">
        <v>248</v>
      </c>
      <c r="E25" s="5">
        <v>18794</v>
      </c>
      <c r="F25" s="6">
        <v>135.016096</v>
      </c>
      <c r="G25" s="7">
        <v>1.9492622000000001E-2</v>
      </c>
      <c r="H25" s="51"/>
    </row>
    <row r="26" spans="1:8" ht="17.100000000000001" customHeight="1" x14ac:dyDescent="0.2">
      <c r="A26" s="3">
        <v>20</v>
      </c>
      <c r="B26" s="4" t="s">
        <v>393</v>
      </c>
      <c r="C26" s="4" t="s">
        <v>394</v>
      </c>
      <c r="D26" s="4" t="s">
        <v>97</v>
      </c>
      <c r="E26" s="5">
        <v>15340</v>
      </c>
      <c r="F26" s="6">
        <v>134.00256999999999</v>
      </c>
      <c r="G26" s="7">
        <v>1.9346296999999998E-2</v>
      </c>
      <c r="H26" s="51"/>
    </row>
    <row r="27" spans="1:8" ht="17.100000000000001" customHeight="1" x14ac:dyDescent="0.2">
      <c r="A27" s="3">
        <v>21</v>
      </c>
      <c r="B27" s="4" t="s">
        <v>409</v>
      </c>
      <c r="C27" s="4" t="s">
        <v>410</v>
      </c>
      <c r="D27" s="4" t="s">
        <v>104</v>
      </c>
      <c r="E27" s="5">
        <v>20256</v>
      </c>
      <c r="F27" s="6">
        <v>131.542464</v>
      </c>
      <c r="G27" s="7">
        <v>1.8991125000000001E-2</v>
      </c>
      <c r="H27" s="51"/>
    </row>
    <row r="28" spans="1:8" ht="17.100000000000001" customHeight="1" x14ac:dyDescent="0.2">
      <c r="A28" s="3">
        <v>22</v>
      </c>
      <c r="B28" s="4" t="s">
        <v>461</v>
      </c>
      <c r="C28" s="4" t="s">
        <v>462</v>
      </c>
      <c r="D28" s="4" t="s">
        <v>260</v>
      </c>
      <c r="E28" s="5">
        <v>38459</v>
      </c>
      <c r="F28" s="6">
        <v>128.87610900000001</v>
      </c>
      <c r="G28" s="7">
        <v>1.8606175999999999E-2</v>
      </c>
      <c r="H28" s="51"/>
    </row>
    <row r="29" spans="1:8" ht="29.1" customHeight="1" x14ac:dyDescent="0.2">
      <c r="A29" s="3">
        <v>23</v>
      </c>
      <c r="B29" s="4" t="s">
        <v>429</v>
      </c>
      <c r="C29" s="4" t="s">
        <v>430</v>
      </c>
      <c r="D29" s="4" t="s">
        <v>431</v>
      </c>
      <c r="E29" s="5">
        <v>96813</v>
      </c>
      <c r="F29" s="6">
        <v>128.7128835</v>
      </c>
      <c r="G29" s="7">
        <v>1.8582610999999999E-2</v>
      </c>
      <c r="H29" s="51"/>
    </row>
    <row r="30" spans="1:8" ht="17.100000000000001" customHeight="1" x14ac:dyDescent="0.2">
      <c r="A30" s="3">
        <v>24</v>
      </c>
      <c r="B30" s="4" t="s">
        <v>391</v>
      </c>
      <c r="C30" s="4" t="s">
        <v>392</v>
      </c>
      <c r="D30" s="4" t="s">
        <v>97</v>
      </c>
      <c r="E30" s="5">
        <v>26340</v>
      </c>
      <c r="F30" s="6">
        <v>126.37932000000001</v>
      </c>
      <c r="G30" s="7">
        <v>1.8245708999999999E-2</v>
      </c>
      <c r="H30" s="51"/>
    </row>
    <row r="31" spans="1:8" ht="17.100000000000001" customHeight="1" x14ac:dyDescent="0.2">
      <c r="A31" s="3">
        <v>25</v>
      </c>
      <c r="B31" s="4" t="s">
        <v>477</v>
      </c>
      <c r="C31" s="4" t="s">
        <v>478</v>
      </c>
      <c r="D31" s="4" t="s">
        <v>248</v>
      </c>
      <c r="E31" s="5">
        <v>65797</v>
      </c>
      <c r="F31" s="6">
        <v>122.711405</v>
      </c>
      <c r="G31" s="7">
        <v>1.7716162000000001E-2</v>
      </c>
      <c r="H31" s="51"/>
    </row>
    <row r="32" spans="1:8" ht="29.1" customHeight="1" x14ac:dyDescent="0.2">
      <c r="A32" s="3">
        <v>26</v>
      </c>
      <c r="B32" s="4" t="s">
        <v>407</v>
      </c>
      <c r="C32" s="4" t="s">
        <v>408</v>
      </c>
      <c r="D32" s="4" t="s">
        <v>203</v>
      </c>
      <c r="E32" s="5">
        <v>36034</v>
      </c>
      <c r="F32" s="6">
        <v>118.155486</v>
      </c>
      <c r="G32" s="7">
        <v>1.7058411999999998E-2</v>
      </c>
      <c r="H32" s="51"/>
    </row>
    <row r="33" spans="1:8" ht="29.1" customHeight="1" x14ac:dyDescent="0.2">
      <c r="A33" s="3">
        <v>27</v>
      </c>
      <c r="B33" s="4" t="s">
        <v>457</v>
      </c>
      <c r="C33" s="4" t="s">
        <v>458</v>
      </c>
      <c r="D33" s="4" t="s">
        <v>367</v>
      </c>
      <c r="E33" s="5">
        <v>18954</v>
      </c>
      <c r="F33" s="6">
        <v>113.297535</v>
      </c>
      <c r="G33" s="7">
        <v>1.6357057000000001E-2</v>
      </c>
      <c r="H33" s="51"/>
    </row>
    <row r="34" spans="1:8" ht="29.1" customHeight="1" x14ac:dyDescent="0.2">
      <c r="A34" s="3">
        <v>28</v>
      </c>
      <c r="B34" s="4" t="s">
        <v>316</v>
      </c>
      <c r="C34" s="4" t="s">
        <v>317</v>
      </c>
      <c r="D34" s="4" t="s">
        <v>318</v>
      </c>
      <c r="E34" s="5">
        <v>16350</v>
      </c>
      <c r="F34" s="6">
        <v>105.498375</v>
      </c>
      <c r="G34" s="7">
        <v>1.5231072999999999E-2</v>
      </c>
      <c r="H34" s="51"/>
    </row>
    <row r="35" spans="1:8" ht="17.100000000000001" customHeight="1" x14ac:dyDescent="0.2">
      <c r="A35" s="3">
        <v>29</v>
      </c>
      <c r="B35" s="4" t="s">
        <v>395</v>
      </c>
      <c r="C35" s="4" t="s">
        <v>396</v>
      </c>
      <c r="D35" s="4" t="s">
        <v>315</v>
      </c>
      <c r="E35" s="5">
        <v>8551</v>
      </c>
      <c r="F35" s="6">
        <v>104.2153125</v>
      </c>
      <c r="G35" s="7">
        <v>1.5045833999999999E-2</v>
      </c>
      <c r="H35" s="51"/>
    </row>
    <row r="36" spans="1:8" ht="29.1" customHeight="1" x14ac:dyDescent="0.2">
      <c r="A36" s="3">
        <v>30</v>
      </c>
      <c r="B36" s="4" t="s">
        <v>397</v>
      </c>
      <c r="C36" s="4" t="s">
        <v>398</v>
      </c>
      <c r="D36" s="4" t="s">
        <v>75</v>
      </c>
      <c r="E36" s="5">
        <v>6367</v>
      </c>
      <c r="F36" s="6">
        <v>100.83417900000001</v>
      </c>
      <c r="G36" s="7">
        <v>1.4557690999999999E-2</v>
      </c>
      <c r="H36" s="51"/>
    </row>
    <row r="37" spans="1:8" ht="17.100000000000001" customHeight="1" x14ac:dyDescent="0.2">
      <c r="A37" s="3">
        <v>31</v>
      </c>
      <c r="B37" s="4" t="s">
        <v>403</v>
      </c>
      <c r="C37" s="4" t="s">
        <v>404</v>
      </c>
      <c r="D37" s="4" t="s">
        <v>277</v>
      </c>
      <c r="E37" s="5">
        <v>12295</v>
      </c>
      <c r="F37" s="6">
        <v>97.487054999999998</v>
      </c>
      <c r="G37" s="7">
        <v>1.4074458E-2</v>
      </c>
      <c r="H37" s="51"/>
    </row>
    <row r="38" spans="1:8" ht="29.1" customHeight="1" x14ac:dyDescent="0.2">
      <c r="A38" s="3">
        <v>32</v>
      </c>
      <c r="B38" s="4" t="s">
        <v>413</v>
      </c>
      <c r="C38" s="4" t="s">
        <v>414</v>
      </c>
      <c r="D38" s="4" t="s">
        <v>367</v>
      </c>
      <c r="E38" s="5">
        <v>18519</v>
      </c>
      <c r="F38" s="6">
        <v>93.057974999999999</v>
      </c>
      <c r="G38" s="7">
        <v>1.3435020000000001E-2</v>
      </c>
      <c r="H38" s="51"/>
    </row>
    <row r="39" spans="1:8" ht="53.1" customHeight="1" x14ac:dyDescent="0.2">
      <c r="A39" s="3">
        <v>33</v>
      </c>
      <c r="B39" s="4" t="s">
        <v>335</v>
      </c>
      <c r="C39" s="4" t="s">
        <v>863</v>
      </c>
      <c r="D39" s="4" t="s">
        <v>45</v>
      </c>
      <c r="E39" s="5">
        <v>33472</v>
      </c>
      <c r="F39" s="6">
        <v>92.098208</v>
      </c>
      <c r="G39" s="7">
        <v>1.3296456E-2</v>
      </c>
      <c r="H39" s="51"/>
    </row>
    <row r="40" spans="1:8" ht="17.100000000000001" customHeight="1" x14ac:dyDescent="0.2">
      <c r="A40" s="3">
        <v>34</v>
      </c>
      <c r="B40" s="4" t="s">
        <v>432</v>
      </c>
      <c r="C40" s="4" t="s">
        <v>433</v>
      </c>
      <c r="D40" s="4" t="s">
        <v>192</v>
      </c>
      <c r="E40" s="5">
        <v>10328</v>
      </c>
      <c r="F40" s="6">
        <v>87.762180000000001</v>
      </c>
      <c r="G40" s="7">
        <v>1.2670452E-2</v>
      </c>
      <c r="H40" s="51"/>
    </row>
    <row r="41" spans="1:8" ht="17.100000000000001" customHeight="1" x14ac:dyDescent="0.2">
      <c r="A41" s="3">
        <v>35</v>
      </c>
      <c r="B41" s="4" t="s">
        <v>459</v>
      </c>
      <c r="C41" s="4" t="s">
        <v>460</v>
      </c>
      <c r="D41" s="4" t="s">
        <v>97</v>
      </c>
      <c r="E41" s="5">
        <v>124593</v>
      </c>
      <c r="F41" s="6">
        <v>82.667455500000003</v>
      </c>
      <c r="G41" s="7">
        <v>1.1934914E-2</v>
      </c>
      <c r="H41" s="51"/>
    </row>
    <row r="42" spans="1:8" ht="17.100000000000001" customHeight="1" x14ac:dyDescent="0.2">
      <c r="A42" s="3">
        <v>36</v>
      </c>
      <c r="B42" s="4" t="s">
        <v>425</v>
      </c>
      <c r="C42" s="4" t="s">
        <v>426</v>
      </c>
      <c r="D42" s="4" t="s">
        <v>13</v>
      </c>
      <c r="E42" s="5">
        <v>104608</v>
      </c>
      <c r="F42" s="6">
        <v>81.803455999999997</v>
      </c>
      <c r="G42" s="7">
        <v>1.1810176E-2</v>
      </c>
      <c r="H42" s="51"/>
    </row>
    <row r="43" spans="1:8" ht="29.1" customHeight="1" x14ac:dyDescent="0.2">
      <c r="A43" s="3">
        <v>37</v>
      </c>
      <c r="B43" s="4" t="s">
        <v>423</v>
      </c>
      <c r="C43" s="4" t="s">
        <v>424</v>
      </c>
      <c r="D43" s="4" t="s">
        <v>318</v>
      </c>
      <c r="E43" s="5">
        <v>19323</v>
      </c>
      <c r="F43" s="6">
        <v>80.470633500000005</v>
      </c>
      <c r="G43" s="7">
        <v>1.1617753E-2</v>
      </c>
      <c r="H43" s="51"/>
    </row>
    <row r="44" spans="1:8" ht="29.1" customHeight="1" x14ac:dyDescent="0.2">
      <c r="A44" s="3">
        <v>38</v>
      </c>
      <c r="B44" s="4" t="s">
        <v>494</v>
      </c>
      <c r="C44" s="4" t="s">
        <v>495</v>
      </c>
      <c r="D44" s="4" t="s">
        <v>75</v>
      </c>
      <c r="E44" s="5">
        <v>26477</v>
      </c>
      <c r="F44" s="6">
        <v>79.894347499999995</v>
      </c>
      <c r="G44" s="7">
        <v>1.1534552999999999E-2</v>
      </c>
      <c r="H44" s="51"/>
    </row>
    <row r="45" spans="1:8" ht="29.1" customHeight="1" x14ac:dyDescent="0.2">
      <c r="A45" s="3">
        <v>39</v>
      </c>
      <c r="B45" s="4" t="s">
        <v>291</v>
      </c>
      <c r="C45" s="4" t="s">
        <v>292</v>
      </c>
      <c r="D45" s="4" t="s">
        <v>184</v>
      </c>
      <c r="E45" s="5">
        <v>10502</v>
      </c>
      <c r="F45" s="6">
        <v>78.885773</v>
      </c>
      <c r="G45" s="7">
        <v>1.1388943E-2</v>
      </c>
      <c r="H45" s="51"/>
    </row>
    <row r="46" spans="1:8" ht="29.1" customHeight="1" x14ac:dyDescent="0.2">
      <c r="A46" s="3">
        <v>40</v>
      </c>
      <c r="B46" s="4" t="s">
        <v>438</v>
      </c>
      <c r="C46" s="4" t="s">
        <v>439</v>
      </c>
      <c r="D46" s="4" t="s">
        <v>104</v>
      </c>
      <c r="E46" s="5">
        <v>5046</v>
      </c>
      <c r="F46" s="6">
        <v>70.124262000000002</v>
      </c>
      <c r="G46" s="7">
        <v>1.0124021E-2</v>
      </c>
      <c r="H46" s="51"/>
    </row>
    <row r="47" spans="1:8" ht="17.100000000000001" customHeight="1" x14ac:dyDescent="0.2">
      <c r="A47" s="3">
        <v>41</v>
      </c>
      <c r="B47" s="4" t="s">
        <v>436</v>
      </c>
      <c r="C47" s="4" t="s">
        <v>437</v>
      </c>
      <c r="D47" s="4" t="s">
        <v>72</v>
      </c>
      <c r="E47" s="5">
        <v>10808</v>
      </c>
      <c r="F47" s="6">
        <v>68.917212000000006</v>
      </c>
      <c r="G47" s="7">
        <v>9.9497560000000006E-3</v>
      </c>
      <c r="H47" s="51"/>
    </row>
    <row r="48" spans="1:8" ht="17.100000000000001" customHeight="1" x14ac:dyDescent="0.2">
      <c r="A48" s="3">
        <v>42</v>
      </c>
      <c r="B48" s="4" t="s">
        <v>329</v>
      </c>
      <c r="C48" s="4" t="s">
        <v>330</v>
      </c>
      <c r="D48" s="4" t="s">
        <v>36</v>
      </c>
      <c r="E48" s="5">
        <v>27402</v>
      </c>
      <c r="F48" s="6">
        <v>64.586513999999994</v>
      </c>
      <c r="G48" s="7">
        <v>9.324522E-3</v>
      </c>
      <c r="H48" s="51"/>
    </row>
    <row r="49" spans="1:8" ht="17.100000000000001" customHeight="1" x14ac:dyDescent="0.2">
      <c r="A49" s="3">
        <v>43</v>
      </c>
      <c r="B49" s="4" t="s">
        <v>496</v>
      </c>
      <c r="C49" s="4" t="s">
        <v>497</v>
      </c>
      <c r="D49" s="4" t="s">
        <v>232</v>
      </c>
      <c r="E49" s="5">
        <v>23492</v>
      </c>
      <c r="F49" s="6">
        <v>62.371259999999999</v>
      </c>
      <c r="G49" s="7">
        <v>9.0046999999999992E-3</v>
      </c>
      <c r="H49" s="51"/>
    </row>
    <row r="50" spans="1:8" ht="17.100000000000001" customHeight="1" x14ac:dyDescent="0.2">
      <c r="A50" s="3">
        <v>44</v>
      </c>
      <c r="B50" s="4" t="s">
        <v>450</v>
      </c>
      <c r="C50" s="4" t="s">
        <v>451</v>
      </c>
      <c r="D50" s="4" t="s">
        <v>104</v>
      </c>
      <c r="E50" s="5">
        <v>20113</v>
      </c>
      <c r="F50" s="6">
        <v>60.338999999999999</v>
      </c>
      <c r="G50" s="7">
        <v>8.7112969999999998E-3</v>
      </c>
      <c r="H50" s="51"/>
    </row>
    <row r="51" spans="1:8" ht="17.100000000000001" customHeight="1" x14ac:dyDescent="0.2">
      <c r="A51" s="3">
        <v>45</v>
      </c>
      <c r="B51" s="4" t="s">
        <v>442</v>
      </c>
      <c r="C51" s="4" t="s">
        <v>443</v>
      </c>
      <c r="D51" s="4" t="s">
        <v>232</v>
      </c>
      <c r="E51" s="5">
        <v>7165</v>
      </c>
      <c r="F51" s="6">
        <v>51.845939999999999</v>
      </c>
      <c r="G51" s="7">
        <v>7.4851320000000002E-3</v>
      </c>
      <c r="H51" s="51"/>
    </row>
    <row r="52" spans="1:8" ht="17.100000000000001" customHeight="1" x14ac:dyDescent="0.2">
      <c r="A52" s="3">
        <v>46</v>
      </c>
      <c r="B52" s="4" t="s">
        <v>123</v>
      </c>
      <c r="C52" s="4" t="s">
        <v>124</v>
      </c>
      <c r="D52" s="4" t="s">
        <v>104</v>
      </c>
      <c r="E52" s="5">
        <v>1940</v>
      </c>
      <c r="F52" s="6">
        <v>45.855780000000003</v>
      </c>
      <c r="G52" s="7">
        <v>6.6203169999999997E-3</v>
      </c>
      <c r="H52" s="51"/>
    </row>
    <row r="53" spans="1:8" ht="29.1" customHeight="1" x14ac:dyDescent="0.2">
      <c r="A53" s="3">
        <v>47</v>
      </c>
      <c r="B53" s="4" t="s">
        <v>446</v>
      </c>
      <c r="C53" s="4" t="s">
        <v>447</v>
      </c>
      <c r="D53" s="4" t="s">
        <v>203</v>
      </c>
      <c r="E53" s="5">
        <v>1052</v>
      </c>
      <c r="F53" s="6">
        <v>43.205114000000002</v>
      </c>
      <c r="G53" s="7">
        <v>6.2376339999999997E-3</v>
      </c>
      <c r="H53" s="51"/>
    </row>
    <row r="54" spans="1:8" ht="17.100000000000001" customHeight="1" x14ac:dyDescent="0.2">
      <c r="A54" s="3">
        <v>48</v>
      </c>
      <c r="B54" s="4" t="s">
        <v>454</v>
      </c>
      <c r="C54" s="4" t="s">
        <v>455</v>
      </c>
      <c r="D54" s="4" t="s">
        <v>16</v>
      </c>
      <c r="E54" s="5">
        <v>18341</v>
      </c>
      <c r="F54" s="6">
        <v>40.836236499999998</v>
      </c>
      <c r="G54" s="7">
        <v>5.8956329999999999E-3</v>
      </c>
      <c r="H54" s="51"/>
    </row>
    <row r="55" spans="1:8" ht="17.100000000000001" customHeight="1" x14ac:dyDescent="0.2">
      <c r="A55" s="3">
        <v>49</v>
      </c>
      <c r="B55" s="4" t="s">
        <v>444</v>
      </c>
      <c r="C55" s="4" t="s">
        <v>445</v>
      </c>
      <c r="D55" s="4" t="s">
        <v>31</v>
      </c>
      <c r="E55" s="5">
        <v>4443</v>
      </c>
      <c r="F55" s="6">
        <v>35.4795765</v>
      </c>
      <c r="G55" s="7">
        <v>5.1222780000000001E-3</v>
      </c>
      <c r="H55" s="51"/>
    </row>
    <row r="56" spans="1:8" ht="17.100000000000001" customHeight="1" x14ac:dyDescent="0.2">
      <c r="A56" s="3">
        <v>50</v>
      </c>
      <c r="B56" s="4" t="s">
        <v>340</v>
      </c>
      <c r="C56" s="4" t="s">
        <v>341</v>
      </c>
      <c r="D56" s="4" t="s">
        <v>92</v>
      </c>
      <c r="E56" s="5">
        <v>45125</v>
      </c>
      <c r="F56" s="6">
        <v>33.663249999999998</v>
      </c>
      <c r="G56" s="7">
        <v>4.8600500000000003E-3</v>
      </c>
      <c r="H56" s="51"/>
    </row>
    <row r="57" spans="1:8" ht="29.1" customHeight="1" x14ac:dyDescent="0.2">
      <c r="A57" s="3">
        <v>51</v>
      </c>
      <c r="B57" s="4" t="s">
        <v>463</v>
      </c>
      <c r="C57" s="4" t="s">
        <v>464</v>
      </c>
      <c r="D57" s="4" t="s">
        <v>184</v>
      </c>
      <c r="E57" s="5">
        <v>3563</v>
      </c>
      <c r="F57" s="6">
        <v>26.3608555</v>
      </c>
      <c r="G57" s="7">
        <v>3.8057849999999999E-3</v>
      </c>
      <c r="H57" s="51"/>
    </row>
    <row r="58" spans="1:8" ht="29.1" customHeight="1" x14ac:dyDescent="0.2">
      <c r="A58" s="3">
        <v>52</v>
      </c>
      <c r="B58" s="4" t="s">
        <v>448</v>
      </c>
      <c r="C58" s="4" t="s">
        <v>449</v>
      </c>
      <c r="D58" s="4" t="s">
        <v>203</v>
      </c>
      <c r="E58" s="5">
        <v>3593</v>
      </c>
      <c r="F58" s="6">
        <v>8.4130094999999994</v>
      </c>
      <c r="G58" s="7">
        <v>1.2146080000000001E-3</v>
      </c>
      <c r="H58" s="51"/>
    </row>
    <row r="59" spans="1:8" ht="14.1" customHeight="1" x14ac:dyDescent="0.2">
      <c r="A59" s="1"/>
      <c r="B59" s="1"/>
      <c r="C59" s="2" t="s">
        <v>129</v>
      </c>
      <c r="D59" s="1"/>
      <c r="E59" s="1" t="s">
        <v>130</v>
      </c>
      <c r="F59" s="9">
        <v>6542.7264315000002</v>
      </c>
      <c r="G59" s="10">
        <v>0.94459029900000002</v>
      </c>
      <c r="H59" s="51"/>
    </row>
    <row r="60" spans="1:8" ht="14.1" customHeight="1" x14ac:dyDescent="0.2">
      <c r="A60" s="1"/>
      <c r="B60" s="1"/>
      <c r="C60" s="11"/>
      <c r="D60" s="1"/>
      <c r="E60" s="1"/>
      <c r="F60" s="12"/>
      <c r="G60" s="12"/>
      <c r="H60" s="51"/>
    </row>
    <row r="61" spans="1:8" ht="14.1" customHeight="1" x14ac:dyDescent="0.2">
      <c r="A61" s="1"/>
      <c r="B61" s="1"/>
      <c r="C61" s="2" t="s">
        <v>131</v>
      </c>
      <c r="D61" s="1"/>
      <c r="E61" s="1"/>
      <c r="F61" s="1"/>
      <c r="G61" s="1"/>
      <c r="H61" s="51"/>
    </row>
    <row r="62" spans="1:8" ht="14.1" customHeight="1" x14ac:dyDescent="0.2">
      <c r="A62" s="1"/>
      <c r="B62" s="1"/>
      <c r="C62" s="2" t="s">
        <v>129</v>
      </c>
      <c r="D62" s="1"/>
      <c r="E62" s="1" t="s">
        <v>130</v>
      </c>
      <c r="F62" s="13">
        <v>0</v>
      </c>
      <c r="G62" s="14">
        <v>0</v>
      </c>
      <c r="H62" s="51"/>
    </row>
    <row r="63" spans="1:8" ht="14.1" customHeight="1" x14ac:dyDescent="0.2">
      <c r="A63" s="1"/>
      <c r="B63" s="1"/>
      <c r="C63" s="11"/>
      <c r="D63" s="1"/>
      <c r="E63" s="1"/>
      <c r="F63" s="12"/>
      <c r="G63" s="12"/>
      <c r="H63" s="51"/>
    </row>
    <row r="64" spans="1:8" ht="14.1" customHeight="1" x14ac:dyDescent="0.2">
      <c r="A64" s="1"/>
      <c r="B64" s="1"/>
      <c r="C64" s="2" t="s">
        <v>132</v>
      </c>
      <c r="D64" s="1"/>
      <c r="E64" s="1"/>
      <c r="F64" s="1"/>
      <c r="G64" s="1"/>
      <c r="H64" s="51"/>
    </row>
    <row r="65" spans="1:8" ht="14.1" customHeight="1" x14ac:dyDescent="0.2">
      <c r="A65" s="1"/>
      <c r="B65" s="1"/>
      <c r="C65" s="2" t="s">
        <v>129</v>
      </c>
      <c r="D65" s="1"/>
      <c r="E65" s="1" t="s">
        <v>130</v>
      </c>
      <c r="F65" s="13">
        <v>0</v>
      </c>
      <c r="G65" s="14">
        <v>0</v>
      </c>
      <c r="H65" s="51"/>
    </row>
    <row r="66" spans="1:8" ht="14.1" customHeight="1" x14ac:dyDescent="0.2">
      <c r="A66" s="1"/>
      <c r="B66" s="1"/>
      <c r="C66" s="11"/>
      <c r="D66" s="1"/>
      <c r="E66" s="1"/>
      <c r="F66" s="12"/>
      <c r="G66" s="12"/>
      <c r="H66" s="51"/>
    </row>
    <row r="67" spans="1:8" ht="14.1" customHeight="1" x14ac:dyDescent="0.2">
      <c r="A67" s="1"/>
      <c r="B67" s="1"/>
      <c r="C67" s="2" t="s">
        <v>133</v>
      </c>
      <c r="D67" s="1"/>
      <c r="E67" s="1"/>
      <c r="F67" s="1"/>
      <c r="G67" s="1"/>
      <c r="H67" s="51"/>
    </row>
    <row r="68" spans="1:8" ht="14.1" customHeight="1" x14ac:dyDescent="0.2">
      <c r="A68" s="1"/>
      <c r="B68" s="1"/>
      <c r="C68" s="2" t="s">
        <v>129</v>
      </c>
      <c r="D68" s="1"/>
      <c r="E68" s="1" t="s">
        <v>130</v>
      </c>
      <c r="F68" s="13">
        <v>0</v>
      </c>
      <c r="G68" s="14">
        <v>0</v>
      </c>
      <c r="H68" s="51"/>
    </row>
    <row r="69" spans="1:8" ht="14.1" customHeight="1" x14ac:dyDescent="0.2">
      <c r="A69" s="1"/>
      <c r="B69" s="1"/>
      <c r="C69" s="11"/>
      <c r="D69" s="1"/>
      <c r="E69" s="1"/>
      <c r="F69" s="12"/>
      <c r="G69" s="12"/>
      <c r="H69" s="51"/>
    </row>
    <row r="70" spans="1:8" ht="14.1" customHeight="1" x14ac:dyDescent="0.2">
      <c r="A70" s="1"/>
      <c r="B70" s="1"/>
      <c r="C70" s="2" t="s">
        <v>134</v>
      </c>
      <c r="D70" s="1"/>
      <c r="E70" s="1"/>
      <c r="F70" s="12"/>
      <c r="G70" s="12"/>
      <c r="H70" s="51"/>
    </row>
    <row r="71" spans="1:8" ht="14.1" customHeight="1" x14ac:dyDescent="0.2">
      <c r="A71" s="1"/>
      <c r="B71" s="1"/>
      <c r="C71" s="2" t="s">
        <v>129</v>
      </c>
      <c r="D71" s="1"/>
      <c r="E71" s="1" t="s">
        <v>130</v>
      </c>
      <c r="F71" s="13">
        <v>0</v>
      </c>
      <c r="G71" s="14">
        <v>0</v>
      </c>
      <c r="H71" s="51"/>
    </row>
    <row r="72" spans="1:8" ht="14.1" customHeight="1" x14ac:dyDescent="0.2">
      <c r="A72" s="1"/>
      <c r="B72" s="1"/>
      <c r="C72" s="11"/>
      <c r="D72" s="1"/>
      <c r="E72" s="1"/>
      <c r="F72" s="12"/>
      <c r="G72" s="12"/>
      <c r="H72" s="51"/>
    </row>
    <row r="73" spans="1:8" ht="14.1" customHeight="1" x14ac:dyDescent="0.2">
      <c r="A73" s="1"/>
      <c r="B73" s="1"/>
      <c r="C73" s="2" t="s">
        <v>135</v>
      </c>
      <c r="D73" s="1"/>
      <c r="E73" s="1"/>
      <c r="F73" s="12"/>
      <c r="G73" s="12"/>
      <c r="H73" s="51"/>
    </row>
    <row r="74" spans="1:8" ht="14.1" customHeight="1" x14ac:dyDescent="0.2">
      <c r="A74" s="1"/>
      <c r="B74" s="1"/>
      <c r="C74" s="2" t="s">
        <v>129</v>
      </c>
      <c r="D74" s="1"/>
      <c r="E74" s="1" t="s">
        <v>130</v>
      </c>
      <c r="F74" s="13">
        <v>0</v>
      </c>
      <c r="G74" s="14">
        <v>0</v>
      </c>
      <c r="H74" s="51"/>
    </row>
    <row r="75" spans="1:8" ht="14.1" customHeight="1" x14ac:dyDescent="0.2">
      <c r="A75" s="1"/>
      <c r="B75" s="1"/>
      <c r="C75" s="11"/>
      <c r="D75" s="1"/>
      <c r="E75" s="1"/>
      <c r="F75" s="12"/>
      <c r="G75" s="12"/>
      <c r="H75" s="51"/>
    </row>
    <row r="76" spans="1:8" ht="18" customHeight="1" x14ac:dyDescent="0.2">
      <c r="A76" s="1"/>
      <c r="B76" s="1"/>
      <c r="C76" s="2" t="s">
        <v>136</v>
      </c>
      <c r="D76" s="1"/>
      <c r="E76" s="1"/>
      <c r="F76" s="9">
        <v>6542.7264315000002</v>
      </c>
      <c r="G76" s="10">
        <v>0.94459029900000002</v>
      </c>
      <c r="H76" s="51"/>
    </row>
    <row r="77" spans="1:8" ht="14.1" customHeight="1" x14ac:dyDescent="0.2">
      <c r="A77" s="1"/>
      <c r="B77" s="1"/>
      <c r="C77" s="11"/>
      <c r="D77" s="1"/>
      <c r="E77" s="1"/>
      <c r="F77" s="12"/>
      <c r="G77" s="12"/>
      <c r="H77" s="51"/>
    </row>
    <row r="78" spans="1:8" ht="14.1" customHeight="1" x14ac:dyDescent="0.2">
      <c r="A78" s="1"/>
      <c r="B78" s="1"/>
      <c r="C78" s="2" t="s">
        <v>137</v>
      </c>
      <c r="D78" s="1"/>
      <c r="E78" s="1"/>
      <c r="F78" s="12"/>
      <c r="G78" s="12"/>
      <c r="H78" s="51"/>
    </row>
    <row r="79" spans="1:8" ht="24" customHeight="1" x14ac:dyDescent="0.2">
      <c r="A79" s="1"/>
      <c r="B79" s="1"/>
      <c r="C79" s="2" t="s">
        <v>10</v>
      </c>
      <c r="D79" s="1"/>
      <c r="E79" s="1"/>
      <c r="F79" s="12"/>
      <c r="G79" s="12"/>
      <c r="H79" s="51"/>
    </row>
    <row r="80" spans="1:8" ht="14.1" customHeight="1" x14ac:dyDescent="0.2">
      <c r="A80" s="1"/>
      <c r="B80" s="1"/>
      <c r="C80" s="2" t="s">
        <v>129</v>
      </c>
      <c r="D80" s="1"/>
      <c r="E80" s="1" t="s">
        <v>130</v>
      </c>
      <c r="F80" s="13">
        <v>0</v>
      </c>
      <c r="G80" s="14">
        <v>0</v>
      </c>
      <c r="H80" s="51"/>
    </row>
    <row r="81" spans="1:8" ht="14.1" customHeight="1" x14ac:dyDescent="0.2">
      <c r="A81" s="1"/>
      <c r="B81" s="1"/>
      <c r="C81" s="11"/>
      <c r="D81" s="1"/>
      <c r="E81" s="1"/>
      <c r="F81" s="12"/>
      <c r="G81" s="12"/>
      <c r="H81" s="51"/>
    </row>
    <row r="82" spans="1:8" ht="14.1" customHeight="1" x14ac:dyDescent="0.2">
      <c r="A82" s="1"/>
      <c r="B82" s="1"/>
      <c r="C82" s="2" t="s">
        <v>138</v>
      </c>
      <c r="D82" s="1"/>
      <c r="E82" s="1"/>
      <c r="F82" s="1"/>
      <c r="G82" s="1"/>
      <c r="H82" s="51"/>
    </row>
    <row r="83" spans="1:8" ht="14.1" customHeight="1" x14ac:dyDescent="0.2">
      <c r="A83" s="1"/>
      <c r="B83" s="1"/>
      <c r="C83" s="2" t="s">
        <v>129</v>
      </c>
      <c r="D83" s="1"/>
      <c r="E83" s="1" t="s">
        <v>130</v>
      </c>
      <c r="F83" s="13">
        <v>0</v>
      </c>
      <c r="G83" s="14">
        <v>0</v>
      </c>
      <c r="H83" s="51"/>
    </row>
    <row r="84" spans="1:8" ht="14.1" customHeight="1" x14ac:dyDescent="0.2">
      <c r="A84" s="1"/>
      <c r="B84" s="1"/>
      <c r="C84" s="11"/>
      <c r="D84" s="1"/>
      <c r="E84" s="1"/>
      <c r="F84" s="12"/>
      <c r="G84" s="12"/>
      <c r="H84" s="51"/>
    </row>
    <row r="85" spans="1:8" ht="14.1" customHeight="1" x14ac:dyDescent="0.2">
      <c r="A85" s="1"/>
      <c r="B85" s="1"/>
      <c r="C85" s="2" t="s">
        <v>139</v>
      </c>
      <c r="D85" s="1"/>
      <c r="E85" s="1"/>
      <c r="F85" s="1"/>
      <c r="G85" s="1"/>
      <c r="H85" s="51"/>
    </row>
    <row r="86" spans="1:8" ht="14.1" customHeight="1" x14ac:dyDescent="0.2">
      <c r="A86" s="1"/>
      <c r="B86" s="1"/>
      <c r="C86" s="2" t="s">
        <v>129</v>
      </c>
      <c r="D86" s="1"/>
      <c r="E86" s="1" t="s">
        <v>130</v>
      </c>
      <c r="F86" s="13">
        <v>0</v>
      </c>
      <c r="G86" s="14">
        <v>0</v>
      </c>
      <c r="H86" s="51"/>
    </row>
    <row r="87" spans="1:8" ht="14.1" customHeight="1" x14ac:dyDescent="0.2">
      <c r="A87" s="1"/>
      <c r="B87" s="1"/>
      <c r="C87" s="11"/>
      <c r="D87" s="1"/>
      <c r="E87" s="1"/>
      <c r="F87" s="12"/>
      <c r="G87" s="12"/>
      <c r="H87" s="51"/>
    </row>
    <row r="88" spans="1:8" ht="14.1" customHeight="1" x14ac:dyDescent="0.2">
      <c r="A88" s="1"/>
      <c r="B88" s="1"/>
      <c r="C88" s="2" t="s">
        <v>140</v>
      </c>
      <c r="D88" s="1"/>
      <c r="E88" s="1"/>
      <c r="F88" s="12"/>
      <c r="G88" s="12"/>
      <c r="H88" s="51"/>
    </row>
    <row r="89" spans="1:8" ht="14.1" customHeight="1" x14ac:dyDescent="0.2">
      <c r="A89" s="1"/>
      <c r="B89" s="1"/>
      <c r="C89" s="2" t="s">
        <v>129</v>
      </c>
      <c r="D89" s="1"/>
      <c r="E89" s="1" t="s">
        <v>130</v>
      </c>
      <c r="F89" s="13">
        <v>0</v>
      </c>
      <c r="G89" s="14">
        <v>0</v>
      </c>
      <c r="H89" s="51"/>
    </row>
    <row r="90" spans="1:8" ht="14.1" customHeight="1" x14ac:dyDescent="0.2">
      <c r="A90" s="1"/>
      <c r="B90" s="1"/>
      <c r="C90" s="11"/>
      <c r="D90" s="1"/>
      <c r="E90" s="1"/>
      <c r="F90" s="12"/>
      <c r="G90" s="12"/>
      <c r="H90" s="51"/>
    </row>
    <row r="91" spans="1:8" ht="14.1" customHeight="1" x14ac:dyDescent="0.2">
      <c r="A91" s="1"/>
      <c r="B91" s="1"/>
      <c r="C91" s="2" t="s">
        <v>141</v>
      </c>
      <c r="D91" s="1"/>
      <c r="E91" s="1"/>
      <c r="F91" s="9">
        <v>0</v>
      </c>
      <c r="G91" s="10">
        <v>0</v>
      </c>
      <c r="H91" s="51"/>
    </row>
    <row r="92" spans="1:8" ht="14.1" customHeight="1" x14ac:dyDescent="0.2">
      <c r="A92" s="1"/>
      <c r="B92" s="1"/>
      <c r="C92" s="11"/>
      <c r="D92" s="1"/>
      <c r="E92" s="1"/>
      <c r="F92" s="12"/>
      <c r="G92" s="12"/>
      <c r="H92" s="51"/>
    </row>
    <row r="93" spans="1:8" ht="14.1" customHeight="1" x14ac:dyDescent="0.2">
      <c r="A93" s="1"/>
      <c r="B93" s="1"/>
      <c r="C93" s="2" t="s">
        <v>142</v>
      </c>
      <c r="D93" s="1"/>
      <c r="E93" s="1"/>
      <c r="F93" s="12"/>
      <c r="G93" s="12"/>
      <c r="H93" s="51"/>
    </row>
    <row r="94" spans="1:8" ht="14.1" customHeight="1" x14ac:dyDescent="0.2">
      <c r="A94" s="1"/>
      <c r="B94" s="1"/>
      <c r="C94" s="2" t="s">
        <v>143</v>
      </c>
      <c r="D94" s="1"/>
      <c r="E94" s="1"/>
      <c r="F94" s="12"/>
      <c r="G94" s="12"/>
      <c r="H94" s="51"/>
    </row>
    <row r="95" spans="1:8" ht="14.1" customHeight="1" x14ac:dyDescent="0.2">
      <c r="A95" s="1"/>
      <c r="B95" s="1"/>
      <c r="C95" s="2" t="s">
        <v>129</v>
      </c>
      <c r="D95" s="1"/>
      <c r="E95" s="1" t="s">
        <v>130</v>
      </c>
      <c r="F95" s="13">
        <v>0</v>
      </c>
      <c r="G95" s="14">
        <v>0</v>
      </c>
      <c r="H95" s="51"/>
    </row>
    <row r="96" spans="1:8" ht="14.1" customHeight="1" x14ac:dyDescent="0.2">
      <c r="A96" s="1"/>
      <c r="B96" s="1"/>
      <c r="C96" s="11"/>
      <c r="D96" s="1"/>
      <c r="E96" s="1"/>
      <c r="F96" s="12"/>
      <c r="G96" s="12"/>
      <c r="H96" s="51"/>
    </row>
    <row r="97" spans="1:8" ht="14.1" customHeight="1" x14ac:dyDescent="0.2">
      <c r="A97" s="1"/>
      <c r="B97" s="1"/>
      <c r="C97" s="2" t="s">
        <v>144</v>
      </c>
      <c r="D97" s="1"/>
      <c r="E97" s="1"/>
      <c r="F97" s="12"/>
      <c r="G97" s="12"/>
      <c r="H97" s="51"/>
    </row>
    <row r="98" spans="1:8" ht="14.1" customHeight="1" x14ac:dyDescent="0.2">
      <c r="A98" s="1"/>
      <c r="B98" s="1"/>
      <c r="C98" s="2" t="s">
        <v>129</v>
      </c>
      <c r="D98" s="1"/>
      <c r="E98" s="1" t="s">
        <v>130</v>
      </c>
      <c r="F98" s="13">
        <v>0</v>
      </c>
      <c r="G98" s="14">
        <v>0</v>
      </c>
      <c r="H98" s="51"/>
    </row>
    <row r="99" spans="1:8" ht="14.1" customHeight="1" x14ac:dyDescent="0.2">
      <c r="A99" s="1"/>
      <c r="B99" s="1"/>
      <c r="C99" s="11"/>
      <c r="D99" s="1"/>
      <c r="E99" s="1"/>
      <c r="F99" s="12"/>
      <c r="G99" s="12"/>
      <c r="H99" s="51"/>
    </row>
    <row r="100" spans="1:8" ht="14.1" customHeight="1" x14ac:dyDescent="0.2">
      <c r="A100" s="1"/>
      <c r="B100" s="1"/>
      <c r="C100" s="2" t="s">
        <v>145</v>
      </c>
      <c r="D100" s="1"/>
      <c r="E100" s="1"/>
      <c r="F100" s="12"/>
      <c r="G100" s="12"/>
      <c r="H100" s="51"/>
    </row>
    <row r="101" spans="1:8" ht="14.1" customHeight="1" x14ac:dyDescent="0.2">
      <c r="A101" s="1"/>
      <c r="B101" s="1"/>
      <c r="C101" s="2" t="s">
        <v>129</v>
      </c>
      <c r="D101" s="1"/>
      <c r="E101" s="1" t="s">
        <v>130</v>
      </c>
      <c r="F101" s="13">
        <v>0</v>
      </c>
      <c r="G101" s="14">
        <v>0</v>
      </c>
      <c r="H101" s="51"/>
    </row>
    <row r="102" spans="1:8" ht="14.1" customHeight="1" x14ac:dyDescent="0.2">
      <c r="A102" s="1"/>
      <c r="B102" s="1"/>
      <c r="C102" s="11"/>
      <c r="D102" s="1"/>
      <c r="E102" s="1"/>
      <c r="F102" s="12"/>
      <c r="G102" s="12"/>
      <c r="H102" s="51"/>
    </row>
    <row r="103" spans="1:8" ht="14.1" customHeight="1" x14ac:dyDescent="0.2">
      <c r="A103" s="1"/>
      <c r="B103" s="1"/>
      <c r="C103" s="2" t="s">
        <v>146</v>
      </c>
      <c r="D103" s="1"/>
      <c r="E103" s="1"/>
      <c r="F103" s="12"/>
      <c r="G103" s="12"/>
      <c r="H103" s="51"/>
    </row>
    <row r="104" spans="1:8" ht="17.100000000000001" customHeight="1" x14ac:dyDescent="0.2">
      <c r="A104" s="3">
        <v>1</v>
      </c>
      <c r="B104" s="4"/>
      <c r="C104" s="4" t="s">
        <v>147</v>
      </c>
      <c r="D104" s="4"/>
      <c r="E104" s="8"/>
      <c r="F104" s="6">
        <v>384.53463149999999</v>
      </c>
      <c r="G104" s="7">
        <v>5.5516256999999999E-2</v>
      </c>
      <c r="H104" s="51">
        <v>6.1245112103248278</v>
      </c>
    </row>
    <row r="105" spans="1:8" ht="14.1" customHeight="1" x14ac:dyDescent="0.2">
      <c r="A105" s="1"/>
      <c r="B105" s="1"/>
      <c r="C105" s="2" t="s">
        <v>129</v>
      </c>
      <c r="D105" s="1"/>
      <c r="E105" s="1" t="s">
        <v>130</v>
      </c>
      <c r="F105" s="9">
        <v>384.53463149999999</v>
      </c>
      <c r="G105" s="10">
        <v>5.5516256999999999E-2</v>
      </c>
      <c r="H105" s="51"/>
    </row>
    <row r="106" spans="1:8" ht="14.1" customHeight="1" x14ac:dyDescent="0.2">
      <c r="A106" s="1"/>
      <c r="B106" s="1"/>
      <c r="C106" s="11"/>
      <c r="D106" s="1"/>
      <c r="E106" s="1"/>
      <c r="F106" s="12"/>
      <c r="G106" s="12"/>
      <c r="H106" s="51"/>
    </row>
    <row r="107" spans="1:8" ht="14.1" customHeight="1" x14ac:dyDescent="0.2">
      <c r="A107" s="1"/>
      <c r="B107" s="1"/>
      <c r="C107" s="2" t="s">
        <v>148</v>
      </c>
      <c r="D107" s="1"/>
      <c r="E107" s="1"/>
      <c r="F107" s="9">
        <v>384.53463149999999</v>
      </c>
      <c r="G107" s="10">
        <v>5.5516256999999999E-2</v>
      </c>
      <c r="H107" s="51"/>
    </row>
    <row r="108" spans="1:8" ht="14.1" customHeight="1" x14ac:dyDescent="0.2">
      <c r="A108" s="1"/>
      <c r="B108" s="1"/>
      <c r="C108" s="12"/>
      <c r="D108" s="1"/>
      <c r="E108" s="1"/>
      <c r="F108" s="1"/>
      <c r="G108" s="1"/>
      <c r="H108" s="51"/>
    </row>
    <row r="109" spans="1:8" ht="14.1" customHeight="1" x14ac:dyDescent="0.2">
      <c r="A109" s="1"/>
      <c r="B109" s="1"/>
      <c r="C109" s="2" t="s">
        <v>149</v>
      </c>
      <c r="D109" s="1"/>
      <c r="E109" s="1"/>
      <c r="F109" s="1"/>
      <c r="G109" s="1"/>
      <c r="H109" s="51"/>
    </row>
    <row r="110" spans="1:8" ht="14.1" customHeight="1" x14ac:dyDescent="0.2">
      <c r="A110" s="1"/>
      <c r="B110" s="1"/>
      <c r="C110" s="2" t="s">
        <v>150</v>
      </c>
      <c r="D110" s="1"/>
      <c r="E110" s="1"/>
      <c r="F110" s="1"/>
      <c r="G110" s="1"/>
      <c r="H110" s="51"/>
    </row>
    <row r="111" spans="1:8" ht="14.1" customHeight="1" x14ac:dyDescent="0.2">
      <c r="A111" s="1"/>
      <c r="B111" s="1"/>
      <c r="C111" s="2" t="s">
        <v>129</v>
      </c>
      <c r="D111" s="1"/>
      <c r="E111" s="1" t="s">
        <v>130</v>
      </c>
      <c r="F111" s="13">
        <v>0</v>
      </c>
      <c r="G111" s="14">
        <v>0</v>
      </c>
      <c r="H111" s="51"/>
    </row>
    <row r="112" spans="1:8" ht="14.1" customHeight="1" x14ac:dyDescent="0.2">
      <c r="A112" s="1"/>
      <c r="B112" s="1"/>
      <c r="C112" s="11"/>
      <c r="D112" s="1"/>
      <c r="E112" s="1"/>
      <c r="F112" s="12"/>
      <c r="G112" s="12"/>
      <c r="H112" s="51"/>
    </row>
    <row r="113" spans="1:8" ht="14.1" customHeight="1" x14ac:dyDescent="0.2">
      <c r="A113" s="1"/>
      <c r="B113" s="1"/>
      <c r="C113" s="2" t="s">
        <v>151</v>
      </c>
      <c r="D113" s="1"/>
      <c r="E113" s="1"/>
      <c r="F113" s="1"/>
      <c r="G113" s="1"/>
      <c r="H113" s="51"/>
    </row>
    <row r="114" spans="1:8" ht="14.1" customHeight="1" x14ac:dyDescent="0.2">
      <c r="A114" s="1"/>
      <c r="B114" s="1"/>
      <c r="C114" s="2" t="s">
        <v>152</v>
      </c>
      <c r="D114" s="1"/>
      <c r="E114" s="1"/>
      <c r="F114" s="1"/>
      <c r="G114" s="1"/>
      <c r="H114" s="51"/>
    </row>
    <row r="115" spans="1:8" ht="14.1" customHeight="1" x14ac:dyDescent="0.2">
      <c r="A115" s="1"/>
      <c r="B115" s="1"/>
      <c r="C115" s="2" t="s">
        <v>129</v>
      </c>
      <c r="D115" s="1"/>
      <c r="E115" s="1" t="s">
        <v>130</v>
      </c>
      <c r="F115" s="13">
        <v>0</v>
      </c>
      <c r="G115" s="14">
        <v>0</v>
      </c>
      <c r="H115" s="51"/>
    </row>
    <row r="116" spans="1:8" ht="14.1" customHeight="1" x14ac:dyDescent="0.2">
      <c r="A116" s="1"/>
      <c r="B116" s="1"/>
      <c r="C116" s="11"/>
      <c r="D116" s="1"/>
      <c r="E116" s="1"/>
      <c r="F116" s="12"/>
      <c r="G116" s="12"/>
      <c r="H116" s="51"/>
    </row>
    <row r="117" spans="1:8" ht="14.1" customHeight="1" x14ac:dyDescent="0.2">
      <c r="A117" s="1"/>
      <c r="B117" s="1"/>
      <c r="C117" s="11"/>
      <c r="D117" s="1"/>
      <c r="E117" s="1"/>
      <c r="F117" s="12"/>
      <c r="G117" s="12"/>
      <c r="H117" s="51"/>
    </row>
    <row r="118" spans="1:8" ht="24" customHeight="1" x14ac:dyDescent="0.2">
      <c r="A118" s="1"/>
      <c r="B118" s="1"/>
      <c r="C118" s="2" t="s">
        <v>153</v>
      </c>
      <c r="D118" s="1"/>
      <c r="E118" s="1"/>
      <c r="F118" s="12"/>
      <c r="G118" s="12"/>
      <c r="H118" s="51"/>
    </row>
    <row r="119" spans="1:8" ht="14.1" customHeight="1" x14ac:dyDescent="0.2">
      <c r="A119" s="1"/>
      <c r="B119" s="1"/>
      <c r="C119" s="2" t="s">
        <v>129</v>
      </c>
      <c r="D119" s="1"/>
      <c r="E119" s="1" t="s">
        <v>130</v>
      </c>
      <c r="F119" s="13">
        <v>0</v>
      </c>
      <c r="G119" s="14">
        <v>0</v>
      </c>
      <c r="H119" s="51"/>
    </row>
    <row r="120" spans="1:8" ht="14.1" customHeight="1" x14ac:dyDescent="0.2">
      <c r="A120" s="1"/>
      <c r="B120" s="1"/>
      <c r="C120" s="11"/>
      <c r="D120" s="1"/>
      <c r="E120" s="1"/>
      <c r="F120" s="12"/>
      <c r="G120" s="12"/>
      <c r="H120" s="51"/>
    </row>
    <row r="121" spans="1:8" ht="14.1" customHeight="1" x14ac:dyDescent="0.2">
      <c r="A121" s="1"/>
      <c r="B121" s="4"/>
      <c r="C121" s="4"/>
      <c r="D121" s="2"/>
      <c r="E121" s="1"/>
      <c r="F121" s="4"/>
      <c r="G121" s="8"/>
      <c r="H121" s="51"/>
    </row>
    <row r="122" spans="1:8" ht="18" customHeight="1" x14ac:dyDescent="0.2">
      <c r="A122" s="8"/>
      <c r="B122" s="4"/>
      <c r="C122" s="4" t="s">
        <v>154</v>
      </c>
      <c r="D122" s="4"/>
      <c r="E122" s="8"/>
      <c r="F122" s="6">
        <v>-0.73805379999999998</v>
      </c>
      <c r="G122" s="7">
        <v>-1.06555E-4</v>
      </c>
      <c r="H122" s="51"/>
    </row>
    <row r="123" spans="1:8" ht="14.1" customHeight="1" x14ac:dyDescent="0.2">
      <c r="A123" s="11"/>
      <c r="B123" s="11"/>
      <c r="C123" s="2" t="s">
        <v>155</v>
      </c>
      <c r="D123" s="15"/>
      <c r="E123" s="15"/>
      <c r="F123" s="9">
        <v>6926.5230092000002</v>
      </c>
      <c r="G123" s="10">
        <v>1.0000000010000001</v>
      </c>
      <c r="H123" s="51"/>
    </row>
    <row r="124" spans="1:8" ht="14.1" customHeight="1" x14ac:dyDescent="0.2">
      <c r="A124" s="16"/>
      <c r="B124" s="16"/>
      <c r="C124" s="16"/>
      <c r="D124" s="17"/>
      <c r="E124" s="17"/>
      <c r="F124" s="17"/>
      <c r="G124" s="17"/>
    </row>
    <row r="125" spans="1:8" ht="14.1" customHeight="1" x14ac:dyDescent="0.2">
      <c r="A125" s="18"/>
      <c r="B125" s="327" t="s">
        <v>130</v>
      </c>
      <c r="C125" s="327"/>
      <c r="D125" s="327"/>
      <c r="E125" s="327"/>
      <c r="F125" s="327"/>
      <c r="G125" s="20"/>
    </row>
    <row r="126" spans="1:8" ht="14.1" customHeight="1" x14ac:dyDescent="0.2">
      <c r="A126" s="18"/>
      <c r="B126" s="327" t="s">
        <v>130</v>
      </c>
      <c r="C126" s="327"/>
      <c r="D126" s="327"/>
      <c r="E126" s="327"/>
      <c r="F126" s="327"/>
      <c r="G126" s="20"/>
    </row>
    <row r="127" spans="1:8" ht="14.1" customHeight="1" x14ac:dyDescent="0.2">
      <c r="A127" s="18"/>
      <c r="B127" s="18"/>
      <c r="C127" s="18"/>
      <c r="D127" s="20"/>
      <c r="E127" s="20"/>
      <c r="F127" s="20"/>
      <c r="G127" s="20"/>
    </row>
    <row r="128" spans="1:8" ht="14.1" customHeight="1" x14ac:dyDescent="0.2">
      <c r="A128" s="18"/>
      <c r="B128" s="325" t="s">
        <v>157</v>
      </c>
      <c r="C128" s="326"/>
      <c r="D128" s="12" t="s">
        <v>130</v>
      </c>
      <c r="E128" s="21"/>
      <c r="F128" s="20"/>
      <c r="G128" s="20"/>
    </row>
    <row r="129" spans="1:7" ht="29.1" customHeight="1" x14ac:dyDescent="0.2">
      <c r="A129" s="18"/>
      <c r="B129" s="318" t="s">
        <v>158</v>
      </c>
      <c r="C129" s="319"/>
      <c r="D129" s="2" t="s">
        <v>159</v>
      </c>
      <c r="E129" s="21"/>
      <c r="F129" s="20"/>
      <c r="G129" s="20"/>
    </row>
    <row r="130" spans="1:7" ht="17.100000000000001" customHeight="1" x14ac:dyDescent="0.2">
      <c r="A130" s="18"/>
      <c r="B130" s="318" t="s">
        <v>160</v>
      </c>
      <c r="C130" s="319"/>
      <c r="D130" s="2" t="s">
        <v>159</v>
      </c>
      <c r="E130" s="21"/>
      <c r="F130" s="20"/>
      <c r="G130" s="20"/>
    </row>
    <row r="131" spans="1:7" ht="17.100000000000001" customHeight="1" x14ac:dyDescent="0.2">
      <c r="A131" s="18"/>
      <c r="B131" s="318" t="s">
        <v>161</v>
      </c>
      <c r="C131" s="319"/>
      <c r="D131" s="12" t="s">
        <v>130</v>
      </c>
      <c r="E131" s="21"/>
      <c r="F131" s="20"/>
      <c r="G131" s="20"/>
    </row>
    <row r="132" spans="1:7" ht="24" customHeight="1" x14ac:dyDescent="0.2">
      <c r="A132" s="22"/>
      <c r="B132" s="23" t="s">
        <v>130</v>
      </c>
      <c r="C132" s="23" t="s">
        <v>162</v>
      </c>
      <c r="D132" s="23" t="s">
        <v>163</v>
      </c>
      <c r="E132" s="22"/>
      <c r="F132" s="22"/>
      <c r="G132" s="22"/>
    </row>
    <row r="133" spans="1:7" ht="18" customHeight="1" x14ac:dyDescent="0.2">
      <c r="A133" s="22"/>
      <c r="B133" s="23" t="s">
        <v>164</v>
      </c>
      <c r="C133" s="23" t="s">
        <v>165</v>
      </c>
      <c r="D133" s="23" t="s">
        <v>166</v>
      </c>
      <c r="E133" s="22"/>
      <c r="F133" s="22"/>
      <c r="G133" s="22"/>
    </row>
    <row r="134" spans="1:7" ht="17.100000000000001" customHeight="1" x14ac:dyDescent="0.2">
      <c r="A134" s="22"/>
      <c r="B134" s="4" t="s">
        <v>167</v>
      </c>
      <c r="C134" s="24">
        <v>20.264500000000002</v>
      </c>
      <c r="D134" s="24">
        <v>20.288900000000002</v>
      </c>
      <c r="E134" s="22"/>
      <c r="F134" s="19"/>
      <c r="G134" s="25"/>
    </row>
    <row r="135" spans="1:7" ht="17.100000000000001" customHeight="1" x14ac:dyDescent="0.2">
      <c r="A135" s="22"/>
      <c r="B135" s="4" t="s">
        <v>1067</v>
      </c>
      <c r="C135" s="24">
        <v>18.664999999999999</v>
      </c>
      <c r="D135" s="24">
        <v>18.6875</v>
      </c>
      <c r="E135" s="22"/>
      <c r="F135" s="19"/>
      <c r="G135" s="25"/>
    </row>
    <row r="136" spans="1:7" ht="17.100000000000001" customHeight="1" x14ac:dyDescent="0.2">
      <c r="A136" s="22"/>
      <c r="B136" s="4" t="s">
        <v>168</v>
      </c>
      <c r="C136" s="24">
        <v>19.781199999999998</v>
      </c>
      <c r="D136" s="24">
        <v>19.802199999999999</v>
      </c>
      <c r="E136" s="22"/>
      <c r="F136" s="19"/>
      <c r="G136" s="25"/>
    </row>
    <row r="137" spans="1:7" ht="17.100000000000001" customHeight="1" x14ac:dyDescent="0.2">
      <c r="A137" s="22"/>
      <c r="B137" s="4" t="s">
        <v>1068</v>
      </c>
      <c r="C137" s="24">
        <v>18.2028</v>
      </c>
      <c r="D137" s="24">
        <v>18.222200000000001</v>
      </c>
      <c r="E137" s="22"/>
      <c r="F137" s="19"/>
      <c r="G137" s="25"/>
    </row>
    <row r="138" spans="1:7" ht="14.1" customHeight="1" x14ac:dyDescent="0.2">
      <c r="A138" s="22"/>
      <c r="B138" s="22"/>
      <c r="C138" s="22"/>
      <c r="D138" s="22"/>
      <c r="E138" s="22"/>
      <c r="F138" s="22"/>
      <c r="G138" s="22"/>
    </row>
    <row r="139" spans="1:7" ht="17.100000000000001" customHeight="1" x14ac:dyDescent="0.2">
      <c r="A139" s="22"/>
      <c r="B139" s="318" t="s">
        <v>1069</v>
      </c>
      <c r="C139" s="319"/>
      <c r="D139" s="111" t="s">
        <v>159</v>
      </c>
      <c r="E139" s="22"/>
      <c r="F139" s="22"/>
      <c r="G139" s="22"/>
    </row>
    <row r="140" spans="1:7" ht="18" customHeight="1" x14ac:dyDescent="0.2">
      <c r="A140" s="22"/>
      <c r="B140" s="26"/>
      <c r="C140" s="26"/>
      <c r="D140" s="27"/>
      <c r="E140" s="22"/>
      <c r="F140" s="22"/>
      <c r="G140" s="22"/>
    </row>
    <row r="141" spans="1:7" ht="29.1" customHeight="1" x14ac:dyDescent="0.2">
      <c r="A141" s="22"/>
      <c r="B141" s="318" t="s">
        <v>169</v>
      </c>
      <c r="C141" s="319"/>
      <c r="D141" s="2" t="s">
        <v>159</v>
      </c>
      <c r="E141" s="22"/>
      <c r="F141" s="22"/>
      <c r="G141" s="22"/>
    </row>
    <row r="142" spans="1:7" ht="29.1" customHeight="1" x14ac:dyDescent="0.2">
      <c r="A142" s="22"/>
      <c r="B142" s="318" t="s">
        <v>170</v>
      </c>
      <c r="C142" s="319"/>
      <c r="D142" s="2" t="s">
        <v>159</v>
      </c>
      <c r="E142" s="22"/>
      <c r="F142" s="22"/>
      <c r="G142" s="22"/>
    </row>
    <row r="143" spans="1:7" ht="17.100000000000001" customHeight="1" x14ac:dyDescent="0.2">
      <c r="A143" s="22"/>
      <c r="B143" s="318" t="s">
        <v>171</v>
      </c>
      <c r="C143" s="319"/>
      <c r="D143" s="28">
        <v>0.14017168764893972</v>
      </c>
      <c r="E143" s="22"/>
      <c r="F143" s="19"/>
      <c r="G143" s="25"/>
    </row>
    <row r="144" spans="1:7" ht="17.100000000000001" customHeight="1" x14ac:dyDescent="0.2">
      <c r="A144" s="22"/>
      <c r="B144" s="318" t="s">
        <v>172</v>
      </c>
      <c r="C144" s="319"/>
      <c r="D144" s="2" t="s">
        <v>159</v>
      </c>
      <c r="E144" s="22"/>
      <c r="F144" s="22"/>
      <c r="G144" s="22"/>
    </row>
    <row r="156" spans="10:14" x14ac:dyDescent="0.2">
      <c r="J156" s="158"/>
      <c r="K156" s="158"/>
      <c r="L156" s="158"/>
      <c r="M156" s="158"/>
      <c r="N156" s="158"/>
    </row>
  </sheetData>
  <mergeCells count="15">
    <mergeCell ref="A1:H1"/>
    <mergeCell ref="A2:H2"/>
    <mergeCell ref="A3:H3"/>
    <mergeCell ref="J2:N2"/>
    <mergeCell ref="B143:C143"/>
    <mergeCell ref="B128:C128"/>
    <mergeCell ref="B125:F125"/>
    <mergeCell ref="B126:F126"/>
    <mergeCell ref="B144:C144"/>
    <mergeCell ref="B129:C129"/>
    <mergeCell ref="B130:C130"/>
    <mergeCell ref="B131:C131"/>
    <mergeCell ref="B139:C139"/>
    <mergeCell ref="B141:C141"/>
    <mergeCell ref="B142:C142"/>
  </mergeCells>
  <hyperlinks>
    <hyperlink ref="I1" location="Index!B19" display="Index" xr:uid="{5D182556-4A8F-422B-9819-B91DAA30729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N15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498</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102</v>
      </c>
      <c r="C7" s="4" t="s">
        <v>103</v>
      </c>
      <c r="D7" s="4" t="s">
        <v>104</v>
      </c>
      <c r="E7" s="5">
        <v>31555</v>
      </c>
      <c r="F7" s="6">
        <v>134.37696750000001</v>
      </c>
      <c r="G7" s="7">
        <v>3.9629800999999999E-2</v>
      </c>
      <c r="H7" s="51"/>
    </row>
    <row r="8" spans="1:14" ht="17.100000000000001" customHeight="1" x14ac:dyDescent="0.2">
      <c r="A8" s="3">
        <v>2</v>
      </c>
      <c r="B8" s="4" t="s">
        <v>401</v>
      </c>
      <c r="C8" s="4" t="s">
        <v>402</v>
      </c>
      <c r="D8" s="4" t="s">
        <v>223</v>
      </c>
      <c r="E8" s="5">
        <v>19582</v>
      </c>
      <c r="F8" s="6">
        <v>129.22161800000001</v>
      </c>
      <c r="G8" s="7">
        <v>3.8109410000000003E-2</v>
      </c>
      <c r="H8" s="51"/>
    </row>
    <row r="9" spans="1:14" ht="17.100000000000001" customHeight="1" x14ac:dyDescent="0.2">
      <c r="A9" s="3">
        <v>3</v>
      </c>
      <c r="B9" s="4" t="s">
        <v>29</v>
      </c>
      <c r="C9" s="4" t="s">
        <v>30</v>
      </c>
      <c r="D9" s="4" t="s">
        <v>31</v>
      </c>
      <c r="E9" s="5">
        <v>5766</v>
      </c>
      <c r="F9" s="6">
        <v>115.20756299999999</v>
      </c>
      <c r="G9" s="7">
        <v>3.3976454000000003E-2</v>
      </c>
      <c r="H9" s="51"/>
    </row>
    <row r="10" spans="1:14" ht="17.100000000000001" customHeight="1" x14ac:dyDescent="0.2">
      <c r="A10" s="3">
        <v>4</v>
      </c>
      <c r="B10" s="4" t="s">
        <v>385</v>
      </c>
      <c r="C10" s="4" t="s">
        <v>386</v>
      </c>
      <c r="D10" s="4" t="s">
        <v>104</v>
      </c>
      <c r="E10" s="5">
        <v>18118</v>
      </c>
      <c r="F10" s="6">
        <v>115.20330300000001</v>
      </c>
      <c r="G10" s="7">
        <v>3.3975196999999999E-2</v>
      </c>
      <c r="H10" s="51"/>
    </row>
    <row r="11" spans="1:14" ht="17.100000000000001" customHeight="1" x14ac:dyDescent="0.2">
      <c r="A11" s="3">
        <v>5</v>
      </c>
      <c r="B11" s="4" t="s">
        <v>82</v>
      </c>
      <c r="C11" s="4" t="s">
        <v>83</v>
      </c>
      <c r="D11" s="4" t="s">
        <v>31</v>
      </c>
      <c r="E11" s="5">
        <v>7749</v>
      </c>
      <c r="F11" s="6">
        <v>111.996297</v>
      </c>
      <c r="G11" s="7">
        <v>3.3029402999999999E-2</v>
      </c>
      <c r="H11" s="51"/>
    </row>
    <row r="12" spans="1:14" ht="29.1" customHeight="1" x14ac:dyDescent="0.2">
      <c r="A12" s="3">
        <v>6</v>
      </c>
      <c r="B12" s="4" t="s">
        <v>182</v>
      </c>
      <c r="C12" s="4" t="s">
        <v>183</v>
      </c>
      <c r="D12" s="4" t="s">
        <v>184</v>
      </c>
      <c r="E12" s="5">
        <v>2356</v>
      </c>
      <c r="F12" s="6">
        <v>105.80442600000001</v>
      </c>
      <c r="G12" s="7">
        <v>3.1203326E-2</v>
      </c>
      <c r="H12" s="51"/>
    </row>
    <row r="13" spans="1:14" ht="17.100000000000001" customHeight="1" x14ac:dyDescent="0.2">
      <c r="A13" s="3">
        <v>7</v>
      </c>
      <c r="B13" s="4" t="s">
        <v>313</v>
      </c>
      <c r="C13" s="4" t="s">
        <v>314</v>
      </c>
      <c r="D13" s="4" t="s">
        <v>315</v>
      </c>
      <c r="E13" s="5">
        <v>7740</v>
      </c>
      <c r="F13" s="6">
        <v>105.4188</v>
      </c>
      <c r="G13" s="7">
        <v>3.1089598999999999E-2</v>
      </c>
      <c r="H13" s="51"/>
      <c r="J13" s="157" t="s">
        <v>1098</v>
      </c>
    </row>
    <row r="14" spans="1:14" ht="17.100000000000001" customHeight="1" x14ac:dyDescent="0.2">
      <c r="A14" s="3">
        <v>8</v>
      </c>
      <c r="B14" s="4" t="s">
        <v>387</v>
      </c>
      <c r="C14" s="4" t="s">
        <v>388</v>
      </c>
      <c r="D14" s="4" t="s">
        <v>208</v>
      </c>
      <c r="E14" s="5">
        <v>35324</v>
      </c>
      <c r="F14" s="6">
        <v>101.061964</v>
      </c>
      <c r="G14" s="7">
        <v>2.9804701999999999E-2</v>
      </c>
      <c r="H14" s="51"/>
    </row>
    <row r="15" spans="1:14" ht="17.100000000000001" customHeight="1" x14ac:dyDescent="0.2">
      <c r="A15" s="3">
        <v>9</v>
      </c>
      <c r="B15" s="4" t="s">
        <v>32</v>
      </c>
      <c r="C15" s="4" t="s">
        <v>33</v>
      </c>
      <c r="D15" s="4" t="s">
        <v>31</v>
      </c>
      <c r="E15" s="5">
        <v>4869</v>
      </c>
      <c r="F15" s="6">
        <v>100.5034635</v>
      </c>
      <c r="G15" s="7">
        <v>2.9639992E-2</v>
      </c>
      <c r="H15" s="51"/>
    </row>
    <row r="16" spans="1:14" ht="17.100000000000001" customHeight="1" x14ac:dyDescent="0.2">
      <c r="A16" s="3">
        <v>10</v>
      </c>
      <c r="B16" s="4" t="s">
        <v>90</v>
      </c>
      <c r="C16" s="4" t="s">
        <v>91</v>
      </c>
      <c r="D16" s="4" t="s">
        <v>92</v>
      </c>
      <c r="E16" s="5">
        <v>18429</v>
      </c>
      <c r="F16" s="6">
        <v>93.748322999999999</v>
      </c>
      <c r="G16" s="7">
        <v>2.7647799000000001E-2</v>
      </c>
      <c r="H16" s="51"/>
    </row>
    <row r="17" spans="1:8" ht="17.100000000000001" customHeight="1" x14ac:dyDescent="0.2">
      <c r="A17" s="3">
        <v>11</v>
      </c>
      <c r="B17" s="4" t="s">
        <v>383</v>
      </c>
      <c r="C17" s="4" t="s">
        <v>384</v>
      </c>
      <c r="D17" s="4" t="s">
        <v>104</v>
      </c>
      <c r="E17" s="5">
        <v>5646</v>
      </c>
      <c r="F17" s="6">
        <v>93.127947000000006</v>
      </c>
      <c r="G17" s="7">
        <v>2.7464841E-2</v>
      </c>
      <c r="H17" s="51"/>
    </row>
    <row r="18" spans="1:8" ht="17.100000000000001" customHeight="1" x14ac:dyDescent="0.2">
      <c r="A18" s="3">
        <v>12</v>
      </c>
      <c r="B18" s="4" t="s">
        <v>302</v>
      </c>
      <c r="C18" s="4" t="s">
        <v>303</v>
      </c>
      <c r="D18" s="4" t="s">
        <v>251</v>
      </c>
      <c r="E18" s="5">
        <v>18116</v>
      </c>
      <c r="F18" s="6">
        <v>92.618049999999997</v>
      </c>
      <c r="G18" s="7">
        <v>2.7314464E-2</v>
      </c>
      <c r="H18" s="51"/>
    </row>
    <row r="19" spans="1:8" ht="17.100000000000001" customHeight="1" x14ac:dyDescent="0.2">
      <c r="A19" s="3">
        <v>13</v>
      </c>
      <c r="B19" s="4" t="s">
        <v>319</v>
      </c>
      <c r="C19" s="4" t="s">
        <v>320</v>
      </c>
      <c r="D19" s="4" t="s">
        <v>248</v>
      </c>
      <c r="E19" s="5">
        <v>6161</v>
      </c>
      <c r="F19" s="6">
        <v>91.721887499999994</v>
      </c>
      <c r="G19" s="7">
        <v>2.7050173E-2</v>
      </c>
      <c r="H19" s="51"/>
    </row>
    <row r="20" spans="1:8" ht="17.100000000000001" customHeight="1" x14ac:dyDescent="0.2">
      <c r="A20" s="3">
        <v>14</v>
      </c>
      <c r="B20" s="4" t="s">
        <v>379</v>
      </c>
      <c r="C20" s="4" t="s">
        <v>380</v>
      </c>
      <c r="D20" s="4" t="s">
        <v>97</v>
      </c>
      <c r="E20" s="5">
        <v>88789</v>
      </c>
      <c r="F20" s="6">
        <v>88.034293500000004</v>
      </c>
      <c r="G20" s="7">
        <v>2.5962644999999999E-2</v>
      </c>
      <c r="H20" s="51"/>
    </row>
    <row r="21" spans="1:8" ht="29.1" customHeight="1" x14ac:dyDescent="0.2">
      <c r="A21" s="3">
        <v>15</v>
      </c>
      <c r="B21" s="4" t="s">
        <v>399</v>
      </c>
      <c r="C21" s="4" t="s">
        <v>400</v>
      </c>
      <c r="D21" s="4" t="s">
        <v>48</v>
      </c>
      <c r="E21" s="5">
        <v>3181</v>
      </c>
      <c r="F21" s="6">
        <v>85.495737000000005</v>
      </c>
      <c r="G21" s="7">
        <v>2.5213987E-2</v>
      </c>
      <c r="H21" s="51"/>
    </row>
    <row r="22" spans="1:8" ht="29.1" customHeight="1" x14ac:dyDescent="0.2">
      <c r="A22" s="3">
        <v>16</v>
      </c>
      <c r="B22" s="4" t="s">
        <v>494</v>
      </c>
      <c r="C22" s="4" t="s">
        <v>495</v>
      </c>
      <c r="D22" s="4" t="s">
        <v>75</v>
      </c>
      <c r="E22" s="5">
        <v>23991</v>
      </c>
      <c r="F22" s="6">
        <v>72.3928425</v>
      </c>
      <c r="G22" s="7">
        <v>2.1349745E-2</v>
      </c>
      <c r="H22" s="51"/>
    </row>
    <row r="23" spans="1:8" ht="17.100000000000001" customHeight="1" x14ac:dyDescent="0.2">
      <c r="A23" s="3">
        <v>17</v>
      </c>
      <c r="B23" s="4" t="s">
        <v>411</v>
      </c>
      <c r="C23" s="4" t="s">
        <v>412</v>
      </c>
      <c r="D23" s="4" t="s">
        <v>13</v>
      </c>
      <c r="E23" s="5">
        <v>17176</v>
      </c>
      <c r="F23" s="6">
        <v>72.379664000000005</v>
      </c>
      <c r="G23" s="7">
        <v>2.1345857999999999E-2</v>
      </c>
      <c r="H23" s="51"/>
    </row>
    <row r="24" spans="1:8" ht="17.100000000000001" customHeight="1" x14ac:dyDescent="0.2">
      <c r="A24" s="3">
        <v>18</v>
      </c>
      <c r="B24" s="4" t="s">
        <v>409</v>
      </c>
      <c r="C24" s="4" t="s">
        <v>410</v>
      </c>
      <c r="D24" s="4" t="s">
        <v>104</v>
      </c>
      <c r="E24" s="5">
        <v>10328</v>
      </c>
      <c r="F24" s="6">
        <v>67.070031999999998</v>
      </c>
      <c r="G24" s="7">
        <v>1.9779966999999999E-2</v>
      </c>
      <c r="H24" s="51"/>
    </row>
    <row r="25" spans="1:8" ht="17.100000000000001" customHeight="1" x14ac:dyDescent="0.2">
      <c r="A25" s="3">
        <v>19</v>
      </c>
      <c r="B25" s="4" t="s">
        <v>389</v>
      </c>
      <c r="C25" s="4" t="s">
        <v>390</v>
      </c>
      <c r="D25" s="4" t="s">
        <v>248</v>
      </c>
      <c r="E25" s="5">
        <v>9165</v>
      </c>
      <c r="F25" s="6">
        <v>65.841359999999995</v>
      </c>
      <c r="G25" s="7">
        <v>1.9417613E-2</v>
      </c>
      <c r="H25" s="51"/>
    </row>
    <row r="26" spans="1:8" ht="29.1" customHeight="1" x14ac:dyDescent="0.2">
      <c r="A26" s="3">
        <v>20</v>
      </c>
      <c r="B26" s="4" t="s">
        <v>63</v>
      </c>
      <c r="C26" s="4" t="s">
        <v>64</v>
      </c>
      <c r="D26" s="4" t="s">
        <v>25</v>
      </c>
      <c r="E26" s="5">
        <v>2480</v>
      </c>
      <c r="F26" s="6">
        <v>65.116119999999995</v>
      </c>
      <c r="G26" s="7">
        <v>1.9203728999999999E-2</v>
      </c>
      <c r="H26" s="51"/>
    </row>
    <row r="27" spans="1:8" ht="29.1" customHeight="1" x14ac:dyDescent="0.2">
      <c r="A27" s="3">
        <v>21</v>
      </c>
      <c r="B27" s="4" t="s">
        <v>429</v>
      </c>
      <c r="C27" s="4" t="s">
        <v>430</v>
      </c>
      <c r="D27" s="4" t="s">
        <v>431</v>
      </c>
      <c r="E27" s="5">
        <v>47711</v>
      </c>
      <c r="F27" s="6">
        <v>63.431774500000003</v>
      </c>
      <c r="G27" s="7">
        <v>1.870699E-2</v>
      </c>
      <c r="H27" s="51"/>
    </row>
    <row r="28" spans="1:8" ht="17.100000000000001" customHeight="1" x14ac:dyDescent="0.2">
      <c r="A28" s="3">
        <v>22</v>
      </c>
      <c r="B28" s="4" t="s">
        <v>393</v>
      </c>
      <c r="C28" s="4" t="s">
        <v>394</v>
      </c>
      <c r="D28" s="4" t="s">
        <v>97</v>
      </c>
      <c r="E28" s="5">
        <v>7127</v>
      </c>
      <c r="F28" s="6">
        <v>62.257908499999999</v>
      </c>
      <c r="G28" s="7">
        <v>1.8360799000000001E-2</v>
      </c>
      <c r="H28" s="51"/>
    </row>
    <row r="29" spans="1:8" ht="29.1" customHeight="1" x14ac:dyDescent="0.2">
      <c r="A29" s="3">
        <v>23</v>
      </c>
      <c r="B29" s="4" t="s">
        <v>470</v>
      </c>
      <c r="C29" s="4" t="s">
        <v>471</v>
      </c>
      <c r="D29" s="4" t="s">
        <v>472</v>
      </c>
      <c r="E29" s="5">
        <v>13939</v>
      </c>
      <c r="F29" s="6">
        <v>61.673105499999998</v>
      </c>
      <c r="G29" s="7">
        <v>1.8188332000000001E-2</v>
      </c>
      <c r="H29" s="51"/>
    </row>
    <row r="30" spans="1:8" ht="29.1" customHeight="1" x14ac:dyDescent="0.2">
      <c r="A30" s="3">
        <v>24</v>
      </c>
      <c r="B30" s="4" t="s">
        <v>407</v>
      </c>
      <c r="C30" s="4" t="s">
        <v>408</v>
      </c>
      <c r="D30" s="4" t="s">
        <v>203</v>
      </c>
      <c r="E30" s="5">
        <v>18366</v>
      </c>
      <c r="F30" s="6">
        <v>60.222113999999998</v>
      </c>
      <c r="G30" s="7">
        <v>1.7760412999999999E-2</v>
      </c>
      <c r="H30" s="51"/>
    </row>
    <row r="31" spans="1:8" ht="17.100000000000001" customHeight="1" x14ac:dyDescent="0.2">
      <c r="A31" s="3">
        <v>25</v>
      </c>
      <c r="B31" s="4" t="s">
        <v>461</v>
      </c>
      <c r="C31" s="4" t="s">
        <v>462</v>
      </c>
      <c r="D31" s="4" t="s">
        <v>260</v>
      </c>
      <c r="E31" s="5">
        <v>17911</v>
      </c>
      <c r="F31" s="6">
        <v>60.019761000000003</v>
      </c>
      <c r="G31" s="7">
        <v>1.7700736000000002E-2</v>
      </c>
      <c r="H31" s="51"/>
    </row>
    <row r="32" spans="1:8" ht="17.100000000000001" customHeight="1" x14ac:dyDescent="0.2">
      <c r="A32" s="3">
        <v>26</v>
      </c>
      <c r="B32" s="4" t="s">
        <v>391</v>
      </c>
      <c r="C32" s="4" t="s">
        <v>392</v>
      </c>
      <c r="D32" s="4" t="s">
        <v>97</v>
      </c>
      <c r="E32" s="5">
        <v>12457</v>
      </c>
      <c r="F32" s="6">
        <v>59.768686000000002</v>
      </c>
      <c r="G32" s="7">
        <v>1.762669E-2</v>
      </c>
      <c r="H32" s="51"/>
    </row>
    <row r="33" spans="1:8" ht="17.100000000000001" customHeight="1" x14ac:dyDescent="0.2">
      <c r="A33" s="3">
        <v>27</v>
      </c>
      <c r="B33" s="4" t="s">
        <v>477</v>
      </c>
      <c r="C33" s="4" t="s">
        <v>478</v>
      </c>
      <c r="D33" s="4" t="s">
        <v>248</v>
      </c>
      <c r="E33" s="5">
        <v>31256</v>
      </c>
      <c r="F33" s="6">
        <v>58.292439999999999</v>
      </c>
      <c r="G33" s="7">
        <v>1.7191323000000001E-2</v>
      </c>
      <c r="H33" s="51"/>
    </row>
    <row r="34" spans="1:8" ht="29.1" customHeight="1" x14ac:dyDescent="0.2">
      <c r="A34" s="3">
        <v>28</v>
      </c>
      <c r="B34" s="4" t="s">
        <v>457</v>
      </c>
      <c r="C34" s="4" t="s">
        <v>458</v>
      </c>
      <c r="D34" s="4" t="s">
        <v>367</v>
      </c>
      <c r="E34" s="5">
        <v>8645</v>
      </c>
      <c r="F34" s="6">
        <v>51.675487500000003</v>
      </c>
      <c r="G34" s="7">
        <v>1.5239882999999999E-2</v>
      </c>
      <c r="H34" s="51"/>
    </row>
    <row r="35" spans="1:8" ht="29.1" customHeight="1" x14ac:dyDescent="0.2">
      <c r="A35" s="3">
        <v>29</v>
      </c>
      <c r="B35" s="4" t="s">
        <v>316</v>
      </c>
      <c r="C35" s="4" t="s">
        <v>317</v>
      </c>
      <c r="D35" s="4" t="s">
        <v>318</v>
      </c>
      <c r="E35" s="5">
        <v>7893</v>
      </c>
      <c r="F35" s="6">
        <v>50.929582500000002</v>
      </c>
      <c r="G35" s="7">
        <v>1.5019905E-2</v>
      </c>
      <c r="H35" s="51"/>
    </row>
    <row r="36" spans="1:8" ht="17.100000000000001" customHeight="1" x14ac:dyDescent="0.2">
      <c r="A36" s="3">
        <v>30</v>
      </c>
      <c r="B36" s="4" t="s">
        <v>395</v>
      </c>
      <c r="C36" s="4" t="s">
        <v>396</v>
      </c>
      <c r="D36" s="4" t="s">
        <v>315</v>
      </c>
      <c r="E36" s="5">
        <v>4114</v>
      </c>
      <c r="F36" s="6">
        <v>50.139375000000001</v>
      </c>
      <c r="G36" s="7">
        <v>1.4786860000000001E-2</v>
      </c>
      <c r="H36" s="51"/>
    </row>
    <row r="37" spans="1:8" ht="29.1" customHeight="1" x14ac:dyDescent="0.2">
      <c r="A37" s="3">
        <v>31</v>
      </c>
      <c r="B37" s="4" t="s">
        <v>397</v>
      </c>
      <c r="C37" s="4" t="s">
        <v>398</v>
      </c>
      <c r="D37" s="4" t="s">
        <v>75</v>
      </c>
      <c r="E37" s="5">
        <v>3088</v>
      </c>
      <c r="F37" s="6">
        <v>48.904656000000003</v>
      </c>
      <c r="G37" s="7">
        <v>1.4422723E-2</v>
      </c>
      <c r="H37" s="51"/>
    </row>
    <row r="38" spans="1:8" ht="17.100000000000001" customHeight="1" x14ac:dyDescent="0.2">
      <c r="A38" s="3">
        <v>32</v>
      </c>
      <c r="B38" s="4" t="s">
        <v>403</v>
      </c>
      <c r="C38" s="4" t="s">
        <v>404</v>
      </c>
      <c r="D38" s="4" t="s">
        <v>277</v>
      </c>
      <c r="E38" s="5">
        <v>5920</v>
      </c>
      <c r="F38" s="6">
        <v>46.939680000000003</v>
      </c>
      <c r="G38" s="7">
        <v>1.3843222000000001E-2</v>
      </c>
      <c r="H38" s="51"/>
    </row>
    <row r="39" spans="1:8" ht="29.1" customHeight="1" x14ac:dyDescent="0.2">
      <c r="A39" s="3">
        <v>33</v>
      </c>
      <c r="B39" s="4" t="s">
        <v>413</v>
      </c>
      <c r="C39" s="4" t="s">
        <v>414</v>
      </c>
      <c r="D39" s="4" t="s">
        <v>367</v>
      </c>
      <c r="E39" s="5">
        <v>8921</v>
      </c>
      <c r="F39" s="6">
        <v>44.828024999999997</v>
      </c>
      <c r="G39" s="7">
        <v>1.3220463E-2</v>
      </c>
      <c r="H39" s="51"/>
    </row>
    <row r="40" spans="1:8" ht="53.1" customHeight="1" x14ac:dyDescent="0.2">
      <c r="A40" s="3">
        <v>34</v>
      </c>
      <c r="B40" s="4" t="s">
        <v>335</v>
      </c>
      <c r="C40" s="4" t="s">
        <v>863</v>
      </c>
      <c r="D40" s="4" t="s">
        <v>45</v>
      </c>
      <c r="E40" s="5">
        <v>15720</v>
      </c>
      <c r="F40" s="6">
        <v>43.253579999999999</v>
      </c>
      <c r="G40" s="7">
        <v>1.2756135E-2</v>
      </c>
      <c r="H40" s="51"/>
    </row>
    <row r="41" spans="1:8" ht="17.100000000000001" customHeight="1" x14ac:dyDescent="0.2">
      <c r="A41" s="3">
        <v>35</v>
      </c>
      <c r="B41" s="4" t="s">
        <v>432</v>
      </c>
      <c r="C41" s="4" t="s">
        <v>433</v>
      </c>
      <c r="D41" s="4" t="s">
        <v>192</v>
      </c>
      <c r="E41" s="5">
        <v>4775</v>
      </c>
      <c r="F41" s="6">
        <v>40.575562499999997</v>
      </c>
      <c r="G41" s="7">
        <v>1.1966347E-2</v>
      </c>
      <c r="H41" s="51"/>
    </row>
    <row r="42" spans="1:8" ht="17.100000000000001" customHeight="1" x14ac:dyDescent="0.2">
      <c r="A42" s="3">
        <v>36</v>
      </c>
      <c r="B42" s="4" t="s">
        <v>459</v>
      </c>
      <c r="C42" s="4" t="s">
        <v>460</v>
      </c>
      <c r="D42" s="4" t="s">
        <v>97</v>
      </c>
      <c r="E42" s="5">
        <v>60160</v>
      </c>
      <c r="F42" s="6">
        <v>39.916159999999998</v>
      </c>
      <c r="G42" s="7">
        <v>1.177188E-2</v>
      </c>
      <c r="H42" s="51"/>
    </row>
    <row r="43" spans="1:8" ht="17.100000000000001" customHeight="1" x14ac:dyDescent="0.2">
      <c r="A43" s="3">
        <v>37</v>
      </c>
      <c r="B43" s="4" t="s">
        <v>425</v>
      </c>
      <c r="C43" s="4" t="s">
        <v>426</v>
      </c>
      <c r="D43" s="4" t="s">
        <v>13</v>
      </c>
      <c r="E43" s="5">
        <v>50158</v>
      </c>
      <c r="F43" s="6">
        <v>39.223556000000002</v>
      </c>
      <c r="G43" s="7">
        <v>1.1567620000000001E-2</v>
      </c>
      <c r="H43" s="51"/>
    </row>
    <row r="44" spans="1:8" ht="29.1" customHeight="1" x14ac:dyDescent="0.2">
      <c r="A44" s="3">
        <v>38</v>
      </c>
      <c r="B44" s="4" t="s">
        <v>291</v>
      </c>
      <c r="C44" s="4" t="s">
        <v>292</v>
      </c>
      <c r="D44" s="4" t="s">
        <v>184</v>
      </c>
      <c r="E44" s="5">
        <v>5097</v>
      </c>
      <c r="F44" s="6">
        <v>38.286115500000001</v>
      </c>
      <c r="G44" s="7">
        <v>1.1291155000000001E-2</v>
      </c>
      <c r="H44" s="51"/>
    </row>
    <row r="45" spans="1:8" ht="29.1" customHeight="1" x14ac:dyDescent="0.2">
      <c r="A45" s="3">
        <v>39</v>
      </c>
      <c r="B45" s="4" t="s">
        <v>423</v>
      </c>
      <c r="C45" s="4" t="s">
        <v>424</v>
      </c>
      <c r="D45" s="4" t="s">
        <v>318</v>
      </c>
      <c r="E45" s="5">
        <v>8864</v>
      </c>
      <c r="F45" s="6">
        <v>36.914127999999998</v>
      </c>
      <c r="G45" s="7">
        <v>1.0886534999999999E-2</v>
      </c>
      <c r="H45" s="51"/>
    </row>
    <row r="46" spans="1:8" ht="29.1" customHeight="1" x14ac:dyDescent="0.2">
      <c r="A46" s="3">
        <v>40</v>
      </c>
      <c r="B46" s="4" t="s">
        <v>438</v>
      </c>
      <c r="C46" s="4" t="s">
        <v>439</v>
      </c>
      <c r="D46" s="4" t="s">
        <v>104</v>
      </c>
      <c r="E46" s="5">
        <v>2514</v>
      </c>
      <c r="F46" s="6">
        <v>34.937058</v>
      </c>
      <c r="G46" s="7">
        <v>1.0303467E-2</v>
      </c>
      <c r="H46" s="51"/>
    </row>
    <row r="47" spans="1:8" ht="17.100000000000001" customHeight="1" x14ac:dyDescent="0.2">
      <c r="A47" s="3">
        <v>41</v>
      </c>
      <c r="B47" s="4" t="s">
        <v>436</v>
      </c>
      <c r="C47" s="4" t="s">
        <v>437</v>
      </c>
      <c r="D47" s="4" t="s">
        <v>72</v>
      </c>
      <c r="E47" s="5">
        <v>5084</v>
      </c>
      <c r="F47" s="6">
        <v>32.418126000000001</v>
      </c>
      <c r="G47" s="7">
        <v>9.5605959999999993E-3</v>
      </c>
      <c r="H47" s="51"/>
    </row>
    <row r="48" spans="1:8" ht="17.100000000000001" customHeight="1" x14ac:dyDescent="0.2">
      <c r="A48" s="3">
        <v>42</v>
      </c>
      <c r="B48" s="4" t="s">
        <v>496</v>
      </c>
      <c r="C48" s="4" t="s">
        <v>497</v>
      </c>
      <c r="D48" s="4" t="s">
        <v>232</v>
      </c>
      <c r="E48" s="5">
        <v>12025</v>
      </c>
      <c r="F48" s="6">
        <v>31.926375</v>
      </c>
      <c r="G48" s="7">
        <v>9.4155709999999993E-3</v>
      </c>
      <c r="H48" s="51"/>
    </row>
    <row r="49" spans="1:8" ht="17.100000000000001" customHeight="1" x14ac:dyDescent="0.2">
      <c r="A49" s="3">
        <v>43</v>
      </c>
      <c r="B49" s="4" t="s">
        <v>329</v>
      </c>
      <c r="C49" s="4" t="s">
        <v>330</v>
      </c>
      <c r="D49" s="4" t="s">
        <v>36</v>
      </c>
      <c r="E49" s="5">
        <v>13444</v>
      </c>
      <c r="F49" s="6">
        <v>31.687508000000001</v>
      </c>
      <c r="G49" s="7">
        <v>9.3451260000000005E-3</v>
      </c>
      <c r="H49" s="51"/>
    </row>
    <row r="50" spans="1:8" ht="17.100000000000001" customHeight="1" x14ac:dyDescent="0.2">
      <c r="A50" s="3">
        <v>44</v>
      </c>
      <c r="B50" s="4" t="s">
        <v>442</v>
      </c>
      <c r="C50" s="4" t="s">
        <v>443</v>
      </c>
      <c r="D50" s="4" t="s">
        <v>232</v>
      </c>
      <c r="E50" s="5">
        <v>3248</v>
      </c>
      <c r="F50" s="6">
        <v>23.502528000000002</v>
      </c>
      <c r="G50" s="7">
        <v>6.9312510000000003E-3</v>
      </c>
      <c r="H50" s="51"/>
    </row>
    <row r="51" spans="1:8" ht="17.100000000000001" customHeight="1" x14ac:dyDescent="0.2">
      <c r="A51" s="3">
        <v>45</v>
      </c>
      <c r="B51" s="4" t="s">
        <v>123</v>
      </c>
      <c r="C51" s="4" t="s">
        <v>124</v>
      </c>
      <c r="D51" s="4" t="s">
        <v>104</v>
      </c>
      <c r="E51" s="5">
        <v>937</v>
      </c>
      <c r="F51" s="6">
        <v>22.147869</v>
      </c>
      <c r="G51" s="7">
        <v>6.5317420000000001E-3</v>
      </c>
      <c r="H51" s="51"/>
    </row>
    <row r="52" spans="1:8" ht="29.1" customHeight="1" x14ac:dyDescent="0.2">
      <c r="A52" s="3">
        <v>46</v>
      </c>
      <c r="B52" s="4" t="s">
        <v>446</v>
      </c>
      <c r="C52" s="4" t="s">
        <v>447</v>
      </c>
      <c r="D52" s="4" t="s">
        <v>203</v>
      </c>
      <c r="E52" s="5">
        <v>482</v>
      </c>
      <c r="F52" s="6">
        <v>19.795499</v>
      </c>
      <c r="G52" s="7">
        <v>5.8379920000000002E-3</v>
      </c>
      <c r="H52" s="51"/>
    </row>
    <row r="53" spans="1:8" ht="17.100000000000001" customHeight="1" x14ac:dyDescent="0.2">
      <c r="A53" s="3">
        <v>47</v>
      </c>
      <c r="B53" s="4" t="s">
        <v>454</v>
      </c>
      <c r="C53" s="4" t="s">
        <v>455</v>
      </c>
      <c r="D53" s="4" t="s">
        <v>16</v>
      </c>
      <c r="E53" s="5">
        <v>8773</v>
      </c>
      <c r="F53" s="6">
        <v>19.533084500000001</v>
      </c>
      <c r="G53" s="7">
        <v>5.7606020000000001E-3</v>
      </c>
      <c r="H53" s="51"/>
    </row>
    <row r="54" spans="1:8" ht="17.100000000000001" customHeight="1" x14ac:dyDescent="0.2">
      <c r="A54" s="3">
        <v>48</v>
      </c>
      <c r="B54" s="4" t="s">
        <v>444</v>
      </c>
      <c r="C54" s="4" t="s">
        <v>445</v>
      </c>
      <c r="D54" s="4" t="s">
        <v>31</v>
      </c>
      <c r="E54" s="5">
        <v>2157</v>
      </c>
      <c r="F54" s="6">
        <v>17.2247235</v>
      </c>
      <c r="G54" s="7">
        <v>5.0798320000000003E-3</v>
      </c>
      <c r="H54" s="51"/>
    </row>
    <row r="55" spans="1:8" ht="17.100000000000001" customHeight="1" x14ac:dyDescent="0.2">
      <c r="A55" s="3">
        <v>49</v>
      </c>
      <c r="B55" s="4" t="s">
        <v>340</v>
      </c>
      <c r="C55" s="4" t="s">
        <v>341</v>
      </c>
      <c r="D55" s="4" t="s">
        <v>92</v>
      </c>
      <c r="E55" s="5">
        <v>21625</v>
      </c>
      <c r="F55" s="6">
        <v>16.132249999999999</v>
      </c>
      <c r="G55" s="7">
        <v>4.7576449999999996E-3</v>
      </c>
      <c r="H55" s="51"/>
    </row>
    <row r="56" spans="1:8" ht="29.1" customHeight="1" x14ac:dyDescent="0.2">
      <c r="A56" s="3">
        <v>50</v>
      </c>
      <c r="B56" s="4" t="s">
        <v>463</v>
      </c>
      <c r="C56" s="4" t="s">
        <v>464</v>
      </c>
      <c r="D56" s="4" t="s">
        <v>184</v>
      </c>
      <c r="E56" s="5">
        <v>1745</v>
      </c>
      <c r="F56" s="6">
        <v>12.910382500000001</v>
      </c>
      <c r="G56" s="7">
        <v>3.8074670000000001E-3</v>
      </c>
      <c r="H56" s="51"/>
    </row>
    <row r="57" spans="1:8" ht="29.1" customHeight="1" x14ac:dyDescent="0.2">
      <c r="A57" s="3">
        <v>51</v>
      </c>
      <c r="B57" s="4" t="s">
        <v>448</v>
      </c>
      <c r="C57" s="4" t="s">
        <v>449</v>
      </c>
      <c r="D57" s="4" t="s">
        <v>203</v>
      </c>
      <c r="E57" s="5">
        <v>1757</v>
      </c>
      <c r="F57" s="6">
        <v>4.1140154999999998</v>
      </c>
      <c r="G57" s="7">
        <v>1.2132849999999999E-3</v>
      </c>
      <c r="H57" s="51"/>
    </row>
    <row r="58" spans="1:8" ht="14.1" customHeight="1" x14ac:dyDescent="0.2">
      <c r="A58" s="1"/>
      <c r="B58" s="1"/>
      <c r="C58" s="2" t="s">
        <v>129</v>
      </c>
      <c r="D58" s="1"/>
      <c r="E58" s="1" t="s">
        <v>130</v>
      </c>
      <c r="F58" s="9">
        <v>3129.9217749999998</v>
      </c>
      <c r="G58" s="10">
        <v>0.92306129199999998</v>
      </c>
      <c r="H58" s="51"/>
    </row>
    <row r="59" spans="1:8" ht="14.1" customHeight="1" x14ac:dyDescent="0.2">
      <c r="A59" s="1"/>
      <c r="B59" s="1"/>
      <c r="C59" s="11"/>
      <c r="D59" s="1"/>
      <c r="E59" s="1"/>
      <c r="F59" s="12"/>
      <c r="G59" s="12"/>
      <c r="H59" s="51"/>
    </row>
    <row r="60" spans="1:8" ht="14.1" customHeight="1" x14ac:dyDescent="0.2">
      <c r="A60" s="1"/>
      <c r="B60" s="1"/>
      <c r="C60" s="2" t="s">
        <v>131</v>
      </c>
      <c r="D60" s="1"/>
      <c r="E60" s="1"/>
      <c r="F60" s="1"/>
      <c r="G60" s="1"/>
      <c r="H60" s="51"/>
    </row>
    <row r="61" spans="1:8" ht="14.1" customHeight="1" x14ac:dyDescent="0.2">
      <c r="A61" s="1"/>
      <c r="B61" s="1"/>
      <c r="C61" s="2" t="s">
        <v>129</v>
      </c>
      <c r="D61" s="1"/>
      <c r="E61" s="1" t="s">
        <v>130</v>
      </c>
      <c r="F61" s="13">
        <v>0</v>
      </c>
      <c r="G61" s="14">
        <v>0</v>
      </c>
      <c r="H61" s="51"/>
    </row>
    <row r="62" spans="1:8" ht="14.1" customHeight="1" x14ac:dyDescent="0.2">
      <c r="A62" s="1"/>
      <c r="B62" s="1"/>
      <c r="C62" s="11"/>
      <c r="D62" s="1"/>
      <c r="E62" s="1"/>
      <c r="F62" s="12"/>
      <c r="G62" s="12"/>
      <c r="H62" s="51"/>
    </row>
    <row r="63" spans="1:8" ht="14.1" customHeight="1" x14ac:dyDescent="0.2">
      <c r="A63" s="1"/>
      <c r="B63" s="1"/>
      <c r="C63" s="2" t="s">
        <v>132</v>
      </c>
      <c r="D63" s="1"/>
      <c r="E63" s="1"/>
      <c r="F63" s="1"/>
      <c r="G63" s="1"/>
      <c r="H63" s="51"/>
    </row>
    <row r="64" spans="1:8" ht="14.1" customHeight="1" x14ac:dyDescent="0.2">
      <c r="A64" s="1"/>
      <c r="B64" s="1"/>
      <c r="C64" s="2" t="s">
        <v>129</v>
      </c>
      <c r="D64" s="1"/>
      <c r="E64" s="1" t="s">
        <v>130</v>
      </c>
      <c r="F64" s="13">
        <v>0</v>
      </c>
      <c r="G64" s="14">
        <v>0</v>
      </c>
      <c r="H64" s="51"/>
    </row>
    <row r="65" spans="1:8" ht="14.1" customHeight="1" x14ac:dyDescent="0.2">
      <c r="A65" s="1"/>
      <c r="B65" s="1"/>
      <c r="C65" s="11"/>
      <c r="D65" s="1"/>
      <c r="E65" s="1"/>
      <c r="F65" s="12"/>
      <c r="G65" s="12"/>
      <c r="H65" s="51"/>
    </row>
    <row r="66" spans="1:8" ht="14.1" customHeight="1" x14ac:dyDescent="0.2">
      <c r="A66" s="1"/>
      <c r="B66" s="1"/>
      <c r="C66" s="2" t="s">
        <v>133</v>
      </c>
      <c r="D66" s="1"/>
      <c r="E66" s="1"/>
      <c r="F66" s="1"/>
      <c r="G66" s="1"/>
      <c r="H66" s="51"/>
    </row>
    <row r="67" spans="1:8" ht="14.1" customHeight="1" x14ac:dyDescent="0.2">
      <c r="A67" s="1"/>
      <c r="B67" s="1"/>
      <c r="C67" s="2" t="s">
        <v>129</v>
      </c>
      <c r="D67" s="1"/>
      <c r="E67" s="1" t="s">
        <v>130</v>
      </c>
      <c r="F67" s="13">
        <v>0</v>
      </c>
      <c r="G67" s="14">
        <v>0</v>
      </c>
      <c r="H67" s="51"/>
    </row>
    <row r="68" spans="1:8" ht="14.1" customHeight="1" x14ac:dyDescent="0.2">
      <c r="A68" s="1"/>
      <c r="B68" s="1"/>
      <c r="C68" s="11"/>
      <c r="D68" s="1"/>
      <c r="E68" s="1"/>
      <c r="F68" s="12"/>
      <c r="G68" s="12"/>
      <c r="H68" s="51"/>
    </row>
    <row r="69" spans="1:8" ht="14.1" customHeight="1" x14ac:dyDescent="0.2">
      <c r="A69" s="1"/>
      <c r="B69" s="1"/>
      <c r="C69" s="2" t="s">
        <v>134</v>
      </c>
      <c r="D69" s="1"/>
      <c r="E69" s="1"/>
      <c r="F69" s="12"/>
      <c r="G69" s="12"/>
      <c r="H69" s="51"/>
    </row>
    <row r="70" spans="1:8" ht="14.1" customHeight="1" x14ac:dyDescent="0.2">
      <c r="A70" s="1"/>
      <c r="B70" s="1"/>
      <c r="C70" s="2" t="s">
        <v>129</v>
      </c>
      <c r="D70" s="1"/>
      <c r="E70" s="1" t="s">
        <v>130</v>
      </c>
      <c r="F70" s="13">
        <v>0</v>
      </c>
      <c r="G70" s="14">
        <v>0</v>
      </c>
      <c r="H70" s="51"/>
    </row>
    <row r="71" spans="1:8" ht="14.1" customHeight="1" x14ac:dyDescent="0.2">
      <c r="A71" s="1"/>
      <c r="B71" s="1"/>
      <c r="C71" s="11"/>
      <c r="D71" s="1"/>
      <c r="E71" s="1"/>
      <c r="F71" s="12"/>
      <c r="G71" s="12"/>
      <c r="H71" s="51"/>
    </row>
    <row r="72" spans="1:8" ht="14.1" customHeight="1" x14ac:dyDescent="0.2">
      <c r="A72" s="1"/>
      <c r="B72" s="1"/>
      <c r="C72" s="2" t="s">
        <v>135</v>
      </c>
      <c r="D72" s="1"/>
      <c r="E72" s="1"/>
      <c r="F72" s="12"/>
      <c r="G72" s="12"/>
      <c r="H72" s="51"/>
    </row>
    <row r="73" spans="1:8" ht="14.1" customHeight="1" x14ac:dyDescent="0.2">
      <c r="A73" s="1"/>
      <c r="B73" s="1"/>
      <c r="C73" s="2" t="s">
        <v>129</v>
      </c>
      <c r="D73" s="1"/>
      <c r="E73" s="1" t="s">
        <v>130</v>
      </c>
      <c r="F73" s="13">
        <v>0</v>
      </c>
      <c r="G73" s="14">
        <v>0</v>
      </c>
      <c r="H73" s="51"/>
    </row>
    <row r="74" spans="1:8" ht="14.1" customHeight="1" x14ac:dyDescent="0.2">
      <c r="A74" s="1"/>
      <c r="B74" s="1"/>
      <c r="C74" s="11"/>
      <c r="D74" s="1"/>
      <c r="E74" s="1"/>
      <c r="F74" s="12"/>
      <c r="G74" s="12"/>
      <c r="H74" s="51"/>
    </row>
    <row r="75" spans="1:8" ht="18" customHeight="1" x14ac:dyDescent="0.2">
      <c r="A75" s="1"/>
      <c r="B75" s="1"/>
      <c r="C75" s="2" t="s">
        <v>136</v>
      </c>
      <c r="D75" s="1"/>
      <c r="E75" s="1"/>
      <c r="F75" s="9">
        <v>3129.9217749999998</v>
      </c>
      <c r="G75" s="10">
        <v>0.92306129199999998</v>
      </c>
      <c r="H75" s="51"/>
    </row>
    <row r="76" spans="1:8" ht="14.1" customHeight="1" x14ac:dyDescent="0.2">
      <c r="A76" s="1"/>
      <c r="B76" s="1"/>
      <c r="C76" s="11"/>
      <c r="D76" s="1"/>
      <c r="E76" s="1"/>
      <c r="F76" s="12"/>
      <c r="G76" s="12"/>
      <c r="H76" s="51"/>
    </row>
    <row r="77" spans="1:8" ht="14.1" customHeight="1" x14ac:dyDescent="0.2">
      <c r="A77" s="1"/>
      <c r="B77" s="1"/>
      <c r="C77" s="2" t="s">
        <v>137</v>
      </c>
      <c r="D77" s="1"/>
      <c r="E77" s="1"/>
      <c r="F77" s="12"/>
      <c r="G77" s="12"/>
      <c r="H77" s="51"/>
    </row>
    <row r="78" spans="1:8" ht="24" customHeight="1" x14ac:dyDescent="0.2">
      <c r="A78" s="1"/>
      <c r="B78" s="1"/>
      <c r="C78" s="2" t="s">
        <v>10</v>
      </c>
      <c r="D78" s="1"/>
      <c r="E78" s="1"/>
      <c r="F78" s="12"/>
      <c r="G78" s="12"/>
      <c r="H78" s="51"/>
    </row>
    <row r="79" spans="1:8" ht="14.1" customHeight="1" x14ac:dyDescent="0.2">
      <c r="A79" s="1"/>
      <c r="B79" s="1"/>
      <c r="C79" s="2" t="s">
        <v>129</v>
      </c>
      <c r="D79" s="1"/>
      <c r="E79" s="1" t="s">
        <v>130</v>
      </c>
      <c r="F79" s="13">
        <v>0</v>
      </c>
      <c r="G79" s="14">
        <v>0</v>
      </c>
      <c r="H79" s="51"/>
    </row>
    <row r="80" spans="1:8" ht="14.1" customHeight="1" x14ac:dyDescent="0.2">
      <c r="A80" s="1"/>
      <c r="B80" s="1"/>
      <c r="C80" s="11"/>
      <c r="D80" s="1"/>
      <c r="E80" s="1"/>
      <c r="F80" s="12"/>
      <c r="G80" s="12"/>
      <c r="H80" s="51"/>
    </row>
    <row r="81" spans="1:8" ht="14.1" customHeight="1" x14ac:dyDescent="0.2">
      <c r="A81" s="1"/>
      <c r="B81" s="1"/>
      <c r="C81" s="2" t="s">
        <v>138</v>
      </c>
      <c r="D81" s="1"/>
      <c r="E81" s="1"/>
      <c r="F81" s="1"/>
      <c r="G81" s="1"/>
      <c r="H81" s="51"/>
    </row>
    <row r="82" spans="1:8" ht="14.1" customHeight="1" x14ac:dyDescent="0.2">
      <c r="A82" s="1"/>
      <c r="B82" s="1"/>
      <c r="C82" s="2" t="s">
        <v>129</v>
      </c>
      <c r="D82" s="1"/>
      <c r="E82" s="1" t="s">
        <v>130</v>
      </c>
      <c r="F82" s="13">
        <v>0</v>
      </c>
      <c r="G82" s="14">
        <v>0</v>
      </c>
      <c r="H82" s="51"/>
    </row>
    <row r="83" spans="1:8" ht="14.1" customHeight="1" x14ac:dyDescent="0.2">
      <c r="A83" s="1"/>
      <c r="B83" s="1"/>
      <c r="C83" s="11"/>
      <c r="D83" s="1"/>
      <c r="E83" s="1"/>
      <c r="F83" s="12"/>
      <c r="G83" s="12"/>
      <c r="H83" s="51"/>
    </row>
    <row r="84" spans="1:8" ht="14.1" customHeight="1" x14ac:dyDescent="0.2">
      <c r="A84" s="1"/>
      <c r="B84" s="1"/>
      <c r="C84" s="2" t="s">
        <v>139</v>
      </c>
      <c r="D84" s="1"/>
      <c r="E84" s="1"/>
      <c r="F84" s="1"/>
      <c r="G84" s="1"/>
      <c r="H84" s="51"/>
    </row>
    <row r="85" spans="1:8" ht="14.1" customHeight="1" x14ac:dyDescent="0.2">
      <c r="A85" s="1"/>
      <c r="B85" s="1"/>
      <c r="C85" s="2" t="s">
        <v>129</v>
      </c>
      <c r="D85" s="1"/>
      <c r="E85" s="1" t="s">
        <v>130</v>
      </c>
      <c r="F85" s="13">
        <v>0</v>
      </c>
      <c r="G85" s="14">
        <v>0</v>
      </c>
      <c r="H85" s="51"/>
    </row>
    <row r="86" spans="1:8" ht="14.1" customHeight="1" x14ac:dyDescent="0.2">
      <c r="A86" s="1"/>
      <c r="B86" s="1"/>
      <c r="C86" s="11"/>
      <c r="D86" s="1"/>
      <c r="E86" s="1"/>
      <c r="F86" s="12"/>
      <c r="G86" s="12"/>
      <c r="H86" s="51"/>
    </row>
    <row r="87" spans="1:8" ht="14.1" customHeight="1" x14ac:dyDescent="0.2">
      <c r="A87" s="1"/>
      <c r="B87" s="1"/>
      <c r="C87" s="2" t="s">
        <v>140</v>
      </c>
      <c r="D87" s="1"/>
      <c r="E87" s="1"/>
      <c r="F87" s="12"/>
      <c r="G87" s="12"/>
      <c r="H87" s="51"/>
    </row>
    <row r="88" spans="1:8" ht="14.1" customHeight="1" x14ac:dyDescent="0.2">
      <c r="A88" s="1"/>
      <c r="B88" s="1"/>
      <c r="C88" s="2" t="s">
        <v>129</v>
      </c>
      <c r="D88" s="1"/>
      <c r="E88" s="1" t="s">
        <v>130</v>
      </c>
      <c r="F88" s="13">
        <v>0</v>
      </c>
      <c r="G88" s="14">
        <v>0</v>
      </c>
      <c r="H88" s="51"/>
    </row>
    <row r="89" spans="1:8" ht="14.1" customHeight="1" x14ac:dyDescent="0.2">
      <c r="A89" s="1"/>
      <c r="B89" s="1"/>
      <c r="C89" s="11"/>
      <c r="D89" s="1"/>
      <c r="E89" s="1"/>
      <c r="F89" s="12"/>
      <c r="G89" s="12"/>
      <c r="H89" s="51"/>
    </row>
    <row r="90" spans="1:8" ht="14.1" customHeight="1" x14ac:dyDescent="0.2">
      <c r="A90" s="1"/>
      <c r="B90" s="1"/>
      <c r="C90" s="2" t="s">
        <v>141</v>
      </c>
      <c r="D90" s="1"/>
      <c r="E90" s="1"/>
      <c r="F90" s="9">
        <v>0</v>
      </c>
      <c r="G90" s="10">
        <v>0</v>
      </c>
      <c r="H90" s="51"/>
    </row>
    <row r="91" spans="1:8" ht="14.1" customHeight="1" x14ac:dyDescent="0.2">
      <c r="A91" s="1"/>
      <c r="B91" s="1"/>
      <c r="C91" s="11"/>
      <c r="D91" s="1"/>
      <c r="E91" s="1"/>
      <c r="F91" s="12"/>
      <c r="G91" s="12"/>
      <c r="H91" s="51"/>
    </row>
    <row r="92" spans="1:8" ht="14.1" customHeight="1" x14ac:dyDescent="0.2">
      <c r="A92" s="1"/>
      <c r="B92" s="1"/>
      <c r="C92" s="2" t="s">
        <v>142</v>
      </c>
      <c r="D92" s="1"/>
      <c r="E92" s="1"/>
      <c r="F92" s="12"/>
      <c r="G92" s="12"/>
      <c r="H92" s="51"/>
    </row>
    <row r="93" spans="1:8" ht="14.1" customHeight="1" x14ac:dyDescent="0.2">
      <c r="A93" s="1"/>
      <c r="B93" s="1"/>
      <c r="C93" s="2" t="s">
        <v>143</v>
      </c>
      <c r="D93" s="1"/>
      <c r="E93" s="1"/>
      <c r="F93" s="12"/>
      <c r="G93" s="12"/>
      <c r="H93" s="51"/>
    </row>
    <row r="94" spans="1:8" ht="14.1" customHeight="1" x14ac:dyDescent="0.2">
      <c r="A94" s="1"/>
      <c r="B94" s="1"/>
      <c r="C94" s="2" t="s">
        <v>129</v>
      </c>
      <c r="D94" s="1"/>
      <c r="E94" s="1" t="s">
        <v>130</v>
      </c>
      <c r="F94" s="13">
        <v>0</v>
      </c>
      <c r="G94" s="14">
        <v>0</v>
      </c>
      <c r="H94" s="51"/>
    </row>
    <row r="95" spans="1:8" ht="14.1" customHeight="1" x14ac:dyDescent="0.2">
      <c r="A95" s="1"/>
      <c r="B95" s="1"/>
      <c r="C95" s="11"/>
      <c r="D95" s="1"/>
      <c r="E95" s="1"/>
      <c r="F95" s="12"/>
      <c r="G95" s="12"/>
      <c r="H95" s="51"/>
    </row>
    <row r="96" spans="1:8" ht="14.1" customHeight="1" x14ac:dyDescent="0.2">
      <c r="A96" s="1"/>
      <c r="B96" s="1"/>
      <c r="C96" s="2" t="s">
        <v>144</v>
      </c>
      <c r="D96" s="1"/>
      <c r="E96" s="1"/>
      <c r="F96" s="12"/>
      <c r="G96" s="12"/>
      <c r="H96" s="51"/>
    </row>
    <row r="97" spans="1:8" ht="14.1" customHeight="1" x14ac:dyDescent="0.2">
      <c r="A97" s="1"/>
      <c r="B97" s="1"/>
      <c r="C97" s="2" t="s">
        <v>129</v>
      </c>
      <c r="D97" s="1"/>
      <c r="E97" s="1" t="s">
        <v>130</v>
      </c>
      <c r="F97" s="13">
        <v>0</v>
      </c>
      <c r="G97" s="14">
        <v>0</v>
      </c>
      <c r="H97" s="51"/>
    </row>
    <row r="98" spans="1:8" ht="14.1" customHeight="1" x14ac:dyDescent="0.2">
      <c r="A98" s="1"/>
      <c r="B98" s="1"/>
      <c r="C98" s="11"/>
      <c r="D98" s="1"/>
      <c r="E98" s="1"/>
      <c r="F98" s="12"/>
      <c r="G98" s="12"/>
      <c r="H98" s="51"/>
    </row>
    <row r="99" spans="1:8" ht="14.1" customHeight="1" x14ac:dyDescent="0.2">
      <c r="A99" s="1"/>
      <c r="B99" s="1"/>
      <c r="C99" s="2" t="s">
        <v>145</v>
      </c>
      <c r="D99" s="1"/>
      <c r="E99" s="1"/>
      <c r="F99" s="12"/>
      <c r="G99" s="12"/>
      <c r="H99" s="51"/>
    </row>
    <row r="100" spans="1:8" ht="14.1" customHeight="1" x14ac:dyDescent="0.2">
      <c r="A100" s="1"/>
      <c r="B100" s="1"/>
      <c r="C100" s="2" t="s">
        <v>129</v>
      </c>
      <c r="D100" s="1"/>
      <c r="E100" s="1" t="s">
        <v>130</v>
      </c>
      <c r="F100" s="13">
        <v>0</v>
      </c>
      <c r="G100" s="14">
        <v>0</v>
      </c>
      <c r="H100" s="51"/>
    </row>
    <row r="101" spans="1:8" ht="14.1" customHeight="1" x14ac:dyDescent="0.2">
      <c r="A101" s="1"/>
      <c r="B101" s="1"/>
      <c r="C101" s="11"/>
      <c r="D101" s="1"/>
      <c r="E101" s="1"/>
      <c r="F101" s="12"/>
      <c r="G101" s="12"/>
      <c r="H101" s="51"/>
    </row>
    <row r="102" spans="1:8" ht="14.1" customHeight="1" x14ac:dyDescent="0.2">
      <c r="A102" s="1"/>
      <c r="B102" s="1"/>
      <c r="C102" s="2" t="s">
        <v>146</v>
      </c>
      <c r="D102" s="1"/>
      <c r="E102" s="1"/>
      <c r="F102" s="12"/>
      <c r="G102" s="12"/>
      <c r="H102" s="51"/>
    </row>
    <row r="103" spans="1:8" ht="17.100000000000001" customHeight="1" x14ac:dyDescent="0.2">
      <c r="A103" s="3">
        <v>1</v>
      </c>
      <c r="B103" s="4"/>
      <c r="C103" s="4" t="s">
        <v>147</v>
      </c>
      <c r="D103" s="4"/>
      <c r="E103" s="8"/>
      <c r="F103" s="6">
        <v>258.49777599999999</v>
      </c>
      <c r="G103" s="7">
        <v>7.6234906000000005E-2</v>
      </c>
      <c r="H103" s="51">
        <v>6.1245112103248278</v>
      </c>
    </row>
    <row r="104" spans="1:8" ht="14.1" customHeight="1" x14ac:dyDescent="0.2">
      <c r="A104" s="1"/>
      <c r="B104" s="1"/>
      <c r="C104" s="2" t="s">
        <v>129</v>
      </c>
      <c r="D104" s="1"/>
      <c r="E104" s="1" t="s">
        <v>130</v>
      </c>
      <c r="F104" s="9">
        <v>258.49777599999999</v>
      </c>
      <c r="G104" s="10">
        <v>7.6234906000000005E-2</v>
      </c>
      <c r="H104" s="51"/>
    </row>
    <row r="105" spans="1:8" ht="14.1" customHeight="1" x14ac:dyDescent="0.2">
      <c r="A105" s="1"/>
      <c r="B105" s="1"/>
      <c r="C105" s="11"/>
      <c r="D105" s="1"/>
      <c r="E105" s="1"/>
      <c r="F105" s="12"/>
      <c r="G105" s="12"/>
      <c r="H105" s="51"/>
    </row>
    <row r="106" spans="1:8" ht="14.1" customHeight="1" x14ac:dyDescent="0.2">
      <c r="A106" s="1"/>
      <c r="B106" s="1"/>
      <c r="C106" s="2" t="s">
        <v>148</v>
      </c>
      <c r="D106" s="1"/>
      <c r="E106" s="1"/>
      <c r="F106" s="9">
        <v>258.49777599999999</v>
      </c>
      <c r="G106" s="10">
        <v>7.6234906000000005E-2</v>
      </c>
      <c r="H106" s="51"/>
    </row>
    <row r="107" spans="1:8" ht="14.1" customHeight="1" x14ac:dyDescent="0.2">
      <c r="A107" s="1"/>
      <c r="B107" s="1"/>
      <c r="C107" s="12"/>
      <c r="D107" s="1"/>
      <c r="E107" s="1"/>
      <c r="F107" s="1"/>
      <c r="G107" s="1"/>
      <c r="H107" s="51"/>
    </row>
    <row r="108" spans="1:8" ht="14.1" customHeight="1" x14ac:dyDescent="0.2">
      <c r="A108" s="1"/>
      <c r="B108" s="1"/>
      <c r="C108" s="2" t="s">
        <v>149</v>
      </c>
      <c r="D108" s="1"/>
      <c r="E108" s="1"/>
      <c r="F108" s="1"/>
      <c r="G108" s="1"/>
      <c r="H108" s="51"/>
    </row>
    <row r="109" spans="1:8" ht="14.1" customHeight="1" x14ac:dyDescent="0.2">
      <c r="A109" s="1"/>
      <c r="B109" s="1"/>
      <c r="C109" s="2" t="s">
        <v>150</v>
      </c>
      <c r="D109" s="1"/>
      <c r="E109" s="1"/>
      <c r="F109" s="1"/>
      <c r="G109" s="1"/>
      <c r="H109" s="51"/>
    </row>
    <row r="110" spans="1:8" ht="14.1" customHeight="1" x14ac:dyDescent="0.2">
      <c r="A110" s="1"/>
      <c r="B110" s="1"/>
      <c r="C110" s="2" t="s">
        <v>129</v>
      </c>
      <c r="D110" s="1"/>
      <c r="E110" s="1" t="s">
        <v>130</v>
      </c>
      <c r="F110" s="13">
        <v>0</v>
      </c>
      <c r="G110" s="14">
        <v>0</v>
      </c>
      <c r="H110" s="51"/>
    </row>
    <row r="111" spans="1:8" ht="14.1" customHeight="1" x14ac:dyDescent="0.2">
      <c r="A111" s="1"/>
      <c r="B111" s="1"/>
      <c r="C111" s="11"/>
      <c r="D111" s="1"/>
      <c r="E111" s="1"/>
      <c r="F111" s="12"/>
      <c r="G111" s="12"/>
      <c r="H111" s="51"/>
    </row>
    <row r="112" spans="1:8" ht="14.1" customHeight="1" x14ac:dyDescent="0.2">
      <c r="A112" s="1"/>
      <c r="B112" s="1"/>
      <c r="C112" s="2" t="s">
        <v>151</v>
      </c>
      <c r="D112" s="1"/>
      <c r="E112" s="1"/>
      <c r="F112" s="1"/>
      <c r="G112" s="1"/>
      <c r="H112" s="51"/>
    </row>
    <row r="113" spans="1:8" ht="14.1" customHeight="1" x14ac:dyDescent="0.2">
      <c r="A113" s="1"/>
      <c r="B113" s="1"/>
      <c r="C113" s="2" t="s">
        <v>152</v>
      </c>
      <c r="D113" s="1"/>
      <c r="E113" s="1"/>
      <c r="F113" s="1"/>
      <c r="G113" s="1"/>
      <c r="H113" s="51"/>
    </row>
    <row r="114" spans="1:8" ht="14.1" customHeight="1" x14ac:dyDescent="0.2">
      <c r="A114" s="1"/>
      <c r="B114" s="1"/>
      <c r="C114" s="2" t="s">
        <v>129</v>
      </c>
      <c r="D114" s="1"/>
      <c r="E114" s="1" t="s">
        <v>130</v>
      </c>
      <c r="F114" s="13">
        <v>0</v>
      </c>
      <c r="G114" s="14">
        <v>0</v>
      </c>
      <c r="H114" s="51"/>
    </row>
    <row r="115" spans="1:8" ht="14.1" customHeight="1" x14ac:dyDescent="0.2">
      <c r="A115" s="1"/>
      <c r="B115" s="1"/>
      <c r="C115" s="11"/>
      <c r="D115" s="1"/>
      <c r="E115" s="1"/>
      <c r="F115" s="12"/>
      <c r="G115" s="12"/>
      <c r="H115" s="51"/>
    </row>
    <row r="116" spans="1:8" ht="14.1" customHeight="1" x14ac:dyDescent="0.2">
      <c r="A116" s="1"/>
      <c r="B116" s="1"/>
      <c r="C116" s="11"/>
      <c r="D116" s="1"/>
      <c r="E116" s="1"/>
      <c r="F116" s="12"/>
      <c r="G116" s="12"/>
      <c r="H116" s="51"/>
    </row>
    <row r="117" spans="1:8" ht="24" customHeight="1" x14ac:dyDescent="0.2">
      <c r="A117" s="1"/>
      <c r="B117" s="1"/>
      <c r="C117" s="2" t="s">
        <v>153</v>
      </c>
      <c r="D117" s="1"/>
      <c r="E117" s="1"/>
      <c r="F117" s="12"/>
      <c r="G117" s="12"/>
      <c r="H117" s="51"/>
    </row>
    <row r="118" spans="1:8" ht="14.1" customHeight="1" x14ac:dyDescent="0.2">
      <c r="A118" s="1"/>
      <c r="B118" s="1"/>
      <c r="C118" s="2" t="s">
        <v>129</v>
      </c>
      <c r="D118" s="1"/>
      <c r="E118" s="1" t="s">
        <v>130</v>
      </c>
      <c r="F118" s="13">
        <v>0</v>
      </c>
      <c r="G118" s="14">
        <v>0</v>
      </c>
      <c r="H118" s="51"/>
    </row>
    <row r="119" spans="1:8" ht="14.1" customHeight="1" x14ac:dyDescent="0.2">
      <c r="A119" s="1"/>
      <c r="B119" s="1"/>
      <c r="C119" s="11"/>
      <c r="D119" s="1"/>
      <c r="E119" s="1"/>
      <c r="F119" s="12"/>
      <c r="G119" s="12"/>
      <c r="H119" s="51"/>
    </row>
    <row r="120" spans="1:8" ht="14.1" customHeight="1" x14ac:dyDescent="0.2">
      <c r="A120" s="1"/>
      <c r="B120" s="4"/>
      <c r="C120" s="4"/>
      <c r="D120" s="2"/>
      <c r="E120" s="1"/>
      <c r="F120" s="4"/>
      <c r="G120" s="8"/>
      <c r="H120" s="51"/>
    </row>
    <row r="121" spans="1:8" ht="18" customHeight="1" x14ac:dyDescent="0.2">
      <c r="A121" s="8"/>
      <c r="B121" s="4"/>
      <c r="C121" s="4" t="s">
        <v>154</v>
      </c>
      <c r="D121" s="4"/>
      <c r="E121" s="8"/>
      <c r="F121" s="6">
        <v>2.3864555799999998</v>
      </c>
      <c r="G121" s="7">
        <v>7.0380200000000001E-4</v>
      </c>
      <c r="H121" s="51"/>
    </row>
    <row r="122" spans="1:8" ht="14.1" customHeight="1" x14ac:dyDescent="0.2">
      <c r="A122" s="11"/>
      <c r="B122" s="11"/>
      <c r="C122" s="2" t="s">
        <v>155</v>
      </c>
      <c r="D122" s="15"/>
      <c r="E122" s="15"/>
      <c r="F122" s="9">
        <v>3390.80600658</v>
      </c>
      <c r="G122" s="10">
        <v>1</v>
      </c>
      <c r="H122" s="51"/>
    </row>
    <row r="123" spans="1:8" ht="14.1" customHeight="1" x14ac:dyDescent="0.2">
      <c r="A123" s="16"/>
      <c r="B123" s="16"/>
      <c r="C123" s="16"/>
      <c r="D123" s="17"/>
      <c r="E123" s="17"/>
      <c r="F123" s="17"/>
      <c r="G123" s="17"/>
    </row>
    <row r="124" spans="1:8" ht="14.1" customHeight="1" x14ac:dyDescent="0.2">
      <c r="A124" s="18"/>
      <c r="B124" s="327" t="s">
        <v>130</v>
      </c>
      <c r="C124" s="327"/>
      <c r="D124" s="327"/>
      <c r="E124" s="327"/>
      <c r="F124" s="327"/>
      <c r="G124" s="20"/>
    </row>
    <row r="125" spans="1:8" ht="14.1" customHeight="1" x14ac:dyDescent="0.2">
      <c r="A125" s="18"/>
      <c r="B125" s="327" t="s">
        <v>130</v>
      </c>
      <c r="C125" s="327"/>
      <c r="D125" s="327"/>
      <c r="E125" s="327"/>
      <c r="F125" s="327"/>
      <c r="G125" s="20"/>
    </row>
    <row r="126" spans="1:8" ht="14.1" customHeight="1" x14ac:dyDescent="0.2">
      <c r="A126" s="18"/>
      <c r="B126" s="18"/>
      <c r="C126" s="18"/>
      <c r="D126" s="20"/>
      <c r="E126" s="20"/>
      <c r="F126" s="20"/>
      <c r="G126" s="20"/>
    </row>
    <row r="127" spans="1:8" ht="14.1" customHeight="1" x14ac:dyDescent="0.2">
      <c r="A127" s="18"/>
      <c r="B127" s="325" t="s">
        <v>157</v>
      </c>
      <c r="C127" s="326"/>
      <c r="D127" s="12" t="s">
        <v>130</v>
      </c>
      <c r="E127" s="21"/>
      <c r="F127" s="20"/>
      <c r="G127" s="20"/>
    </row>
    <row r="128" spans="1:8" ht="29.1" customHeight="1" x14ac:dyDescent="0.2">
      <c r="A128" s="18"/>
      <c r="B128" s="318" t="s">
        <v>158</v>
      </c>
      <c r="C128" s="319"/>
      <c r="D128" s="2" t="s">
        <v>159</v>
      </c>
      <c r="E128" s="21"/>
      <c r="F128" s="20"/>
      <c r="G128" s="20"/>
    </row>
    <row r="129" spans="1:7" ht="17.100000000000001" customHeight="1" x14ac:dyDescent="0.2">
      <c r="A129" s="18"/>
      <c r="B129" s="318" t="s">
        <v>160</v>
      </c>
      <c r="C129" s="319"/>
      <c r="D129" s="2" t="s">
        <v>159</v>
      </c>
      <c r="E129" s="21"/>
      <c r="F129" s="20"/>
      <c r="G129" s="20"/>
    </row>
    <row r="130" spans="1:7" ht="17.100000000000001" customHeight="1" x14ac:dyDescent="0.2">
      <c r="A130" s="18"/>
      <c r="B130" s="318" t="s">
        <v>161</v>
      </c>
      <c r="C130" s="319"/>
      <c r="D130" s="12" t="s">
        <v>130</v>
      </c>
      <c r="E130" s="21"/>
      <c r="F130" s="20"/>
      <c r="G130" s="20"/>
    </row>
    <row r="131" spans="1:7" ht="24" customHeight="1" x14ac:dyDescent="0.2">
      <c r="A131" s="22"/>
      <c r="B131" s="23" t="s">
        <v>130</v>
      </c>
      <c r="C131" s="23" t="s">
        <v>162</v>
      </c>
      <c r="D131" s="23" t="s">
        <v>163</v>
      </c>
      <c r="E131" s="22"/>
      <c r="F131" s="22"/>
      <c r="G131" s="22"/>
    </row>
    <row r="132" spans="1:7" ht="18" customHeight="1" x14ac:dyDescent="0.2">
      <c r="A132" s="22"/>
      <c r="B132" s="23" t="s">
        <v>164</v>
      </c>
      <c r="C132" s="23" t="s">
        <v>165</v>
      </c>
      <c r="D132" s="23" t="s">
        <v>166</v>
      </c>
      <c r="E132" s="22"/>
      <c r="F132" s="22"/>
      <c r="G132" s="22"/>
    </row>
    <row r="133" spans="1:7" ht="17.100000000000001" customHeight="1" x14ac:dyDescent="0.2">
      <c r="A133" s="22"/>
      <c r="B133" s="4" t="s">
        <v>167</v>
      </c>
      <c r="C133" s="24">
        <v>17.454999999999998</v>
      </c>
      <c r="D133" s="24">
        <v>17.441400000000002</v>
      </c>
      <c r="E133" s="22"/>
      <c r="F133" s="19"/>
      <c r="G133" s="25"/>
    </row>
    <row r="134" spans="1:7" ht="17.100000000000001" customHeight="1" x14ac:dyDescent="0.2">
      <c r="A134" s="22"/>
      <c r="B134" s="4" t="s">
        <v>1067</v>
      </c>
      <c r="C134" s="24">
        <v>17.454999999999998</v>
      </c>
      <c r="D134" s="24">
        <v>17.441400000000002</v>
      </c>
      <c r="E134" s="22"/>
      <c r="F134" s="19"/>
      <c r="G134" s="25"/>
    </row>
    <row r="135" spans="1:7" ht="17.100000000000001" customHeight="1" x14ac:dyDescent="0.2">
      <c r="A135" s="22"/>
      <c r="B135" s="4" t="s">
        <v>168</v>
      </c>
      <c r="C135" s="24">
        <v>17.125800000000002</v>
      </c>
      <c r="D135" s="24">
        <v>17.110900000000001</v>
      </c>
      <c r="E135" s="22"/>
      <c r="F135" s="19"/>
      <c r="G135" s="25"/>
    </row>
    <row r="136" spans="1:7" ht="17.100000000000001" customHeight="1" x14ac:dyDescent="0.2">
      <c r="A136" s="22"/>
      <c r="B136" s="4" t="s">
        <v>1068</v>
      </c>
      <c r="C136" s="24">
        <v>17.125599999999999</v>
      </c>
      <c r="D136" s="24">
        <v>17.110700000000001</v>
      </c>
      <c r="E136" s="22"/>
      <c r="F136" s="19"/>
      <c r="G136" s="25"/>
    </row>
    <row r="137" spans="1:7" ht="14.1" customHeight="1" x14ac:dyDescent="0.2">
      <c r="A137" s="22"/>
      <c r="B137" s="22"/>
      <c r="C137" s="22"/>
      <c r="D137" s="22"/>
      <c r="E137" s="22"/>
      <c r="F137" s="22"/>
      <c r="G137" s="22"/>
    </row>
    <row r="138" spans="1:7" ht="17.100000000000001" customHeight="1" x14ac:dyDescent="0.2">
      <c r="A138" s="22"/>
      <c r="B138" s="318" t="s">
        <v>1069</v>
      </c>
      <c r="C138" s="319"/>
      <c r="D138" s="111" t="s">
        <v>159</v>
      </c>
      <c r="E138" s="22"/>
      <c r="F138" s="22"/>
      <c r="G138" s="22"/>
    </row>
    <row r="139" spans="1:7" ht="18" customHeight="1" x14ac:dyDescent="0.2">
      <c r="A139" s="22"/>
      <c r="B139" s="26"/>
      <c r="C139" s="26"/>
      <c r="D139" s="27"/>
      <c r="E139" s="22"/>
      <c r="F139" s="22"/>
      <c r="G139" s="22"/>
    </row>
    <row r="140" spans="1:7" ht="29.1" customHeight="1" x14ac:dyDescent="0.2">
      <c r="A140" s="22"/>
      <c r="B140" s="318" t="s">
        <v>169</v>
      </c>
      <c r="C140" s="319"/>
      <c r="D140" s="2" t="s">
        <v>159</v>
      </c>
      <c r="E140" s="22"/>
      <c r="F140" s="22"/>
      <c r="G140" s="22"/>
    </row>
    <row r="141" spans="1:7" ht="29.1" customHeight="1" x14ac:dyDescent="0.2">
      <c r="A141" s="22"/>
      <c r="B141" s="318" t="s">
        <v>170</v>
      </c>
      <c r="C141" s="319"/>
      <c r="D141" s="2" t="s">
        <v>159</v>
      </c>
      <c r="E141" s="22"/>
      <c r="F141" s="22"/>
      <c r="G141" s="22"/>
    </row>
    <row r="142" spans="1:7" ht="17.100000000000001" customHeight="1" x14ac:dyDescent="0.2">
      <c r="A142" s="22"/>
      <c r="B142" s="318" t="s">
        <v>171</v>
      </c>
      <c r="C142" s="319"/>
      <c r="D142" s="28">
        <v>0.14201270939194116</v>
      </c>
      <c r="E142" s="22"/>
      <c r="F142" s="19"/>
      <c r="G142" s="25"/>
    </row>
    <row r="143" spans="1:7" ht="17.100000000000001" customHeight="1" x14ac:dyDescent="0.2">
      <c r="A143" s="22"/>
      <c r="B143" s="318" t="s">
        <v>172</v>
      </c>
      <c r="C143" s="319"/>
      <c r="D143" s="2" t="s">
        <v>159</v>
      </c>
      <c r="E143" s="22"/>
      <c r="F143" s="22"/>
      <c r="G143" s="22"/>
    </row>
    <row r="155" spans="10:14" x14ac:dyDescent="0.2">
      <c r="J155" s="158"/>
      <c r="K155" s="158"/>
      <c r="L155" s="158"/>
      <c r="M155" s="158"/>
      <c r="N155" s="158"/>
    </row>
  </sheetData>
  <mergeCells count="15">
    <mergeCell ref="A1:H1"/>
    <mergeCell ref="A2:H2"/>
    <mergeCell ref="A3:H3"/>
    <mergeCell ref="J2:N2"/>
    <mergeCell ref="B142:C142"/>
    <mergeCell ref="B127:C127"/>
    <mergeCell ref="B124:F124"/>
    <mergeCell ref="B125:F125"/>
    <mergeCell ref="B143:C143"/>
    <mergeCell ref="B128:C128"/>
    <mergeCell ref="B129:C129"/>
    <mergeCell ref="B130:C130"/>
    <mergeCell ref="B138:C138"/>
    <mergeCell ref="B140:C140"/>
    <mergeCell ref="B141:C141"/>
  </mergeCells>
  <hyperlinks>
    <hyperlink ref="I1" location="Index!B20" display="Index" xr:uid="{E41436C6-BBCB-48A7-94EA-E831CA3F0118}"/>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N15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499</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29</v>
      </c>
      <c r="C7" s="4" t="s">
        <v>30</v>
      </c>
      <c r="D7" s="4" t="s">
        <v>31</v>
      </c>
      <c r="E7" s="5">
        <v>5782</v>
      </c>
      <c r="F7" s="6">
        <v>115.52725100000001</v>
      </c>
      <c r="G7" s="7">
        <v>3.6194962999999997E-2</v>
      </c>
      <c r="H7" s="51"/>
    </row>
    <row r="8" spans="1:14" ht="17.100000000000001" customHeight="1" x14ac:dyDescent="0.2">
      <c r="A8" s="3">
        <v>2</v>
      </c>
      <c r="B8" s="4" t="s">
        <v>102</v>
      </c>
      <c r="C8" s="4" t="s">
        <v>103</v>
      </c>
      <c r="D8" s="4" t="s">
        <v>104</v>
      </c>
      <c r="E8" s="5">
        <v>26570</v>
      </c>
      <c r="F8" s="6">
        <v>113.14834500000001</v>
      </c>
      <c r="G8" s="7">
        <v>3.5449646000000001E-2</v>
      </c>
      <c r="H8" s="51"/>
    </row>
    <row r="9" spans="1:14" ht="17.100000000000001" customHeight="1" x14ac:dyDescent="0.2">
      <c r="A9" s="3">
        <v>3</v>
      </c>
      <c r="B9" s="4" t="s">
        <v>82</v>
      </c>
      <c r="C9" s="4" t="s">
        <v>83</v>
      </c>
      <c r="D9" s="4" t="s">
        <v>31</v>
      </c>
      <c r="E9" s="5">
        <v>7442</v>
      </c>
      <c r="F9" s="6">
        <v>107.559226</v>
      </c>
      <c r="G9" s="7">
        <v>3.3698561000000002E-2</v>
      </c>
      <c r="H9" s="51"/>
    </row>
    <row r="10" spans="1:14" ht="17.100000000000001" customHeight="1" x14ac:dyDescent="0.2">
      <c r="A10" s="3">
        <v>4</v>
      </c>
      <c r="B10" s="4" t="s">
        <v>313</v>
      </c>
      <c r="C10" s="4" t="s">
        <v>314</v>
      </c>
      <c r="D10" s="4" t="s">
        <v>315</v>
      </c>
      <c r="E10" s="5">
        <v>7370</v>
      </c>
      <c r="F10" s="6">
        <v>100.3794</v>
      </c>
      <c r="G10" s="7">
        <v>3.1449104999999998E-2</v>
      </c>
      <c r="H10" s="51"/>
    </row>
    <row r="11" spans="1:14" ht="17.100000000000001" customHeight="1" x14ac:dyDescent="0.2">
      <c r="A11" s="3">
        <v>5</v>
      </c>
      <c r="B11" s="4" t="s">
        <v>302</v>
      </c>
      <c r="C11" s="4" t="s">
        <v>303</v>
      </c>
      <c r="D11" s="4" t="s">
        <v>251</v>
      </c>
      <c r="E11" s="5">
        <v>19524</v>
      </c>
      <c r="F11" s="6">
        <v>99.816450000000003</v>
      </c>
      <c r="G11" s="7">
        <v>3.1272730999999998E-2</v>
      </c>
      <c r="H11" s="51"/>
    </row>
    <row r="12" spans="1:14" ht="17.100000000000001" customHeight="1" x14ac:dyDescent="0.2">
      <c r="A12" s="3">
        <v>6</v>
      </c>
      <c r="B12" s="4" t="s">
        <v>379</v>
      </c>
      <c r="C12" s="4" t="s">
        <v>380</v>
      </c>
      <c r="D12" s="4" t="s">
        <v>97</v>
      </c>
      <c r="E12" s="5">
        <v>96084</v>
      </c>
      <c r="F12" s="6">
        <v>95.267285999999999</v>
      </c>
      <c r="G12" s="7">
        <v>2.9847466999999999E-2</v>
      </c>
      <c r="H12" s="51"/>
    </row>
    <row r="13" spans="1:14" ht="17.100000000000001" customHeight="1" x14ac:dyDescent="0.2">
      <c r="A13" s="3">
        <v>7</v>
      </c>
      <c r="B13" s="4" t="s">
        <v>401</v>
      </c>
      <c r="C13" s="4" t="s">
        <v>402</v>
      </c>
      <c r="D13" s="4" t="s">
        <v>223</v>
      </c>
      <c r="E13" s="5">
        <v>14311</v>
      </c>
      <c r="F13" s="6">
        <v>94.438288999999997</v>
      </c>
      <c r="G13" s="7">
        <v>2.9587741000000001E-2</v>
      </c>
      <c r="H13" s="51"/>
    </row>
    <row r="14" spans="1:14" ht="29.1" customHeight="1" x14ac:dyDescent="0.2">
      <c r="A14" s="3">
        <v>8</v>
      </c>
      <c r="B14" s="4" t="s">
        <v>185</v>
      </c>
      <c r="C14" s="4" t="s">
        <v>186</v>
      </c>
      <c r="D14" s="4" t="s">
        <v>104</v>
      </c>
      <c r="E14" s="5">
        <v>22574</v>
      </c>
      <c r="F14" s="6">
        <v>92.982305999999994</v>
      </c>
      <c r="G14" s="7">
        <v>2.9131578000000002E-2</v>
      </c>
      <c r="H14" s="51"/>
      <c r="J14" s="157" t="s">
        <v>1098</v>
      </c>
    </row>
    <row r="15" spans="1:14" ht="17.100000000000001" customHeight="1" x14ac:dyDescent="0.2">
      <c r="A15" s="3">
        <v>9</v>
      </c>
      <c r="B15" s="4" t="s">
        <v>385</v>
      </c>
      <c r="C15" s="4" t="s">
        <v>386</v>
      </c>
      <c r="D15" s="4" t="s">
        <v>104</v>
      </c>
      <c r="E15" s="5">
        <v>14444</v>
      </c>
      <c r="F15" s="6">
        <v>91.842174</v>
      </c>
      <c r="G15" s="7">
        <v>2.8774371999999999E-2</v>
      </c>
      <c r="H15" s="51"/>
    </row>
    <row r="16" spans="1:14" ht="17.100000000000001" customHeight="1" x14ac:dyDescent="0.2">
      <c r="A16" s="3">
        <v>10</v>
      </c>
      <c r="B16" s="4" t="s">
        <v>383</v>
      </c>
      <c r="C16" s="4" t="s">
        <v>384</v>
      </c>
      <c r="D16" s="4" t="s">
        <v>104</v>
      </c>
      <c r="E16" s="5">
        <v>5377</v>
      </c>
      <c r="F16" s="6">
        <v>88.690926500000003</v>
      </c>
      <c r="G16" s="7">
        <v>2.7787078E-2</v>
      </c>
      <c r="H16" s="51"/>
    </row>
    <row r="17" spans="1:8" ht="17.100000000000001" customHeight="1" x14ac:dyDescent="0.2">
      <c r="A17" s="3">
        <v>11</v>
      </c>
      <c r="B17" s="4" t="s">
        <v>387</v>
      </c>
      <c r="C17" s="4" t="s">
        <v>388</v>
      </c>
      <c r="D17" s="4" t="s">
        <v>208</v>
      </c>
      <c r="E17" s="5">
        <v>30513</v>
      </c>
      <c r="F17" s="6">
        <v>87.297692999999995</v>
      </c>
      <c r="G17" s="7">
        <v>2.7350574999999998E-2</v>
      </c>
      <c r="H17" s="51"/>
    </row>
    <row r="18" spans="1:8" ht="17.100000000000001" customHeight="1" x14ac:dyDescent="0.2">
      <c r="A18" s="3">
        <v>12</v>
      </c>
      <c r="B18" s="4" t="s">
        <v>90</v>
      </c>
      <c r="C18" s="4" t="s">
        <v>91</v>
      </c>
      <c r="D18" s="4" t="s">
        <v>92</v>
      </c>
      <c r="E18" s="5">
        <v>16682</v>
      </c>
      <c r="F18" s="6">
        <v>84.861333999999999</v>
      </c>
      <c r="G18" s="7">
        <v>2.6587257999999999E-2</v>
      </c>
      <c r="H18" s="51"/>
    </row>
    <row r="19" spans="1:8" ht="17.100000000000001" customHeight="1" x14ac:dyDescent="0.2">
      <c r="A19" s="3">
        <v>13</v>
      </c>
      <c r="B19" s="4" t="s">
        <v>319</v>
      </c>
      <c r="C19" s="4" t="s">
        <v>320</v>
      </c>
      <c r="D19" s="4" t="s">
        <v>248</v>
      </c>
      <c r="E19" s="5">
        <v>5601</v>
      </c>
      <c r="F19" s="6">
        <v>83.384887500000005</v>
      </c>
      <c r="G19" s="7">
        <v>2.6124683999999999E-2</v>
      </c>
      <c r="H19" s="51"/>
    </row>
    <row r="20" spans="1:8" ht="29.1" customHeight="1" x14ac:dyDescent="0.2">
      <c r="A20" s="3">
        <v>14</v>
      </c>
      <c r="B20" s="4" t="s">
        <v>182</v>
      </c>
      <c r="C20" s="4" t="s">
        <v>183</v>
      </c>
      <c r="D20" s="4" t="s">
        <v>184</v>
      </c>
      <c r="E20" s="5">
        <v>1852</v>
      </c>
      <c r="F20" s="6">
        <v>83.170541999999998</v>
      </c>
      <c r="G20" s="7">
        <v>2.6057528999999999E-2</v>
      </c>
      <c r="H20" s="51"/>
    </row>
    <row r="21" spans="1:8" ht="29.1" customHeight="1" x14ac:dyDescent="0.2">
      <c r="A21" s="3">
        <v>15</v>
      </c>
      <c r="B21" s="4" t="s">
        <v>201</v>
      </c>
      <c r="C21" s="4" t="s">
        <v>202</v>
      </c>
      <c r="D21" s="4" t="s">
        <v>203</v>
      </c>
      <c r="E21" s="5">
        <v>15078</v>
      </c>
      <c r="F21" s="6">
        <v>77.350139999999996</v>
      </c>
      <c r="G21" s="7">
        <v>2.4233983000000001E-2</v>
      </c>
      <c r="H21" s="51"/>
    </row>
    <row r="22" spans="1:8" ht="29.1" customHeight="1" x14ac:dyDescent="0.2">
      <c r="A22" s="3">
        <v>16</v>
      </c>
      <c r="B22" s="4" t="s">
        <v>399</v>
      </c>
      <c r="C22" s="4" t="s">
        <v>400</v>
      </c>
      <c r="D22" s="4" t="s">
        <v>48</v>
      </c>
      <c r="E22" s="5">
        <v>2766</v>
      </c>
      <c r="F22" s="6">
        <v>74.341781999999995</v>
      </c>
      <c r="G22" s="7">
        <v>2.3291457000000002E-2</v>
      </c>
      <c r="H22" s="51"/>
    </row>
    <row r="23" spans="1:8" ht="17.100000000000001" customHeight="1" x14ac:dyDescent="0.2">
      <c r="A23" s="3">
        <v>17</v>
      </c>
      <c r="B23" s="4" t="s">
        <v>411</v>
      </c>
      <c r="C23" s="4" t="s">
        <v>412</v>
      </c>
      <c r="D23" s="4" t="s">
        <v>13</v>
      </c>
      <c r="E23" s="5">
        <v>16845</v>
      </c>
      <c r="F23" s="6">
        <v>70.984830000000002</v>
      </c>
      <c r="G23" s="7">
        <v>2.2239716E-2</v>
      </c>
      <c r="H23" s="51"/>
    </row>
    <row r="24" spans="1:8" ht="17.100000000000001" customHeight="1" x14ac:dyDescent="0.2">
      <c r="A24" s="3">
        <v>18</v>
      </c>
      <c r="B24" s="4" t="s">
        <v>244</v>
      </c>
      <c r="C24" s="4" t="s">
        <v>245</v>
      </c>
      <c r="D24" s="4" t="s">
        <v>223</v>
      </c>
      <c r="E24" s="5">
        <v>2026</v>
      </c>
      <c r="F24" s="6">
        <v>65.666712000000004</v>
      </c>
      <c r="G24" s="7">
        <v>2.0573536999999999E-2</v>
      </c>
      <c r="H24" s="51"/>
    </row>
    <row r="25" spans="1:8" ht="17.100000000000001" customHeight="1" x14ac:dyDescent="0.2">
      <c r="A25" s="3">
        <v>19</v>
      </c>
      <c r="B25" s="4" t="s">
        <v>389</v>
      </c>
      <c r="C25" s="4" t="s">
        <v>390</v>
      </c>
      <c r="D25" s="4" t="s">
        <v>248</v>
      </c>
      <c r="E25" s="5">
        <v>9046</v>
      </c>
      <c r="F25" s="6">
        <v>64.986463999999998</v>
      </c>
      <c r="G25" s="7">
        <v>2.0360414E-2</v>
      </c>
      <c r="H25" s="51"/>
    </row>
    <row r="26" spans="1:8" ht="17.100000000000001" customHeight="1" x14ac:dyDescent="0.2">
      <c r="A26" s="3">
        <v>20</v>
      </c>
      <c r="B26" s="4" t="s">
        <v>32</v>
      </c>
      <c r="C26" s="4" t="s">
        <v>33</v>
      </c>
      <c r="D26" s="4" t="s">
        <v>31</v>
      </c>
      <c r="E26" s="5">
        <v>3026</v>
      </c>
      <c r="F26" s="6">
        <v>62.461179000000001</v>
      </c>
      <c r="G26" s="7">
        <v>1.9569236E-2</v>
      </c>
      <c r="H26" s="51"/>
    </row>
    <row r="27" spans="1:8" ht="17.100000000000001" customHeight="1" x14ac:dyDescent="0.2">
      <c r="A27" s="3">
        <v>21</v>
      </c>
      <c r="B27" s="4" t="s">
        <v>477</v>
      </c>
      <c r="C27" s="4" t="s">
        <v>478</v>
      </c>
      <c r="D27" s="4" t="s">
        <v>248</v>
      </c>
      <c r="E27" s="5">
        <v>33431</v>
      </c>
      <c r="F27" s="6">
        <v>62.348815000000002</v>
      </c>
      <c r="G27" s="7">
        <v>1.9534032E-2</v>
      </c>
      <c r="H27" s="51"/>
    </row>
    <row r="28" spans="1:8" ht="29.1" customHeight="1" x14ac:dyDescent="0.2">
      <c r="A28" s="3">
        <v>22</v>
      </c>
      <c r="B28" s="4" t="s">
        <v>63</v>
      </c>
      <c r="C28" s="4" t="s">
        <v>64</v>
      </c>
      <c r="D28" s="4" t="s">
        <v>25</v>
      </c>
      <c r="E28" s="5">
        <v>2325</v>
      </c>
      <c r="F28" s="6">
        <v>61.046362500000001</v>
      </c>
      <c r="G28" s="7">
        <v>1.9125970999999999E-2</v>
      </c>
      <c r="H28" s="51"/>
    </row>
    <row r="29" spans="1:8" ht="17.100000000000001" customHeight="1" x14ac:dyDescent="0.2">
      <c r="A29" s="3">
        <v>23</v>
      </c>
      <c r="B29" s="4" t="s">
        <v>391</v>
      </c>
      <c r="C29" s="4" t="s">
        <v>392</v>
      </c>
      <c r="D29" s="4" t="s">
        <v>97</v>
      </c>
      <c r="E29" s="5">
        <v>12229</v>
      </c>
      <c r="F29" s="6">
        <v>58.674742000000002</v>
      </c>
      <c r="G29" s="7">
        <v>1.8382935999999999E-2</v>
      </c>
      <c r="H29" s="51"/>
    </row>
    <row r="30" spans="1:8" ht="17.100000000000001" customHeight="1" x14ac:dyDescent="0.2">
      <c r="A30" s="3">
        <v>24</v>
      </c>
      <c r="B30" s="4" t="s">
        <v>409</v>
      </c>
      <c r="C30" s="4" t="s">
        <v>410</v>
      </c>
      <c r="D30" s="4" t="s">
        <v>104</v>
      </c>
      <c r="E30" s="5">
        <v>9015</v>
      </c>
      <c r="F30" s="6">
        <v>58.543410000000002</v>
      </c>
      <c r="G30" s="7">
        <v>1.834179E-2</v>
      </c>
      <c r="H30" s="51"/>
    </row>
    <row r="31" spans="1:8" ht="29.1" customHeight="1" x14ac:dyDescent="0.2">
      <c r="A31" s="3">
        <v>25</v>
      </c>
      <c r="B31" s="4" t="s">
        <v>407</v>
      </c>
      <c r="C31" s="4" t="s">
        <v>408</v>
      </c>
      <c r="D31" s="4" t="s">
        <v>203</v>
      </c>
      <c r="E31" s="5">
        <v>17579</v>
      </c>
      <c r="F31" s="6">
        <v>57.641540999999997</v>
      </c>
      <c r="G31" s="7">
        <v>1.8059232000000001E-2</v>
      </c>
      <c r="H31" s="51"/>
    </row>
    <row r="32" spans="1:8" ht="17.100000000000001" customHeight="1" x14ac:dyDescent="0.2">
      <c r="A32" s="3">
        <v>26</v>
      </c>
      <c r="B32" s="4" t="s">
        <v>393</v>
      </c>
      <c r="C32" s="4" t="s">
        <v>394</v>
      </c>
      <c r="D32" s="4" t="s">
        <v>97</v>
      </c>
      <c r="E32" s="5">
        <v>6095</v>
      </c>
      <c r="F32" s="6">
        <v>53.242872499999997</v>
      </c>
      <c r="G32" s="7">
        <v>1.6681119000000001E-2</v>
      </c>
      <c r="H32" s="51"/>
    </row>
    <row r="33" spans="1:8" ht="29.1" customHeight="1" x14ac:dyDescent="0.2">
      <c r="A33" s="3">
        <v>27</v>
      </c>
      <c r="B33" s="4" t="s">
        <v>429</v>
      </c>
      <c r="C33" s="4" t="s">
        <v>430</v>
      </c>
      <c r="D33" s="4" t="s">
        <v>431</v>
      </c>
      <c r="E33" s="5">
        <v>39159</v>
      </c>
      <c r="F33" s="6">
        <v>52.061890499999997</v>
      </c>
      <c r="G33" s="7">
        <v>1.6311114000000002E-2</v>
      </c>
      <c r="H33" s="51"/>
    </row>
    <row r="34" spans="1:8" ht="17.100000000000001" customHeight="1" x14ac:dyDescent="0.2">
      <c r="A34" s="3">
        <v>28</v>
      </c>
      <c r="B34" s="4" t="s">
        <v>461</v>
      </c>
      <c r="C34" s="4" t="s">
        <v>462</v>
      </c>
      <c r="D34" s="4" t="s">
        <v>260</v>
      </c>
      <c r="E34" s="5">
        <v>15525</v>
      </c>
      <c r="F34" s="6">
        <v>52.024275000000003</v>
      </c>
      <c r="G34" s="7">
        <v>1.6299329000000001E-2</v>
      </c>
      <c r="H34" s="51"/>
    </row>
    <row r="35" spans="1:8" ht="29.1" customHeight="1" x14ac:dyDescent="0.2">
      <c r="A35" s="3">
        <v>29</v>
      </c>
      <c r="B35" s="4" t="s">
        <v>316</v>
      </c>
      <c r="C35" s="4" t="s">
        <v>317</v>
      </c>
      <c r="D35" s="4" t="s">
        <v>318</v>
      </c>
      <c r="E35" s="5">
        <v>7853</v>
      </c>
      <c r="F35" s="6">
        <v>50.671482500000003</v>
      </c>
      <c r="G35" s="7">
        <v>1.5875495999999999E-2</v>
      </c>
      <c r="H35" s="51"/>
    </row>
    <row r="36" spans="1:8" ht="17.100000000000001" customHeight="1" x14ac:dyDescent="0.2">
      <c r="A36" s="3">
        <v>30</v>
      </c>
      <c r="B36" s="4" t="s">
        <v>395</v>
      </c>
      <c r="C36" s="4" t="s">
        <v>396</v>
      </c>
      <c r="D36" s="4" t="s">
        <v>315</v>
      </c>
      <c r="E36" s="5">
        <v>4116</v>
      </c>
      <c r="F36" s="6">
        <v>50.16375</v>
      </c>
      <c r="G36" s="7">
        <v>1.5716422000000001E-2</v>
      </c>
      <c r="H36" s="51"/>
    </row>
    <row r="37" spans="1:8" ht="29.1" customHeight="1" x14ac:dyDescent="0.2">
      <c r="A37" s="3">
        <v>31</v>
      </c>
      <c r="B37" s="4" t="s">
        <v>397</v>
      </c>
      <c r="C37" s="4" t="s">
        <v>398</v>
      </c>
      <c r="D37" s="4" t="s">
        <v>75</v>
      </c>
      <c r="E37" s="5">
        <v>3057</v>
      </c>
      <c r="F37" s="6">
        <v>48.413708999999997</v>
      </c>
      <c r="G37" s="7">
        <v>1.516813E-2</v>
      </c>
      <c r="H37" s="51"/>
    </row>
    <row r="38" spans="1:8" ht="17.100000000000001" customHeight="1" x14ac:dyDescent="0.2">
      <c r="A38" s="3">
        <v>32</v>
      </c>
      <c r="B38" s="4" t="s">
        <v>403</v>
      </c>
      <c r="C38" s="4" t="s">
        <v>404</v>
      </c>
      <c r="D38" s="4" t="s">
        <v>277</v>
      </c>
      <c r="E38" s="5">
        <v>6046</v>
      </c>
      <c r="F38" s="6">
        <v>47.938733999999997</v>
      </c>
      <c r="G38" s="7">
        <v>1.5019319E-2</v>
      </c>
      <c r="H38" s="51"/>
    </row>
    <row r="39" spans="1:8" ht="29.1" customHeight="1" x14ac:dyDescent="0.2">
      <c r="A39" s="3">
        <v>33</v>
      </c>
      <c r="B39" s="4" t="s">
        <v>413</v>
      </c>
      <c r="C39" s="4" t="s">
        <v>414</v>
      </c>
      <c r="D39" s="4" t="s">
        <v>367</v>
      </c>
      <c r="E39" s="5">
        <v>8877</v>
      </c>
      <c r="F39" s="6">
        <v>44.606924999999997</v>
      </c>
      <c r="G39" s="7">
        <v>1.3975456000000001E-2</v>
      </c>
      <c r="H39" s="51"/>
    </row>
    <row r="40" spans="1:8" ht="17.100000000000001" customHeight="1" x14ac:dyDescent="0.2">
      <c r="A40" s="3">
        <v>34</v>
      </c>
      <c r="B40" s="4" t="s">
        <v>381</v>
      </c>
      <c r="C40" s="4" t="s">
        <v>382</v>
      </c>
      <c r="D40" s="4" t="s">
        <v>277</v>
      </c>
      <c r="E40" s="5">
        <v>3490</v>
      </c>
      <c r="F40" s="6">
        <v>44.014135000000003</v>
      </c>
      <c r="G40" s="7">
        <v>1.3789733E-2</v>
      </c>
      <c r="H40" s="51"/>
    </row>
    <row r="41" spans="1:8" ht="29.1" customHeight="1" x14ac:dyDescent="0.2">
      <c r="A41" s="3">
        <v>35</v>
      </c>
      <c r="B41" s="4" t="s">
        <v>423</v>
      </c>
      <c r="C41" s="4" t="s">
        <v>424</v>
      </c>
      <c r="D41" s="4" t="s">
        <v>318</v>
      </c>
      <c r="E41" s="5">
        <v>9854</v>
      </c>
      <c r="F41" s="6">
        <v>41.036982999999999</v>
      </c>
      <c r="G41" s="7">
        <v>1.2856984E-2</v>
      </c>
      <c r="H41" s="51"/>
    </row>
    <row r="42" spans="1:8" ht="17.100000000000001" customHeight="1" x14ac:dyDescent="0.2">
      <c r="A42" s="3">
        <v>36</v>
      </c>
      <c r="B42" s="4" t="s">
        <v>425</v>
      </c>
      <c r="C42" s="4" t="s">
        <v>426</v>
      </c>
      <c r="D42" s="4" t="s">
        <v>13</v>
      </c>
      <c r="E42" s="5">
        <v>51989</v>
      </c>
      <c r="F42" s="6">
        <v>40.655397999999998</v>
      </c>
      <c r="G42" s="7">
        <v>1.2737432999999999E-2</v>
      </c>
      <c r="H42" s="51"/>
    </row>
    <row r="43" spans="1:8" ht="29.1" customHeight="1" x14ac:dyDescent="0.2">
      <c r="A43" s="3">
        <v>37</v>
      </c>
      <c r="B43" s="4" t="s">
        <v>470</v>
      </c>
      <c r="C43" s="4" t="s">
        <v>471</v>
      </c>
      <c r="D43" s="4" t="s">
        <v>472</v>
      </c>
      <c r="E43" s="5">
        <v>8762</v>
      </c>
      <c r="F43" s="6">
        <v>38.767468999999998</v>
      </c>
      <c r="G43" s="7">
        <v>1.2145939999999999E-2</v>
      </c>
      <c r="H43" s="51"/>
    </row>
    <row r="44" spans="1:8" ht="17.100000000000001" customHeight="1" x14ac:dyDescent="0.2">
      <c r="A44" s="3">
        <v>38</v>
      </c>
      <c r="B44" s="4" t="s">
        <v>432</v>
      </c>
      <c r="C44" s="4" t="s">
        <v>433</v>
      </c>
      <c r="D44" s="4" t="s">
        <v>192</v>
      </c>
      <c r="E44" s="5">
        <v>4552</v>
      </c>
      <c r="F44" s="6">
        <v>38.680619999999998</v>
      </c>
      <c r="G44" s="7">
        <v>1.2118729999999999E-2</v>
      </c>
      <c r="H44" s="51"/>
    </row>
    <row r="45" spans="1:8" ht="29.1" customHeight="1" x14ac:dyDescent="0.2">
      <c r="A45" s="3">
        <v>39</v>
      </c>
      <c r="B45" s="4" t="s">
        <v>291</v>
      </c>
      <c r="C45" s="4" t="s">
        <v>292</v>
      </c>
      <c r="D45" s="4" t="s">
        <v>184</v>
      </c>
      <c r="E45" s="5">
        <v>4967</v>
      </c>
      <c r="F45" s="6">
        <v>37.309620500000001</v>
      </c>
      <c r="G45" s="7">
        <v>1.1689193E-2</v>
      </c>
      <c r="H45" s="51"/>
    </row>
    <row r="46" spans="1:8" ht="29.1" customHeight="1" x14ac:dyDescent="0.2">
      <c r="A46" s="3">
        <v>40</v>
      </c>
      <c r="B46" s="4" t="s">
        <v>457</v>
      </c>
      <c r="C46" s="4" t="s">
        <v>458</v>
      </c>
      <c r="D46" s="4" t="s">
        <v>367</v>
      </c>
      <c r="E46" s="5">
        <v>5580</v>
      </c>
      <c r="F46" s="6">
        <v>33.35445</v>
      </c>
      <c r="G46" s="7">
        <v>1.0450029E-2</v>
      </c>
      <c r="H46" s="51"/>
    </row>
    <row r="47" spans="1:8" ht="17.100000000000001" customHeight="1" x14ac:dyDescent="0.2">
      <c r="A47" s="3">
        <v>41</v>
      </c>
      <c r="B47" s="4" t="s">
        <v>459</v>
      </c>
      <c r="C47" s="4" t="s">
        <v>460</v>
      </c>
      <c r="D47" s="4" t="s">
        <v>97</v>
      </c>
      <c r="E47" s="5">
        <v>48310</v>
      </c>
      <c r="F47" s="6">
        <v>32.053685000000002</v>
      </c>
      <c r="G47" s="7">
        <v>1.0042496E-2</v>
      </c>
      <c r="H47" s="51"/>
    </row>
    <row r="48" spans="1:8" ht="29.1" customHeight="1" x14ac:dyDescent="0.2">
      <c r="A48" s="3">
        <v>42</v>
      </c>
      <c r="B48" s="4" t="s">
        <v>438</v>
      </c>
      <c r="C48" s="4" t="s">
        <v>439</v>
      </c>
      <c r="D48" s="4" t="s">
        <v>104</v>
      </c>
      <c r="E48" s="5">
        <v>2262</v>
      </c>
      <c r="F48" s="6">
        <v>31.435013999999999</v>
      </c>
      <c r="G48" s="7">
        <v>9.8486649999999995E-3</v>
      </c>
      <c r="H48" s="51"/>
    </row>
    <row r="49" spans="1:8" ht="17.100000000000001" customHeight="1" x14ac:dyDescent="0.2">
      <c r="A49" s="3">
        <v>43</v>
      </c>
      <c r="B49" s="4" t="s">
        <v>329</v>
      </c>
      <c r="C49" s="4" t="s">
        <v>330</v>
      </c>
      <c r="D49" s="4" t="s">
        <v>36</v>
      </c>
      <c r="E49" s="5">
        <v>12637</v>
      </c>
      <c r="F49" s="6">
        <v>29.785409000000001</v>
      </c>
      <c r="G49" s="7">
        <v>9.3318399999999992E-3</v>
      </c>
      <c r="H49" s="51"/>
    </row>
    <row r="50" spans="1:8" ht="53.1" customHeight="1" x14ac:dyDescent="0.2">
      <c r="A50" s="3">
        <v>44</v>
      </c>
      <c r="B50" s="4" t="s">
        <v>335</v>
      </c>
      <c r="C50" s="4" t="s">
        <v>863</v>
      </c>
      <c r="D50" s="4" t="s">
        <v>45</v>
      </c>
      <c r="E50" s="5">
        <v>10763</v>
      </c>
      <c r="F50" s="6">
        <v>29.6143945</v>
      </c>
      <c r="G50" s="7">
        <v>9.27826E-3</v>
      </c>
      <c r="H50" s="51"/>
    </row>
    <row r="51" spans="1:8" ht="29.1" customHeight="1" x14ac:dyDescent="0.2">
      <c r="A51" s="3">
        <v>45</v>
      </c>
      <c r="B51" s="4" t="s">
        <v>419</v>
      </c>
      <c r="C51" s="4" t="s">
        <v>420</v>
      </c>
      <c r="D51" s="4" t="s">
        <v>203</v>
      </c>
      <c r="E51" s="5">
        <v>1489</v>
      </c>
      <c r="F51" s="6">
        <v>28.585822</v>
      </c>
      <c r="G51" s="7">
        <v>8.9560060000000007E-3</v>
      </c>
      <c r="H51" s="51"/>
    </row>
    <row r="52" spans="1:8" ht="17.100000000000001" customHeight="1" x14ac:dyDescent="0.2">
      <c r="A52" s="3">
        <v>46</v>
      </c>
      <c r="B52" s="4" t="s">
        <v>436</v>
      </c>
      <c r="C52" s="4" t="s">
        <v>437</v>
      </c>
      <c r="D52" s="4" t="s">
        <v>72</v>
      </c>
      <c r="E52" s="5">
        <v>3898</v>
      </c>
      <c r="F52" s="6">
        <v>24.855596999999999</v>
      </c>
      <c r="G52" s="7">
        <v>7.7873179999999997E-3</v>
      </c>
      <c r="H52" s="51"/>
    </row>
    <row r="53" spans="1:8" ht="29.1" customHeight="1" x14ac:dyDescent="0.2">
      <c r="A53" s="3">
        <v>47</v>
      </c>
      <c r="B53" s="4" t="s">
        <v>446</v>
      </c>
      <c r="C53" s="4" t="s">
        <v>447</v>
      </c>
      <c r="D53" s="4" t="s">
        <v>203</v>
      </c>
      <c r="E53" s="5">
        <v>536</v>
      </c>
      <c r="F53" s="6">
        <v>22.013252000000001</v>
      </c>
      <c r="G53" s="7">
        <v>6.8968040000000003E-3</v>
      </c>
      <c r="H53" s="51"/>
    </row>
    <row r="54" spans="1:8" ht="17.100000000000001" customHeight="1" x14ac:dyDescent="0.2">
      <c r="A54" s="3">
        <v>48</v>
      </c>
      <c r="B54" s="4" t="s">
        <v>123</v>
      </c>
      <c r="C54" s="4" t="s">
        <v>124</v>
      </c>
      <c r="D54" s="4" t="s">
        <v>104</v>
      </c>
      <c r="E54" s="5">
        <v>928</v>
      </c>
      <c r="F54" s="6">
        <v>21.935136</v>
      </c>
      <c r="G54" s="7">
        <v>6.8723300000000003E-3</v>
      </c>
      <c r="H54" s="51"/>
    </row>
    <row r="55" spans="1:8" ht="17.100000000000001" customHeight="1" x14ac:dyDescent="0.2">
      <c r="A55" s="3">
        <v>49</v>
      </c>
      <c r="B55" s="4" t="s">
        <v>450</v>
      </c>
      <c r="C55" s="4" t="s">
        <v>451</v>
      </c>
      <c r="D55" s="4" t="s">
        <v>104</v>
      </c>
      <c r="E55" s="5">
        <v>7251</v>
      </c>
      <c r="F55" s="6">
        <v>21.753</v>
      </c>
      <c r="G55" s="7">
        <v>6.8152669999999999E-3</v>
      </c>
      <c r="H55" s="51"/>
    </row>
    <row r="56" spans="1:8" ht="17.100000000000001" customHeight="1" x14ac:dyDescent="0.2">
      <c r="A56" s="3">
        <v>50</v>
      </c>
      <c r="B56" s="4" t="s">
        <v>454</v>
      </c>
      <c r="C56" s="4" t="s">
        <v>455</v>
      </c>
      <c r="D56" s="4" t="s">
        <v>16</v>
      </c>
      <c r="E56" s="5">
        <v>8871</v>
      </c>
      <c r="F56" s="6">
        <v>19.751281500000001</v>
      </c>
      <c r="G56" s="7">
        <v>6.1881230000000002E-3</v>
      </c>
      <c r="H56" s="51"/>
    </row>
    <row r="57" spans="1:8" ht="17.100000000000001" customHeight="1" x14ac:dyDescent="0.2">
      <c r="A57" s="3">
        <v>51</v>
      </c>
      <c r="B57" s="4" t="s">
        <v>442</v>
      </c>
      <c r="C57" s="4" t="s">
        <v>443</v>
      </c>
      <c r="D57" s="4" t="s">
        <v>232</v>
      </c>
      <c r="E57" s="5">
        <v>2470</v>
      </c>
      <c r="F57" s="6">
        <v>17.872920000000001</v>
      </c>
      <c r="G57" s="7">
        <v>5.5996279999999997E-3</v>
      </c>
      <c r="H57" s="51"/>
    </row>
    <row r="58" spans="1:8" ht="17.100000000000001" customHeight="1" x14ac:dyDescent="0.2">
      <c r="A58" s="3">
        <v>52</v>
      </c>
      <c r="B58" s="4" t="s">
        <v>444</v>
      </c>
      <c r="C58" s="4" t="s">
        <v>445</v>
      </c>
      <c r="D58" s="4" t="s">
        <v>31</v>
      </c>
      <c r="E58" s="5">
        <v>2121</v>
      </c>
      <c r="F58" s="6">
        <v>16.9372455</v>
      </c>
      <c r="G58" s="7">
        <v>5.3064790000000002E-3</v>
      </c>
      <c r="H58" s="51"/>
    </row>
    <row r="59" spans="1:8" ht="17.100000000000001" customHeight="1" x14ac:dyDescent="0.2">
      <c r="A59" s="3">
        <v>53</v>
      </c>
      <c r="B59" s="4" t="s">
        <v>340</v>
      </c>
      <c r="C59" s="4" t="s">
        <v>341</v>
      </c>
      <c r="D59" s="4" t="s">
        <v>92</v>
      </c>
      <c r="E59" s="5">
        <v>21625</v>
      </c>
      <c r="F59" s="6">
        <v>16.132249999999999</v>
      </c>
      <c r="G59" s="7">
        <v>5.0542720000000003E-3</v>
      </c>
      <c r="H59" s="51"/>
    </row>
    <row r="60" spans="1:8" ht="29.1" customHeight="1" x14ac:dyDescent="0.2">
      <c r="A60" s="3">
        <v>54</v>
      </c>
      <c r="B60" s="4" t="s">
        <v>463</v>
      </c>
      <c r="C60" s="4" t="s">
        <v>464</v>
      </c>
      <c r="D60" s="4" t="s">
        <v>184</v>
      </c>
      <c r="E60" s="5">
        <v>1926</v>
      </c>
      <c r="F60" s="6">
        <v>14.249511</v>
      </c>
      <c r="G60" s="7">
        <v>4.4644059999999998E-3</v>
      </c>
      <c r="H60" s="51"/>
    </row>
    <row r="61" spans="1:8" ht="29.1" customHeight="1" x14ac:dyDescent="0.2">
      <c r="A61" s="3">
        <v>55</v>
      </c>
      <c r="B61" s="4" t="s">
        <v>448</v>
      </c>
      <c r="C61" s="4" t="s">
        <v>449</v>
      </c>
      <c r="D61" s="4" t="s">
        <v>203</v>
      </c>
      <c r="E61" s="5">
        <v>1748</v>
      </c>
      <c r="F61" s="6">
        <v>4.0929419999999999</v>
      </c>
      <c r="G61" s="7">
        <v>1.2823279999999999E-3</v>
      </c>
      <c r="H61" s="51"/>
    </row>
    <row r="62" spans="1:8" ht="14.1" customHeight="1" x14ac:dyDescent="0.2">
      <c r="A62" s="1"/>
      <c r="B62" s="1"/>
      <c r="C62" s="2" t="s">
        <v>129</v>
      </c>
      <c r="D62" s="1"/>
      <c r="E62" s="1" t="s">
        <v>130</v>
      </c>
      <c r="F62" s="9">
        <v>3056.4218609999998</v>
      </c>
      <c r="G62" s="10">
        <v>0.95758424099999995</v>
      </c>
      <c r="H62" s="51"/>
    </row>
    <row r="63" spans="1:8" ht="14.1" customHeight="1" x14ac:dyDescent="0.2">
      <c r="A63" s="1"/>
      <c r="B63" s="1"/>
      <c r="C63" s="11"/>
      <c r="D63" s="1"/>
      <c r="E63" s="1"/>
      <c r="F63" s="12"/>
      <c r="G63" s="12"/>
      <c r="H63" s="51"/>
    </row>
    <row r="64" spans="1:8" ht="14.1" customHeight="1" x14ac:dyDescent="0.2">
      <c r="A64" s="1"/>
      <c r="B64" s="1"/>
      <c r="C64" s="2" t="s">
        <v>131</v>
      </c>
      <c r="D64" s="1"/>
      <c r="E64" s="1"/>
      <c r="F64" s="1"/>
      <c r="G64" s="1"/>
      <c r="H64" s="51"/>
    </row>
    <row r="65" spans="1:8" ht="14.1" customHeight="1" x14ac:dyDescent="0.2">
      <c r="A65" s="1"/>
      <c r="B65" s="1"/>
      <c r="C65" s="2" t="s">
        <v>129</v>
      </c>
      <c r="D65" s="1"/>
      <c r="E65" s="1" t="s">
        <v>130</v>
      </c>
      <c r="F65" s="13">
        <v>0</v>
      </c>
      <c r="G65" s="14">
        <v>0</v>
      </c>
      <c r="H65" s="51"/>
    </row>
    <row r="66" spans="1:8" ht="14.1" customHeight="1" x14ac:dyDescent="0.2">
      <c r="A66" s="1"/>
      <c r="B66" s="1"/>
      <c r="C66" s="11"/>
      <c r="D66" s="1"/>
      <c r="E66" s="1"/>
      <c r="F66" s="12"/>
      <c r="G66" s="12"/>
      <c r="H66" s="51"/>
    </row>
    <row r="67" spans="1:8" ht="14.1" customHeight="1" x14ac:dyDescent="0.2">
      <c r="A67" s="1"/>
      <c r="B67" s="1"/>
      <c r="C67" s="2" t="s">
        <v>132</v>
      </c>
      <c r="D67" s="1"/>
      <c r="E67" s="1"/>
      <c r="F67" s="1"/>
      <c r="G67" s="1"/>
      <c r="H67" s="51"/>
    </row>
    <row r="68" spans="1:8" ht="14.1" customHeight="1" x14ac:dyDescent="0.2">
      <c r="A68" s="1"/>
      <c r="B68" s="1"/>
      <c r="C68" s="2" t="s">
        <v>129</v>
      </c>
      <c r="D68" s="1"/>
      <c r="E68" s="1" t="s">
        <v>130</v>
      </c>
      <c r="F68" s="13">
        <v>0</v>
      </c>
      <c r="G68" s="14">
        <v>0</v>
      </c>
      <c r="H68" s="51"/>
    </row>
    <row r="69" spans="1:8" ht="14.1" customHeight="1" x14ac:dyDescent="0.2">
      <c r="A69" s="1"/>
      <c r="B69" s="1"/>
      <c r="C69" s="11"/>
      <c r="D69" s="1"/>
      <c r="E69" s="1"/>
      <c r="F69" s="12"/>
      <c r="G69" s="12"/>
      <c r="H69" s="51"/>
    </row>
    <row r="70" spans="1:8" ht="14.1" customHeight="1" x14ac:dyDescent="0.2">
      <c r="A70" s="1"/>
      <c r="B70" s="1"/>
      <c r="C70" s="2" t="s">
        <v>133</v>
      </c>
      <c r="D70" s="1"/>
      <c r="E70" s="1"/>
      <c r="F70" s="1"/>
      <c r="G70" s="1"/>
      <c r="H70" s="51"/>
    </row>
    <row r="71" spans="1:8" ht="14.1" customHeight="1" x14ac:dyDescent="0.2">
      <c r="A71" s="1"/>
      <c r="B71" s="1"/>
      <c r="C71" s="2" t="s">
        <v>129</v>
      </c>
      <c r="D71" s="1"/>
      <c r="E71" s="1" t="s">
        <v>130</v>
      </c>
      <c r="F71" s="13">
        <v>0</v>
      </c>
      <c r="G71" s="14">
        <v>0</v>
      </c>
      <c r="H71" s="51"/>
    </row>
    <row r="72" spans="1:8" ht="14.1" customHeight="1" x14ac:dyDescent="0.2">
      <c r="A72" s="1"/>
      <c r="B72" s="1"/>
      <c r="C72" s="11"/>
      <c r="D72" s="1"/>
      <c r="E72" s="1"/>
      <c r="F72" s="12"/>
      <c r="G72" s="12"/>
      <c r="H72" s="51"/>
    </row>
    <row r="73" spans="1:8" ht="14.1" customHeight="1" x14ac:dyDescent="0.2">
      <c r="A73" s="1"/>
      <c r="B73" s="1"/>
      <c r="C73" s="2" t="s">
        <v>134</v>
      </c>
      <c r="D73" s="1"/>
      <c r="E73" s="1"/>
      <c r="F73" s="12"/>
      <c r="G73" s="12"/>
      <c r="H73" s="51"/>
    </row>
    <row r="74" spans="1:8" ht="14.1" customHeight="1" x14ac:dyDescent="0.2">
      <c r="A74" s="1"/>
      <c r="B74" s="1"/>
      <c r="C74" s="2" t="s">
        <v>129</v>
      </c>
      <c r="D74" s="1"/>
      <c r="E74" s="1" t="s">
        <v>130</v>
      </c>
      <c r="F74" s="13">
        <v>0</v>
      </c>
      <c r="G74" s="14">
        <v>0</v>
      </c>
      <c r="H74" s="51"/>
    </row>
    <row r="75" spans="1:8" ht="14.1" customHeight="1" x14ac:dyDescent="0.2">
      <c r="A75" s="1"/>
      <c r="B75" s="1"/>
      <c r="C75" s="11"/>
      <c r="D75" s="1"/>
      <c r="E75" s="1"/>
      <c r="F75" s="12"/>
      <c r="G75" s="12"/>
      <c r="H75" s="51"/>
    </row>
    <row r="76" spans="1:8" ht="14.1" customHeight="1" x14ac:dyDescent="0.2">
      <c r="A76" s="1"/>
      <c r="B76" s="1"/>
      <c r="C76" s="2" t="s">
        <v>135</v>
      </c>
      <c r="D76" s="1"/>
      <c r="E76" s="1"/>
      <c r="F76" s="12"/>
      <c r="G76" s="12"/>
      <c r="H76" s="51"/>
    </row>
    <row r="77" spans="1:8" ht="14.1" customHeight="1" x14ac:dyDescent="0.2">
      <c r="A77" s="1"/>
      <c r="B77" s="1"/>
      <c r="C77" s="2" t="s">
        <v>129</v>
      </c>
      <c r="D77" s="1"/>
      <c r="E77" s="1" t="s">
        <v>130</v>
      </c>
      <c r="F77" s="13">
        <v>0</v>
      </c>
      <c r="G77" s="14">
        <v>0</v>
      </c>
      <c r="H77" s="51"/>
    </row>
    <row r="78" spans="1:8" ht="14.1" customHeight="1" x14ac:dyDescent="0.2">
      <c r="A78" s="1"/>
      <c r="B78" s="1"/>
      <c r="C78" s="11"/>
      <c r="D78" s="1"/>
      <c r="E78" s="1"/>
      <c r="F78" s="12"/>
      <c r="G78" s="12"/>
      <c r="H78" s="51"/>
    </row>
    <row r="79" spans="1:8" ht="18" customHeight="1" x14ac:dyDescent="0.2">
      <c r="A79" s="1"/>
      <c r="B79" s="1"/>
      <c r="C79" s="2" t="s">
        <v>136</v>
      </c>
      <c r="D79" s="1"/>
      <c r="E79" s="1"/>
      <c r="F79" s="9">
        <v>3056.4218609999998</v>
      </c>
      <c r="G79" s="10">
        <v>0.95758424099999995</v>
      </c>
      <c r="H79" s="51"/>
    </row>
    <row r="80" spans="1:8" ht="14.1" customHeight="1" x14ac:dyDescent="0.2">
      <c r="A80" s="1"/>
      <c r="B80" s="1"/>
      <c r="C80" s="11"/>
      <c r="D80" s="1"/>
      <c r="E80" s="1"/>
      <c r="F80" s="12"/>
      <c r="G80" s="12"/>
      <c r="H80" s="51"/>
    </row>
    <row r="81" spans="1:8" ht="14.1" customHeight="1" x14ac:dyDescent="0.2">
      <c r="A81" s="1"/>
      <c r="B81" s="1"/>
      <c r="C81" s="2" t="s">
        <v>137</v>
      </c>
      <c r="D81" s="1"/>
      <c r="E81" s="1"/>
      <c r="F81" s="12"/>
      <c r="G81" s="12"/>
      <c r="H81" s="51"/>
    </row>
    <row r="82" spans="1:8" ht="24" customHeight="1" x14ac:dyDescent="0.2">
      <c r="A82" s="1"/>
      <c r="B82" s="1"/>
      <c r="C82" s="2" t="s">
        <v>10</v>
      </c>
      <c r="D82" s="1"/>
      <c r="E82" s="1"/>
      <c r="F82" s="12"/>
      <c r="G82" s="12"/>
      <c r="H82" s="51"/>
    </row>
    <row r="83" spans="1:8" ht="14.1" customHeight="1" x14ac:dyDescent="0.2">
      <c r="A83" s="1"/>
      <c r="B83" s="1"/>
      <c r="C83" s="2" t="s">
        <v>129</v>
      </c>
      <c r="D83" s="1"/>
      <c r="E83" s="1" t="s">
        <v>130</v>
      </c>
      <c r="F83" s="13">
        <v>0</v>
      </c>
      <c r="G83" s="14">
        <v>0</v>
      </c>
      <c r="H83" s="51"/>
    </row>
    <row r="84" spans="1:8" ht="14.1" customHeight="1" x14ac:dyDescent="0.2">
      <c r="A84" s="1"/>
      <c r="B84" s="1"/>
      <c r="C84" s="11"/>
      <c r="D84" s="1"/>
      <c r="E84" s="1"/>
      <c r="F84" s="12"/>
      <c r="G84" s="12"/>
      <c r="H84" s="51"/>
    </row>
    <row r="85" spans="1:8" ht="14.1" customHeight="1" x14ac:dyDescent="0.2">
      <c r="A85" s="1"/>
      <c r="B85" s="1"/>
      <c r="C85" s="2" t="s">
        <v>138</v>
      </c>
      <c r="D85" s="1"/>
      <c r="E85" s="1"/>
      <c r="F85" s="1"/>
      <c r="G85" s="1"/>
      <c r="H85" s="51"/>
    </row>
    <row r="86" spans="1:8" ht="14.1" customHeight="1" x14ac:dyDescent="0.2">
      <c r="A86" s="1"/>
      <c r="B86" s="1"/>
      <c r="C86" s="2" t="s">
        <v>129</v>
      </c>
      <c r="D86" s="1"/>
      <c r="E86" s="1" t="s">
        <v>130</v>
      </c>
      <c r="F86" s="13">
        <v>0</v>
      </c>
      <c r="G86" s="14">
        <v>0</v>
      </c>
      <c r="H86" s="51"/>
    </row>
    <row r="87" spans="1:8" ht="14.1" customHeight="1" x14ac:dyDescent="0.2">
      <c r="A87" s="1"/>
      <c r="B87" s="1"/>
      <c r="C87" s="11"/>
      <c r="D87" s="1"/>
      <c r="E87" s="1"/>
      <c r="F87" s="12"/>
      <c r="G87" s="12"/>
      <c r="H87" s="51"/>
    </row>
    <row r="88" spans="1:8" ht="14.1" customHeight="1" x14ac:dyDescent="0.2">
      <c r="A88" s="1"/>
      <c r="B88" s="1"/>
      <c r="C88" s="2" t="s">
        <v>139</v>
      </c>
      <c r="D88" s="1"/>
      <c r="E88" s="1"/>
      <c r="F88" s="1"/>
      <c r="G88" s="1"/>
      <c r="H88" s="51"/>
    </row>
    <row r="89" spans="1:8" ht="14.1" customHeight="1" x14ac:dyDescent="0.2">
      <c r="A89" s="1"/>
      <c r="B89" s="1"/>
      <c r="C89" s="2" t="s">
        <v>129</v>
      </c>
      <c r="D89" s="1"/>
      <c r="E89" s="1" t="s">
        <v>130</v>
      </c>
      <c r="F89" s="13">
        <v>0</v>
      </c>
      <c r="G89" s="14">
        <v>0</v>
      </c>
      <c r="H89" s="51"/>
    </row>
    <row r="90" spans="1:8" ht="14.1" customHeight="1" x14ac:dyDescent="0.2">
      <c r="A90" s="1"/>
      <c r="B90" s="1"/>
      <c r="C90" s="11"/>
      <c r="D90" s="1"/>
      <c r="E90" s="1"/>
      <c r="F90" s="12"/>
      <c r="G90" s="12"/>
      <c r="H90" s="51"/>
    </row>
    <row r="91" spans="1:8" ht="14.1" customHeight="1" x14ac:dyDescent="0.2">
      <c r="A91" s="1"/>
      <c r="B91" s="1"/>
      <c r="C91" s="2" t="s">
        <v>140</v>
      </c>
      <c r="D91" s="1"/>
      <c r="E91" s="1"/>
      <c r="F91" s="12"/>
      <c r="G91" s="12"/>
      <c r="H91" s="51"/>
    </row>
    <row r="92" spans="1:8" ht="14.1" customHeight="1" x14ac:dyDescent="0.2">
      <c r="A92" s="1"/>
      <c r="B92" s="1"/>
      <c r="C92" s="2" t="s">
        <v>129</v>
      </c>
      <c r="D92" s="1"/>
      <c r="E92" s="1" t="s">
        <v>130</v>
      </c>
      <c r="F92" s="13">
        <v>0</v>
      </c>
      <c r="G92" s="14">
        <v>0</v>
      </c>
      <c r="H92" s="51"/>
    </row>
    <row r="93" spans="1:8" ht="14.1" customHeight="1" x14ac:dyDescent="0.2">
      <c r="A93" s="1"/>
      <c r="B93" s="1"/>
      <c r="C93" s="11"/>
      <c r="D93" s="1"/>
      <c r="E93" s="1"/>
      <c r="F93" s="12"/>
      <c r="G93" s="12"/>
      <c r="H93" s="51"/>
    </row>
    <row r="94" spans="1:8" ht="14.1" customHeight="1" x14ac:dyDescent="0.2">
      <c r="A94" s="1"/>
      <c r="B94" s="1"/>
      <c r="C94" s="2" t="s">
        <v>141</v>
      </c>
      <c r="D94" s="1"/>
      <c r="E94" s="1"/>
      <c r="F94" s="9">
        <v>0</v>
      </c>
      <c r="G94" s="10">
        <v>0</v>
      </c>
      <c r="H94" s="51"/>
    </row>
    <row r="95" spans="1:8" ht="14.1" customHeight="1" x14ac:dyDescent="0.2">
      <c r="A95" s="1"/>
      <c r="B95" s="1"/>
      <c r="C95" s="11"/>
      <c r="D95" s="1"/>
      <c r="E95" s="1"/>
      <c r="F95" s="12"/>
      <c r="G95" s="12"/>
      <c r="H95" s="51"/>
    </row>
    <row r="96" spans="1:8" ht="14.1" customHeight="1" x14ac:dyDescent="0.2">
      <c r="A96" s="1"/>
      <c r="B96" s="1"/>
      <c r="C96" s="2" t="s">
        <v>142</v>
      </c>
      <c r="D96" s="1"/>
      <c r="E96" s="1"/>
      <c r="F96" s="12"/>
      <c r="G96" s="12"/>
      <c r="H96" s="51"/>
    </row>
    <row r="97" spans="1:8" ht="14.1" customHeight="1" x14ac:dyDescent="0.2">
      <c r="A97" s="1"/>
      <c r="B97" s="1"/>
      <c r="C97" s="2" t="s">
        <v>143</v>
      </c>
      <c r="D97" s="1"/>
      <c r="E97" s="1"/>
      <c r="F97" s="12"/>
      <c r="G97" s="12"/>
      <c r="H97" s="51"/>
    </row>
    <row r="98" spans="1:8" ht="14.1" customHeight="1" x14ac:dyDescent="0.2">
      <c r="A98" s="1"/>
      <c r="B98" s="1"/>
      <c r="C98" s="2" t="s">
        <v>129</v>
      </c>
      <c r="D98" s="1"/>
      <c r="E98" s="1" t="s">
        <v>130</v>
      </c>
      <c r="F98" s="13">
        <v>0</v>
      </c>
      <c r="G98" s="14">
        <v>0</v>
      </c>
      <c r="H98" s="51"/>
    </row>
    <row r="99" spans="1:8" ht="14.1" customHeight="1" x14ac:dyDescent="0.2">
      <c r="A99" s="1"/>
      <c r="B99" s="1"/>
      <c r="C99" s="11"/>
      <c r="D99" s="1"/>
      <c r="E99" s="1"/>
      <c r="F99" s="12"/>
      <c r="G99" s="12"/>
      <c r="H99" s="51"/>
    </row>
    <row r="100" spans="1:8" ht="14.1" customHeight="1" x14ac:dyDescent="0.2">
      <c r="A100" s="1"/>
      <c r="B100" s="1"/>
      <c r="C100" s="2" t="s">
        <v>144</v>
      </c>
      <c r="D100" s="1"/>
      <c r="E100" s="1"/>
      <c r="F100" s="12"/>
      <c r="G100" s="12"/>
      <c r="H100" s="51"/>
    </row>
    <row r="101" spans="1:8" ht="14.1" customHeight="1" x14ac:dyDescent="0.2">
      <c r="A101" s="1"/>
      <c r="B101" s="1"/>
      <c r="C101" s="2" t="s">
        <v>129</v>
      </c>
      <c r="D101" s="1"/>
      <c r="E101" s="1" t="s">
        <v>130</v>
      </c>
      <c r="F101" s="13">
        <v>0</v>
      </c>
      <c r="G101" s="14">
        <v>0</v>
      </c>
      <c r="H101" s="51"/>
    </row>
    <row r="102" spans="1:8" ht="14.1" customHeight="1" x14ac:dyDescent="0.2">
      <c r="A102" s="1"/>
      <c r="B102" s="1"/>
      <c r="C102" s="11"/>
      <c r="D102" s="1"/>
      <c r="E102" s="1"/>
      <c r="F102" s="12"/>
      <c r="G102" s="12"/>
      <c r="H102" s="51"/>
    </row>
    <row r="103" spans="1:8" ht="14.1" customHeight="1" x14ac:dyDescent="0.2">
      <c r="A103" s="1"/>
      <c r="B103" s="1"/>
      <c r="C103" s="2" t="s">
        <v>145</v>
      </c>
      <c r="D103" s="1"/>
      <c r="E103" s="1"/>
      <c r="F103" s="12"/>
      <c r="G103" s="12"/>
      <c r="H103" s="51"/>
    </row>
    <row r="104" spans="1:8" ht="14.1" customHeight="1" x14ac:dyDescent="0.2">
      <c r="A104" s="1"/>
      <c r="B104" s="1"/>
      <c r="C104" s="2" t="s">
        <v>129</v>
      </c>
      <c r="D104" s="1"/>
      <c r="E104" s="1" t="s">
        <v>130</v>
      </c>
      <c r="F104" s="13">
        <v>0</v>
      </c>
      <c r="G104" s="14">
        <v>0</v>
      </c>
      <c r="H104" s="51"/>
    </row>
    <row r="105" spans="1:8" ht="14.1" customHeight="1" x14ac:dyDescent="0.2">
      <c r="A105" s="1"/>
      <c r="B105" s="1"/>
      <c r="C105" s="11"/>
      <c r="D105" s="1"/>
      <c r="E105" s="1"/>
      <c r="F105" s="12"/>
      <c r="G105" s="12"/>
      <c r="H105" s="51"/>
    </row>
    <row r="106" spans="1:8" ht="14.1" customHeight="1" x14ac:dyDescent="0.2">
      <c r="A106" s="1"/>
      <c r="B106" s="1"/>
      <c r="C106" s="2" t="s">
        <v>146</v>
      </c>
      <c r="D106" s="1"/>
      <c r="E106" s="1"/>
      <c r="F106" s="12"/>
      <c r="G106" s="12"/>
      <c r="H106" s="51"/>
    </row>
    <row r="107" spans="1:8" ht="17.100000000000001" customHeight="1" x14ac:dyDescent="0.2">
      <c r="A107" s="3">
        <v>1</v>
      </c>
      <c r="B107" s="4"/>
      <c r="C107" s="4" t="s">
        <v>147</v>
      </c>
      <c r="D107" s="4"/>
      <c r="E107" s="8"/>
      <c r="F107" s="6">
        <v>137.10318459999999</v>
      </c>
      <c r="G107" s="7">
        <v>4.2954753999999998E-2</v>
      </c>
      <c r="H107" s="51">
        <v>6.1245112103248278</v>
      </c>
    </row>
    <row r="108" spans="1:8" ht="14.1" customHeight="1" x14ac:dyDescent="0.2">
      <c r="A108" s="1"/>
      <c r="B108" s="1"/>
      <c r="C108" s="2" t="s">
        <v>129</v>
      </c>
      <c r="D108" s="1"/>
      <c r="E108" s="1" t="s">
        <v>130</v>
      </c>
      <c r="F108" s="9">
        <v>137.10318459999999</v>
      </c>
      <c r="G108" s="10">
        <v>4.2954753999999998E-2</v>
      </c>
      <c r="H108" s="51"/>
    </row>
    <row r="109" spans="1:8" ht="14.1" customHeight="1" x14ac:dyDescent="0.2">
      <c r="A109" s="1"/>
      <c r="B109" s="1"/>
      <c r="C109" s="11"/>
      <c r="D109" s="1"/>
      <c r="E109" s="1"/>
      <c r="F109" s="12"/>
      <c r="G109" s="12"/>
      <c r="H109" s="51"/>
    </row>
    <row r="110" spans="1:8" ht="14.1" customHeight="1" x14ac:dyDescent="0.2">
      <c r="A110" s="1"/>
      <c r="B110" s="1"/>
      <c r="C110" s="2" t="s">
        <v>148</v>
      </c>
      <c r="D110" s="1"/>
      <c r="E110" s="1"/>
      <c r="F110" s="9">
        <v>137.10318459999999</v>
      </c>
      <c r="G110" s="10">
        <v>4.2954753999999998E-2</v>
      </c>
      <c r="H110" s="51"/>
    </row>
    <row r="111" spans="1:8" ht="14.1" customHeight="1" x14ac:dyDescent="0.2">
      <c r="A111" s="1"/>
      <c r="B111" s="1"/>
      <c r="C111" s="12"/>
      <c r="D111" s="1"/>
      <c r="E111" s="1"/>
      <c r="F111" s="1"/>
      <c r="G111" s="1"/>
      <c r="H111" s="51"/>
    </row>
    <row r="112" spans="1:8" ht="14.1" customHeight="1" x14ac:dyDescent="0.2">
      <c r="A112" s="1"/>
      <c r="B112" s="1"/>
      <c r="C112" s="2" t="s">
        <v>149</v>
      </c>
      <c r="D112" s="1"/>
      <c r="E112" s="1"/>
      <c r="F112" s="1"/>
      <c r="G112" s="1"/>
      <c r="H112" s="51"/>
    </row>
    <row r="113" spans="1:8" ht="14.1" customHeight="1" x14ac:dyDescent="0.2">
      <c r="A113" s="1"/>
      <c r="B113" s="1"/>
      <c r="C113" s="2" t="s">
        <v>150</v>
      </c>
      <c r="D113" s="1"/>
      <c r="E113" s="1"/>
      <c r="F113" s="1"/>
      <c r="G113" s="1"/>
      <c r="H113" s="51"/>
    </row>
    <row r="114" spans="1:8" ht="14.1" customHeight="1" x14ac:dyDescent="0.2">
      <c r="A114" s="1"/>
      <c r="B114" s="1"/>
      <c r="C114" s="2" t="s">
        <v>129</v>
      </c>
      <c r="D114" s="1"/>
      <c r="E114" s="1" t="s">
        <v>130</v>
      </c>
      <c r="F114" s="13">
        <v>0</v>
      </c>
      <c r="G114" s="14">
        <v>0</v>
      </c>
      <c r="H114" s="51"/>
    </row>
    <row r="115" spans="1:8" ht="14.1" customHeight="1" x14ac:dyDescent="0.2">
      <c r="A115" s="1"/>
      <c r="B115" s="1"/>
      <c r="C115" s="11"/>
      <c r="D115" s="1"/>
      <c r="E115" s="1"/>
      <c r="F115" s="12"/>
      <c r="G115" s="12"/>
      <c r="H115" s="51"/>
    </row>
    <row r="116" spans="1:8" ht="14.1" customHeight="1" x14ac:dyDescent="0.2">
      <c r="A116" s="1"/>
      <c r="B116" s="1"/>
      <c r="C116" s="2" t="s">
        <v>151</v>
      </c>
      <c r="D116" s="1"/>
      <c r="E116" s="1"/>
      <c r="F116" s="1"/>
      <c r="G116" s="1"/>
      <c r="H116" s="51"/>
    </row>
    <row r="117" spans="1:8" ht="14.1" customHeight="1" x14ac:dyDescent="0.2">
      <c r="A117" s="1"/>
      <c r="B117" s="1"/>
      <c r="C117" s="2" t="s">
        <v>152</v>
      </c>
      <c r="D117" s="1"/>
      <c r="E117" s="1"/>
      <c r="F117" s="1"/>
      <c r="G117" s="1"/>
      <c r="H117" s="51"/>
    </row>
    <row r="118" spans="1:8" ht="14.1" customHeight="1" x14ac:dyDescent="0.2">
      <c r="A118" s="1"/>
      <c r="B118" s="1"/>
      <c r="C118" s="2" t="s">
        <v>129</v>
      </c>
      <c r="D118" s="1"/>
      <c r="E118" s="1" t="s">
        <v>130</v>
      </c>
      <c r="F118" s="13">
        <v>0</v>
      </c>
      <c r="G118" s="14">
        <v>0</v>
      </c>
      <c r="H118" s="51"/>
    </row>
    <row r="119" spans="1:8" ht="14.1" customHeight="1" x14ac:dyDescent="0.2">
      <c r="A119" s="1"/>
      <c r="B119" s="1"/>
      <c r="C119" s="11"/>
      <c r="D119" s="1"/>
      <c r="E119" s="1"/>
      <c r="F119" s="12"/>
      <c r="G119" s="12"/>
      <c r="H119" s="51"/>
    </row>
    <row r="120" spans="1:8" ht="14.1" customHeight="1" x14ac:dyDescent="0.2">
      <c r="A120" s="1"/>
      <c r="B120" s="1"/>
      <c r="C120" s="11"/>
      <c r="D120" s="1"/>
      <c r="E120" s="1"/>
      <c r="F120" s="12"/>
      <c r="G120" s="12"/>
      <c r="H120" s="51"/>
    </row>
    <row r="121" spans="1:8" ht="24" customHeight="1" x14ac:dyDescent="0.2">
      <c r="A121" s="1"/>
      <c r="B121" s="1"/>
      <c r="C121" s="2" t="s">
        <v>153</v>
      </c>
      <c r="D121" s="1"/>
      <c r="E121" s="1"/>
      <c r="F121" s="12"/>
      <c r="G121" s="12"/>
      <c r="H121" s="51"/>
    </row>
    <row r="122" spans="1:8" ht="14.1" customHeight="1" x14ac:dyDescent="0.2">
      <c r="A122" s="1"/>
      <c r="B122" s="1"/>
      <c r="C122" s="2" t="s">
        <v>129</v>
      </c>
      <c r="D122" s="1"/>
      <c r="E122" s="1" t="s">
        <v>130</v>
      </c>
      <c r="F122" s="13">
        <v>0</v>
      </c>
      <c r="G122" s="14">
        <v>0</v>
      </c>
      <c r="H122" s="51"/>
    </row>
    <row r="123" spans="1:8" ht="14.1" customHeight="1" x14ac:dyDescent="0.2">
      <c r="A123" s="1"/>
      <c r="B123" s="1"/>
      <c r="C123" s="11"/>
      <c r="D123" s="1"/>
      <c r="E123" s="1"/>
      <c r="F123" s="12"/>
      <c r="G123" s="12"/>
      <c r="H123" s="51"/>
    </row>
    <row r="124" spans="1:8" ht="14.1" customHeight="1" x14ac:dyDescent="0.2">
      <c r="A124" s="1"/>
      <c r="B124" s="4"/>
      <c r="C124" s="4"/>
      <c r="D124" s="2"/>
      <c r="E124" s="1"/>
      <c r="F124" s="4"/>
      <c r="G124" s="8"/>
      <c r="H124" s="51"/>
    </row>
    <row r="125" spans="1:8" ht="18" customHeight="1" x14ac:dyDescent="0.2">
      <c r="A125" s="8"/>
      <c r="B125" s="4"/>
      <c r="C125" s="4" t="s">
        <v>154</v>
      </c>
      <c r="D125" s="4"/>
      <c r="E125" s="8"/>
      <c r="F125" s="6">
        <v>-1.7203694</v>
      </c>
      <c r="G125" s="7">
        <v>-5.3899600000000003E-4</v>
      </c>
      <c r="H125" s="51"/>
    </row>
    <row r="126" spans="1:8" ht="14.1" customHeight="1" x14ac:dyDescent="0.2">
      <c r="A126" s="11"/>
      <c r="B126" s="11"/>
      <c r="C126" s="2" t="s">
        <v>155</v>
      </c>
      <c r="D126" s="15"/>
      <c r="E126" s="15"/>
      <c r="F126" s="9">
        <v>3191.8046761999999</v>
      </c>
      <c r="G126" s="10">
        <v>0.99999999900000003</v>
      </c>
      <c r="H126" s="51"/>
    </row>
    <row r="127" spans="1:8" ht="14.1" customHeight="1" x14ac:dyDescent="0.2">
      <c r="A127" s="16"/>
      <c r="B127" s="16"/>
      <c r="C127" s="16"/>
      <c r="D127" s="17"/>
      <c r="E127" s="17"/>
      <c r="F127" s="17"/>
      <c r="G127" s="17"/>
    </row>
    <row r="128" spans="1:8" ht="14.1" customHeight="1" x14ac:dyDescent="0.2">
      <c r="A128" s="18"/>
      <c r="B128" s="327" t="s">
        <v>130</v>
      </c>
      <c r="C128" s="327"/>
      <c r="D128" s="327"/>
      <c r="E128" s="327"/>
      <c r="F128" s="327"/>
      <c r="G128" s="20"/>
    </row>
    <row r="129" spans="1:7" ht="14.1" customHeight="1" x14ac:dyDescent="0.2">
      <c r="A129" s="18"/>
      <c r="B129" s="327" t="s">
        <v>130</v>
      </c>
      <c r="C129" s="327"/>
      <c r="D129" s="327"/>
      <c r="E129" s="327"/>
      <c r="F129" s="327"/>
      <c r="G129" s="20"/>
    </row>
    <row r="130" spans="1:7" ht="14.1" customHeight="1" x14ac:dyDescent="0.2">
      <c r="A130" s="18"/>
      <c r="B130" s="18"/>
      <c r="C130" s="18"/>
      <c r="D130" s="20"/>
      <c r="E130" s="20"/>
      <c r="F130" s="20"/>
      <c r="G130" s="20"/>
    </row>
    <row r="131" spans="1:7" ht="14.1" customHeight="1" x14ac:dyDescent="0.2">
      <c r="A131" s="18"/>
      <c r="B131" s="325" t="s">
        <v>157</v>
      </c>
      <c r="C131" s="326"/>
      <c r="D131" s="12" t="s">
        <v>130</v>
      </c>
      <c r="E131" s="21"/>
      <c r="F131" s="20"/>
      <c r="G131" s="20"/>
    </row>
    <row r="132" spans="1:7" ht="29.1" customHeight="1" x14ac:dyDescent="0.2">
      <c r="A132" s="18"/>
      <c r="B132" s="318" t="s">
        <v>158</v>
      </c>
      <c r="C132" s="319"/>
      <c r="D132" s="2" t="s">
        <v>159</v>
      </c>
      <c r="E132" s="21"/>
      <c r="F132" s="20"/>
      <c r="G132" s="20"/>
    </row>
    <row r="133" spans="1:7" ht="17.100000000000001" customHeight="1" x14ac:dyDescent="0.2">
      <c r="A133" s="18"/>
      <c r="B133" s="318" t="s">
        <v>160</v>
      </c>
      <c r="C133" s="319"/>
      <c r="D133" s="2" t="s">
        <v>159</v>
      </c>
      <c r="E133" s="21"/>
      <c r="F133" s="20"/>
      <c r="G133" s="20"/>
    </row>
    <row r="134" spans="1:7" ht="17.100000000000001" customHeight="1" x14ac:dyDescent="0.2">
      <c r="A134" s="18"/>
      <c r="B134" s="318" t="s">
        <v>161</v>
      </c>
      <c r="C134" s="319"/>
      <c r="D134" s="12" t="s">
        <v>130</v>
      </c>
      <c r="E134" s="21"/>
      <c r="F134" s="20"/>
      <c r="G134" s="20"/>
    </row>
    <row r="135" spans="1:7" ht="24" customHeight="1" x14ac:dyDescent="0.2">
      <c r="A135" s="22"/>
      <c r="B135" s="23" t="s">
        <v>130</v>
      </c>
      <c r="C135" s="23" t="s">
        <v>162</v>
      </c>
      <c r="D135" s="23" t="s">
        <v>163</v>
      </c>
      <c r="E135" s="22"/>
      <c r="F135" s="22"/>
      <c r="G135" s="22"/>
    </row>
    <row r="136" spans="1:7" ht="18" customHeight="1" x14ac:dyDescent="0.2">
      <c r="A136" s="22"/>
      <c r="B136" s="23" t="s">
        <v>164</v>
      </c>
      <c r="C136" s="23" t="s">
        <v>165</v>
      </c>
      <c r="D136" s="23" t="s">
        <v>166</v>
      </c>
      <c r="E136" s="22"/>
      <c r="F136" s="22"/>
      <c r="G136" s="22"/>
    </row>
    <row r="137" spans="1:7" ht="17.100000000000001" customHeight="1" x14ac:dyDescent="0.2">
      <c r="A137" s="22"/>
      <c r="B137" s="4" t="s">
        <v>167</v>
      </c>
      <c r="C137" s="24">
        <v>17.132400000000001</v>
      </c>
      <c r="D137" s="24">
        <v>17.107500000000002</v>
      </c>
      <c r="E137" s="22"/>
      <c r="F137" s="19"/>
      <c r="G137" s="25"/>
    </row>
    <row r="138" spans="1:7" ht="17.100000000000001" customHeight="1" x14ac:dyDescent="0.2">
      <c r="A138" s="22"/>
      <c r="B138" s="4" t="s">
        <v>1067</v>
      </c>
      <c r="C138" s="24">
        <v>17.132400000000001</v>
      </c>
      <c r="D138" s="24">
        <v>17.107500000000002</v>
      </c>
      <c r="E138" s="22"/>
      <c r="F138" s="19"/>
      <c r="G138" s="25"/>
    </row>
    <row r="139" spans="1:7" ht="17.100000000000001" customHeight="1" x14ac:dyDescent="0.2">
      <c r="A139" s="22"/>
      <c r="B139" s="4" t="s">
        <v>168</v>
      </c>
      <c r="C139" s="24">
        <v>16.767499999999998</v>
      </c>
      <c r="D139" s="24">
        <v>16.740500000000001</v>
      </c>
      <c r="E139" s="22"/>
      <c r="F139" s="19"/>
      <c r="G139" s="25"/>
    </row>
    <row r="140" spans="1:7" ht="17.100000000000001" customHeight="1" x14ac:dyDescent="0.2">
      <c r="A140" s="22"/>
      <c r="B140" s="4" t="s">
        <v>1068</v>
      </c>
      <c r="C140" s="24">
        <v>16.767499999999998</v>
      </c>
      <c r="D140" s="24">
        <v>16.740500000000001</v>
      </c>
      <c r="E140" s="22"/>
      <c r="F140" s="19"/>
      <c r="G140" s="25"/>
    </row>
    <row r="141" spans="1:7" ht="14.1" customHeight="1" x14ac:dyDescent="0.2">
      <c r="A141" s="22"/>
      <c r="B141" s="22"/>
      <c r="C141" s="22"/>
      <c r="D141" s="22"/>
      <c r="E141" s="22"/>
      <c r="F141" s="22"/>
      <c r="G141" s="22"/>
    </row>
    <row r="142" spans="1:7" ht="17.100000000000001" customHeight="1" x14ac:dyDescent="0.2">
      <c r="A142" s="22"/>
      <c r="B142" s="318" t="s">
        <v>1069</v>
      </c>
      <c r="C142" s="319"/>
      <c r="D142" s="111" t="s">
        <v>159</v>
      </c>
      <c r="E142" s="22"/>
      <c r="F142" s="22"/>
      <c r="G142" s="22"/>
    </row>
    <row r="143" spans="1:7" ht="18" customHeight="1" x14ac:dyDescent="0.2">
      <c r="A143" s="22"/>
      <c r="B143" s="26"/>
      <c r="C143" s="26"/>
      <c r="D143" s="27"/>
      <c r="E143" s="22"/>
      <c r="F143" s="22"/>
      <c r="G143" s="22"/>
    </row>
    <row r="144" spans="1:7" ht="29.1" customHeight="1" x14ac:dyDescent="0.2">
      <c r="A144" s="22"/>
      <c r="B144" s="318" t="s">
        <v>169</v>
      </c>
      <c r="C144" s="319"/>
      <c r="D144" s="2" t="s">
        <v>159</v>
      </c>
      <c r="E144" s="22"/>
      <c r="F144" s="22"/>
      <c r="G144" s="22"/>
    </row>
    <row r="145" spans="1:14" ht="29.1" customHeight="1" x14ac:dyDescent="0.2">
      <c r="A145" s="22"/>
      <c r="B145" s="318" t="s">
        <v>170</v>
      </c>
      <c r="C145" s="319"/>
      <c r="D145" s="2" t="s">
        <v>159</v>
      </c>
      <c r="E145" s="22"/>
      <c r="F145" s="22"/>
      <c r="G145" s="22"/>
    </row>
    <row r="146" spans="1:14" ht="17.100000000000001" customHeight="1" x14ac:dyDescent="0.2">
      <c r="A146" s="22"/>
      <c r="B146" s="318" t="s">
        <v>171</v>
      </c>
      <c r="C146" s="319"/>
      <c r="D146" s="28">
        <v>0.15585138348198321</v>
      </c>
      <c r="E146" s="22"/>
      <c r="F146" s="19"/>
      <c r="G146" s="25"/>
    </row>
    <row r="147" spans="1:14" ht="17.100000000000001" customHeight="1" x14ac:dyDescent="0.2">
      <c r="A147" s="22"/>
      <c r="B147" s="318" t="s">
        <v>172</v>
      </c>
      <c r="C147" s="319"/>
      <c r="D147" s="2" t="s">
        <v>159</v>
      </c>
      <c r="E147" s="22"/>
      <c r="F147" s="22"/>
      <c r="G147" s="22"/>
    </row>
    <row r="154" spans="1:14" x14ac:dyDescent="0.2">
      <c r="J154" s="158"/>
      <c r="K154" s="158"/>
      <c r="L154" s="158"/>
      <c r="M154" s="158"/>
      <c r="N154" s="158"/>
    </row>
  </sheetData>
  <mergeCells count="15">
    <mergeCell ref="A1:H1"/>
    <mergeCell ref="A2:H2"/>
    <mergeCell ref="A3:H3"/>
    <mergeCell ref="J2:N2"/>
    <mergeCell ref="B146:C146"/>
    <mergeCell ref="B131:C131"/>
    <mergeCell ref="B128:F128"/>
    <mergeCell ref="B129:F129"/>
    <mergeCell ref="B147:C147"/>
    <mergeCell ref="B132:C132"/>
    <mergeCell ref="B133:C133"/>
    <mergeCell ref="B134:C134"/>
    <mergeCell ref="B142:C142"/>
    <mergeCell ref="B144:C144"/>
    <mergeCell ref="B145:C145"/>
  </mergeCells>
  <hyperlinks>
    <hyperlink ref="I1" location="Index!B21" display="Index" xr:uid="{F9A288BD-766F-42CB-8FC7-A6827D6EF0B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outlinePr summaryBelow="0" summaryRight="0"/>
  </sheetPr>
  <dimension ref="A1:N15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500</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29</v>
      </c>
      <c r="C7" s="4" t="s">
        <v>30</v>
      </c>
      <c r="D7" s="4" t="s">
        <v>31</v>
      </c>
      <c r="E7" s="5">
        <v>5959</v>
      </c>
      <c r="F7" s="6">
        <v>119.0637995</v>
      </c>
      <c r="G7" s="7">
        <v>3.3979212000000002E-2</v>
      </c>
      <c r="H7" s="51"/>
    </row>
    <row r="8" spans="1:14" ht="17.100000000000001" customHeight="1" x14ac:dyDescent="0.2">
      <c r="A8" s="3">
        <v>2</v>
      </c>
      <c r="B8" s="4" t="s">
        <v>102</v>
      </c>
      <c r="C8" s="4" t="s">
        <v>103</v>
      </c>
      <c r="D8" s="4" t="s">
        <v>104</v>
      </c>
      <c r="E8" s="5">
        <v>27826</v>
      </c>
      <c r="F8" s="6">
        <v>118.497021</v>
      </c>
      <c r="G8" s="7">
        <v>3.3817461E-2</v>
      </c>
      <c r="H8" s="51"/>
    </row>
    <row r="9" spans="1:14" ht="17.100000000000001" customHeight="1" x14ac:dyDescent="0.2">
      <c r="A9" s="3">
        <v>3</v>
      </c>
      <c r="B9" s="4" t="s">
        <v>82</v>
      </c>
      <c r="C9" s="4" t="s">
        <v>83</v>
      </c>
      <c r="D9" s="4" t="s">
        <v>31</v>
      </c>
      <c r="E9" s="5">
        <v>7968</v>
      </c>
      <c r="F9" s="6">
        <v>115.16150399999999</v>
      </c>
      <c r="G9" s="7">
        <v>3.2865549000000001E-2</v>
      </c>
      <c r="H9" s="51"/>
    </row>
    <row r="10" spans="1:14" ht="17.100000000000001" customHeight="1" x14ac:dyDescent="0.2">
      <c r="A10" s="3">
        <v>4</v>
      </c>
      <c r="B10" s="4" t="s">
        <v>385</v>
      </c>
      <c r="C10" s="4" t="s">
        <v>386</v>
      </c>
      <c r="D10" s="4" t="s">
        <v>104</v>
      </c>
      <c r="E10" s="5">
        <v>16978</v>
      </c>
      <c r="F10" s="6">
        <v>107.95461299999999</v>
      </c>
      <c r="G10" s="7">
        <v>3.0808799000000001E-2</v>
      </c>
      <c r="H10" s="51"/>
    </row>
    <row r="11" spans="1:14" ht="17.100000000000001" customHeight="1" x14ac:dyDescent="0.2">
      <c r="A11" s="3">
        <v>5</v>
      </c>
      <c r="B11" s="4" t="s">
        <v>302</v>
      </c>
      <c r="C11" s="4" t="s">
        <v>303</v>
      </c>
      <c r="D11" s="4" t="s">
        <v>251</v>
      </c>
      <c r="E11" s="5">
        <v>19759</v>
      </c>
      <c r="F11" s="6">
        <v>101.0178875</v>
      </c>
      <c r="G11" s="7">
        <v>2.8829151000000001E-2</v>
      </c>
      <c r="H11" s="51"/>
    </row>
    <row r="12" spans="1:14" ht="17.100000000000001" customHeight="1" x14ac:dyDescent="0.2">
      <c r="A12" s="3">
        <v>6</v>
      </c>
      <c r="B12" s="4" t="s">
        <v>401</v>
      </c>
      <c r="C12" s="4" t="s">
        <v>402</v>
      </c>
      <c r="D12" s="4" t="s">
        <v>223</v>
      </c>
      <c r="E12" s="5">
        <v>14987</v>
      </c>
      <c r="F12" s="6">
        <v>98.899213000000003</v>
      </c>
      <c r="G12" s="7">
        <v>2.8224508999999998E-2</v>
      </c>
      <c r="H12" s="51"/>
    </row>
    <row r="13" spans="1:14" ht="29.1" customHeight="1" x14ac:dyDescent="0.2">
      <c r="A13" s="3">
        <v>7</v>
      </c>
      <c r="B13" s="4" t="s">
        <v>185</v>
      </c>
      <c r="C13" s="4" t="s">
        <v>186</v>
      </c>
      <c r="D13" s="4" t="s">
        <v>104</v>
      </c>
      <c r="E13" s="5">
        <v>23570</v>
      </c>
      <c r="F13" s="6">
        <v>97.084829999999997</v>
      </c>
      <c r="G13" s="7">
        <v>2.7706709E-2</v>
      </c>
      <c r="H13" s="51"/>
    </row>
    <row r="14" spans="1:14" ht="29.1" customHeight="1" x14ac:dyDescent="0.2">
      <c r="A14" s="3">
        <v>8</v>
      </c>
      <c r="B14" s="4" t="s">
        <v>182</v>
      </c>
      <c r="C14" s="4" t="s">
        <v>183</v>
      </c>
      <c r="D14" s="4" t="s">
        <v>184</v>
      </c>
      <c r="E14" s="5">
        <v>2136</v>
      </c>
      <c r="F14" s="6">
        <v>95.924555999999995</v>
      </c>
      <c r="G14" s="7">
        <v>2.7375581999999999E-2</v>
      </c>
      <c r="H14" s="51"/>
      <c r="J14" s="157" t="s">
        <v>1098</v>
      </c>
    </row>
    <row r="15" spans="1:14" ht="17.100000000000001" customHeight="1" x14ac:dyDescent="0.2">
      <c r="A15" s="3">
        <v>9</v>
      </c>
      <c r="B15" s="4" t="s">
        <v>319</v>
      </c>
      <c r="C15" s="4" t="s">
        <v>320</v>
      </c>
      <c r="D15" s="4" t="s">
        <v>248</v>
      </c>
      <c r="E15" s="5">
        <v>6371</v>
      </c>
      <c r="F15" s="6">
        <v>94.848262500000004</v>
      </c>
      <c r="G15" s="7">
        <v>2.7068422000000002E-2</v>
      </c>
      <c r="H15" s="51"/>
    </row>
    <row r="16" spans="1:14" ht="17.100000000000001" customHeight="1" x14ac:dyDescent="0.2">
      <c r="A16" s="3">
        <v>10</v>
      </c>
      <c r="B16" s="4" t="s">
        <v>379</v>
      </c>
      <c r="C16" s="4" t="s">
        <v>380</v>
      </c>
      <c r="D16" s="4" t="s">
        <v>97</v>
      </c>
      <c r="E16" s="5">
        <v>94613</v>
      </c>
      <c r="F16" s="6">
        <v>93.808789500000003</v>
      </c>
      <c r="G16" s="7">
        <v>2.6771771E-2</v>
      </c>
      <c r="H16" s="51"/>
    </row>
    <row r="17" spans="1:8" ht="17.100000000000001" customHeight="1" x14ac:dyDescent="0.2">
      <c r="A17" s="3">
        <v>11</v>
      </c>
      <c r="B17" s="4" t="s">
        <v>383</v>
      </c>
      <c r="C17" s="4" t="s">
        <v>384</v>
      </c>
      <c r="D17" s="4" t="s">
        <v>104</v>
      </c>
      <c r="E17" s="5">
        <v>5611</v>
      </c>
      <c r="F17" s="6">
        <v>92.550639500000003</v>
      </c>
      <c r="G17" s="7">
        <v>2.6412712000000001E-2</v>
      </c>
      <c r="H17" s="51"/>
    </row>
    <row r="18" spans="1:8" ht="17.100000000000001" customHeight="1" x14ac:dyDescent="0.2">
      <c r="A18" s="3">
        <v>12</v>
      </c>
      <c r="B18" s="4" t="s">
        <v>387</v>
      </c>
      <c r="C18" s="4" t="s">
        <v>388</v>
      </c>
      <c r="D18" s="4" t="s">
        <v>208</v>
      </c>
      <c r="E18" s="5">
        <v>32339</v>
      </c>
      <c r="F18" s="6">
        <v>92.521878999999998</v>
      </c>
      <c r="G18" s="7">
        <v>2.6404503999999999E-2</v>
      </c>
      <c r="H18" s="51"/>
    </row>
    <row r="19" spans="1:8" ht="17.100000000000001" customHeight="1" x14ac:dyDescent="0.2">
      <c r="A19" s="3">
        <v>13</v>
      </c>
      <c r="B19" s="4" t="s">
        <v>90</v>
      </c>
      <c r="C19" s="4" t="s">
        <v>91</v>
      </c>
      <c r="D19" s="4" t="s">
        <v>92</v>
      </c>
      <c r="E19" s="5">
        <v>17357</v>
      </c>
      <c r="F19" s="6">
        <v>88.295058999999995</v>
      </c>
      <c r="G19" s="7">
        <v>2.5198226000000001E-2</v>
      </c>
      <c r="H19" s="51"/>
    </row>
    <row r="20" spans="1:8" ht="17.100000000000001" customHeight="1" x14ac:dyDescent="0.2">
      <c r="A20" s="3">
        <v>14</v>
      </c>
      <c r="B20" s="4" t="s">
        <v>415</v>
      </c>
      <c r="C20" s="4" t="s">
        <v>416</v>
      </c>
      <c r="D20" s="4" t="s">
        <v>31</v>
      </c>
      <c r="E20" s="5">
        <v>9335</v>
      </c>
      <c r="F20" s="6">
        <v>85.349905000000007</v>
      </c>
      <c r="G20" s="7">
        <v>2.4357719E-2</v>
      </c>
      <c r="H20" s="51"/>
    </row>
    <row r="21" spans="1:8" ht="17.100000000000001" customHeight="1" x14ac:dyDescent="0.2">
      <c r="A21" s="3">
        <v>15</v>
      </c>
      <c r="B21" s="4" t="s">
        <v>313</v>
      </c>
      <c r="C21" s="4" t="s">
        <v>314</v>
      </c>
      <c r="D21" s="4" t="s">
        <v>315</v>
      </c>
      <c r="E21" s="5">
        <v>6199</v>
      </c>
      <c r="F21" s="6">
        <v>84.43038</v>
      </c>
      <c r="G21" s="7">
        <v>2.4095298000000001E-2</v>
      </c>
      <c r="H21" s="51"/>
    </row>
    <row r="22" spans="1:8" ht="17.100000000000001" customHeight="1" x14ac:dyDescent="0.2">
      <c r="A22" s="3">
        <v>16</v>
      </c>
      <c r="B22" s="4" t="s">
        <v>411</v>
      </c>
      <c r="C22" s="4" t="s">
        <v>412</v>
      </c>
      <c r="D22" s="4" t="s">
        <v>13</v>
      </c>
      <c r="E22" s="5">
        <v>19575</v>
      </c>
      <c r="F22" s="6">
        <v>82.489050000000006</v>
      </c>
      <c r="G22" s="7">
        <v>2.3541269E-2</v>
      </c>
      <c r="H22" s="51"/>
    </row>
    <row r="23" spans="1:8" ht="29.1" customHeight="1" x14ac:dyDescent="0.2">
      <c r="A23" s="3">
        <v>17</v>
      </c>
      <c r="B23" s="4" t="s">
        <v>399</v>
      </c>
      <c r="C23" s="4" t="s">
        <v>400</v>
      </c>
      <c r="D23" s="4" t="s">
        <v>48</v>
      </c>
      <c r="E23" s="5">
        <v>2903</v>
      </c>
      <c r="F23" s="6">
        <v>78.023931000000005</v>
      </c>
      <c r="G23" s="7">
        <v>2.2266984E-2</v>
      </c>
      <c r="H23" s="51"/>
    </row>
    <row r="24" spans="1:8" ht="29.1" customHeight="1" x14ac:dyDescent="0.2">
      <c r="A24" s="3">
        <v>18</v>
      </c>
      <c r="B24" s="4" t="s">
        <v>201</v>
      </c>
      <c r="C24" s="4" t="s">
        <v>202</v>
      </c>
      <c r="D24" s="4" t="s">
        <v>203</v>
      </c>
      <c r="E24" s="5">
        <v>14944</v>
      </c>
      <c r="F24" s="6">
        <v>76.662719999999993</v>
      </c>
      <c r="G24" s="7">
        <v>2.1878511999999999E-2</v>
      </c>
      <c r="H24" s="51"/>
    </row>
    <row r="25" spans="1:8" ht="17.100000000000001" customHeight="1" x14ac:dyDescent="0.2">
      <c r="A25" s="3">
        <v>19</v>
      </c>
      <c r="B25" s="4" t="s">
        <v>244</v>
      </c>
      <c r="C25" s="4" t="s">
        <v>245</v>
      </c>
      <c r="D25" s="4" t="s">
        <v>223</v>
      </c>
      <c r="E25" s="5">
        <v>2353</v>
      </c>
      <c r="F25" s="6">
        <v>76.265435999999994</v>
      </c>
      <c r="G25" s="7">
        <v>2.1765132999999999E-2</v>
      </c>
      <c r="H25" s="51"/>
    </row>
    <row r="26" spans="1:8" ht="17.100000000000001" customHeight="1" x14ac:dyDescent="0.2">
      <c r="A26" s="3">
        <v>20</v>
      </c>
      <c r="B26" s="4" t="s">
        <v>409</v>
      </c>
      <c r="C26" s="4" t="s">
        <v>410</v>
      </c>
      <c r="D26" s="4" t="s">
        <v>104</v>
      </c>
      <c r="E26" s="5">
        <v>11129</v>
      </c>
      <c r="F26" s="6">
        <v>72.271726000000001</v>
      </c>
      <c r="G26" s="7">
        <v>2.0625382000000001E-2</v>
      </c>
      <c r="H26" s="51"/>
    </row>
    <row r="27" spans="1:8" ht="17.100000000000001" customHeight="1" x14ac:dyDescent="0.2">
      <c r="A27" s="3">
        <v>21</v>
      </c>
      <c r="B27" s="4" t="s">
        <v>389</v>
      </c>
      <c r="C27" s="4" t="s">
        <v>390</v>
      </c>
      <c r="D27" s="4" t="s">
        <v>248</v>
      </c>
      <c r="E27" s="5">
        <v>9506</v>
      </c>
      <c r="F27" s="6">
        <v>68.291104000000004</v>
      </c>
      <c r="G27" s="7">
        <v>1.9489365000000002E-2</v>
      </c>
      <c r="H27" s="51"/>
    </row>
    <row r="28" spans="1:8" ht="17.100000000000001" customHeight="1" x14ac:dyDescent="0.2">
      <c r="A28" s="3">
        <v>22</v>
      </c>
      <c r="B28" s="4" t="s">
        <v>461</v>
      </c>
      <c r="C28" s="4" t="s">
        <v>462</v>
      </c>
      <c r="D28" s="4" t="s">
        <v>260</v>
      </c>
      <c r="E28" s="5">
        <v>18670</v>
      </c>
      <c r="F28" s="6">
        <v>62.56317</v>
      </c>
      <c r="G28" s="7">
        <v>1.7854689999999999E-2</v>
      </c>
      <c r="H28" s="51"/>
    </row>
    <row r="29" spans="1:8" ht="17.100000000000001" customHeight="1" x14ac:dyDescent="0.2">
      <c r="A29" s="3">
        <v>23</v>
      </c>
      <c r="B29" s="4" t="s">
        <v>477</v>
      </c>
      <c r="C29" s="4" t="s">
        <v>478</v>
      </c>
      <c r="D29" s="4" t="s">
        <v>248</v>
      </c>
      <c r="E29" s="5">
        <v>32152</v>
      </c>
      <c r="F29" s="6">
        <v>59.963479999999997</v>
      </c>
      <c r="G29" s="7">
        <v>1.7112773000000001E-2</v>
      </c>
      <c r="H29" s="51"/>
    </row>
    <row r="30" spans="1:8" ht="29.1" customHeight="1" x14ac:dyDescent="0.2">
      <c r="A30" s="3">
        <v>24</v>
      </c>
      <c r="B30" s="4" t="s">
        <v>63</v>
      </c>
      <c r="C30" s="4" t="s">
        <v>64</v>
      </c>
      <c r="D30" s="4" t="s">
        <v>25</v>
      </c>
      <c r="E30" s="5">
        <v>2267</v>
      </c>
      <c r="F30" s="6">
        <v>59.5234855</v>
      </c>
      <c r="G30" s="7">
        <v>1.6987204999999998E-2</v>
      </c>
      <c r="H30" s="51"/>
    </row>
    <row r="31" spans="1:8" ht="29.1" customHeight="1" x14ac:dyDescent="0.2">
      <c r="A31" s="3">
        <v>25</v>
      </c>
      <c r="B31" s="4" t="s">
        <v>407</v>
      </c>
      <c r="C31" s="4" t="s">
        <v>408</v>
      </c>
      <c r="D31" s="4" t="s">
        <v>203</v>
      </c>
      <c r="E31" s="5">
        <v>17769</v>
      </c>
      <c r="F31" s="6">
        <v>58.264550999999997</v>
      </c>
      <c r="G31" s="7">
        <v>1.6627922E-2</v>
      </c>
      <c r="H31" s="51"/>
    </row>
    <row r="32" spans="1:8" ht="17.100000000000001" customHeight="1" x14ac:dyDescent="0.2">
      <c r="A32" s="3">
        <v>26</v>
      </c>
      <c r="B32" s="4" t="s">
        <v>393</v>
      </c>
      <c r="C32" s="4" t="s">
        <v>394</v>
      </c>
      <c r="D32" s="4" t="s">
        <v>97</v>
      </c>
      <c r="E32" s="5">
        <v>6413</v>
      </c>
      <c r="F32" s="6">
        <v>56.020761499999999</v>
      </c>
      <c r="G32" s="7">
        <v>1.5987574000000001E-2</v>
      </c>
      <c r="H32" s="51"/>
    </row>
    <row r="33" spans="1:8" ht="29.1" customHeight="1" x14ac:dyDescent="0.2">
      <c r="A33" s="3">
        <v>27</v>
      </c>
      <c r="B33" s="4" t="s">
        <v>316</v>
      </c>
      <c r="C33" s="4" t="s">
        <v>317</v>
      </c>
      <c r="D33" s="4" t="s">
        <v>318</v>
      </c>
      <c r="E33" s="5">
        <v>8218</v>
      </c>
      <c r="F33" s="6">
        <v>53.026645000000002</v>
      </c>
      <c r="G33" s="7">
        <v>1.5133093E-2</v>
      </c>
      <c r="H33" s="51"/>
    </row>
    <row r="34" spans="1:8" ht="17.100000000000001" customHeight="1" x14ac:dyDescent="0.2">
      <c r="A34" s="3">
        <v>28</v>
      </c>
      <c r="B34" s="4" t="s">
        <v>391</v>
      </c>
      <c r="C34" s="4" t="s">
        <v>392</v>
      </c>
      <c r="D34" s="4" t="s">
        <v>97</v>
      </c>
      <c r="E34" s="5">
        <v>11039</v>
      </c>
      <c r="F34" s="6">
        <v>52.965122000000001</v>
      </c>
      <c r="G34" s="7">
        <v>1.5115536000000001E-2</v>
      </c>
      <c r="H34" s="51"/>
    </row>
    <row r="35" spans="1:8" ht="29.1" customHeight="1" x14ac:dyDescent="0.2">
      <c r="A35" s="3">
        <v>29</v>
      </c>
      <c r="B35" s="4" t="s">
        <v>429</v>
      </c>
      <c r="C35" s="4" t="s">
        <v>430</v>
      </c>
      <c r="D35" s="4" t="s">
        <v>431</v>
      </c>
      <c r="E35" s="5">
        <v>39723</v>
      </c>
      <c r="F35" s="6">
        <v>52.811728500000001</v>
      </c>
      <c r="G35" s="7">
        <v>1.5071759000000001E-2</v>
      </c>
      <c r="H35" s="51"/>
    </row>
    <row r="36" spans="1:8" ht="17.100000000000001" customHeight="1" x14ac:dyDescent="0.2">
      <c r="A36" s="3">
        <v>30</v>
      </c>
      <c r="B36" s="4" t="s">
        <v>395</v>
      </c>
      <c r="C36" s="4" t="s">
        <v>396</v>
      </c>
      <c r="D36" s="4" t="s">
        <v>315</v>
      </c>
      <c r="E36" s="5">
        <v>4288</v>
      </c>
      <c r="F36" s="6">
        <v>52.26</v>
      </c>
      <c r="G36" s="7">
        <v>1.4914303E-2</v>
      </c>
      <c r="H36" s="51"/>
    </row>
    <row r="37" spans="1:8" ht="29.1" customHeight="1" x14ac:dyDescent="0.2">
      <c r="A37" s="3">
        <v>31</v>
      </c>
      <c r="B37" s="4" t="s">
        <v>397</v>
      </c>
      <c r="C37" s="4" t="s">
        <v>398</v>
      </c>
      <c r="D37" s="4" t="s">
        <v>75</v>
      </c>
      <c r="E37" s="5">
        <v>3200</v>
      </c>
      <c r="F37" s="6">
        <v>50.678400000000003</v>
      </c>
      <c r="G37" s="7">
        <v>1.4462935999999999E-2</v>
      </c>
      <c r="H37" s="51"/>
    </row>
    <row r="38" spans="1:8" ht="17.100000000000001" customHeight="1" x14ac:dyDescent="0.2">
      <c r="A38" s="3">
        <v>32</v>
      </c>
      <c r="B38" s="4" t="s">
        <v>403</v>
      </c>
      <c r="C38" s="4" t="s">
        <v>404</v>
      </c>
      <c r="D38" s="4" t="s">
        <v>277</v>
      </c>
      <c r="E38" s="5">
        <v>6153</v>
      </c>
      <c r="F38" s="6">
        <v>48.787137000000001</v>
      </c>
      <c r="G38" s="7">
        <v>1.3923194999999999E-2</v>
      </c>
      <c r="H38" s="51"/>
    </row>
    <row r="39" spans="1:8" ht="29.1" customHeight="1" x14ac:dyDescent="0.2">
      <c r="A39" s="3">
        <v>33</v>
      </c>
      <c r="B39" s="4" t="s">
        <v>470</v>
      </c>
      <c r="C39" s="4" t="s">
        <v>471</v>
      </c>
      <c r="D39" s="4" t="s">
        <v>472</v>
      </c>
      <c r="E39" s="5">
        <v>10640</v>
      </c>
      <c r="F39" s="6">
        <v>47.076680000000003</v>
      </c>
      <c r="G39" s="7">
        <v>1.3435053000000001E-2</v>
      </c>
      <c r="H39" s="51"/>
    </row>
    <row r="40" spans="1:8" ht="53.1" customHeight="1" x14ac:dyDescent="0.2">
      <c r="A40" s="3">
        <v>34</v>
      </c>
      <c r="B40" s="4" t="s">
        <v>335</v>
      </c>
      <c r="C40" s="4" t="s">
        <v>863</v>
      </c>
      <c r="D40" s="4" t="s">
        <v>45</v>
      </c>
      <c r="E40" s="5">
        <v>17050</v>
      </c>
      <c r="F40" s="6">
        <v>46.913074999999999</v>
      </c>
      <c r="G40" s="7">
        <v>1.3388363E-2</v>
      </c>
      <c r="H40" s="51"/>
    </row>
    <row r="41" spans="1:8" ht="29.1" customHeight="1" x14ac:dyDescent="0.2">
      <c r="A41" s="3">
        <v>35</v>
      </c>
      <c r="B41" s="4" t="s">
        <v>413</v>
      </c>
      <c r="C41" s="4" t="s">
        <v>414</v>
      </c>
      <c r="D41" s="4" t="s">
        <v>367</v>
      </c>
      <c r="E41" s="5">
        <v>9296</v>
      </c>
      <c r="F41" s="6">
        <v>46.712400000000002</v>
      </c>
      <c r="G41" s="7">
        <v>1.3331093E-2</v>
      </c>
      <c r="H41" s="51"/>
    </row>
    <row r="42" spans="1:8" ht="17.100000000000001" customHeight="1" x14ac:dyDescent="0.2">
      <c r="A42" s="3">
        <v>36</v>
      </c>
      <c r="B42" s="4" t="s">
        <v>417</v>
      </c>
      <c r="C42" s="4" t="s">
        <v>418</v>
      </c>
      <c r="D42" s="4" t="s">
        <v>92</v>
      </c>
      <c r="E42" s="5">
        <v>3321</v>
      </c>
      <c r="F42" s="6">
        <v>46.464111000000003</v>
      </c>
      <c r="G42" s="7">
        <v>1.3260233999999999E-2</v>
      </c>
      <c r="H42" s="51"/>
    </row>
    <row r="43" spans="1:8" ht="17.100000000000001" customHeight="1" x14ac:dyDescent="0.2">
      <c r="A43" s="3">
        <v>37</v>
      </c>
      <c r="B43" s="4" t="s">
        <v>381</v>
      </c>
      <c r="C43" s="4" t="s">
        <v>382</v>
      </c>
      <c r="D43" s="4" t="s">
        <v>277</v>
      </c>
      <c r="E43" s="5">
        <v>3655</v>
      </c>
      <c r="F43" s="6">
        <v>46.095032500000002</v>
      </c>
      <c r="G43" s="7">
        <v>1.3154904E-2</v>
      </c>
      <c r="H43" s="51"/>
    </row>
    <row r="44" spans="1:8" ht="17.100000000000001" customHeight="1" x14ac:dyDescent="0.2">
      <c r="A44" s="3">
        <v>38</v>
      </c>
      <c r="B44" s="4" t="s">
        <v>459</v>
      </c>
      <c r="C44" s="4" t="s">
        <v>460</v>
      </c>
      <c r="D44" s="4" t="s">
        <v>97</v>
      </c>
      <c r="E44" s="5">
        <v>62770</v>
      </c>
      <c r="F44" s="6">
        <v>41.647894999999998</v>
      </c>
      <c r="G44" s="7">
        <v>1.1885751E-2</v>
      </c>
      <c r="H44" s="51"/>
    </row>
    <row r="45" spans="1:8" ht="29.1" customHeight="1" x14ac:dyDescent="0.2">
      <c r="A45" s="3">
        <v>39</v>
      </c>
      <c r="B45" s="4" t="s">
        <v>423</v>
      </c>
      <c r="C45" s="4" t="s">
        <v>424</v>
      </c>
      <c r="D45" s="4" t="s">
        <v>318</v>
      </c>
      <c r="E45" s="5">
        <v>9975</v>
      </c>
      <c r="F45" s="6">
        <v>41.540887499999997</v>
      </c>
      <c r="G45" s="7">
        <v>1.1855212E-2</v>
      </c>
      <c r="H45" s="51"/>
    </row>
    <row r="46" spans="1:8" ht="29.1" customHeight="1" x14ac:dyDescent="0.2">
      <c r="A46" s="3">
        <v>40</v>
      </c>
      <c r="B46" s="4" t="s">
        <v>291</v>
      </c>
      <c r="C46" s="4" t="s">
        <v>292</v>
      </c>
      <c r="D46" s="4" t="s">
        <v>184</v>
      </c>
      <c r="E46" s="5">
        <v>5263</v>
      </c>
      <c r="F46" s="6">
        <v>39.533024500000003</v>
      </c>
      <c r="G46" s="7">
        <v>1.1282195E-2</v>
      </c>
      <c r="H46" s="51"/>
    </row>
    <row r="47" spans="1:8" ht="17.100000000000001" customHeight="1" x14ac:dyDescent="0.2">
      <c r="A47" s="3">
        <v>41</v>
      </c>
      <c r="B47" s="4" t="s">
        <v>450</v>
      </c>
      <c r="C47" s="4" t="s">
        <v>451</v>
      </c>
      <c r="D47" s="4" t="s">
        <v>104</v>
      </c>
      <c r="E47" s="5">
        <v>12795</v>
      </c>
      <c r="F47" s="6">
        <v>38.384999999999998</v>
      </c>
      <c r="G47" s="7">
        <v>1.0954564E-2</v>
      </c>
      <c r="H47" s="51"/>
    </row>
    <row r="48" spans="1:8" ht="17.100000000000001" customHeight="1" x14ac:dyDescent="0.2">
      <c r="A48" s="3">
        <v>42</v>
      </c>
      <c r="B48" s="4" t="s">
        <v>425</v>
      </c>
      <c r="C48" s="4" t="s">
        <v>426</v>
      </c>
      <c r="D48" s="4" t="s">
        <v>13</v>
      </c>
      <c r="E48" s="5">
        <v>48779</v>
      </c>
      <c r="F48" s="6">
        <v>38.145178000000001</v>
      </c>
      <c r="G48" s="7">
        <v>1.0886122E-2</v>
      </c>
      <c r="H48" s="51"/>
    </row>
    <row r="49" spans="1:8" ht="17.100000000000001" customHeight="1" x14ac:dyDescent="0.2">
      <c r="A49" s="3">
        <v>43</v>
      </c>
      <c r="B49" s="4" t="s">
        <v>436</v>
      </c>
      <c r="C49" s="4" t="s">
        <v>437</v>
      </c>
      <c r="D49" s="4" t="s">
        <v>72</v>
      </c>
      <c r="E49" s="5">
        <v>5781</v>
      </c>
      <c r="F49" s="6">
        <v>36.862546500000001</v>
      </c>
      <c r="G49" s="7">
        <v>1.0520076999999999E-2</v>
      </c>
      <c r="H49" s="51"/>
    </row>
    <row r="50" spans="1:8" ht="29.1" customHeight="1" x14ac:dyDescent="0.2">
      <c r="A50" s="3">
        <v>44</v>
      </c>
      <c r="B50" s="4" t="s">
        <v>494</v>
      </c>
      <c r="C50" s="4" t="s">
        <v>495</v>
      </c>
      <c r="D50" s="4" t="s">
        <v>75</v>
      </c>
      <c r="E50" s="5">
        <v>11833</v>
      </c>
      <c r="F50" s="6">
        <v>35.706077499999999</v>
      </c>
      <c r="G50" s="7">
        <v>1.0190036E-2</v>
      </c>
      <c r="H50" s="51"/>
    </row>
    <row r="51" spans="1:8" ht="29.1" customHeight="1" x14ac:dyDescent="0.2">
      <c r="A51" s="3">
        <v>45</v>
      </c>
      <c r="B51" s="4" t="s">
        <v>419</v>
      </c>
      <c r="C51" s="4" t="s">
        <v>420</v>
      </c>
      <c r="D51" s="4" t="s">
        <v>203</v>
      </c>
      <c r="E51" s="5">
        <v>1825</v>
      </c>
      <c r="F51" s="6">
        <v>35.036349999999999</v>
      </c>
      <c r="G51" s="7">
        <v>9.9989050000000006E-3</v>
      </c>
      <c r="H51" s="51"/>
    </row>
    <row r="52" spans="1:8" ht="29.1" customHeight="1" x14ac:dyDescent="0.2">
      <c r="A52" s="3">
        <v>46</v>
      </c>
      <c r="B52" s="4" t="s">
        <v>457</v>
      </c>
      <c r="C52" s="4" t="s">
        <v>458</v>
      </c>
      <c r="D52" s="4" t="s">
        <v>367</v>
      </c>
      <c r="E52" s="5">
        <v>5842</v>
      </c>
      <c r="F52" s="6">
        <v>34.920555</v>
      </c>
      <c r="G52" s="7">
        <v>9.9658579999999993E-3</v>
      </c>
      <c r="H52" s="51"/>
    </row>
    <row r="53" spans="1:8" ht="17.100000000000001" customHeight="1" x14ac:dyDescent="0.2">
      <c r="A53" s="3">
        <v>47</v>
      </c>
      <c r="B53" s="4" t="s">
        <v>329</v>
      </c>
      <c r="C53" s="4" t="s">
        <v>330</v>
      </c>
      <c r="D53" s="4" t="s">
        <v>36</v>
      </c>
      <c r="E53" s="5">
        <v>13896</v>
      </c>
      <c r="F53" s="6">
        <v>32.752872000000004</v>
      </c>
      <c r="G53" s="7">
        <v>9.3472309999999992E-3</v>
      </c>
      <c r="H53" s="51"/>
    </row>
    <row r="54" spans="1:8" ht="29.1" customHeight="1" x14ac:dyDescent="0.2">
      <c r="A54" s="3">
        <v>48</v>
      </c>
      <c r="B54" s="4" t="s">
        <v>438</v>
      </c>
      <c r="C54" s="4" t="s">
        <v>439</v>
      </c>
      <c r="D54" s="4" t="s">
        <v>104</v>
      </c>
      <c r="E54" s="5">
        <v>2285</v>
      </c>
      <c r="F54" s="6">
        <v>31.754645</v>
      </c>
      <c r="G54" s="7">
        <v>9.0623500000000003E-3</v>
      </c>
      <c r="H54" s="51"/>
    </row>
    <row r="55" spans="1:8" ht="17.100000000000001" customHeight="1" x14ac:dyDescent="0.2">
      <c r="A55" s="3">
        <v>49</v>
      </c>
      <c r="B55" s="4" t="s">
        <v>496</v>
      </c>
      <c r="C55" s="4" t="s">
        <v>497</v>
      </c>
      <c r="D55" s="4" t="s">
        <v>232</v>
      </c>
      <c r="E55" s="5">
        <v>10387</v>
      </c>
      <c r="F55" s="6">
        <v>27.577484999999999</v>
      </c>
      <c r="G55" s="7">
        <v>7.8702440000000002E-3</v>
      </c>
      <c r="H55" s="51"/>
    </row>
    <row r="56" spans="1:8" ht="17.100000000000001" customHeight="1" x14ac:dyDescent="0.2">
      <c r="A56" s="3">
        <v>50</v>
      </c>
      <c r="B56" s="4" t="s">
        <v>123</v>
      </c>
      <c r="C56" s="4" t="s">
        <v>124</v>
      </c>
      <c r="D56" s="4" t="s">
        <v>104</v>
      </c>
      <c r="E56" s="5">
        <v>975</v>
      </c>
      <c r="F56" s="6">
        <v>23.046074999999998</v>
      </c>
      <c r="G56" s="7">
        <v>6.5770409999999996E-3</v>
      </c>
      <c r="H56" s="51"/>
    </row>
    <row r="57" spans="1:8" ht="29.1" customHeight="1" x14ac:dyDescent="0.2">
      <c r="A57" s="3">
        <v>51</v>
      </c>
      <c r="B57" s="4" t="s">
        <v>446</v>
      </c>
      <c r="C57" s="4" t="s">
        <v>447</v>
      </c>
      <c r="D57" s="4" t="s">
        <v>203</v>
      </c>
      <c r="E57" s="5">
        <v>546</v>
      </c>
      <c r="F57" s="6">
        <v>22.423946999999998</v>
      </c>
      <c r="G57" s="7">
        <v>6.3994940000000004E-3</v>
      </c>
      <c r="H57" s="51"/>
    </row>
    <row r="58" spans="1:8" ht="17.100000000000001" customHeight="1" x14ac:dyDescent="0.2">
      <c r="A58" s="3">
        <v>52</v>
      </c>
      <c r="B58" s="4" t="s">
        <v>454</v>
      </c>
      <c r="C58" s="4" t="s">
        <v>455</v>
      </c>
      <c r="D58" s="4" t="s">
        <v>16</v>
      </c>
      <c r="E58" s="5">
        <v>9321</v>
      </c>
      <c r="F58" s="6">
        <v>20.753206500000001</v>
      </c>
      <c r="G58" s="7">
        <v>5.9226870000000003E-3</v>
      </c>
      <c r="H58" s="51"/>
    </row>
    <row r="59" spans="1:8" ht="17.100000000000001" customHeight="1" x14ac:dyDescent="0.2">
      <c r="A59" s="3">
        <v>53</v>
      </c>
      <c r="B59" s="4" t="s">
        <v>444</v>
      </c>
      <c r="C59" s="4" t="s">
        <v>445</v>
      </c>
      <c r="D59" s="4" t="s">
        <v>31</v>
      </c>
      <c r="E59" s="5">
        <v>2302</v>
      </c>
      <c r="F59" s="6">
        <v>18.382621</v>
      </c>
      <c r="G59" s="7">
        <v>5.2461540000000003E-3</v>
      </c>
      <c r="H59" s="51"/>
    </row>
    <row r="60" spans="1:8" ht="17.100000000000001" customHeight="1" x14ac:dyDescent="0.2">
      <c r="A60" s="3">
        <v>54</v>
      </c>
      <c r="B60" s="4" t="s">
        <v>340</v>
      </c>
      <c r="C60" s="4" t="s">
        <v>341</v>
      </c>
      <c r="D60" s="4" t="s">
        <v>92</v>
      </c>
      <c r="E60" s="5">
        <v>22625</v>
      </c>
      <c r="F60" s="6">
        <v>16.878250000000001</v>
      </c>
      <c r="G60" s="7">
        <v>4.8168259999999997E-3</v>
      </c>
      <c r="H60" s="51"/>
    </row>
    <row r="61" spans="1:8" ht="29.1" customHeight="1" x14ac:dyDescent="0.2">
      <c r="A61" s="3">
        <v>55</v>
      </c>
      <c r="B61" s="4" t="s">
        <v>463</v>
      </c>
      <c r="C61" s="4" t="s">
        <v>464</v>
      </c>
      <c r="D61" s="4" t="s">
        <v>184</v>
      </c>
      <c r="E61" s="5">
        <v>1792</v>
      </c>
      <c r="F61" s="6">
        <v>13.258112000000001</v>
      </c>
      <c r="G61" s="7">
        <v>3.783687E-3</v>
      </c>
      <c r="H61" s="51"/>
    </row>
    <row r="62" spans="1:8" ht="29.1" customHeight="1" x14ac:dyDescent="0.2">
      <c r="A62" s="3">
        <v>56</v>
      </c>
      <c r="B62" s="4" t="s">
        <v>448</v>
      </c>
      <c r="C62" s="4" t="s">
        <v>449</v>
      </c>
      <c r="D62" s="4" t="s">
        <v>203</v>
      </c>
      <c r="E62" s="5">
        <v>1809</v>
      </c>
      <c r="F62" s="6">
        <v>4.2357734999999996</v>
      </c>
      <c r="G62" s="7">
        <v>1.2088330000000001E-3</v>
      </c>
      <c r="H62" s="51"/>
    </row>
    <row r="63" spans="1:8" ht="14.1" customHeight="1" x14ac:dyDescent="0.2">
      <c r="A63" s="1"/>
      <c r="B63" s="1"/>
      <c r="C63" s="2" t="s">
        <v>129</v>
      </c>
      <c r="D63" s="1"/>
      <c r="E63" s="1" t="s">
        <v>130</v>
      </c>
      <c r="F63" s="9">
        <v>3332.3785855000001</v>
      </c>
      <c r="G63" s="10">
        <v>0.95101616899999997</v>
      </c>
      <c r="H63" s="51"/>
    </row>
    <row r="64" spans="1:8" ht="14.1" customHeight="1" x14ac:dyDescent="0.2">
      <c r="A64" s="1"/>
      <c r="B64" s="1"/>
      <c r="C64" s="11"/>
      <c r="D64" s="1"/>
      <c r="E64" s="1"/>
      <c r="F64" s="12"/>
      <c r="G64" s="12"/>
      <c r="H64" s="51"/>
    </row>
    <row r="65" spans="1:8" ht="14.1" customHeight="1" x14ac:dyDescent="0.2">
      <c r="A65" s="1"/>
      <c r="B65" s="1"/>
      <c r="C65" s="2" t="s">
        <v>131</v>
      </c>
      <c r="D65" s="1"/>
      <c r="E65" s="1"/>
      <c r="F65" s="1"/>
      <c r="G65" s="1"/>
      <c r="H65" s="51"/>
    </row>
    <row r="66" spans="1:8" ht="14.1" customHeight="1" x14ac:dyDescent="0.2">
      <c r="A66" s="1"/>
      <c r="B66" s="1"/>
      <c r="C66" s="2" t="s">
        <v>129</v>
      </c>
      <c r="D66" s="1"/>
      <c r="E66" s="1" t="s">
        <v>130</v>
      </c>
      <c r="F66" s="13">
        <v>0</v>
      </c>
      <c r="G66" s="14">
        <v>0</v>
      </c>
      <c r="H66" s="51"/>
    </row>
    <row r="67" spans="1:8" ht="14.1" customHeight="1" x14ac:dyDescent="0.2">
      <c r="A67" s="1"/>
      <c r="B67" s="1"/>
      <c r="C67" s="11"/>
      <c r="D67" s="1"/>
      <c r="E67" s="1"/>
      <c r="F67" s="12"/>
      <c r="G67" s="12"/>
      <c r="H67" s="51"/>
    </row>
    <row r="68" spans="1:8" ht="14.1" customHeight="1" x14ac:dyDescent="0.2">
      <c r="A68" s="1"/>
      <c r="B68" s="1"/>
      <c r="C68" s="2" t="s">
        <v>132</v>
      </c>
      <c r="D68" s="1"/>
      <c r="E68" s="1"/>
      <c r="F68" s="1"/>
      <c r="G68" s="1"/>
      <c r="H68" s="51"/>
    </row>
    <row r="69" spans="1:8" ht="14.1" customHeight="1" x14ac:dyDescent="0.2">
      <c r="A69" s="1"/>
      <c r="B69" s="1"/>
      <c r="C69" s="2" t="s">
        <v>129</v>
      </c>
      <c r="D69" s="1"/>
      <c r="E69" s="1" t="s">
        <v>130</v>
      </c>
      <c r="F69" s="13">
        <v>0</v>
      </c>
      <c r="G69" s="14">
        <v>0</v>
      </c>
      <c r="H69" s="51"/>
    </row>
    <row r="70" spans="1:8" ht="14.1" customHeight="1" x14ac:dyDescent="0.2">
      <c r="A70" s="1"/>
      <c r="B70" s="1"/>
      <c r="C70" s="11"/>
      <c r="D70" s="1"/>
      <c r="E70" s="1"/>
      <c r="F70" s="12"/>
      <c r="G70" s="12"/>
      <c r="H70" s="51"/>
    </row>
    <row r="71" spans="1:8" ht="14.1" customHeight="1" x14ac:dyDescent="0.2">
      <c r="A71" s="1"/>
      <c r="B71" s="1"/>
      <c r="C71" s="2" t="s">
        <v>133</v>
      </c>
      <c r="D71" s="1"/>
      <c r="E71" s="1"/>
      <c r="F71" s="1"/>
      <c r="G71" s="1"/>
      <c r="H71" s="51"/>
    </row>
    <row r="72" spans="1:8" ht="14.1" customHeight="1" x14ac:dyDescent="0.2">
      <c r="A72" s="1"/>
      <c r="B72" s="1"/>
      <c r="C72" s="2" t="s">
        <v>129</v>
      </c>
      <c r="D72" s="1"/>
      <c r="E72" s="1" t="s">
        <v>130</v>
      </c>
      <c r="F72" s="13">
        <v>0</v>
      </c>
      <c r="G72" s="14">
        <v>0</v>
      </c>
      <c r="H72" s="51"/>
    </row>
    <row r="73" spans="1:8" ht="14.1" customHeight="1" x14ac:dyDescent="0.2">
      <c r="A73" s="1"/>
      <c r="B73" s="1"/>
      <c r="C73" s="11"/>
      <c r="D73" s="1"/>
      <c r="E73" s="1"/>
      <c r="F73" s="12"/>
      <c r="G73" s="12"/>
      <c r="H73" s="51"/>
    </row>
    <row r="74" spans="1:8" ht="14.1" customHeight="1" x14ac:dyDescent="0.2">
      <c r="A74" s="1"/>
      <c r="B74" s="1"/>
      <c r="C74" s="2" t="s">
        <v>134</v>
      </c>
      <c r="D74" s="1"/>
      <c r="E74" s="1"/>
      <c r="F74" s="12"/>
      <c r="G74" s="12"/>
      <c r="H74" s="51"/>
    </row>
    <row r="75" spans="1:8" ht="14.1" customHeight="1" x14ac:dyDescent="0.2">
      <c r="A75" s="1"/>
      <c r="B75" s="1"/>
      <c r="C75" s="2" t="s">
        <v>129</v>
      </c>
      <c r="D75" s="1"/>
      <c r="E75" s="1" t="s">
        <v>130</v>
      </c>
      <c r="F75" s="13">
        <v>0</v>
      </c>
      <c r="G75" s="14">
        <v>0</v>
      </c>
      <c r="H75" s="51"/>
    </row>
    <row r="76" spans="1:8" ht="14.1" customHeight="1" x14ac:dyDescent="0.2">
      <c r="A76" s="1"/>
      <c r="B76" s="1"/>
      <c r="C76" s="11"/>
      <c r="D76" s="1"/>
      <c r="E76" s="1"/>
      <c r="F76" s="12"/>
      <c r="G76" s="12"/>
      <c r="H76" s="51"/>
    </row>
    <row r="77" spans="1:8" ht="14.1" customHeight="1" x14ac:dyDescent="0.2">
      <c r="A77" s="1"/>
      <c r="B77" s="1"/>
      <c r="C77" s="2" t="s">
        <v>135</v>
      </c>
      <c r="D77" s="1"/>
      <c r="E77" s="1"/>
      <c r="F77" s="12"/>
      <c r="G77" s="12"/>
      <c r="H77" s="51"/>
    </row>
    <row r="78" spans="1:8" ht="14.1" customHeight="1" x14ac:dyDescent="0.2">
      <c r="A78" s="1"/>
      <c r="B78" s="1"/>
      <c r="C78" s="2" t="s">
        <v>129</v>
      </c>
      <c r="D78" s="1"/>
      <c r="E78" s="1" t="s">
        <v>130</v>
      </c>
      <c r="F78" s="13">
        <v>0</v>
      </c>
      <c r="G78" s="14">
        <v>0</v>
      </c>
      <c r="H78" s="51"/>
    </row>
    <row r="79" spans="1:8" ht="14.1" customHeight="1" x14ac:dyDescent="0.2">
      <c r="A79" s="1"/>
      <c r="B79" s="1"/>
      <c r="C79" s="11"/>
      <c r="D79" s="1"/>
      <c r="E79" s="1"/>
      <c r="F79" s="12"/>
      <c r="G79" s="12"/>
      <c r="H79" s="51"/>
    </row>
    <row r="80" spans="1:8" ht="18" customHeight="1" x14ac:dyDescent="0.2">
      <c r="A80" s="1"/>
      <c r="B80" s="1"/>
      <c r="C80" s="2" t="s">
        <v>136</v>
      </c>
      <c r="D80" s="1"/>
      <c r="E80" s="1"/>
      <c r="F80" s="9">
        <v>3332.3785855000001</v>
      </c>
      <c r="G80" s="10">
        <v>0.95101616899999997</v>
      </c>
      <c r="H80" s="51"/>
    </row>
    <row r="81" spans="1:8" ht="14.1" customHeight="1" x14ac:dyDescent="0.2">
      <c r="A81" s="1"/>
      <c r="B81" s="1"/>
      <c r="C81" s="11"/>
      <c r="D81" s="1"/>
      <c r="E81" s="1"/>
      <c r="F81" s="12"/>
      <c r="G81" s="12"/>
      <c r="H81" s="51"/>
    </row>
    <row r="82" spans="1:8" ht="14.1" customHeight="1" x14ac:dyDescent="0.2">
      <c r="A82" s="1"/>
      <c r="B82" s="1"/>
      <c r="C82" s="2" t="s">
        <v>137</v>
      </c>
      <c r="D82" s="1"/>
      <c r="E82" s="1"/>
      <c r="F82" s="12"/>
      <c r="G82" s="12"/>
      <c r="H82" s="51"/>
    </row>
    <row r="83" spans="1:8" ht="24" customHeight="1" x14ac:dyDescent="0.2">
      <c r="A83" s="1"/>
      <c r="B83" s="1"/>
      <c r="C83" s="2" t="s">
        <v>10</v>
      </c>
      <c r="D83" s="1"/>
      <c r="E83" s="1"/>
      <c r="F83" s="12"/>
      <c r="G83" s="12"/>
      <c r="H83" s="51"/>
    </row>
    <row r="84" spans="1:8" ht="14.1" customHeight="1" x14ac:dyDescent="0.2">
      <c r="A84" s="1"/>
      <c r="B84" s="1"/>
      <c r="C84" s="2" t="s">
        <v>129</v>
      </c>
      <c r="D84" s="1"/>
      <c r="E84" s="1" t="s">
        <v>130</v>
      </c>
      <c r="F84" s="13">
        <v>0</v>
      </c>
      <c r="G84" s="14">
        <v>0</v>
      </c>
      <c r="H84" s="51"/>
    </row>
    <row r="85" spans="1:8" ht="14.1" customHeight="1" x14ac:dyDescent="0.2">
      <c r="A85" s="1"/>
      <c r="B85" s="1"/>
      <c r="C85" s="11"/>
      <c r="D85" s="1"/>
      <c r="E85" s="1"/>
      <c r="F85" s="12"/>
      <c r="G85" s="12"/>
      <c r="H85" s="51"/>
    </row>
    <row r="86" spans="1:8" ht="14.1" customHeight="1" x14ac:dyDescent="0.2">
      <c r="A86" s="1"/>
      <c r="B86" s="1"/>
      <c r="C86" s="2" t="s">
        <v>138</v>
      </c>
      <c r="D86" s="1"/>
      <c r="E86" s="1"/>
      <c r="F86" s="1"/>
      <c r="G86" s="1"/>
      <c r="H86" s="51"/>
    </row>
    <row r="87" spans="1:8" ht="14.1" customHeight="1" x14ac:dyDescent="0.2">
      <c r="A87" s="1"/>
      <c r="B87" s="1"/>
      <c r="C87" s="2" t="s">
        <v>129</v>
      </c>
      <c r="D87" s="1"/>
      <c r="E87" s="1" t="s">
        <v>130</v>
      </c>
      <c r="F87" s="13">
        <v>0</v>
      </c>
      <c r="G87" s="14">
        <v>0</v>
      </c>
      <c r="H87" s="51"/>
    </row>
    <row r="88" spans="1:8" ht="14.1" customHeight="1" x14ac:dyDescent="0.2">
      <c r="A88" s="1"/>
      <c r="B88" s="1"/>
      <c r="C88" s="11"/>
      <c r="D88" s="1"/>
      <c r="E88" s="1"/>
      <c r="F88" s="12"/>
      <c r="G88" s="12"/>
      <c r="H88" s="51"/>
    </row>
    <row r="89" spans="1:8" ht="14.1" customHeight="1" x14ac:dyDescent="0.2">
      <c r="A89" s="1"/>
      <c r="B89" s="1"/>
      <c r="C89" s="2" t="s">
        <v>139</v>
      </c>
      <c r="D89" s="1"/>
      <c r="E89" s="1"/>
      <c r="F89" s="1"/>
      <c r="G89" s="1"/>
      <c r="H89" s="51"/>
    </row>
    <row r="90" spans="1:8" ht="14.1" customHeight="1" x14ac:dyDescent="0.2">
      <c r="A90" s="1"/>
      <c r="B90" s="1"/>
      <c r="C90" s="2" t="s">
        <v>129</v>
      </c>
      <c r="D90" s="1"/>
      <c r="E90" s="1" t="s">
        <v>130</v>
      </c>
      <c r="F90" s="13">
        <v>0</v>
      </c>
      <c r="G90" s="14">
        <v>0</v>
      </c>
      <c r="H90" s="51"/>
    </row>
    <row r="91" spans="1:8" ht="14.1" customHeight="1" x14ac:dyDescent="0.2">
      <c r="A91" s="1"/>
      <c r="B91" s="1"/>
      <c r="C91" s="11"/>
      <c r="D91" s="1"/>
      <c r="E91" s="1"/>
      <c r="F91" s="12"/>
      <c r="G91" s="12"/>
      <c r="H91" s="51"/>
    </row>
    <row r="92" spans="1:8" ht="14.1" customHeight="1" x14ac:dyDescent="0.2">
      <c r="A92" s="1"/>
      <c r="B92" s="1"/>
      <c r="C92" s="2" t="s">
        <v>140</v>
      </c>
      <c r="D92" s="1"/>
      <c r="E92" s="1"/>
      <c r="F92" s="12"/>
      <c r="G92" s="12"/>
      <c r="H92" s="51"/>
    </row>
    <row r="93" spans="1:8" ht="14.1" customHeight="1" x14ac:dyDescent="0.2">
      <c r="A93" s="1"/>
      <c r="B93" s="1"/>
      <c r="C93" s="2" t="s">
        <v>129</v>
      </c>
      <c r="D93" s="1"/>
      <c r="E93" s="1" t="s">
        <v>130</v>
      </c>
      <c r="F93" s="13">
        <v>0</v>
      </c>
      <c r="G93" s="14">
        <v>0</v>
      </c>
      <c r="H93" s="51"/>
    </row>
    <row r="94" spans="1:8" ht="14.1" customHeight="1" x14ac:dyDescent="0.2">
      <c r="A94" s="1"/>
      <c r="B94" s="1"/>
      <c r="C94" s="11"/>
      <c r="D94" s="1"/>
      <c r="E94" s="1"/>
      <c r="F94" s="12"/>
      <c r="G94" s="12"/>
      <c r="H94" s="51"/>
    </row>
    <row r="95" spans="1:8" ht="14.1" customHeight="1" x14ac:dyDescent="0.2">
      <c r="A95" s="1"/>
      <c r="B95" s="1"/>
      <c r="C95" s="2" t="s">
        <v>141</v>
      </c>
      <c r="D95" s="1"/>
      <c r="E95" s="1"/>
      <c r="F95" s="9">
        <v>0</v>
      </c>
      <c r="G95" s="10">
        <v>0</v>
      </c>
      <c r="H95" s="51"/>
    </row>
    <row r="96" spans="1:8" ht="14.1" customHeight="1" x14ac:dyDescent="0.2">
      <c r="A96" s="1"/>
      <c r="B96" s="1"/>
      <c r="C96" s="11"/>
      <c r="D96" s="1"/>
      <c r="E96" s="1"/>
      <c r="F96" s="12"/>
      <c r="G96" s="12"/>
      <c r="H96" s="51"/>
    </row>
    <row r="97" spans="1:8" ht="14.1" customHeight="1" x14ac:dyDescent="0.2">
      <c r="A97" s="1"/>
      <c r="B97" s="1"/>
      <c r="C97" s="2" t="s">
        <v>142</v>
      </c>
      <c r="D97" s="1"/>
      <c r="E97" s="1"/>
      <c r="F97" s="12"/>
      <c r="G97" s="12"/>
      <c r="H97" s="51"/>
    </row>
    <row r="98" spans="1:8" ht="14.1" customHeight="1" x14ac:dyDescent="0.2">
      <c r="A98" s="1"/>
      <c r="B98" s="1"/>
      <c r="C98" s="2" t="s">
        <v>143</v>
      </c>
      <c r="D98" s="1"/>
      <c r="E98" s="1"/>
      <c r="F98" s="12"/>
      <c r="G98" s="12"/>
      <c r="H98" s="51"/>
    </row>
    <row r="99" spans="1:8" ht="14.1" customHeight="1" x14ac:dyDescent="0.2">
      <c r="A99" s="1"/>
      <c r="B99" s="1"/>
      <c r="C99" s="2" t="s">
        <v>129</v>
      </c>
      <c r="D99" s="1"/>
      <c r="E99" s="1" t="s">
        <v>130</v>
      </c>
      <c r="F99" s="13">
        <v>0</v>
      </c>
      <c r="G99" s="14">
        <v>0</v>
      </c>
      <c r="H99" s="51"/>
    </row>
    <row r="100" spans="1:8" ht="14.1" customHeight="1" x14ac:dyDescent="0.2">
      <c r="A100" s="1"/>
      <c r="B100" s="1"/>
      <c r="C100" s="11"/>
      <c r="D100" s="1"/>
      <c r="E100" s="1"/>
      <c r="F100" s="12"/>
      <c r="G100" s="12"/>
      <c r="H100" s="51"/>
    </row>
    <row r="101" spans="1:8" ht="14.1" customHeight="1" x14ac:dyDescent="0.2">
      <c r="A101" s="1"/>
      <c r="B101" s="1"/>
      <c r="C101" s="2" t="s">
        <v>144</v>
      </c>
      <c r="D101" s="1"/>
      <c r="E101" s="1"/>
      <c r="F101" s="12"/>
      <c r="G101" s="12"/>
      <c r="H101" s="51"/>
    </row>
    <row r="102" spans="1:8" ht="14.1" customHeight="1" x14ac:dyDescent="0.2">
      <c r="A102" s="1"/>
      <c r="B102" s="1"/>
      <c r="C102" s="2" t="s">
        <v>129</v>
      </c>
      <c r="D102" s="1"/>
      <c r="E102" s="1" t="s">
        <v>130</v>
      </c>
      <c r="F102" s="13">
        <v>0</v>
      </c>
      <c r="G102" s="14">
        <v>0</v>
      </c>
      <c r="H102" s="51"/>
    </row>
    <row r="103" spans="1:8" ht="14.1" customHeight="1" x14ac:dyDescent="0.2">
      <c r="A103" s="1"/>
      <c r="B103" s="1"/>
      <c r="C103" s="11"/>
      <c r="D103" s="1"/>
      <c r="E103" s="1"/>
      <c r="F103" s="12"/>
      <c r="G103" s="12"/>
      <c r="H103" s="51"/>
    </row>
    <row r="104" spans="1:8" ht="14.1" customHeight="1" x14ac:dyDescent="0.2">
      <c r="A104" s="1"/>
      <c r="B104" s="1"/>
      <c r="C104" s="2" t="s">
        <v>145</v>
      </c>
      <c r="D104" s="1"/>
      <c r="E104" s="1"/>
      <c r="F104" s="12"/>
      <c r="G104" s="12"/>
      <c r="H104" s="51"/>
    </row>
    <row r="105" spans="1:8" ht="14.1" customHeight="1" x14ac:dyDescent="0.2">
      <c r="A105" s="1"/>
      <c r="B105" s="1"/>
      <c r="C105" s="2" t="s">
        <v>129</v>
      </c>
      <c r="D105" s="1"/>
      <c r="E105" s="1" t="s">
        <v>130</v>
      </c>
      <c r="F105" s="13">
        <v>0</v>
      </c>
      <c r="G105" s="14">
        <v>0</v>
      </c>
      <c r="H105" s="51"/>
    </row>
    <row r="106" spans="1:8" ht="14.1" customHeight="1" x14ac:dyDescent="0.2">
      <c r="A106" s="1"/>
      <c r="B106" s="1"/>
      <c r="C106" s="11"/>
      <c r="D106" s="1"/>
      <c r="E106" s="1"/>
      <c r="F106" s="12"/>
      <c r="G106" s="12"/>
      <c r="H106" s="51"/>
    </row>
    <row r="107" spans="1:8" ht="14.1" customHeight="1" x14ac:dyDescent="0.2">
      <c r="A107" s="1"/>
      <c r="B107" s="1"/>
      <c r="C107" s="2" t="s">
        <v>146</v>
      </c>
      <c r="D107" s="1"/>
      <c r="E107" s="1"/>
      <c r="F107" s="12"/>
      <c r="G107" s="12"/>
      <c r="H107" s="51"/>
    </row>
    <row r="108" spans="1:8" ht="17.100000000000001" customHeight="1" x14ac:dyDescent="0.2">
      <c r="A108" s="3">
        <v>1</v>
      </c>
      <c r="B108" s="4"/>
      <c r="C108" s="4" t="s">
        <v>147</v>
      </c>
      <c r="D108" s="4"/>
      <c r="E108" s="8"/>
      <c r="F108" s="6">
        <v>181.50123529999999</v>
      </c>
      <c r="G108" s="7">
        <v>5.1798019000000001E-2</v>
      </c>
      <c r="H108" s="51">
        <v>6.1245112103248278</v>
      </c>
    </row>
    <row r="109" spans="1:8" ht="14.1" customHeight="1" x14ac:dyDescent="0.2">
      <c r="A109" s="1"/>
      <c r="B109" s="1"/>
      <c r="C109" s="2" t="s">
        <v>129</v>
      </c>
      <c r="D109" s="1"/>
      <c r="E109" s="1" t="s">
        <v>130</v>
      </c>
      <c r="F109" s="9">
        <v>181.50123529999999</v>
      </c>
      <c r="G109" s="10">
        <v>5.1798019000000001E-2</v>
      </c>
      <c r="H109" s="51"/>
    </row>
    <row r="110" spans="1:8" ht="14.1" customHeight="1" x14ac:dyDescent="0.2">
      <c r="A110" s="1"/>
      <c r="B110" s="1"/>
      <c r="C110" s="11"/>
      <c r="D110" s="1"/>
      <c r="E110" s="1"/>
      <c r="F110" s="12"/>
      <c r="G110" s="12"/>
      <c r="H110" s="51"/>
    </row>
    <row r="111" spans="1:8" ht="14.1" customHeight="1" x14ac:dyDescent="0.2">
      <c r="A111" s="1"/>
      <c r="B111" s="1"/>
      <c r="C111" s="2" t="s">
        <v>148</v>
      </c>
      <c r="D111" s="1"/>
      <c r="E111" s="1"/>
      <c r="F111" s="9">
        <v>181.50123529999999</v>
      </c>
      <c r="G111" s="10">
        <v>5.1798019000000001E-2</v>
      </c>
      <c r="H111" s="51"/>
    </row>
    <row r="112" spans="1:8" ht="14.1" customHeight="1" x14ac:dyDescent="0.2">
      <c r="A112" s="1"/>
      <c r="B112" s="1"/>
      <c r="C112" s="12"/>
      <c r="D112" s="1"/>
      <c r="E112" s="1"/>
      <c r="F112" s="1"/>
      <c r="G112" s="1"/>
      <c r="H112" s="51"/>
    </row>
    <row r="113" spans="1:8" ht="14.1" customHeight="1" x14ac:dyDescent="0.2">
      <c r="A113" s="1"/>
      <c r="B113" s="1"/>
      <c r="C113" s="2" t="s">
        <v>149</v>
      </c>
      <c r="D113" s="1"/>
      <c r="E113" s="1"/>
      <c r="F113" s="1"/>
      <c r="G113" s="1"/>
      <c r="H113" s="51"/>
    </row>
    <row r="114" spans="1:8" ht="14.1" customHeight="1" x14ac:dyDescent="0.2">
      <c r="A114" s="1"/>
      <c r="B114" s="1"/>
      <c r="C114" s="2" t="s">
        <v>150</v>
      </c>
      <c r="D114" s="1"/>
      <c r="E114" s="1"/>
      <c r="F114" s="1"/>
      <c r="G114" s="1"/>
      <c r="H114" s="51"/>
    </row>
    <row r="115" spans="1:8" ht="14.1" customHeight="1" x14ac:dyDescent="0.2">
      <c r="A115" s="1"/>
      <c r="B115" s="1"/>
      <c r="C115" s="2" t="s">
        <v>129</v>
      </c>
      <c r="D115" s="1"/>
      <c r="E115" s="1" t="s">
        <v>130</v>
      </c>
      <c r="F115" s="13">
        <v>0</v>
      </c>
      <c r="G115" s="14">
        <v>0</v>
      </c>
      <c r="H115" s="51"/>
    </row>
    <row r="116" spans="1:8" ht="14.1" customHeight="1" x14ac:dyDescent="0.2">
      <c r="A116" s="1"/>
      <c r="B116" s="1"/>
      <c r="C116" s="11"/>
      <c r="D116" s="1"/>
      <c r="E116" s="1"/>
      <c r="F116" s="12"/>
      <c r="G116" s="12"/>
      <c r="H116" s="51"/>
    </row>
    <row r="117" spans="1:8" ht="14.1" customHeight="1" x14ac:dyDescent="0.2">
      <c r="A117" s="1"/>
      <c r="B117" s="1"/>
      <c r="C117" s="2" t="s">
        <v>151</v>
      </c>
      <c r="D117" s="1"/>
      <c r="E117" s="1"/>
      <c r="F117" s="1"/>
      <c r="G117" s="1"/>
      <c r="H117" s="51"/>
    </row>
    <row r="118" spans="1:8" ht="14.1" customHeight="1" x14ac:dyDescent="0.2">
      <c r="A118" s="1"/>
      <c r="B118" s="1"/>
      <c r="C118" s="2" t="s">
        <v>152</v>
      </c>
      <c r="D118" s="1"/>
      <c r="E118" s="1"/>
      <c r="F118" s="1"/>
      <c r="G118" s="1"/>
      <c r="H118" s="51"/>
    </row>
    <row r="119" spans="1:8" ht="14.1" customHeight="1" x14ac:dyDescent="0.2">
      <c r="A119" s="1"/>
      <c r="B119" s="1"/>
      <c r="C119" s="2" t="s">
        <v>129</v>
      </c>
      <c r="D119" s="1"/>
      <c r="E119" s="1" t="s">
        <v>130</v>
      </c>
      <c r="F119" s="13">
        <v>0</v>
      </c>
      <c r="G119" s="14">
        <v>0</v>
      </c>
      <c r="H119" s="51"/>
    </row>
    <row r="120" spans="1:8" ht="14.1" customHeight="1" x14ac:dyDescent="0.2">
      <c r="A120" s="1"/>
      <c r="B120" s="1"/>
      <c r="C120" s="11"/>
      <c r="D120" s="1"/>
      <c r="E120" s="1"/>
      <c r="F120" s="12"/>
      <c r="G120" s="12"/>
      <c r="H120" s="51"/>
    </row>
    <row r="121" spans="1:8" ht="14.1" customHeight="1" x14ac:dyDescent="0.2">
      <c r="A121" s="1"/>
      <c r="B121" s="1"/>
      <c r="C121" s="11"/>
      <c r="D121" s="1"/>
      <c r="E121" s="1"/>
      <c r="F121" s="12"/>
      <c r="G121" s="12"/>
      <c r="H121" s="51"/>
    </row>
    <row r="122" spans="1:8" ht="24" customHeight="1" x14ac:dyDescent="0.2">
      <c r="A122" s="1"/>
      <c r="B122" s="1"/>
      <c r="C122" s="2" t="s">
        <v>153</v>
      </c>
      <c r="D122" s="1"/>
      <c r="E122" s="1"/>
      <c r="F122" s="12"/>
      <c r="G122" s="12"/>
      <c r="H122" s="51"/>
    </row>
    <row r="123" spans="1:8" ht="14.1" customHeight="1" x14ac:dyDescent="0.2">
      <c r="A123" s="1"/>
      <c r="B123" s="1"/>
      <c r="C123" s="2" t="s">
        <v>129</v>
      </c>
      <c r="D123" s="1"/>
      <c r="E123" s="1" t="s">
        <v>130</v>
      </c>
      <c r="F123" s="13">
        <v>0</v>
      </c>
      <c r="G123" s="14">
        <v>0</v>
      </c>
      <c r="H123" s="51"/>
    </row>
    <row r="124" spans="1:8" ht="14.1" customHeight="1" x14ac:dyDescent="0.2">
      <c r="A124" s="1"/>
      <c r="B124" s="1"/>
      <c r="C124" s="11"/>
      <c r="D124" s="1"/>
      <c r="E124" s="1"/>
      <c r="F124" s="12"/>
      <c r="G124" s="12"/>
      <c r="H124" s="51"/>
    </row>
    <row r="125" spans="1:8" ht="14.1" customHeight="1" x14ac:dyDescent="0.2">
      <c r="A125" s="1"/>
      <c r="B125" s="4"/>
      <c r="C125" s="4"/>
      <c r="D125" s="2"/>
      <c r="E125" s="1"/>
      <c r="F125" s="4"/>
      <c r="G125" s="8"/>
      <c r="H125" s="51"/>
    </row>
    <row r="126" spans="1:8" ht="18" customHeight="1" x14ac:dyDescent="0.2">
      <c r="A126" s="8"/>
      <c r="B126" s="4"/>
      <c r="C126" s="4" t="s">
        <v>154</v>
      </c>
      <c r="D126" s="4"/>
      <c r="E126" s="8"/>
      <c r="F126" s="6">
        <v>-9.8609625899999998</v>
      </c>
      <c r="G126" s="7">
        <v>-2.8141870000000001E-3</v>
      </c>
      <c r="H126" s="51"/>
    </row>
    <row r="127" spans="1:8" ht="14.1" customHeight="1" x14ac:dyDescent="0.2">
      <c r="A127" s="11"/>
      <c r="B127" s="11"/>
      <c r="C127" s="2" t="s">
        <v>155</v>
      </c>
      <c r="D127" s="15"/>
      <c r="E127" s="15"/>
      <c r="F127" s="9">
        <v>3504.01885821</v>
      </c>
      <c r="G127" s="10">
        <v>1.0000000010000001</v>
      </c>
      <c r="H127" s="51"/>
    </row>
    <row r="128" spans="1:8" ht="14.1" customHeight="1" x14ac:dyDescent="0.2">
      <c r="A128" s="16"/>
      <c r="B128" s="16"/>
      <c r="C128" s="16"/>
      <c r="D128" s="17"/>
      <c r="E128" s="17"/>
      <c r="F128" s="17"/>
      <c r="G128" s="17"/>
    </row>
    <row r="129" spans="1:7" ht="14.1" customHeight="1" x14ac:dyDescent="0.2">
      <c r="A129" s="18"/>
      <c r="B129" s="327" t="s">
        <v>130</v>
      </c>
      <c r="C129" s="327"/>
      <c r="D129" s="327"/>
      <c r="E129" s="327"/>
      <c r="F129" s="327"/>
      <c r="G129" s="20"/>
    </row>
    <row r="130" spans="1:7" ht="14.1" customHeight="1" x14ac:dyDescent="0.2">
      <c r="A130" s="18"/>
      <c r="B130" s="327" t="s">
        <v>130</v>
      </c>
      <c r="C130" s="327"/>
      <c r="D130" s="327"/>
      <c r="E130" s="327"/>
      <c r="F130" s="327"/>
      <c r="G130" s="20"/>
    </row>
    <row r="131" spans="1:7" ht="14.1" customHeight="1" x14ac:dyDescent="0.2">
      <c r="A131" s="18"/>
      <c r="B131" s="18"/>
      <c r="C131" s="18"/>
      <c r="D131" s="20"/>
      <c r="E131" s="20"/>
      <c r="F131" s="20"/>
      <c r="G131" s="20"/>
    </row>
    <row r="132" spans="1:7" ht="14.1" customHeight="1" x14ac:dyDescent="0.2">
      <c r="A132" s="18"/>
      <c r="B132" s="325" t="s">
        <v>157</v>
      </c>
      <c r="C132" s="326"/>
      <c r="D132" s="12" t="s">
        <v>130</v>
      </c>
      <c r="E132" s="21"/>
      <c r="F132" s="20"/>
      <c r="G132" s="20"/>
    </row>
    <row r="133" spans="1:7" ht="29.1" customHeight="1" x14ac:dyDescent="0.2">
      <c r="A133" s="18"/>
      <c r="B133" s="318" t="s">
        <v>158</v>
      </c>
      <c r="C133" s="319"/>
      <c r="D133" s="2" t="s">
        <v>159</v>
      </c>
      <c r="E133" s="21"/>
      <c r="F133" s="20"/>
      <c r="G133" s="20"/>
    </row>
    <row r="134" spans="1:7" ht="17.100000000000001" customHeight="1" x14ac:dyDescent="0.2">
      <c r="A134" s="18"/>
      <c r="B134" s="318" t="s">
        <v>160</v>
      </c>
      <c r="C134" s="319"/>
      <c r="D134" s="2" t="s">
        <v>159</v>
      </c>
      <c r="E134" s="21"/>
      <c r="F134" s="20"/>
      <c r="G134" s="20"/>
    </row>
    <row r="135" spans="1:7" ht="17.100000000000001" customHeight="1" x14ac:dyDescent="0.2">
      <c r="A135" s="18"/>
      <c r="B135" s="318" t="s">
        <v>161</v>
      </c>
      <c r="C135" s="319"/>
      <c r="D135" s="12" t="s">
        <v>130</v>
      </c>
      <c r="E135" s="21"/>
      <c r="F135" s="20"/>
      <c r="G135" s="20"/>
    </row>
    <row r="136" spans="1:7" ht="24" customHeight="1" x14ac:dyDescent="0.2">
      <c r="A136" s="22"/>
      <c r="B136" s="23" t="s">
        <v>130</v>
      </c>
      <c r="C136" s="23" t="s">
        <v>162</v>
      </c>
      <c r="D136" s="23" t="s">
        <v>163</v>
      </c>
      <c r="E136" s="22"/>
      <c r="F136" s="22"/>
      <c r="G136" s="22"/>
    </row>
    <row r="137" spans="1:7" ht="18" customHeight="1" x14ac:dyDescent="0.2">
      <c r="A137" s="22"/>
      <c r="B137" s="23" t="s">
        <v>164</v>
      </c>
      <c r="C137" s="23" t="s">
        <v>165</v>
      </c>
      <c r="D137" s="23" t="s">
        <v>166</v>
      </c>
      <c r="E137" s="22"/>
      <c r="F137" s="22"/>
      <c r="G137" s="22"/>
    </row>
    <row r="138" spans="1:7" ht="17.100000000000001" customHeight="1" x14ac:dyDescent="0.2">
      <c r="A138" s="22"/>
      <c r="B138" s="4" t="s">
        <v>167</v>
      </c>
      <c r="C138" s="24">
        <v>16.491499999999998</v>
      </c>
      <c r="D138" s="24">
        <v>16.485700000000001</v>
      </c>
      <c r="E138" s="22"/>
      <c r="F138" s="19"/>
      <c r="G138" s="25"/>
    </row>
    <row r="139" spans="1:7" ht="17.100000000000001" customHeight="1" x14ac:dyDescent="0.2">
      <c r="A139" s="22"/>
      <c r="B139" s="4" t="s">
        <v>1067</v>
      </c>
      <c r="C139" s="24">
        <v>16.491499999999998</v>
      </c>
      <c r="D139" s="24">
        <v>16.485700000000001</v>
      </c>
      <c r="E139" s="22"/>
      <c r="F139" s="19"/>
      <c r="G139" s="25"/>
    </row>
    <row r="140" spans="1:7" ht="17.100000000000001" customHeight="1" x14ac:dyDescent="0.2">
      <c r="A140" s="22"/>
      <c r="B140" s="4" t="s">
        <v>168</v>
      </c>
      <c r="C140" s="24">
        <v>15.845700000000001</v>
      </c>
      <c r="D140" s="24">
        <v>15.8377</v>
      </c>
      <c r="E140" s="22"/>
      <c r="F140" s="19"/>
      <c r="G140" s="25"/>
    </row>
    <row r="141" spans="1:7" ht="17.100000000000001" customHeight="1" x14ac:dyDescent="0.2">
      <c r="A141" s="22"/>
      <c r="B141" s="4" t="s">
        <v>1068</v>
      </c>
      <c r="C141" s="24">
        <v>15.845599999999999</v>
      </c>
      <c r="D141" s="24">
        <v>15.8377</v>
      </c>
      <c r="E141" s="22"/>
      <c r="F141" s="19"/>
      <c r="G141" s="25"/>
    </row>
    <row r="142" spans="1:7" ht="14.1" customHeight="1" x14ac:dyDescent="0.2">
      <c r="A142" s="22"/>
      <c r="B142" s="22"/>
      <c r="C142" s="22"/>
      <c r="D142" s="22"/>
      <c r="E142" s="22"/>
      <c r="F142" s="22"/>
      <c r="G142" s="22"/>
    </row>
    <row r="143" spans="1:7" ht="17.100000000000001" customHeight="1" x14ac:dyDescent="0.2">
      <c r="A143" s="22"/>
      <c r="B143" s="318" t="s">
        <v>1069</v>
      </c>
      <c r="C143" s="319"/>
      <c r="D143" s="111" t="s">
        <v>159</v>
      </c>
      <c r="E143" s="22"/>
      <c r="F143" s="22"/>
      <c r="G143" s="22"/>
    </row>
    <row r="144" spans="1:7" ht="18" customHeight="1" x14ac:dyDescent="0.2">
      <c r="A144" s="22"/>
      <c r="B144" s="26"/>
      <c r="C144" s="26"/>
      <c r="D144" s="27"/>
      <c r="E144" s="22"/>
      <c r="F144" s="22"/>
      <c r="G144" s="22"/>
    </row>
    <row r="145" spans="1:14" ht="29.1" customHeight="1" x14ac:dyDescent="0.2">
      <c r="A145" s="22"/>
      <c r="B145" s="318" t="s">
        <v>169</v>
      </c>
      <c r="C145" s="319"/>
      <c r="D145" s="2" t="s">
        <v>159</v>
      </c>
      <c r="E145" s="22"/>
      <c r="F145" s="22"/>
      <c r="G145" s="22"/>
    </row>
    <row r="146" spans="1:14" ht="29.1" customHeight="1" x14ac:dyDescent="0.2">
      <c r="A146" s="22"/>
      <c r="B146" s="318" t="s">
        <v>170</v>
      </c>
      <c r="C146" s="319"/>
      <c r="D146" s="2" t="s">
        <v>159</v>
      </c>
      <c r="E146" s="22"/>
      <c r="F146" s="22"/>
      <c r="G146" s="22"/>
    </row>
    <row r="147" spans="1:14" ht="17.100000000000001" customHeight="1" x14ac:dyDescent="0.2">
      <c r="A147" s="22"/>
      <c r="B147" s="318" t="s">
        <v>171</v>
      </c>
      <c r="C147" s="319"/>
      <c r="D147" s="28">
        <v>0.15806042229631065</v>
      </c>
      <c r="E147" s="22"/>
      <c r="F147" s="19"/>
      <c r="G147" s="25"/>
    </row>
    <row r="148" spans="1:14" ht="17.100000000000001" customHeight="1" x14ac:dyDescent="0.2">
      <c r="A148" s="22"/>
      <c r="B148" s="318" t="s">
        <v>172</v>
      </c>
      <c r="C148" s="319"/>
      <c r="D148" s="2" t="s">
        <v>159</v>
      </c>
      <c r="E148" s="22"/>
      <c r="F148" s="22"/>
      <c r="G148" s="22"/>
    </row>
    <row r="158" spans="1:14" x14ac:dyDescent="0.2">
      <c r="J158" s="158"/>
      <c r="K158" s="158"/>
      <c r="L158" s="158"/>
      <c r="M158" s="158"/>
      <c r="N158" s="158"/>
    </row>
  </sheetData>
  <mergeCells count="15">
    <mergeCell ref="A1:H1"/>
    <mergeCell ref="A2:H2"/>
    <mergeCell ref="A3:H3"/>
    <mergeCell ref="J2:N2"/>
    <mergeCell ref="B147:C147"/>
    <mergeCell ref="B132:C132"/>
    <mergeCell ref="B129:F129"/>
    <mergeCell ref="B130:F130"/>
    <mergeCell ref="B148:C148"/>
    <mergeCell ref="B133:C133"/>
    <mergeCell ref="B134:C134"/>
    <mergeCell ref="B135:C135"/>
    <mergeCell ref="B143:C143"/>
    <mergeCell ref="B145:C145"/>
    <mergeCell ref="B146:C146"/>
  </mergeCells>
  <hyperlinks>
    <hyperlink ref="I1" location="Index!B22" display="Index" xr:uid="{99A76ACC-6C72-4F27-822A-75552C4A840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outlinePr summaryBelow="0" summaryRight="0"/>
  </sheetPr>
  <dimension ref="A1:N16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501</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401</v>
      </c>
      <c r="C7" s="4" t="s">
        <v>402</v>
      </c>
      <c r="D7" s="4" t="s">
        <v>223</v>
      </c>
      <c r="E7" s="5">
        <v>1100000</v>
      </c>
      <c r="F7" s="6">
        <v>7258.9</v>
      </c>
      <c r="G7" s="7">
        <v>3.5584914000000002E-2</v>
      </c>
      <c r="H7" s="51"/>
    </row>
    <row r="8" spans="1:14" ht="17.100000000000001" customHeight="1" x14ac:dyDescent="0.2">
      <c r="A8" s="3">
        <v>2</v>
      </c>
      <c r="B8" s="4" t="s">
        <v>29</v>
      </c>
      <c r="C8" s="4" t="s">
        <v>30</v>
      </c>
      <c r="D8" s="4" t="s">
        <v>31</v>
      </c>
      <c r="E8" s="5">
        <v>362000</v>
      </c>
      <c r="F8" s="6">
        <v>7232.9409999999998</v>
      </c>
      <c r="G8" s="7">
        <v>3.5457656999999997E-2</v>
      </c>
      <c r="H8" s="51"/>
    </row>
    <row r="9" spans="1:14" ht="17.100000000000001" customHeight="1" x14ac:dyDescent="0.2">
      <c r="A9" s="3">
        <v>3</v>
      </c>
      <c r="B9" s="4" t="s">
        <v>389</v>
      </c>
      <c r="C9" s="4" t="s">
        <v>390</v>
      </c>
      <c r="D9" s="4" t="s">
        <v>248</v>
      </c>
      <c r="E9" s="5">
        <v>824354</v>
      </c>
      <c r="F9" s="6">
        <v>5922.1591360000002</v>
      </c>
      <c r="G9" s="7">
        <v>2.9031881999999998E-2</v>
      </c>
      <c r="H9" s="51"/>
    </row>
    <row r="10" spans="1:14" ht="53.1" customHeight="1" x14ac:dyDescent="0.2">
      <c r="A10" s="3">
        <v>4</v>
      </c>
      <c r="B10" s="4" t="s">
        <v>43</v>
      </c>
      <c r="C10" s="4" t="s">
        <v>44</v>
      </c>
      <c r="D10" s="4" t="s">
        <v>45</v>
      </c>
      <c r="E10" s="5">
        <v>3440000</v>
      </c>
      <c r="F10" s="6">
        <v>5251.16</v>
      </c>
      <c r="G10" s="7">
        <v>2.5742478999999999E-2</v>
      </c>
      <c r="H10" s="51"/>
    </row>
    <row r="11" spans="1:14" ht="17.100000000000001" customHeight="1" x14ac:dyDescent="0.2">
      <c r="A11" s="3">
        <v>5</v>
      </c>
      <c r="B11" s="4" t="s">
        <v>391</v>
      </c>
      <c r="C11" s="4" t="s">
        <v>392</v>
      </c>
      <c r="D11" s="4" t="s">
        <v>97</v>
      </c>
      <c r="E11" s="5">
        <v>1087000</v>
      </c>
      <c r="F11" s="6">
        <v>5215.4260000000004</v>
      </c>
      <c r="G11" s="7">
        <v>2.5567302E-2</v>
      </c>
      <c r="H11" s="51"/>
      <c r="J11" s="157" t="s">
        <v>1099</v>
      </c>
    </row>
    <row r="12" spans="1:14" ht="17.100000000000001" customHeight="1" x14ac:dyDescent="0.2">
      <c r="A12" s="3">
        <v>6</v>
      </c>
      <c r="B12" s="4" t="s">
        <v>502</v>
      </c>
      <c r="C12" s="4" t="s">
        <v>503</v>
      </c>
      <c r="D12" s="4" t="s">
        <v>181</v>
      </c>
      <c r="E12" s="5">
        <v>475000</v>
      </c>
      <c r="F12" s="6">
        <v>4962.8</v>
      </c>
      <c r="G12" s="7">
        <v>2.4328867000000001E-2</v>
      </c>
      <c r="H12" s="51"/>
    </row>
    <row r="13" spans="1:14" ht="17.100000000000001" customHeight="1" x14ac:dyDescent="0.2">
      <c r="A13" s="3">
        <v>7</v>
      </c>
      <c r="B13" s="4" t="s">
        <v>82</v>
      </c>
      <c r="C13" s="4" t="s">
        <v>83</v>
      </c>
      <c r="D13" s="4" t="s">
        <v>31</v>
      </c>
      <c r="E13" s="5">
        <v>327000</v>
      </c>
      <c r="F13" s="6">
        <v>4726.1310000000003</v>
      </c>
      <c r="G13" s="7">
        <v>2.3168656999999999E-2</v>
      </c>
      <c r="H13" s="51"/>
    </row>
    <row r="14" spans="1:14" ht="17.100000000000001" customHeight="1" x14ac:dyDescent="0.2">
      <c r="A14" s="3">
        <v>8</v>
      </c>
      <c r="B14" s="4" t="s">
        <v>14</v>
      </c>
      <c r="C14" s="4" t="s">
        <v>15</v>
      </c>
      <c r="D14" s="4" t="s">
        <v>16</v>
      </c>
      <c r="E14" s="5">
        <v>534956</v>
      </c>
      <c r="F14" s="6">
        <v>4611.3207199999997</v>
      </c>
      <c r="G14" s="7">
        <v>2.2605829000000001E-2</v>
      </c>
      <c r="H14" s="51"/>
    </row>
    <row r="15" spans="1:14" ht="17.100000000000001" customHeight="1" x14ac:dyDescent="0.2">
      <c r="A15" s="3">
        <v>9</v>
      </c>
      <c r="B15" s="4" t="s">
        <v>504</v>
      </c>
      <c r="C15" s="4" t="s">
        <v>505</v>
      </c>
      <c r="D15" s="4" t="s">
        <v>315</v>
      </c>
      <c r="E15" s="5">
        <v>160000</v>
      </c>
      <c r="F15" s="6">
        <v>4043.84</v>
      </c>
      <c r="G15" s="7">
        <v>1.9823898999999999E-2</v>
      </c>
      <c r="H15" s="51"/>
    </row>
    <row r="16" spans="1:14" ht="17.100000000000001" customHeight="1" x14ac:dyDescent="0.2">
      <c r="A16" s="3">
        <v>10</v>
      </c>
      <c r="B16" s="4" t="s">
        <v>197</v>
      </c>
      <c r="C16" s="4" t="s">
        <v>198</v>
      </c>
      <c r="D16" s="4" t="s">
        <v>72</v>
      </c>
      <c r="E16" s="5">
        <v>147000</v>
      </c>
      <c r="F16" s="6">
        <v>4034.1945000000001</v>
      </c>
      <c r="G16" s="7">
        <v>1.9776614000000001E-2</v>
      </c>
      <c r="H16" s="51"/>
    </row>
    <row r="17" spans="1:10" ht="29.1" customHeight="1" x14ac:dyDescent="0.2">
      <c r="A17" s="3">
        <v>11</v>
      </c>
      <c r="B17" s="4" t="s">
        <v>506</v>
      </c>
      <c r="C17" s="4" t="s">
        <v>507</v>
      </c>
      <c r="D17" s="4" t="s">
        <v>184</v>
      </c>
      <c r="E17" s="5">
        <v>265529</v>
      </c>
      <c r="F17" s="6">
        <v>3929.2981420000001</v>
      </c>
      <c r="G17" s="7">
        <v>1.9262386999999999E-2</v>
      </c>
      <c r="H17" s="51"/>
    </row>
    <row r="18" spans="1:10" ht="17.100000000000001" customHeight="1" x14ac:dyDescent="0.2">
      <c r="A18" s="3">
        <v>12</v>
      </c>
      <c r="B18" s="4" t="s">
        <v>41</v>
      </c>
      <c r="C18" s="4" t="s">
        <v>42</v>
      </c>
      <c r="D18" s="4" t="s">
        <v>16</v>
      </c>
      <c r="E18" s="5">
        <v>686000</v>
      </c>
      <c r="F18" s="6">
        <v>3639.9160000000002</v>
      </c>
      <c r="G18" s="7">
        <v>1.7843764000000002E-2</v>
      </c>
      <c r="H18" s="51"/>
    </row>
    <row r="19" spans="1:10" ht="29.1" customHeight="1" x14ac:dyDescent="0.2">
      <c r="A19" s="3">
        <v>13</v>
      </c>
      <c r="B19" s="4" t="s">
        <v>508</v>
      </c>
      <c r="C19" s="4" t="s">
        <v>509</v>
      </c>
      <c r="D19" s="4" t="s">
        <v>203</v>
      </c>
      <c r="E19" s="5">
        <v>504084</v>
      </c>
      <c r="F19" s="6">
        <v>3603.1924319999998</v>
      </c>
      <c r="G19" s="7">
        <v>1.7663735999999999E-2</v>
      </c>
      <c r="H19" s="51"/>
    </row>
    <row r="20" spans="1:10" ht="17.100000000000001" customHeight="1" x14ac:dyDescent="0.2">
      <c r="A20" s="3">
        <v>14</v>
      </c>
      <c r="B20" s="4" t="s">
        <v>510</v>
      </c>
      <c r="C20" s="4" t="s">
        <v>511</v>
      </c>
      <c r="D20" s="4" t="s">
        <v>315</v>
      </c>
      <c r="E20" s="5">
        <v>90000</v>
      </c>
      <c r="F20" s="6">
        <v>3573.09</v>
      </c>
      <c r="G20" s="7">
        <v>1.7516166999999999E-2</v>
      </c>
      <c r="H20" s="51"/>
    </row>
    <row r="21" spans="1:10" ht="17.100000000000001" customHeight="1" x14ac:dyDescent="0.2">
      <c r="A21" s="3">
        <v>15</v>
      </c>
      <c r="B21" s="4" t="s">
        <v>90</v>
      </c>
      <c r="C21" s="4" t="s">
        <v>91</v>
      </c>
      <c r="D21" s="4" t="s">
        <v>92</v>
      </c>
      <c r="E21" s="5">
        <v>698780</v>
      </c>
      <c r="F21" s="6">
        <v>3554.6938599999999</v>
      </c>
      <c r="G21" s="7">
        <v>1.7425983999999999E-2</v>
      </c>
      <c r="H21" s="51"/>
      <c r="J21" s="157" t="s">
        <v>1100</v>
      </c>
    </row>
    <row r="22" spans="1:10" ht="17.100000000000001" customHeight="1" x14ac:dyDescent="0.2">
      <c r="A22" s="3">
        <v>16</v>
      </c>
      <c r="B22" s="4" t="s">
        <v>347</v>
      </c>
      <c r="C22" s="4" t="s">
        <v>348</v>
      </c>
      <c r="D22" s="4" t="s">
        <v>16</v>
      </c>
      <c r="E22" s="5">
        <v>1508000</v>
      </c>
      <c r="F22" s="6">
        <v>3449.55</v>
      </c>
      <c r="G22" s="7">
        <v>1.6910543E-2</v>
      </c>
      <c r="H22" s="51"/>
    </row>
    <row r="23" spans="1:10" ht="17.100000000000001" customHeight="1" x14ac:dyDescent="0.2">
      <c r="A23" s="3">
        <v>17</v>
      </c>
      <c r="B23" s="4" t="s">
        <v>512</v>
      </c>
      <c r="C23" s="4" t="s">
        <v>513</v>
      </c>
      <c r="D23" s="4" t="s">
        <v>31</v>
      </c>
      <c r="E23" s="5">
        <v>511000</v>
      </c>
      <c r="F23" s="6">
        <v>3423.4445000000001</v>
      </c>
      <c r="G23" s="7">
        <v>1.6782568000000001E-2</v>
      </c>
      <c r="H23" s="51"/>
    </row>
    <row r="24" spans="1:10" ht="17.100000000000001" customHeight="1" x14ac:dyDescent="0.2">
      <c r="A24" s="3">
        <v>18</v>
      </c>
      <c r="B24" s="4" t="s">
        <v>383</v>
      </c>
      <c r="C24" s="4" t="s">
        <v>384</v>
      </c>
      <c r="D24" s="4" t="s">
        <v>104</v>
      </c>
      <c r="E24" s="5">
        <v>203161</v>
      </c>
      <c r="F24" s="6">
        <v>3351.0391144999999</v>
      </c>
      <c r="G24" s="7">
        <v>1.6427619000000001E-2</v>
      </c>
      <c r="H24" s="51"/>
    </row>
    <row r="25" spans="1:10" ht="17.100000000000001" customHeight="1" x14ac:dyDescent="0.2">
      <c r="A25" s="3">
        <v>19</v>
      </c>
      <c r="B25" s="4" t="s">
        <v>405</v>
      </c>
      <c r="C25" s="4" t="s">
        <v>406</v>
      </c>
      <c r="D25" s="4" t="s">
        <v>31</v>
      </c>
      <c r="E25" s="5">
        <v>365000</v>
      </c>
      <c r="F25" s="6">
        <v>3271.86</v>
      </c>
      <c r="G25" s="7">
        <v>1.6039463E-2</v>
      </c>
      <c r="H25" s="51"/>
    </row>
    <row r="26" spans="1:10" ht="53.1" customHeight="1" x14ac:dyDescent="0.2">
      <c r="A26" s="3">
        <v>20</v>
      </c>
      <c r="B26" s="4" t="s">
        <v>93</v>
      </c>
      <c r="C26" s="4" t="s">
        <v>94</v>
      </c>
      <c r="D26" s="4" t="s">
        <v>45</v>
      </c>
      <c r="E26" s="5">
        <v>208000</v>
      </c>
      <c r="F26" s="6">
        <v>3084.2240000000002</v>
      </c>
      <c r="G26" s="7">
        <v>1.5119624999999999E-2</v>
      </c>
      <c r="H26" s="51"/>
    </row>
    <row r="27" spans="1:10" ht="17.100000000000001" customHeight="1" x14ac:dyDescent="0.2">
      <c r="A27" s="3">
        <v>21</v>
      </c>
      <c r="B27" s="4" t="s">
        <v>293</v>
      </c>
      <c r="C27" s="4" t="s">
        <v>294</v>
      </c>
      <c r="D27" s="4" t="s">
        <v>104</v>
      </c>
      <c r="E27" s="5">
        <v>70000</v>
      </c>
      <c r="F27" s="6">
        <v>3060.12</v>
      </c>
      <c r="G27" s="7">
        <v>1.5001461000000001E-2</v>
      </c>
      <c r="H27" s="51"/>
    </row>
    <row r="28" spans="1:10" ht="17.100000000000001" customHeight="1" x14ac:dyDescent="0.2">
      <c r="A28" s="3">
        <v>22</v>
      </c>
      <c r="B28" s="4" t="s">
        <v>395</v>
      </c>
      <c r="C28" s="4" t="s">
        <v>396</v>
      </c>
      <c r="D28" s="4" t="s">
        <v>315</v>
      </c>
      <c r="E28" s="5">
        <v>249000</v>
      </c>
      <c r="F28" s="6">
        <v>3034.6875</v>
      </c>
      <c r="G28" s="7">
        <v>1.4876785E-2</v>
      </c>
      <c r="H28" s="51"/>
    </row>
    <row r="29" spans="1:10" ht="29.1" customHeight="1" x14ac:dyDescent="0.2">
      <c r="A29" s="3">
        <v>23</v>
      </c>
      <c r="B29" s="4" t="s">
        <v>419</v>
      </c>
      <c r="C29" s="4" t="s">
        <v>420</v>
      </c>
      <c r="D29" s="4" t="s">
        <v>203</v>
      </c>
      <c r="E29" s="5">
        <v>157039</v>
      </c>
      <c r="F29" s="6">
        <v>3014.8347220000001</v>
      </c>
      <c r="G29" s="7">
        <v>1.4779462E-2</v>
      </c>
      <c r="H29" s="51"/>
    </row>
    <row r="30" spans="1:10" ht="17.100000000000001" customHeight="1" x14ac:dyDescent="0.2">
      <c r="A30" s="3">
        <v>24</v>
      </c>
      <c r="B30" s="4" t="s">
        <v>514</v>
      </c>
      <c r="C30" s="4" t="s">
        <v>515</v>
      </c>
      <c r="D30" s="4" t="s">
        <v>315</v>
      </c>
      <c r="E30" s="5">
        <v>415235</v>
      </c>
      <c r="F30" s="6">
        <v>3001.1109624999999</v>
      </c>
      <c r="G30" s="7">
        <v>1.4712184999999999E-2</v>
      </c>
      <c r="H30" s="51"/>
    </row>
    <row r="31" spans="1:10" ht="17.100000000000001" customHeight="1" x14ac:dyDescent="0.2">
      <c r="A31" s="3">
        <v>25</v>
      </c>
      <c r="B31" s="4" t="s">
        <v>403</v>
      </c>
      <c r="C31" s="4" t="s">
        <v>404</v>
      </c>
      <c r="D31" s="4" t="s">
        <v>277</v>
      </c>
      <c r="E31" s="5">
        <v>372000</v>
      </c>
      <c r="F31" s="6">
        <v>2949.5880000000002</v>
      </c>
      <c r="G31" s="7">
        <v>1.4459606E-2</v>
      </c>
      <c r="H31" s="51"/>
    </row>
    <row r="32" spans="1:10" ht="29.1" customHeight="1" x14ac:dyDescent="0.2">
      <c r="A32" s="3">
        <v>26</v>
      </c>
      <c r="B32" s="4" t="s">
        <v>182</v>
      </c>
      <c r="C32" s="4" t="s">
        <v>183</v>
      </c>
      <c r="D32" s="4" t="s">
        <v>184</v>
      </c>
      <c r="E32" s="5">
        <v>65000</v>
      </c>
      <c r="F32" s="6">
        <v>2919.0524999999998</v>
      </c>
      <c r="G32" s="7">
        <v>1.4309914E-2</v>
      </c>
      <c r="H32" s="51"/>
    </row>
    <row r="33" spans="1:8" ht="17.100000000000001" customHeight="1" x14ac:dyDescent="0.2">
      <c r="A33" s="3">
        <v>27</v>
      </c>
      <c r="B33" s="4" t="s">
        <v>516</v>
      </c>
      <c r="C33" s="4" t="s">
        <v>517</v>
      </c>
      <c r="D33" s="4" t="s">
        <v>223</v>
      </c>
      <c r="E33" s="5">
        <v>206000</v>
      </c>
      <c r="F33" s="6">
        <v>2882.3519999999999</v>
      </c>
      <c r="G33" s="7">
        <v>1.4129999000000001E-2</v>
      </c>
      <c r="H33" s="51"/>
    </row>
    <row r="34" spans="1:8" ht="17.100000000000001" customHeight="1" x14ac:dyDescent="0.2">
      <c r="A34" s="3">
        <v>28</v>
      </c>
      <c r="B34" s="4" t="s">
        <v>256</v>
      </c>
      <c r="C34" s="4" t="s">
        <v>257</v>
      </c>
      <c r="D34" s="4" t="s">
        <v>104</v>
      </c>
      <c r="E34" s="5">
        <v>314377</v>
      </c>
      <c r="F34" s="6">
        <v>2879.8505085000002</v>
      </c>
      <c r="G34" s="7">
        <v>1.4117736000000001E-2</v>
      </c>
      <c r="H34" s="51"/>
    </row>
    <row r="35" spans="1:8" ht="29.1" customHeight="1" x14ac:dyDescent="0.2">
      <c r="A35" s="3">
        <v>29</v>
      </c>
      <c r="B35" s="4" t="s">
        <v>298</v>
      </c>
      <c r="C35" s="4" t="s">
        <v>299</v>
      </c>
      <c r="D35" s="4" t="s">
        <v>97</v>
      </c>
      <c r="E35" s="5">
        <v>120000</v>
      </c>
      <c r="F35" s="6">
        <v>2745.3</v>
      </c>
      <c r="G35" s="7">
        <v>1.3458136000000001E-2</v>
      </c>
      <c r="H35" s="51"/>
    </row>
    <row r="36" spans="1:8" ht="17.100000000000001" customHeight="1" x14ac:dyDescent="0.2">
      <c r="A36" s="3">
        <v>30</v>
      </c>
      <c r="B36" s="4" t="s">
        <v>102</v>
      </c>
      <c r="C36" s="4" t="s">
        <v>103</v>
      </c>
      <c r="D36" s="4" t="s">
        <v>104</v>
      </c>
      <c r="E36" s="5">
        <v>600000</v>
      </c>
      <c r="F36" s="6">
        <v>2555.1</v>
      </c>
      <c r="G36" s="7">
        <v>1.2525728999999999E-2</v>
      </c>
      <c r="H36" s="51"/>
    </row>
    <row r="37" spans="1:8" ht="17.100000000000001" customHeight="1" x14ac:dyDescent="0.2">
      <c r="A37" s="3">
        <v>31</v>
      </c>
      <c r="B37" s="4" t="s">
        <v>381</v>
      </c>
      <c r="C37" s="4" t="s">
        <v>382</v>
      </c>
      <c r="D37" s="4" t="s">
        <v>277</v>
      </c>
      <c r="E37" s="5">
        <v>199000</v>
      </c>
      <c r="F37" s="6">
        <v>2509.6885000000002</v>
      </c>
      <c r="G37" s="7">
        <v>1.2303111E-2</v>
      </c>
      <c r="H37" s="51"/>
    </row>
    <row r="38" spans="1:8" ht="17.100000000000001" customHeight="1" x14ac:dyDescent="0.2">
      <c r="A38" s="3">
        <v>32</v>
      </c>
      <c r="B38" s="4" t="s">
        <v>518</v>
      </c>
      <c r="C38" s="4" t="s">
        <v>519</v>
      </c>
      <c r="D38" s="4" t="s">
        <v>223</v>
      </c>
      <c r="E38" s="5">
        <v>882816</v>
      </c>
      <c r="F38" s="6">
        <v>2493.5137920000002</v>
      </c>
      <c r="G38" s="7">
        <v>1.2223817999999999E-2</v>
      </c>
      <c r="H38" s="51"/>
    </row>
    <row r="39" spans="1:8" ht="17.100000000000001" customHeight="1" x14ac:dyDescent="0.2">
      <c r="A39" s="3">
        <v>33</v>
      </c>
      <c r="B39" s="4" t="s">
        <v>246</v>
      </c>
      <c r="C39" s="4" t="s">
        <v>247</v>
      </c>
      <c r="D39" s="4" t="s">
        <v>248</v>
      </c>
      <c r="E39" s="5">
        <v>400000</v>
      </c>
      <c r="F39" s="6">
        <v>2490.8000000000002</v>
      </c>
      <c r="G39" s="7">
        <v>1.2210515E-2</v>
      </c>
      <c r="H39" s="51"/>
    </row>
    <row r="40" spans="1:8" ht="17.100000000000001" customHeight="1" x14ac:dyDescent="0.2">
      <c r="A40" s="3">
        <v>34</v>
      </c>
      <c r="B40" s="4" t="s">
        <v>84</v>
      </c>
      <c r="C40" s="4" t="s">
        <v>85</v>
      </c>
      <c r="D40" s="4" t="s">
        <v>36</v>
      </c>
      <c r="E40" s="5">
        <v>1058667</v>
      </c>
      <c r="F40" s="6">
        <v>2486.8087829999999</v>
      </c>
      <c r="G40" s="7">
        <v>1.2190949E-2</v>
      </c>
      <c r="H40" s="51"/>
    </row>
    <row r="41" spans="1:8" ht="29.1" customHeight="1" x14ac:dyDescent="0.2">
      <c r="A41" s="3">
        <v>35</v>
      </c>
      <c r="B41" s="4" t="s">
        <v>520</v>
      </c>
      <c r="C41" s="4" t="s">
        <v>521</v>
      </c>
      <c r="D41" s="4" t="s">
        <v>203</v>
      </c>
      <c r="E41" s="5">
        <v>550000</v>
      </c>
      <c r="F41" s="6">
        <v>2480.2249999999999</v>
      </c>
      <c r="G41" s="7">
        <v>1.2158673E-2</v>
      </c>
      <c r="H41" s="51"/>
    </row>
    <row r="42" spans="1:8" ht="17.100000000000001" customHeight="1" x14ac:dyDescent="0.2">
      <c r="A42" s="3">
        <v>36</v>
      </c>
      <c r="B42" s="4" t="s">
        <v>522</v>
      </c>
      <c r="C42" s="4" t="s">
        <v>523</v>
      </c>
      <c r="D42" s="4" t="s">
        <v>104</v>
      </c>
      <c r="E42" s="5">
        <v>884000</v>
      </c>
      <c r="F42" s="6">
        <v>2412.4360000000001</v>
      </c>
      <c r="G42" s="7">
        <v>1.1826355E-2</v>
      </c>
      <c r="H42" s="51"/>
    </row>
    <row r="43" spans="1:8" ht="17.100000000000001" customHeight="1" x14ac:dyDescent="0.2">
      <c r="A43" s="3">
        <v>37</v>
      </c>
      <c r="B43" s="4" t="s">
        <v>454</v>
      </c>
      <c r="C43" s="4" t="s">
        <v>455</v>
      </c>
      <c r="D43" s="4" t="s">
        <v>16</v>
      </c>
      <c r="E43" s="5">
        <v>1016082</v>
      </c>
      <c r="F43" s="6">
        <v>2262.3065729999998</v>
      </c>
      <c r="G43" s="7">
        <v>1.1090384E-2</v>
      </c>
      <c r="H43" s="51"/>
    </row>
    <row r="44" spans="1:8" ht="17.100000000000001" customHeight="1" x14ac:dyDescent="0.2">
      <c r="A44" s="3">
        <v>38</v>
      </c>
      <c r="B44" s="4" t="s">
        <v>524</v>
      </c>
      <c r="C44" s="38" t="s">
        <v>1014</v>
      </c>
      <c r="D44" s="4" t="s">
        <v>69</v>
      </c>
      <c r="E44" s="5">
        <v>1138715</v>
      </c>
      <c r="F44" s="6">
        <v>2227.8958975</v>
      </c>
      <c r="G44" s="7">
        <v>1.0921693999999999E-2</v>
      </c>
      <c r="H44" s="51"/>
    </row>
    <row r="45" spans="1:8" ht="29.1" customHeight="1" x14ac:dyDescent="0.2">
      <c r="A45" s="3">
        <v>39</v>
      </c>
      <c r="B45" s="4" t="s">
        <v>490</v>
      </c>
      <c r="C45" s="4" t="s">
        <v>491</v>
      </c>
      <c r="D45" s="4" t="s">
        <v>25</v>
      </c>
      <c r="E45" s="5">
        <v>231114</v>
      </c>
      <c r="F45" s="6">
        <v>2207.7164849999999</v>
      </c>
      <c r="G45" s="7">
        <v>1.0822770000000001E-2</v>
      </c>
      <c r="H45" s="51"/>
    </row>
    <row r="46" spans="1:8" ht="17.100000000000001" customHeight="1" x14ac:dyDescent="0.2">
      <c r="A46" s="3">
        <v>40</v>
      </c>
      <c r="B46" s="4" t="s">
        <v>525</v>
      </c>
      <c r="C46" s="4" t="s">
        <v>526</v>
      </c>
      <c r="D46" s="4" t="s">
        <v>104</v>
      </c>
      <c r="E46" s="5">
        <v>130000</v>
      </c>
      <c r="F46" s="6">
        <v>2193.36</v>
      </c>
      <c r="G46" s="7">
        <v>1.0752391E-2</v>
      </c>
      <c r="H46" s="51"/>
    </row>
    <row r="47" spans="1:8" ht="17.100000000000001" customHeight="1" x14ac:dyDescent="0.2">
      <c r="A47" s="3">
        <v>41</v>
      </c>
      <c r="B47" s="4" t="s">
        <v>349</v>
      </c>
      <c r="C47" s="4" t="s">
        <v>350</v>
      </c>
      <c r="D47" s="4" t="s">
        <v>97</v>
      </c>
      <c r="E47" s="5">
        <v>28000</v>
      </c>
      <c r="F47" s="6">
        <v>2054.0100000000002</v>
      </c>
      <c r="G47" s="7">
        <v>1.0069263E-2</v>
      </c>
      <c r="H47" s="51"/>
    </row>
    <row r="48" spans="1:8" ht="17.100000000000001" customHeight="1" x14ac:dyDescent="0.2">
      <c r="A48" s="3">
        <v>42</v>
      </c>
      <c r="B48" s="4" t="s">
        <v>240</v>
      </c>
      <c r="C48" s="4" t="s">
        <v>241</v>
      </c>
      <c r="D48" s="4" t="s">
        <v>97</v>
      </c>
      <c r="E48" s="5">
        <v>312802</v>
      </c>
      <c r="F48" s="6">
        <v>2044.473872</v>
      </c>
      <c r="G48" s="7">
        <v>1.0022514E-2</v>
      </c>
      <c r="H48" s="51"/>
    </row>
    <row r="49" spans="1:8" ht="17.100000000000001" customHeight="1" x14ac:dyDescent="0.2">
      <c r="A49" s="3">
        <v>43</v>
      </c>
      <c r="B49" s="4" t="s">
        <v>109</v>
      </c>
      <c r="C49" s="4" t="s">
        <v>110</v>
      </c>
      <c r="D49" s="4" t="s">
        <v>72</v>
      </c>
      <c r="E49" s="5">
        <v>440335</v>
      </c>
      <c r="F49" s="6">
        <v>2042.0535625</v>
      </c>
      <c r="G49" s="7">
        <v>1.0010649E-2</v>
      </c>
      <c r="H49" s="51"/>
    </row>
    <row r="50" spans="1:8" ht="17.100000000000001" customHeight="1" x14ac:dyDescent="0.2">
      <c r="A50" s="3">
        <v>44</v>
      </c>
      <c r="B50" s="4" t="s">
        <v>527</v>
      </c>
      <c r="C50" s="4" t="s">
        <v>528</v>
      </c>
      <c r="D50" s="4" t="s">
        <v>72</v>
      </c>
      <c r="E50" s="5">
        <v>553006</v>
      </c>
      <c r="F50" s="6">
        <v>2011.835828</v>
      </c>
      <c r="G50" s="7">
        <v>9.8625139999999993E-3</v>
      </c>
      <c r="H50" s="51"/>
    </row>
    <row r="51" spans="1:8" ht="17.100000000000001" customHeight="1" x14ac:dyDescent="0.2">
      <c r="A51" s="3">
        <v>45</v>
      </c>
      <c r="B51" s="4" t="s">
        <v>123</v>
      </c>
      <c r="C51" s="4" t="s">
        <v>124</v>
      </c>
      <c r="D51" s="4" t="s">
        <v>104</v>
      </c>
      <c r="E51" s="5">
        <v>84991</v>
      </c>
      <c r="F51" s="6">
        <v>2008.9322669999999</v>
      </c>
      <c r="G51" s="7">
        <v>9.8482799999999992E-3</v>
      </c>
      <c r="H51" s="51"/>
    </row>
    <row r="52" spans="1:8" ht="17.100000000000001" customHeight="1" x14ac:dyDescent="0.2">
      <c r="A52" s="3">
        <v>46</v>
      </c>
      <c r="B52" s="4" t="s">
        <v>529</v>
      </c>
      <c r="C52" s="4" t="s">
        <v>530</v>
      </c>
      <c r="D52" s="4" t="s">
        <v>315</v>
      </c>
      <c r="E52" s="5">
        <v>160942</v>
      </c>
      <c r="F52" s="6">
        <v>2005.1763780000001</v>
      </c>
      <c r="G52" s="7">
        <v>9.8298680000000003E-3</v>
      </c>
      <c r="H52" s="51"/>
    </row>
    <row r="53" spans="1:8" ht="17.100000000000001" customHeight="1" x14ac:dyDescent="0.2">
      <c r="A53" s="3">
        <v>47</v>
      </c>
      <c r="B53" s="4" t="s">
        <v>385</v>
      </c>
      <c r="C53" s="4" t="s">
        <v>386</v>
      </c>
      <c r="D53" s="4" t="s">
        <v>104</v>
      </c>
      <c r="E53" s="5">
        <v>312601</v>
      </c>
      <c r="F53" s="6">
        <v>1987.6734584999999</v>
      </c>
      <c r="G53" s="7">
        <v>9.7440649999999997E-3</v>
      </c>
      <c r="H53" s="51"/>
    </row>
    <row r="54" spans="1:8" ht="17.100000000000001" customHeight="1" x14ac:dyDescent="0.2">
      <c r="A54" s="3">
        <v>48</v>
      </c>
      <c r="B54" s="4" t="s">
        <v>531</v>
      </c>
      <c r="C54" s="4" t="s">
        <v>532</v>
      </c>
      <c r="D54" s="4" t="s">
        <v>260</v>
      </c>
      <c r="E54" s="5">
        <v>121785</v>
      </c>
      <c r="F54" s="6">
        <v>1977.54483</v>
      </c>
      <c r="G54" s="7">
        <v>9.694411E-3</v>
      </c>
      <c r="H54" s="51"/>
    </row>
    <row r="55" spans="1:8" ht="17.100000000000001" customHeight="1" x14ac:dyDescent="0.2">
      <c r="A55" s="3">
        <v>49</v>
      </c>
      <c r="B55" s="4" t="s">
        <v>533</v>
      </c>
      <c r="C55" s="4" t="s">
        <v>534</v>
      </c>
      <c r="D55" s="4" t="s">
        <v>69</v>
      </c>
      <c r="E55" s="5">
        <v>158521</v>
      </c>
      <c r="F55" s="6">
        <v>1973.58645</v>
      </c>
      <c r="G55" s="7">
        <v>9.6750069999999994E-3</v>
      </c>
      <c r="H55" s="51"/>
    </row>
    <row r="56" spans="1:8" ht="29.1" customHeight="1" x14ac:dyDescent="0.2">
      <c r="A56" s="3">
        <v>50</v>
      </c>
      <c r="B56" s="4" t="s">
        <v>63</v>
      </c>
      <c r="C56" s="4" t="s">
        <v>64</v>
      </c>
      <c r="D56" s="4" t="s">
        <v>25</v>
      </c>
      <c r="E56" s="5">
        <v>74011</v>
      </c>
      <c r="F56" s="6">
        <v>1943.2698215</v>
      </c>
      <c r="G56" s="7">
        <v>9.5263870000000007E-3</v>
      </c>
      <c r="H56" s="51"/>
    </row>
    <row r="57" spans="1:8" ht="17.100000000000001" customHeight="1" x14ac:dyDescent="0.2">
      <c r="A57" s="3">
        <v>51</v>
      </c>
      <c r="B57" s="4" t="s">
        <v>535</v>
      </c>
      <c r="C57" s="4" t="s">
        <v>536</v>
      </c>
      <c r="D57" s="4" t="s">
        <v>31</v>
      </c>
      <c r="E57" s="5">
        <v>63000</v>
      </c>
      <c r="F57" s="6">
        <v>1932.9659999999999</v>
      </c>
      <c r="G57" s="7">
        <v>9.4758749999999999E-3</v>
      </c>
      <c r="H57" s="51"/>
    </row>
    <row r="58" spans="1:8" ht="17.100000000000001" customHeight="1" x14ac:dyDescent="0.2">
      <c r="A58" s="3">
        <v>52</v>
      </c>
      <c r="B58" s="4" t="s">
        <v>195</v>
      </c>
      <c r="C58" s="4" t="s">
        <v>196</v>
      </c>
      <c r="D58" s="4" t="s">
        <v>16</v>
      </c>
      <c r="E58" s="5">
        <v>258000</v>
      </c>
      <c r="F58" s="6">
        <v>1891.6559999999999</v>
      </c>
      <c r="G58" s="7">
        <v>9.2733629999999997E-3</v>
      </c>
      <c r="H58" s="51"/>
    </row>
    <row r="59" spans="1:8" ht="17.100000000000001" customHeight="1" x14ac:dyDescent="0.2">
      <c r="A59" s="3">
        <v>53</v>
      </c>
      <c r="B59" s="4" t="s">
        <v>269</v>
      </c>
      <c r="C59" s="4" t="s">
        <v>270</v>
      </c>
      <c r="D59" s="4" t="s">
        <v>16</v>
      </c>
      <c r="E59" s="5">
        <v>131000</v>
      </c>
      <c r="F59" s="6">
        <v>1861.9684999999999</v>
      </c>
      <c r="G59" s="7">
        <v>9.1278279999999993E-3</v>
      </c>
      <c r="H59" s="51"/>
    </row>
    <row r="60" spans="1:8" ht="17.100000000000001" customHeight="1" x14ac:dyDescent="0.2">
      <c r="A60" s="3">
        <v>54</v>
      </c>
      <c r="B60" s="4" t="s">
        <v>351</v>
      </c>
      <c r="C60" s="4" t="s">
        <v>352</v>
      </c>
      <c r="D60" s="4" t="s">
        <v>31</v>
      </c>
      <c r="E60" s="5">
        <v>205000</v>
      </c>
      <c r="F60" s="6">
        <v>1792.7249999999999</v>
      </c>
      <c r="G60" s="7">
        <v>8.7883790000000007E-3</v>
      </c>
      <c r="H60" s="51"/>
    </row>
    <row r="61" spans="1:8" ht="29.1" customHeight="1" x14ac:dyDescent="0.2">
      <c r="A61" s="3">
        <v>55</v>
      </c>
      <c r="B61" s="4" t="s">
        <v>446</v>
      </c>
      <c r="C61" s="4" t="s">
        <v>447</v>
      </c>
      <c r="D61" s="4" t="s">
        <v>203</v>
      </c>
      <c r="E61" s="5">
        <v>40215</v>
      </c>
      <c r="F61" s="6">
        <v>1651.6099425</v>
      </c>
      <c r="G61" s="7">
        <v>8.096598E-3</v>
      </c>
      <c r="H61" s="51"/>
    </row>
    <row r="62" spans="1:8" ht="17.100000000000001" customHeight="1" x14ac:dyDescent="0.2">
      <c r="A62" s="3">
        <v>56</v>
      </c>
      <c r="B62" s="4" t="s">
        <v>537</v>
      </c>
      <c r="C62" s="4" t="s">
        <v>538</v>
      </c>
      <c r="D62" s="4" t="s">
        <v>104</v>
      </c>
      <c r="E62" s="5">
        <v>30000</v>
      </c>
      <c r="F62" s="6">
        <v>1630.4549999999999</v>
      </c>
      <c r="G62" s="7">
        <v>7.9928919999999997E-3</v>
      </c>
      <c r="H62" s="51"/>
    </row>
    <row r="63" spans="1:8" ht="17.100000000000001" customHeight="1" x14ac:dyDescent="0.2">
      <c r="A63" s="3">
        <v>57</v>
      </c>
      <c r="B63" s="4" t="s">
        <v>54</v>
      </c>
      <c r="C63" s="4" t="s">
        <v>55</v>
      </c>
      <c r="D63" s="4" t="s">
        <v>13</v>
      </c>
      <c r="E63" s="5">
        <v>607033</v>
      </c>
      <c r="F63" s="6">
        <v>1609.5479995000001</v>
      </c>
      <c r="G63" s="7">
        <v>7.8904000000000005E-3</v>
      </c>
      <c r="H63" s="51"/>
    </row>
    <row r="64" spans="1:8" ht="17.100000000000001" customHeight="1" x14ac:dyDescent="0.2">
      <c r="A64" s="3">
        <v>58</v>
      </c>
      <c r="B64" s="4" t="s">
        <v>539</v>
      </c>
      <c r="C64" s="4" t="s">
        <v>540</v>
      </c>
      <c r="D64" s="4" t="s">
        <v>189</v>
      </c>
      <c r="E64" s="5">
        <v>120000</v>
      </c>
      <c r="F64" s="6">
        <v>1581.78</v>
      </c>
      <c r="G64" s="7">
        <v>7.7542749999999997E-3</v>
      </c>
      <c r="H64" s="51"/>
    </row>
    <row r="65" spans="1:8" ht="29.1" customHeight="1" x14ac:dyDescent="0.2">
      <c r="A65" s="3">
        <v>59</v>
      </c>
      <c r="B65" s="4" t="s">
        <v>541</v>
      </c>
      <c r="C65" s="4" t="s">
        <v>542</v>
      </c>
      <c r="D65" s="4" t="s">
        <v>367</v>
      </c>
      <c r="E65" s="5">
        <v>450000</v>
      </c>
      <c r="F65" s="6">
        <v>1564.65</v>
      </c>
      <c r="G65" s="7">
        <v>7.6702990000000002E-3</v>
      </c>
      <c r="H65" s="51"/>
    </row>
    <row r="66" spans="1:8" ht="17.100000000000001" customHeight="1" x14ac:dyDescent="0.2">
      <c r="A66" s="3">
        <v>60</v>
      </c>
      <c r="B66" s="4" t="s">
        <v>543</v>
      </c>
      <c r="C66" s="4" t="s">
        <v>544</v>
      </c>
      <c r="D66" s="4" t="s">
        <v>315</v>
      </c>
      <c r="E66" s="5">
        <v>209888</v>
      </c>
      <c r="F66" s="6">
        <v>1532.6021760000001</v>
      </c>
      <c r="G66" s="7">
        <v>7.5131929999999996E-3</v>
      </c>
      <c r="H66" s="51"/>
    </row>
    <row r="67" spans="1:8" ht="17.100000000000001" customHeight="1" x14ac:dyDescent="0.2">
      <c r="A67" s="3">
        <v>61</v>
      </c>
      <c r="B67" s="4" t="s">
        <v>233</v>
      </c>
      <c r="C67" s="4" t="s">
        <v>234</v>
      </c>
      <c r="D67" s="4" t="s">
        <v>235</v>
      </c>
      <c r="E67" s="5">
        <v>200000</v>
      </c>
      <c r="F67" s="6">
        <v>1525.2</v>
      </c>
      <c r="G67" s="7">
        <v>7.4769060000000002E-3</v>
      </c>
      <c r="H67" s="51"/>
    </row>
    <row r="68" spans="1:8" ht="17.100000000000001" customHeight="1" x14ac:dyDescent="0.2">
      <c r="A68" s="3">
        <v>62</v>
      </c>
      <c r="B68" s="4" t="s">
        <v>98</v>
      </c>
      <c r="C68" s="4" t="s">
        <v>99</v>
      </c>
      <c r="D68" s="4" t="s">
        <v>13</v>
      </c>
      <c r="E68" s="5">
        <v>634000</v>
      </c>
      <c r="F68" s="6">
        <v>1450.2750000000001</v>
      </c>
      <c r="G68" s="7">
        <v>7.1096049999999997E-3</v>
      </c>
      <c r="H68" s="51"/>
    </row>
    <row r="69" spans="1:8" ht="17.100000000000001" customHeight="1" x14ac:dyDescent="0.2">
      <c r="A69" s="3">
        <v>63</v>
      </c>
      <c r="B69" s="4" t="s">
        <v>545</v>
      </c>
      <c r="C69" s="4" t="s">
        <v>546</v>
      </c>
      <c r="D69" s="4" t="s">
        <v>208</v>
      </c>
      <c r="E69" s="5">
        <v>94501</v>
      </c>
      <c r="F69" s="6">
        <v>1427.7683585</v>
      </c>
      <c r="G69" s="7">
        <v>6.999272E-3</v>
      </c>
      <c r="H69" s="51"/>
    </row>
    <row r="70" spans="1:8" ht="29.1" customHeight="1" x14ac:dyDescent="0.2">
      <c r="A70" s="3">
        <v>64</v>
      </c>
      <c r="B70" s="4" t="s">
        <v>236</v>
      </c>
      <c r="C70" s="4" t="s">
        <v>237</v>
      </c>
      <c r="D70" s="4" t="s">
        <v>203</v>
      </c>
      <c r="E70" s="5">
        <v>68000</v>
      </c>
      <c r="F70" s="6">
        <v>1423.1379999999999</v>
      </c>
      <c r="G70" s="7">
        <v>6.9765729999999998E-3</v>
      </c>
      <c r="H70" s="51"/>
    </row>
    <row r="71" spans="1:8" ht="17.100000000000001" customHeight="1" x14ac:dyDescent="0.2">
      <c r="A71" s="3">
        <v>65</v>
      </c>
      <c r="B71" s="4" t="s">
        <v>444</v>
      </c>
      <c r="C71" s="4" t="s">
        <v>445</v>
      </c>
      <c r="D71" s="4" t="s">
        <v>31</v>
      </c>
      <c r="E71" s="5">
        <v>174450</v>
      </c>
      <c r="F71" s="6">
        <v>1393.070475</v>
      </c>
      <c r="G71" s="7">
        <v>6.8291740000000004E-3</v>
      </c>
      <c r="H71" s="51"/>
    </row>
    <row r="72" spans="1:8" ht="29.1" customHeight="1" x14ac:dyDescent="0.2">
      <c r="A72" s="3">
        <v>66</v>
      </c>
      <c r="B72" s="4" t="s">
        <v>291</v>
      </c>
      <c r="C72" s="4" t="s">
        <v>292</v>
      </c>
      <c r="D72" s="4" t="s">
        <v>184</v>
      </c>
      <c r="E72" s="5">
        <v>181328</v>
      </c>
      <c r="F72" s="6">
        <v>1362.0452720000001</v>
      </c>
      <c r="G72" s="7">
        <v>6.6770809999999996E-3</v>
      </c>
      <c r="H72" s="51"/>
    </row>
    <row r="73" spans="1:8" ht="17.100000000000001" customHeight="1" x14ac:dyDescent="0.2">
      <c r="A73" s="3">
        <v>67</v>
      </c>
      <c r="B73" s="4" t="s">
        <v>547</v>
      </c>
      <c r="C73" s="4" t="s">
        <v>548</v>
      </c>
      <c r="D73" s="4" t="s">
        <v>104</v>
      </c>
      <c r="E73" s="5">
        <v>192900</v>
      </c>
      <c r="F73" s="6">
        <v>1283.8459499999999</v>
      </c>
      <c r="G73" s="7">
        <v>6.2937289999999996E-3</v>
      </c>
      <c r="H73" s="51"/>
    </row>
    <row r="74" spans="1:8" ht="17.100000000000001" customHeight="1" x14ac:dyDescent="0.2">
      <c r="A74" s="3">
        <v>68</v>
      </c>
      <c r="B74" s="4" t="s">
        <v>357</v>
      </c>
      <c r="C74" s="4" t="s">
        <v>358</v>
      </c>
      <c r="D74" s="4" t="s">
        <v>51</v>
      </c>
      <c r="E74" s="5">
        <v>58528</v>
      </c>
      <c r="F74" s="6">
        <v>1081.2462720000001</v>
      </c>
      <c r="G74" s="7">
        <v>5.3005350000000003E-3</v>
      </c>
      <c r="H74" s="51"/>
    </row>
    <row r="75" spans="1:8" ht="17.100000000000001" customHeight="1" x14ac:dyDescent="0.2">
      <c r="A75" s="3">
        <v>69</v>
      </c>
      <c r="B75" s="4" t="s">
        <v>549</v>
      </c>
      <c r="C75" s="4" t="s">
        <v>550</v>
      </c>
      <c r="D75" s="4" t="s">
        <v>192</v>
      </c>
      <c r="E75" s="5">
        <v>200000</v>
      </c>
      <c r="F75" s="6">
        <v>1072</v>
      </c>
      <c r="G75" s="7">
        <v>5.2552079999999999E-3</v>
      </c>
      <c r="H75" s="51"/>
    </row>
    <row r="76" spans="1:8" ht="17.100000000000001" customHeight="1" x14ac:dyDescent="0.2">
      <c r="A76" s="3">
        <v>70</v>
      </c>
      <c r="B76" s="4" t="s">
        <v>551</v>
      </c>
      <c r="C76" s="4" t="s">
        <v>552</v>
      </c>
      <c r="D76" s="4" t="s">
        <v>223</v>
      </c>
      <c r="E76" s="5">
        <v>10000</v>
      </c>
      <c r="F76" s="6">
        <v>855.64499999999998</v>
      </c>
      <c r="G76" s="7">
        <v>4.1945819999999997E-3</v>
      </c>
      <c r="H76" s="51"/>
    </row>
    <row r="77" spans="1:8" ht="17.100000000000001" customHeight="1" x14ac:dyDescent="0.2">
      <c r="A77" s="3">
        <v>71</v>
      </c>
      <c r="B77" s="4" t="s">
        <v>553</v>
      </c>
      <c r="C77" s="4" t="s">
        <v>554</v>
      </c>
      <c r="D77" s="4" t="s">
        <v>19</v>
      </c>
      <c r="E77" s="5">
        <v>56721</v>
      </c>
      <c r="F77" s="6">
        <v>775.46115150000003</v>
      </c>
      <c r="G77" s="7">
        <v>3.8015010000000001E-3</v>
      </c>
      <c r="H77" s="51"/>
    </row>
    <row r="78" spans="1:8" ht="17.100000000000001" customHeight="1" x14ac:dyDescent="0.2">
      <c r="A78" s="3">
        <v>72</v>
      </c>
      <c r="B78" s="4" t="s">
        <v>244</v>
      </c>
      <c r="C78" s="4" t="s">
        <v>245</v>
      </c>
      <c r="D78" s="4" t="s">
        <v>223</v>
      </c>
      <c r="E78" s="5">
        <v>22000</v>
      </c>
      <c r="F78" s="6">
        <v>713.06399999999996</v>
      </c>
      <c r="G78" s="7">
        <v>3.4956150000000001E-3</v>
      </c>
      <c r="H78" s="51"/>
    </row>
    <row r="79" spans="1:8" ht="17.100000000000001" customHeight="1" x14ac:dyDescent="0.2">
      <c r="A79" s="3">
        <v>73</v>
      </c>
      <c r="B79" s="61" t="s">
        <v>1012</v>
      </c>
      <c r="C79" s="65" t="s">
        <v>125</v>
      </c>
      <c r="D79" s="61" t="s">
        <v>97</v>
      </c>
      <c r="E79" s="5">
        <v>208000</v>
      </c>
      <c r="F79" s="6">
        <v>627.64</v>
      </c>
      <c r="G79" s="7">
        <v>3.0768459999999998E-3</v>
      </c>
      <c r="H79" s="51"/>
    </row>
    <row r="80" spans="1:8" ht="17.100000000000001" customHeight="1" x14ac:dyDescent="0.2">
      <c r="A80" s="3">
        <v>74</v>
      </c>
      <c r="B80" s="4" t="s">
        <v>555</v>
      </c>
      <c r="C80" s="4" t="s">
        <v>556</v>
      </c>
      <c r="D80" s="4" t="s">
        <v>189</v>
      </c>
      <c r="E80" s="5">
        <v>43906</v>
      </c>
      <c r="F80" s="6">
        <v>618.54772800000001</v>
      </c>
      <c r="G80" s="7">
        <v>3.0322729999999998E-3</v>
      </c>
      <c r="H80" s="51"/>
    </row>
    <row r="81" spans="1:8" ht="17.100000000000001" customHeight="1" x14ac:dyDescent="0.2">
      <c r="A81" s="3">
        <v>75</v>
      </c>
      <c r="B81" s="4" t="s">
        <v>557</v>
      </c>
      <c r="C81" s="4" t="s">
        <v>558</v>
      </c>
      <c r="D81" s="4" t="s">
        <v>104</v>
      </c>
      <c r="E81" s="5">
        <v>194403</v>
      </c>
      <c r="F81" s="6">
        <v>562.89388650000001</v>
      </c>
      <c r="G81" s="7">
        <v>2.7594439999999998E-3</v>
      </c>
      <c r="H81" s="51"/>
    </row>
    <row r="82" spans="1:8" ht="17.100000000000001" customHeight="1" x14ac:dyDescent="0.2">
      <c r="A82" s="3">
        <v>76</v>
      </c>
      <c r="B82" s="4" t="s">
        <v>278</v>
      </c>
      <c r="C82" s="4" t="s">
        <v>279</v>
      </c>
      <c r="D82" s="4" t="s">
        <v>104</v>
      </c>
      <c r="E82" s="5">
        <v>4590</v>
      </c>
      <c r="F82" s="6">
        <v>55.09836</v>
      </c>
      <c r="G82" s="7">
        <v>2.7010599999999999E-4</v>
      </c>
      <c r="H82" s="51"/>
    </row>
    <row r="83" spans="1:8" ht="14.1" customHeight="1" x14ac:dyDescent="0.2">
      <c r="A83" s="1"/>
      <c r="B83" s="1"/>
      <c r="C83" s="2" t="s">
        <v>129</v>
      </c>
      <c r="D83" s="1"/>
      <c r="E83" s="1" t="s">
        <v>130</v>
      </c>
      <c r="F83" s="9">
        <v>194271.38417451899</v>
      </c>
      <c r="G83" s="10">
        <v>0.952366139</v>
      </c>
      <c r="H83" s="51"/>
    </row>
    <row r="84" spans="1:8" ht="14.1" customHeight="1" x14ac:dyDescent="0.2">
      <c r="A84" s="1"/>
      <c r="B84" s="1"/>
      <c r="C84" s="11"/>
      <c r="D84" s="1"/>
      <c r="E84" s="1"/>
      <c r="F84" s="12"/>
      <c r="G84" s="12"/>
      <c r="H84" s="51"/>
    </row>
    <row r="85" spans="1:8" ht="14.1" customHeight="1" x14ac:dyDescent="0.2">
      <c r="A85" s="1"/>
      <c r="B85" s="1"/>
      <c r="C85" s="2" t="s">
        <v>131</v>
      </c>
      <c r="D85" s="1"/>
      <c r="E85" s="1"/>
      <c r="F85" s="1"/>
      <c r="G85" s="1"/>
      <c r="H85" s="51"/>
    </row>
    <row r="86" spans="1:8" ht="14.1" customHeight="1" x14ac:dyDescent="0.2">
      <c r="A86" s="1"/>
      <c r="B86" s="1"/>
      <c r="C86" s="2" t="s">
        <v>129</v>
      </c>
      <c r="D86" s="1"/>
      <c r="E86" s="1" t="s">
        <v>130</v>
      </c>
      <c r="F86" s="13">
        <v>0</v>
      </c>
      <c r="G86" s="14">
        <v>0</v>
      </c>
      <c r="H86" s="51"/>
    </row>
    <row r="87" spans="1:8" ht="14.1" customHeight="1" x14ac:dyDescent="0.2">
      <c r="A87" s="1"/>
      <c r="B87" s="1"/>
      <c r="C87" s="11"/>
      <c r="D87" s="1"/>
      <c r="E87" s="1"/>
      <c r="F87" s="12"/>
      <c r="G87" s="12"/>
      <c r="H87" s="51"/>
    </row>
    <row r="88" spans="1:8" ht="14.1" customHeight="1" x14ac:dyDescent="0.2">
      <c r="A88" s="1"/>
      <c r="B88" s="1"/>
      <c r="C88" s="2" t="s">
        <v>132</v>
      </c>
      <c r="D88" s="1"/>
      <c r="E88" s="1"/>
      <c r="F88" s="1"/>
      <c r="G88" s="1"/>
      <c r="H88" s="51"/>
    </row>
    <row r="89" spans="1:8" ht="17.100000000000001" customHeight="1" x14ac:dyDescent="0.2">
      <c r="A89" s="3">
        <v>1</v>
      </c>
      <c r="B89" s="4" t="s">
        <v>126</v>
      </c>
      <c r="C89" s="4" t="s">
        <v>994</v>
      </c>
      <c r="D89" s="4" t="s">
        <v>127</v>
      </c>
      <c r="E89" s="5">
        <v>375961</v>
      </c>
      <c r="F89" s="6">
        <v>7.5190000000000003E-6</v>
      </c>
      <c r="G89" s="8" t="s">
        <v>128</v>
      </c>
      <c r="H89" s="51"/>
    </row>
    <row r="90" spans="1:8" ht="14.1" customHeight="1" x14ac:dyDescent="0.2">
      <c r="A90" s="1"/>
      <c r="B90" s="1"/>
      <c r="C90" s="2" t="s">
        <v>129</v>
      </c>
      <c r="D90" s="1"/>
      <c r="E90" s="1" t="s">
        <v>130</v>
      </c>
      <c r="F90" s="13">
        <f>SUM(F89)</f>
        <v>7.5190000000000003E-6</v>
      </c>
      <c r="G90" s="14">
        <f>SUM(G89)</f>
        <v>0</v>
      </c>
      <c r="H90" s="51"/>
    </row>
    <row r="91" spans="1:8" ht="14.1" customHeight="1" x14ac:dyDescent="0.2">
      <c r="A91" s="1"/>
      <c r="B91" s="1"/>
      <c r="C91" s="11"/>
      <c r="D91" s="1"/>
      <c r="E91" s="1"/>
      <c r="F91" s="12"/>
      <c r="G91" s="12"/>
      <c r="H91" s="51"/>
    </row>
    <row r="92" spans="1:8" ht="14.1" customHeight="1" x14ac:dyDescent="0.2">
      <c r="A92" s="1"/>
      <c r="B92" s="1"/>
      <c r="C92" s="2" t="s">
        <v>133</v>
      </c>
      <c r="D92" s="1"/>
      <c r="E92" s="1"/>
      <c r="F92" s="1"/>
      <c r="G92" s="1"/>
      <c r="H92" s="51"/>
    </row>
    <row r="93" spans="1:8" ht="14.1" customHeight="1" x14ac:dyDescent="0.2">
      <c r="A93" s="1"/>
      <c r="B93" s="1"/>
      <c r="C93" s="2" t="s">
        <v>129</v>
      </c>
      <c r="D93" s="1"/>
      <c r="E93" s="1" t="s">
        <v>130</v>
      </c>
      <c r="F93" s="13">
        <v>0</v>
      </c>
      <c r="G93" s="14">
        <v>0</v>
      </c>
      <c r="H93" s="51"/>
    </row>
    <row r="94" spans="1:8" ht="14.1" customHeight="1" x14ac:dyDescent="0.2">
      <c r="A94" s="1"/>
      <c r="B94" s="1"/>
      <c r="C94" s="11"/>
      <c r="D94" s="1"/>
      <c r="E94" s="1"/>
      <c r="F94" s="12"/>
      <c r="G94" s="12"/>
      <c r="H94" s="51"/>
    </row>
    <row r="95" spans="1:8" ht="14.1" customHeight="1" x14ac:dyDescent="0.2">
      <c r="A95" s="1"/>
      <c r="B95" s="1"/>
      <c r="C95" s="2" t="s">
        <v>134</v>
      </c>
      <c r="D95" s="1"/>
      <c r="E95" s="1"/>
      <c r="F95" s="12"/>
      <c r="G95" s="12"/>
      <c r="H95" s="51"/>
    </row>
    <row r="96" spans="1:8" ht="14.1" customHeight="1" x14ac:dyDescent="0.2">
      <c r="A96" s="1"/>
      <c r="B96" s="1"/>
      <c r="C96" s="2" t="s">
        <v>129</v>
      </c>
      <c r="D96" s="1"/>
      <c r="E96" s="1" t="s">
        <v>130</v>
      </c>
      <c r="F96" s="13">
        <v>0</v>
      </c>
      <c r="G96" s="14">
        <v>0</v>
      </c>
      <c r="H96" s="51"/>
    </row>
    <row r="97" spans="1:8" ht="14.1" customHeight="1" x14ac:dyDescent="0.2">
      <c r="A97" s="1"/>
      <c r="B97" s="1"/>
      <c r="C97" s="11"/>
      <c r="D97" s="1"/>
      <c r="E97" s="1"/>
      <c r="F97" s="12"/>
      <c r="G97" s="12"/>
      <c r="H97" s="51"/>
    </row>
    <row r="98" spans="1:8" ht="14.1" customHeight="1" x14ac:dyDescent="0.2">
      <c r="A98" s="1"/>
      <c r="B98" s="1"/>
      <c r="C98" s="2" t="s">
        <v>135</v>
      </c>
      <c r="D98" s="1"/>
      <c r="E98" s="1"/>
      <c r="F98" s="12"/>
      <c r="G98" s="12"/>
      <c r="H98" s="51"/>
    </row>
    <row r="99" spans="1:8" ht="14.1" customHeight="1" x14ac:dyDescent="0.2">
      <c r="A99" s="1"/>
      <c r="B99" s="1"/>
      <c r="C99" s="2" t="s">
        <v>129</v>
      </c>
      <c r="D99" s="1"/>
      <c r="E99" s="1" t="s">
        <v>130</v>
      </c>
      <c r="F99" s="13">
        <v>0</v>
      </c>
      <c r="G99" s="14">
        <v>0</v>
      </c>
      <c r="H99" s="51"/>
    </row>
    <row r="100" spans="1:8" ht="14.1" customHeight="1" x14ac:dyDescent="0.2">
      <c r="A100" s="1"/>
      <c r="B100" s="1"/>
      <c r="C100" s="11"/>
      <c r="D100" s="1"/>
      <c r="E100" s="1"/>
      <c r="F100" s="12"/>
      <c r="G100" s="12"/>
      <c r="H100" s="51"/>
    </row>
    <row r="101" spans="1:8" ht="18" customHeight="1" x14ac:dyDescent="0.2">
      <c r="A101" s="1"/>
      <c r="B101" s="1"/>
      <c r="C101" s="2" t="s">
        <v>136</v>
      </c>
      <c r="D101" s="1"/>
      <c r="E101" s="1"/>
      <c r="F101" s="9">
        <v>194271.38417451899</v>
      </c>
      <c r="G101" s="10">
        <v>0.952366139</v>
      </c>
      <c r="H101" s="51"/>
    </row>
    <row r="102" spans="1:8" ht="14.1" customHeight="1" x14ac:dyDescent="0.2">
      <c r="A102" s="1"/>
      <c r="B102" s="1"/>
      <c r="C102" s="11"/>
      <c r="D102" s="1"/>
      <c r="E102" s="1"/>
      <c r="F102" s="12"/>
      <c r="G102" s="12"/>
      <c r="H102" s="51"/>
    </row>
    <row r="103" spans="1:8" ht="14.1" customHeight="1" x14ac:dyDescent="0.2">
      <c r="A103" s="1"/>
      <c r="B103" s="1"/>
      <c r="C103" s="2" t="s">
        <v>137</v>
      </c>
      <c r="D103" s="1"/>
      <c r="E103" s="1"/>
      <c r="F103" s="12"/>
      <c r="G103" s="12"/>
      <c r="H103" s="51"/>
    </row>
    <row r="104" spans="1:8" ht="24" customHeight="1" x14ac:dyDescent="0.2">
      <c r="A104" s="1"/>
      <c r="B104" s="1"/>
      <c r="C104" s="2" t="s">
        <v>10</v>
      </c>
      <c r="D104" s="1"/>
      <c r="E104" s="1"/>
      <c r="F104" s="12"/>
      <c r="G104" s="12"/>
      <c r="H104" s="51"/>
    </row>
    <row r="105" spans="1:8" ht="14.1" customHeight="1" x14ac:dyDescent="0.2">
      <c r="A105" s="1"/>
      <c r="B105" s="1"/>
      <c r="C105" s="2" t="s">
        <v>129</v>
      </c>
      <c r="D105" s="1"/>
      <c r="E105" s="1" t="s">
        <v>130</v>
      </c>
      <c r="F105" s="13">
        <v>0</v>
      </c>
      <c r="G105" s="14">
        <v>0</v>
      </c>
      <c r="H105" s="51"/>
    </row>
    <row r="106" spans="1:8" ht="14.1" customHeight="1" x14ac:dyDescent="0.2">
      <c r="A106" s="1"/>
      <c r="B106" s="1"/>
      <c r="C106" s="11"/>
      <c r="D106" s="1"/>
      <c r="E106" s="1"/>
      <c r="F106" s="12"/>
      <c r="G106" s="12"/>
      <c r="H106" s="51"/>
    </row>
    <row r="107" spans="1:8" ht="14.1" customHeight="1" x14ac:dyDescent="0.2">
      <c r="A107" s="1"/>
      <c r="B107" s="1"/>
      <c r="C107" s="2" t="s">
        <v>138</v>
      </c>
      <c r="D107" s="1"/>
      <c r="E107" s="1"/>
      <c r="F107" s="1"/>
      <c r="G107" s="1"/>
      <c r="H107" s="51"/>
    </row>
    <row r="108" spans="1:8" ht="14.1" customHeight="1" x14ac:dyDescent="0.2">
      <c r="A108" s="1"/>
      <c r="B108" s="1"/>
      <c r="C108" s="2" t="s">
        <v>129</v>
      </c>
      <c r="D108" s="1"/>
      <c r="E108" s="1" t="s">
        <v>130</v>
      </c>
      <c r="F108" s="13">
        <v>0</v>
      </c>
      <c r="G108" s="14">
        <v>0</v>
      </c>
      <c r="H108" s="51"/>
    </row>
    <row r="109" spans="1:8" ht="14.1" customHeight="1" x14ac:dyDescent="0.2">
      <c r="A109" s="1"/>
      <c r="B109" s="1"/>
      <c r="C109" s="11"/>
      <c r="D109" s="1"/>
      <c r="E109" s="1"/>
      <c r="F109" s="12"/>
      <c r="G109" s="12"/>
      <c r="H109" s="51"/>
    </row>
    <row r="110" spans="1:8" ht="14.1" customHeight="1" x14ac:dyDescent="0.2">
      <c r="A110" s="1"/>
      <c r="B110" s="1"/>
      <c r="C110" s="2" t="s">
        <v>139</v>
      </c>
      <c r="D110" s="1"/>
      <c r="E110" s="1"/>
      <c r="F110" s="1"/>
      <c r="G110" s="1"/>
      <c r="H110" s="51"/>
    </row>
    <row r="111" spans="1:8" ht="14.1" customHeight="1" x14ac:dyDescent="0.2">
      <c r="A111" s="1"/>
      <c r="B111" s="1"/>
      <c r="C111" s="2" t="s">
        <v>129</v>
      </c>
      <c r="D111" s="1"/>
      <c r="E111" s="1" t="s">
        <v>130</v>
      </c>
      <c r="F111" s="13">
        <v>0</v>
      </c>
      <c r="G111" s="14">
        <v>0</v>
      </c>
      <c r="H111" s="51"/>
    </row>
    <row r="112" spans="1:8" ht="14.1" customHeight="1" x14ac:dyDescent="0.2">
      <c r="A112" s="1"/>
      <c r="B112" s="1"/>
      <c r="C112" s="11"/>
      <c r="D112" s="1"/>
      <c r="E112" s="1"/>
      <c r="F112" s="12"/>
      <c r="G112" s="12"/>
      <c r="H112" s="51"/>
    </row>
    <row r="113" spans="1:8" ht="14.1" customHeight="1" x14ac:dyDescent="0.2">
      <c r="A113" s="1"/>
      <c r="B113" s="1"/>
      <c r="C113" s="2" t="s">
        <v>140</v>
      </c>
      <c r="D113" s="1"/>
      <c r="E113" s="1"/>
      <c r="F113" s="12"/>
      <c r="G113" s="12"/>
      <c r="H113" s="51"/>
    </row>
    <row r="114" spans="1:8" ht="14.1" customHeight="1" x14ac:dyDescent="0.2">
      <c r="A114" s="1"/>
      <c r="B114" s="1"/>
      <c r="C114" s="2" t="s">
        <v>129</v>
      </c>
      <c r="D114" s="1"/>
      <c r="E114" s="1" t="s">
        <v>130</v>
      </c>
      <c r="F114" s="13">
        <v>0</v>
      </c>
      <c r="G114" s="14">
        <v>0</v>
      </c>
      <c r="H114" s="51"/>
    </row>
    <row r="115" spans="1:8" ht="14.1" customHeight="1" x14ac:dyDescent="0.2">
      <c r="A115" s="1"/>
      <c r="B115" s="1"/>
      <c r="C115" s="11"/>
      <c r="D115" s="1"/>
      <c r="E115" s="1"/>
      <c r="F115" s="12"/>
      <c r="G115" s="12"/>
      <c r="H115" s="51"/>
    </row>
    <row r="116" spans="1:8" ht="14.1" customHeight="1" x14ac:dyDescent="0.2">
      <c r="A116" s="1"/>
      <c r="B116" s="1"/>
      <c r="C116" s="2" t="s">
        <v>141</v>
      </c>
      <c r="D116" s="1"/>
      <c r="E116" s="1"/>
      <c r="F116" s="9">
        <v>0</v>
      </c>
      <c r="G116" s="10">
        <v>0</v>
      </c>
      <c r="H116" s="51"/>
    </row>
    <row r="117" spans="1:8" ht="14.1" customHeight="1" x14ac:dyDescent="0.2">
      <c r="A117" s="1"/>
      <c r="B117" s="1"/>
      <c r="C117" s="11"/>
      <c r="D117" s="1"/>
      <c r="E117" s="1"/>
      <c r="F117" s="12"/>
      <c r="G117" s="12"/>
      <c r="H117" s="51"/>
    </row>
    <row r="118" spans="1:8" ht="14.1" customHeight="1" x14ac:dyDescent="0.2">
      <c r="A118" s="1"/>
      <c r="B118" s="1"/>
      <c r="C118" s="2" t="s">
        <v>142</v>
      </c>
      <c r="D118" s="1"/>
      <c r="E118" s="1"/>
      <c r="F118" s="12"/>
      <c r="G118" s="12"/>
      <c r="H118" s="51"/>
    </row>
    <row r="119" spans="1:8" ht="14.1" customHeight="1" x14ac:dyDescent="0.2">
      <c r="A119" s="1"/>
      <c r="B119" s="1"/>
      <c r="C119" s="2" t="s">
        <v>143</v>
      </c>
      <c r="D119" s="1"/>
      <c r="E119" s="1"/>
      <c r="F119" s="12"/>
      <c r="G119" s="12"/>
      <c r="H119" s="51"/>
    </row>
    <row r="120" spans="1:8" ht="14.1" customHeight="1" x14ac:dyDescent="0.2">
      <c r="A120" s="1"/>
      <c r="B120" s="1"/>
      <c r="C120" s="2" t="s">
        <v>129</v>
      </c>
      <c r="D120" s="1"/>
      <c r="E120" s="1" t="s">
        <v>130</v>
      </c>
      <c r="F120" s="13">
        <v>0</v>
      </c>
      <c r="G120" s="14">
        <v>0</v>
      </c>
      <c r="H120" s="51"/>
    </row>
    <row r="121" spans="1:8" ht="14.1" customHeight="1" x14ac:dyDescent="0.2">
      <c r="A121" s="1"/>
      <c r="B121" s="1"/>
      <c r="C121" s="11"/>
      <c r="D121" s="1"/>
      <c r="E121" s="1"/>
      <c r="F121" s="12"/>
      <c r="G121" s="12"/>
      <c r="H121" s="51"/>
    </row>
    <row r="122" spans="1:8" ht="14.1" customHeight="1" x14ac:dyDescent="0.2">
      <c r="A122" s="1"/>
      <c r="B122" s="1"/>
      <c r="C122" s="2" t="s">
        <v>144</v>
      </c>
      <c r="D122" s="1"/>
      <c r="E122" s="1"/>
      <c r="F122" s="12"/>
      <c r="G122" s="12"/>
      <c r="H122" s="51"/>
    </row>
    <row r="123" spans="1:8" ht="14.1" customHeight="1" x14ac:dyDescent="0.2">
      <c r="A123" s="1"/>
      <c r="B123" s="1"/>
      <c r="C123" s="2" t="s">
        <v>129</v>
      </c>
      <c r="D123" s="1"/>
      <c r="E123" s="1" t="s">
        <v>130</v>
      </c>
      <c r="F123" s="13">
        <v>0</v>
      </c>
      <c r="G123" s="14">
        <v>0</v>
      </c>
      <c r="H123" s="51"/>
    </row>
    <row r="124" spans="1:8" ht="14.1" customHeight="1" x14ac:dyDescent="0.2">
      <c r="A124" s="1"/>
      <c r="B124" s="1"/>
      <c r="C124" s="11"/>
      <c r="D124" s="1"/>
      <c r="E124" s="1"/>
      <c r="F124" s="12"/>
      <c r="G124" s="12"/>
      <c r="H124" s="51"/>
    </row>
    <row r="125" spans="1:8" ht="14.1" customHeight="1" x14ac:dyDescent="0.2">
      <c r="A125" s="1"/>
      <c r="B125" s="1"/>
      <c r="C125" s="2" t="s">
        <v>145</v>
      </c>
      <c r="D125" s="1"/>
      <c r="E125" s="1"/>
      <c r="F125" s="12"/>
      <c r="G125" s="12"/>
      <c r="H125" s="51"/>
    </row>
    <row r="126" spans="1:8" ht="14.1" customHeight="1" x14ac:dyDescent="0.2">
      <c r="A126" s="1"/>
      <c r="B126" s="1"/>
      <c r="C126" s="2" t="s">
        <v>129</v>
      </c>
      <c r="D126" s="1"/>
      <c r="E126" s="1" t="s">
        <v>130</v>
      </c>
      <c r="F126" s="13">
        <v>0</v>
      </c>
      <c r="G126" s="14">
        <v>0</v>
      </c>
      <c r="H126" s="51"/>
    </row>
    <row r="127" spans="1:8" ht="14.1" customHeight="1" x14ac:dyDescent="0.2">
      <c r="A127" s="1"/>
      <c r="B127" s="1"/>
      <c r="C127" s="11"/>
      <c r="D127" s="1"/>
      <c r="E127" s="1"/>
      <c r="F127" s="12"/>
      <c r="G127" s="12"/>
      <c r="H127" s="51"/>
    </row>
    <row r="128" spans="1:8" ht="14.1" customHeight="1" x14ac:dyDescent="0.2">
      <c r="A128" s="1"/>
      <c r="B128" s="1"/>
      <c r="C128" s="2" t="s">
        <v>146</v>
      </c>
      <c r="D128" s="1"/>
      <c r="E128" s="1"/>
      <c r="F128" s="12"/>
      <c r="G128" s="12"/>
      <c r="H128" s="51"/>
    </row>
    <row r="129" spans="1:8" ht="17.100000000000001" customHeight="1" x14ac:dyDescent="0.2">
      <c r="A129" s="3">
        <v>1</v>
      </c>
      <c r="B129" s="4"/>
      <c r="C129" s="4" t="s">
        <v>147</v>
      </c>
      <c r="D129" s="4"/>
      <c r="E129" s="8"/>
      <c r="F129" s="6">
        <v>8252.3154128999995</v>
      </c>
      <c r="G129" s="7">
        <v>4.0454880999999998E-2</v>
      </c>
      <c r="H129" s="51">
        <v>6.1245112103248278</v>
      </c>
    </row>
    <row r="130" spans="1:8" ht="14.1" customHeight="1" x14ac:dyDescent="0.2">
      <c r="A130" s="1"/>
      <c r="B130" s="1"/>
      <c r="C130" s="2" t="s">
        <v>129</v>
      </c>
      <c r="D130" s="1"/>
      <c r="E130" s="1" t="s">
        <v>130</v>
      </c>
      <c r="F130" s="9">
        <v>8252.3154128999995</v>
      </c>
      <c r="G130" s="10">
        <v>4.0454880999999998E-2</v>
      </c>
      <c r="H130" s="51"/>
    </row>
    <row r="131" spans="1:8" ht="14.1" customHeight="1" x14ac:dyDescent="0.2">
      <c r="A131" s="1"/>
      <c r="B131" s="1"/>
      <c r="C131" s="11"/>
      <c r="D131" s="1"/>
      <c r="E131" s="1"/>
      <c r="F131" s="12"/>
      <c r="G131" s="12"/>
      <c r="H131" s="51"/>
    </row>
    <row r="132" spans="1:8" ht="14.1" customHeight="1" x14ac:dyDescent="0.2">
      <c r="A132" s="1"/>
      <c r="B132" s="1"/>
      <c r="C132" s="2" t="s">
        <v>148</v>
      </c>
      <c r="D132" s="1"/>
      <c r="E132" s="1"/>
      <c r="F132" s="9">
        <v>8252.3154128999995</v>
      </c>
      <c r="G132" s="10">
        <v>4.0454880999999998E-2</v>
      </c>
      <c r="H132" s="51"/>
    </row>
    <row r="133" spans="1:8" ht="14.1" customHeight="1" x14ac:dyDescent="0.2">
      <c r="A133" s="1"/>
      <c r="B133" s="1"/>
      <c r="C133" s="12"/>
      <c r="D133" s="1"/>
      <c r="E133" s="1"/>
      <c r="F133" s="1"/>
      <c r="G133" s="1"/>
      <c r="H133" s="51"/>
    </row>
    <row r="134" spans="1:8" ht="14.1" customHeight="1" x14ac:dyDescent="0.2">
      <c r="A134" s="1"/>
      <c r="B134" s="1"/>
      <c r="C134" s="2" t="s">
        <v>149</v>
      </c>
      <c r="D134" s="1"/>
      <c r="E134" s="1"/>
      <c r="F134" s="1"/>
      <c r="G134" s="1"/>
      <c r="H134" s="51"/>
    </row>
    <row r="135" spans="1:8" ht="14.1" customHeight="1" x14ac:dyDescent="0.2">
      <c r="A135" s="1"/>
      <c r="B135" s="1"/>
      <c r="C135" s="2" t="s">
        <v>150</v>
      </c>
      <c r="D135" s="1"/>
      <c r="E135" s="1"/>
      <c r="F135" s="1"/>
      <c r="G135" s="1"/>
      <c r="H135" s="51"/>
    </row>
    <row r="136" spans="1:8" ht="14.1" customHeight="1" x14ac:dyDescent="0.2">
      <c r="A136" s="1"/>
      <c r="B136" s="1"/>
      <c r="C136" s="2" t="s">
        <v>129</v>
      </c>
      <c r="D136" s="1"/>
      <c r="E136" s="1" t="s">
        <v>130</v>
      </c>
      <c r="F136" s="13">
        <v>0</v>
      </c>
      <c r="G136" s="14">
        <v>0</v>
      </c>
      <c r="H136" s="51"/>
    </row>
    <row r="137" spans="1:8" ht="14.1" customHeight="1" x14ac:dyDescent="0.2">
      <c r="A137" s="1"/>
      <c r="B137" s="1"/>
      <c r="C137" s="11"/>
      <c r="D137" s="1"/>
      <c r="E137" s="1"/>
      <c r="F137" s="12"/>
      <c r="G137" s="12"/>
      <c r="H137" s="51"/>
    </row>
    <row r="138" spans="1:8" ht="14.1" customHeight="1" x14ac:dyDescent="0.2">
      <c r="A138" s="1"/>
      <c r="B138" s="1"/>
      <c r="C138" s="2" t="s">
        <v>151</v>
      </c>
      <c r="D138" s="1"/>
      <c r="E138" s="1"/>
      <c r="F138" s="1"/>
      <c r="G138" s="1"/>
      <c r="H138" s="51"/>
    </row>
    <row r="139" spans="1:8" ht="14.1" customHeight="1" x14ac:dyDescent="0.2">
      <c r="A139" s="1"/>
      <c r="B139" s="1"/>
      <c r="C139" s="2" t="s">
        <v>152</v>
      </c>
      <c r="D139" s="1"/>
      <c r="E139" s="1"/>
      <c r="F139" s="1"/>
      <c r="G139" s="1"/>
      <c r="H139" s="51"/>
    </row>
    <row r="140" spans="1:8" ht="14.1" customHeight="1" x14ac:dyDescent="0.2">
      <c r="A140" s="1"/>
      <c r="B140" s="1"/>
      <c r="C140" s="2" t="s">
        <v>129</v>
      </c>
      <c r="D140" s="1"/>
      <c r="E140" s="1" t="s">
        <v>130</v>
      </c>
      <c r="F140" s="13">
        <v>0</v>
      </c>
      <c r="G140" s="14">
        <v>0</v>
      </c>
      <c r="H140" s="51"/>
    </row>
    <row r="141" spans="1:8" ht="14.1" customHeight="1" x14ac:dyDescent="0.2">
      <c r="A141" s="1"/>
      <c r="B141" s="1"/>
      <c r="C141" s="11"/>
      <c r="D141" s="1"/>
      <c r="E141" s="1"/>
      <c r="F141" s="12"/>
      <c r="G141" s="12"/>
      <c r="H141" s="51"/>
    </row>
    <row r="142" spans="1:8" ht="14.1" customHeight="1" x14ac:dyDescent="0.2">
      <c r="A142" s="1"/>
      <c r="B142" s="1"/>
      <c r="C142" s="11"/>
      <c r="D142" s="1"/>
      <c r="E142" s="1"/>
      <c r="F142" s="12"/>
      <c r="G142" s="12"/>
      <c r="H142" s="51"/>
    </row>
    <row r="143" spans="1:8" ht="24" customHeight="1" x14ac:dyDescent="0.2">
      <c r="A143" s="1"/>
      <c r="B143" s="1"/>
      <c r="C143" s="2" t="s">
        <v>153</v>
      </c>
      <c r="D143" s="1"/>
      <c r="E143" s="1"/>
      <c r="F143" s="12"/>
      <c r="G143" s="12"/>
      <c r="H143" s="51"/>
    </row>
    <row r="144" spans="1:8" ht="14.1" customHeight="1" x14ac:dyDescent="0.2">
      <c r="A144" s="1"/>
      <c r="B144" s="1"/>
      <c r="C144" s="2" t="s">
        <v>129</v>
      </c>
      <c r="D144" s="1"/>
      <c r="E144" s="1" t="s">
        <v>130</v>
      </c>
      <c r="F144" s="13">
        <v>0</v>
      </c>
      <c r="G144" s="14">
        <v>0</v>
      </c>
      <c r="H144" s="51"/>
    </row>
    <row r="145" spans="1:14" ht="14.1" customHeight="1" x14ac:dyDescent="0.2">
      <c r="A145" s="1"/>
      <c r="B145" s="1"/>
      <c r="C145" s="11"/>
      <c r="D145" s="1"/>
      <c r="E145" s="1"/>
      <c r="F145" s="12"/>
      <c r="G145" s="12"/>
      <c r="H145" s="51"/>
    </row>
    <row r="146" spans="1:14" ht="14.1" customHeight="1" x14ac:dyDescent="0.2">
      <c r="A146" s="1"/>
      <c r="B146" s="4"/>
      <c r="C146" s="4"/>
      <c r="D146" s="2"/>
      <c r="E146" s="1"/>
      <c r="F146" s="4"/>
      <c r="G146" s="8"/>
      <c r="H146" s="51"/>
    </row>
    <row r="147" spans="1:14" ht="18" customHeight="1" x14ac:dyDescent="0.2">
      <c r="A147" s="8"/>
      <c r="B147" s="4"/>
      <c r="C147" s="4" t="s">
        <v>154</v>
      </c>
      <c r="D147" s="4"/>
      <c r="E147" s="8"/>
      <c r="F147" s="6">
        <v>1464.4264567</v>
      </c>
      <c r="G147" s="7">
        <v>7.1789790000000003E-3</v>
      </c>
      <c r="H147" s="51"/>
    </row>
    <row r="148" spans="1:14" ht="14.1" customHeight="1" x14ac:dyDescent="0.2">
      <c r="A148" s="11"/>
      <c r="B148" s="11"/>
      <c r="C148" s="2" t="s">
        <v>155</v>
      </c>
      <c r="D148" s="15"/>
      <c r="E148" s="15"/>
      <c r="F148" s="9">
        <v>203988.12604411898</v>
      </c>
      <c r="G148" s="14">
        <v>0.99999999900000003</v>
      </c>
      <c r="H148" s="51"/>
    </row>
    <row r="149" spans="1:14" ht="14.1" customHeight="1" x14ac:dyDescent="0.2">
      <c r="A149" s="16"/>
      <c r="B149" s="16"/>
      <c r="C149" s="16"/>
      <c r="D149" s="17"/>
      <c r="E149" s="17"/>
      <c r="F149" s="17"/>
      <c r="G149" s="17"/>
    </row>
    <row r="150" spans="1:14" ht="14.1" customHeight="1" x14ac:dyDescent="0.2">
      <c r="A150" s="18"/>
      <c r="B150" s="327" t="s">
        <v>156</v>
      </c>
      <c r="C150" s="327"/>
      <c r="D150" s="327"/>
      <c r="E150" s="327"/>
      <c r="F150" s="327"/>
      <c r="G150" s="20"/>
    </row>
    <row r="151" spans="1:14" ht="14.1" customHeight="1" x14ac:dyDescent="0.2">
      <c r="A151" s="18"/>
      <c r="B151" s="18"/>
      <c r="C151" s="18"/>
      <c r="D151" s="20"/>
      <c r="E151" s="20"/>
      <c r="F151" s="20"/>
      <c r="G151" s="20"/>
    </row>
    <row r="152" spans="1:14" ht="14.1" customHeight="1" x14ac:dyDescent="0.2">
      <c r="A152" s="18"/>
      <c r="B152" s="325" t="s">
        <v>157</v>
      </c>
      <c r="C152" s="326"/>
      <c r="D152" s="12" t="s">
        <v>130</v>
      </c>
      <c r="E152" s="21"/>
      <c r="F152" s="20"/>
      <c r="G152" s="20"/>
    </row>
    <row r="153" spans="1:14" ht="29.1" customHeight="1" x14ac:dyDescent="0.2">
      <c r="A153" s="18"/>
      <c r="B153" s="318" t="s">
        <v>158</v>
      </c>
      <c r="C153" s="319"/>
      <c r="D153" s="2" t="s">
        <v>159</v>
      </c>
      <c r="E153" s="21"/>
      <c r="F153" s="20"/>
      <c r="G153" s="20"/>
    </row>
    <row r="154" spans="1:14" ht="17.100000000000001" customHeight="1" x14ac:dyDescent="0.2">
      <c r="A154" s="18"/>
      <c r="B154" s="318" t="s">
        <v>983</v>
      </c>
      <c r="C154" s="319"/>
      <c r="D154" s="2" t="s">
        <v>995</v>
      </c>
      <c r="E154" s="21"/>
      <c r="F154" s="20"/>
      <c r="G154" s="20"/>
    </row>
    <row r="155" spans="1:14" ht="17.100000000000001" customHeight="1" x14ac:dyDescent="0.2">
      <c r="A155" s="18"/>
      <c r="B155" s="318" t="s">
        <v>161</v>
      </c>
      <c r="C155" s="319"/>
      <c r="D155" s="12" t="s">
        <v>130</v>
      </c>
      <c r="E155" s="21"/>
      <c r="F155" s="20"/>
      <c r="G155" s="20"/>
    </row>
    <row r="156" spans="1:14" ht="24" customHeight="1" x14ac:dyDescent="0.2">
      <c r="A156" s="22"/>
      <c r="B156" s="23" t="s">
        <v>130</v>
      </c>
      <c r="C156" s="23" t="s">
        <v>162</v>
      </c>
      <c r="D156" s="23" t="s">
        <v>163</v>
      </c>
      <c r="E156" s="22"/>
      <c r="F156" s="22"/>
      <c r="G156" s="22"/>
    </row>
    <row r="157" spans="1:14" ht="18" customHeight="1" x14ac:dyDescent="0.2">
      <c r="A157" s="22"/>
      <c r="B157" s="23" t="s">
        <v>164</v>
      </c>
      <c r="C157" s="23" t="s">
        <v>165</v>
      </c>
      <c r="D157" s="23" t="s">
        <v>166</v>
      </c>
      <c r="E157" s="22"/>
      <c r="F157" s="22"/>
      <c r="G157" s="22"/>
      <c r="J157" s="158"/>
      <c r="K157" s="158"/>
      <c r="L157" s="158"/>
      <c r="M157" s="158"/>
      <c r="N157" s="158"/>
    </row>
    <row r="158" spans="1:14" ht="17.100000000000001" customHeight="1" x14ac:dyDescent="0.2">
      <c r="A158" s="22"/>
      <c r="B158" s="4" t="s">
        <v>167</v>
      </c>
      <c r="C158" s="24">
        <v>159.0504</v>
      </c>
      <c r="D158" s="24">
        <v>159.1704</v>
      </c>
      <c r="E158" s="22"/>
      <c r="F158" s="19"/>
      <c r="G158" s="25"/>
    </row>
    <row r="159" spans="1:14" ht="17.100000000000001" customHeight="1" x14ac:dyDescent="0.2">
      <c r="A159" s="22"/>
      <c r="B159" s="4" t="s">
        <v>1067</v>
      </c>
      <c r="C159" s="24">
        <v>27.8733</v>
      </c>
      <c r="D159" s="24">
        <v>27.894200000000001</v>
      </c>
      <c r="E159" s="22"/>
      <c r="F159" s="19"/>
      <c r="G159" s="25"/>
    </row>
    <row r="160" spans="1:14" ht="17.100000000000001" customHeight="1" x14ac:dyDescent="0.2">
      <c r="A160" s="22"/>
      <c r="B160" s="4" t="s">
        <v>168</v>
      </c>
      <c r="C160" s="24">
        <v>148.3407</v>
      </c>
      <c r="D160" s="24">
        <v>148.30330000000001</v>
      </c>
      <c r="E160" s="22"/>
      <c r="F160" s="19"/>
      <c r="G160" s="25"/>
    </row>
    <row r="161" spans="1:7" ht="17.100000000000001" customHeight="1" x14ac:dyDescent="0.2">
      <c r="A161" s="22"/>
      <c r="B161" s="4" t="s">
        <v>1068</v>
      </c>
      <c r="C161" s="24">
        <v>25.3018</v>
      </c>
      <c r="D161" s="24">
        <v>25.295300000000001</v>
      </c>
      <c r="E161" s="22"/>
      <c r="F161" s="19"/>
      <c r="G161" s="25"/>
    </row>
    <row r="162" spans="1:7" ht="14.1" customHeight="1" x14ac:dyDescent="0.2">
      <c r="A162" s="22"/>
      <c r="B162" s="22"/>
      <c r="C162" s="22"/>
      <c r="D162" s="22"/>
      <c r="E162" s="22"/>
      <c r="F162" s="22"/>
      <c r="G162" s="22"/>
    </row>
    <row r="163" spans="1:7" ht="17.100000000000001" customHeight="1" x14ac:dyDescent="0.2">
      <c r="A163" s="22"/>
      <c r="B163" s="318" t="s">
        <v>1069</v>
      </c>
      <c r="C163" s="319"/>
      <c r="D163" s="111" t="s">
        <v>159</v>
      </c>
      <c r="E163" s="22"/>
      <c r="F163" s="22"/>
      <c r="G163" s="22"/>
    </row>
    <row r="164" spans="1:7" ht="18" customHeight="1" x14ac:dyDescent="0.2">
      <c r="A164" s="22"/>
      <c r="B164" s="26"/>
      <c r="C164" s="26"/>
      <c r="D164" s="27"/>
      <c r="E164" s="22"/>
      <c r="F164" s="22"/>
      <c r="G164" s="22"/>
    </row>
    <row r="165" spans="1:7" ht="29.1" customHeight="1" x14ac:dyDescent="0.2">
      <c r="A165" s="22"/>
      <c r="B165" s="318" t="s">
        <v>169</v>
      </c>
      <c r="C165" s="319"/>
      <c r="D165" s="2" t="s">
        <v>159</v>
      </c>
      <c r="E165" s="22"/>
      <c r="F165" s="22"/>
      <c r="G165" s="22"/>
    </row>
    <row r="166" spans="1:7" ht="29.1" customHeight="1" x14ac:dyDescent="0.2">
      <c r="A166" s="22"/>
      <c r="B166" s="318" t="s">
        <v>170</v>
      </c>
      <c r="C166" s="319"/>
      <c r="D166" s="2" t="s">
        <v>159</v>
      </c>
      <c r="E166" s="22"/>
      <c r="F166" s="22"/>
      <c r="G166" s="22"/>
    </row>
    <row r="167" spans="1:7" ht="17.100000000000001" customHeight="1" x14ac:dyDescent="0.2">
      <c r="A167" s="22"/>
      <c r="B167" s="318" t="s">
        <v>171</v>
      </c>
      <c r="C167" s="319"/>
      <c r="D167" s="28">
        <v>0.48207295430057068</v>
      </c>
      <c r="E167" s="22"/>
      <c r="F167" s="19"/>
      <c r="G167" s="25"/>
    </row>
    <row r="168" spans="1:7" ht="17.100000000000001" customHeight="1" x14ac:dyDescent="0.2">
      <c r="A168" s="22"/>
      <c r="B168" s="318" t="s">
        <v>172</v>
      </c>
      <c r="C168" s="319"/>
      <c r="D168" s="2" t="s">
        <v>159</v>
      </c>
      <c r="E168" s="22"/>
      <c r="F168" s="22"/>
      <c r="G168" s="22"/>
    </row>
  </sheetData>
  <mergeCells count="14">
    <mergeCell ref="A1:H1"/>
    <mergeCell ref="A2:H2"/>
    <mergeCell ref="A3:H3"/>
    <mergeCell ref="J2:N2"/>
    <mergeCell ref="B167:C167"/>
    <mergeCell ref="B152:C152"/>
    <mergeCell ref="B150:F150"/>
    <mergeCell ref="B168:C168"/>
    <mergeCell ref="B153:C153"/>
    <mergeCell ref="B154:C154"/>
    <mergeCell ref="B155:C155"/>
    <mergeCell ref="B163:C163"/>
    <mergeCell ref="B165:C165"/>
    <mergeCell ref="B166:C166"/>
  </mergeCells>
  <hyperlinks>
    <hyperlink ref="I1" location="Index!B23" display="Index" xr:uid="{6BB39CAF-7374-4201-8DDA-A2CE85A432B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B475C-312D-4E04-A654-DA538A75828F}">
  <sheetPr>
    <outlinePr summaryBelow="0" summaryRight="0"/>
  </sheetPr>
  <dimension ref="A1:P217"/>
  <sheetViews>
    <sheetView showGridLines="0" workbookViewId="0">
      <selection sqref="A1:I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0.28515625" customWidth="1"/>
    <col min="9" max="9" width="11.85546875" customWidth="1"/>
    <col min="10" max="10" width="9.5703125" bestFit="1" customWidth="1"/>
    <col min="11" max="11" width="16.7109375" bestFit="1" customWidth="1"/>
    <col min="16" max="16" width="9.140625" style="123"/>
  </cols>
  <sheetData>
    <row r="1" spans="1:15" ht="18" customHeight="1" x14ac:dyDescent="0.2">
      <c r="A1" s="338" t="s">
        <v>0</v>
      </c>
      <c r="B1" s="338"/>
      <c r="C1" s="338"/>
      <c r="D1" s="338"/>
      <c r="E1" s="338"/>
      <c r="F1" s="338"/>
      <c r="G1" s="338"/>
      <c r="H1" s="338"/>
      <c r="I1" s="338"/>
      <c r="J1" s="159" t="s">
        <v>1088</v>
      </c>
      <c r="K1" s="41"/>
      <c r="L1" s="41"/>
      <c r="M1" s="41"/>
      <c r="N1" s="41"/>
      <c r="O1" s="41"/>
    </row>
    <row r="2" spans="1:15" ht="17.100000000000001" customHeight="1" x14ac:dyDescent="0.2">
      <c r="A2" s="338" t="s">
        <v>1078</v>
      </c>
      <c r="B2" s="339"/>
      <c r="C2" s="339"/>
      <c r="D2" s="339"/>
      <c r="E2" s="339"/>
      <c r="F2" s="339"/>
      <c r="G2" s="339"/>
      <c r="H2" s="339"/>
      <c r="I2" s="339"/>
      <c r="K2" s="324" t="s">
        <v>1089</v>
      </c>
      <c r="L2" s="324"/>
      <c r="M2" s="324"/>
      <c r="N2" s="324"/>
      <c r="O2" s="324"/>
    </row>
    <row r="3" spans="1:15" ht="21" customHeight="1" x14ac:dyDescent="0.2">
      <c r="A3" s="338" t="s">
        <v>986</v>
      </c>
      <c r="B3" s="338"/>
      <c r="C3" s="338"/>
      <c r="D3" s="338"/>
      <c r="E3" s="338"/>
      <c r="F3" s="338"/>
      <c r="G3" s="338"/>
      <c r="H3" s="338"/>
      <c r="I3" s="338"/>
      <c r="K3" s="41"/>
      <c r="L3" s="41"/>
      <c r="M3" s="41"/>
      <c r="N3" s="41"/>
      <c r="O3" s="41"/>
    </row>
    <row r="4" spans="1:15" s="113" customFormat="1" ht="30" x14ac:dyDescent="0.2">
      <c r="A4" s="148" t="s">
        <v>2</v>
      </c>
      <c r="B4" s="148" t="s">
        <v>3</v>
      </c>
      <c r="C4" s="148" t="s">
        <v>4</v>
      </c>
      <c r="D4" s="148" t="s">
        <v>5</v>
      </c>
      <c r="E4" s="148" t="s">
        <v>6</v>
      </c>
      <c r="F4" s="148" t="s">
        <v>7</v>
      </c>
      <c r="G4" s="148" t="s">
        <v>8</v>
      </c>
      <c r="H4" s="101" t="s">
        <v>972</v>
      </c>
      <c r="I4" s="149" t="s">
        <v>1065</v>
      </c>
      <c r="K4" s="160"/>
      <c r="L4" s="160"/>
      <c r="M4" s="160"/>
      <c r="N4" s="160"/>
      <c r="O4" s="160"/>
    </row>
    <row r="5" spans="1:15" ht="14.1" customHeight="1" x14ac:dyDescent="0.2">
      <c r="A5" s="1"/>
      <c r="B5" s="1"/>
      <c r="C5" s="2" t="s">
        <v>9</v>
      </c>
      <c r="D5" s="1"/>
      <c r="E5" s="1"/>
      <c r="F5" s="1"/>
      <c r="G5" s="1"/>
      <c r="H5" s="51"/>
      <c r="I5" s="67"/>
      <c r="K5" s="41"/>
      <c r="L5" s="41"/>
      <c r="M5" s="41"/>
      <c r="N5" s="41"/>
      <c r="O5" s="41"/>
    </row>
    <row r="6" spans="1:15" ht="24" customHeight="1" x14ac:dyDescent="0.2">
      <c r="A6" s="1"/>
      <c r="B6" s="1"/>
      <c r="C6" s="2" t="s">
        <v>10</v>
      </c>
      <c r="D6" s="1"/>
      <c r="E6" s="1"/>
      <c r="F6" s="1"/>
      <c r="G6" s="1"/>
      <c r="H6" s="51"/>
      <c r="I6" s="67"/>
      <c r="K6" s="41"/>
      <c r="L6" s="41"/>
      <c r="M6" s="41"/>
      <c r="N6" s="41"/>
      <c r="O6" s="41"/>
    </row>
    <row r="7" spans="1:15" ht="17.100000000000001" customHeight="1" x14ac:dyDescent="0.2">
      <c r="A7" s="3">
        <v>1</v>
      </c>
      <c r="B7" s="4" t="s">
        <v>14</v>
      </c>
      <c r="C7" s="4" t="s">
        <v>15</v>
      </c>
      <c r="D7" s="4" t="s">
        <v>16</v>
      </c>
      <c r="E7" s="5">
        <v>2250000</v>
      </c>
      <c r="F7" s="6">
        <v>19395</v>
      </c>
      <c r="G7" s="7">
        <v>6.3481903000000006E-2</v>
      </c>
      <c r="H7" s="51"/>
      <c r="I7" s="67"/>
      <c r="K7" s="41"/>
      <c r="L7" s="41"/>
      <c r="M7" s="41"/>
      <c r="N7" s="41"/>
      <c r="O7" s="41"/>
    </row>
    <row r="8" spans="1:15" ht="17.100000000000001" customHeight="1" x14ac:dyDescent="0.2">
      <c r="A8" s="3">
        <v>2</v>
      </c>
      <c r="B8" s="4" t="s">
        <v>269</v>
      </c>
      <c r="C8" s="4" t="s">
        <v>270</v>
      </c>
      <c r="D8" s="4" t="s">
        <v>16</v>
      </c>
      <c r="E8" s="5">
        <v>1073578</v>
      </c>
      <c r="F8" s="6">
        <v>15259.300902999999</v>
      </c>
      <c r="G8" s="7">
        <v>4.9945319000000002E-2</v>
      </c>
      <c r="H8" s="51"/>
      <c r="I8" s="67"/>
      <c r="K8" s="41"/>
      <c r="L8" s="41"/>
      <c r="M8" s="41"/>
      <c r="N8" s="41"/>
      <c r="O8" s="41"/>
    </row>
    <row r="9" spans="1:15" ht="17.100000000000001" customHeight="1" x14ac:dyDescent="0.2">
      <c r="A9" s="3">
        <v>3</v>
      </c>
      <c r="B9" s="4" t="s">
        <v>20</v>
      </c>
      <c r="C9" s="4" t="s">
        <v>21</v>
      </c>
      <c r="D9" s="4" t="s">
        <v>22</v>
      </c>
      <c r="E9" s="5">
        <v>640000</v>
      </c>
      <c r="F9" s="6">
        <v>15217.6</v>
      </c>
      <c r="G9" s="7">
        <v>4.9808827E-2</v>
      </c>
      <c r="H9" s="51"/>
      <c r="I9" s="67"/>
      <c r="K9" s="41"/>
      <c r="L9" s="41"/>
      <c r="M9" s="41"/>
      <c r="N9" s="41"/>
      <c r="O9" s="41"/>
    </row>
    <row r="10" spans="1:15" ht="17.100000000000001" customHeight="1" x14ac:dyDescent="0.2">
      <c r="A10" s="3">
        <v>4</v>
      </c>
      <c r="B10" s="4" t="s">
        <v>296</v>
      </c>
      <c r="C10" s="4" t="s">
        <v>297</v>
      </c>
      <c r="D10" s="4" t="s">
        <v>223</v>
      </c>
      <c r="E10" s="5">
        <v>1066958</v>
      </c>
      <c r="F10" s="6">
        <v>15080.917851</v>
      </c>
      <c r="G10" s="7">
        <v>4.9361452E-2</v>
      </c>
      <c r="H10" s="51"/>
      <c r="I10" s="67"/>
      <c r="K10" s="41"/>
      <c r="L10" s="41"/>
      <c r="M10" s="41"/>
      <c r="N10" s="41"/>
      <c r="O10" s="41"/>
    </row>
    <row r="11" spans="1:15" ht="17.100000000000001" customHeight="1" x14ac:dyDescent="0.2">
      <c r="A11" s="3">
        <v>5</v>
      </c>
      <c r="B11" s="4" t="s">
        <v>17</v>
      </c>
      <c r="C11" s="4" t="s">
        <v>18</v>
      </c>
      <c r="D11" s="4" t="s">
        <v>19</v>
      </c>
      <c r="E11" s="5">
        <v>1391966</v>
      </c>
      <c r="F11" s="6">
        <v>11134.336034</v>
      </c>
      <c r="G11" s="7">
        <v>3.6443868999999997E-2</v>
      </c>
      <c r="H11" s="51"/>
      <c r="I11" s="67"/>
      <c r="K11" s="41"/>
      <c r="L11" s="41"/>
      <c r="M11" s="41"/>
      <c r="N11" s="41"/>
      <c r="O11" s="41"/>
    </row>
    <row r="12" spans="1:15" ht="29.1" customHeight="1" x14ac:dyDescent="0.2">
      <c r="A12" s="3">
        <v>6</v>
      </c>
      <c r="B12" s="4" t="s">
        <v>304</v>
      </c>
      <c r="C12" s="4" t="s">
        <v>305</v>
      </c>
      <c r="D12" s="4" t="s">
        <v>203</v>
      </c>
      <c r="E12" s="5">
        <v>1075000</v>
      </c>
      <c r="F12" s="6">
        <v>10197.987499999999</v>
      </c>
      <c r="G12" s="7">
        <v>3.3379100000000002E-2</v>
      </c>
      <c r="H12" s="51"/>
      <c r="I12" s="67"/>
      <c r="K12" s="157" t="s">
        <v>1101</v>
      </c>
      <c r="L12" s="41"/>
      <c r="M12" s="41"/>
      <c r="N12" s="41"/>
      <c r="O12" s="41"/>
    </row>
    <row r="13" spans="1:15" ht="29.1" customHeight="1" x14ac:dyDescent="0.2">
      <c r="A13" s="3">
        <v>7</v>
      </c>
      <c r="B13" s="4" t="s">
        <v>298</v>
      </c>
      <c r="C13" s="4" t="s">
        <v>299</v>
      </c>
      <c r="D13" s="4" t="s">
        <v>97</v>
      </c>
      <c r="E13" s="5">
        <v>412159</v>
      </c>
      <c r="F13" s="6">
        <v>9429.1675224999999</v>
      </c>
      <c r="G13" s="7">
        <v>3.0862671000000001E-2</v>
      </c>
      <c r="H13" s="51"/>
      <c r="I13" s="67"/>
      <c r="K13" s="41"/>
      <c r="L13" s="41"/>
      <c r="M13" s="41"/>
      <c r="N13" s="41"/>
      <c r="O13" s="41"/>
    </row>
    <row r="14" spans="1:15" ht="17.100000000000001" customHeight="1" x14ac:dyDescent="0.2">
      <c r="A14" s="3">
        <v>8</v>
      </c>
      <c r="B14" s="4" t="s">
        <v>41</v>
      </c>
      <c r="C14" s="4" t="s">
        <v>42</v>
      </c>
      <c r="D14" s="4" t="s">
        <v>16</v>
      </c>
      <c r="E14" s="5">
        <v>1675000</v>
      </c>
      <c r="F14" s="6">
        <v>8887.5499999999993</v>
      </c>
      <c r="G14" s="7">
        <v>2.9089898999999999E-2</v>
      </c>
      <c r="H14" s="51"/>
      <c r="I14" s="67"/>
      <c r="K14" s="41"/>
      <c r="L14" s="41"/>
      <c r="M14" s="41"/>
      <c r="N14" s="41"/>
      <c r="O14" s="41"/>
    </row>
    <row r="15" spans="1:15" ht="17.100000000000001" customHeight="1" x14ac:dyDescent="0.2">
      <c r="A15" s="3">
        <v>9</v>
      </c>
      <c r="B15" s="4" t="s">
        <v>11</v>
      </c>
      <c r="C15" s="4" t="s">
        <v>12</v>
      </c>
      <c r="D15" s="4" t="s">
        <v>13</v>
      </c>
      <c r="E15" s="5">
        <v>425000</v>
      </c>
      <c r="F15" s="6">
        <v>7852.7250000000004</v>
      </c>
      <c r="G15" s="7">
        <v>2.5702806000000002E-2</v>
      </c>
      <c r="H15" s="51"/>
      <c r="I15" s="67"/>
      <c r="K15" s="41"/>
      <c r="L15" s="41"/>
      <c r="M15" s="41"/>
      <c r="N15" s="41"/>
      <c r="O15" s="41"/>
    </row>
    <row r="16" spans="1:15" ht="17.100000000000001" customHeight="1" x14ac:dyDescent="0.2">
      <c r="A16" s="3">
        <v>10</v>
      </c>
      <c r="B16" s="4" t="s">
        <v>300</v>
      </c>
      <c r="C16" s="4" t="s">
        <v>301</v>
      </c>
      <c r="D16" s="4" t="s">
        <v>235</v>
      </c>
      <c r="E16" s="5">
        <v>543096</v>
      </c>
      <c r="F16" s="6">
        <v>6791.1439319999999</v>
      </c>
      <c r="G16" s="7">
        <v>2.2228138000000001E-2</v>
      </c>
      <c r="H16" s="51"/>
      <c r="I16" s="67"/>
      <c r="K16" s="41"/>
      <c r="L16" s="41"/>
      <c r="M16" s="41"/>
      <c r="N16" s="41"/>
      <c r="O16" s="41"/>
    </row>
    <row r="17" spans="1:15" ht="17.100000000000001" customHeight="1" x14ac:dyDescent="0.2">
      <c r="A17" s="3">
        <v>11</v>
      </c>
      <c r="B17" s="4" t="s">
        <v>179</v>
      </c>
      <c r="C17" s="4" t="s">
        <v>180</v>
      </c>
      <c r="D17" s="4" t="s">
        <v>181</v>
      </c>
      <c r="E17" s="5">
        <v>627471</v>
      </c>
      <c r="F17" s="6">
        <v>6552.0521820000004</v>
      </c>
      <c r="G17" s="7">
        <v>2.1445565E-2</v>
      </c>
      <c r="H17" s="51"/>
      <c r="I17" s="67"/>
      <c r="K17" s="41"/>
      <c r="L17" s="41"/>
      <c r="M17" s="41"/>
      <c r="N17" s="41"/>
      <c r="O17" s="41"/>
    </row>
    <row r="18" spans="1:15" ht="17.100000000000001" customHeight="1" x14ac:dyDescent="0.2">
      <c r="A18" s="3">
        <v>12</v>
      </c>
      <c r="B18" s="4" t="s">
        <v>195</v>
      </c>
      <c r="C18" s="4" t="s">
        <v>196</v>
      </c>
      <c r="D18" s="4" t="s">
        <v>16</v>
      </c>
      <c r="E18" s="5">
        <v>760000</v>
      </c>
      <c r="F18" s="6">
        <v>5572.32</v>
      </c>
      <c r="G18" s="7">
        <v>1.8238797000000001E-2</v>
      </c>
      <c r="H18" s="51"/>
      <c r="I18" s="67"/>
      <c r="K18" s="41"/>
      <c r="L18" s="41"/>
      <c r="M18" s="41"/>
      <c r="N18" s="41"/>
      <c r="O18" s="41"/>
    </row>
    <row r="19" spans="1:15" ht="17.100000000000001" customHeight="1" x14ac:dyDescent="0.2">
      <c r="A19" s="3">
        <v>13</v>
      </c>
      <c r="B19" s="4" t="s">
        <v>606</v>
      </c>
      <c r="C19" s="4" t="s">
        <v>607</v>
      </c>
      <c r="D19" s="4" t="s">
        <v>181</v>
      </c>
      <c r="E19" s="5">
        <v>640000</v>
      </c>
      <c r="F19" s="6">
        <v>5390.72</v>
      </c>
      <c r="G19" s="7">
        <v>1.7644401000000001E-2</v>
      </c>
      <c r="H19" s="51"/>
      <c r="I19" s="67"/>
      <c r="K19" s="41"/>
      <c r="L19" s="41"/>
      <c r="M19" s="41"/>
      <c r="N19" s="41"/>
      <c r="O19" s="41"/>
    </row>
    <row r="20" spans="1:15" ht="29.1" customHeight="1" x14ac:dyDescent="0.2">
      <c r="A20" s="3">
        <v>14</v>
      </c>
      <c r="B20" s="4" t="s">
        <v>488</v>
      </c>
      <c r="C20" s="4" t="s">
        <v>489</v>
      </c>
      <c r="D20" s="4" t="s">
        <v>203</v>
      </c>
      <c r="E20" s="5">
        <v>471000</v>
      </c>
      <c r="F20" s="6">
        <v>5251.4144999999999</v>
      </c>
      <c r="G20" s="7">
        <v>1.7188439999999999E-2</v>
      </c>
      <c r="H20" s="51"/>
      <c r="I20" s="67"/>
      <c r="K20" s="41"/>
      <c r="L20" s="41"/>
      <c r="M20" s="41"/>
      <c r="N20" s="41"/>
      <c r="O20" s="41"/>
    </row>
    <row r="21" spans="1:15" ht="17.100000000000001" customHeight="1" x14ac:dyDescent="0.2">
      <c r="A21" s="3">
        <v>15</v>
      </c>
      <c r="B21" s="4" t="s">
        <v>261</v>
      </c>
      <c r="C21" s="4" t="s">
        <v>262</v>
      </c>
      <c r="D21" s="4" t="s">
        <v>97</v>
      </c>
      <c r="E21" s="5">
        <v>262500</v>
      </c>
      <c r="F21" s="6">
        <v>4405.6687499999998</v>
      </c>
      <c r="G21" s="7">
        <v>1.4420224000000001E-2</v>
      </c>
      <c r="H21" s="51"/>
      <c r="I21" s="67"/>
      <c r="K21" s="41"/>
      <c r="L21" s="41"/>
      <c r="M21" s="41"/>
      <c r="N21" s="41"/>
      <c r="O21" s="41"/>
    </row>
    <row r="22" spans="1:15" ht="17.100000000000001" customHeight="1" x14ac:dyDescent="0.2">
      <c r="A22" s="3">
        <v>16</v>
      </c>
      <c r="B22" s="4" t="s">
        <v>393</v>
      </c>
      <c r="C22" s="4" t="s">
        <v>394</v>
      </c>
      <c r="D22" s="4" t="s">
        <v>97</v>
      </c>
      <c r="E22" s="5">
        <v>500363</v>
      </c>
      <c r="F22" s="6">
        <v>4370.9209865000003</v>
      </c>
      <c r="G22" s="7">
        <v>1.430649E-2</v>
      </c>
      <c r="H22" s="51"/>
      <c r="I22" s="67"/>
      <c r="K22" s="41"/>
      <c r="L22" s="41"/>
      <c r="M22" s="41"/>
      <c r="N22" s="41"/>
      <c r="O22" s="41"/>
    </row>
    <row r="23" spans="1:15" ht="17.100000000000001" customHeight="1" x14ac:dyDescent="0.2">
      <c r="A23" s="3">
        <v>17</v>
      </c>
      <c r="B23" s="4" t="s">
        <v>389</v>
      </c>
      <c r="C23" s="4" t="s">
        <v>390</v>
      </c>
      <c r="D23" s="4" t="s">
        <v>248</v>
      </c>
      <c r="E23" s="5">
        <v>550000</v>
      </c>
      <c r="F23" s="6">
        <v>3951.2</v>
      </c>
      <c r="G23" s="7">
        <v>1.2932699000000001E-2</v>
      </c>
      <c r="H23" s="51"/>
      <c r="I23" s="67"/>
      <c r="K23" s="41"/>
      <c r="L23" s="41"/>
      <c r="M23" s="41"/>
      <c r="N23" s="41"/>
      <c r="O23" s="41"/>
    </row>
    <row r="24" spans="1:15" ht="17.100000000000001" customHeight="1" x14ac:dyDescent="0.2">
      <c r="A24" s="3">
        <v>18</v>
      </c>
      <c r="B24" s="4" t="s">
        <v>228</v>
      </c>
      <c r="C24" s="4" t="s">
        <v>229</v>
      </c>
      <c r="D24" s="4" t="s">
        <v>31</v>
      </c>
      <c r="E24" s="5">
        <v>175000</v>
      </c>
      <c r="F24" s="6">
        <v>3906.7874999999999</v>
      </c>
      <c r="G24" s="7">
        <v>1.2787332E-2</v>
      </c>
      <c r="H24" s="51"/>
      <c r="I24" s="67"/>
      <c r="K24" s="41"/>
      <c r="L24" s="41"/>
      <c r="M24" s="41"/>
      <c r="N24" s="41"/>
      <c r="O24" s="41"/>
    </row>
    <row r="25" spans="1:15" ht="53.1" customHeight="1" x14ac:dyDescent="0.2">
      <c r="A25" s="3">
        <v>19</v>
      </c>
      <c r="B25" s="4" t="s">
        <v>43</v>
      </c>
      <c r="C25" s="4" t="s">
        <v>44</v>
      </c>
      <c r="D25" s="4" t="s">
        <v>45</v>
      </c>
      <c r="E25" s="5">
        <v>2496366</v>
      </c>
      <c r="F25" s="6">
        <v>3810.7026989999999</v>
      </c>
      <c r="G25" s="7">
        <v>1.2472835999999999E-2</v>
      </c>
      <c r="H25" s="51"/>
      <c r="I25" s="67"/>
      <c r="K25" s="41"/>
      <c r="L25" s="41"/>
      <c r="M25" s="41"/>
      <c r="N25" s="41"/>
      <c r="O25" s="41"/>
    </row>
    <row r="26" spans="1:15" ht="29.1" customHeight="1" x14ac:dyDescent="0.2">
      <c r="A26" s="3">
        <v>20</v>
      </c>
      <c r="B26" s="4" t="s">
        <v>365</v>
      </c>
      <c r="C26" s="4" t="s">
        <v>366</v>
      </c>
      <c r="D26" s="4" t="s">
        <v>367</v>
      </c>
      <c r="E26" s="5">
        <v>470000</v>
      </c>
      <c r="F26" s="6">
        <v>3773.395</v>
      </c>
      <c r="G26" s="7">
        <v>1.2350724E-2</v>
      </c>
      <c r="H26" s="51"/>
      <c r="I26" s="67"/>
      <c r="K26" s="41"/>
      <c r="L26" s="41"/>
      <c r="M26" s="41"/>
      <c r="N26" s="41"/>
      <c r="O26" s="41"/>
    </row>
    <row r="27" spans="1:15" ht="17.100000000000001" customHeight="1" x14ac:dyDescent="0.2">
      <c r="A27" s="3">
        <v>21</v>
      </c>
      <c r="B27" s="4" t="s">
        <v>584</v>
      </c>
      <c r="C27" s="4" t="s">
        <v>585</v>
      </c>
      <c r="D27" s="4" t="s">
        <v>69</v>
      </c>
      <c r="E27" s="5">
        <v>100802</v>
      </c>
      <c r="F27" s="6">
        <v>3701.0462320000001</v>
      </c>
      <c r="G27" s="7">
        <v>1.2113919000000001E-2</v>
      </c>
      <c r="H27" s="51"/>
      <c r="I27" s="67"/>
      <c r="K27" s="41"/>
      <c r="L27" s="41"/>
      <c r="M27" s="41"/>
      <c r="N27" s="41"/>
      <c r="O27" s="41"/>
    </row>
    <row r="28" spans="1:15" ht="29.1" customHeight="1" x14ac:dyDescent="0.2">
      <c r="A28" s="3">
        <v>22</v>
      </c>
      <c r="B28" s="4" t="s">
        <v>185</v>
      </c>
      <c r="C28" s="4" t="s">
        <v>186</v>
      </c>
      <c r="D28" s="4" t="s">
        <v>104</v>
      </c>
      <c r="E28" s="5">
        <v>846797</v>
      </c>
      <c r="F28" s="6">
        <v>3487.9568429999999</v>
      </c>
      <c r="G28" s="7">
        <v>1.1416455000000001E-2</v>
      </c>
      <c r="H28" s="51"/>
      <c r="I28" s="67"/>
      <c r="K28" s="41"/>
      <c r="L28" s="41"/>
      <c r="M28" s="41"/>
      <c r="N28" s="41"/>
      <c r="O28" s="41"/>
    </row>
    <row r="29" spans="1:15" ht="17.100000000000001" customHeight="1" x14ac:dyDescent="0.2">
      <c r="A29" s="3">
        <v>23</v>
      </c>
      <c r="B29" s="4" t="s">
        <v>338</v>
      </c>
      <c r="C29" s="4" t="s">
        <v>339</v>
      </c>
      <c r="D29" s="4" t="s">
        <v>16</v>
      </c>
      <c r="E29" s="5">
        <v>290005</v>
      </c>
      <c r="F29" s="6">
        <v>3437.1392599999999</v>
      </c>
      <c r="G29" s="7">
        <v>1.1250123000000001E-2</v>
      </c>
      <c r="H29" s="51"/>
      <c r="I29" s="67"/>
    </row>
    <row r="30" spans="1:15" ht="17.100000000000001" customHeight="1" x14ac:dyDescent="0.2">
      <c r="A30" s="3">
        <v>24</v>
      </c>
      <c r="B30" s="4" t="s">
        <v>67</v>
      </c>
      <c r="C30" s="4" t="s">
        <v>68</v>
      </c>
      <c r="D30" s="4" t="s">
        <v>69</v>
      </c>
      <c r="E30" s="5">
        <v>38124</v>
      </c>
      <c r="F30" s="6">
        <v>3365.6439059999998</v>
      </c>
      <c r="G30" s="7">
        <v>1.1016111E-2</v>
      </c>
      <c r="H30" s="51"/>
      <c r="I30" s="67"/>
    </row>
    <row r="31" spans="1:15" ht="17.100000000000001" customHeight="1" x14ac:dyDescent="0.2">
      <c r="A31" s="3">
        <v>25</v>
      </c>
      <c r="B31" s="4" t="s">
        <v>70</v>
      </c>
      <c r="C31" s="4" t="s">
        <v>71</v>
      </c>
      <c r="D31" s="4" t="s">
        <v>72</v>
      </c>
      <c r="E31" s="5">
        <v>102500</v>
      </c>
      <c r="F31" s="6">
        <v>3292.6587500000001</v>
      </c>
      <c r="G31" s="7">
        <v>1.0777223000000001E-2</v>
      </c>
      <c r="H31" s="51"/>
      <c r="I31" s="67"/>
    </row>
    <row r="32" spans="1:15" ht="29.1" customHeight="1" x14ac:dyDescent="0.2">
      <c r="A32" s="3">
        <v>26</v>
      </c>
      <c r="B32" s="4" t="s">
        <v>236</v>
      </c>
      <c r="C32" s="4" t="s">
        <v>237</v>
      </c>
      <c r="D32" s="4" t="s">
        <v>203</v>
      </c>
      <c r="E32" s="5">
        <v>151887</v>
      </c>
      <c r="F32" s="6">
        <v>3178.7670794999999</v>
      </c>
      <c r="G32" s="7">
        <v>1.0404444000000001E-2</v>
      </c>
      <c r="H32" s="51"/>
      <c r="I32" s="67"/>
    </row>
    <row r="33" spans="1:9" ht="17.100000000000001" customHeight="1" x14ac:dyDescent="0.2">
      <c r="A33" s="3">
        <v>27</v>
      </c>
      <c r="B33" s="4" t="s">
        <v>190</v>
      </c>
      <c r="C33" s="4" t="s">
        <v>191</v>
      </c>
      <c r="D33" s="4" t="s">
        <v>192</v>
      </c>
      <c r="E33" s="5">
        <v>6250</v>
      </c>
      <c r="F33" s="6">
        <v>3166.6343750000001</v>
      </c>
      <c r="G33" s="7">
        <v>1.0364732E-2</v>
      </c>
      <c r="H33" s="51"/>
      <c r="I33" s="67"/>
    </row>
    <row r="34" spans="1:9" ht="17.100000000000001" customHeight="1" x14ac:dyDescent="0.2">
      <c r="A34" s="3">
        <v>28</v>
      </c>
      <c r="B34" s="4" t="s">
        <v>214</v>
      </c>
      <c r="C34" s="4" t="s">
        <v>215</v>
      </c>
      <c r="D34" s="4" t="s">
        <v>181</v>
      </c>
      <c r="E34" s="5">
        <v>176400</v>
      </c>
      <c r="F34" s="6">
        <v>3010.9715999999999</v>
      </c>
      <c r="G34" s="7">
        <v>9.8552310000000008E-3</v>
      </c>
      <c r="H34" s="51"/>
      <c r="I34" s="67"/>
    </row>
    <row r="35" spans="1:9" ht="17.100000000000001" customHeight="1" x14ac:dyDescent="0.2">
      <c r="A35" s="3">
        <v>29</v>
      </c>
      <c r="B35" s="4" t="s">
        <v>680</v>
      </c>
      <c r="C35" s="4" t="s">
        <v>681</v>
      </c>
      <c r="D35" s="4" t="s">
        <v>284</v>
      </c>
      <c r="E35" s="5">
        <v>320000</v>
      </c>
      <c r="F35" s="6">
        <v>2913.44</v>
      </c>
      <c r="G35" s="7">
        <v>9.5359999999999993E-3</v>
      </c>
      <c r="H35" s="51"/>
      <c r="I35" s="67"/>
    </row>
    <row r="36" spans="1:9" ht="29.1" customHeight="1" x14ac:dyDescent="0.2">
      <c r="A36" s="3">
        <v>30</v>
      </c>
      <c r="B36" s="4" t="s">
        <v>86</v>
      </c>
      <c r="C36" s="4" t="s">
        <v>87</v>
      </c>
      <c r="D36" s="4" t="s">
        <v>25</v>
      </c>
      <c r="E36" s="5">
        <v>500000</v>
      </c>
      <c r="F36" s="6">
        <v>2578</v>
      </c>
      <c r="G36" s="7">
        <v>8.4380689999999994E-3</v>
      </c>
      <c r="H36" s="51"/>
      <c r="I36" s="67"/>
    </row>
    <row r="37" spans="1:9" ht="29.1" customHeight="1" x14ac:dyDescent="0.2">
      <c r="A37" s="3">
        <v>31</v>
      </c>
      <c r="B37" s="4" t="s">
        <v>714</v>
      </c>
      <c r="C37" s="4" t="s">
        <v>715</v>
      </c>
      <c r="D37" s="4" t="s">
        <v>284</v>
      </c>
      <c r="E37" s="5">
        <v>18000</v>
      </c>
      <c r="F37" s="6">
        <v>2499.3270000000002</v>
      </c>
      <c r="G37" s="7">
        <v>8.1805639999999995E-3</v>
      </c>
      <c r="H37" s="51"/>
      <c r="I37" s="67"/>
    </row>
    <row r="38" spans="1:9" ht="17.100000000000001" customHeight="1" x14ac:dyDescent="0.2">
      <c r="A38" s="3">
        <v>32</v>
      </c>
      <c r="B38" s="4" t="s">
        <v>306</v>
      </c>
      <c r="C38" s="4" t="s">
        <v>307</v>
      </c>
      <c r="D38" s="4" t="s">
        <v>223</v>
      </c>
      <c r="E38" s="5">
        <v>75601</v>
      </c>
      <c r="F38" s="6">
        <v>2271.4698454999998</v>
      </c>
      <c r="G38" s="7">
        <v>7.4347629999999996E-3</v>
      </c>
      <c r="H38" s="51"/>
      <c r="I38" s="67"/>
    </row>
    <row r="39" spans="1:9" ht="17.100000000000001" customHeight="1" x14ac:dyDescent="0.2">
      <c r="A39" s="3">
        <v>33</v>
      </c>
      <c r="B39" s="4" t="s">
        <v>311</v>
      </c>
      <c r="C39" s="4" t="s">
        <v>312</v>
      </c>
      <c r="D39" s="4" t="s">
        <v>69</v>
      </c>
      <c r="E39" s="5">
        <v>175000</v>
      </c>
      <c r="F39" s="6">
        <v>2219.35</v>
      </c>
      <c r="G39" s="7">
        <v>7.264169E-3</v>
      </c>
      <c r="H39" s="51"/>
      <c r="I39" s="67"/>
    </row>
    <row r="40" spans="1:9" ht="29.1" customHeight="1" x14ac:dyDescent="0.2">
      <c r="A40" s="3">
        <v>34</v>
      </c>
      <c r="B40" s="4" t="s">
        <v>95</v>
      </c>
      <c r="C40" s="4" t="s">
        <v>96</v>
      </c>
      <c r="D40" s="4" t="s">
        <v>97</v>
      </c>
      <c r="E40" s="5">
        <v>268716</v>
      </c>
      <c r="F40" s="6">
        <v>1967.538552</v>
      </c>
      <c r="G40" s="7">
        <v>6.4399629999999999E-3</v>
      </c>
      <c r="H40" s="51"/>
      <c r="I40" s="67"/>
    </row>
    <row r="41" spans="1:9" ht="17.100000000000001" customHeight="1" x14ac:dyDescent="0.2">
      <c r="A41" s="3">
        <v>35</v>
      </c>
      <c r="B41" s="4" t="s">
        <v>34</v>
      </c>
      <c r="C41" s="4" t="s">
        <v>35</v>
      </c>
      <c r="D41" s="4" t="s">
        <v>36</v>
      </c>
      <c r="E41" s="5">
        <v>60000</v>
      </c>
      <c r="F41" s="6">
        <v>1853.04</v>
      </c>
      <c r="G41" s="7">
        <v>6.0651969999999996E-3</v>
      </c>
      <c r="H41" s="51"/>
      <c r="I41" s="67"/>
    </row>
    <row r="42" spans="1:9" ht="17.100000000000001" customHeight="1" x14ac:dyDescent="0.2">
      <c r="A42" s="3">
        <v>36</v>
      </c>
      <c r="B42" s="4" t="s">
        <v>209</v>
      </c>
      <c r="C42" s="4" t="s">
        <v>210</v>
      </c>
      <c r="D42" s="4" t="s">
        <v>97</v>
      </c>
      <c r="E42" s="5">
        <v>152600</v>
      </c>
      <c r="F42" s="6">
        <v>1827.4612999999999</v>
      </c>
      <c r="G42" s="7">
        <v>5.9814760000000003E-3</v>
      </c>
      <c r="H42" s="51"/>
      <c r="I42" s="67"/>
    </row>
    <row r="43" spans="1:9" ht="17.100000000000001" customHeight="1" x14ac:dyDescent="0.2">
      <c r="A43" s="3">
        <v>37</v>
      </c>
      <c r="B43" s="4" t="s">
        <v>325</v>
      </c>
      <c r="C43" s="4" t="s">
        <v>326</v>
      </c>
      <c r="D43" s="4" t="s">
        <v>223</v>
      </c>
      <c r="E43" s="5">
        <v>455339</v>
      </c>
      <c r="F43" s="6">
        <v>1795.1740075</v>
      </c>
      <c r="G43" s="7">
        <v>5.875796E-3</v>
      </c>
      <c r="H43" s="51"/>
      <c r="I43" s="67"/>
    </row>
    <row r="44" spans="1:9" ht="17.100000000000001" customHeight="1" x14ac:dyDescent="0.2">
      <c r="A44" s="3">
        <v>38</v>
      </c>
      <c r="B44" s="4" t="s">
        <v>258</v>
      </c>
      <c r="C44" s="4" t="s">
        <v>259</v>
      </c>
      <c r="D44" s="4" t="s">
        <v>260</v>
      </c>
      <c r="E44" s="5">
        <v>166000</v>
      </c>
      <c r="F44" s="6">
        <v>1740.1780000000001</v>
      </c>
      <c r="G44" s="7">
        <v>5.6957880000000002E-3</v>
      </c>
      <c r="H44" s="51"/>
      <c r="I44" s="67"/>
    </row>
    <row r="45" spans="1:9" ht="29.1" customHeight="1" x14ac:dyDescent="0.2">
      <c r="A45" s="3">
        <v>39</v>
      </c>
      <c r="B45" s="4" t="s">
        <v>211</v>
      </c>
      <c r="C45" s="4" t="s">
        <v>212</v>
      </c>
      <c r="D45" s="4" t="s">
        <v>213</v>
      </c>
      <c r="E45" s="5">
        <v>50000</v>
      </c>
      <c r="F45" s="6">
        <v>1499.175</v>
      </c>
      <c r="G45" s="7">
        <v>4.9069600000000001E-3</v>
      </c>
      <c r="H45" s="51"/>
      <c r="I45" s="67"/>
    </row>
    <row r="46" spans="1:9" ht="17.100000000000001" customHeight="1" x14ac:dyDescent="0.2">
      <c r="A46" s="3">
        <v>40</v>
      </c>
      <c r="B46" s="4" t="s">
        <v>115</v>
      </c>
      <c r="C46" s="4" t="s">
        <v>116</v>
      </c>
      <c r="D46" s="4" t="s">
        <v>117</v>
      </c>
      <c r="E46" s="5">
        <v>381012</v>
      </c>
      <c r="F46" s="6">
        <v>1488.0423659999999</v>
      </c>
      <c r="G46" s="7">
        <v>4.8705210000000001E-3</v>
      </c>
      <c r="H46" s="51"/>
      <c r="I46" s="67"/>
    </row>
    <row r="47" spans="1:9" ht="17.100000000000001" customHeight="1" x14ac:dyDescent="0.2">
      <c r="A47" s="3">
        <v>41</v>
      </c>
      <c r="B47" s="4" t="s">
        <v>349</v>
      </c>
      <c r="C47" s="4" t="s">
        <v>350</v>
      </c>
      <c r="D47" s="4" t="s">
        <v>97</v>
      </c>
      <c r="E47" s="5">
        <v>20000</v>
      </c>
      <c r="F47" s="6">
        <v>1467.15</v>
      </c>
      <c r="G47" s="7">
        <v>4.8021380000000001E-3</v>
      </c>
      <c r="H47" s="51"/>
      <c r="I47" s="67"/>
    </row>
    <row r="48" spans="1:9" ht="17.100000000000001" customHeight="1" x14ac:dyDescent="0.2">
      <c r="A48" s="3">
        <v>42</v>
      </c>
      <c r="B48" s="4" t="s">
        <v>26</v>
      </c>
      <c r="C48" s="4" t="s">
        <v>27</v>
      </c>
      <c r="D48" s="4" t="s">
        <v>28</v>
      </c>
      <c r="E48" s="5">
        <v>900000</v>
      </c>
      <c r="F48" s="6">
        <v>1436.85</v>
      </c>
      <c r="G48" s="7">
        <v>4.7029630000000001E-3</v>
      </c>
      <c r="H48" s="51"/>
      <c r="I48" s="67"/>
    </row>
    <row r="49" spans="1:9" ht="17.100000000000001" customHeight="1" x14ac:dyDescent="0.2">
      <c r="A49" s="3">
        <v>43</v>
      </c>
      <c r="B49" s="4" t="s">
        <v>240</v>
      </c>
      <c r="C49" s="4" t="s">
        <v>241</v>
      </c>
      <c r="D49" s="4" t="s">
        <v>97</v>
      </c>
      <c r="E49" s="5">
        <v>207500</v>
      </c>
      <c r="F49" s="6">
        <v>1356.22</v>
      </c>
      <c r="G49" s="7">
        <v>4.4390530000000001E-3</v>
      </c>
      <c r="H49" s="51"/>
      <c r="I49" s="67"/>
    </row>
    <row r="50" spans="1:9" ht="29.1" customHeight="1" x14ac:dyDescent="0.2">
      <c r="A50" s="3">
        <v>44</v>
      </c>
      <c r="B50" s="4" t="s">
        <v>226</v>
      </c>
      <c r="C50" s="4" t="s">
        <v>227</v>
      </c>
      <c r="D50" s="4" t="s">
        <v>213</v>
      </c>
      <c r="E50" s="5">
        <v>135000</v>
      </c>
      <c r="F50" s="6">
        <v>1342.17</v>
      </c>
      <c r="G50" s="7">
        <v>4.3930660000000002E-3</v>
      </c>
      <c r="H50" s="51"/>
      <c r="I50" s="67"/>
    </row>
    <row r="51" spans="1:9" ht="29.1" customHeight="1" x14ac:dyDescent="0.2">
      <c r="A51" s="3">
        <v>45</v>
      </c>
      <c r="B51" s="4" t="s">
        <v>23</v>
      </c>
      <c r="C51" s="4" t="s">
        <v>24</v>
      </c>
      <c r="D51" s="4" t="s">
        <v>25</v>
      </c>
      <c r="E51" s="5">
        <v>21379</v>
      </c>
      <c r="F51" s="6">
        <v>1337.2778290000001</v>
      </c>
      <c r="G51" s="7">
        <v>4.3770529999999997E-3</v>
      </c>
      <c r="H51" s="51"/>
      <c r="I51" s="67"/>
    </row>
    <row r="52" spans="1:9" ht="17.100000000000001" customHeight="1" x14ac:dyDescent="0.2">
      <c r="A52" s="3">
        <v>46</v>
      </c>
      <c r="B52" s="4" t="s">
        <v>347</v>
      </c>
      <c r="C52" s="4" t="s">
        <v>348</v>
      </c>
      <c r="D52" s="4" t="s">
        <v>16</v>
      </c>
      <c r="E52" s="5">
        <v>530000</v>
      </c>
      <c r="F52" s="6">
        <v>1212.375</v>
      </c>
      <c r="G52" s="7">
        <v>3.9682329999999998E-3</v>
      </c>
      <c r="H52" s="51"/>
      <c r="I52" s="67"/>
    </row>
    <row r="53" spans="1:9" ht="53.1" customHeight="1" x14ac:dyDescent="0.2">
      <c r="A53" s="3">
        <v>47</v>
      </c>
      <c r="B53" s="4" t="s">
        <v>93</v>
      </c>
      <c r="C53" s="4" t="s">
        <v>94</v>
      </c>
      <c r="D53" s="4" t="s">
        <v>45</v>
      </c>
      <c r="E53" s="5">
        <v>80000</v>
      </c>
      <c r="F53" s="6">
        <v>1186.24</v>
      </c>
      <c r="G53" s="7">
        <v>3.8826899999999998E-3</v>
      </c>
      <c r="H53" s="51"/>
      <c r="I53" s="67"/>
    </row>
    <row r="54" spans="1:9" ht="17.100000000000001" customHeight="1" x14ac:dyDescent="0.2">
      <c r="A54" s="3">
        <v>48</v>
      </c>
      <c r="B54" s="4" t="s">
        <v>249</v>
      </c>
      <c r="C54" s="4" t="s">
        <v>250</v>
      </c>
      <c r="D54" s="4" t="s">
        <v>251</v>
      </c>
      <c r="E54" s="5">
        <v>452752</v>
      </c>
      <c r="F54" s="6">
        <v>1168.779288</v>
      </c>
      <c r="G54" s="7">
        <v>3.8255390000000002E-3</v>
      </c>
      <c r="H54" s="51"/>
      <c r="I54" s="67"/>
    </row>
    <row r="55" spans="1:9" ht="17.100000000000001" customHeight="1" x14ac:dyDescent="0.2">
      <c r="A55" s="3">
        <v>49</v>
      </c>
      <c r="B55" s="4" t="s">
        <v>417</v>
      </c>
      <c r="C55" s="4" t="s">
        <v>418</v>
      </c>
      <c r="D55" s="4" t="s">
        <v>92</v>
      </c>
      <c r="E55" s="5">
        <v>79865</v>
      </c>
      <c r="F55" s="6">
        <v>1117.3912150000001</v>
      </c>
      <c r="G55" s="7">
        <v>3.6573410000000002E-3</v>
      </c>
      <c r="H55" s="51"/>
      <c r="I55" s="67"/>
    </row>
    <row r="56" spans="1:9" ht="17.100000000000001" customHeight="1" x14ac:dyDescent="0.2">
      <c r="A56" s="3">
        <v>50</v>
      </c>
      <c r="B56" s="4" t="s">
        <v>336</v>
      </c>
      <c r="C56" s="4" t="s">
        <v>337</v>
      </c>
      <c r="D56" s="4" t="s">
        <v>16</v>
      </c>
      <c r="E56" s="5">
        <v>56873</v>
      </c>
      <c r="F56" s="6">
        <v>1034.6336160000001</v>
      </c>
      <c r="G56" s="7">
        <v>3.3864659999999999E-3</v>
      </c>
      <c r="H56" s="51"/>
      <c r="I56" s="67"/>
    </row>
    <row r="57" spans="1:9" ht="17.100000000000001" customHeight="1" x14ac:dyDescent="0.2">
      <c r="A57" s="3">
        <v>51</v>
      </c>
      <c r="B57" s="4" t="s">
        <v>271</v>
      </c>
      <c r="C57" s="4" t="s">
        <v>272</v>
      </c>
      <c r="D57" s="4" t="s">
        <v>72</v>
      </c>
      <c r="E57" s="5">
        <v>160000</v>
      </c>
      <c r="F57" s="6">
        <v>894.56</v>
      </c>
      <c r="G57" s="7">
        <v>2.9279900000000001E-3</v>
      </c>
      <c r="H57" s="51"/>
      <c r="I57" s="67"/>
    </row>
    <row r="58" spans="1:9" ht="29.1" customHeight="1" x14ac:dyDescent="0.2">
      <c r="A58" s="3">
        <v>52</v>
      </c>
      <c r="B58" s="4" t="s">
        <v>58</v>
      </c>
      <c r="C58" s="4" t="s">
        <v>59</v>
      </c>
      <c r="D58" s="4" t="s">
        <v>60</v>
      </c>
      <c r="E58" s="5">
        <v>97208</v>
      </c>
      <c r="F58" s="6">
        <v>797.73745199999996</v>
      </c>
      <c r="G58" s="7">
        <v>2.61108E-3</v>
      </c>
      <c r="H58" s="51"/>
      <c r="I58" s="67"/>
    </row>
    <row r="59" spans="1:9" ht="17.100000000000001" customHeight="1" x14ac:dyDescent="0.2">
      <c r="A59" s="3">
        <v>53</v>
      </c>
      <c r="B59" s="4" t="s">
        <v>285</v>
      </c>
      <c r="C59" s="4" t="s">
        <v>286</v>
      </c>
      <c r="D59" s="4" t="s">
        <v>97</v>
      </c>
      <c r="E59" s="5">
        <v>45000</v>
      </c>
      <c r="F59" s="6">
        <v>786.71249999999998</v>
      </c>
      <c r="G59" s="7">
        <v>2.5749940000000002E-3</v>
      </c>
      <c r="H59" s="51"/>
      <c r="I59" s="67"/>
    </row>
    <row r="60" spans="1:9" ht="29.1" customHeight="1" x14ac:dyDescent="0.2">
      <c r="A60" s="3">
        <v>54</v>
      </c>
      <c r="B60" s="4" t="s">
        <v>316</v>
      </c>
      <c r="C60" s="4" t="s">
        <v>317</v>
      </c>
      <c r="D60" s="4" t="s">
        <v>318</v>
      </c>
      <c r="E60" s="5">
        <v>117000</v>
      </c>
      <c r="F60" s="6">
        <v>754.9425</v>
      </c>
      <c r="G60" s="7">
        <v>2.4710069999999999E-3</v>
      </c>
      <c r="H60" s="51"/>
      <c r="I60" s="67"/>
    </row>
    <row r="61" spans="1:9" ht="17.100000000000001" customHeight="1" x14ac:dyDescent="0.2">
      <c r="A61" s="3">
        <v>55</v>
      </c>
      <c r="B61" s="4" t="s">
        <v>323</v>
      </c>
      <c r="C61" s="4" t="s">
        <v>324</v>
      </c>
      <c r="D61" s="4" t="s">
        <v>223</v>
      </c>
      <c r="E61" s="5">
        <v>74693</v>
      </c>
      <c r="F61" s="6">
        <v>696.40018550000002</v>
      </c>
      <c r="G61" s="7">
        <v>2.2793919999999999E-3</v>
      </c>
      <c r="H61" s="51"/>
      <c r="I61" s="67"/>
    </row>
    <row r="62" spans="1:9" ht="17.100000000000001" customHeight="1" x14ac:dyDescent="0.2">
      <c r="A62" s="3">
        <v>56</v>
      </c>
      <c r="B62" s="61" t="s">
        <v>1012</v>
      </c>
      <c r="C62" s="65" t="s">
        <v>125</v>
      </c>
      <c r="D62" s="61" t="s">
        <v>97</v>
      </c>
      <c r="E62" s="5">
        <v>80000</v>
      </c>
      <c r="F62" s="6">
        <v>241.4</v>
      </c>
      <c r="G62" s="7">
        <v>7.9012799999999997E-4</v>
      </c>
      <c r="H62" s="51"/>
      <c r="I62" s="67"/>
    </row>
    <row r="63" spans="1:9" ht="14.1" customHeight="1" x14ac:dyDescent="0.2">
      <c r="A63" s="1"/>
      <c r="B63" s="1"/>
      <c r="C63" s="2" t="s">
        <v>129</v>
      </c>
      <c r="D63" s="1"/>
      <c r="E63" s="1" t="s">
        <v>130</v>
      </c>
      <c r="F63" s="9">
        <v>234354.764062</v>
      </c>
      <c r="G63" s="10">
        <v>0.7670681290000001</v>
      </c>
      <c r="H63" s="51"/>
      <c r="I63" s="67"/>
    </row>
    <row r="64" spans="1:9" ht="14.1" customHeight="1" x14ac:dyDescent="0.2">
      <c r="A64" s="1"/>
      <c r="B64" s="1"/>
      <c r="C64" s="11"/>
      <c r="D64" s="1"/>
      <c r="E64" s="1"/>
      <c r="F64" s="12"/>
      <c r="G64" s="12"/>
      <c r="H64" s="51"/>
      <c r="I64" s="67"/>
    </row>
    <row r="65" spans="1:9" ht="14.1" customHeight="1" x14ac:dyDescent="0.2">
      <c r="A65" s="1"/>
      <c r="B65" s="1"/>
      <c r="C65" s="2" t="s">
        <v>131</v>
      </c>
      <c r="D65" s="1"/>
      <c r="E65" s="1"/>
      <c r="F65" s="1"/>
      <c r="G65" s="1"/>
      <c r="H65" s="51"/>
      <c r="I65" s="67"/>
    </row>
    <row r="66" spans="1:9" ht="14.1" customHeight="1" x14ac:dyDescent="0.2">
      <c r="A66" s="1"/>
      <c r="B66" s="1"/>
      <c r="C66" s="2" t="s">
        <v>129</v>
      </c>
      <c r="D66" s="1"/>
      <c r="E66" s="1" t="s">
        <v>130</v>
      </c>
      <c r="F66" s="13">
        <v>0</v>
      </c>
      <c r="G66" s="14">
        <v>0</v>
      </c>
      <c r="H66" s="51"/>
      <c r="I66" s="67"/>
    </row>
    <row r="67" spans="1:9" ht="14.1" customHeight="1" x14ac:dyDescent="0.2">
      <c r="A67" s="1"/>
      <c r="B67" s="1"/>
      <c r="C67" s="11"/>
      <c r="D67" s="1"/>
      <c r="E67" s="1"/>
      <c r="F67" s="12"/>
      <c r="G67" s="12"/>
      <c r="H67" s="51"/>
      <c r="I67" s="67"/>
    </row>
    <row r="68" spans="1:9" ht="14.1" customHeight="1" x14ac:dyDescent="0.2">
      <c r="A68" s="1"/>
      <c r="B68" s="1"/>
      <c r="C68" s="2" t="s">
        <v>132</v>
      </c>
      <c r="D68" s="1"/>
      <c r="E68" s="1"/>
      <c r="F68" s="1"/>
      <c r="G68" s="1"/>
      <c r="H68" s="51"/>
      <c r="I68" s="67"/>
    </row>
    <row r="69" spans="1:9" ht="29.1" customHeight="1" x14ac:dyDescent="0.2">
      <c r="A69" s="3">
        <v>1</v>
      </c>
      <c r="B69" s="4" t="s">
        <v>642</v>
      </c>
      <c r="C69" s="4" t="s">
        <v>981</v>
      </c>
      <c r="D69" s="4" t="s">
        <v>643</v>
      </c>
      <c r="E69" s="5">
        <v>30579</v>
      </c>
      <c r="F69" s="6">
        <v>1.5901080000000001</v>
      </c>
      <c r="G69" s="8" t="s">
        <v>128</v>
      </c>
      <c r="H69" s="51"/>
      <c r="I69" s="67"/>
    </row>
    <row r="70" spans="1:9" ht="14.1" customHeight="1" x14ac:dyDescent="0.2">
      <c r="A70" s="1"/>
      <c r="B70" s="1"/>
      <c r="C70" s="2" t="s">
        <v>129</v>
      </c>
      <c r="D70" s="1"/>
      <c r="E70" s="1" t="s">
        <v>130</v>
      </c>
      <c r="F70" s="13">
        <v>1.5901080000000001</v>
      </c>
      <c r="G70" s="14">
        <v>0</v>
      </c>
      <c r="H70" s="51"/>
      <c r="I70" s="67"/>
    </row>
    <row r="71" spans="1:9" ht="14.1" customHeight="1" x14ac:dyDescent="0.2">
      <c r="A71" s="1"/>
      <c r="B71" s="1"/>
      <c r="C71" s="11"/>
      <c r="D71" s="1"/>
      <c r="E71" s="1"/>
      <c r="F71" s="12"/>
      <c r="G71" s="12"/>
      <c r="H71" s="51"/>
      <c r="I71" s="67"/>
    </row>
    <row r="72" spans="1:9" ht="14.1" customHeight="1" x14ac:dyDescent="0.2">
      <c r="A72" s="1"/>
      <c r="B72" s="1"/>
      <c r="C72" s="2" t="s">
        <v>133</v>
      </c>
      <c r="D72" s="1"/>
      <c r="E72" s="1"/>
      <c r="F72" s="1"/>
      <c r="G72" s="1"/>
      <c r="H72" s="51"/>
      <c r="I72" s="67"/>
    </row>
    <row r="73" spans="1:9" ht="14.1" customHeight="1" x14ac:dyDescent="0.2">
      <c r="A73" s="1"/>
      <c r="B73" s="1"/>
      <c r="C73" s="2" t="s">
        <v>129</v>
      </c>
      <c r="D73" s="1"/>
      <c r="E73" s="1" t="s">
        <v>130</v>
      </c>
      <c r="F73" s="13">
        <v>0</v>
      </c>
      <c r="G73" s="14">
        <v>0</v>
      </c>
      <c r="H73" s="51"/>
      <c r="I73" s="67"/>
    </row>
    <row r="74" spans="1:9" ht="14.1" customHeight="1" x14ac:dyDescent="0.2">
      <c r="A74" s="1"/>
      <c r="B74" s="1"/>
      <c r="C74" s="11"/>
      <c r="D74" s="1"/>
      <c r="E74" s="1"/>
      <c r="F74" s="12"/>
      <c r="G74" s="12"/>
      <c r="H74" s="51"/>
      <c r="I74" s="67"/>
    </row>
    <row r="75" spans="1:9" ht="14.1" customHeight="1" x14ac:dyDescent="0.2">
      <c r="A75" s="1"/>
      <c r="B75" s="1"/>
      <c r="C75" s="2" t="s">
        <v>134</v>
      </c>
      <c r="D75" s="1"/>
      <c r="E75" s="1"/>
      <c r="F75" s="12"/>
      <c r="G75" s="12"/>
      <c r="H75" s="51"/>
      <c r="I75" s="67"/>
    </row>
    <row r="76" spans="1:9" ht="14.1" customHeight="1" x14ac:dyDescent="0.2">
      <c r="A76" s="1"/>
      <c r="B76" s="1"/>
      <c r="C76" s="2" t="s">
        <v>129</v>
      </c>
      <c r="D76" s="1"/>
      <c r="E76" s="1" t="s">
        <v>130</v>
      </c>
      <c r="F76" s="13">
        <v>0</v>
      </c>
      <c r="G76" s="14">
        <v>0</v>
      </c>
      <c r="H76" s="51"/>
      <c r="I76" s="67"/>
    </row>
    <row r="77" spans="1:9" ht="14.1" customHeight="1" x14ac:dyDescent="0.2">
      <c r="A77" s="1"/>
      <c r="B77" s="1"/>
      <c r="C77" s="11"/>
      <c r="D77" s="1"/>
      <c r="E77" s="1"/>
      <c r="F77" s="12"/>
      <c r="G77" s="12"/>
      <c r="H77" s="51"/>
      <c r="I77" s="67"/>
    </row>
    <row r="78" spans="1:9" ht="14.1" customHeight="1" x14ac:dyDescent="0.2">
      <c r="A78" s="1"/>
      <c r="B78" s="1"/>
      <c r="C78" s="2" t="s">
        <v>135</v>
      </c>
      <c r="D78" s="1"/>
      <c r="E78" s="1"/>
      <c r="F78" s="12"/>
      <c r="G78" s="12"/>
      <c r="H78" s="51"/>
      <c r="I78" s="67"/>
    </row>
    <row r="79" spans="1:9" ht="14.1" customHeight="1" x14ac:dyDescent="0.2">
      <c r="A79" s="1"/>
      <c r="B79" s="1"/>
      <c r="C79" s="2" t="s">
        <v>129</v>
      </c>
      <c r="D79" s="1"/>
      <c r="E79" s="1" t="s">
        <v>130</v>
      </c>
      <c r="F79" s="13">
        <v>0</v>
      </c>
      <c r="G79" s="14">
        <v>0</v>
      </c>
      <c r="H79" s="51"/>
      <c r="I79" s="67"/>
    </row>
    <row r="80" spans="1:9" ht="14.1" customHeight="1" x14ac:dyDescent="0.2">
      <c r="A80" s="1"/>
      <c r="B80" s="1"/>
      <c r="C80" s="11"/>
      <c r="D80" s="1"/>
      <c r="E80" s="1"/>
      <c r="F80" s="12"/>
      <c r="G80" s="12"/>
      <c r="H80" s="51"/>
      <c r="I80" s="67"/>
    </row>
    <row r="81" spans="1:10" ht="18" customHeight="1" x14ac:dyDescent="0.2">
      <c r="A81" s="1"/>
      <c r="B81" s="1"/>
      <c r="C81" s="2" t="s">
        <v>136</v>
      </c>
      <c r="D81" s="1"/>
      <c r="E81" s="1"/>
      <c r="F81" s="9">
        <v>234356.35417000001</v>
      </c>
      <c r="G81" s="10">
        <v>0.767073334</v>
      </c>
      <c r="H81" s="51"/>
      <c r="I81" s="67"/>
    </row>
    <row r="82" spans="1:10" ht="14.1" customHeight="1" x14ac:dyDescent="0.2">
      <c r="A82" s="1"/>
      <c r="B82" s="1"/>
      <c r="C82" s="11"/>
      <c r="D82" s="1"/>
      <c r="E82" s="1"/>
      <c r="F82" s="12"/>
      <c r="G82" s="12"/>
      <c r="H82" s="51"/>
      <c r="I82" s="67"/>
    </row>
    <row r="83" spans="1:10" ht="14.1" customHeight="1" x14ac:dyDescent="0.2">
      <c r="A83" s="1"/>
      <c r="B83" s="1"/>
      <c r="C83" s="2" t="s">
        <v>137</v>
      </c>
      <c r="D83" s="1"/>
      <c r="E83" s="1"/>
      <c r="F83" s="12"/>
      <c r="G83" s="12"/>
      <c r="H83" s="51"/>
      <c r="I83" s="67"/>
    </row>
    <row r="84" spans="1:10" ht="24" customHeight="1" x14ac:dyDescent="0.2">
      <c r="A84" s="1"/>
      <c r="B84" s="1"/>
      <c r="C84" s="2" t="s">
        <v>10</v>
      </c>
      <c r="D84" s="1"/>
      <c r="E84" s="1"/>
      <c r="F84" s="12"/>
      <c r="G84" s="12"/>
      <c r="H84" s="51"/>
      <c r="I84" s="67"/>
    </row>
    <row r="85" spans="1:10" ht="29.1" customHeight="1" x14ac:dyDescent="0.2">
      <c r="A85" s="3">
        <v>1</v>
      </c>
      <c r="B85" s="4" t="s">
        <v>835</v>
      </c>
      <c r="C85" s="4" t="s">
        <v>834</v>
      </c>
      <c r="D85" s="4" t="s">
        <v>601</v>
      </c>
      <c r="E85" s="5">
        <v>250</v>
      </c>
      <c r="F85" s="6">
        <v>2494.8724999999999</v>
      </c>
      <c r="G85" s="7">
        <v>8.1659839999999994E-3</v>
      </c>
      <c r="H85" s="51">
        <v>7</v>
      </c>
      <c r="I85" s="67"/>
    </row>
    <row r="86" spans="1:10" ht="17.100000000000001" customHeight="1" x14ac:dyDescent="0.2">
      <c r="A86" s="3">
        <v>2</v>
      </c>
      <c r="B86" s="4" t="s">
        <v>833</v>
      </c>
      <c r="C86" s="4" t="s">
        <v>832</v>
      </c>
      <c r="D86" s="4" t="s">
        <v>601</v>
      </c>
      <c r="E86" s="5">
        <v>250</v>
      </c>
      <c r="F86" s="6">
        <v>2435.395</v>
      </c>
      <c r="G86" s="7">
        <v>7.9713070000000004E-3</v>
      </c>
      <c r="H86" s="51">
        <v>7.37</v>
      </c>
      <c r="I86" s="67"/>
    </row>
    <row r="87" spans="1:10" ht="28.5" customHeight="1" x14ac:dyDescent="0.2">
      <c r="A87" s="3">
        <v>3</v>
      </c>
      <c r="B87" s="4" t="s">
        <v>831</v>
      </c>
      <c r="C87" s="38" t="s">
        <v>1064</v>
      </c>
      <c r="D87" s="4" t="s">
        <v>830</v>
      </c>
      <c r="E87" s="5">
        <v>150</v>
      </c>
      <c r="F87" s="6">
        <v>1521.3705</v>
      </c>
      <c r="G87" s="7">
        <v>4.979608E-3</v>
      </c>
      <c r="H87" s="51">
        <v>8.2372999999999994</v>
      </c>
      <c r="I87" s="67">
        <v>7.3645686902499996</v>
      </c>
    </row>
    <row r="88" spans="1:10" ht="29.1" customHeight="1" x14ac:dyDescent="0.2">
      <c r="A88" s="3">
        <v>4</v>
      </c>
      <c r="B88" s="4" t="s">
        <v>829</v>
      </c>
      <c r="C88" s="4" t="s">
        <v>828</v>
      </c>
      <c r="D88" s="4" t="s">
        <v>601</v>
      </c>
      <c r="E88" s="5">
        <v>150</v>
      </c>
      <c r="F88" s="6">
        <v>1491.8025</v>
      </c>
      <c r="G88" s="7">
        <v>4.882829E-3</v>
      </c>
      <c r="H88" s="51">
        <v>7.3049999999999997</v>
      </c>
      <c r="I88" s="67"/>
      <c r="J88" s="161"/>
    </row>
    <row r="89" spans="1:10" ht="29.1" customHeight="1" x14ac:dyDescent="0.2">
      <c r="A89" s="3">
        <v>5</v>
      </c>
      <c r="B89" s="4" t="s">
        <v>827</v>
      </c>
      <c r="C89" s="4" t="s">
        <v>826</v>
      </c>
      <c r="D89" s="4" t="s">
        <v>601</v>
      </c>
      <c r="E89" s="5">
        <v>150</v>
      </c>
      <c r="F89" s="6">
        <v>1488.7215000000001</v>
      </c>
      <c r="G89" s="7">
        <v>4.872744E-3</v>
      </c>
      <c r="H89" s="51">
        <v>7.68</v>
      </c>
      <c r="I89" s="67"/>
    </row>
    <row r="90" spans="1:10" ht="29.1" customHeight="1" x14ac:dyDescent="0.2">
      <c r="A90" s="3">
        <v>6</v>
      </c>
      <c r="B90" s="4" t="s">
        <v>825</v>
      </c>
      <c r="C90" s="4" t="s">
        <v>824</v>
      </c>
      <c r="D90" s="4" t="s">
        <v>601</v>
      </c>
      <c r="E90" s="5">
        <v>100</v>
      </c>
      <c r="F90" s="6">
        <v>1010.563</v>
      </c>
      <c r="G90" s="7">
        <v>3.3076799999999999E-3</v>
      </c>
      <c r="H90" s="51">
        <v>7.3650000000000002</v>
      </c>
      <c r="I90" s="67"/>
    </row>
    <row r="91" spans="1:10" ht="29.1" customHeight="1" x14ac:dyDescent="0.2">
      <c r="A91" s="3">
        <v>7</v>
      </c>
      <c r="B91" s="4" t="s">
        <v>823</v>
      </c>
      <c r="C91" s="4" t="s">
        <v>822</v>
      </c>
      <c r="D91" s="4" t="s">
        <v>601</v>
      </c>
      <c r="E91" s="5">
        <v>100</v>
      </c>
      <c r="F91" s="6">
        <v>1004.672</v>
      </c>
      <c r="G91" s="7">
        <v>3.288399E-3</v>
      </c>
      <c r="H91" s="51">
        <v>7.34</v>
      </c>
      <c r="I91" s="67"/>
      <c r="J91" s="161"/>
    </row>
    <row r="92" spans="1:10" ht="29.1" customHeight="1" x14ac:dyDescent="0.2">
      <c r="A92" s="3">
        <v>8</v>
      </c>
      <c r="B92" s="4" t="s">
        <v>821</v>
      </c>
      <c r="C92" s="4" t="s">
        <v>820</v>
      </c>
      <c r="D92" s="4" t="s">
        <v>601</v>
      </c>
      <c r="E92" s="5">
        <v>100</v>
      </c>
      <c r="F92" s="6">
        <v>1002.937</v>
      </c>
      <c r="G92" s="7">
        <v>3.2827199999999998E-3</v>
      </c>
      <c r="H92" s="51">
        <v>7.54</v>
      </c>
      <c r="I92" s="67"/>
    </row>
    <row r="93" spans="1:10" ht="29.1" customHeight="1" x14ac:dyDescent="0.2">
      <c r="A93" s="3">
        <v>9</v>
      </c>
      <c r="B93" s="4" t="s">
        <v>819</v>
      </c>
      <c r="C93" s="4" t="s">
        <v>818</v>
      </c>
      <c r="D93" s="4" t="s">
        <v>601</v>
      </c>
      <c r="E93" s="5">
        <v>100</v>
      </c>
      <c r="F93" s="6">
        <v>1000.394</v>
      </c>
      <c r="G93" s="7">
        <v>3.2743960000000002E-3</v>
      </c>
      <c r="H93" s="51">
        <v>6.9349999999999996</v>
      </c>
      <c r="I93" s="67"/>
    </row>
    <row r="94" spans="1:10" ht="29.1" customHeight="1" x14ac:dyDescent="0.2">
      <c r="A94" s="3">
        <v>10</v>
      </c>
      <c r="B94" s="4" t="s">
        <v>817</v>
      </c>
      <c r="C94" s="4" t="s">
        <v>816</v>
      </c>
      <c r="D94" s="4" t="s">
        <v>616</v>
      </c>
      <c r="E94" s="5">
        <v>100</v>
      </c>
      <c r="F94" s="6">
        <v>991.88499999999999</v>
      </c>
      <c r="G94" s="7">
        <v>3.246545E-3</v>
      </c>
      <c r="H94" s="51">
        <v>6.95</v>
      </c>
      <c r="I94" s="67"/>
    </row>
    <row r="95" spans="1:10" ht="29.1" customHeight="1" x14ac:dyDescent="0.2">
      <c r="A95" s="3">
        <v>11</v>
      </c>
      <c r="B95" s="4" t="s">
        <v>815</v>
      </c>
      <c r="C95" s="4" t="s">
        <v>814</v>
      </c>
      <c r="D95" s="4" t="s">
        <v>601</v>
      </c>
      <c r="E95" s="5">
        <v>100</v>
      </c>
      <c r="F95" s="6">
        <v>954.37</v>
      </c>
      <c r="G95" s="7">
        <v>3.1237550000000002E-3</v>
      </c>
      <c r="H95" s="51">
        <v>7.41</v>
      </c>
      <c r="I95" s="67"/>
    </row>
    <row r="96" spans="1:10" ht="17.100000000000001" customHeight="1" x14ac:dyDescent="0.2">
      <c r="A96" s="3">
        <v>12</v>
      </c>
      <c r="B96" s="4" t="s">
        <v>623</v>
      </c>
      <c r="C96" s="4" t="s">
        <v>624</v>
      </c>
      <c r="D96" s="4" t="s">
        <v>601</v>
      </c>
      <c r="E96" s="5">
        <v>55</v>
      </c>
      <c r="F96" s="6">
        <v>550.45045000000005</v>
      </c>
      <c r="G96" s="7">
        <v>1.8016830000000001E-3</v>
      </c>
      <c r="H96" s="51">
        <v>6.55</v>
      </c>
      <c r="I96" s="67"/>
    </row>
    <row r="97" spans="1:9" ht="17.100000000000001" customHeight="1" x14ac:dyDescent="0.2">
      <c r="A97" s="3">
        <v>13</v>
      </c>
      <c r="B97" s="4" t="s">
        <v>813</v>
      </c>
      <c r="C97" s="4" t="s">
        <v>812</v>
      </c>
      <c r="D97" s="4" t="s">
        <v>627</v>
      </c>
      <c r="E97" s="5">
        <v>50</v>
      </c>
      <c r="F97" s="6">
        <v>501.89749999999998</v>
      </c>
      <c r="G97" s="7">
        <v>1.6427639999999999E-3</v>
      </c>
      <c r="H97" s="51">
        <v>7.1950000000000003</v>
      </c>
      <c r="I97" s="67"/>
    </row>
    <row r="98" spans="1:9" ht="29.1" customHeight="1" x14ac:dyDescent="0.2">
      <c r="A98" s="3">
        <v>14</v>
      </c>
      <c r="B98" s="4" t="s">
        <v>614</v>
      </c>
      <c r="C98" s="4" t="s">
        <v>615</v>
      </c>
      <c r="D98" s="4" t="s">
        <v>616</v>
      </c>
      <c r="E98" s="5">
        <v>50</v>
      </c>
      <c r="F98" s="6">
        <v>492.13400000000001</v>
      </c>
      <c r="G98" s="7">
        <v>1.6108069999999999E-3</v>
      </c>
      <c r="H98" s="51">
        <v>7.2750000000000004</v>
      </c>
      <c r="I98" s="67"/>
    </row>
    <row r="99" spans="1:9" ht="29.1" customHeight="1" x14ac:dyDescent="0.2">
      <c r="A99" s="3">
        <v>15</v>
      </c>
      <c r="B99" s="4" t="s">
        <v>625</v>
      </c>
      <c r="C99" s="4" t="s">
        <v>626</v>
      </c>
      <c r="D99" s="4" t="s">
        <v>627</v>
      </c>
      <c r="E99" s="5">
        <v>45</v>
      </c>
      <c r="F99" s="6">
        <v>447.2586</v>
      </c>
      <c r="G99" s="7">
        <v>1.463925E-3</v>
      </c>
      <c r="H99" s="51">
        <v>7.1</v>
      </c>
      <c r="I99" s="67"/>
    </row>
    <row r="100" spans="1:9" ht="29.1" customHeight="1" x14ac:dyDescent="0.2">
      <c r="A100" s="3">
        <v>16</v>
      </c>
      <c r="B100" s="4" t="s">
        <v>811</v>
      </c>
      <c r="C100" s="4" t="s">
        <v>810</v>
      </c>
      <c r="D100" s="4" t="s">
        <v>601</v>
      </c>
      <c r="E100" s="5">
        <v>40</v>
      </c>
      <c r="F100" s="6">
        <v>401.858</v>
      </c>
      <c r="G100" s="7">
        <v>1.3153240000000001E-3</v>
      </c>
      <c r="H100" s="51">
        <v>6.7</v>
      </c>
      <c r="I100" s="67"/>
    </row>
    <row r="101" spans="1:9" ht="25.5" customHeight="1" x14ac:dyDescent="0.2">
      <c r="A101" s="3">
        <v>17</v>
      </c>
      <c r="B101" s="4" t="s">
        <v>809</v>
      </c>
      <c r="C101" s="38" t="s">
        <v>1066</v>
      </c>
      <c r="D101" s="4" t="s">
        <v>808</v>
      </c>
      <c r="E101" s="5">
        <v>20</v>
      </c>
      <c r="F101" s="6">
        <v>199.50559999999999</v>
      </c>
      <c r="G101" s="7">
        <v>6.5300299999999998E-4</v>
      </c>
      <c r="H101" s="51">
        <v>11.86</v>
      </c>
      <c r="I101" s="67"/>
    </row>
    <row r="102" spans="1:9" ht="29.1" customHeight="1" x14ac:dyDescent="0.2">
      <c r="A102" s="3">
        <v>18</v>
      </c>
      <c r="B102" s="4" t="s">
        <v>807</v>
      </c>
      <c r="C102" s="4" t="s">
        <v>806</v>
      </c>
      <c r="D102" s="4" t="s">
        <v>601</v>
      </c>
      <c r="E102" s="5">
        <v>20</v>
      </c>
      <c r="F102" s="6">
        <v>199.39359999999999</v>
      </c>
      <c r="G102" s="7">
        <v>6.5263699999999997E-4</v>
      </c>
      <c r="H102" s="51">
        <v>6.92</v>
      </c>
      <c r="I102" s="67"/>
    </row>
    <row r="103" spans="1:9" ht="29.1" customHeight="1" x14ac:dyDescent="0.2">
      <c r="A103" s="3">
        <v>19</v>
      </c>
      <c r="B103" s="4" t="s">
        <v>805</v>
      </c>
      <c r="C103" s="4" t="s">
        <v>804</v>
      </c>
      <c r="D103" s="4" t="s">
        <v>601</v>
      </c>
      <c r="E103" s="5">
        <v>20</v>
      </c>
      <c r="F103" s="6">
        <v>193.09819999999999</v>
      </c>
      <c r="G103" s="7">
        <v>6.3203100000000002E-4</v>
      </c>
      <c r="H103" s="51">
        <v>7.36</v>
      </c>
      <c r="I103" s="67"/>
    </row>
    <row r="104" spans="1:9" ht="14.1" customHeight="1" x14ac:dyDescent="0.2">
      <c r="A104" s="1"/>
      <c r="B104" s="1"/>
      <c r="C104" s="2" t="s">
        <v>129</v>
      </c>
      <c r="D104" s="1"/>
      <c r="E104" s="1" t="s">
        <v>130</v>
      </c>
      <c r="F104" s="9">
        <v>18382.578949999999</v>
      </c>
      <c r="G104" s="10">
        <v>6.0168141000000001E-2</v>
      </c>
      <c r="H104" s="51"/>
      <c r="I104" s="67"/>
    </row>
    <row r="105" spans="1:9" ht="14.1" customHeight="1" x14ac:dyDescent="0.2">
      <c r="A105" s="1"/>
      <c r="B105" s="1"/>
      <c r="C105" s="11"/>
      <c r="D105" s="1"/>
      <c r="E105" s="1"/>
      <c r="F105" s="12"/>
      <c r="G105" s="12"/>
      <c r="H105" s="51"/>
      <c r="I105" s="67"/>
    </row>
    <row r="106" spans="1:9" ht="14.1" customHeight="1" x14ac:dyDescent="0.2">
      <c r="A106" s="1"/>
      <c r="B106" s="1"/>
      <c r="C106" s="2" t="s">
        <v>138</v>
      </c>
      <c r="D106" s="1"/>
      <c r="E106" s="1"/>
      <c r="F106" s="1"/>
      <c r="G106" s="1"/>
      <c r="H106" s="51"/>
      <c r="I106" s="67"/>
    </row>
    <row r="107" spans="1:9" ht="17.100000000000001" customHeight="1" x14ac:dyDescent="0.2">
      <c r="A107" s="3">
        <v>1</v>
      </c>
      <c r="B107" s="4" t="s">
        <v>803</v>
      </c>
      <c r="C107" s="4" t="s">
        <v>802</v>
      </c>
      <c r="D107" s="4" t="s">
        <v>627</v>
      </c>
      <c r="E107" s="5">
        <v>50</v>
      </c>
      <c r="F107" s="6">
        <v>506.85199999999998</v>
      </c>
      <c r="G107" s="7">
        <v>1.6589809999999999E-3</v>
      </c>
      <c r="H107" s="51">
        <v>8.39</v>
      </c>
      <c r="I107" s="67"/>
    </row>
    <row r="108" spans="1:9" ht="14.1" customHeight="1" x14ac:dyDescent="0.2">
      <c r="A108" s="1"/>
      <c r="B108" s="1"/>
      <c r="C108" s="2" t="s">
        <v>129</v>
      </c>
      <c r="D108" s="1"/>
      <c r="E108" s="1" t="s">
        <v>130</v>
      </c>
      <c r="F108" s="9">
        <v>506.85199999999998</v>
      </c>
      <c r="G108" s="10">
        <v>1.6589809999999999E-3</v>
      </c>
      <c r="H108" s="51"/>
      <c r="I108" s="67"/>
    </row>
    <row r="109" spans="1:9" ht="14.1" customHeight="1" x14ac:dyDescent="0.2">
      <c r="A109" s="1"/>
      <c r="B109" s="1"/>
      <c r="C109" s="11"/>
      <c r="D109" s="1"/>
      <c r="E109" s="1"/>
      <c r="F109" s="12"/>
      <c r="G109" s="12"/>
      <c r="H109" s="51"/>
      <c r="I109" s="67"/>
    </row>
    <row r="110" spans="1:9" ht="14.1" customHeight="1" x14ac:dyDescent="0.2">
      <c r="A110" s="1"/>
      <c r="B110" s="1"/>
      <c r="C110" s="2" t="s">
        <v>139</v>
      </c>
      <c r="D110" s="1"/>
      <c r="E110" s="1"/>
      <c r="F110" s="1"/>
      <c r="G110" s="1"/>
      <c r="H110" s="51"/>
      <c r="I110" s="67"/>
    </row>
    <row r="111" spans="1:9" ht="29.1" customHeight="1" x14ac:dyDescent="0.2">
      <c r="A111" s="3">
        <v>1</v>
      </c>
      <c r="B111" s="4" t="s">
        <v>801</v>
      </c>
      <c r="C111" s="4" t="s">
        <v>800</v>
      </c>
      <c r="D111" s="4" t="s">
        <v>571</v>
      </c>
      <c r="E111" s="5">
        <v>7500000</v>
      </c>
      <c r="F111" s="6">
        <v>7450.4624999999996</v>
      </c>
      <c r="G111" s="7">
        <v>2.4386158000000002E-2</v>
      </c>
      <c r="H111" s="51">
        <v>7.0914000000000001</v>
      </c>
      <c r="I111" s="67"/>
    </row>
    <row r="112" spans="1:9" ht="29.1" customHeight="1" x14ac:dyDescent="0.2">
      <c r="A112" s="3">
        <v>2</v>
      </c>
      <c r="B112" s="4" t="s">
        <v>799</v>
      </c>
      <c r="C112" s="4" t="s">
        <v>798</v>
      </c>
      <c r="D112" s="4" t="s">
        <v>571</v>
      </c>
      <c r="E112" s="5">
        <v>2000000</v>
      </c>
      <c r="F112" s="6">
        <v>1892.182</v>
      </c>
      <c r="G112" s="7">
        <v>6.1933129999999998E-3</v>
      </c>
      <c r="H112" s="51">
        <v>7.2744</v>
      </c>
      <c r="I112" s="67"/>
    </row>
    <row r="113" spans="1:9" ht="29.1" customHeight="1" x14ac:dyDescent="0.2">
      <c r="A113" s="3">
        <v>3</v>
      </c>
      <c r="B113" s="4" t="s">
        <v>797</v>
      </c>
      <c r="C113" s="4" t="s">
        <v>796</v>
      </c>
      <c r="D113" s="4" t="s">
        <v>571</v>
      </c>
      <c r="E113" s="5">
        <v>1500000</v>
      </c>
      <c r="F113" s="6">
        <v>1486.059</v>
      </c>
      <c r="G113" s="7">
        <v>4.8640300000000001E-3</v>
      </c>
      <c r="H113" s="51">
        <v>7.3925000000000001</v>
      </c>
      <c r="I113" s="67"/>
    </row>
    <row r="114" spans="1:9" ht="36.75" customHeight="1" x14ac:dyDescent="0.2">
      <c r="A114" s="3">
        <v>4</v>
      </c>
      <c r="B114" s="4" t="s">
        <v>795</v>
      </c>
      <c r="C114" s="38" t="s">
        <v>864</v>
      </c>
      <c r="D114" s="4" t="s">
        <v>571</v>
      </c>
      <c r="E114" s="5">
        <v>1500000</v>
      </c>
      <c r="F114" s="6">
        <v>1481.895</v>
      </c>
      <c r="G114" s="7">
        <v>4.8504000000000004E-3</v>
      </c>
      <c r="H114" s="51">
        <v>4.8704948999999997</v>
      </c>
      <c r="I114" s="67"/>
    </row>
    <row r="115" spans="1:9" ht="29.1" customHeight="1" x14ac:dyDescent="0.2">
      <c r="A115" s="3">
        <v>5</v>
      </c>
      <c r="B115" s="4" t="s">
        <v>794</v>
      </c>
      <c r="C115" s="4" t="s">
        <v>793</v>
      </c>
      <c r="D115" s="4" t="s">
        <v>571</v>
      </c>
      <c r="E115" s="5">
        <v>1500000</v>
      </c>
      <c r="F115" s="6">
        <v>1411.1489999999999</v>
      </c>
      <c r="G115" s="7">
        <v>4.6188410000000003E-3</v>
      </c>
      <c r="H115" s="51">
        <v>7.4317000000000002</v>
      </c>
      <c r="I115" s="67"/>
    </row>
    <row r="116" spans="1:9" ht="29.1" customHeight="1" x14ac:dyDescent="0.2">
      <c r="A116" s="3">
        <v>6</v>
      </c>
      <c r="B116" s="4" t="s">
        <v>792</v>
      </c>
      <c r="C116" s="4" t="s">
        <v>791</v>
      </c>
      <c r="D116" s="4" t="s">
        <v>571</v>
      </c>
      <c r="E116" s="5">
        <v>1000000</v>
      </c>
      <c r="F116" s="6">
        <v>1002.848</v>
      </c>
      <c r="G116" s="7">
        <v>3.282428E-3</v>
      </c>
      <c r="H116" s="51">
        <v>6.6763000000000003</v>
      </c>
      <c r="I116" s="67"/>
    </row>
    <row r="117" spans="1:9" ht="29.1" customHeight="1" x14ac:dyDescent="0.2">
      <c r="A117" s="3">
        <v>7</v>
      </c>
      <c r="B117" s="4" t="s">
        <v>790</v>
      </c>
      <c r="C117" s="4" t="s">
        <v>789</v>
      </c>
      <c r="D117" s="4" t="s">
        <v>571</v>
      </c>
      <c r="E117" s="5">
        <v>1000000</v>
      </c>
      <c r="F117" s="6">
        <v>1002.4589999999999</v>
      </c>
      <c r="G117" s="7">
        <v>3.281155E-3</v>
      </c>
      <c r="H117" s="51">
        <v>7.3132999999999999</v>
      </c>
      <c r="I117" s="67"/>
    </row>
    <row r="118" spans="1:9" ht="29.1" customHeight="1" x14ac:dyDescent="0.2">
      <c r="A118" s="3">
        <v>8</v>
      </c>
      <c r="B118" s="4" t="s">
        <v>628</v>
      </c>
      <c r="C118" s="4" t="s">
        <v>629</v>
      </c>
      <c r="D118" s="4" t="s">
        <v>571</v>
      </c>
      <c r="E118" s="5">
        <v>1000000</v>
      </c>
      <c r="F118" s="6">
        <v>952.71900000000005</v>
      </c>
      <c r="G118" s="7">
        <v>3.1183510000000001E-3</v>
      </c>
      <c r="H118" s="51">
        <v>7.1689999999999996</v>
      </c>
      <c r="I118" s="67"/>
    </row>
    <row r="119" spans="1:9" ht="29.1" customHeight="1" x14ac:dyDescent="0.2">
      <c r="A119" s="3">
        <v>9</v>
      </c>
      <c r="B119" s="4" t="s">
        <v>634</v>
      </c>
      <c r="C119" s="4" t="s">
        <v>635</v>
      </c>
      <c r="D119" s="4" t="s">
        <v>571</v>
      </c>
      <c r="E119" s="5">
        <v>950000</v>
      </c>
      <c r="F119" s="6">
        <v>933.32275000000004</v>
      </c>
      <c r="G119" s="7">
        <v>3.0548649999999999E-3</v>
      </c>
      <c r="H119" s="51">
        <v>7.0937000000000001</v>
      </c>
      <c r="I119" s="67"/>
    </row>
    <row r="120" spans="1:9" ht="29.1" customHeight="1" x14ac:dyDescent="0.2">
      <c r="A120" s="3">
        <v>10</v>
      </c>
      <c r="B120" s="4" t="s">
        <v>788</v>
      </c>
      <c r="C120" s="4" t="s">
        <v>787</v>
      </c>
      <c r="D120" s="4" t="s">
        <v>571</v>
      </c>
      <c r="E120" s="5">
        <v>650000</v>
      </c>
      <c r="F120" s="6">
        <v>650.91909999999996</v>
      </c>
      <c r="G120" s="7">
        <v>2.130528E-3</v>
      </c>
      <c r="H120" s="51">
        <v>6.0678000000000001</v>
      </c>
      <c r="I120" s="67"/>
    </row>
    <row r="121" spans="1:9" ht="29.1" customHeight="1" x14ac:dyDescent="0.2">
      <c r="A121" s="3">
        <v>11</v>
      </c>
      <c r="B121" s="4" t="s">
        <v>786</v>
      </c>
      <c r="C121" s="4" t="s">
        <v>785</v>
      </c>
      <c r="D121" s="4" t="s">
        <v>571</v>
      </c>
      <c r="E121" s="5">
        <v>400000</v>
      </c>
      <c r="F121" s="6">
        <v>408.09120000000001</v>
      </c>
      <c r="G121" s="7">
        <v>1.335726E-3</v>
      </c>
      <c r="H121" s="51">
        <v>7.4</v>
      </c>
      <c r="I121" s="67"/>
    </row>
    <row r="122" spans="1:9" ht="29.1" customHeight="1" x14ac:dyDescent="0.2">
      <c r="A122" s="3">
        <v>12</v>
      </c>
      <c r="B122" s="4" t="s">
        <v>784</v>
      </c>
      <c r="C122" s="4" t="s">
        <v>783</v>
      </c>
      <c r="D122" s="4" t="s">
        <v>571</v>
      </c>
      <c r="E122" s="5">
        <v>400000</v>
      </c>
      <c r="F122" s="6">
        <v>406.29880000000003</v>
      </c>
      <c r="G122" s="7">
        <v>1.3298590000000001E-3</v>
      </c>
      <c r="H122" s="51">
        <v>7.3611000000000004</v>
      </c>
      <c r="I122" s="67"/>
    </row>
    <row r="123" spans="1:9" ht="29.1" customHeight="1" x14ac:dyDescent="0.2">
      <c r="A123" s="3">
        <v>13</v>
      </c>
      <c r="B123" s="4" t="s">
        <v>782</v>
      </c>
      <c r="C123" s="4" t="s">
        <v>781</v>
      </c>
      <c r="D123" s="4" t="s">
        <v>571</v>
      </c>
      <c r="E123" s="5">
        <v>400000</v>
      </c>
      <c r="F123" s="6">
        <v>405.94</v>
      </c>
      <c r="G123" s="7">
        <v>1.328685E-3</v>
      </c>
      <c r="H123" s="51">
        <v>7.3566000000000003</v>
      </c>
      <c r="I123" s="67"/>
    </row>
    <row r="124" spans="1:9" ht="14.1" customHeight="1" x14ac:dyDescent="0.2">
      <c r="A124" s="1"/>
      <c r="B124" s="1"/>
      <c r="C124" s="2" t="s">
        <v>129</v>
      </c>
      <c r="D124" s="1"/>
      <c r="E124" s="1" t="s">
        <v>130</v>
      </c>
      <c r="F124" s="9">
        <v>19484.34535</v>
      </c>
      <c r="G124" s="10">
        <v>6.3774338999999999E-2</v>
      </c>
      <c r="H124" s="51"/>
      <c r="I124" s="67"/>
    </row>
    <row r="125" spans="1:9" ht="14.1" customHeight="1" x14ac:dyDescent="0.2">
      <c r="A125" s="1"/>
      <c r="B125" s="1"/>
      <c r="C125" s="11"/>
      <c r="D125" s="1"/>
      <c r="E125" s="1"/>
      <c r="F125" s="12"/>
      <c r="G125" s="12"/>
      <c r="H125" s="51"/>
      <c r="I125" s="67"/>
    </row>
    <row r="126" spans="1:9" ht="14.1" customHeight="1" x14ac:dyDescent="0.2">
      <c r="A126" s="1"/>
      <c r="B126" s="1"/>
      <c r="C126" s="2" t="s">
        <v>140</v>
      </c>
      <c r="D126" s="1"/>
      <c r="E126" s="1"/>
      <c r="F126" s="12"/>
      <c r="G126" s="12"/>
      <c r="H126" s="51"/>
      <c r="I126" s="67"/>
    </row>
    <row r="127" spans="1:9" ht="14.1" customHeight="1" x14ac:dyDescent="0.2">
      <c r="A127" s="1"/>
      <c r="B127" s="1"/>
      <c r="C127" s="2" t="s">
        <v>129</v>
      </c>
      <c r="D127" s="1"/>
      <c r="E127" s="1" t="s">
        <v>130</v>
      </c>
      <c r="F127" s="13">
        <v>0</v>
      </c>
      <c r="G127" s="14">
        <v>0</v>
      </c>
      <c r="H127" s="51"/>
      <c r="I127" s="67"/>
    </row>
    <row r="128" spans="1:9" ht="14.1" customHeight="1" x14ac:dyDescent="0.2">
      <c r="A128" s="1"/>
      <c r="B128" s="1"/>
      <c r="C128" s="11"/>
      <c r="D128" s="1"/>
      <c r="E128" s="1"/>
      <c r="F128" s="12"/>
      <c r="G128" s="12"/>
      <c r="H128" s="51"/>
      <c r="I128" s="67"/>
    </row>
    <row r="129" spans="1:9" ht="14.1" customHeight="1" x14ac:dyDescent="0.2">
      <c r="A129" s="1"/>
      <c r="B129" s="1"/>
      <c r="C129" s="2" t="s">
        <v>141</v>
      </c>
      <c r="D129" s="1"/>
      <c r="E129" s="1"/>
      <c r="F129" s="9">
        <v>38373.776299999998</v>
      </c>
      <c r="G129" s="10">
        <v>0.125601461</v>
      </c>
      <c r="H129" s="51"/>
      <c r="I129" s="67"/>
    </row>
    <row r="130" spans="1:9" ht="14.1" customHeight="1" x14ac:dyDescent="0.2">
      <c r="A130" s="1"/>
      <c r="B130" s="1"/>
      <c r="C130" s="11"/>
      <c r="D130" s="1"/>
      <c r="E130" s="1"/>
      <c r="F130" s="12"/>
      <c r="G130" s="12"/>
      <c r="H130" s="51"/>
      <c r="I130" s="67"/>
    </row>
    <row r="131" spans="1:9" ht="14.1" customHeight="1" x14ac:dyDescent="0.2">
      <c r="A131" s="1"/>
      <c r="B131" s="1"/>
      <c r="C131" s="2" t="s">
        <v>142</v>
      </c>
      <c r="D131" s="1"/>
      <c r="E131" s="1"/>
      <c r="F131" s="12"/>
      <c r="G131" s="12"/>
      <c r="H131" s="51"/>
      <c r="I131" s="67"/>
    </row>
    <row r="132" spans="1:9" ht="14.1" customHeight="1" x14ac:dyDescent="0.2">
      <c r="A132" s="1"/>
      <c r="B132" s="1"/>
      <c r="C132" s="2" t="s">
        <v>143</v>
      </c>
      <c r="D132" s="1"/>
      <c r="E132" s="1"/>
      <c r="F132" s="12"/>
      <c r="G132" s="12"/>
      <c r="H132" s="51"/>
      <c r="I132" s="67"/>
    </row>
    <row r="133" spans="1:9" ht="17.100000000000001" customHeight="1" x14ac:dyDescent="0.2">
      <c r="A133" s="3">
        <v>1</v>
      </c>
      <c r="B133" s="4" t="s">
        <v>780</v>
      </c>
      <c r="C133" s="4" t="s">
        <v>779</v>
      </c>
      <c r="D133" s="4" t="s">
        <v>770</v>
      </c>
      <c r="E133" s="5">
        <v>500</v>
      </c>
      <c r="F133" s="6">
        <v>2438.8874999999998</v>
      </c>
      <c r="G133" s="7">
        <v>7.9827390000000008E-3</v>
      </c>
      <c r="H133" s="51">
        <v>6.7249999999999996</v>
      </c>
      <c r="I133" s="67"/>
    </row>
    <row r="134" spans="1:9" ht="17.100000000000001" customHeight="1" x14ac:dyDescent="0.2">
      <c r="A134" s="3">
        <v>2</v>
      </c>
      <c r="B134" s="4" t="s">
        <v>778</v>
      </c>
      <c r="C134" s="4" t="s">
        <v>777</v>
      </c>
      <c r="D134" s="4" t="s">
        <v>770</v>
      </c>
      <c r="E134" s="5">
        <v>500</v>
      </c>
      <c r="F134" s="6">
        <v>2353.7950000000001</v>
      </c>
      <c r="G134" s="7">
        <v>7.7042220000000002E-3</v>
      </c>
      <c r="H134" s="51">
        <v>7.085</v>
      </c>
      <c r="I134" s="67"/>
    </row>
    <row r="135" spans="1:9" ht="17.100000000000001" customHeight="1" x14ac:dyDescent="0.2">
      <c r="A135" s="3">
        <v>3</v>
      </c>
      <c r="B135" s="4" t="s">
        <v>776</v>
      </c>
      <c r="C135" s="4" t="s">
        <v>775</v>
      </c>
      <c r="D135" s="4" t="s">
        <v>767</v>
      </c>
      <c r="E135" s="5">
        <v>500</v>
      </c>
      <c r="F135" s="6">
        <v>2352.4875000000002</v>
      </c>
      <c r="G135" s="7">
        <v>7.6999420000000004E-3</v>
      </c>
      <c r="H135" s="51">
        <v>7.1300999999999997</v>
      </c>
      <c r="I135" s="67"/>
    </row>
    <row r="136" spans="1:9" ht="29.1" customHeight="1" x14ac:dyDescent="0.2">
      <c r="A136" s="3">
        <v>4</v>
      </c>
      <c r="B136" s="4" t="s">
        <v>774</v>
      </c>
      <c r="C136" s="4" t="s">
        <v>773</v>
      </c>
      <c r="D136" s="4" t="s">
        <v>767</v>
      </c>
      <c r="E136" s="5">
        <v>500</v>
      </c>
      <c r="F136" s="6">
        <v>2346.145</v>
      </c>
      <c r="G136" s="7">
        <v>7.679183E-3</v>
      </c>
      <c r="H136" s="51">
        <v>7.1451000000000002</v>
      </c>
      <c r="I136" s="67"/>
    </row>
    <row r="137" spans="1:9" ht="17.100000000000001" customHeight="1" x14ac:dyDescent="0.2">
      <c r="A137" s="3">
        <v>5</v>
      </c>
      <c r="B137" s="4" t="s">
        <v>772</v>
      </c>
      <c r="C137" s="4" t="s">
        <v>771</v>
      </c>
      <c r="D137" s="4" t="s">
        <v>770</v>
      </c>
      <c r="E137" s="5">
        <v>500</v>
      </c>
      <c r="F137" s="6">
        <v>2343.39</v>
      </c>
      <c r="G137" s="7">
        <v>7.6701649999999996E-3</v>
      </c>
      <c r="H137" s="51">
        <v>7.05</v>
      </c>
      <c r="I137" s="67"/>
    </row>
    <row r="138" spans="1:9" ht="14.1" customHeight="1" x14ac:dyDescent="0.2">
      <c r="A138" s="1"/>
      <c r="B138" s="1"/>
      <c r="C138" s="2" t="s">
        <v>129</v>
      </c>
      <c r="D138" s="1"/>
      <c r="E138" s="1" t="s">
        <v>130</v>
      </c>
      <c r="F138" s="9">
        <v>11834.705</v>
      </c>
      <c r="G138" s="10">
        <v>3.8736250999999999E-2</v>
      </c>
      <c r="H138" s="51"/>
      <c r="I138" s="67"/>
    </row>
    <row r="139" spans="1:9" ht="14.1" customHeight="1" x14ac:dyDescent="0.2">
      <c r="A139" s="1"/>
      <c r="B139" s="1"/>
      <c r="C139" s="11"/>
      <c r="D139" s="1"/>
      <c r="E139" s="1"/>
      <c r="F139" s="12"/>
      <c r="G139" s="12"/>
      <c r="H139" s="51"/>
      <c r="I139" s="67"/>
    </row>
    <row r="140" spans="1:9" ht="14.1" customHeight="1" x14ac:dyDescent="0.2">
      <c r="A140" s="1"/>
      <c r="B140" s="1"/>
      <c r="C140" s="2" t="s">
        <v>144</v>
      </c>
      <c r="D140" s="1"/>
      <c r="E140" s="1"/>
      <c r="F140" s="12"/>
      <c r="G140" s="12"/>
      <c r="H140" s="51"/>
      <c r="I140" s="67"/>
    </row>
    <row r="141" spans="1:9" ht="29.1" customHeight="1" x14ac:dyDescent="0.2">
      <c r="A141" s="3">
        <v>1</v>
      </c>
      <c r="B141" s="4" t="s">
        <v>769</v>
      </c>
      <c r="C141" s="4" t="s">
        <v>768</v>
      </c>
      <c r="D141" s="4" t="s">
        <v>767</v>
      </c>
      <c r="E141" s="5">
        <v>500</v>
      </c>
      <c r="F141" s="6">
        <v>2393.4025000000001</v>
      </c>
      <c r="G141" s="7">
        <v>7.8338620000000005E-3</v>
      </c>
      <c r="H141" s="51">
        <v>7.13</v>
      </c>
      <c r="I141" s="67"/>
    </row>
    <row r="142" spans="1:9" ht="14.1" customHeight="1" x14ac:dyDescent="0.2">
      <c r="A142" s="1"/>
      <c r="B142" s="1"/>
      <c r="C142" s="2" t="s">
        <v>129</v>
      </c>
      <c r="D142" s="1"/>
      <c r="E142" s="1" t="s">
        <v>130</v>
      </c>
      <c r="F142" s="9">
        <v>2393.4025000000001</v>
      </c>
      <c r="G142" s="10">
        <v>7.8338620000000005E-3</v>
      </c>
      <c r="H142" s="51"/>
      <c r="I142" s="67"/>
    </row>
    <row r="143" spans="1:9" ht="14.1" customHeight="1" x14ac:dyDescent="0.2">
      <c r="A143" s="1"/>
      <c r="B143" s="1"/>
      <c r="C143" s="11"/>
      <c r="D143" s="1"/>
      <c r="E143" s="1"/>
      <c r="F143" s="12"/>
      <c r="G143" s="12"/>
      <c r="H143" s="51"/>
      <c r="I143" s="67"/>
    </row>
    <row r="144" spans="1:9" ht="14.1" customHeight="1" x14ac:dyDescent="0.2">
      <c r="A144" s="1"/>
      <c r="B144" s="1"/>
      <c r="C144" s="2" t="s">
        <v>145</v>
      </c>
      <c r="D144" s="1"/>
      <c r="E144" s="1"/>
      <c r="F144" s="12"/>
      <c r="G144" s="12"/>
      <c r="H144" s="51"/>
      <c r="I144" s="67"/>
    </row>
    <row r="145" spans="1:9" ht="17.100000000000001" customHeight="1" x14ac:dyDescent="0.2">
      <c r="A145" s="3">
        <v>1</v>
      </c>
      <c r="B145" s="4" t="s">
        <v>766</v>
      </c>
      <c r="C145" s="4" t="s">
        <v>970</v>
      </c>
      <c r="D145" s="4" t="s">
        <v>571</v>
      </c>
      <c r="E145" s="5">
        <v>2500000</v>
      </c>
      <c r="F145" s="6">
        <v>2460.46</v>
      </c>
      <c r="G145" s="7">
        <v>8.0533480000000001E-3</v>
      </c>
      <c r="H145" s="51">
        <v>6.11</v>
      </c>
      <c r="I145" s="67"/>
    </row>
    <row r="146" spans="1:9" ht="17.100000000000001" customHeight="1" x14ac:dyDescent="0.2">
      <c r="A146" s="3">
        <v>2</v>
      </c>
      <c r="B146" s="4" t="s">
        <v>765</v>
      </c>
      <c r="C146" s="4" t="s">
        <v>1042</v>
      </c>
      <c r="D146" s="4" t="s">
        <v>571</v>
      </c>
      <c r="E146" s="5">
        <v>500000</v>
      </c>
      <c r="F146" s="6">
        <v>495.036</v>
      </c>
      <c r="G146" s="7">
        <v>1.620306E-3</v>
      </c>
      <c r="H146" s="51">
        <v>6</v>
      </c>
      <c r="I146" s="67"/>
    </row>
    <row r="147" spans="1:9" ht="14.1" customHeight="1" x14ac:dyDescent="0.2">
      <c r="A147" s="1"/>
      <c r="B147" s="1"/>
      <c r="C147" s="2" t="s">
        <v>129</v>
      </c>
      <c r="D147" s="1"/>
      <c r="E147" s="1" t="s">
        <v>130</v>
      </c>
      <c r="F147" s="9">
        <v>2955.4960000000001</v>
      </c>
      <c r="G147" s="10">
        <v>9.6736540000000003E-3</v>
      </c>
      <c r="H147" s="51"/>
      <c r="I147" s="67"/>
    </row>
    <row r="148" spans="1:9" ht="14.1" customHeight="1" x14ac:dyDescent="0.2">
      <c r="A148" s="1"/>
      <c r="B148" s="1"/>
      <c r="C148" s="11"/>
      <c r="D148" s="1"/>
      <c r="E148" s="1"/>
      <c r="F148" s="12"/>
      <c r="G148" s="12"/>
      <c r="H148" s="51"/>
      <c r="I148" s="67"/>
    </row>
    <row r="149" spans="1:9" ht="14.1" customHeight="1" x14ac:dyDescent="0.2">
      <c r="A149" s="1"/>
      <c r="B149" s="1"/>
      <c r="C149" s="2" t="s">
        <v>146</v>
      </c>
      <c r="D149" s="1"/>
      <c r="E149" s="1"/>
      <c r="F149" s="12"/>
      <c r="G149" s="12"/>
      <c r="H149" s="51"/>
      <c r="I149" s="67"/>
    </row>
    <row r="150" spans="1:9" ht="17.100000000000001" customHeight="1" x14ac:dyDescent="0.2">
      <c r="A150" s="3">
        <v>1</v>
      </c>
      <c r="B150" s="4"/>
      <c r="C150" s="4" t="s">
        <v>147</v>
      </c>
      <c r="D150" s="4"/>
      <c r="E150" s="8"/>
      <c r="F150" s="6">
        <v>12082.6061037</v>
      </c>
      <c r="G150" s="7">
        <v>3.9547657999999999E-2</v>
      </c>
      <c r="H150" s="51">
        <v>6.1245112103248278</v>
      </c>
      <c r="I150" s="67"/>
    </row>
    <row r="151" spans="1:9" ht="14.1" customHeight="1" x14ac:dyDescent="0.2">
      <c r="A151" s="1"/>
      <c r="B151" s="1"/>
      <c r="C151" s="2" t="s">
        <v>129</v>
      </c>
      <c r="D151" s="1"/>
      <c r="E151" s="1" t="s">
        <v>130</v>
      </c>
      <c r="F151" s="9">
        <v>12082.6061037</v>
      </c>
      <c r="G151" s="10">
        <v>3.9547657999999999E-2</v>
      </c>
      <c r="H151" s="51"/>
      <c r="I151" s="67"/>
    </row>
    <row r="152" spans="1:9" ht="14.1" customHeight="1" x14ac:dyDescent="0.2">
      <c r="A152" s="1"/>
      <c r="B152" s="1"/>
      <c r="C152" s="11"/>
      <c r="D152" s="1"/>
      <c r="E152" s="1"/>
      <c r="F152" s="12"/>
      <c r="G152" s="12"/>
      <c r="H152" s="51"/>
      <c r="I152" s="67"/>
    </row>
    <row r="153" spans="1:9" ht="14.1" customHeight="1" x14ac:dyDescent="0.2">
      <c r="A153" s="1"/>
      <c r="B153" s="1"/>
      <c r="C153" s="2" t="s">
        <v>148</v>
      </c>
      <c r="D153" s="1"/>
      <c r="E153" s="1"/>
      <c r="F153" s="9">
        <v>29266.209603700001</v>
      </c>
      <c r="G153" s="10">
        <v>9.5791424999999999E-2</v>
      </c>
      <c r="H153" s="51"/>
      <c r="I153" s="67"/>
    </row>
    <row r="154" spans="1:9" ht="14.1" customHeight="1" x14ac:dyDescent="0.2">
      <c r="A154" s="1"/>
      <c r="B154" s="1"/>
      <c r="C154" s="12"/>
      <c r="D154" s="1"/>
      <c r="E154" s="1"/>
      <c r="F154" s="1"/>
      <c r="G154" s="1"/>
      <c r="H154" s="51"/>
      <c r="I154" s="67"/>
    </row>
    <row r="155" spans="1:9" ht="14.1" customHeight="1" x14ac:dyDescent="0.2">
      <c r="A155" s="1"/>
      <c r="B155" s="1"/>
      <c r="C155" s="2" t="s">
        <v>149</v>
      </c>
      <c r="D155" s="1"/>
      <c r="E155" s="1"/>
      <c r="F155" s="1"/>
      <c r="G155" s="1"/>
      <c r="H155" s="51"/>
      <c r="I155" s="67"/>
    </row>
    <row r="156" spans="1:9" ht="14.1" customHeight="1" x14ac:dyDescent="0.2">
      <c r="A156" s="1"/>
      <c r="B156" s="1"/>
      <c r="C156" s="2" t="s">
        <v>150</v>
      </c>
      <c r="D156" s="1"/>
      <c r="E156" s="1"/>
      <c r="F156" s="1"/>
      <c r="G156" s="1"/>
      <c r="H156" s="51"/>
      <c r="I156" s="67"/>
    </row>
    <row r="157" spans="1:9" ht="14.1" customHeight="1" x14ac:dyDescent="0.2">
      <c r="A157" s="1"/>
      <c r="B157" s="1"/>
      <c r="C157" s="2" t="s">
        <v>129</v>
      </c>
      <c r="D157" s="1"/>
      <c r="E157" s="1" t="s">
        <v>130</v>
      </c>
      <c r="F157" s="13">
        <v>0</v>
      </c>
      <c r="G157" s="14">
        <v>0</v>
      </c>
      <c r="H157" s="51"/>
      <c r="I157" s="67"/>
    </row>
    <row r="158" spans="1:9" ht="14.1" customHeight="1" x14ac:dyDescent="0.2">
      <c r="A158" s="1"/>
      <c r="B158" s="1"/>
      <c r="C158" s="11"/>
      <c r="D158" s="1"/>
      <c r="E158" s="1"/>
      <c r="F158" s="12"/>
      <c r="G158" s="12"/>
      <c r="H158" s="51"/>
      <c r="I158" s="67"/>
    </row>
    <row r="159" spans="1:9" ht="14.1" customHeight="1" x14ac:dyDescent="0.2">
      <c r="A159" s="1"/>
      <c r="B159" s="1"/>
      <c r="C159" s="2" t="s">
        <v>151</v>
      </c>
      <c r="D159" s="1"/>
      <c r="E159" s="1"/>
      <c r="F159" s="1"/>
      <c r="G159" s="1"/>
      <c r="H159" s="51"/>
      <c r="I159" s="67"/>
    </row>
    <row r="160" spans="1:9" ht="14.1" customHeight="1" x14ac:dyDescent="0.2">
      <c r="A160" s="1"/>
      <c r="B160" s="1"/>
      <c r="C160" s="2" t="s">
        <v>152</v>
      </c>
      <c r="D160" s="1"/>
      <c r="E160" s="1"/>
      <c r="F160" s="1"/>
      <c r="G160" s="1"/>
      <c r="H160" s="51"/>
      <c r="I160" s="67"/>
    </row>
    <row r="161" spans="1:16" ht="14.1" customHeight="1" x14ac:dyDescent="0.2">
      <c r="A161" s="1"/>
      <c r="B161" s="1"/>
      <c r="C161" s="2" t="s">
        <v>129</v>
      </c>
      <c r="D161" s="1"/>
      <c r="E161" s="1" t="s">
        <v>130</v>
      </c>
      <c r="F161" s="13">
        <v>0</v>
      </c>
      <c r="G161" s="14">
        <v>0</v>
      </c>
      <c r="H161" s="51"/>
      <c r="I161" s="67"/>
    </row>
    <row r="162" spans="1:16" ht="14.1" customHeight="1" x14ac:dyDescent="0.2">
      <c r="A162" s="1"/>
      <c r="B162" s="1"/>
      <c r="C162" s="11"/>
      <c r="D162" s="1"/>
      <c r="E162" s="1"/>
      <c r="F162" s="12"/>
      <c r="G162" s="12"/>
      <c r="H162" s="51"/>
      <c r="I162" s="67"/>
    </row>
    <row r="163" spans="1:16" ht="24" customHeight="1" x14ac:dyDescent="0.2">
      <c r="A163" s="1"/>
      <c r="B163" s="1"/>
      <c r="C163" s="2" t="s">
        <v>153</v>
      </c>
      <c r="D163" s="1"/>
      <c r="E163" s="1"/>
      <c r="F163" s="12"/>
      <c r="G163" s="12"/>
      <c r="H163" s="51"/>
      <c r="I163" s="67"/>
    </row>
    <row r="164" spans="1:16" ht="14.1" customHeight="1" x14ac:dyDescent="0.2">
      <c r="A164" s="1"/>
      <c r="B164" s="1"/>
      <c r="C164" s="2" t="s">
        <v>129</v>
      </c>
      <c r="D164" s="1"/>
      <c r="E164" s="1" t="s">
        <v>130</v>
      </c>
      <c r="F164" s="13">
        <v>0</v>
      </c>
      <c r="G164" s="14">
        <v>0</v>
      </c>
      <c r="H164" s="51"/>
      <c r="I164" s="67"/>
    </row>
    <row r="165" spans="1:16" ht="14.1" customHeight="1" x14ac:dyDescent="0.2">
      <c r="A165" s="1"/>
      <c r="B165" s="1"/>
      <c r="C165" s="11"/>
      <c r="D165" s="1"/>
      <c r="E165" s="1"/>
      <c r="F165" s="12"/>
      <c r="G165" s="12"/>
      <c r="H165" s="51"/>
      <c r="I165" s="67"/>
    </row>
    <row r="166" spans="1:16" ht="14.1" customHeight="1" x14ac:dyDescent="0.2">
      <c r="A166" s="1"/>
      <c r="B166" s="4"/>
      <c r="C166" s="4"/>
      <c r="D166" s="2"/>
      <c r="E166" s="1"/>
      <c r="F166" s="4"/>
      <c r="G166" s="8"/>
      <c r="H166" s="51"/>
      <c r="I166" s="67"/>
    </row>
    <row r="167" spans="1:16" ht="18" customHeight="1" x14ac:dyDescent="0.2">
      <c r="A167" s="8"/>
      <c r="B167" s="4"/>
      <c r="C167" s="4" t="s">
        <v>764</v>
      </c>
      <c r="D167" s="4"/>
      <c r="E167" s="8"/>
      <c r="F167" s="6">
        <v>3523.8028291400001</v>
      </c>
      <c r="G167" s="7">
        <v>1.1533781999999999E-2</v>
      </c>
      <c r="H167" s="51"/>
      <c r="I167" s="67"/>
    </row>
    <row r="168" spans="1:16" ht="14.1" customHeight="1" x14ac:dyDescent="0.2">
      <c r="A168" s="11"/>
      <c r="B168" s="11"/>
      <c r="C168" s="2" t="s">
        <v>155</v>
      </c>
      <c r="D168" s="12"/>
      <c r="E168" s="12"/>
      <c r="F168" s="9">
        <v>305520.14290283999</v>
      </c>
      <c r="G168" s="10">
        <v>1.0000000019999999</v>
      </c>
      <c r="H168" s="51"/>
      <c r="I168" s="67"/>
    </row>
    <row r="169" spans="1:16" ht="14.1" customHeight="1" x14ac:dyDescent="0.2">
      <c r="A169" s="16"/>
      <c r="B169" s="16"/>
      <c r="C169" s="16"/>
      <c r="D169" s="17"/>
      <c r="E169" s="17"/>
      <c r="F169" s="17"/>
      <c r="G169" s="17"/>
    </row>
    <row r="170" spans="1:16" ht="17.100000000000001" customHeight="1" x14ac:dyDescent="0.2">
      <c r="A170" s="18"/>
      <c r="B170" s="327" t="s">
        <v>763</v>
      </c>
      <c r="C170" s="327"/>
      <c r="D170" s="327"/>
      <c r="E170" s="327"/>
      <c r="F170" s="327"/>
      <c r="G170" s="20"/>
    </row>
    <row r="171" spans="1:16" ht="17.100000000000001" customHeight="1" x14ac:dyDescent="0.2">
      <c r="A171" s="18"/>
      <c r="B171" s="327" t="s">
        <v>762</v>
      </c>
      <c r="C171" s="327"/>
      <c r="D171" s="327"/>
      <c r="E171" s="327"/>
      <c r="F171" s="327"/>
      <c r="G171" s="20"/>
    </row>
    <row r="172" spans="1:16" ht="17.100000000000001" customHeight="1" x14ac:dyDescent="0.2">
      <c r="A172" s="18"/>
      <c r="B172" s="327" t="s">
        <v>156</v>
      </c>
      <c r="C172" s="327"/>
      <c r="D172" s="327"/>
      <c r="E172" s="327"/>
      <c r="F172" s="327"/>
      <c r="G172" s="20"/>
    </row>
    <row r="173" spans="1:16" s="41" customFormat="1" ht="69.75" customHeight="1" x14ac:dyDescent="0.2">
      <c r="A173" s="39"/>
      <c r="B173" s="344" t="s">
        <v>865</v>
      </c>
      <c r="C173" s="344"/>
      <c r="D173" s="344"/>
      <c r="E173" s="344"/>
      <c r="F173" s="344"/>
      <c r="G173" s="40"/>
      <c r="H173"/>
      <c r="I173"/>
      <c r="J173"/>
      <c r="K173"/>
      <c r="L173"/>
      <c r="M173"/>
      <c r="N173"/>
      <c r="O173"/>
      <c r="P173" s="123"/>
    </row>
    <row r="174" spans="1:16" ht="14.1" customHeight="1" x14ac:dyDescent="0.2">
      <c r="A174" s="18"/>
      <c r="B174" s="18"/>
      <c r="C174" s="18"/>
      <c r="D174" s="20"/>
      <c r="E174" s="20"/>
      <c r="F174" s="20"/>
      <c r="G174" s="20"/>
    </row>
    <row r="175" spans="1:16" ht="14.1" customHeight="1" x14ac:dyDescent="0.2">
      <c r="A175" s="18"/>
      <c r="B175" s="325" t="s">
        <v>157</v>
      </c>
      <c r="C175" s="330"/>
      <c r="D175" s="326"/>
      <c r="E175" s="21"/>
      <c r="F175" s="20"/>
      <c r="G175" s="20"/>
    </row>
    <row r="176" spans="1:16" ht="29.1" customHeight="1" x14ac:dyDescent="0.2">
      <c r="A176" s="18"/>
      <c r="B176" s="318" t="s">
        <v>158</v>
      </c>
      <c r="C176" s="319"/>
      <c r="D176" s="111" t="s">
        <v>1062</v>
      </c>
      <c r="E176" s="21"/>
      <c r="F176" s="20"/>
      <c r="G176" s="20"/>
    </row>
    <row r="177" spans="1:16" ht="17.100000000000001" customHeight="1" x14ac:dyDescent="0.2">
      <c r="A177" s="18"/>
      <c r="B177" s="318" t="s">
        <v>983</v>
      </c>
      <c r="C177" s="319"/>
      <c r="D177" s="2" t="s">
        <v>1011</v>
      </c>
      <c r="E177" s="21"/>
      <c r="F177" s="20"/>
      <c r="G177" s="20"/>
    </row>
    <row r="178" spans="1:16" ht="17.100000000000001" customHeight="1" x14ac:dyDescent="0.2">
      <c r="A178" s="18"/>
      <c r="B178" s="318" t="s">
        <v>161</v>
      </c>
      <c r="C178" s="319"/>
      <c r="D178" s="12" t="s">
        <v>130</v>
      </c>
      <c r="E178" s="21"/>
      <c r="F178" s="20"/>
      <c r="G178" s="20"/>
      <c r="P178" s="41"/>
    </row>
    <row r="179" spans="1:16" ht="24" customHeight="1" x14ac:dyDescent="0.2">
      <c r="A179" s="22"/>
      <c r="B179" s="23" t="s">
        <v>130</v>
      </c>
      <c r="C179" s="23" t="s">
        <v>162</v>
      </c>
      <c r="D179" s="23" t="s">
        <v>163</v>
      </c>
      <c r="E179" s="22"/>
      <c r="F179" s="22"/>
      <c r="G179" s="22"/>
    </row>
    <row r="180" spans="1:16" ht="18" customHeight="1" x14ac:dyDescent="0.2">
      <c r="A180" s="22"/>
      <c r="B180" s="37" t="s">
        <v>164</v>
      </c>
      <c r="C180" s="23" t="s">
        <v>165</v>
      </c>
      <c r="D180" s="23" t="s">
        <v>166</v>
      </c>
      <c r="E180" s="22"/>
      <c r="F180" s="22"/>
      <c r="G180" s="22"/>
    </row>
    <row r="181" spans="1:16" ht="17.100000000000001" customHeight="1" x14ac:dyDescent="0.2">
      <c r="A181" s="22"/>
      <c r="B181" s="4" t="s">
        <v>167</v>
      </c>
      <c r="C181" s="36">
        <v>126.0645</v>
      </c>
      <c r="D181" s="36">
        <v>124.4757</v>
      </c>
      <c r="E181" s="22"/>
      <c r="F181" s="19"/>
      <c r="G181" s="25"/>
    </row>
    <row r="182" spans="1:16" ht="29.1" customHeight="1" x14ac:dyDescent="0.2">
      <c r="A182" s="22"/>
      <c r="B182" s="61" t="s">
        <v>1072</v>
      </c>
      <c r="C182" s="36">
        <v>39.463799999999999</v>
      </c>
      <c r="D182" s="36">
        <v>38.622</v>
      </c>
      <c r="E182" s="22"/>
      <c r="F182" s="19"/>
      <c r="G182" s="25"/>
    </row>
    <row r="183" spans="1:16" ht="17.100000000000001" customHeight="1" x14ac:dyDescent="0.2">
      <c r="A183" s="22"/>
      <c r="B183" s="61" t="s">
        <v>168</v>
      </c>
      <c r="C183" s="36">
        <v>113.7355</v>
      </c>
      <c r="D183" s="36">
        <v>112.1917</v>
      </c>
      <c r="E183" s="22"/>
      <c r="F183" s="19"/>
      <c r="G183" s="25"/>
    </row>
    <row r="184" spans="1:16" ht="29.1" customHeight="1" x14ac:dyDescent="0.2">
      <c r="A184" s="22"/>
      <c r="B184" s="61" t="s">
        <v>1074</v>
      </c>
      <c r="C184" s="36">
        <v>27.072299999999998</v>
      </c>
      <c r="D184" s="36">
        <v>26.4588</v>
      </c>
      <c r="E184" s="22"/>
      <c r="F184" s="19"/>
      <c r="G184" s="25"/>
    </row>
    <row r="185" spans="1:16" ht="14.1" customHeight="1" x14ac:dyDescent="0.2">
      <c r="A185" s="22"/>
      <c r="B185" s="22"/>
      <c r="C185" s="22"/>
      <c r="D185" s="22"/>
      <c r="E185" s="22"/>
      <c r="F185" s="22"/>
      <c r="G185" s="22"/>
    </row>
    <row r="186" spans="1:16" ht="17.100000000000001" customHeight="1" x14ac:dyDescent="0.2">
      <c r="A186" s="22"/>
      <c r="B186" s="318" t="s">
        <v>1069</v>
      </c>
      <c r="C186" s="319"/>
      <c r="D186" s="2" t="s">
        <v>130</v>
      </c>
      <c r="E186" s="22"/>
      <c r="F186" s="22"/>
      <c r="G186" s="22"/>
    </row>
    <row r="187" spans="1:16" ht="18" customHeight="1" x14ac:dyDescent="0.2">
      <c r="A187" s="22"/>
      <c r="B187" s="35" t="s">
        <v>164</v>
      </c>
      <c r="C187" s="34" t="s">
        <v>761</v>
      </c>
      <c r="D187" s="34" t="s">
        <v>760</v>
      </c>
      <c r="E187" s="22"/>
      <c r="F187" s="22"/>
      <c r="G187" s="22"/>
    </row>
    <row r="188" spans="1:16" ht="29.1" customHeight="1" x14ac:dyDescent="0.2">
      <c r="A188" s="22"/>
      <c r="B188" s="61" t="s">
        <v>1072</v>
      </c>
      <c r="C188" s="33">
        <v>0.35</v>
      </c>
      <c r="D188" s="33">
        <v>0.35</v>
      </c>
      <c r="E188" s="22"/>
      <c r="F188" s="19"/>
      <c r="G188" s="25"/>
    </row>
    <row r="189" spans="1:16" ht="29.1" customHeight="1" x14ac:dyDescent="0.2">
      <c r="A189" s="22"/>
      <c r="B189" s="61" t="s">
        <v>1074</v>
      </c>
      <c r="C189" s="33">
        <v>0.25</v>
      </c>
      <c r="D189" s="33">
        <v>0.25</v>
      </c>
      <c r="E189" s="22"/>
      <c r="F189" s="19"/>
      <c r="G189" s="25"/>
    </row>
    <row r="190" spans="1:16" ht="14.1" customHeight="1" x14ac:dyDescent="0.2">
      <c r="A190" s="22"/>
      <c r="B190" s="32"/>
      <c r="C190" s="32"/>
      <c r="D190" s="31"/>
      <c r="E190" s="22"/>
      <c r="F190" s="19"/>
      <c r="G190" s="25"/>
    </row>
    <row r="191" spans="1:16" ht="14.1" customHeight="1" x14ac:dyDescent="0.2">
      <c r="A191" s="22"/>
      <c r="B191" s="19"/>
      <c r="C191" s="19"/>
      <c r="D191" s="22"/>
      <c r="E191" s="22"/>
      <c r="F191" s="22"/>
      <c r="G191" s="22"/>
    </row>
    <row r="192" spans="1:16" ht="29.1" customHeight="1" x14ac:dyDescent="0.2">
      <c r="A192" s="22"/>
      <c r="B192" s="318" t="s">
        <v>169</v>
      </c>
      <c r="C192" s="319"/>
      <c r="D192" s="2" t="s">
        <v>159</v>
      </c>
      <c r="E192" s="29"/>
      <c r="F192" s="22"/>
      <c r="G192" s="22"/>
    </row>
    <row r="193" spans="1:15" ht="29.1" customHeight="1" x14ac:dyDescent="0.2">
      <c r="A193" s="22"/>
      <c r="B193" s="318" t="s">
        <v>170</v>
      </c>
      <c r="C193" s="319"/>
      <c r="D193" s="2" t="s">
        <v>159</v>
      </c>
      <c r="E193" s="29"/>
      <c r="F193" s="22"/>
      <c r="G193" s="22"/>
    </row>
    <row r="194" spans="1:15" ht="17.100000000000001" customHeight="1" x14ac:dyDescent="0.2">
      <c r="A194" s="22"/>
      <c r="B194" s="328" t="s">
        <v>991</v>
      </c>
      <c r="C194" s="329"/>
      <c r="D194" s="30">
        <v>1.6713319239267446</v>
      </c>
      <c r="E194" s="29"/>
      <c r="F194" s="22"/>
      <c r="G194" s="22"/>
    </row>
    <row r="195" spans="1:15" ht="17.100000000000001" customHeight="1" x14ac:dyDescent="0.2">
      <c r="A195" s="22"/>
      <c r="B195" s="328" t="s">
        <v>992</v>
      </c>
      <c r="C195" s="329"/>
      <c r="D195" s="30">
        <v>1.3406581084006204</v>
      </c>
      <c r="E195" s="29"/>
      <c r="F195" s="22"/>
      <c r="G195" s="22"/>
    </row>
    <row r="196" spans="1:15" ht="17.100000000000001" customHeight="1" x14ac:dyDescent="0.2">
      <c r="A196" s="22"/>
      <c r="B196" s="318" t="s">
        <v>988</v>
      </c>
      <c r="C196" s="319"/>
      <c r="D196" s="28">
        <v>0.71963767419997349</v>
      </c>
      <c r="E196" s="22"/>
      <c r="F196" s="19"/>
      <c r="G196" s="25"/>
    </row>
    <row r="197" spans="1:15" ht="17.100000000000001" customHeight="1" x14ac:dyDescent="0.2">
      <c r="A197" s="22"/>
      <c r="B197" s="318" t="s">
        <v>989</v>
      </c>
      <c r="C197" s="319"/>
      <c r="D197" s="2" t="s">
        <v>159</v>
      </c>
      <c r="E197" s="29"/>
      <c r="F197" s="22"/>
      <c r="G197" s="22"/>
    </row>
    <row r="198" spans="1:15" ht="11.1" customHeight="1" x14ac:dyDescent="0.2">
      <c r="A198" s="26"/>
      <c r="B198" s="26"/>
      <c r="C198" s="26"/>
      <c r="D198" s="26"/>
      <c r="E198" s="26"/>
      <c r="F198" s="26"/>
      <c r="G198" s="26"/>
    </row>
    <row r="199" spans="1:15" s="123" customFormat="1" x14ac:dyDescent="0.2">
      <c r="B199" s="124" t="s">
        <v>1063</v>
      </c>
      <c r="J199"/>
      <c r="K199"/>
      <c r="L199"/>
      <c r="M199"/>
      <c r="N199"/>
      <c r="O199"/>
    </row>
    <row r="200" spans="1:15" s="123" customFormat="1" ht="38.25" x14ac:dyDescent="0.2">
      <c r="B200" s="125" t="s">
        <v>973</v>
      </c>
      <c r="C200" s="125" t="s">
        <v>974</v>
      </c>
      <c r="D200" s="125" t="s">
        <v>975</v>
      </c>
      <c r="E200" s="125" t="s">
        <v>976</v>
      </c>
      <c r="F200" s="125" t="s">
        <v>977</v>
      </c>
      <c r="J200"/>
      <c r="K200"/>
      <c r="L200"/>
      <c r="M200"/>
      <c r="N200"/>
      <c r="O200"/>
    </row>
    <row r="201" spans="1:15" s="123" customFormat="1" ht="25.5" x14ac:dyDescent="0.2">
      <c r="B201" s="126" t="s">
        <v>1045</v>
      </c>
      <c r="C201" s="127" t="s">
        <v>1046</v>
      </c>
      <c r="D201" s="128">
        <v>0</v>
      </c>
      <c r="E201" s="129">
        <v>0</v>
      </c>
      <c r="F201" s="130">
        <v>1000</v>
      </c>
      <c r="J201"/>
      <c r="K201"/>
      <c r="L201"/>
      <c r="M201"/>
      <c r="N201"/>
      <c r="O201"/>
    </row>
    <row r="202" spans="1:15" s="123" customFormat="1" x14ac:dyDescent="0.2">
      <c r="B202" s="124"/>
      <c r="J202"/>
      <c r="K202"/>
      <c r="L202"/>
      <c r="M202"/>
      <c r="N202"/>
      <c r="O202"/>
    </row>
    <row r="203" spans="1:15" s="123" customFormat="1" ht="29.25" customHeight="1" x14ac:dyDescent="0.2">
      <c r="B203" s="131" t="s">
        <v>1047</v>
      </c>
      <c r="C203" s="131" t="s">
        <v>1048</v>
      </c>
      <c r="D203" s="340" t="s">
        <v>1049</v>
      </c>
      <c r="E203" s="341"/>
      <c r="F203" s="331" t="s">
        <v>1050</v>
      </c>
      <c r="G203" s="331"/>
      <c r="H203" s="132"/>
      <c r="I203" s="133"/>
      <c r="J203"/>
      <c r="K203"/>
      <c r="L203"/>
      <c r="M203"/>
      <c r="N203"/>
      <c r="O203"/>
    </row>
    <row r="204" spans="1:15" s="123" customFormat="1" ht="25.5" x14ac:dyDescent="0.2">
      <c r="B204" s="134" t="s">
        <v>1051</v>
      </c>
      <c r="C204" s="135" t="s">
        <v>1052</v>
      </c>
      <c r="D204" s="342">
        <v>0</v>
      </c>
      <c r="E204" s="343"/>
      <c r="F204" s="342">
        <v>0</v>
      </c>
      <c r="G204" s="343"/>
      <c r="H204" s="136"/>
      <c r="I204" s="133"/>
      <c r="J204"/>
      <c r="K204"/>
      <c r="L204"/>
      <c r="M204"/>
      <c r="N204"/>
      <c r="O204"/>
    </row>
    <row r="205" spans="1:15" s="123" customFormat="1" x14ac:dyDescent="0.2">
      <c r="B205" s="332" t="s">
        <v>1053</v>
      </c>
      <c r="C205" s="333"/>
      <c r="D205" s="333"/>
      <c r="E205" s="333"/>
      <c r="F205" s="333"/>
      <c r="G205" s="334"/>
      <c r="H205" s="132"/>
      <c r="I205" s="133"/>
      <c r="J205" s="41"/>
      <c r="K205"/>
      <c r="L205"/>
      <c r="M205"/>
      <c r="N205"/>
      <c r="O205"/>
    </row>
    <row r="206" spans="1:15" s="123" customFormat="1" x14ac:dyDescent="0.2">
      <c r="B206" s="331" t="s">
        <v>1047</v>
      </c>
      <c r="C206" s="331" t="s">
        <v>1048</v>
      </c>
      <c r="D206" s="332" t="s">
        <v>1054</v>
      </c>
      <c r="E206" s="333"/>
      <c r="F206" s="334"/>
      <c r="G206" s="134"/>
      <c r="H206" s="132"/>
      <c r="I206" s="133"/>
      <c r="J206" s="41"/>
      <c r="K206"/>
      <c r="L206"/>
      <c r="M206"/>
      <c r="N206"/>
      <c r="O206"/>
    </row>
    <row r="207" spans="1:15" s="123" customFormat="1" ht="38.25" x14ac:dyDescent="0.2">
      <c r="B207" s="331"/>
      <c r="C207" s="331"/>
      <c r="D207" s="137" t="s">
        <v>1055</v>
      </c>
      <c r="E207" s="137" t="s">
        <v>1056</v>
      </c>
      <c r="F207" s="137" t="s">
        <v>1057</v>
      </c>
      <c r="G207" s="137" t="s">
        <v>1085</v>
      </c>
      <c r="H207" s="132"/>
      <c r="I207" s="133"/>
      <c r="J207" s="41"/>
      <c r="K207"/>
      <c r="L207"/>
      <c r="M207"/>
      <c r="N207"/>
      <c r="O207"/>
    </row>
    <row r="208" spans="1:15" s="123" customFormat="1" ht="25.5" x14ac:dyDescent="0.2">
      <c r="B208" s="138" t="s">
        <v>1051</v>
      </c>
      <c r="C208" s="135" t="s">
        <v>1052</v>
      </c>
      <c r="D208" s="139">
        <v>700</v>
      </c>
      <c r="E208" s="139">
        <v>24.098357999999998</v>
      </c>
      <c r="F208" s="140">
        <v>724.09835799999996</v>
      </c>
      <c r="G208" s="141">
        <v>2.3700511237004598E-3</v>
      </c>
      <c r="H208" s="132"/>
      <c r="I208" s="133"/>
      <c r="J208" s="41"/>
      <c r="K208"/>
      <c r="L208"/>
      <c r="M208"/>
      <c r="N208"/>
      <c r="O208"/>
    </row>
    <row r="209" spans="2:15" s="123" customFormat="1" ht="27.75" customHeight="1" x14ac:dyDescent="0.2">
      <c r="B209" s="335" t="s">
        <v>1058</v>
      </c>
      <c r="C209" s="336"/>
      <c r="D209" s="336"/>
      <c r="E209" s="336"/>
      <c r="F209" s="336"/>
      <c r="G209" s="337"/>
      <c r="H209" s="132"/>
      <c r="I209" s="133"/>
      <c r="J209"/>
      <c r="K209"/>
      <c r="L209"/>
      <c r="M209"/>
      <c r="N209"/>
      <c r="O209"/>
    </row>
    <row r="210" spans="2:15" s="123" customFormat="1" x14ac:dyDescent="0.2">
      <c r="J210" s="161"/>
      <c r="K210"/>
      <c r="L210"/>
      <c r="M210"/>
      <c r="N210"/>
      <c r="O210"/>
    </row>
    <row r="211" spans="2:15" x14ac:dyDescent="0.2">
      <c r="J211" s="41"/>
    </row>
    <row r="212" spans="2:15" x14ac:dyDescent="0.2">
      <c r="J212" s="41"/>
    </row>
    <row r="213" spans="2:15" x14ac:dyDescent="0.2">
      <c r="J213" s="41"/>
    </row>
    <row r="214" spans="2:15" x14ac:dyDescent="0.2">
      <c r="J214" s="41"/>
    </row>
    <row r="215" spans="2:15" ht="15" x14ac:dyDescent="0.2">
      <c r="J215" s="162"/>
    </row>
    <row r="216" spans="2:15" ht="15" x14ac:dyDescent="0.25">
      <c r="J216" s="163"/>
    </row>
    <row r="217" spans="2:15" x14ac:dyDescent="0.2">
      <c r="J217" s="41"/>
    </row>
  </sheetData>
  <mergeCells count="28">
    <mergeCell ref="B206:B207"/>
    <mergeCell ref="C206:C207"/>
    <mergeCell ref="D206:F206"/>
    <mergeCell ref="B209:G209"/>
    <mergeCell ref="A1:I1"/>
    <mergeCell ref="A2:I2"/>
    <mergeCell ref="A3:I3"/>
    <mergeCell ref="D203:E203"/>
    <mergeCell ref="F203:G203"/>
    <mergeCell ref="D204:E204"/>
    <mergeCell ref="F204:G204"/>
    <mergeCell ref="B205:G205"/>
    <mergeCell ref="B192:C192"/>
    <mergeCell ref="B170:F170"/>
    <mergeCell ref="B171:F171"/>
    <mergeCell ref="B173:F173"/>
    <mergeCell ref="B197:C197"/>
    <mergeCell ref="B196:C196"/>
    <mergeCell ref="B175:D175"/>
    <mergeCell ref="B176:C176"/>
    <mergeCell ref="B177:C177"/>
    <mergeCell ref="B178:C178"/>
    <mergeCell ref="B186:C186"/>
    <mergeCell ref="K2:O2"/>
    <mergeCell ref="B172:F172"/>
    <mergeCell ref="B193:C193"/>
    <mergeCell ref="B194:C194"/>
    <mergeCell ref="B195:C195"/>
  </mergeCells>
  <hyperlinks>
    <hyperlink ref="J1" location="Index!B24" display="Index" xr:uid="{CDAC10E1-B5D5-46AF-B910-736387A3734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outlinePr summaryBelow="0" summaryRight="0"/>
  </sheetPr>
  <dimension ref="A1:O148"/>
  <sheetViews>
    <sheetView showGridLines="0" workbookViewId="0">
      <selection sqref="A1:H1"/>
    </sheetView>
  </sheetViews>
  <sheetFormatPr defaultRowHeight="12.75" x14ac:dyDescent="0.2"/>
  <cols>
    <col min="1" max="1" width="6.85546875" customWidth="1"/>
    <col min="2" max="2" width="20.5703125" customWidth="1"/>
    <col min="3" max="3" width="36.28515625" customWidth="1"/>
    <col min="4" max="4" width="17.85546875" customWidth="1"/>
    <col min="5" max="6" width="19.140625" customWidth="1"/>
    <col min="7" max="7" width="16.42578125" customWidth="1"/>
    <col min="8" max="8" width="12.140625" bestFit="1" customWidth="1"/>
    <col min="9" max="11" width="11.7109375" bestFit="1" customWidth="1"/>
    <col min="12" max="12" width="12" bestFit="1" customWidth="1"/>
    <col min="13" max="13" width="10.5703125" bestFit="1"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1079</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249</v>
      </c>
      <c r="C7" s="4" t="s">
        <v>250</v>
      </c>
      <c r="D7" s="4" t="s">
        <v>251</v>
      </c>
      <c r="E7" s="5">
        <v>180000</v>
      </c>
      <c r="F7" s="6">
        <v>464.67</v>
      </c>
      <c r="G7" s="7">
        <v>7.9197779999999995E-2</v>
      </c>
      <c r="H7" s="51"/>
    </row>
    <row r="8" spans="1:14" ht="17.100000000000001" customHeight="1" x14ac:dyDescent="0.2">
      <c r="A8" s="3">
        <v>2</v>
      </c>
      <c r="B8" s="4" t="s">
        <v>349</v>
      </c>
      <c r="C8" s="4" t="s">
        <v>350</v>
      </c>
      <c r="D8" s="4" t="s">
        <v>97</v>
      </c>
      <c r="E8" s="5">
        <v>6250</v>
      </c>
      <c r="F8" s="6">
        <v>458.484375</v>
      </c>
      <c r="G8" s="7">
        <v>7.8143509999999999E-2</v>
      </c>
      <c r="H8" s="51"/>
    </row>
    <row r="9" spans="1:14" ht="17.100000000000001" customHeight="1" x14ac:dyDescent="0.2">
      <c r="A9" s="3">
        <v>3</v>
      </c>
      <c r="B9" s="4" t="s">
        <v>269</v>
      </c>
      <c r="C9" s="4" t="s">
        <v>270</v>
      </c>
      <c r="D9" s="4" t="s">
        <v>16</v>
      </c>
      <c r="E9" s="5">
        <v>31900</v>
      </c>
      <c r="F9" s="6">
        <v>453.41064999999998</v>
      </c>
      <c r="G9" s="7">
        <v>7.7278749999999993E-2</v>
      </c>
      <c r="H9" s="51"/>
    </row>
    <row r="10" spans="1:14" ht="29.1" customHeight="1" x14ac:dyDescent="0.2">
      <c r="A10" s="3">
        <v>4</v>
      </c>
      <c r="B10" s="4" t="s">
        <v>58</v>
      </c>
      <c r="C10" s="4" t="s">
        <v>59</v>
      </c>
      <c r="D10" s="4" t="s">
        <v>60</v>
      </c>
      <c r="E10" s="5">
        <v>50000</v>
      </c>
      <c r="F10" s="6">
        <v>410.32499999999999</v>
      </c>
      <c r="G10" s="7">
        <v>6.9935285E-2</v>
      </c>
      <c r="H10" s="51"/>
    </row>
    <row r="11" spans="1:14" ht="17.100000000000001" customHeight="1" x14ac:dyDescent="0.2">
      <c r="A11" s="3">
        <v>5</v>
      </c>
      <c r="B11" s="4" t="s">
        <v>195</v>
      </c>
      <c r="C11" s="4" t="s">
        <v>196</v>
      </c>
      <c r="D11" s="4" t="s">
        <v>16</v>
      </c>
      <c r="E11" s="5">
        <v>45600</v>
      </c>
      <c r="F11" s="6">
        <v>334.33920000000001</v>
      </c>
      <c r="G11" s="7">
        <v>5.6984359999999998E-2</v>
      </c>
      <c r="H11" s="51"/>
    </row>
    <row r="12" spans="1:14" ht="17.100000000000001" customHeight="1" x14ac:dyDescent="0.2">
      <c r="A12" s="3">
        <v>6</v>
      </c>
      <c r="B12" s="4" t="s">
        <v>67</v>
      </c>
      <c r="C12" s="4" t="s">
        <v>68</v>
      </c>
      <c r="D12" s="4" t="s">
        <v>69</v>
      </c>
      <c r="E12" s="5">
        <v>3300</v>
      </c>
      <c r="F12" s="6">
        <v>291.32895000000002</v>
      </c>
      <c r="G12" s="7">
        <v>4.9653745999999999E-2</v>
      </c>
      <c r="H12" s="51"/>
      <c r="J12" s="157"/>
    </row>
    <row r="13" spans="1:14" ht="17.100000000000001" customHeight="1" x14ac:dyDescent="0.2">
      <c r="A13" s="3">
        <v>7</v>
      </c>
      <c r="B13" s="4" t="s">
        <v>14</v>
      </c>
      <c r="C13" s="4" t="s">
        <v>15</v>
      </c>
      <c r="D13" s="4" t="s">
        <v>16</v>
      </c>
      <c r="E13" s="5">
        <v>33000</v>
      </c>
      <c r="F13" s="6">
        <v>284.45999999999998</v>
      </c>
      <c r="G13" s="7">
        <v>4.8483010999999999E-2</v>
      </c>
      <c r="H13" s="51"/>
    </row>
    <row r="14" spans="1:14" ht="17.100000000000001" customHeight="1" x14ac:dyDescent="0.2">
      <c r="A14" s="3">
        <v>8</v>
      </c>
      <c r="B14" s="4" t="s">
        <v>559</v>
      </c>
      <c r="C14" s="4" t="s">
        <v>560</v>
      </c>
      <c r="D14" s="4" t="s">
        <v>104</v>
      </c>
      <c r="E14" s="5">
        <v>7000</v>
      </c>
      <c r="F14" s="6">
        <v>233.97149999999999</v>
      </c>
      <c r="G14" s="7">
        <v>3.9877812999999998E-2</v>
      </c>
      <c r="H14" s="51"/>
      <c r="J14" s="157" t="s">
        <v>1102</v>
      </c>
    </row>
    <row r="15" spans="1:14" ht="17.100000000000001" customHeight="1" x14ac:dyDescent="0.2">
      <c r="A15" s="3">
        <v>9</v>
      </c>
      <c r="B15" s="4" t="s">
        <v>359</v>
      </c>
      <c r="C15" s="4" t="s">
        <v>360</v>
      </c>
      <c r="D15" s="4" t="s">
        <v>69</v>
      </c>
      <c r="E15" s="5">
        <v>41325</v>
      </c>
      <c r="F15" s="6">
        <v>167.20095000000001</v>
      </c>
      <c r="G15" s="7">
        <v>2.8497523E-2</v>
      </c>
      <c r="H15" s="51"/>
    </row>
    <row r="16" spans="1:14" ht="17.100000000000001" customHeight="1" x14ac:dyDescent="0.2">
      <c r="A16" s="3">
        <v>10</v>
      </c>
      <c r="B16" s="4" t="s">
        <v>11</v>
      </c>
      <c r="C16" s="4" t="s">
        <v>12</v>
      </c>
      <c r="D16" s="4" t="s">
        <v>13</v>
      </c>
      <c r="E16" s="5">
        <v>8400</v>
      </c>
      <c r="F16" s="6">
        <v>155.20679999999999</v>
      </c>
      <c r="G16" s="7">
        <v>2.6453254999999998E-2</v>
      </c>
      <c r="H16" s="51"/>
    </row>
    <row r="17" spans="1:8" ht="29.1" customHeight="1" x14ac:dyDescent="0.2">
      <c r="A17" s="3">
        <v>11</v>
      </c>
      <c r="B17" s="4" t="s">
        <v>304</v>
      </c>
      <c r="C17" s="4" t="s">
        <v>305</v>
      </c>
      <c r="D17" s="4" t="s">
        <v>203</v>
      </c>
      <c r="E17" s="5">
        <v>14700</v>
      </c>
      <c r="F17" s="6">
        <v>139.45155</v>
      </c>
      <c r="G17" s="7">
        <v>2.3767949999999999E-2</v>
      </c>
      <c r="H17" s="51"/>
    </row>
    <row r="18" spans="1:8" ht="17.100000000000001" customHeight="1" x14ac:dyDescent="0.2">
      <c r="A18" s="3">
        <v>12</v>
      </c>
      <c r="B18" s="4" t="s">
        <v>325</v>
      </c>
      <c r="C18" s="4" t="s">
        <v>326</v>
      </c>
      <c r="D18" s="4" t="s">
        <v>223</v>
      </c>
      <c r="E18" s="5">
        <v>26000</v>
      </c>
      <c r="F18" s="6">
        <v>102.505</v>
      </c>
      <c r="G18" s="7">
        <v>1.7470824999999999E-2</v>
      </c>
      <c r="H18" s="51"/>
    </row>
    <row r="19" spans="1:8" ht="17.100000000000001" customHeight="1" x14ac:dyDescent="0.2">
      <c r="A19" s="3">
        <v>13</v>
      </c>
      <c r="B19" s="4" t="s">
        <v>76</v>
      </c>
      <c r="C19" s="4" t="s">
        <v>77</v>
      </c>
      <c r="D19" s="4" t="s">
        <v>36</v>
      </c>
      <c r="E19" s="5">
        <v>3575</v>
      </c>
      <c r="F19" s="6">
        <v>99.056100000000001</v>
      </c>
      <c r="G19" s="7">
        <v>1.6882998999999999E-2</v>
      </c>
      <c r="H19" s="51"/>
    </row>
    <row r="20" spans="1:8" ht="17.100000000000001" customHeight="1" x14ac:dyDescent="0.2">
      <c r="A20" s="3">
        <v>14</v>
      </c>
      <c r="B20" s="4" t="s">
        <v>561</v>
      </c>
      <c r="C20" s="4" t="s">
        <v>562</v>
      </c>
      <c r="D20" s="4" t="s">
        <v>69</v>
      </c>
      <c r="E20" s="5">
        <v>3000</v>
      </c>
      <c r="F20" s="6">
        <v>76.475999999999999</v>
      </c>
      <c r="G20" s="7">
        <v>1.3034475E-2</v>
      </c>
      <c r="H20" s="51"/>
    </row>
    <row r="21" spans="1:8" ht="29.1" customHeight="1" x14ac:dyDescent="0.2">
      <c r="A21" s="3">
        <v>15</v>
      </c>
      <c r="B21" s="4" t="s">
        <v>563</v>
      </c>
      <c r="C21" s="4" t="s">
        <v>564</v>
      </c>
      <c r="D21" s="4" t="s">
        <v>203</v>
      </c>
      <c r="E21" s="5">
        <v>11000</v>
      </c>
      <c r="F21" s="6">
        <v>56.165999999999997</v>
      </c>
      <c r="G21" s="7">
        <v>9.5728640000000004E-3</v>
      </c>
      <c r="H21" s="51"/>
    </row>
    <row r="22" spans="1:8" ht="29.1" customHeight="1" x14ac:dyDescent="0.2">
      <c r="A22" s="3">
        <v>16</v>
      </c>
      <c r="B22" s="4" t="s">
        <v>86</v>
      </c>
      <c r="C22" s="4" t="s">
        <v>87</v>
      </c>
      <c r="D22" s="4" t="s">
        <v>25</v>
      </c>
      <c r="E22" s="5">
        <v>10800</v>
      </c>
      <c r="F22" s="6">
        <v>55.684800000000003</v>
      </c>
      <c r="G22" s="7">
        <v>9.4908479999999996E-3</v>
      </c>
      <c r="H22" s="51"/>
    </row>
    <row r="23" spans="1:8" ht="29.1" customHeight="1" x14ac:dyDescent="0.2">
      <c r="A23" s="3">
        <v>17</v>
      </c>
      <c r="B23" s="4" t="s">
        <v>565</v>
      </c>
      <c r="C23" s="4" t="s">
        <v>566</v>
      </c>
      <c r="D23" s="4" t="s">
        <v>203</v>
      </c>
      <c r="E23" s="5">
        <v>10800</v>
      </c>
      <c r="F23" s="6">
        <v>41.785200000000003</v>
      </c>
      <c r="G23" s="7">
        <v>7.1218180000000002E-3</v>
      </c>
      <c r="H23" s="51"/>
    </row>
    <row r="24" spans="1:8" ht="17.100000000000001" customHeight="1" x14ac:dyDescent="0.2">
      <c r="A24" s="3">
        <v>18</v>
      </c>
      <c r="B24" s="4" t="s">
        <v>342</v>
      </c>
      <c r="C24" s="4" t="s">
        <v>343</v>
      </c>
      <c r="D24" s="4" t="s">
        <v>232</v>
      </c>
      <c r="E24" s="5">
        <v>8500</v>
      </c>
      <c r="F24" s="6">
        <v>8.4405000000000001</v>
      </c>
      <c r="G24" s="7">
        <v>1.438588E-3</v>
      </c>
      <c r="H24" s="51"/>
    </row>
    <row r="25" spans="1:8" ht="17.100000000000001" customHeight="1" x14ac:dyDescent="0.2">
      <c r="A25" s="3">
        <v>19</v>
      </c>
      <c r="B25" s="4" t="s">
        <v>567</v>
      </c>
      <c r="C25" s="4" t="s">
        <v>568</v>
      </c>
      <c r="D25" s="4" t="s">
        <v>97</v>
      </c>
      <c r="E25" s="5">
        <v>8924</v>
      </c>
      <c r="F25" s="6">
        <v>6.6662280000000003</v>
      </c>
      <c r="G25" s="7">
        <v>1.1361839999999999E-3</v>
      </c>
      <c r="H25" s="51"/>
    </row>
    <row r="26" spans="1:8" ht="14.1" customHeight="1" x14ac:dyDescent="0.2">
      <c r="A26" s="1"/>
      <c r="B26" s="1"/>
      <c r="C26" s="2" t="s">
        <v>129</v>
      </c>
      <c r="D26" s="1"/>
      <c r="E26" s="1" t="s">
        <v>130</v>
      </c>
      <c r="F26" s="9">
        <v>3839.6288030000001</v>
      </c>
      <c r="G26" s="10">
        <v>0.65442158399999995</v>
      </c>
      <c r="H26" s="51"/>
    </row>
    <row r="27" spans="1:8" ht="14.1" customHeight="1" x14ac:dyDescent="0.2">
      <c r="A27" s="1"/>
      <c r="B27" s="1"/>
      <c r="C27" s="11"/>
      <c r="D27" s="1"/>
      <c r="E27" s="1"/>
      <c r="F27" s="12"/>
      <c r="G27" s="12"/>
      <c r="H27" s="51"/>
    </row>
    <row r="28" spans="1:8" ht="14.1" customHeight="1" x14ac:dyDescent="0.2">
      <c r="A28" s="1"/>
      <c r="B28" s="1"/>
      <c r="C28" s="2" t="s">
        <v>131</v>
      </c>
      <c r="D28" s="1"/>
      <c r="E28" s="1"/>
      <c r="F28" s="1"/>
      <c r="G28" s="1"/>
      <c r="H28" s="51"/>
    </row>
    <row r="29" spans="1:8" ht="14.1" customHeight="1" x14ac:dyDescent="0.2">
      <c r="A29" s="1"/>
      <c r="B29" s="1"/>
      <c r="C29" s="2" t="s">
        <v>129</v>
      </c>
      <c r="D29" s="1"/>
      <c r="E29" s="1" t="s">
        <v>130</v>
      </c>
      <c r="F29" s="13">
        <v>0</v>
      </c>
      <c r="G29" s="14">
        <v>0</v>
      </c>
      <c r="H29" s="51"/>
    </row>
    <row r="30" spans="1:8" ht="14.1" customHeight="1" x14ac:dyDescent="0.2">
      <c r="A30" s="1"/>
      <c r="B30" s="1"/>
      <c r="C30" s="11"/>
      <c r="D30" s="1"/>
      <c r="E30" s="1"/>
      <c r="F30" s="12"/>
      <c r="G30" s="12"/>
      <c r="H30" s="51"/>
    </row>
    <row r="31" spans="1:8" ht="14.1" customHeight="1" x14ac:dyDescent="0.2">
      <c r="A31" s="1"/>
      <c r="B31" s="1"/>
      <c r="C31" s="2" t="s">
        <v>132</v>
      </c>
      <c r="D31" s="1"/>
      <c r="E31" s="1"/>
      <c r="F31" s="1"/>
      <c r="G31" s="1"/>
      <c r="H31" s="51"/>
    </row>
    <row r="32" spans="1:8" ht="14.1" customHeight="1" x14ac:dyDescent="0.2">
      <c r="A32" s="1"/>
      <c r="B32" s="1"/>
      <c r="C32" s="2" t="s">
        <v>129</v>
      </c>
      <c r="D32" s="1"/>
      <c r="E32" s="1" t="s">
        <v>130</v>
      </c>
      <c r="F32" s="13">
        <v>0</v>
      </c>
      <c r="G32" s="14">
        <v>0</v>
      </c>
      <c r="H32" s="51"/>
    </row>
    <row r="33" spans="1:8" ht="14.1" customHeight="1" x14ac:dyDescent="0.2">
      <c r="A33" s="1"/>
      <c r="B33" s="1"/>
      <c r="C33" s="11"/>
      <c r="D33" s="1"/>
      <c r="E33" s="1"/>
      <c r="F33" s="12"/>
      <c r="G33" s="12"/>
      <c r="H33" s="51"/>
    </row>
    <row r="34" spans="1:8" ht="14.1" customHeight="1" x14ac:dyDescent="0.2">
      <c r="A34" s="1"/>
      <c r="B34" s="1"/>
      <c r="C34" s="2" t="s">
        <v>133</v>
      </c>
      <c r="D34" s="1"/>
      <c r="E34" s="1"/>
      <c r="F34" s="1"/>
      <c r="G34" s="1"/>
      <c r="H34" s="51"/>
    </row>
    <row r="35" spans="1:8" ht="14.1" customHeight="1" x14ac:dyDescent="0.2">
      <c r="A35" s="1"/>
      <c r="B35" s="1"/>
      <c r="C35" s="2" t="s">
        <v>129</v>
      </c>
      <c r="D35" s="1"/>
      <c r="E35" s="1" t="s">
        <v>130</v>
      </c>
      <c r="F35" s="13">
        <v>0</v>
      </c>
      <c r="G35" s="14">
        <v>0</v>
      </c>
      <c r="H35" s="51"/>
    </row>
    <row r="36" spans="1:8" ht="14.1" customHeight="1" x14ac:dyDescent="0.2">
      <c r="A36" s="1"/>
      <c r="B36" s="1"/>
      <c r="C36" s="11"/>
      <c r="D36" s="1"/>
      <c r="E36" s="1"/>
      <c r="F36" s="12"/>
      <c r="G36" s="12"/>
      <c r="H36" s="51"/>
    </row>
    <row r="37" spans="1:8" ht="14.1" customHeight="1" x14ac:dyDescent="0.2">
      <c r="A37" s="1"/>
      <c r="B37" s="1"/>
      <c r="C37" s="2" t="s">
        <v>134</v>
      </c>
      <c r="D37" s="1"/>
      <c r="E37" s="1"/>
      <c r="F37" s="12"/>
      <c r="G37" s="12"/>
      <c r="H37" s="51"/>
    </row>
    <row r="38" spans="1:8" ht="14.1" customHeight="1" x14ac:dyDescent="0.2">
      <c r="A38" s="1"/>
      <c r="B38" s="1"/>
      <c r="C38" s="2" t="s">
        <v>129</v>
      </c>
      <c r="D38" s="1"/>
      <c r="E38" s="1" t="s">
        <v>130</v>
      </c>
      <c r="F38" s="13">
        <v>0</v>
      </c>
      <c r="G38" s="14">
        <v>0</v>
      </c>
      <c r="H38" s="51"/>
    </row>
    <row r="39" spans="1:8" ht="14.1" customHeight="1" x14ac:dyDescent="0.2">
      <c r="A39" s="1"/>
      <c r="B39" s="1"/>
      <c r="C39" s="11"/>
      <c r="D39" s="1"/>
      <c r="E39" s="1"/>
      <c r="F39" s="12"/>
      <c r="G39" s="12"/>
      <c r="H39" s="51"/>
    </row>
    <row r="40" spans="1:8" ht="14.1" customHeight="1" x14ac:dyDescent="0.2">
      <c r="A40" s="1"/>
      <c r="B40" s="1"/>
      <c r="C40" s="2" t="s">
        <v>135</v>
      </c>
      <c r="D40" s="1"/>
      <c r="E40" s="1"/>
      <c r="F40" s="12"/>
      <c r="G40" s="12"/>
      <c r="H40" s="51"/>
    </row>
    <row r="41" spans="1:8" x14ac:dyDescent="0.2">
      <c r="A41" s="3">
        <v>1</v>
      </c>
      <c r="B41" s="4"/>
      <c r="C41" s="4" t="s">
        <v>953</v>
      </c>
      <c r="D41" s="4" t="s">
        <v>569</v>
      </c>
      <c r="E41" s="5">
        <v>-8924</v>
      </c>
      <c r="F41" s="6">
        <v>-6.701924</v>
      </c>
      <c r="G41" s="7">
        <v>-1.14226E-3</v>
      </c>
      <c r="H41" s="51"/>
    </row>
    <row r="42" spans="1:8" ht="17.100000000000001" customHeight="1" x14ac:dyDescent="0.2">
      <c r="A42" s="3">
        <v>2</v>
      </c>
      <c r="B42" s="4"/>
      <c r="C42" s="4" t="s">
        <v>935</v>
      </c>
      <c r="D42" s="4" t="s">
        <v>569</v>
      </c>
      <c r="E42" s="5">
        <v>-8500</v>
      </c>
      <c r="F42" s="6">
        <v>-8.4702500000000001</v>
      </c>
      <c r="G42" s="7">
        <v>-1.44367E-3</v>
      </c>
      <c r="H42" s="51"/>
    </row>
    <row r="43" spans="1:8" ht="17.100000000000001" customHeight="1" x14ac:dyDescent="0.2">
      <c r="A43" s="3">
        <v>3</v>
      </c>
      <c r="B43" s="4"/>
      <c r="C43" s="4" t="s">
        <v>954</v>
      </c>
      <c r="D43" s="4" t="s">
        <v>569</v>
      </c>
      <c r="E43" s="5">
        <v>-10800</v>
      </c>
      <c r="F43" s="6">
        <v>-42.017400000000002</v>
      </c>
      <c r="G43" s="7">
        <v>-7.1613900000000001E-3</v>
      </c>
      <c r="H43" s="51"/>
    </row>
    <row r="44" spans="1:8" ht="17.100000000000001" customHeight="1" x14ac:dyDescent="0.2">
      <c r="A44" s="3">
        <v>4</v>
      </c>
      <c r="B44" s="4"/>
      <c r="C44" s="4" t="s">
        <v>921</v>
      </c>
      <c r="D44" s="4" t="s">
        <v>569</v>
      </c>
      <c r="E44" s="5">
        <v>-10800</v>
      </c>
      <c r="F44" s="6">
        <v>-56.003399999999999</v>
      </c>
      <c r="G44" s="7">
        <v>-9.5451500000000005E-3</v>
      </c>
      <c r="H44" s="51"/>
    </row>
    <row r="45" spans="1:8" ht="17.100000000000001" customHeight="1" x14ac:dyDescent="0.2">
      <c r="A45" s="3">
        <v>5</v>
      </c>
      <c r="B45" s="4"/>
      <c r="C45" s="4" t="s">
        <v>955</v>
      </c>
      <c r="D45" s="4" t="s">
        <v>569</v>
      </c>
      <c r="E45" s="5">
        <v>-11000</v>
      </c>
      <c r="F45" s="6">
        <v>-56.451999999999998</v>
      </c>
      <c r="G45" s="7">
        <v>-9.6216100000000009E-3</v>
      </c>
      <c r="H45" s="51"/>
    </row>
    <row r="46" spans="1:8" ht="17.100000000000001" customHeight="1" x14ac:dyDescent="0.2">
      <c r="A46" s="3">
        <v>6</v>
      </c>
      <c r="B46" s="4"/>
      <c r="C46" s="4" t="s">
        <v>956</v>
      </c>
      <c r="D46" s="4" t="s">
        <v>569</v>
      </c>
      <c r="E46" s="5">
        <v>-3000</v>
      </c>
      <c r="F46" s="6">
        <v>-76.717500000000001</v>
      </c>
      <c r="G46" s="7">
        <v>-1.3075639999999999E-2</v>
      </c>
      <c r="H46" s="51"/>
    </row>
    <row r="47" spans="1:8" ht="17.100000000000001" customHeight="1" x14ac:dyDescent="0.2">
      <c r="A47" s="3">
        <v>7</v>
      </c>
      <c r="B47" s="4"/>
      <c r="C47" s="4" t="s">
        <v>957</v>
      </c>
      <c r="D47" s="4" t="s">
        <v>569</v>
      </c>
      <c r="E47" s="5">
        <v>-3575</v>
      </c>
      <c r="F47" s="6">
        <v>-99.440412499999994</v>
      </c>
      <c r="G47" s="7">
        <v>-1.6948499999999998E-2</v>
      </c>
      <c r="H47" s="51"/>
    </row>
    <row r="48" spans="1:8" ht="17.100000000000001" customHeight="1" x14ac:dyDescent="0.2">
      <c r="A48" s="3">
        <v>8</v>
      </c>
      <c r="B48" s="4"/>
      <c r="C48" s="4" t="s">
        <v>958</v>
      </c>
      <c r="D48" s="4" t="s">
        <v>569</v>
      </c>
      <c r="E48" s="5">
        <v>-26000</v>
      </c>
      <c r="F48" s="6">
        <v>-102.947</v>
      </c>
      <c r="G48" s="7">
        <v>-1.7546159999999998E-2</v>
      </c>
      <c r="H48" s="51"/>
    </row>
    <row r="49" spans="1:8" ht="25.5" x14ac:dyDescent="0.2">
      <c r="A49" s="3">
        <v>9</v>
      </c>
      <c r="B49" s="4"/>
      <c r="C49" s="4" t="s">
        <v>949</v>
      </c>
      <c r="D49" s="4" t="s">
        <v>569</v>
      </c>
      <c r="E49" s="5">
        <v>-14700</v>
      </c>
      <c r="F49" s="6">
        <v>-139.8117</v>
      </c>
      <c r="G49" s="7">
        <v>-2.3829329999999999E-2</v>
      </c>
      <c r="H49" s="51"/>
    </row>
    <row r="50" spans="1:8" ht="17.100000000000001" customHeight="1" x14ac:dyDescent="0.2">
      <c r="A50" s="3">
        <v>10</v>
      </c>
      <c r="B50" s="4"/>
      <c r="C50" s="4" t="s">
        <v>948</v>
      </c>
      <c r="D50" s="4" t="s">
        <v>569</v>
      </c>
      <c r="E50" s="5">
        <v>-8400</v>
      </c>
      <c r="F50" s="6">
        <v>-155.8998</v>
      </c>
      <c r="G50" s="7">
        <v>-2.657137E-2</v>
      </c>
      <c r="H50" s="51"/>
    </row>
    <row r="51" spans="1:8" ht="17.100000000000001" customHeight="1" x14ac:dyDescent="0.2">
      <c r="A51" s="3">
        <v>11</v>
      </c>
      <c r="B51" s="4"/>
      <c r="C51" s="4" t="s">
        <v>923</v>
      </c>
      <c r="D51" s="4" t="s">
        <v>569</v>
      </c>
      <c r="E51" s="5">
        <v>-41325</v>
      </c>
      <c r="F51" s="6">
        <v>-166.80836249999999</v>
      </c>
      <c r="G51" s="7">
        <v>-2.8430620000000004E-2</v>
      </c>
      <c r="H51" s="51"/>
    </row>
    <row r="52" spans="1:8" ht="17.100000000000001" customHeight="1" x14ac:dyDescent="0.2">
      <c r="A52" s="3">
        <v>12</v>
      </c>
      <c r="B52" s="4"/>
      <c r="C52" s="4" t="s">
        <v>932</v>
      </c>
      <c r="D52" s="4" t="s">
        <v>569</v>
      </c>
      <c r="E52" s="5">
        <v>-7000</v>
      </c>
      <c r="F52" s="6">
        <v>-234.79400000000001</v>
      </c>
      <c r="G52" s="7">
        <v>-4.0018000000000005E-2</v>
      </c>
      <c r="H52" s="51"/>
    </row>
    <row r="53" spans="1:8" ht="17.100000000000001" customHeight="1" x14ac:dyDescent="0.2">
      <c r="A53" s="3">
        <v>13</v>
      </c>
      <c r="B53" s="4"/>
      <c r="C53" s="4" t="s">
        <v>943</v>
      </c>
      <c r="D53" s="4" t="s">
        <v>569</v>
      </c>
      <c r="E53" s="5">
        <v>-33000</v>
      </c>
      <c r="F53" s="6">
        <v>-285.94499999999999</v>
      </c>
      <c r="G53" s="7">
        <v>-4.8736110000000006E-2</v>
      </c>
      <c r="H53" s="51"/>
    </row>
    <row r="54" spans="1:8" x14ac:dyDescent="0.2">
      <c r="A54" s="3">
        <v>14</v>
      </c>
      <c r="B54" s="4"/>
      <c r="C54" s="4" t="s">
        <v>959</v>
      </c>
      <c r="D54" s="4" t="s">
        <v>569</v>
      </c>
      <c r="E54" s="5">
        <v>-3300</v>
      </c>
      <c r="F54" s="6">
        <v>-292.19850000000002</v>
      </c>
      <c r="G54" s="7">
        <v>-4.9801950000000005E-2</v>
      </c>
      <c r="H54" s="51"/>
    </row>
    <row r="55" spans="1:8" ht="17.100000000000001" customHeight="1" x14ac:dyDescent="0.2">
      <c r="A55" s="3">
        <v>15</v>
      </c>
      <c r="B55" s="4"/>
      <c r="C55" s="4" t="s">
        <v>934</v>
      </c>
      <c r="D55" s="4" t="s">
        <v>569</v>
      </c>
      <c r="E55" s="5">
        <v>-45600</v>
      </c>
      <c r="F55" s="6">
        <v>-335.36520000000002</v>
      </c>
      <c r="G55" s="7">
        <v>-5.7159229999999998E-2</v>
      </c>
      <c r="H55" s="51"/>
    </row>
    <row r="56" spans="1:8" ht="17.100000000000001" customHeight="1" x14ac:dyDescent="0.2">
      <c r="A56" s="3">
        <v>16</v>
      </c>
      <c r="B56" s="4"/>
      <c r="C56" s="4" t="s">
        <v>950</v>
      </c>
      <c r="D56" s="4" t="s">
        <v>569</v>
      </c>
      <c r="E56" s="5">
        <v>-50000</v>
      </c>
      <c r="F56" s="6">
        <v>-412.82499999999999</v>
      </c>
      <c r="G56" s="7">
        <v>-7.0361380000000001E-2</v>
      </c>
      <c r="H56" s="51"/>
    </row>
    <row r="57" spans="1:8" ht="17.100000000000001" customHeight="1" x14ac:dyDescent="0.2">
      <c r="A57" s="3">
        <v>17</v>
      </c>
      <c r="B57" s="4"/>
      <c r="C57" s="4" t="s">
        <v>944</v>
      </c>
      <c r="D57" s="4" t="s">
        <v>569</v>
      </c>
      <c r="E57" s="5">
        <v>-31900</v>
      </c>
      <c r="F57" s="6">
        <v>-454.83019999999999</v>
      </c>
      <c r="G57" s="7">
        <v>-7.7520699999999998E-2</v>
      </c>
      <c r="H57" s="51"/>
    </row>
    <row r="58" spans="1:8" ht="17.100000000000001" customHeight="1" x14ac:dyDescent="0.2">
      <c r="A58" s="3">
        <v>18</v>
      </c>
      <c r="B58" s="4"/>
      <c r="C58" s="4" t="s">
        <v>940</v>
      </c>
      <c r="D58" s="4" t="s">
        <v>569</v>
      </c>
      <c r="E58" s="5">
        <v>-6250</v>
      </c>
      <c r="F58" s="6">
        <v>-460.34375</v>
      </c>
      <c r="G58" s="7">
        <v>-7.8460429999999998E-2</v>
      </c>
      <c r="H58" s="51"/>
    </row>
    <row r="59" spans="1:8" ht="25.5" x14ac:dyDescent="0.2">
      <c r="A59" s="3">
        <v>19</v>
      </c>
      <c r="B59" s="4"/>
      <c r="C59" s="4" t="s">
        <v>960</v>
      </c>
      <c r="D59" s="4" t="s">
        <v>569</v>
      </c>
      <c r="E59" s="5">
        <v>-180000</v>
      </c>
      <c r="F59" s="6">
        <v>-467.73</v>
      </c>
      <c r="G59" s="7">
        <v>-7.9719319999999996E-2</v>
      </c>
      <c r="H59" s="51"/>
    </row>
    <row r="60" spans="1:8" ht="14.1" customHeight="1" x14ac:dyDescent="0.2">
      <c r="A60" s="1"/>
      <c r="B60" s="1"/>
      <c r="C60" s="2" t="s">
        <v>129</v>
      </c>
      <c r="D60" s="1"/>
      <c r="E60" s="1" t="s">
        <v>130</v>
      </c>
      <c r="F60" s="9">
        <v>-3855.3013989999999</v>
      </c>
      <c r="G60" s="10">
        <v>-0.65709280199999998</v>
      </c>
      <c r="H60" s="51"/>
    </row>
    <row r="61" spans="1:8" ht="14.1" customHeight="1" x14ac:dyDescent="0.2">
      <c r="A61" s="1"/>
      <c r="B61" s="1"/>
      <c r="C61" s="11"/>
      <c r="D61" s="1"/>
      <c r="E61" s="1"/>
      <c r="F61" s="12"/>
      <c r="G61" s="12"/>
      <c r="H61" s="51"/>
    </row>
    <row r="62" spans="1:8" ht="18" customHeight="1" x14ac:dyDescent="0.2">
      <c r="A62" s="1"/>
      <c r="B62" s="1"/>
      <c r="C62" s="2" t="s">
        <v>136</v>
      </c>
      <c r="D62" s="1"/>
      <c r="E62" s="1"/>
      <c r="F62" s="9">
        <v>3839.6288030000001</v>
      </c>
      <c r="G62" s="10">
        <v>0.65442158399999995</v>
      </c>
      <c r="H62" s="51"/>
    </row>
    <row r="63" spans="1:8" ht="14.1" customHeight="1" x14ac:dyDescent="0.2">
      <c r="A63" s="1"/>
      <c r="B63" s="1"/>
      <c r="C63" s="11"/>
      <c r="D63" s="1"/>
      <c r="E63" s="1"/>
      <c r="F63" s="12"/>
      <c r="G63" s="12"/>
      <c r="H63" s="51"/>
    </row>
    <row r="64" spans="1:8" ht="14.1" customHeight="1" x14ac:dyDescent="0.2">
      <c r="A64" s="1"/>
      <c r="B64" s="1"/>
      <c r="C64" s="2" t="s">
        <v>137</v>
      </c>
      <c r="D64" s="1"/>
      <c r="E64" s="1"/>
      <c r="F64" s="12"/>
      <c r="G64" s="12"/>
      <c r="H64" s="51"/>
    </row>
    <row r="65" spans="1:8" ht="24" customHeight="1" x14ac:dyDescent="0.2">
      <c r="A65" s="1"/>
      <c r="B65" s="1"/>
      <c r="C65" s="2" t="s">
        <v>10</v>
      </c>
      <c r="D65" s="1"/>
      <c r="E65" s="1"/>
      <c r="F65" s="12"/>
      <c r="G65" s="12"/>
      <c r="H65" s="51"/>
    </row>
    <row r="66" spans="1:8" ht="14.1" customHeight="1" x14ac:dyDescent="0.2">
      <c r="A66" s="1"/>
      <c r="B66" s="1"/>
      <c r="C66" s="2" t="s">
        <v>129</v>
      </c>
      <c r="D66" s="1"/>
      <c r="E66" s="1" t="s">
        <v>130</v>
      </c>
      <c r="F66" s="13">
        <v>0</v>
      </c>
      <c r="G66" s="14">
        <v>0</v>
      </c>
      <c r="H66" s="51"/>
    </row>
    <row r="67" spans="1:8" ht="14.1" customHeight="1" x14ac:dyDescent="0.2">
      <c r="A67" s="1"/>
      <c r="B67" s="1"/>
      <c r="C67" s="11"/>
      <c r="D67" s="1"/>
      <c r="E67" s="1"/>
      <c r="F67" s="12"/>
      <c r="G67" s="12"/>
      <c r="H67" s="51"/>
    </row>
    <row r="68" spans="1:8" ht="14.1" customHeight="1" x14ac:dyDescent="0.2">
      <c r="A68" s="1"/>
      <c r="B68" s="1"/>
      <c r="C68" s="2" t="s">
        <v>138</v>
      </c>
      <c r="D68" s="1"/>
      <c r="E68" s="1"/>
      <c r="F68" s="1"/>
      <c r="G68" s="1"/>
      <c r="H68" s="51"/>
    </row>
    <row r="69" spans="1:8" ht="14.1" customHeight="1" x14ac:dyDescent="0.2">
      <c r="A69" s="1"/>
      <c r="B69" s="1"/>
      <c r="C69" s="2" t="s">
        <v>129</v>
      </c>
      <c r="D69" s="1"/>
      <c r="E69" s="1" t="s">
        <v>130</v>
      </c>
      <c r="F69" s="13">
        <v>0</v>
      </c>
      <c r="G69" s="14">
        <v>0</v>
      </c>
      <c r="H69" s="51"/>
    </row>
    <row r="70" spans="1:8" ht="14.1" customHeight="1" x14ac:dyDescent="0.2">
      <c r="A70" s="1"/>
      <c r="B70" s="1"/>
      <c r="C70" s="11"/>
      <c r="D70" s="1"/>
      <c r="E70" s="1"/>
      <c r="F70" s="12"/>
      <c r="G70" s="12"/>
      <c r="H70" s="51"/>
    </row>
    <row r="71" spans="1:8" ht="14.1" customHeight="1" x14ac:dyDescent="0.2">
      <c r="A71" s="1"/>
      <c r="B71" s="1"/>
      <c r="C71" s="2" t="s">
        <v>139</v>
      </c>
      <c r="D71" s="1"/>
      <c r="E71" s="1"/>
      <c r="F71" s="1"/>
      <c r="G71" s="1"/>
      <c r="H71" s="51"/>
    </row>
    <row r="72" spans="1:8" ht="14.1" customHeight="1" x14ac:dyDescent="0.2">
      <c r="A72" s="1"/>
      <c r="B72" s="1"/>
      <c r="C72" s="2" t="s">
        <v>129</v>
      </c>
      <c r="D72" s="1"/>
      <c r="E72" s="1" t="s">
        <v>130</v>
      </c>
      <c r="F72" s="13">
        <v>0</v>
      </c>
      <c r="G72" s="14">
        <v>0</v>
      </c>
      <c r="H72" s="51"/>
    </row>
    <row r="73" spans="1:8" ht="14.1" customHeight="1" x14ac:dyDescent="0.2">
      <c r="A73" s="1"/>
      <c r="B73" s="1"/>
      <c r="C73" s="11"/>
      <c r="D73" s="1"/>
      <c r="E73" s="1"/>
      <c r="F73" s="12"/>
      <c r="G73" s="12"/>
      <c r="H73" s="51"/>
    </row>
    <row r="74" spans="1:8" ht="14.1" customHeight="1" x14ac:dyDescent="0.2">
      <c r="A74" s="1"/>
      <c r="B74" s="1"/>
      <c r="C74" s="2" t="s">
        <v>140</v>
      </c>
      <c r="D74" s="1"/>
      <c r="E74" s="1"/>
      <c r="F74" s="12"/>
      <c r="G74" s="12"/>
      <c r="H74" s="51"/>
    </row>
    <row r="75" spans="1:8" ht="14.1" customHeight="1" x14ac:dyDescent="0.2">
      <c r="A75" s="1"/>
      <c r="B75" s="1"/>
      <c r="C75" s="2" t="s">
        <v>129</v>
      </c>
      <c r="D75" s="1"/>
      <c r="E75" s="1" t="s">
        <v>130</v>
      </c>
      <c r="F75" s="13">
        <v>0</v>
      </c>
      <c r="G75" s="14">
        <v>0</v>
      </c>
      <c r="H75" s="51"/>
    </row>
    <row r="76" spans="1:8" ht="14.1" customHeight="1" x14ac:dyDescent="0.2">
      <c r="A76" s="1"/>
      <c r="B76" s="1"/>
      <c r="C76" s="11"/>
      <c r="D76" s="1"/>
      <c r="E76" s="1"/>
      <c r="F76" s="12"/>
      <c r="G76" s="12"/>
      <c r="H76" s="51"/>
    </row>
    <row r="77" spans="1:8" ht="14.1" customHeight="1" x14ac:dyDescent="0.2">
      <c r="A77" s="1"/>
      <c r="B77" s="1"/>
      <c r="C77" s="2" t="s">
        <v>141</v>
      </c>
      <c r="D77" s="1"/>
      <c r="E77" s="1"/>
      <c r="F77" s="9">
        <v>0</v>
      </c>
      <c r="G77" s="10">
        <v>0</v>
      </c>
      <c r="H77" s="51"/>
    </row>
    <row r="78" spans="1:8" ht="14.1" customHeight="1" x14ac:dyDescent="0.2">
      <c r="A78" s="1"/>
      <c r="B78" s="1"/>
      <c r="C78" s="11"/>
      <c r="D78" s="1"/>
      <c r="E78" s="1"/>
      <c r="F78" s="12"/>
      <c r="G78" s="12"/>
      <c r="H78" s="51"/>
    </row>
    <row r="79" spans="1:8" ht="14.1" customHeight="1" x14ac:dyDescent="0.2">
      <c r="A79" s="1"/>
      <c r="B79" s="1"/>
      <c r="C79" s="2" t="s">
        <v>142</v>
      </c>
      <c r="D79" s="1"/>
      <c r="E79" s="1"/>
      <c r="F79" s="12"/>
      <c r="G79" s="12"/>
      <c r="H79" s="51"/>
    </row>
    <row r="80" spans="1:8" ht="14.1" customHeight="1" x14ac:dyDescent="0.2">
      <c r="A80" s="1"/>
      <c r="B80" s="1"/>
      <c r="C80" s="2" t="s">
        <v>143</v>
      </c>
      <c r="D80" s="1"/>
      <c r="E80" s="1"/>
      <c r="F80" s="12"/>
      <c r="G80" s="12"/>
      <c r="H80" s="51"/>
    </row>
    <row r="81" spans="1:8" ht="14.1" customHeight="1" x14ac:dyDescent="0.2">
      <c r="A81" s="1"/>
      <c r="B81" s="1"/>
      <c r="C81" s="2" t="s">
        <v>129</v>
      </c>
      <c r="D81" s="1"/>
      <c r="E81" s="1" t="s">
        <v>130</v>
      </c>
      <c r="F81" s="13">
        <v>0</v>
      </c>
      <c r="G81" s="14">
        <v>0</v>
      </c>
      <c r="H81" s="51"/>
    </row>
    <row r="82" spans="1:8" ht="14.1" customHeight="1" x14ac:dyDescent="0.2">
      <c r="A82" s="1"/>
      <c r="B82" s="1"/>
      <c r="C82" s="11"/>
      <c r="D82" s="1"/>
      <c r="E82" s="1"/>
      <c r="F82" s="12"/>
      <c r="G82" s="12"/>
      <c r="H82" s="51"/>
    </row>
    <row r="83" spans="1:8" ht="14.1" customHeight="1" x14ac:dyDescent="0.2">
      <c r="A83" s="1"/>
      <c r="B83" s="1"/>
      <c r="C83" s="2" t="s">
        <v>144</v>
      </c>
      <c r="D83" s="1"/>
      <c r="E83" s="1"/>
      <c r="F83" s="12"/>
      <c r="G83" s="12"/>
      <c r="H83" s="51"/>
    </row>
    <row r="84" spans="1:8" ht="14.1" customHeight="1" x14ac:dyDescent="0.2">
      <c r="A84" s="1"/>
      <c r="B84" s="1"/>
      <c r="C84" s="2" t="s">
        <v>129</v>
      </c>
      <c r="D84" s="1"/>
      <c r="E84" s="1" t="s">
        <v>130</v>
      </c>
      <c r="F84" s="13">
        <v>0</v>
      </c>
      <c r="G84" s="14">
        <v>0</v>
      </c>
      <c r="H84" s="51"/>
    </row>
    <row r="85" spans="1:8" ht="14.1" customHeight="1" x14ac:dyDescent="0.2">
      <c r="A85" s="1"/>
      <c r="B85" s="1"/>
      <c r="C85" s="11"/>
      <c r="D85" s="1"/>
      <c r="E85" s="1"/>
      <c r="F85" s="12"/>
      <c r="G85" s="12"/>
      <c r="H85" s="51"/>
    </row>
    <row r="86" spans="1:8" ht="14.1" customHeight="1" x14ac:dyDescent="0.2">
      <c r="A86" s="1"/>
      <c r="B86" s="1"/>
      <c r="C86" s="2" t="s">
        <v>145</v>
      </c>
      <c r="D86" s="1"/>
      <c r="E86" s="1"/>
      <c r="F86" s="12"/>
      <c r="G86" s="12"/>
      <c r="H86" s="51"/>
    </row>
    <row r="87" spans="1:8" ht="17.100000000000001" customHeight="1" x14ac:dyDescent="0.2">
      <c r="A87" s="3">
        <v>1</v>
      </c>
      <c r="B87" s="4" t="s">
        <v>570</v>
      </c>
      <c r="C87" s="4" t="s">
        <v>1040</v>
      </c>
      <c r="D87" s="4" t="s">
        <v>571</v>
      </c>
      <c r="E87" s="5">
        <v>500000</v>
      </c>
      <c r="F87" s="6">
        <v>495.036</v>
      </c>
      <c r="G87" s="7">
        <v>8.4373324E-2</v>
      </c>
      <c r="H87" s="51">
        <v>6</v>
      </c>
    </row>
    <row r="88" spans="1:8" ht="17.100000000000001" customHeight="1" x14ac:dyDescent="0.2">
      <c r="A88" s="3">
        <v>2</v>
      </c>
      <c r="B88" s="4" t="s">
        <v>572</v>
      </c>
      <c r="C88" s="4" t="s">
        <v>1041</v>
      </c>
      <c r="D88" s="4" t="s">
        <v>571</v>
      </c>
      <c r="E88" s="5">
        <v>500000</v>
      </c>
      <c r="F88" s="6">
        <v>491.48050000000001</v>
      </c>
      <c r="G88" s="7">
        <v>8.3767328000000002E-2</v>
      </c>
      <c r="H88" s="51">
        <v>6.1428000000000003</v>
      </c>
    </row>
    <row r="89" spans="1:8" ht="14.1" customHeight="1" x14ac:dyDescent="0.2">
      <c r="A89" s="1"/>
      <c r="B89" s="1"/>
      <c r="C89" s="2" t="s">
        <v>129</v>
      </c>
      <c r="D89" s="1"/>
      <c r="E89" s="1" t="s">
        <v>130</v>
      </c>
      <c r="F89" s="9">
        <v>986.51649999999995</v>
      </c>
      <c r="G89" s="10">
        <v>0.168140652</v>
      </c>
      <c r="H89" s="51"/>
    </row>
    <row r="90" spans="1:8" ht="14.1" customHeight="1" x14ac:dyDescent="0.2">
      <c r="A90" s="1"/>
      <c r="B90" s="1"/>
      <c r="C90" s="11"/>
      <c r="D90" s="1"/>
      <c r="E90" s="1"/>
      <c r="F90" s="12"/>
      <c r="G90" s="12"/>
      <c r="H90" s="51"/>
    </row>
    <row r="91" spans="1:8" ht="14.1" customHeight="1" x14ac:dyDescent="0.2">
      <c r="A91" s="1"/>
      <c r="B91" s="1"/>
      <c r="C91" s="2" t="s">
        <v>146</v>
      </c>
      <c r="D91" s="1"/>
      <c r="E91" s="1"/>
      <c r="F91" s="12"/>
      <c r="G91" s="12"/>
      <c r="H91" s="51"/>
    </row>
    <row r="92" spans="1:8" ht="17.100000000000001" customHeight="1" x14ac:dyDescent="0.2">
      <c r="A92" s="3">
        <v>1</v>
      </c>
      <c r="B92" s="4"/>
      <c r="C92" s="4" t="s">
        <v>147</v>
      </c>
      <c r="D92" s="4"/>
      <c r="E92" s="8"/>
      <c r="F92" s="6">
        <v>484.86742509999999</v>
      </c>
      <c r="G92" s="7">
        <v>8.2640203999999995E-2</v>
      </c>
      <c r="H92" s="51">
        <v>6.1245112103248278</v>
      </c>
    </row>
    <row r="93" spans="1:8" ht="14.1" customHeight="1" x14ac:dyDescent="0.2">
      <c r="A93" s="1"/>
      <c r="B93" s="1"/>
      <c r="C93" s="2" t="s">
        <v>129</v>
      </c>
      <c r="D93" s="1"/>
      <c r="E93" s="1" t="s">
        <v>130</v>
      </c>
      <c r="F93" s="9">
        <v>484.86742509999999</v>
      </c>
      <c r="G93" s="10">
        <v>8.2640203999999995E-2</v>
      </c>
      <c r="H93" s="51"/>
    </row>
    <row r="94" spans="1:8" ht="14.1" customHeight="1" x14ac:dyDescent="0.2">
      <c r="A94" s="1"/>
      <c r="B94" s="1"/>
      <c r="C94" s="11"/>
      <c r="D94" s="1"/>
      <c r="E94" s="1"/>
      <c r="F94" s="12"/>
      <c r="G94" s="12"/>
      <c r="H94" s="51"/>
    </row>
    <row r="95" spans="1:8" ht="14.1" customHeight="1" x14ac:dyDescent="0.2">
      <c r="A95" s="1"/>
      <c r="B95" s="1"/>
      <c r="C95" s="2" t="s">
        <v>148</v>
      </c>
      <c r="D95" s="1"/>
      <c r="E95" s="1"/>
      <c r="F95" s="9">
        <v>1471.3839250999999</v>
      </c>
      <c r="G95" s="10">
        <v>0.250780856</v>
      </c>
      <c r="H95" s="51"/>
    </row>
    <row r="96" spans="1:8" ht="14.1" customHeight="1" x14ac:dyDescent="0.2">
      <c r="A96" s="1"/>
      <c r="B96" s="1"/>
      <c r="C96" s="12"/>
      <c r="D96" s="1"/>
      <c r="E96" s="1"/>
      <c r="F96" s="1"/>
      <c r="G96" s="1"/>
      <c r="H96" s="51"/>
    </row>
    <row r="97" spans="1:11" ht="14.1" customHeight="1" x14ac:dyDescent="0.2">
      <c r="A97" s="1"/>
      <c r="B97" s="1"/>
      <c r="C97" s="2" t="s">
        <v>149</v>
      </c>
      <c r="D97" s="1"/>
      <c r="E97" s="1"/>
      <c r="F97" s="1"/>
      <c r="G97" s="1"/>
      <c r="H97" s="51"/>
    </row>
    <row r="98" spans="1:11" ht="14.1" customHeight="1" x14ac:dyDescent="0.2">
      <c r="A98" s="1"/>
      <c r="B98" s="1"/>
      <c r="C98" s="2" t="s">
        <v>150</v>
      </c>
      <c r="D98" s="1"/>
      <c r="E98" s="1"/>
      <c r="F98" s="1"/>
      <c r="G98" s="1"/>
      <c r="H98" s="51"/>
    </row>
    <row r="99" spans="1:11" ht="17.25" customHeight="1" x14ac:dyDescent="0.2">
      <c r="A99" s="3">
        <v>1</v>
      </c>
      <c r="B99" s="4" t="s">
        <v>573</v>
      </c>
      <c r="C99" s="38" t="s">
        <v>967</v>
      </c>
      <c r="D99" s="4"/>
      <c r="E99" s="5">
        <v>31859.646000000001</v>
      </c>
      <c r="F99" s="6">
        <v>612.74503832599999</v>
      </c>
      <c r="G99" s="7">
        <v>0.104435506</v>
      </c>
      <c r="H99" s="51"/>
    </row>
    <row r="100" spans="1:11" ht="14.1" customHeight="1" x14ac:dyDescent="0.2">
      <c r="A100" s="1"/>
      <c r="B100" s="1"/>
      <c r="C100" s="2" t="s">
        <v>129</v>
      </c>
      <c r="D100" s="1"/>
      <c r="E100" s="1" t="s">
        <v>130</v>
      </c>
      <c r="F100" s="9">
        <v>612.74503832599999</v>
      </c>
      <c r="G100" s="10">
        <v>0.104435506</v>
      </c>
      <c r="H100" s="51"/>
    </row>
    <row r="101" spans="1:11" ht="14.1" customHeight="1" x14ac:dyDescent="0.2">
      <c r="A101" s="1"/>
      <c r="B101" s="1"/>
      <c r="C101" s="11"/>
      <c r="D101" s="1"/>
      <c r="E101" s="1"/>
      <c r="F101" s="12"/>
      <c r="G101" s="12"/>
      <c r="H101" s="51"/>
    </row>
    <row r="102" spans="1:11" ht="14.1" customHeight="1" x14ac:dyDescent="0.2">
      <c r="A102" s="1"/>
      <c r="B102" s="1"/>
      <c r="C102" s="2" t="s">
        <v>151</v>
      </c>
      <c r="D102" s="1"/>
      <c r="E102" s="1"/>
      <c r="F102" s="1"/>
      <c r="G102" s="1"/>
      <c r="H102" s="51"/>
    </row>
    <row r="103" spans="1:11" ht="14.1" customHeight="1" x14ac:dyDescent="0.2">
      <c r="A103" s="1"/>
      <c r="B103" s="1"/>
      <c r="C103" s="2" t="s">
        <v>152</v>
      </c>
      <c r="D103" s="1"/>
      <c r="E103" s="1"/>
      <c r="F103" s="1"/>
      <c r="G103" s="1"/>
      <c r="H103" s="51"/>
    </row>
    <row r="104" spans="1:11" ht="14.1" customHeight="1" x14ac:dyDescent="0.2">
      <c r="A104" s="1"/>
      <c r="B104" s="1"/>
      <c r="C104" s="2" t="s">
        <v>129</v>
      </c>
      <c r="D104" s="1"/>
      <c r="E104" s="1" t="s">
        <v>130</v>
      </c>
      <c r="F104" s="13">
        <v>0</v>
      </c>
      <c r="G104" s="14">
        <v>0</v>
      </c>
      <c r="H104" s="51"/>
    </row>
    <row r="105" spans="1:11" ht="14.1" customHeight="1" x14ac:dyDescent="0.2">
      <c r="A105" s="1"/>
      <c r="B105" s="1"/>
      <c r="C105" s="11"/>
      <c r="D105" s="1"/>
      <c r="E105" s="1"/>
      <c r="F105" s="12"/>
      <c r="G105" s="12"/>
      <c r="H105" s="51"/>
    </row>
    <row r="106" spans="1:11" ht="14.1" customHeight="1" x14ac:dyDescent="0.2">
      <c r="A106" s="1"/>
      <c r="B106" s="1"/>
      <c r="C106" s="11"/>
      <c r="D106" s="1"/>
      <c r="E106" s="1"/>
      <c r="F106" s="12"/>
      <c r="G106" s="12"/>
      <c r="H106" s="51"/>
    </row>
    <row r="107" spans="1:11" ht="24" customHeight="1" x14ac:dyDescent="0.2">
      <c r="A107" s="1"/>
      <c r="B107" s="1"/>
      <c r="C107" s="2" t="s">
        <v>153</v>
      </c>
      <c r="D107" s="1"/>
      <c r="E107" s="1"/>
      <c r="F107" s="12"/>
      <c r="G107" s="12"/>
      <c r="H107" s="51"/>
    </row>
    <row r="108" spans="1:11" ht="14.1" customHeight="1" x14ac:dyDescent="0.2">
      <c r="A108" s="1"/>
      <c r="B108" s="1"/>
      <c r="C108" s="2" t="s">
        <v>129</v>
      </c>
      <c r="D108" s="1"/>
      <c r="E108" s="1" t="s">
        <v>130</v>
      </c>
      <c r="F108" s="13">
        <v>0</v>
      </c>
      <c r="G108" s="14">
        <v>0</v>
      </c>
      <c r="H108" s="51"/>
    </row>
    <row r="109" spans="1:11" ht="14.1" customHeight="1" x14ac:dyDescent="0.2">
      <c r="A109" s="1"/>
      <c r="B109" s="1"/>
      <c r="C109" s="11"/>
      <c r="D109" s="1"/>
      <c r="E109" s="1"/>
      <c r="F109" s="12"/>
      <c r="G109" s="12"/>
      <c r="H109" s="51"/>
    </row>
    <row r="110" spans="1:11" ht="18" customHeight="1" x14ac:dyDescent="0.2">
      <c r="A110" s="8"/>
      <c r="B110" s="4"/>
      <c r="C110" s="4" t="s">
        <v>574</v>
      </c>
      <c r="D110" s="4"/>
      <c r="E110" s="8"/>
      <c r="F110" s="51">
        <v>50</v>
      </c>
      <c r="G110" s="52">
        <v>8.5219381525701247E-3</v>
      </c>
      <c r="H110" s="51"/>
      <c r="J110" s="230"/>
      <c r="K110" s="230"/>
    </row>
    <row r="111" spans="1:11" ht="18" customHeight="1" x14ac:dyDescent="0.2">
      <c r="A111" s="8"/>
      <c r="B111" s="4"/>
      <c r="C111" s="38" t="s">
        <v>764</v>
      </c>
      <c r="D111" s="4"/>
      <c r="E111" s="8"/>
      <c r="F111" s="51">
        <f>-142.296598516001+35.7487443</f>
        <v>-106.54785421600101</v>
      </c>
      <c r="G111" s="52">
        <v>-1.8159884478356373E-2</v>
      </c>
      <c r="H111" s="51"/>
    </row>
    <row r="112" spans="1:11" ht="14.1" customHeight="1" x14ac:dyDescent="0.2">
      <c r="A112" s="11"/>
      <c r="B112" s="11"/>
      <c r="C112" s="2" t="s">
        <v>155</v>
      </c>
      <c r="D112" s="15"/>
      <c r="E112" s="15"/>
      <c r="F112" s="55">
        <v>5867.2099122099989</v>
      </c>
      <c r="G112" s="56">
        <v>1</v>
      </c>
      <c r="H112" s="51"/>
    </row>
    <row r="113" spans="1:15" ht="14.1" customHeight="1" x14ac:dyDescent="0.2">
      <c r="A113" s="16"/>
      <c r="B113" s="16"/>
      <c r="C113" s="16"/>
      <c r="D113" s="17"/>
      <c r="E113" s="17"/>
      <c r="F113" s="229"/>
      <c r="G113" s="57"/>
    </row>
    <row r="114" spans="1:15" ht="14.1" customHeight="1" x14ac:dyDescent="0.2">
      <c r="A114" s="18"/>
      <c r="B114" s="327" t="s">
        <v>130</v>
      </c>
      <c r="C114" s="327"/>
      <c r="D114" s="327"/>
      <c r="E114" s="327"/>
      <c r="F114" s="327"/>
      <c r="G114" s="20"/>
    </row>
    <row r="115" spans="1:15" ht="17.100000000000001" customHeight="1" x14ac:dyDescent="0.2">
      <c r="A115" s="53"/>
      <c r="B115" s="344" t="s">
        <v>762</v>
      </c>
      <c r="C115" s="344"/>
      <c r="D115" s="344"/>
      <c r="E115" s="344"/>
      <c r="F115" s="344"/>
      <c r="G115" s="54"/>
    </row>
    <row r="116" spans="1:15" ht="14.1" customHeight="1" x14ac:dyDescent="0.2">
      <c r="A116" s="53"/>
      <c r="B116" s="344" t="s">
        <v>968</v>
      </c>
      <c r="C116" s="344"/>
      <c r="D116" s="344"/>
      <c r="E116" s="344"/>
      <c r="F116" s="344"/>
      <c r="G116" s="54"/>
      <c r="J116" s="41"/>
      <c r="K116" s="41"/>
      <c r="L116" s="41"/>
      <c r="M116" s="41"/>
      <c r="N116" s="41"/>
    </row>
    <row r="117" spans="1:15" s="41" customFormat="1" ht="15" x14ac:dyDescent="0.2">
      <c r="A117" s="39"/>
      <c r="B117" s="345" t="s">
        <v>971</v>
      </c>
      <c r="C117" s="345"/>
      <c r="D117" s="345"/>
      <c r="E117" s="345"/>
      <c r="F117" s="345"/>
      <c r="G117" s="40"/>
      <c r="H117"/>
      <c r="I117"/>
      <c r="J117" s="164"/>
      <c r="K117" s="164"/>
      <c r="L117" s="164"/>
      <c r="M117" s="164"/>
      <c r="N117" s="164"/>
      <c r="O117"/>
    </row>
    <row r="118" spans="1:15" ht="14.1" customHeight="1" x14ac:dyDescent="0.2">
      <c r="A118" s="18"/>
      <c r="B118" s="18"/>
      <c r="C118" s="18"/>
      <c r="D118" s="20"/>
      <c r="E118" s="20"/>
      <c r="F118" s="20"/>
      <c r="G118" s="20"/>
    </row>
    <row r="119" spans="1:15" ht="14.1" customHeight="1" x14ac:dyDescent="0.2">
      <c r="A119" s="18"/>
      <c r="B119" s="325" t="s">
        <v>157</v>
      </c>
      <c r="C119" s="326"/>
      <c r="D119" s="12" t="s">
        <v>130</v>
      </c>
      <c r="E119" s="21"/>
      <c r="F119" s="20"/>
      <c r="G119" s="20"/>
    </row>
    <row r="120" spans="1:15" ht="29.1" customHeight="1" x14ac:dyDescent="0.2">
      <c r="A120" s="18"/>
      <c r="B120" s="318" t="s">
        <v>158</v>
      </c>
      <c r="C120" s="319"/>
      <c r="D120" s="111" t="s">
        <v>1062</v>
      </c>
      <c r="E120" s="21"/>
      <c r="F120" s="20"/>
      <c r="G120" s="20"/>
    </row>
    <row r="121" spans="1:15" ht="17.100000000000001" customHeight="1" x14ac:dyDescent="0.2">
      <c r="A121" s="18"/>
      <c r="B121" s="318" t="s">
        <v>160</v>
      </c>
      <c r="C121" s="319"/>
      <c r="D121" s="2" t="s">
        <v>159</v>
      </c>
      <c r="E121" s="21"/>
      <c r="F121" s="20"/>
      <c r="G121" s="20"/>
    </row>
    <row r="122" spans="1:15" ht="17.100000000000001" customHeight="1" x14ac:dyDescent="0.2">
      <c r="A122" s="18"/>
      <c r="B122" s="318" t="s">
        <v>161</v>
      </c>
      <c r="C122" s="319"/>
      <c r="D122" s="12" t="s">
        <v>130</v>
      </c>
      <c r="E122" s="21"/>
      <c r="F122" s="20"/>
      <c r="G122" s="20"/>
      <c r="I122" s="41"/>
    </row>
    <row r="123" spans="1:15" ht="24" customHeight="1" x14ac:dyDescent="0.2">
      <c r="A123" s="22"/>
      <c r="B123" s="23" t="s">
        <v>130</v>
      </c>
      <c r="C123" s="23" t="s">
        <v>162</v>
      </c>
      <c r="D123" s="23" t="s">
        <v>163</v>
      </c>
      <c r="E123" s="22"/>
      <c r="F123" s="22"/>
      <c r="G123" s="22"/>
      <c r="I123" s="164"/>
    </row>
    <row r="124" spans="1:15" ht="17.100000000000001" customHeight="1" x14ac:dyDescent="0.2">
      <c r="A124" s="22"/>
      <c r="B124" s="23" t="s">
        <v>164</v>
      </c>
      <c r="C124" s="23" t="s">
        <v>165</v>
      </c>
      <c r="D124" s="23" t="s">
        <v>166</v>
      </c>
      <c r="E124" s="22"/>
      <c r="F124" s="22"/>
      <c r="G124" s="22"/>
      <c r="I124" s="41"/>
    </row>
    <row r="125" spans="1:15" ht="17.100000000000001" customHeight="1" x14ac:dyDescent="0.2">
      <c r="A125" s="22"/>
      <c r="B125" s="4" t="s">
        <v>167</v>
      </c>
      <c r="C125" s="24">
        <v>12.4322</v>
      </c>
      <c r="D125" s="24">
        <v>12.493399999999999</v>
      </c>
      <c r="E125" s="22"/>
      <c r="F125" s="19"/>
      <c r="G125" s="25"/>
    </row>
    <row r="126" spans="1:15" ht="24" customHeight="1" x14ac:dyDescent="0.2">
      <c r="A126" s="22"/>
      <c r="B126" s="4" t="s">
        <v>1072</v>
      </c>
      <c r="C126" s="24">
        <v>10.7506</v>
      </c>
      <c r="D126" s="24">
        <v>10.803599999999999</v>
      </c>
      <c r="E126" s="22"/>
      <c r="F126" s="19"/>
      <c r="G126" s="25"/>
    </row>
    <row r="127" spans="1:15" ht="17.100000000000001" customHeight="1" x14ac:dyDescent="0.2">
      <c r="A127" s="22"/>
      <c r="B127" s="4" t="s">
        <v>168</v>
      </c>
      <c r="C127" s="24">
        <v>12.0093</v>
      </c>
      <c r="D127" s="24">
        <v>12.061199999999999</v>
      </c>
      <c r="E127" s="22"/>
      <c r="F127" s="19"/>
      <c r="G127" s="25"/>
    </row>
    <row r="128" spans="1:15" ht="24.75" customHeight="1" x14ac:dyDescent="0.2">
      <c r="A128" s="22"/>
      <c r="B128" s="4" t="s">
        <v>1074</v>
      </c>
      <c r="C128" s="24">
        <v>10.5589</v>
      </c>
      <c r="D128" s="24">
        <v>10.6045</v>
      </c>
      <c r="E128" s="22"/>
      <c r="F128" s="19"/>
      <c r="G128" s="25"/>
    </row>
    <row r="129" spans="1:15" ht="14.1" customHeight="1" x14ac:dyDescent="0.2">
      <c r="A129" s="22"/>
      <c r="B129" s="22"/>
      <c r="C129" s="22"/>
      <c r="D129" s="22"/>
      <c r="E129" s="22"/>
      <c r="F129" s="22"/>
      <c r="G129" s="22"/>
    </row>
    <row r="130" spans="1:15" ht="17.100000000000001" customHeight="1" x14ac:dyDescent="0.2">
      <c r="A130" s="22"/>
      <c r="B130" s="318" t="s">
        <v>1069</v>
      </c>
      <c r="C130" s="319"/>
      <c r="D130" s="111" t="s">
        <v>159</v>
      </c>
      <c r="E130" s="22"/>
      <c r="F130" s="22"/>
      <c r="G130" s="22"/>
    </row>
    <row r="131" spans="1:15" ht="18" customHeight="1" x14ac:dyDescent="0.2">
      <c r="A131" s="22"/>
      <c r="B131" s="26"/>
      <c r="C131" s="26"/>
      <c r="D131" s="27"/>
      <c r="E131" s="22"/>
      <c r="F131" s="22"/>
      <c r="G131" s="22"/>
    </row>
    <row r="132" spans="1:15" ht="29.1" customHeight="1" x14ac:dyDescent="0.2">
      <c r="A132" s="22"/>
      <c r="B132" s="328" t="s">
        <v>169</v>
      </c>
      <c r="C132" s="329"/>
      <c r="D132" s="111" t="s">
        <v>990</v>
      </c>
      <c r="E132" s="22"/>
      <c r="F132" s="22"/>
      <c r="G132" s="22"/>
    </row>
    <row r="133" spans="1:15" ht="29.1" customHeight="1" x14ac:dyDescent="0.2">
      <c r="A133" s="22"/>
      <c r="B133" s="328" t="s">
        <v>170</v>
      </c>
      <c r="C133" s="329"/>
      <c r="D133" s="2" t="s">
        <v>159</v>
      </c>
      <c r="E133" s="22"/>
      <c r="F133" s="22"/>
      <c r="G133" s="22"/>
    </row>
    <row r="134" spans="1:15" ht="17.100000000000001" customHeight="1" x14ac:dyDescent="0.2">
      <c r="A134" s="118"/>
      <c r="B134" s="346" t="s">
        <v>991</v>
      </c>
      <c r="C134" s="347"/>
      <c r="D134" s="119">
        <v>0.10937696104670339</v>
      </c>
      <c r="E134" s="118"/>
      <c r="F134" s="115"/>
      <c r="G134" s="120"/>
    </row>
    <row r="135" spans="1:15" ht="17.100000000000001" customHeight="1" x14ac:dyDescent="0.2">
      <c r="A135" s="118"/>
      <c r="B135" s="346" t="s">
        <v>992</v>
      </c>
      <c r="C135" s="347"/>
      <c r="D135" s="119">
        <v>0.10937696104670339</v>
      </c>
      <c r="E135" s="118"/>
      <c r="F135" s="118"/>
      <c r="G135" s="118"/>
    </row>
    <row r="136" spans="1:15" ht="17.100000000000001" customHeight="1" x14ac:dyDescent="0.2">
      <c r="A136" s="22"/>
      <c r="B136" s="328" t="s">
        <v>988</v>
      </c>
      <c r="C136" s="329"/>
      <c r="D136" s="28">
        <v>10.512568573702636</v>
      </c>
      <c r="E136" s="22"/>
      <c r="F136" s="19"/>
      <c r="G136" s="25"/>
    </row>
    <row r="137" spans="1:15" ht="17.100000000000001" customHeight="1" x14ac:dyDescent="0.2">
      <c r="A137" s="22"/>
      <c r="B137" s="328" t="s">
        <v>989</v>
      </c>
      <c r="C137" s="329"/>
      <c r="D137" s="2" t="s">
        <v>159</v>
      </c>
      <c r="E137" s="22"/>
      <c r="F137" s="22"/>
      <c r="G137" s="22"/>
    </row>
    <row r="139" spans="1:15" x14ac:dyDescent="0.2">
      <c r="B139" s="102" t="s">
        <v>1063</v>
      </c>
      <c r="C139" s="102"/>
      <c r="D139" s="102"/>
      <c r="E139" s="103"/>
      <c r="F139" s="104"/>
    </row>
    <row r="140" spans="1:15" ht="38.25" x14ac:dyDescent="0.2">
      <c r="B140" s="125" t="s">
        <v>973</v>
      </c>
      <c r="C140" s="125" t="s">
        <v>974</v>
      </c>
      <c r="D140" s="125" t="s">
        <v>975</v>
      </c>
      <c r="E140" s="125" t="s">
        <v>976</v>
      </c>
      <c r="F140" s="125" t="s">
        <v>977</v>
      </c>
      <c r="J140" s="123"/>
      <c r="K140" s="123"/>
      <c r="L140" s="123"/>
      <c r="M140" s="123"/>
      <c r="N140" s="123"/>
    </row>
    <row r="141" spans="1:15" s="123" customFormat="1" ht="25.5" x14ac:dyDescent="0.2">
      <c r="B141" s="126" t="s">
        <v>1045</v>
      </c>
      <c r="C141" s="127" t="s">
        <v>1046</v>
      </c>
      <c r="D141" s="128">
        <v>0</v>
      </c>
      <c r="E141" s="129">
        <v>0</v>
      </c>
      <c r="F141" s="130">
        <v>50</v>
      </c>
      <c r="I141"/>
      <c r="J141"/>
      <c r="K141"/>
      <c r="L141"/>
      <c r="M141"/>
      <c r="N141"/>
      <c r="O141"/>
    </row>
    <row r="148" spans="9:9" x14ac:dyDescent="0.2">
      <c r="I148" s="123"/>
    </row>
  </sheetData>
  <mergeCells count="19">
    <mergeCell ref="B137:C137"/>
    <mergeCell ref="B120:C120"/>
    <mergeCell ref="B121:C121"/>
    <mergeCell ref="B122:C122"/>
    <mergeCell ref="B130:C130"/>
    <mergeCell ref="B132:C132"/>
    <mergeCell ref="B133:C133"/>
    <mergeCell ref="B134:C134"/>
    <mergeCell ref="B135:C135"/>
    <mergeCell ref="J2:N2"/>
    <mergeCell ref="B136:C136"/>
    <mergeCell ref="B115:F115"/>
    <mergeCell ref="B117:F117"/>
    <mergeCell ref="A1:H1"/>
    <mergeCell ref="A2:H2"/>
    <mergeCell ref="A3:H3"/>
    <mergeCell ref="B119:C119"/>
    <mergeCell ref="B114:F114"/>
    <mergeCell ref="B116:F116"/>
  </mergeCells>
  <hyperlinks>
    <hyperlink ref="I1" location="Index!B25" display="Index" xr:uid="{FBFEE3AC-8DAD-442B-8B69-2753CDD13941}"/>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D07619-6E10-4B0E-9615-50EE0F6D5628}">
  <sheetPr>
    <outlinePr summaryBelow="0" summaryRight="0"/>
  </sheetPr>
  <dimension ref="A1:O21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7.85546875" bestFit="1" customWidth="1"/>
    <col min="9" max="10" width="14.42578125" bestFit="1" customWidth="1"/>
    <col min="11" max="11" width="9.28515625" bestFit="1" customWidth="1"/>
  </cols>
  <sheetData>
    <row r="1" spans="1:14" ht="18" customHeight="1" x14ac:dyDescent="0.2">
      <c r="A1" s="320" t="s">
        <v>0</v>
      </c>
      <c r="B1" s="320"/>
      <c r="C1" s="320"/>
      <c r="D1" s="320"/>
      <c r="E1" s="320"/>
      <c r="F1" s="320"/>
      <c r="G1" s="320"/>
      <c r="H1" s="320"/>
      <c r="I1" s="159" t="s">
        <v>1088</v>
      </c>
      <c r="J1" s="41"/>
      <c r="K1" s="41"/>
      <c r="L1" s="41"/>
      <c r="M1" s="41"/>
      <c r="N1" s="41"/>
    </row>
    <row r="2" spans="1:14" ht="17.100000000000001" customHeight="1" x14ac:dyDescent="0.2">
      <c r="A2" s="321" t="s">
        <v>987</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c r="J3" s="41"/>
      <c r="K3" s="41"/>
      <c r="L3" s="41"/>
      <c r="M3" s="41"/>
      <c r="N3" s="41"/>
    </row>
    <row r="4" spans="1:14" s="113" customFormat="1" ht="30" x14ac:dyDescent="0.2">
      <c r="A4" s="112" t="s">
        <v>2</v>
      </c>
      <c r="B4" s="112" t="s">
        <v>3</v>
      </c>
      <c r="C4" s="112" t="s">
        <v>4</v>
      </c>
      <c r="D4" s="112" t="s">
        <v>5</v>
      </c>
      <c r="E4" s="112" t="s">
        <v>6</v>
      </c>
      <c r="F4" s="112" t="s">
        <v>7</v>
      </c>
      <c r="G4" s="112" t="s">
        <v>8</v>
      </c>
      <c r="H4" s="101" t="s">
        <v>972</v>
      </c>
      <c r="J4" s="160"/>
      <c r="K4" s="160"/>
      <c r="L4" s="160"/>
      <c r="M4" s="160"/>
      <c r="N4" s="160"/>
    </row>
    <row r="5" spans="1:14" ht="14.1" customHeight="1" x14ac:dyDescent="0.2">
      <c r="A5" s="58"/>
      <c r="B5" s="58"/>
      <c r="C5" s="59" t="s">
        <v>9</v>
      </c>
      <c r="D5" s="58"/>
      <c r="E5" s="58"/>
      <c r="F5" s="58"/>
      <c r="G5" s="58"/>
      <c r="H5" s="51"/>
      <c r="J5" s="41"/>
      <c r="K5" s="41"/>
      <c r="L5" s="41"/>
      <c r="M5" s="41"/>
      <c r="N5" s="41"/>
    </row>
    <row r="6" spans="1:14" ht="24" customHeight="1" x14ac:dyDescent="0.2">
      <c r="A6" s="58"/>
      <c r="B6" s="58"/>
      <c r="C6" s="59" t="s">
        <v>10</v>
      </c>
      <c r="D6" s="58"/>
      <c r="E6" s="58"/>
      <c r="F6" s="58"/>
      <c r="G6" s="58"/>
      <c r="H6" s="51"/>
      <c r="J6" s="41"/>
      <c r="K6" s="41"/>
      <c r="L6" s="41"/>
      <c r="M6" s="41"/>
      <c r="N6" s="41"/>
    </row>
    <row r="7" spans="1:14" ht="17.100000000000001" customHeight="1" x14ac:dyDescent="0.2">
      <c r="A7" s="60">
        <v>1</v>
      </c>
      <c r="B7" s="61" t="s">
        <v>269</v>
      </c>
      <c r="C7" s="61" t="s">
        <v>270</v>
      </c>
      <c r="D7" s="61" t="s">
        <v>16</v>
      </c>
      <c r="E7" s="62">
        <v>787500</v>
      </c>
      <c r="F7" s="63">
        <v>11193.13125</v>
      </c>
      <c r="G7" s="64">
        <v>7.1324045000000003E-2</v>
      </c>
      <c r="H7" s="51"/>
      <c r="J7" s="41"/>
      <c r="K7" s="41"/>
      <c r="L7" s="41"/>
      <c r="M7" s="41"/>
      <c r="N7" s="41"/>
    </row>
    <row r="8" spans="1:14" ht="17.100000000000001" customHeight="1" x14ac:dyDescent="0.2">
      <c r="A8" s="60">
        <v>2</v>
      </c>
      <c r="B8" s="61" t="s">
        <v>14</v>
      </c>
      <c r="C8" s="61" t="s">
        <v>15</v>
      </c>
      <c r="D8" s="61" t="s">
        <v>16</v>
      </c>
      <c r="E8" s="62">
        <v>1137500</v>
      </c>
      <c r="F8" s="63">
        <v>9805.25</v>
      </c>
      <c r="G8" s="64">
        <v>6.2480290000000001E-2</v>
      </c>
      <c r="H8" s="51"/>
      <c r="J8" s="41"/>
      <c r="K8" s="41"/>
      <c r="L8" s="41"/>
      <c r="M8" s="41"/>
      <c r="N8" s="41"/>
    </row>
    <row r="9" spans="1:14" ht="17.100000000000001" customHeight="1" x14ac:dyDescent="0.2">
      <c r="A9" s="60">
        <v>3</v>
      </c>
      <c r="B9" s="61" t="s">
        <v>20</v>
      </c>
      <c r="C9" s="61" t="s">
        <v>21</v>
      </c>
      <c r="D9" s="61" t="s">
        <v>22</v>
      </c>
      <c r="E9" s="62">
        <v>315000</v>
      </c>
      <c r="F9" s="63">
        <v>7489.9125000000004</v>
      </c>
      <c r="G9" s="64">
        <v>4.7726668E-2</v>
      </c>
      <c r="H9" s="51"/>
      <c r="J9" s="41"/>
      <c r="K9" s="41"/>
      <c r="L9" s="41"/>
      <c r="M9" s="41"/>
      <c r="N9" s="41"/>
    </row>
    <row r="10" spans="1:14" ht="17.100000000000001" customHeight="1" x14ac:dyDescent="0.2">
      <c r="A10" s="60">
        <v>4</v>
      </c>
      <c r="B10" s="61" t="s">
        <v>296</v>
      </c>
      <c r="C10" s="61" t="s">
        <v>297</v>
      </c>
      <c r="D10" s="61" t="s">
        <v>223</v>
      </c>
      <c r="E10" s="62">
        <v>481863</v>
      </c>
      <c r="F10" s="63">
        <v>6810.8925735000003</v>
      </c>
      <c r="G10" s="64">
        <v>4.3399867000000002E-2</v>
      </c>
      <c r="H10" s="51"/>
      <c r="J10" s="41"/>
      <c r="K10" s="41"/>
      <c r="L10" s="41"/>
      <c r="M10" s="41"/>
      <c r="N10" s="41"/>
    </row>
    <row r="11" spans="1:14" ht="29.1" customHeight="1" x14ac:dyDescent="0.2">
      <c r="A11" s="60">
        <v>5</v>
      </c>
      <c r="B11" s="61" t="s">
        <v>298</v>
      </c>
      <c r="C11" s="61" t="s">
        <v>299</v>
      </c>
      <c r="D11" s="61" t="s">
        <v>97</v>
      </c>
      <c r="E11" s="62">
        <v>215100</v>
      </c>
      <c r="F11" s="63">
        <v>4920.9502499999999</v>
      </c>
      <c r="G11" s="64">
        <v>3.1356915999999999E-2</v>
      </c>
      <c r="H11" s="51"/>
      <c r="J11" s="161"/>
      <c r="K11" s="161"/>
      <c r="L11" s="161"/>
      <c r="M11" s="161"/>
      <c r="N11" s="161"/>
    </row>
    <row r="12" spans="1:14" ht="29.1" customHeight="1" x14ac:dyDescent="0.2">
      <c r="A12" s="60">
        <v>6</v>
      </c>
      <c r="B12" s="65" t="s">
        <v>961</v>
      </c>
      <c r="C12" s="65" t="s">
        <v>962</v>
      </c>
      <c r="D12" s="65" t="s">
        <v>92</v>
      </c>
      <c r="E12" s="66">
        <v>1200000</v>
      </c>
      <c r="F12" s="67">
        <v>4150.08</v>
      </c>
      <c r="G12" s="68">
        <v>2.6444829999999999E-2</v>
      </c>
      <c r="H12" s="51"/>
      <c r="J12" s="157" t="s">
        <v>1103</v>
      </c>
      <c r="K12" s="41"/>
      <c r="L12" s="41"/>
      <c r="M12" s="41"/>
      <c r="N12" s="41"/>
    </row>
    <row r="13" spans="1:14" ht="17.100000000000001" customHeight="1" x14ac:dyDescent="0.2">
      <c r="A13" s="60">
        <v>7</v>
      </c>
      <c r="B13" s="61" t="s">
        <v>41</v>
      </c>
      <c r="C13" s="61" t="s">
        <v>42</v>
      </c>
      <c r="D13" s="61" t="s">
        <v>16</v>
      </c>
      <c r="E13" s="62">
        <v>740000</v>
      </c>
      <c r="F13" s="63">
        <v>3926.44</v>
      </c>
      <c r="G13" s="64">
        <v>2.5019771E-2</v>
      </c>
      <c r="H13" s="51"/>
      <c r="J13" s="41"/>
      <c r="K13" s="41"/>
      <c r="L13" s="41"/>
      <c r="M13" s="41"/>
      <c r="N13" s="41"/>
    </row>
    <row r="14" spans="1:14" ht="17.100000000000001" customHeight="1" x14ac:dyDescent="0.2">
      <c r="A14" s="60">
        <v>8</v>
      </c>
      <c r="B14" s="61" t="s">
        <v>70</v>
      </c>
      <c r="C14" s="61" t="s">
        <v>71</v>
      </c>
      <c r="D14" s="61" t="s">
        <v>72</v>
      </c>
      <c r="E14" s="62">
        <v>100000</v>
      </c>
      <c r="F14" s="63">
        <v>3212.35</v>
      </c>
      <c r="G14" s="64">
        <v>2.0469500000000002E-2</v>
      </c>
      <c r="H14" s="51"/>
      <c r="J14" s="41"/>
      <c r="K14" s="41"/>
      <c r="L14" s="41"/>
      <c r="M14" s="41"/>
      <c r="N14" s="41"/>
    </row>
    <row r="15" spans="1:14" ht="17.100000000000001" customHeight="1" x14ac:dyDescent="0.2">
      <c r="A15" s="60">
        <v>9</v>
      </c>
      <c r="B15" s="61" t="s">
        <v>195</v>
      </c>
      <c r="C15" s="61" t="s">
        <v>196</v>
      </c>
      <c r="D15" s="61" t="s">
        <v>16</v>
      </c>
      <c r="E15" s="62">
        <v>399800</v>
      </c>
      <c r="F15" s="63">
        <v>2931.3335999999999</v>
      </c>
      <c r="G15" s="64">
        <v>1.8678828000000001E-2</v>
      </c>
      <c r="H15" s="51"/>
      <c r="J15" s="41"/>
      <c r="K15" s="41"/>
      <c r="L15" s="41"/>
      <c r="M15" s="41"/>
      <c r="N15" s="41"/>
    </row>
    <row r="16" spans="1:14" ht="17.100000000000001" customHeight="1" x14ac:dyDescent="0.2">
      <c r="A16" s="60">
        <v>10</v>
      </c>
      <c r="B16" s="61" t="s">
        <v>333</v>
      </c>
      <c r="C16" s="61" t="s">
        <v>334</v>
      </c>
      <c r="D16" s="61" t="s">
        <v>223</v>
      </c>
      <c r="E16" s="62">
        <v>285650</v>
      </c>
      <c r="F16" s="63">
        <v>2881.0659000000001</v>
      </c>
      <c r="G16" s="64">
        <v>1.8358515999999998E-2</v>
      </c>
      <c r="H16" s="51"/>
      <c r="J16" s="161"/>
      <c r="K16" s="161"/>
      <c r="L16" s="161"/>
      <c r="M16" s="161"/>
      <c r="N16" s="161"/>
    </row>
    <row r="17" spans="1:14" ht="17.100000000000001" customHeight="1" x14ac:dyDescent="0.2">
      <c r="A17" s="60">
        <v>11</v>
      </c>
      <c r="B17" s="61" t="s">
        <v>300</v>
      </c>
      <c r="C17" s="61" t="s">
        <v>301</v>
      </c>
      <c r="D17" s="61" t="s">
        <v>235</v>
      </c>
      <c r="E17" s="62">
        <v>212870</v>
      </c>
      <c r="F17" s="63">
        <v>2661.832915</v>
      </c>
      <c r="G17" s="64">
        <v>1.6961535E-2</v>
      </c>
      <c r="H17" s="51"/>
      <c r="J17" s="41"/>
      <c r="K17" s="41"/>
      <c r="L17" s="41"/>
      <c r="M17" s="41"/>
      <c r="N17" s="41"/>
    </row>
    <row r="18" spans="1:14" ht="17.100000000000001" customHeight="1" x14ac:dyDescent="0.2">
      <c r="A18" s="60">
        <v>12</v>
      </c>
      <c r="B18" s="61" t="s">
        <v>197</v>
      </c>
      <c r="C18" s="61" t="s">
        <v>198</v>
      </c>
      <c r="D18" s="61" t="s">
        <v>72</v>
      </c>
      <c r="E18" s="62">
        <v>95000</v>
      </c>
      <c r="F18" s="63">
        <v>2607.1325000000002</v>
      </c>
      <c r="G18" s="64">
        <v>1.6612977000000001E-2</v>
      </c>
      <c r="H18" s="51"/>
      <c r="J18" s="41"/>
      <c r="K18" s="41"/>
      <c r="L18" s="41"/>
      <c r="M18" s="41"/>
      <c r="N18" s="41"/>
    </row>
    <row r="19" spans="1:14" ht="17.100000000000001" customHeight="1" x14ac:dyDescent="0.2">
      <c r="A19" s="60">
        <v>13</v>
      </c>
      <c r="B19" s="61" t="s">
        <v>32</v>
      </c>
      <c r="C19" s="61" t="s">
        <v>33</v>
      </c>
      <c r="D19" s="61" t="s">
        <v>31</v>
      </c>
      <c r="E19" s="62">
        <v>125000</v>
      </c>
      <c r="F19" s="63">
        <v>2580.1875</v>
      </c>
      <c r="G19" s="64">
        <v>1.6441279999999999E-2</v>
      </c>
      <c r="H19" s="51"/>
      <c r="J19" s="41"/>
      <c r="K19" s="41"/>
      <c r="L19" s="41"/>
      <c r="M19" s="41"/>
      <c r="N19" s="41"/>
    </row>
    <row r="20" spans="1:14" ht="17.100000000000001" customHeight="1" x14ac:dyDescent="0.2">
      <c r="A20" s="60">
        <v>14</v>
      </c>
      <c r="B20" s="61" t="s">
        <v>199</v>
      </c>
      <c r="C20" s="61" t="s">
        <v>200</v>
      </c>
      <c r="D20" s="61" t="s">
        <v>16</v>
      </c>
      <c r="E20" s="62">
        <v>1899728</v>
      </c>
      <c r="F20" s="63">
        <v>2515.2398720000001</v>
      </c>
      <c r="G20" s="64">
        <v>1.6027426000000001E-2</v>
      </c>
      <c r="H20" s="51"/>
      <c r="J20" s="41"/>
      <c r="K20" s="41"/>
      <c r="L20" s="41"/>
      <c r="M20" s="41"/>
      <c r="N20" s="41"/>
    </row>
    <row r="21" spans="1:14" ht="17.100000000000001" customHeight="1" x14ac:dyDescent="0.2">
      <c r="A21" s="60">
        <v>15</v>
      </c>
      <c r="B21" s="61" t="s">
        <v>115</v>
      </c>
      <c r="C21" s="61" t="s">
        <v>116</v>
      </c>
      <c r="D21" s="61" t="s">
        <v>117</v>
      </c>
      <c r="E21" s="62">
        <v>633450</v>
      </c>
      <c r="F21" s="63">
        <v>2473.938975</v>
      </c>
      <c r="G21" s="64">
        <v>1.5764251E-2</v>
      </c>
      <c r="H21" s="51"/>
      <c r="J21" s="41"/>
      <c r="K21" s="41"/>
      <c r="L21" s="41"/>
      <c r="M21" s="41"/>
      <c r="N21" s="41"/>
    </row>
    <row r="22" spans="1:14" ht="17.100000000000001" customHeight="1" x14ac:dyDescent="0.2">
      <c r="A22" s="60">
        <v>16</v>
      </c>
      <c r="B22" s="61" t="s">
        <v>179</v>
      </c>
      <c r="C22" s="61" t="s">
        <v>180</v>
      </c>
      <c r="D22" s="61" t="s">
        <v>181</v>
      </c>
      <c r="E22" s="62">
        <v>235000</v>
      </c>
      <c r="F22" s="63">
        <v>2453.87</v>
      </c>
      <c r="G22" s="64">
        <v>1.5636369000000001E-2</v>
      </c>
      <c r="H22" s="51"/>
    </row>
    <row r="23" spans="1:14" ht="17.100000000000001" customHeight="1" x14ac:dyDescent="0.2">
      <c r="A23" s="60">
        <v>17</v>
      </c>
      <c r="B23" s="61" t="s">
        <v>261</v>
      </c>
      <c r="C23" s="61" t="s">
        <v>262</v>
      </c>
      <c r="D23" s="61" t="s">
        <v>97</v>
      </c>
      <c r="E23" s="62">
        <v>140000</v>
      </c>
      <c r="F23" s="63">
        <v>2349.69</v>
      </c>
      <c r="G23" s="64">
        <v>1.4972521000000001E-2</v>
      </c>
      <c r="H23" s="51"/>
    </row>
    <row r="24" spans="1:14" ht="17.100000000000001" customHeight="1" x14ac:dyDescent="0.2">
      <c r="A24" s="60">
        <v>18</v>
      </c>
      <c r="B24" s="61" t="s">
        <v>17</v>
      </c>
      <c r="C24" s="61" t="s">
        <v>18</v>
      </c>
      <c r="D24" s="61" t="s">
        <v>19</v>
      </c>
      <c r="E24" s="62">
        <v>275205</v>
      </c>
      <c r="F24" s="63">
        <v>2201.364795</v>
      </c>
      <c r="G24" s="64">
        <v>1.4027374E-2</v>
      </c>
      <c r="H24" s="51"/>
      <c r="J24" s="41"/>
      <c r="K24" s="41"/>
      <c r="L24" s="41"/>
      <c r="M24" s="41"/>
      <c r="N24" s="41"/>
    </row>
    <row r="25" spans="1:14" ht="24.75" customHeight="1" x14ac:dyDescent="0.2">
      <c r="A25" s="60">
        <v>19</v>
      </c>
      <c r="B25" s="65" t="s">
        <v>963</v>
      </c>
      <c r="C25" s="65" t="s">
        <v>964</v>
      </c>
      <c r="D25" s="65" t="s">
        <v>28</v>
      </c>
      <c r="E25" s="66">
        <v>1500000</v>
      </c>
      <c r="F25" s="67">
        <v>2078.6999999999998</v>
      </c>
      <c r="G25" s="68">
        <v>1.3245740000000001E-2</v>
      </c>
      <c r="H25" s="51"/>
      <c r="J25" s="41"/>
      <c r="K25" s="41"/>
      <c r="L25" s="41"/>
      <c r="M25" s="41"/>
      <c r="N25" s="41"/>
    </row>
    <row r="26" spans="1:14" ht="17.100000000000001" customHeight="1" x14ac:dyDescent="0.2">
      <c r="A26" s="60">
        <v>20</v>
      </c>
      <c r="B26" s="61" t="s">
        <v>306</v>
      </c>
      <c r="C26" s="61" t="s">
        <v>307</v>
      </c>
      <c r="D26" s="61" t="s">
        <v>223</v>
      </c>
      <c r="E26" s="62">
        <v>68060</v>
      </c>
      <c r="F26" s="63">
        <v>2044.8967299999999</v>
      </c>
      <c r="G26" s="64">
        <v>1.303034E-2</v>
      </c>
      <c r="H26" s="51"/>
      <c r="J26" s="41"/>
      <c r="K26" s="41"/>
      <c r="L26" s="41"/>
      <c r="M26" s="41"/>
      <c r="N26" s="41"/>
    </row>
    <row r="27" spans="1:14" ht="17.100000000000001" customHeight="1" x14ac:dyDescent="0.2">
      <c r="A27" s="60">
        <v>21</v>
      </c>
      <c r="B27" s="61" t="s">
        <v>11</v>
      </c>
      <c r="C27" s="61" t="s">
        <v>12</v>
      </c>
      <c r="D27" s="61" t="s">
        <v>13</v>
      </c>
      <c r="E27" s="62">
        <v>106900</v>
      </c>
      <c r="F27" s="63">
        <v>1975.1913</v>
      </c>
      <c r="G27" s="64">
        <v>1.2586168E-2</v>
      </c>
      <c r="H27" s="51"/>
      <c r="J27" s="41"/>
      <c r="K27" s="41"/>
      <c r="L27" s="41"/>
      <c r="M27" s="41"/>
      <c r="N27" s="41"/>
    </row>
    <row r="28" spans="1:14" ht="29.1" customHeight="1" x14ac:dyDescent="0.2">
      <c r="A28" s="60">
        <v>22</v>
      </c>
      <c r="B28" s="61" t="s">
        <v>86</v>
      </c>
      <c r="C28" s="61" t="s">
        <v>87</v>
      </c>
      <c r="D28" s="61" t="s">
        <v>25</v>
      </c>
      <c r="E28" s="62">
        <v>376500</v>
      </c>
      <c r="F28" s="63">
        <v>1941.2339999999999</v>
      </c>
      <c r="G28" s="64">
        <v>1.2369788E-2</v>
      </c>
      <c r="H28" s="51"/>
      <c r="J28" s="41"/>
      <c r="K28" s="41"/>
      <c r="L28" s="41"/>
      <c r="M28" s="41"/>
      <c r="N28" s="41"/>
    </row>
    <row r="29" spans="1:14" ht="17.100000000000001" customHeight="1" x14ac:dyDescent="0.2">
      <c r="A29" s="60">
        <v>23</v>
      </c>
      <c r="B29" s="61" t="s">
        <v>190</v>
      </c>
      <c r="C29" s="61" t="s">
        <v>191</v>
      </c>
      <c r="D29" s="61" t="s">
        <v>192</v>
      </c>
      <c r="E29" s="62">
        <v>3400</v>
      </c>
      <c r="F29" s="63">
        <v>1722.6491000000001</v>
      </c>
      <c r="G29" s="64">
        <v>1.0976937000000001E-2</v>
      </c>
      <c r="H29" s="51"/>
      <c r="J29" s="41"/>
      <c r="K29" s="41"/>
      <c r="L29" s="41"/>
      <c r="M29" s="41"/>
      <c r="N29" s="41"/>
    </row>
    <row r="30" spans="1:14" ht="17.100000000000001" customHeight="1" x14ac:dyDescent="0.2">
      <c r="A30" s="60">
        <v>24</v>
      </c>
      <c r="B30" s="61" t="s">
        <v>584</v>
      </c>
      <c r="C30" s="61" t="s">
        <v>585</v>
      </c>
      <c r="D30" s="61" t="s">
        <v>69</v>
      </c>
      <c r="E30" s="62">
        <v>46000</v>
      </c>
      <c r="F30" s="63">
        <v>1688.9359999999999</v>
      </c>
      <c r="G30" s="64">
        <v>1.0762113E-2</v>
      </c>
      <c r="H30" s="51"/>
      <c r="J30" s="41"/>
      <c r="K30" s="41"/>
      <c r="L30" s="41"/>
      <c r="M30" s="41"/>
      <c r="N30" s="41"/>
    </row>
    <row r="31" spans="1:14" ht="17.100000000000001" customHeight="1" x14ac:dyDescent="0.2">
      <c r="A31" s="60">
        <v>25</v>
      </c>
      <c r="B31" s="61" t="s">
        <v>606</v>
      </c>
      <c r="C31" s="61" t="s">
        <v>607</v>
      </c>
      <c r="D31" s="61" t="s">
        <v>181</v>
      </c>
      <c r="E31" s="62">
        <v>200000</v>
      </c>
      <c r="F31" s="63">
        <v>1684.6</v>
      </c>
      <c r="G31" s="64">
        <v>1.0734484000000001E-2</v>
      </c>
      <c r="H31" s="51"/>
      <c r="J31" s="41"/>
      <c r="K31" s="41"/>
      <c r="L31" s="41"/>
      <c r="M31" s="41"/>
      <c r="N31" s="41"/>
    </row>
    <row r="32" spans="1:14" ht="29.1" customHeight="1" x14ac:dyDescent="0.2">
      <c r="A32" s="60">
        <v>26</v>
      </c>
      <c r="B32" s="61" t="s">
        <v>488</v>
      </c>
      <c r="C32" s="61" t="s">
        <v>489</v>
      </c>
      <c r="D32" s="61" t="s">
        <v>203</v>
      </c>
      <c r="E32" s="62">
        <v>150000</v>
      </c>
      <c r="F32" s="63">
        <v>1672.425</v>
      </c>
      <c r="G32" s="64">
        <v>1.0656903000000001E-2</v>
      </c>
      <c r="H32" s="51"/>
      <c r="J32" s="41"/>
      <c r="K32" s="41"/>
      <c r="L32" s="41"/>
      <c r="M32" s="41"/>
      <c r="N32" s="41"/>
    </row>
    <row r="33" spans="1:14" ht="29.1" customHeight="1" x14ac:dyDescent="0.2">
      <c r="A33" s="60">
        <v>27</v>
      </c>
      <c r="B33" s="61" t="s">
        <v>182</v>
      </c>
      <c r="C33" s="61" t="s">
        <v>183</v>
      </c>
      <c r="D33" s="61" t="s">
        <v>184</v>
      </c>
      <c r="E33" s="62">
        <v>37000</v>
      </c>
      <c r="F33" s="63">
        <v>1661.6144999999999</v>
      </c>
      <c r="G33" s="64">
        <v>1.0588017E-2</v>
      </c>
      <c r="H33" s="51"/>
      <c r="J33" s="41"/>
      <c r="K33" s="41"/>
      <c r="L33" s="41"/>
      <c r="M33" s="41"/>
      <c r="N33" s="41"/>
    </row>
    <row r="34" spans="1:14" ht="17.100000000000001" customHeight="1" x14ac:dyDescent="0.2">
      <c r="A34" s="60">
        <v>28</v>
      </c>
      <c r="B34" s="61" t="s">
        <v>308</v>
      </c>
      <c r="C34" s="61" t="s">
        <v>309</v>
      </c>
      <c r="D34" s="61" t="s">
        <v>310</v>
      </c>
      <c r="E34" s="62">
        <v>60600</v>
      </c>
      <c r="F34" s="63">
        <v>1634.0487000000001</v>
      </c>
      <c r="G34" s="64">
        <v>1.0412365E-2</v>
      </c>
      <c r="H34" s="51"/>
      <c r="J34" s="41"/>
      <c r="K34" s="41"/>
      <c r="L34" s="41"/>
      <c r="M34" s="41"/>
      <c r="N34" s="41"/>
    </row>
    <row r="35" spans="1:14" ht="29.1" customHeight="1" x14ac:dyDescent="0.2">
      <c r="A35" s="60">
        <v>29</v>
      </c>
      <c r="B35" s="61" t="s">
        <v>304</v>
      </c>
      <c r="C35" s="61" t="s">
        <v>305</v>
      </c>
      <c r="D35" s="61" t="s">
        <v>203</v>
      </c>
      <c r="E35" s="62">
        <v>169100</v>
      </c>
      <c r="F35" s="63">
        <v>1604.16715</v>
      </c>
      <c r="G35" s="64">
        <v>1.0221956000000001E-2</v>
      </c>
      <c r="H35" s="51"/>
    </row>
    <row r="36" spans="1:14" ht="29.1" customHeight="1" x14ac:dyDescent="0.2">
      <c r="A36" s="60">
        <v>30</v>
      </c>
      <c r="B36" s="61" t="s">
        <v>365</v>
      </c>
      <c r="C36" s="61" t="s">
        <v>366</v>
      </c>
      <c r="D36" s="61" t="s">
        <v>367</v>
      </c>
      <c r="E36" s="62">
        <v>195000</v>
      </c>
      <c r="F36" s="63">
        <v>1565.5574999999999</v>
      </c>
      <c r="G36" s="64">
        <v>9.9759299999999992E-3</v>
      </c>
      <c r="H36" s="51"/>
    </row>
    <row r="37" spans="1:14" ht="29.1" customHeight="1" x14ac:dyDescent="0.2">
      <c r="A37" s="60">
        <v>31</v>
      </c>
      <c r="B37" s="61" t="s">
        <v>58</v>
      </c>
      <c r="C37" s="61" t="s">
        <v>59</v>
      </c>
      <c r="D37" s="61" t="s">
        <v>60</v>
      </c>
      <c r="E37" s="62">
        <v>181250</v>
      </c>
      <c r="F37" s="63">
        <v>1487.4281249999999</v>
      </c>
      <c r="G37" s="64">
        <v>9.4780799999999998E-3</v>
      </c>
      <c r="H37" s="51"/>
    </row>
    <row r="38" spans="1:14" ht="17.100000000000001" customHeight="1" x14ac:dyDescent="0.2">
      <c r="A38" s="60">
        <v>32</v>
      </c>
      <c r="B38" s="61" t="s">
        <v>67</v>
      </c>
      <c r="C38" s="61" t="s">
        <v>68</v>
      </c>
      <c r="D38" s="61" t="s">
        <v>69</v>
      </c>
      <c r="E38" s="62">
        <v>14500</v>
      </c>
      <c r="F38" s="63">
        <v>1280.0817500000001</v>
      </c>
      <c r="G38" s="64">
        <v>8.1568419999999992E-3</v>
      </c>
      <c r="H38" s="51"/>
    </row>
    <row r="39" spans="1:14" ht="17.100000000000001" customHeight="1" x14ac:dyDescent="0.2">
      <c r="A39" s="60">
        <v>33</v>
      </c>
      <c r="B39" s="61" t="s">
        <v>680</v>
      </c>
      <c r="C39" s="61" t="s">
        <v>681</v>
      </c>
      <c r="D39" s="61" t="s">
        <v>284</v>
      </c>
      <c r="E39" s="62">
        <v>135000</v>
      </c>
      <c r="F39" s="63">
        <v>1229.1075000000001</v>
      </c>
      <c r="G39" s="64">
        <v>7.8320279999999996E-3</v>
      </c>
      <c r="H39" s="51"/>
    </row>
    <row r="40" spans="1:14" ht="29.1" customHeight="1" x14ac:dyDescent="0.2">
      <c r="A40" s="60">
        <v>34</v>
      </c>
      <c r="B40" s="61" t="s">
        <v>185</v>
      </c>
      <c r="C40" s="61" t="s">
        <v>186</v>
      </c>
      <c r="D40" s="61" t="s">
        <v>104</v>
      </c>
      <c r="E40" s="62">
        <v>280123</v>
      </c>
      <c r="F40" s="63">
        <v>1153.8266369999999</v>
      </c>
      <c r="G40" s="64">
        <v>7.3523290000000003E-3</v>
      </c>
      <c r="H40" s="51"/>
    </row>
    <row r="41" spans="1:14" ht="17.100000000000001" customHeight="1" x14ac:dyDescent="0.2">
      <c r="A41" s="60">
        <v>35</v>
      </c>
      <c r="B41" s="61" t="s">
        <v>321</v>
      </c>
      <c r="C41" s="61" t="s">
        <v>322</v>
      </c>
      <c r="D41" s="61" t="s">
        <v>310</v>
      </c>
      <c r="E41" s="62">
        <v>345400</v>
      </c>
      <c r="F41" s="63">
        <v>1147.4187999999999</v>
      </c>
      <c r="G41" s="64">
        <v>7.3114970000000001E-3</v>
      </c>
      <c r="H41" s="51"/>
    </row>
    <row r="42" spans="1:14" ht="17.100000000000001" customHeight="1" x14ac:dyDescent="0.2">
      <c r="A42" s="60">
        <v>36</v>
      </c>
      <c r="B42" s="61" t="s">
        <v>214</v>
      </c>
      <c r="C42" s="61" t="s">
        <v>215</v>
      </c>
      <c r="D42" s="61" t="s">
        <v>181</v>
      </c>
      <c r="E42" s="62">
        <v>59200</v>
      </c>
      <c r="F42" s="63">
        <v>1010.4848</v>
      </c>
      <c r="G42" s="64">
        <v>6.4389369999999996E-3</v>
      </c>
      <c r="H42" s="51"/>
    </row>
    <row r="43" spans="1:14" ht="17.100000000000001" customHeight="1" x14ac:dyDescent="0.2">
      <c r="A43" s="60">
        <v>37</v>
      </c>
      <c r="B43" s="61" t="s">
        <v>359</v>
      </c>
      <c r="C43" s="61" t="s">
        <v>360</v>
      </c>
      <c r="D43" s="61" t="s">
        <v>69</v>
      </c>
      <c r="E43" s="62">
        <v>247503</v>
      </c>
      <c r="F43" s="63">
        <v>1001.397138</v>
      </c>
      <c r="G43" s="64">
        <v>6.3810289999999999E-3</v>
      </c>
      <c r="H43" s="51"/>
    </row>
    <row r="44" spans="1:14" ht="29.1" customHeight="1" x14ac:dyDescent="0.2">
      <c r="A44" s="60">
        <v>38</v>
      </c>
      <c r="B44" s="61" t="s">
        <v>226</v>
      </c>
      <c r="C44" s="61" t="s">
        <v>227</v>
      </c>
      <c r="D44" s="61" t="s">
        <v>213</v>
      </c>
      <c r="E44" s="62">
        <v>100000</v>
      </c>
      <c r="F44" s="63">
        <v>994.2</v>
      </c>
      <c r="G44" s="64">
        <v>6.3351680000000004E-3</v>
      </c>
      <c r="H44" s="51"/>
    </row>
    <row r="45" spans="1:14" ht="17.100000000000001" customHeight="1" x14ac:dyDescent="0.2">
      <c r="A45" s="60">
        <v>39</v>
      </c>
      <c r="B45" s="61" t="s">
        <v>216</v>
      </c>
      <c r="C45" s="61" t="s">
        <v>217</v>
      </c>
      <c r="D45" s="61" t="s">
        <v>104</v>
      </c>
      <c r="E45" s="62">
        <v>1025000</v>
      </c>
      <c r="F45" s="63">
        <v>987.07500000000005</v>
      </c>
      <c r="G45" s="64">
        <v>6.2897659999999996E-3</v>
      </c>
      <c r="H45" s="51"/>
    </row>
    <row r="46" spans="1:14" ht="29.1" customHeight="1" x14ac:dyDescent="0.2">
      <c r="A46" s="60">
        <v>40</v>
      </c>
      <c r="B46" s="61" t="s">
        <v>327</v>
      </c>
      <c r="C46" s="61" t="s">
        <v>328</v>
      </c>
      <c r="D46" s="61" t="s">
        <v>184</v>
      </c>
      <c r="E46" s="62">
        <v>230000</v>
      </c>
      <c r="F46" s="63">
        <v>964.16</v>
      </c>
      <c r="G46" s="64">
        <v>6.1437490000000004E-3</v>
      </c>
      <c r="H46" s="51"/>
    </row>
    <row r="47" spans="1:14" ht="17.100000000000001" customHeight="1" x14ac:dyDescent="0.2">
      <c r="A47" s="60">
        <v>41</v>
      </c>
      <c r="B47" s="61" t="s">
        <v>240</v>
      </c>
      <c r="C47" s="61" t="s">
        <v>241</v>
      </c>
      <c r="D47" s="61" t="s">
        <v>97</v>
      </c>
      <c r="E47" s="62">
        <v>137000</v>
      </c>
      <c r="F47" s="63">
        <v>895.43200000000002</v>
      </c>
      <c r="G47" s="64">
        <v>5.7058059999999999E-3</v>
      </c>
      <c r="H47" s="51"/>
    </row>
    <row r="48" spans="1:14" ht="29.1" customHeight="1" x14ac:dyDescent="0.2">
      <c r="A48" s="60">
        <v>42</v>
      </c>
      <c r="B48" s="61" t="s">
        <v>236</v>
      </c>
      <c r="C48" s="61" t="s">
        <v>237</v>
      </c>
      <c r="D48" s="61" t="s">
        <v>203</v>
      </c>
      <c r="E48" s="62">
        <v>42500</v>
      </c>
      <c r="F48" s="63">
        <v>889.46124999999995</v>
      </c>
      <c r="G48" s="64">
        <v>5.6677589999999996E-3</v>
      </c>
      <c r="H48" s="51"/>
    </row>
    <row r="49" spans="1:8" ht="17.100000000000001" customHeight="1" x14ac:dyDescent="0.2">
      <c r="A49" s="60">
        <v>43</v>
      </c>
      <c r="B49" s="61" t="s">
        <v>256</v>
      </c>
      <c r="C49" s="61" t="s">
        <v>257</v>
      </c>
      <c r="D49" s="61" t="s">
        <v>104</v>
      </c>
      <c r="E49" s="62">
        <v>96692</v>
      </c>
      <c r="F49" s="63">
        <v>885.74706600000002</v>
      </c>
      <c r="G49" s="64">
        <v>5.6440919999999999E-3</v>
      </c>
      <c r="H49" s="51"/>
    </row>
    <row r="50" spans="1:8" ht="17.100000000000001" customHeight="1" x14ac:dyDescent="0.2">
      <c r="A50" s="60">
        <v>44</v>
      </c>
      <c r="B50" s="61" t="s">
        <v>209</v>
      </c>
      <c r="C50" s="61" t="s">
        <v>210</v>
      </c>
      <c r="D50" s="61" t="s">
        <v>97</v>
      </c>
      <c r="E50" s="62">
        <v>72400</v>
      </c>
      <c r="F50" s="63">
        <v>867.02620000000002</v>
      </c>
      <c r="G50" s="64">
        <v>5.5247999999999998E-3</v>
      </c>
      <c r="H50" s="51"/>
    </row>
    <row r="51" spans="1:8" ht="17.100000000000001" customHeight="1" x14ac:dyDescent="0.2">
      <c r="A51" s="60">
        <v>45</v>
      </c>
      <c r="B51" s="61" t="s">
        <v>230</v>
      </c>
      <c r="C51" s="61" t="s">
        <v>231</v>
      </c>
      <c r="D51" s="61" t="s">
        <v>232</v>
      </c>
      <c r="E51" s="62">
        <v>200000</v>
      </c>
      <c r="F51" s="63">
        <v>857.2</v>
      </c>
      <c r="G51" s="64">
        <v>5.4621870000000003E-3</v>
      </c>
      <c r="H51" s="51"/>
    </row>
    <row r="52" spans="1:8" ht="17.100000000000001" customHeight="1" x14ac:dyDescent="0.2">
      <c r="A52" s="60">
        <v>46</v>
      </c>
      <c r="B52" s="61" t="s">
        <v>336</v>
      </c>
      <c r="C52" s="61" t="s">
        <v>337</v>
      </c>
      <c r="D52" s="61" t="s">
        <v>16</v>
      </c>
      <c r="E52" s="62">
        <v>46000</v>
      </c>
      <c r="F52" s="63">
        <v>836.83199999999999</v>
      </c>
      <c r="G52" s="64">
        <v>5.3323989999999998E-3</v>
      </c>
      <c r="H52" s="51"/>
    </row>
    <row r="53" spans="1:8" ht="17.100000000000001" customHeight="1" x14ac:dyDescent="0.2">
      <c r="A53" s="60">
        <v>47</v>
      </c>
      <c r="B53" s="61" t="s">
        <v>311</v>
      </c>
      <c r="C53" s="61" t="s">
        <v>312</v>
      </c>
      <c r="D53" s="61" t="s">
        <v>69</v>
      </c>
      <c r="E53" s="62">
        <v>61700</v>
      </c>
      <c r="F53" s="63">
        <v>782.47940000000006</v>
      </c>
      <c r="G53" s="64">
        <v>4.9860570000000003E-3</v>
      </c>
      <c r="H53" s="51"/>
    </row>
    <row r="54" spans="1:8" ht="17.100000000000001" customHeight="1" x14ac:dyDescent="0.2">
      <c r="A54" s="60">
        <v>48</v>
      </c>
      <c r="B54" s="61" t="s">
        <v>340</v>
      </c>
      <c r="C54" s="61" t="s">
        <v>341</v>
      </c>
      <c r="D54" s="61" t="s">
        <v>92</v>
      </c>
      <c r="E54" s="62">
        <v>989100</v>
      </c>
      <c r="F54" s="63">
        <v>737.86860000000001</v>
      </c>
      <c r="G54" s="64">
        <v>4.7017919999999998E-3</v>
      </c>
      <c r="H54" s="51"/>
    </row>
    <row r="55" spans="1:8" ht="29.1" customHeight="1" x14ac:dyDescent="0.2">
      <c r="A55" s="60">
        <v>49</v>
      </c>
      <c r="B55" s="61" t="s">
        <v>23</v>
      </c>
      <c r="C55" s="61" t="s">
        <v>24</v>
      </c>
      <c r="D55" s="61" t="s">
        <v>25</v>
      </c>
      <c r="E55" s="62">
        <v>11500</v>
      </c>
      <c r="F55" s="63">
        <v>719.3365</v>
      </c>
      <c r="G55" s="64">
        <v>4.5837029999999997E-3</v>
      </c>
      <c r="H55" s="51"/>
    </row>
    <row r="56" spans="1:8" ht="17.100000000000001" customHeight="1" x14ac:dyDescent="0.2">
      <c r="A56" s="60">
        <v>50</v>
      </c>
      <c r="B56" s="61" t="s">
        <v>612</v>
      </c>
      <c r="C56" s="61" t="s">
        <v>613</v>
      </c>
      <c r="D56" s="61" t="s">
        <v>235</v>
      </c>
      <c r="E56" s="62">
        <v>128700</v>
      </c>
      <c r="F56" s="63">
        <v>682.68915000000004</v>
      </c>
      <c r="G56" s="64">
        <v>4.3501809999999998E-3</v>
      </c>
      <c r="H56" s="51"/>
    </row>
    <row r="57" spans="1:8" ht="17.100000000000001" customHeight="1" x14ac:dyDescent="0.2">
      <c r="A57" s="60">
        <v>51</v>
      </c>
      <c r="B57" s="61" t="s">
        <v>258</v>
      </c>
      <c r="C57" s="61" t="s">
        <v>259</v>
      </c>
      <c r="D57" s="61" t="s">
        <v>260</v>
      </c>
      <c r="E57" s="62">
        <v>63000</v>
      </c>
      <c r="F57" s="63">
        <v>660.42899999999997</v>
      </c>
      <c r="G57" s="64">
        <v>4.2083370000000004E-3</v>
      </c>
      <c r="H57" s="51"/>
    </row>
    <row r="58" spans="1:8" ht="17.100000000000001" customHeight="1" x14ac:dyDescent="0.2">
      <c r="A58" s="60">
        <v>52</v>
      </c>
      <c r="B58" s="61" t="s">
        <v>252</v>
      </c>
      <c r="C58" s="61" t="s">
        <v>253</v>
      </c>
      <c r="D58" s="61" t="s">
        <v>97</v>
      </c>
      <c r="E58" s="62">
        <v>150000</v>
      </c>
      <c r="F58" s="63">
        <v>620.77499999999998</v>
      </c>
      <c r="G58" s="64">
        <v>3.9556569999999996E-3</v>
      </c>
      <c r="H58" s="51"/>
    </row>
    <row r="59" spans="1:8" ht="29.1" customHeight="1" x14ac:dyDescent="0.2">
      <c r="A59" s="60">
        <v>53</v>
      </c>
      <c r="B59" s="61" t="s">
        <v>211</v>
      </c>
      <c r="C59" s="61" t="s">
        <v>212</v>
      </c>
      <c r="D59" s="61" t="s">
        <v>213</v>
      </c>
      <c r="E59" s="62">
        <v>18000</v>
      </c>
      <c r="F59" s="63">
        <v>539.70299999999997</v>
      </c>
      <c r="G59" s="64">
        <v>3.4390559999999998E-3</v>
      </c>
      <c r="H59" s="51"/>
    </row>
    <row r="60" spans="1:8" ht="17.100000000000001" customHeight="1" x14ac:dyDescent="0.2">
      <c r="A60" s="60">
        <v>54</v>
      </c>
      <c r="B60" s="61" t="s">
        <v>109</v>
      </c>
      <c r="C60" s="61" t="s">
        <v>110</v>
      </c>
      <c r="D60" s="61" t="s">
        <v>72</v>
      </c>
      <c r="E60" s="62">
        <v>100000</v>
      </c>
      <c r="F60" s="63">
        <v>463.75</v>
      </c>
      <c r="G60" s="64">
        <v>2.9550739999999998E-3</v>
      </c>
      <c r="H60" s="51"/>
    </row>
    <row r="61" spans="1:8" ht="17.100000000000001" customHeight="1" x14ac:dyDescent="0.2">
      <c r="A61" s="60">
        <v>55</v>
      </c>
      <c r="B61" s="61" t="s">
        <v>285</v>
      </c>
      <c r="C61" s="61" t="s">
        <v>286</v>
      </c>
      <c r="D61" s="61" t="s">
        <v>97</v>
      </c>
      <c r="E61" s="62">
        <v>25000</v>
      </c>
      <c r="F61" s="63">
        <v>437.0625</v>
      </c>
      <c r="G61" s="64">
        <v>2.7850169999999999E-3</v>
      </c>
      <c r="H61" s="51"/>
    </row>
    <row r="62" spans="1:8" ht="53.1" customHeight="1" x14ac:dyDescent="0.2">
      <c r="A62" s="60">
        <v>56</v>
      </c>
      <c r="B62" s="61" t="s">
        <v>335</v>
      </c>
      <c r="C62" s="61" t="s">
        <v>863</v>
      </c>
      <c r="D62" s="61" t="s">
        <v>45</v>
      </c>
      <c r="E62" s="62">
        <v>151829</v>
      </c>
      <c r="F62" s="63">
        <v>417.75749350000001</v>
      </c>
      <c r="G62" s="64">
        <v>2.662003E-3</v>
      </c>
      <c r="H62" s="51"/>
    </row>
    <row r="63" spans="1:8" ht="53.1" customHeight="1" x14ac:dyDescent="0.2">
      <c r="A63" s="60">
        <v>57</v>
      </c>
      <c r="B63" s="61" t="s">
        <v>43</v>
      </c>
      <c r="C63" s="61" t="s">
        <v>44</v>
      </c>
      <c r="D63" s="61" t="s">
        <v>45</v>
      </c>
      <c r="E63" s="62">
        <v>247500</v>
      </c>
      <c r="F63" s="63">
        <v>377.80874999999997</v>
      </c>
      <c r="G63" s="64">
        <v>2.4074449999999998E-3</v>
      </c>
      <c r="H63" s="51"/>
    </row>
    <row r="64" spans="1:8" ht="53.1" customHeight="1" x14ac:dyDescent="0.2">
      <c r="A64" s="60">
        <v>58</v>
      </c>
      <c r="B64" s="61" t="s">
        <v>93</v>
      </c>
      <c r="C64" s="61" t="s">
        <v>94</v>
      </c>
      <c r="D64" s="61" t="s">
        <v>45</v>
      </c>
      <c r="E64" s="62">
        <v>20670</v>
      </c>
      <c r="F64" s="63">
        <v>306.49475999999999</v>
      </c>
      <c r="G64" s="64">
        <v>1.9530229999999999E-3</v>
      </c>
      <c r="H64" s="51"/>
    </row>
    <row r="65" spans="1:8" ht="29.1" customHeight="1" x14ac:dyDescent="0.2">
      <c r="A65" s="60">
        <v>59</v>
      </c>
      <c r="B65" s="61" t="s">
        <v>316</v>
      </c>
      <c r="C65" s="61" t="s">
        <v>317</v>
      </c>
      <c r="D65" s="61" t="s">
        <v>318</v>
      </c>
      <c r="E65" s="62">
        <v>43000</v>
      </c>
      <c r="F65" s="63">
        <v>277.45749999999998</v>
      </c>
      <c r="G65" s="64">
        <v>1.7679939999999999E-3</v>
      </c>
      <c r="H65" s="51"/>
    </row>
    <row r="66" spans="1:8" ht="17.100000000000001" customHeight="1" x14ac:dyDescent="0.2">
      <c r="A66" s="60">
        <v>60</v>
      </c>
      <c r="B66" s="61" t="s">
        <v>265</v>
      </c>
      <c r="C66" s="61" t="s">
        <v>266</v>
      </c>
      <c r="D66" s="61" t="s">
        <v>208</v>
      </c>
      <c r="E66" s="62">
        <v>48014</v>
      </c>
      <c r="F66" s="63">
        <v>126.852988</v>
      </c>
      <c r="G66" s="64">
        <v>8.0832300000000001E-4</v>
      </c>
      <c r="H66" s="51"/>
    </row>
    <row r="67" spans="1:8" ht="17.100000000000001" customHeight="1" x14ac:dyDescent="0.2">
      <c r="A67" s="60">
        <v>61</v>
      </c>
      <c r="B67" s="61" t="s">
        <v>218</v>
      </c>
      <c r="C67" s="61" t="s">
        <v>219</v>
      </c>
      <c r="D67" s="61" t="s">
        <v>220</v>
      </c>
      <c r="E67" s="62">
        <v>50000</v>
      </c>
      <c r="F67" s="63">
        <v>115.47499999999999</v>
      </c>
      <c r="G67" s="64">
        <v>7.35821E-4</v>
      </c>
      <c r="H67" s="51"/>
    </row>
    <row r="68" spans="1:8" ht="17.100000000000001" customHeight="1" x14ac:dyDescent="0.2">
      <c r="A68" s="60">
        <v>62</v>
      </c>
      <c r="B68" s="61" t="s">
        <v>669</v>
      </c>
      <c r="C68" s="61" t="s">
        <v>670</v>
      </c>
      <c r="D68" s="61" t="s">
        <v>671</v>
      </c>
      <c r="E68" s="62">
        <v>34100</v>
      </c>
      <c r="F68" s="63">
        <v>92.087050000000005</v>
      </c>
      <c r="G68" s="64">
        <v>5.8679000000000001E-4</v>
      </c>
      <c r="H68" s="51"/>
    </row>
    <row r="69" spans="1:8" ht="17.100000000000001" customHeight="1" x14ac:dyDescent="0.2">
      <c r="A69" s="60">
        <v>63</v>
      </c>
      <c r="B69" s="61" t="s">
        <v>233</v>
      </c>
      <c r="C69" s="61" t="s">
        <v>234</v>
      </c>
      <c r="D69" s="61" t="s">
        <v>235</v>
      </c>
      <c r="E69" s="62">
        <v>9100</v>
      </c>
      <c r="F69" s="63">
        <v>69.396600000000007</v>
      </c>
      <c r="G69" s="64">
        <v>4.4220400000000002E-4</v>
      </c>
      <c r="H69" s="51"/>
    </row>
    <row r="70" spans="1:8" ht="17.100000000000001" customHeight="1" x14ac:dyDescent="0.2">
      <c r="A70" s="60">
        <v>64</v>
      </c>
      <c r="B70" s="61" t="s">
        <v>349</v>
      </c>
      <c r="C70" s="61" t="s">
        <v>350</v>
      </c>
      <c r="D70" s="61" t="s">
        <v>97</v>
      </c>
      <c r="E70" s="62">
        <v>875</v>
      </c>
      <c r="F70" s="63">
        <v>64.187812500000007</v>
      </c>
      <c r="G70" s="64">
        <v>4.0901300000000001E-4</v>
      </c>
      <c r="H70" s="51"/>
    </row>
    <row r="71" spans="1:8" ht="17.100000000000001" customHeight="1" x14ac:dyDescent="0.2">
      <c r="A71" s="60">
        <v>65</v>
      </c>
      <c r="B71" s="61" t="s">
        <v>1012</v>
      </c>
      <c r="C71" s="65" t="s">
        <v>125</v>
      </c>
      <c r="D71" s="61" t="s">
        <v>97</v>
      </c>
      <c r="E71" s="62">
        <v>20670</v>
      </c>
      <c r="F71" s="63">
        <v>62.371724999999998</v>
      </c>
      <c r="G71" s="64">
        <v>3.9744100000000001E-4</v>
      </c>
      <c r="H71" s="51"/>
    </row>
    <row r="72" spans="1:8" ht="17.100000000000001" customHeight="1" x14ac:dyDescent="0.2">
      <c r="A72" s="60">
        <v>66</v>
      </c>
      <c r="B72" s="61" t="s">
        <v>684</v>
      </c>
      <c r="C72" s="61" t="s">
        <v>685</v>
      </c>
      <c r="D72" s="61" t="s">
        <v>92</v>
      </c>
      <c r="E72" s="62">
        <v>11550</v>
      </c>
      <c r="F72" s="63">
        <v>41.19885</v>
      </c>
      <c r="G72" s="64">
        <v>2.6252399999999998E-4</v>
      </c>
      <c r="H72" s="51"/>
    </row>
    <row r="73" spans="1:8" ht="17.100000000000001" customHeight="1" x14ac:dyDescent="0.2">
      <c r="A73" s="60">
        <v>67</v>
      </c>
      <c r="B73" s="61" t="s">
        <v>329</v>
      </c>
      <c r="C73" s="61" t="s">
        <v>330</v>
      </c>
      <c r="D73" s="61" t="s">
        <v>36</v>
      </c>
      <c r="E73" s="62">
        <v>18</v>
      </c>
      <c r="F73" s="63">
        <v>4.2425999999999998E-2</v>
      </c>
      <c r="G73" s="69" t="s">
        <v>128</v>
      </c>
      <c r="H73" s="51"/>
    </row>
    <row r="74" spans="1:8" ht="14.1" customHeight="1" x14ac:dyDescent="0.2">
      <c r="A74" s="58"/>
      <c r="B74" s="58"/>
      <c r="C74" s="59" t="s">
        <v>129</v>
      </c>
      <c r="D74" s="58"/>
      <c r="E74" s="58" t="s">
        <v>130</v>
      </c>
      <c r="F74" s="70">
        <v>122520.78498149996</v>
      </c>
      <c r="G74" s="71">
        <v>0.78071762800000011</v>
      </c>
      <c r="H74" s="51"/>
    </row>
    <row r="75" spans="1:8" ht="14.1" customHeight="1" x14ac:dyDescent="0.2">
      <c r="A75" s="58"/>
      <c r="B75" s="58"/>
      <c r="C75" s="72"/>
      <c r="D75" s="58"/>
      <c r="E75" s="58"/>
      <c r="F75" s="73"/>
      <c r="G75" s="73"/>
      <c r="H75" s="51"/>
    </row>
    <row r="76" spans="1:8" ht="14.1" customHeight="1" x14ac:dyDescent="0.2">
      <c r="A76" s="58"/>
      <c r="B76" s="58"/>
      <c r="C76" s="59" t="s">
        <v>131</v>
      </c>
      <c r="D76" s="58"/>
      <c r="E76" s="58"/>
      <c r="F76" s="58"/>
      <c r="G76" s="58"/>
      <c r="H76" s="51"/>
    </row>
    <row r="77" spans="1:8" ht="14.1" customHeight="1" x14ac:dyDescent="0.2">
      <c r="A77" s="58"/>
      <c r="B77" s="58"/>
      <c r="C77" s="59" t="s">
        <v>129</v>
      </c>
      <c r="D77" s="58"/>
      <c r="E77" s="58" t="s">
        <v>130</v>
      </c>
      <c r="F77" s="74">
        <v>0</v>
      </c>
      <c r="G77" s="75">
        <v>0</v>
      </c>
      <c r="H77" s="51"/>
    </row>
    <row r="78" spans="1:8" ht="14.1" customHeight="1" x14ac:dyDescent="0.2">
      <c r="A78" s="58"/>
      <c r="B78" s="58"/>
      <c r="C78" s="72"/>
      <c r="D78" s="58"/>
      <c r="E78" s="58"/>
      <c r="F78" s="73"/>
      <c r="G78" s="73"/>
      <c r="H78" s="51"/>
    </row>
    <row r="79" spans="1:8" ht="14.1" customHeight="1" x14ac:dyDescent="0.2">
      <c r="A79" s="58"/>
      <c r="B79" s="58"/>
      <c r="C79" s="59" t="s">
        <v>132</v>
      </c>
      <c r="D79" s="58"/>
      <c r="E79" s="58"/>
      <c r="F79" s="58"/>
      <c r="G79" s="58"/>
      <c r="H79" s="51"/>
    </row>
    <row r="80" spans="1:8" ht="14.1" customHeight="1" x14ac:dyDescent="0.2">
      <c r="A80" s="58"/>
      <c r="B80" s="58"/>
      <c r="C80" s="59" t="s">
        <v>129</v>
      </c>
      <c r="D80" s="58"/>
      <c r="E80" s="58" t="s">
        <v>130</v>
      </c>
      <c r="F80" s="74">
        <v>0</v>
      </c>
      <c r="G80" s="75">
        <v>0</v>
      </c>
      <c r="H80" s="51"/>
    </row>
    <row r="81" spans="1:8" ht="14.1" customHeight="1" x14ac:dyDescent="0.2">
      <c r="A81" s="58"/>
      <c r="B81" s="58"/>
      <c r="C81" s="72"/>
      <c r="D81" s="58"/>
      <c r="E81" s="58"/>
      <c r="F81" s="73"/>
      <c r="G81" s="73"/>
      <c r="H81" s="51"/>
    </row>
    <row r="82" spans="1:8" ht="14.1" customHeight="1" x14ac:dyDescent="0.2">
      <c r="A82" s="58"/>
      <c r="B82" s="58"/>
      <c r="C82" s="59" t="s">
        <v>133</v>
      </c>
      <c r="D82" s="58"/>
      <c r="E82" s="58"/>
      <c r="F82" s="58"/>
      <c r="G82" s="58"/>
      <c r="H82" s="51"/>
    </row>
    <row r="83" spans="1:8" ht="14.1" customHeight="1" x14ac:dyDescent="0.2">
      <c r="A83" s="58"/>
      <c r="B83" s="58"/>
      <c r="C83" s="59" t="s">
        <v>129</v>
      </c>
      <c r="D83" s="58"/>
      <c r="E83" s="58" t="s">
        <v>130</v>
      </c>
      <c r="F83" s="74">
        <v>0</v>
      </c>
      <c r="G83" s="75">
        <v>0</v>
      </c>
      <c r="H83" s="51"/>
    </row>
    <row r="84" spans="1:8" ht="14.1" customHeight="1" x14ac:dyDescent="0.2">
      <c r="A84" s="58"/>
      <c r="B84" s="58"/>
      <c r="C84" s="72"/>
      <c r="D84" s="58"/>
      <c r="E84" s="58"/>
      <c r="F84" s="73"/>
      <c r="G84" s="73"/>
      <c r="H84" s="51"/>
    </row>
    <row r="85" spans="1:8" ht="14.1" customHeight="1" x14ac:dyDescent="0.2">
      <c r="A85" s="58"/>
      <c r="B85" s="58"/>
      <c r="C85" s="59" t="s">
        <v>134</v>
      </c>
      <c r="D85" s="58"/>
      <c r="E85" s="58"/>
      <c r="F85" s="73"/>
      <c r="G85" s="73"/>
      <c r="H85" s="51"/>
    </row>
    <row r="86" spans="1:8" ht="14.1" customHeight="1" x14ac:dyDescent="0.2">
      <c r="A86" s="58"/>
      <c r="B86" s="58"/>
      <c r="C86" s="59" t="s">
        <v>129</v>
      </c>
      <c r="D86" s="58"/>
      <c r="E86" s="58" t="s">
        <v>130</v>
      </c>
      <c r="F86" s="74">
        <v>0</v>
      </c>
      <c r="G86" s="75">
        <v>0</v>
      </c>
      <c r="H86" s="51"/>
    </row>
    <row r="87" spans="1:8" ht="14.1" customHeight="1" x14ac:dyDescent="0.2">
      <c r="A87" s="58"/>
      <c r="B87" s="58"/>
      <c r="C87" s="72"/>
      <c r="D87" s="58"/>
      <c r="E87" s="58"/>
      <c r="F87" s="73"/>
      <c r="G87" s="73"/>
      <c r="H87" s="51"/>
    </row>
    <row r="88" spans="1:8" ht="14.1" customHeight="1" x14ac:dyDescent="0.2">
      <c r="A88" s="58"/>
      <c r="B88" s="58"/>
      <c r="C88" s="59" t="s">
        <v>135</v>
      </c>
      <c r="D88" s="58"/>
      <c r="E88" s="58"/>
      <c r="F88" s="73"/>
      <c r="G88" s="73"/>
      <c r="H88" s="51"/>
    </row>
    <row r="89" spans="1:8" ht="17.100000000000001" customHeight="1" x14ac:dyDescent="0.2">
      <c r="A89" s="60">
        <v>1</v>
      </c>
      <c r="B89" s="61"/>
      <c r="C89" s="61" t="s">
        <v>945</v>
      </c>
      <c r="D89" s="61" t="s">
        <v>569</v>
      </c>
      <c r="E89" s="62">
        <v>-11550</v>
      </c>
      <c r="F89" s="63">
        <v>-41.452950000000001</v>
      </c>
      <c r="G89" s="64">
        <v>-2.6414299999999999E-4</v>
      </c>
      <c r="H89" s="51"/>
    </row>
    <row r="90" spans="1:8" ht="17.100000000000001" customHeight="1" x14ac:dyDescent="0.2">
      <c r="A90" s="60">
        <v>2</v>
      </c>
      <c r="B90" s="61"/>
      <c r="C90" s="61" t="s">
        <v>940</v>
      </c>
      <c r="D90" s="61" t="s">
        <v>569</v>
      </c>
      <c r="E90" s="62">
        <v>-875</v>
      </c>
      <c r="F90" s="63">
        <v>-64.448125000000005</v>
      </c>
      <c r="G90" s="64">
        <v>-4.10672E-4</v>
      </c>
      <c r="H90" s="51"/>
    </row>
    <row r="91" spans="1:8" ht="25.5" x14ac:dyDescent="0.2">
      <c r="A91" s="60">
        <v>3</v>
      </c>
      <c r="B91" s="61"/>
      <c r="C91" s="61" t="s">
        <v>946</v>
      </c>
      <c r="D91" s="61" t="s">
        <v>569</v>
      </c>
      <c r="E91" s="62">
        <v>-9100</v>
      </c>
      <c r="F91" s="63">
        <v>-69.724199999999996</v>
      </c>
      <c r="G91" s="64">
        <v>-4.4429099999999998E-4</v>
      </c>
      <c r="H91" s="51"/>
    </row>
    <row r="92" spans="1:8" ht="17.100000000000001" customHeight="1" x14ac:dyDescent="0.2">
      <c r="A92" s="60">
        <v>4</v>
      </c>
      <c r="B92" s="61"/>
      <c r="C92" s="61" t="s">
        <v>947</v>
      </c>
      <c r="D92" s="61" t="s">
        <v>569</v>
      </c>
      <c r="E92" s="62">
        <v>-34100</v>
      </c>
      <c r="F92" s="63">
        <v>-92.598550000000003</v>
      </c>
      <c r="G92" s="64">
        <v>-5.9004999999999995E-4</v>
      </c>
      <c r="H92" s="51"/>
    </row>
    <row r="93" spans="1:8" ht="17.100000000000001" customHeight="1" x14ac:dyDescent="0.2">
      <c r="A93" s="60">
        <v>5</v>
      </c>
      <c r="B93" s="61"/>
      <c r="C93" s="61" t="s">
        <v>948</v>
      </c>
      <c r="D93" s="61" t="s">
        <v>569</v>
      </c>
      <c r="E93" s="62">
        <v>-6900</v>
      </c>
      <c r="F93" s="63">
        <v>-128.06055000000001</v>
      </c>
      <c r="G93" s="64">
        <v>-8.1601799999999995E-4</v>
      </c>
      <c r="H93" s="51"/>
    </row>
    <row r="94" spans="1:8" ht="25.5" x14ac:dyDescent="0.2">
      <c r="A94" s="60">
        <v>6</v>
      </c>
      <c r="B94" s="61"/>
      <c r="C94" s="61" t="s">
        <v>949</v>
      </c>
      <c r="D94" s="61" t="s">
        <v>569</v>
      </c>
      <c r="E94" s="62">
        <v>-21000</v>
      </c>
      <c r="F94" s="63">
        <v>-199.73099999999999</v>
      </c>
      <c r="G94" s="64">
        <v>-1.2727109999999999E-3</v>
      </c>
      <c r="H94" s="51"/>
    </row>
    <row r="95" spans="1:8" ht="17.100000000000001" customHeight="1" x14ac:dyDescent="0.2">
      <c r="A95" s="60">
        <v>7</v>
      </c>
      <c r="B95" s="61"/>
      <c r="C95" s="61" t="s">
        <v>923</v>
      </c>
      <c r="D95" s="61" t="s">
        <v>569</v>
      </c>
      <c r="E95" s="62">
        <v>-57000</v>
      </c>
      <c r="F95" s="63">
        <v>-230.0805</v>
      </c>
      <c r="G95" s="64">
        <v>-1.4661019999999999E-3</v>
      </c>
      <c r="H95" s="51"/>
    </row>
    <row r="96" spans="1:8" ht="17.100000000000001" customHeight="1" x14ac:dyDescent="0.2">
      <c r="A96" s="60">
        <v>8</v>
      </c>
      <c r="B96" s="61"/>
      <c r="C96" s="61" t="s">
        <v>934</v>
      </c>
      <c r="D96" s="61" t="s">
        <v>569</v>
      </c>
      <c r="E96" s="62">
        <v>-34800</v>
      </c>
      <c r="F96" s="63">
        <v>-255.9366</v>
      </c>
      <c r="G96" s="64">
        <v>-1.63086E-3</v>
      </c>
      <c r="H96" s="51"/>
    </row>
    <row r="97" spans="1:8" ht="17.100000000000001" customHeight="1" x14ac:dyDescent="0.2">
      <c r="A97" s="60">
        <v>9</v>
      </c>
      <c r="B97" s="61"/>
      <c r="C97" s="61" t="s">
        <v>941</v>
      </c>
      <c r="D97" s="61" t="s">
        <v>569</v>
      </c>
      <c r="E97" s="62">
        <v>-17100</v>
      </c>
      <c r="F97" s="63">
        <v>-461.16989999999998</v>
      </c>
      <c r="G97" s="64">
        <v>-2.938633E-3</v>
      </c>
      <c r="H97" s="51"/>
    </row>
    <row r="98" spans="1:8" ht="25.5" x14ac:dyDescent="0.2">
      <c r="A98" s="60">
        <v>10</v>
      </c>
      <c r="B98" s="61"/>
      <c r="C98" s="61" t="s">
        <v>926</v>
      </c>
      <c r="D98" s="61" t="s">
        <v>569</v>
      </c>
      <c r="E98" s="62">
        <v>-128700</v>
      </c>
      <c r="F98" s="63">
        <v>-684.68399999999997</v>
      </c>
      <c r="G98" s="64">
        <v>-4.3628929999999996E-3</v>
      </c>
      <c r="H98" s="51"/>
    </row>
    <row r="99" spans="1:8" ht="17.100000000000001" customHeight="1" x14ac:dyDescent="0.2">
      <c r="A99" s="60">
        <v>11</v>
      </c>
      <c r="B99" s="61"/>
      <c r="C99" s="61" t="s">
        <v>938</v>
      </c>
      <c r="D99" s="61" t="s">
        <v>569</v>
      </c>
      <c r="E99" s="62">
        <v>-110000</v>
      </c>
      <c r="F99" s="63">
        <v>-931.92</v>
      </c>
      <c r="G99" s="64">
        <v>-5.9383120000000003E-3</v>
      </c>
      <c r="H99" s="51"/>
    </row>
    <row r="100" spans="1:8" ht="17.100000000000001" customHeight="1" x14ac:dyDescent="0.2">
      <c r="A100" s="60">
        <v>12</v>
      </c>
      <c r="B100" s="61"/>
      <c r="C100" s="61" t="s">
        <v>943</v>
      </c>
      <c r="D100" s="61" t="s">
        <v>569</v>
      </c>
      <c r="E100" s="62">
        <v>-137500</v>
      </c>
      <c r="F100" s="63">
        <v>-1191.4375</v>
      </c>
      <c r="G100" s="64">
        <v>-7.5919899999999998E-3</v>
      </c>
      <c r="H100" s="51"/>
    </row>
    <row r="101" spans="1:8" ht="17.100000000000001" customHeight="1" x14ac:dyDescent="0.2">
      <c r="A101" s="60">
        <v>13</v>
      </c>
      <c r="B101" s="61"/>
      <c r="C101" s="61" t="s">
        <v>950</v>
      </c>
      <c r="D101" s="61" t="s">
        <v>569</v>
      </c>
      <c r="E101" s="62">
        <v>-150000</v>
      </c>
      <c r="F101" s="63">
        <v>-1238.4749999999999</v>
      </c>
      <c r="G101" s="64">
        <v>-7.8917190000000002E-3</v>
      </c>
      <c r="H101" s="51"/>
    </row>
    <row r="102" spans="1:8" ht="25.5" x14ac:dyDescent="0.2">
      <c r="A102" s="60">
        <v>14</v>
      </c>
      <c r="B102" s="61"/>
      <c r="C102" s="61" t="s">
        <v>936</v>
      </c>
      <c r="D102" s="61" t="s">
        <v>569</v>
      </c>
      <c r="E102" s="62">
        <v>-65100</v>
      </c>
      <c r="F102" s="63">
        <v>-1497.0396000000001</v>
      </c>
      <c r="G102" s="64">
        <v>-9.5393249999999995E-3</v>
      </c>
      <c r="H102" s="51"/>
    </row>
    <row r="103" spans="1:8" ht="25.5" x14ac:dyDescent="0.2">
      <c r="A103" s="60">
        <v>15</v>
      </c>
      <c r="B103" s="61"/>
      <c r="C103" s="61" t="s">
        <v>951</v>
      </c>
      <c r="D103" s="61" t="s">
        <v>569</v>
      </c>
      <c r="E103" s="62">
        <v>-393450</v>
      </c>
      <c r="F103" s="63">
        <v>-1543.5043499999999</v>
      </c>
      <c r="G103" s="64">
        <v>-9.8354050000000002E-3</v>
      </c>
      <c r="H103" s="51"/>
    </row>
    <row r="104" spans="1:8" ht="17.100000000000001" customHeight="1" x14ac:dyDescent="0.2">
      <c r="A104" s="60">
        <v>16</v>
      </c>
      <c r="B104" s="61"/>
      <c r="C104" s="61" t="s">
        <v>942</v>
      </c>
      <c r="D104" s="61" t="s">
        <v>569</v>
      </c>
      <c r="E104" s="62">
        <v>-183600</v>
      </c>
      <c r="F104" s="63">
        <v>-1857.114</v>
      </c>
      <c r="G104" s="64">
        <v>-1.1833765E-2</v>
      </c>
      <c r="H104" s="51"/>
    </row>
    <row r="105" spans="1:8" ht="17.100000000000001" customHeight="1" x14ac:dyDescent="0.2">
      <c r="A105" s="60">
        <v>17</v>
      </c>
      <c r="B105" s="61"/>
      <c r="C105" s="61" t="s">
        <v>939</v>
      </c>
      <c r="D105" s="61" t="s">
        <v>569</v>
      </c>
      <c r="E105" s="62">
        <v>-145500</v>
      </c>
      <c r="F105" s="63">
        <v>-2039.037</v>
      </c>
      <c r="G105" s="64">
        <v>-1.2993001000000001E-2</v>
      </c>
      <c r="H105" s="51"/>
    </row>
    <row r="106" spans="1:8" ht="17.100000000000001" customHeight="1" x14ac:dyDescent="0.2">
      <c r="A106" s="60">
        <v>18</v>
      </c>
      <c r="B106" s="61"/>
      <c r="C106" s="61" t="s">
        <v>944</v>
      </c>
      <c r="D106" s="61" t="s">
        <v>569</v>
      </c>
      <c r="E106" s="62">
        <v>-237600</v>
      </c>
      <c r="F106" s="63">
        <v>-3387.7008000000001</v>
      </c>
      <c r="G106" s="64">
        <v>-2.1586857000000001E-2</v>
      </c>
      <c r="H106" s="51"/>
    </row>
    <row r="107" spans="1:8" ht="17.100000000000001" customHeight="1" x14ac:dyDescent="0.2">
      <c r="A107" s="60">
        <v>19</v>
      </c>
      <c r="B107" s="61"/>
      <c r="C107" s="61" t="s">
        <v>952</v>
      </c>
      <c r="D107" s="61" t="s">
        <v>860</v>
      </c>
      <c r="E107" s="62">
        <v>-31500</v>
      </c>
      <c r="F107" s="63">
        <v>-5387.5079999999998</v>
      </c>
      <c r="G107" s="64">
        <v>-3.4329881E-2</v>
      </c>
      <c r="H107" s="51"/>
    </row>
    <row r="108" spans="1:8" ht="14.1" customHeight="1" x14ac:dyDescent="0.2">
      <c r="A108" s="58"/>
      <c r="B108" s="58"/>
      <c r="C108" s="59" t="s">
        <v>129</v>
      </c>
      <c r="D108" s="58"/>
      <c r="E108" s="58" t="s">
        <v>130</v>
      </c>
      <c r="F108" s="70">
        <v>-21301.622625</v>
      </c>
      <c r="G108" s="71">
        <v>-0.135736628</v>
      </c>
      <c r="H108" s="51"/>
    </row>
    <row r="109" spans="1:8" ht="14.1" customHeight="1" x14ac:dyDescent="0.2">
      <c r="A109" s="58"/>
      <c r="B109" s="58"/>
      <c r="C109" s="72"/>
      <c r="D109" s="58"/>
      <c r="E109" s="58"/>
      <c r="F109" s="73"/>
      <c r="G109" s="73"/>
      <c r="H109" s="51"/>
    </row>
    <row r="110" spans="1:8" ht="18" customHeight="1" x14ac:dyDescent="0.2">
      <c r="A110" s="58"/>
      <c r="B110" s="58"/>
      <c r="C110" s="59" t="s">
        <v>136</v>
      </c>
      <c r="D110" s="58"/>
      <c r="E110" s="58"/>
      <c r="F110" s="70">
        <v>122520.78498149996</v>
      </c>
      <c r="G110" s="71">
        <v>0.78071762800000011</v>
      </c>
      <c r="H110" s="51"/>
    </row>
    <row r="111" spans="1:8" ht="14.1" customHeight="1" x14ac:dyDescent="0.2">
      <c r="A111" s="58"/>
      <c r="B111" s="58"/>
      <c r="C111" s="72"/>
      <c r="D111" s="58"/>
      <c r="E111" s="58"/>
      <c r="F111" s="73"/>
      <c r="G111" s="73"/>
      <c r="H111" s="51"/>
    </row>
    <row r="112" spans="1:8" ht="14.1" customHeight="1" x14ac:dyDescent="0.2">
      <c r="A112" s="58"/>
      <c r="B112" s="58"/>
      <c r="C112" s="59" t="s">
        <v>137</v>
      </c>
      <c r="D112" s="58"/>
      <c r="E112" s="58"/>
      <c r="F112" s="73"/>
      <c r="G112" s="73"/>
      <c r="H112" s="51"/>
    </row>
    <row r="113" spans="1:8" ht="24" customHeight="1" x14ac:dyDescent="0.2">
      <c r="A113" s="58"/>
      <c r="B113" s="58"/>
      <c r="C113" s="59" t="s">
        <v>10</v>
      </c>
      <c r="D113" s="58"/>
      <c r="E113" s="58"/>
      <c r="F113" s="73"/>
      <c r="G113" s="73"/>
      <c r="H113" s="51"/>
    </row>
    <row r="114" spans="1:8" ht="29.1" customHeight="1" x14ac:dyDescent="0.2">
      <c r="A114" s="60">
        <v>1</v>
      </c>
      <c r="B114" s="61" t="s">
        <v>859</v>
      </c>
      <c r="C114" s="61" t="s">
        <v>858</v>
      </c>
      <c r="D114" s="61" t="s">
        <v>601</v>
      </c>
      <c r="E114" s="62">
        <v>250</v>
      </c>
      <c r="F114" s="63">
        <v>2441.5025000000001</v>
      </c>
      <c r="G114" s="64">
        <v>1.5557562E-2</v>
      </c>
      <c r="H114" s="51">
        <v>7.15</v>
      </c>
    </row>
    <row r="115" spans="1:8" ht="29.1" customHeight="1" x14ac:dyDescent="0.2">
      <c r="A115" s="60">
        <v>2</v>
      </c>
      <c r="B115" s="61" t="s">
        <v>625</v>
      </c>
      <c r="C115" s="61" t="s">
        <v>626</v>
      </c>
      <c r="D115" s="61" t="s">
        <v>627</v>
      </c>
      <c r="E115" s="62">
        <v>150</v>
      </c>
      <c r="F115" s="63">
        <v>1490.8620000000001</v>
      </c>
      <c r="G115" s="64">
        <v>9.4999609999999995E-3</v>
      </c>
      <c r="H115" s="51">
        <v>7.1</v>
      </c>
    </row>
    <row r="116" spans="1:8" ht="29.1" customHeight="1" x14ac:dyDescent="0.2">
      <c r="A116" s="60">
        <v>3</v>
      </c>
      <c r="B116" s="61" t="s">
        <v>857</v>
      </c>
      <c r="C116" s="61" t="s">
        <v>856</v>
      </c>
      <c r="D116" s="61" t="s">
        <v>601</v>
      </c>
      <c r="E116" s="62">
        <v>100</v>
      </c>
      <c r="F116" s="63">
        <v>1000.872</v>
      </c>
      <c r="G116" s="64">
        <v>6.3776830000000003E-3</v>
      </c>
      <c r="H116" s="51">
        <v>6.5549999999999997</v>
      </c>
    </row>
    <row r="117" spans="1:8" ht="29.1" customHeight="1" x14ac:dyDescent="0.2">
      <c r="A117" s="60">
        <v>4</v>
      </c>
      <c r="B117" s="61" t="s">
        <v>855</v>
      </c>
      <c r="C117" s="61" t="s">
        <v>854</v>
      </c>
      <c r="D117" s="61" t="s">
        <v>601</v>
      </c>
      <c r="E117" s="62">
        <v>100</v>
      </c>
      <c r="F117" s="63">
        <v>999.04</v>
      </c>
      <c r="G117" s="64">
        <v>6.3660089999999997E-3</v>
      </c>
      <c r="H117" s="51">
        <v>6.95</v>
      </c>
    </row>
    <row r="118" spans="1:8" ht="17.100000000000001" customHeight="1" x14ac:dyDescent="0.2">
      <c r="A118" s="60">
        <v>5</v>
      </c>
      <c r="B118" s="61" t="s">
        <v>853</v>
      </c>
      <c r="C118" s="61" t="s">
        <v>852</v>
      </c>
      <c r="D118" s="61" t="s">
        <v>601</v>
      </c>
      <c r="E118" s="62">
        <v>100</v>
      </c>
      <c r="F118" s="63">
        <v>998.20600000000002</v>
      </c>
      <c r="G118" s="64">
        <v>6.3606950000000004E-3</v>
      </c>
      <c r="H118" s="51">
        <v>7.0449999999999999</v>
      </c>
    </row>
    <row r="119" spans="1:8" ht="29.1" customHeight="1" x14ac:dyDescent="0.2">
      <c r="A119" s="60">
        <v>6</v>
      </c>
      <c r="B119" s="61" t="s">
        <v>851</v>
      </c>
      <c r="C119" s="61" t="s">
        <v>850</v>
      </c>
      <c r="D119" s="61" t="s">
        <v>627</v>
      </c>
      <c r="E119" s="62">
        <v>100</v>
      </c>
      <c r="F119" s="63">
        <v>997.43</v>
      </c>
      <c r="G119" s="64">
        <v>6.3557500000000003E-3</v>
      </c>
      <c r="H119" s="51">
        <v>7</v>
      </c>
    </row>
    <row r="120" spans="1:8" ht="17.100000000000001" customHeight="1" x14ac:dyDescent="0.2">
      <c r="A120" s="60">
        <v>7</v>
      </c>
      <c r="B120" s="61" t="s">
        <v>849</v>
      </c>
      <c r="C120" s="61" t="s">
        <v>848</v>
      </c>
      <c r="D120" s="61" t="s">
        <v>601</v>
      </c>
      <c r="E120" s="62">
        <v>100</v>
      </c>
      <c r="F120" s="63">
        <v>986.17</v>
      </c>
      <c r="G120" s="64">
        <v>6.2839999999999997E-3</v>
      </c>
      <c r="H120" s="51">
        <v>7.1749999999999998</v>
      </c>
    </row>
    <row r="121" spans="1:8" ht="29.1" customHeight="1" x14ac:dyDescent="0.2">
      <c r="A121" s="60">
        <v>8</v>
      </c>
      <c r="B121" s="61" t="s">
        <v>614</v>
      </c>
      <c r="C121" s="61" t="s">
        <v>615</v>
      </c>
      <c r="D121" s="61" t="s">
        <v>616</v>
      </c>
      <c r="E121" s="62">
        <v>100</v>
      </c>
      <c r="F121" s="63">
        <v>984.26800000000003</v>
      </c>
      <c r="G121" s="64">
        <v>6.2718799999999996E-3</v>
      </c>
      <c r="H121" s="51">
        <v>7.2750000000000004</v>
      </c>
    </row>
    <row r="122" spans="1:8" ht="29.1" customHeight="1" x14ac:dyDescent="0.2">
      <c r="A122" s="60">
        <v>9</v>
      </c>
      <c r="B122" s="61" t="s">
        <v>847</v>
      </c>
      <c r="C122" s="61" t="s">
        <v>846</v>
      </c>
      <c r="D122" s="61" t="s">
        <v>601</v>
      </c>
      <c r="E122" s="62">
        <v>50</v>
      </c>
      <c r="F122" s="63">
        <v>500.08949999999999</v>
      </c>
      <c r="G122" s="64">
        <v>3.1866329999999999E-3</v>
      </c>
      <c r="H122" s="51">
        <v>7</v>
      </c>
    </row>
    <row r="123" spans="1:8" ht="29.1" customHeight="1" x14ac:dyDescent="0.2">
      <c r="A123" s="60">
        <v>10</v>
      </c>
      <c r="B123" s="61" t="s">
        <v>845</v>
      </c>
      <c r="C123" s="61" t="s">
        <v>844</v>
      </c>
      <c r="D123" s="61" t="s">
        <v>601</v>
      </c>
      <c r="E123" s="62">
        <v>50</v>
      </c>
      <c r="F123" s="63">
        <v>499.5</v>
      </c>
      <c r="G123" s="64">
        <v>3.1828770000000002E-3</v>
      </c>
      <c r="H123" s="51">
        <v>6.875</v>
      </c>
    </row>
    <row r="124" spans="1:8" ht="29.1" customHeight="1" x14ac:dyDescent="0.2">
      <c r="A124" s="60">
        <v>11</v>
      </c>
      <c r="B124" s="61" t="s">
        <v>805</v>
      </c>
      <c r="C124" s="61" t="s">
        <v>804</v>
      </c>
      <c r="D124" s="61" t="s">
        <v>601</v>
      </c>
      <c r="E124" s="62">
        <v>30</v>
      </c>
      <c r="F124" s="63">
        <v>289.64729999999997</v>
      </c>
      <c r="G124" s="64">
        <v>1.8456690000000001E-3</v>
      </c>
      <c r="H124" s="51">
        <v>7.36</v>
      </c>
    </row>
    <row r="125" spans="1:8" ht="29.1" customHeight="1" x14ac:dyDescent="0.2">
      <c r="A125" s="60">
        <v>12</v>
      </c>
      <c r="B125" s="61" t="s">
        <v>619</v>
      </c>
      <c r="C125" s="61" t="s">
        <v>620</v>
      </c>
      <c r="D125" s="61" t="s">
        <v>601</v>
      </c>
      <c r="E125" s="62">
        <v>10</v>
      </c>
      <c r="F125" s="63">
        <v>101.3669</v>
      </c>
      <c r="G125" s="64">
        <v>6.4592299999999996E-4</v>
      </c>
      <c r="H125" s="51">
        <v>7.2350000000000003</v>
      </c>
    </row>
    <row r="126" spans="1:8" ht="17.100000000000001" customHeight="1" x14ac:dyDescent="0.2">
      <c r="A126" s="60">
        <v>13</v>
      </c>
      <c r="B126" s="61" t="s">
        <v>621</v>
      </c>
      <c r="C126" s="61" t="s">
        <v>622</v>
      </c>
      <c r="D126" s="61" t="s">
        <v>601</v>
      </c>
      <c r="E126" s="62">
        <v>10</v>
      </c>
      <c r="F126" s="63">
        <v>100.7761</v>
      </c>
      <c r="G126" s="64">
        <v>6.4215799999999999E-4</v>
      </c>
      <c r="H126" s="51">
        <v>6.915</v>
      </c>
    </row>
    <row r="127" spans="1:8" ht="29.1" customHeight="1" x14ac:dyDescent="0.2">
      <c r="A127" s="60">
        <v>14</v>
      </c>
      <c r="B127" s="61" t="s">
        <v>843</v>
      </c>
      <c r="C127" s="61" t="s">
        <v>842</v>
      </c>
      <c r="D127" s="61" t="s">
        <v>601</v>
      </c>
      <c r="E127" s="62">
        <v>10</v>
      </c>
      <c r="F127" s="63">
        <v>99.804500000000004</v>
      </c>
      <c r="G127" s="64">
        <v>6.3596699999999998E-4</v>
      </c>
      <c r="H127" s="51">
        <v>6.25</v>
      </c>
    </row>
    <row r="128" spans="1:8" ht="14.1" customHeight="1" x14ac:dyDescent="0.2">
      <c r="A128" s="58"/>
      <c r="B128" s="58"/>
      <c r="C128" s="59" t="s">
        <v>129</v>
      </c>
      <c r="D128" s="58"/>
      <c r="E128" s="58" t="s">
        <v>130</v>
      </c>
      <c r="F128" s="70">
        <v>11489.534799999999</v>
      </c>
      <c r="G128" s="71">
        <v>7.3212766999999998E-2</v>
      </c>
      <c r="H128" s="51"/>
    </row>
    <row r="129" spans="1:8" ht="14.1" customHeight="1" x14ac:dyDescent="0.2">
      <c r="A129" s="58"/>
      <c r="B129" s="58"/>
      <c r="C129" s="72"/>
      <c r="D129" s="58"/>
      <c r="E129" s="58"/>
      <c r="F129" s="73"/>
      <c r="G129" s="73"/>
      <c r="H129" s="51"/>
    </row>
    <row r="130" spans="1:8" ht="14.1" customHeight="1" x14ac:dyDescent="0.2">
      <c r="A130" s="58"/>
      <c r="B130" s="58"/>
      <c r="C130" s="59" t="s">
        <v>138</v>
      </c>
      <c r="D130" s="58"/>
      <c r="E130" s="58"/>
      <c r="F130" s="58"/>
      <c r="G130" s="58"/>
      <c r="H130" s="51"/>
    </row>
    <row r="131" spans="1:8" ht="14.1" customHeight="1" x14ac:dyDescent="0.2">
      <c r="A131" s="58"/>
      <c r="B131" s="58"/>
      <c r="C131" s="59" t="s">
        <v>129</v>
      </c>
      <c r="D131" s="58"/>
      <c r="E131" s="58" t="s">
        <v>130</v>
      </c>
      <c r="F131" s="74">
        <v>0</v>
      </c>
      <c r="G131" s="75">
        <v>0</v>
      </c>
      <c r="H131" s="51"/>
    </row>
    <row r="132" spans="1:8" ht="14.1" customHeight="1" x14ac:dyDescent="0.2">
      <c r="A132" s="58"/>
      <c r="B132" s="58"/>
      <c r="C132" s="72"/>
      <c r="D132" s="58"/>
      <c r="E132" s="58"/>
      <c r="F132" s="73"/>
      <c r="G132" s="73"/>
      <c r="H132" s="51"/>
    </row>
    <row r="133" spans="1:8" ht="14.1" customHeight="1" x14ac:dyDescent="0.2">
      <c r="A133" s="58"/>
      <c r="B133" s="58"/>
      <c r="C133" s="59" t="s">
        <v>139</v>
      </c>
      <c r="D133" s="58"/>
      <c r="E133" s="58"/>
      <c r="F133" s="58"/>
      <c r="G133" s="58"/>
      <c r="H133" s="51"/>
    </row>
    <row r="134" spans="1:8" ht="29.1" customHeight="1" x14ac:dyDescent="0.2">
      <c r="A134" s="60">
        <v>1</v>
      </c>
      <c r="B134" s="61" t="s">
        <v>801</v>
      </c>
      <c r="C134" s="61" t="s">
        <v>800</v>
      </c>
      <c r="D134" s="61" t="s">
        <v>571</v>
      </c>
      <c r="E134" s="62">
        <v>2000000</v>
      </c>
      <c r="F134" s="63">
        <v>1986.79</v>
      </c>
      <c r="G134" s="64">
        <v>1.2660077E-2</v>
      </c>
      <c r="H134" s="51">
        <v>7.0914000000000001</v>
      </c>
    </row>
    <row r="135" spans="1:8" ht="29.1" customHeight="1" x14ac:dyDescent="0.2">
      <c r="A135" s="60">
        <v>2</v>
      </c>
      <c r="B135" s="61" t="s">
        <v>628</v>
      </c>
      <c r="C135" s="61" t="s">
        <v>629</v>
      </c>
      <c r="D135" s="61" t="s">
        <v>571</v>
      </c>
      <c r="E135" s="62">
        <v>1500000</v>
      </c>
      <c r="F135" s="63">
        <v>1429.0785000000001</v>
      </c>
      <c r="G135" s="64">
        <v>9.1062690000000002E-3</v>
      </c>
      <c r="H135" s="51">
        <v>7.1689999999999996</v>
      </c>
    </row>
    <row r="136" spans="1:8" ht="29.1" customHeight="1" x14ac:dyDescent="0.2">
      <c r="A136" s="60">
        <v>3</v>
      </c>
      <c r="B136" s="61" t="s">
        <v>799</v>
      </c>
      <c r="C136" s="61" t="s">
        <v>798</v>
      </c>
      <c r="D136" s="61" t="s">
        <v>571</v>
      </c>
      <c r="E136" s="62">
        <v>1000000</v>
      </c>
      <c r="F136" s="63">
        <v>946.09100000000001</v>
      </c>
      <c r="G136" s="64">
        <v>6.0286109999999997E-3</v>
      </c>
      <c r="H136" s="51">
        <v>7.2744</v>
      </c>
    </row>
    <row r="137" spans="1:8" ht="41.25" customHeight="1" x14ac:dyDescent="0.2">
      <c r="A137" s="60">
        <v>4</v>
      </c>
      <c r="B137" s="61" t="s">
        <v>795</v>
      </c>
      <c r="C137" s="65" t="s">
        <v>864</v>
      </c>
      <c r="D137" s="61" t="s">
        <v>571</v>
      </c>
      <c r="E137" s="62">
        <v>500000</v>
      </c>
      <c r="F137" s="63">
        <v>493.96499999999997</v>
      </c>
      <c r="G137" s="64">
        <v>3.1476070000000002E-3</v>
      </c>
      <c r="H137" s="51">
        <v>4.8704948999999997</v>
      </c>
    </row>
    <row r="138" spans="1:8" ht="29.1" customHeight="1" x14ac:dyDescent="0.2">
      <c r="A138" s="60">
        <v>5</v>
      </c>
      <c r="B138" s="61" t="s">
        <v>841</v>
      </c>
      <c r="C138" s="61" t="s">
        <v>840</v>
      </c>
      <c r="D138" s="61" t="s">
        <v>571</v>
      </c>
      <c r="E138" s="62">
        <v>500000</v>
      </c>
      <c r="F138" s="63">
        <v>492.83350000000002</v>
      </c>
      <c r="G138" s="64">
        <v>3.1403970000000001E-3</v>
      </c>
      <c r="H138" s="51">
        <v>6.6176000000000004</v>
      </c>
    </row>
    <row r="139" spans="1:8" ht="29.1" customHeight="1" x14ac:dyDescent="0.2">
      <c r="A139" s="60">
        <v>6</v>
      </c>
      <c r="B139" s="61" t="s">
        <v>788</v>
      </c>
      <c r="C139" s="61" t="s">
        <v>787</v>
      </c>
      <c r="D139" s="61" t="s">
        <v>571</v>
      </c>
      <c r="E139" s="62">
        <v>200000</v>
      </c>
      <c r="F139" s="63">
        <v>200.28280000000001</v>
      </c>
      <c r="G139" s="64">
        <v>1.276227E-3</v>
      </c>
      <c r="H139" s="51">
        <v>6.0678000000000001</v>
      </c>
    </row>
    <row r="140" spans="1:8" ht="29.1" customHeight="1" x14ac:dyDescent="0.2">
      <c r="A140" s="60">
        <v>7</v>
      </c>
      <c r="B140" s="61" t="s">
        <v>786</v>
      </c>
      <c r="C140" s="61" t="s">
        <v>785</v>
      </c>
      <c r="D140" s="61" t="s">
        <v>571</v>
      </c>
      <c r="E140" s="62">
        <v>100000</v>
      </c>
      <c r="F140" s="63">
        <v>102.0228</v>
      </c>
      <c r="G140" s="64">
        <v>6.5010199999999995E-4</v>
      </c>
      <c r="H140" s="51">
        <v>7.4</v>
      </c>
    </row>
    <row r="141" spans="1:8" ht="29.1" customHeight="1" x14ac:dyDescent="0.2">
      <c r="A141" s="60">
        <v>8</v>
      </c>
      <c r="B141" s="61" t="s">
        <v>784</v>
      </c>
      <c r="C141" s="61" t="s">
        <v>783</v>
      </c>
      <c r="D141" s="61" t="s">
        <v>571</v>
      </c>
      <c r="E141" s="62">
        <v>100000</v>
      </c>
      <c r="F141" s="63">
        <v>101.57470000000001</v>
      </c>
      <c r="G141" s="64">
        <v>6.4724699999999999E-4</v>
      </c>
      <c r="H141" s="51">
        <v>7.3611000000000004</v>
      </c>
    </row>
    <row r="142" spans="1:8" ht="29.1" customHeight="1" x14ac:dyDescent="0.2">
      <c r="A142" s="60">
        <v>9</v>
      </c>
      <c r="B142" s="61" t="s">
        <v>782</v>
      </c>
      <c r="C142" s="61" t="s">
        <v>781</v>
      </c>
      <c r="D142" s="61" t="s">
        <v>571</v>
      </c>
      <c r="E142" s="62">
        <v>100000</v>
      </c>
      <c r="F142" s="63">
        <v>101.485</v>
      </c>
      <c r="G142" s="64">
        <v>6.4667499999999998E-4</v>
      </c>
      <c r="H142" s="51">
        <v>7.3566000000000003</v>
      </c>
    </row>
    <row r="143" spans="1:8" ht="14.1" customHeight="1" x14ac:dyDescent="0.2">
      <c r="A143" s="58"/>
      <c r="B143" s="58"/>
      <c r="C143" s="59" t="s">
        <v>129</v>
      </c>
      <c r="D143" s="58"/>
      <c r="E143" s="58" t="s">
        <v>130</v>
      </c>
      <c r="F143" s="70">
        <v>5854.1233000000002</v>
      </c>
      <c r="G143" s="71">
        <v>3.7303212000000002E-2</v>
      </c>
      <c r="H143" s="51"/>
    </row>
    <row r="144" spans="1:8" ht="14.1" customHeight="1" x14ac:dyDescent="0.2">
      <c r="A144" s="58"/>
      <c r="B144" s="58"/>
      <c r="C144" s="72"/>
      <c r="D144" s="58"/>
      <c r="E144" s="58"/>
      <c r="F144" s="73"/>
      <c r="G144" s="73"/>
      <c r="H144" s="51"/>
    </row>
    <row r="145" spans="1:8" ht="14.1" customHeight="1" x14ac:dyDescent="0.2">
      <c r="A145" s="58"/>
      <c r="B145" s="58"/>
      <c r="C145" s="59" t="s">
        <v>140</v>
      </c>
      <c r="D145" s="58"/>
      <c r="E145" s="58"/>
      <c r="F145" s="73"/>
      <c r="G145" s="73"/>
      <c r="H145" s="51"/>
    </row>
    <row r="146" spans="1:8" ht="14.1" customHeight="1" x14ac:dyDescent="0.2">
      <c r="A146" s="58"/>
      <c r="B146" s="58"/>
      <c r="C146" s="59" t="s">
        <v>129</v>
      </c>
      <c r="D146" s="58"/>
      <c r="E146" s="58" t="s">
        <v>130</v>
      </c>
      <c r="F146" s="74">
        <v>0</v>
      </c>
      <c r="G146" s="75">
        <v>0</v>
      </c>
      <c r="H146" s="51"/>
    </row>
    <row r="147" spans="1:8" ht="14.1" customHeight="1" x14ac:dyDescent="0.2">
      <c r="A147" s="58"/>
      <c r="B147" s="58"/>
      <c r="C147" s="72"/>
      <c r="D147" s="58"/>
      <c r="E147" s="58"/>
      <c r="F147" s="73"/>
      <c r="G147" s="73"/>
      <c r="H147" s="51"/>
    </row>
    <row r="148" spans="1:8" ht="14.1" customHeight="1" x14ac:dyDescent="0.2">
      <c r="A148" s="58"/>
      <c r="B148" s="58"/>
      <c r="C148" s="59" t="s">
        <v>141</v>
      </c>
      <c r="D148" s="58"/>
      <c r="E148" s="58"/>
      <c r="F148" s="70">
        <v>17343.658100000001</v>
      </c>
      <c r="G148" s="71">
        <v>0.110515979</v>
      </c>
      <c r="H148" s="51"/>
    </row>
    <row r="149" spans="1:8" ht="14.1" customHeight="1" x14ac:dyDescent="0.2">
      <c r="A149" s="58"/>
      <c r="B149" s="58"/>
      <c r="C149" s="72"/>
      <c r="D149" s="58"/>
      <c r="E149" s="58"/>
      <c r="F149" s="73"/>
      <c r="G149" s="73"/>
      <c r="H149" s="51"/>
    </row>
    <row r="150" spans="1:8" ht="14.1" customHeight="1" x14ac:dyDescent="0.2">
      <c r="A150" s="58"/>
      <c r="B150" s="58"/>
      <c r="C150" s="59" t="s">
        <v>142</v>
      </c>
      <c r="D150" s="58"/>
      <c r="E150" s="58"/>
      <c r="F150" s="73"/>
      <c r="G150" s="73"/>
      <c r="H150" s="51"/>
    </row>
    <row r="151" spans="1:8" ht="14.1" customHeight="1" x14ac:dyDescent="0.2">
      <c r="A151" s="58"/>
      <c r="B151" s="58"/>
      <c r="C151" s="59" t="s">
        <v>143</v>
      </c>
      <c r="D151" s="58"/>
      <c r="E151" s="58"/>
      <c r="F151" s="73"/>
      <c r="G151" s="73"/>
      <c r="H151" s="51"/>
    </row>
    <row r="152" spans="1:8" ht="17.100000000000001" customHeight="1" x14ac:dyDescent="0.2">
      <c r="A152" s="60">
        <v>1</v>
      </c>
      <c r="B152" s="61" t="s">
        <v>839</v>
      </c>
      <c r="C152" s="61" t="s">
        <v>838</v>
      </c>
      <c r="D152" s="61" t="s">
        <v>770</v>
      </c>
      <c r="E152" s="62">
        <v>500</v>
      </c>
      <c r="F152" s="63">
        <v>2411.1275000000001</v>
      </c>
      <c r="G152" s="64">
        <v>1.5364009E-2</v>
      </c>
      <c r="H152" s="51">
        <v>6.9349999999999996</v>
      </c>
    </row>
    <row r="153" spans="1:8" ht="14.1" customHeight="1" x14ac:dyDescent="0.2">
      <c r="A153" s="58"/>
      <c r="B153" s="58"/>
      <c r="C153" s="59" t="s">
        <v>129</v>
      </c>
      <c r="D153" s="58"/>
      <c r="E153" s="58" t="s">
        <v>130</v>
      </c>
      <c r="F153" s="70">
        <v>2411.1275000000001</v>
      </c>
      <c r="G153" s="71">
        <v>1.5364009E-2</v>
      </c>
      <c r="H153" s="51"/>
    </row>
    <row r="154" spans="1:8" ht="14.1" customHeight="1" x14ac:dyDescent="0.2">
      <c r="A154" s="58"/>
      <c r="B154" s="58"/>
      <c r="C154" s="72"/>
      <c r="D154" s="58"/>
      <c r="E154" s="58"/>
      <c r="F154" s="73"/>
      <c r="G154" s="73"/>
      <c r="H154" s="51"/>
    </row>
    <row r="155" spans="1:8" ht="14.1" customHeight="1" x14ac:dyDescent="0.2">
      <c r="A155" s="58"/>
      <c r="B155" s="58" t="s">
        <v>993</v>
      </c>
      <c r="C155" s="59" t="s">
        <v>144</v>
      </c>
      <c r="D155" s="58"/>
      <c r="E155" s="58"/>
      <c r="F155" s="73"/>
      <c r="G155" s="73"/>
      <c r="H155" s="51"/>
    </row>
    <row r="156" spans="1:8" ht="14.1" customHeight="1" x14ac:dyDescent="0.2">
      <c r="A156" s="58"/>
      <c r="B156" s="58"/>
      <c r="C156" s="59" t="s">
        <v>129</v>
      </c>
      <c r="D156" s="58"/>
      <c r="E156" s="58" t="s">
        <v>130</v>
      </c>
      <c r="F156" s="74">
        <v>0</v>
      </c>
      <c r="G156" s="75">
        <v>0</v>
      </c>
      <c r="H156" s="51"/>
    </row>
    <row r="157" spans="1:8" ht="14.1" customHeight="1" x14ac:dyDescent="0.2">
      <c r="A157" s="58"/>
      <c r="B157" s="58"/>
      <c r="C157" s="72"/>
      <c r="D157" s="58"/>
      <c r="E157" s="58"/>
      <c r="F157" s="73"/>
      <c r="G157" s="73"/>
      <c r="H157" s="51"/>
    </row>
    <row r="158" spans="1:8" ht="14.1" customHeight="1" x14ac:dyDescent="0.2">
      <c r="A158" s="58"/>
      <c r="B158" s="58"/>
      <c r="C158" s="59" t="s">
        <v>145</v>
      </c>
      <c r="D158" s="58"/>
      <c r="E158" s="58"/>
      <c r="F158" s="73"/>
      <c r="G158" s="73"/>
      <c r="H158" s="51"/>
    </row>
    <row r="159" spans="1:8" ht="17.100000000000001" customHeight="1" x14ac:dyDescent="0.2">
      <c r="A159" s="60">
        <v>1</v>
      </c>
      <c r="B159" s="61" t="s">
        <v>766</v>
      </c>
      <c r="C159" s="38" t="s">
        <v>970</v>
      </c>
      <c r="D159" s="61" t="s">
        <v>571</v>
      </c>
      <c r="E159" s="62">
        <v>5000000</v>
      </c>
      <c r="F159" s="63">
        <v>4920.92</v>
      </c>
      <c r="G159" s="64">
        <v>3.1356723000000003E-2</v>
      </c>
      <c r="H159" s="51">
        <v>6.11</v>
      </c>
    </row>
    <row r="160" spans="1:8" ht="14.1" customHeight="1" x14ac:dyDescent="0.2">
      <c r="A160" s="58"/>
      <c r="B160" s="58"/>
      <c r="C160" s="59" t="s">
        <v>129</v>
      </c>
      <c r="D160" s="58"/>
      <c r="E160" s="58" t="s">
        <v>130</v>
      </c>
      <c r="F160" s="70">
        <v>4920.92</v>
      </c>
      <c r="G160" s="71">
        <v>3.1356723000000003E-2</v>
      </c>
      <c r="H160" s="51"/>
    </row>
    <row r="161" spans="1:8" ht="14.1" customHeight="1" x14ac:dyDescent="0.2">
      <c r="A161" s="58"/>
      <c r="B161" s="58"/>
      <c r="C161" s="72"/>
      <c r="D161" s="58"/>
      <c r="E161" s="58"/>
      <c r="F161" s="73"/>
      <c r="G161" s="73"/>
      <c r="H161" s="51"/>
    </row>
    <row r="162" spans="1:8" ht="14.1" customHeight="1" x14ac:dyDescent="0.2">
      <c r="A162" s="58"/>
      <c r="B162" s="58"/>
      <c r="C162" s="59" t="s">
        <v>146</v>
      </c>
      <c r="D162" s="58"/>
      <c r="E162" s="58"/>
      <c r="F162" s="73"/>
      <c r="G162" s="73"/>
      <c r="H162" s="51"/>
    </row>
    <row r="163" spans="1:8" ht="17.100000000000001" customHeight="1" x14ac:dyDescent="0.2">
      <c r="A163" s="60">
        <v>1</v>
      </c>
      <c r="B163" s="61"/>
      <c r="C163" s="61" t="s">
        <v>147</v>
      </c>
      <c r="D163" s="61"/>
      <c r="E163" s="69"/>
      <c r="F163" s="63">
        <v>11106.8496846</v>
      </c>
      <c r="G163" s="64">
        <v>7.0774247999999998E-2</v>
      </c>
      <c r="H163" s="51">
        <v>6.1245112103248278</v>
      </c>
    </row>
    <row r="164" spans="1:8" ht="14.1" customHeight="1" x14ac:dyDescent="0.2">
      <c r="A164" s="58"/>
      <c r="B164" s="58"/>
      <c r="C164" s="59" t="s">
        <v>129</v>
      </c>
      <c r="D164" s="58"/>
      <c r="E164" s="58" t="s">
        <v>130</v>
      </c>
      <c r="F164" s="70">
        <v>11106.8496846</v>
      </c>
      <c r="G164" s="71">
        <v>7.0774247999999998E-2</v>
      </c>
      <c r="H164" s="51"/>
    </row>
    <row r="165" spans="1:8" ht="14.1" customHeight="1" x14ac:dyDescent="0.2">
      <c r="A165" s="58"/>
      <c r="B165" s="58"/>
      <c r="C165" s="72"/>
      <c r="D165" s="58"/>
      <c r="E165" s="58"/>
      <c r="F165" s="73"/>
      <c r="G165" s="73"/>
      <c r="H165" s="51"/>
    </row>
    <row r="166" spans="1:8" ht="14.1" customHeight="1" x14ac:dyDescent="0.2">
      <c r="A166" s="58"/>
      <c r="B166" s="58"/>
      <c r="C166" s="59" t="s">
        <v>148</v>
      </c>
      <c r="D166" s="58"/>
      <c r="E166" s="58"/>
      <c r="F166" s="70">
        <v>18438.897184599999</v>
      </c>
      <c r="G166" s="71">
        <v>0.11749498</v>
      </c>
      <c r="H166" s="51"/>
    </row>
    <row r="167" spans="1:8" ht="14.1" customHeight="1" x14ac:dyDescent="0.2">
      <c r="A167" s="58"/>
      <c r="B167" s="58"/>
      <c r="C167" s="73"/>
      <c r="D167" s="58"/>
      <c r="E167" s="58"/>
      <c r="F167" s="58"/>
      <c r="G167" s="58"/>
      <c r="H167" s="51"/>
    </row>
    <row r="168" spans="1:8" ht="14.1" customHeight="1" x14ac:dyDescent="0.2">
      <c r="A168" s="58"/>
      <c r="B168" s="58"/>
      <c r="C168" s="59" t="s">
        <v>149</v>
      </c>
      <c r="D168" s="58"/>
      <c r="E168" s="58"/>
      <c r="F168" s="58"/>
      <c r="G168" s="58"/>
      <c r="H168" s="51"/>
    </row>
    <row r="169" spans="1:8" ht="14.1" customHeight="1" x14ac:dyDescent="0.2">
      <c r="A169" s="58"/>
      <c r="B169" s="58"/>
      <c r="C169" s="59" t="s">
        <v>150</v>
      </c>
      <c r="D169" s="58"/>
      <c r="E169" s="58"/>
      <c r="F169" s="58"/>
      <c r="G169" s="58"/>
      <c r="H169" s="51"/>
    </row>
    <row r="170" spans="1:8" ht="14.1" customHeight="1" x14ac:dyDescent="0.2">
      <c r="A170" s="58"/>
      <c r="B170" s="58"/>
      <c r="C170" s="59" t="s">
        <v>129</v>
      </c>
      <c r="D170" s="58"/>
      <c r="E170" s="58" t="s">
        <v>130</v>
      </c>
      <c r="F170" s="74">
        <v>0</v>
      </c>
      <c r="G170" s="75">
        <v>0</v>
      </c>
      <c r="H170" s="51"/>
    </row>
    <row r="171" spans="1:8" ht="14.1" customHeight="1" x14ac:dyDescent="0.2">
      <c r="A171" s="58"/>
      <c r="B171" s="58"/>
      <c r="C171" s="72"/>
      <c r="D171" s="58"/>
      <c r="E171" s="58"/>
      <c r="F171" s="73"/>
      <c r="G171" s="73"/>
      <c r="H171" s="51"/>
    </row>
    <row r="172" spans="1:8" ht="14.1" customHeight="1" x14ac:dyDescent="0.2">
      <c r="A172" s="58"/>
      <c r="B172" s="58"/>
      <c r="C172" s="59" t="s">
        <v>151</v>
      </c>
      <c r="D172" s="58"/>
      <c r="E172" s="58"/>
      <c r="F172" s="58"/>
      <c r="G172" s="58"/>
      <c r="H172" s="51"/>
    </row>
    <row r="173" spans="1:8" ht="14.1" customHeight="1" x14ac:dyDescent="0.2">
      <c r="A173" s="58"/>
      <c r="B173" s="58"/>
      <c r="C173" s="59" t="s">
        <v>152</v>
      </c>
      <c r="D173" s="58"/>
      <c r="E173" s="58"/>
      <c r="F173" s="58"/>
      <c r="G173" s="58"/>
      <c r="H173" s="51"/>
    </row>
    <row r="174" spans="1:8" ht="14.1" customHeight="1" x14ac:dyDescent="0.2">
      <c r="A174" s="58"/>
      <c r="B174" s="58"/>
      <c r="C174" s="59" t="s">
        <v>129</v>
      </c>
      <c r="D174" s="58"/>
      <c r="E174" s="58" t="s">
        <v>130</v>
      </c>
      <c r="F174" s="74">
        <v>0</v>
      </c>
      <c r="G174" s="75">
        <v>0</v>
      </c>
      <c r="H174" s="51"/>
    </row>
    <row r="175" spans="1:8" ht="14.1" customHeight="1" x14ac:dyDescent="0.2">
      <c r="A175" s="58"/>
      <c r="B175" s="58"/>
      <c r="C175" s="72"/>
      <c r="D175" s="58"/>
      <c r="E175" s="58"/>
      <c r="F175" s="73"/>
      <c r="G175" s="73"/>
      <c r="H175" s="51"/>
    </row>
    <row r="176" spans="1:8" ht="24" customHeight="1" x14ac:dyDescent="0.2">
      <c r="A176" s="58"/>
      <c r="B176" s="58"/>
      <c r="C176" s="59" t="s">
        <v>153</v>
      </c>
      <c r="D176" s="58"/>
      <c r="E176" s="58"/>
      <c r="F176" s="73"/>
      <c r="G176" s="73"/>
      <c r="H176" s="51"/>
    </row>
    <row r="177" spans="1:15" ht="14.1" customHeight="1" x14ac:dyDescent="0.2">
      <c r="A177" s="58"/>
      <c r="B177" s="58"/>
      <c r="C177" s="59" t="s">
        <v>129</v>
      </c>
      <c r="D177" s="58"/>
      <c r="E177" s="58" t="s">
        <v>130</v>
      </c>
      <c r="F177" s="74">
        <v>0</v>
      </c>
      <c r="G177" s="75">
        <v>0</v>
      </c>
      <c r="H177" s="51"/>
    </row>
    <row r="178" spans="1:15" ht="14.1" customHeight="1" x14ac:dyDescent="0.2">
      <c r="A178" s="58"/>
      <c r="B178" s="58"/>
      <c r="C178" s="72"/>
      <c r="D178" s="58"/>
      <c r="E178" s="58"/>
      <c r="F178" s="73"/>
      <c r="G178" s="73"/>
      <c r="H178" s="51"/>
    </row>
    <row r="179" spans="1:15" ht="18" customHeight="1" x14ac:dyDescent="0.2">
      <c r="A179" s="69"/>
      <c r="B179" s="61"/>
      <c r="C179" s="61" t="s">
        <v>574</v>
      </c>
      <c r="D179" s="61"/>
      <c r="E179" s="69"/>
      <c r="F179" s="67">
        <v>1200</v>
      </c>
      <c r="G179" s="68">
        <v>7.6465514422470815E-3</v>
      </c>
      <c r="H179" s="51"/>
    </row>
    <row r="180" spans="1:15" ht="18" customHeight="1" x14ac:dyDescent="0.2">
      <c r="A180" s="69"/>
      <c r="B180" s="61"/>
      <c r="C180" s="61" t="s">
        <v>764</v>
      </c>
      <c r="D180" s="61"/>
      <c r="E180" s="69"/>
      <c r="F180" s="67">
        <f>-2611.01634886998+41.1655209</f>
        <v>-2569.8508279699799</v>
      </c>
      <c r="G180" s="68">
        <v>-1.6375413795811422E-2</v>
      </c>
      <c r="H180" s="51"/>
    </row>
    <row r="181" spans="1:15" ht="14.1" customHeight="1" x14ac:dyDescent="0.2">
      <c r="A181" s="72"/>
      <c r="B181" s="72"/>
      <c r="C181" s="59" t="s">
        <v>155</v>
      </c>
      <c r="D181" s="73"/>
      <c r="E181" s="73"/>
      <c r="F181" s="77">
        <v>156933.48943813</v>
      </c>
      <c r="G181" s="76">
        <v>1</v>
      </c>
      <c r="H181" s="51"/>
    </row>
    <row r="182" spans="1:15" ht="14.1" customHeight="1" x14ac:dyDescent="0.2">
      <c r="A182" s="78"/>
      <c r="B182" s="78"/>
      <c r="C182" s="78"/>
      <c r="D182" s="79"/>
      <c r="E182" s="79"/>
      <c r="F182" s="231"/>
      <c r="G182" s="232"/>
    </row>
    <row r="183" spans="1:15" ht="17.100000000000001" customHeight="1" x14ac:dyDescent="0.2">
      <c r="A183" s="80"/>
      <c r="B183" s="350" t="s">
        <v>763</v>
      </c>
      <c r="C183" s="350"/>
      <c r="D183" s="350"/>
      <c r="E183" s="350"/>
      <c r="F183" s="350"/>
      <c r="G183" s="81"/>
    </row>
    <row r="184" spans="1:15" ht="17.100000000000001" customHeight="1" x14ac:dyDescent="0.2">
      <c r="A184" s="80"/>
      <c r="B184" s="350" t="s">
        <v>762</v>
      </c>
      <c r="C184" s="350"/>
      <c r="D184" s="350"/>
      <c r="E184" s="350"/>
      <c r="F184" s="350"/>
      <c r="G184" s="81"/>
    </row>
    <row r="185" spans="1:15" s="41" customFormat="1" x14ac:dyDescent="0.2">
      <c r="A185" s="39"/>
      <c r="B185" s="345" t="s">
        <v>971</v>
      </c>
      <c r="C185" s="345"/>
      <c r="D185" s="345"/>
      <c r="E185" s="345"/>
      <c r="F185" s="345"/>
      <c r="G185" s="40"/>
      <c r="H185"/>
      <c r="I185"/>
      <c r="J185"/>
      <c r="K185"/>
      <c r="L185"/>
      <c r="M185"/>
      <c r="N185"/>
      <c r="O185"/>
    </row>
    <row r="186" spans="1:15" ht="17.100000000000001" customHeight="1" x14ac:dyDescent="0.2">
      <c r="A186" s="80"/>
      <c r="B186" s="350" t="s">
        <v>156</v>
      </c>
      <c r="C186" s="350"/>
      <c r="D186" s="350"/>
      <c r="E186" s="350"/>
      <c r="F186" s="350"/>
      <c r="G186" s="81"/>
    </row>
    <row r="187" spans="1:15" s="41" customFormat="1" ht="69.75" customHeight="1" x14ac:dyDescent="0.2">
      <c r="A187" s="82"/>
      <c r="B187" s="354" t="s">
        <v>865</v>
      </c>
      <c r="C187" s="354"/>
      <c r="D187" s="354"/>
      <c r="E187" s="354"/>
      <c r="F187" s="354"/>
      <c r="G187" s="83"/>
      <c r="H187"/>
      <c r="I187"/>
      <c r="J187"/>
      <c r="K187"/>
      <c r="L187"/>
      <c r="M187"/>
      <c r="N187"/>
      <c r="O187"/>
    </row>
    <row r="188" spans="1:15" ht="14.1" customHeight="1" x14ac:dyDescent="0.2">
      <c r="A188" s="80"/>
      <c r="B188" s="80"/>
      <c r="C188" s="80"/>
      <c r="D188" s="81"/>
      <c r="E188" s="81"/>
      <c r="F188" s="81"/>
      <c r="G188" s="81"/>
    </row>
    <row r="189" spans="1:15" ht="14.1" customHeight="1" x14ac:dyDescent="0.2">
      <c r="A189" s="80"/>
      <c r="B189" s="351" t="s">
        <v>157</v>
      </c>
      <c r="C189" s="352"/>
      <c r="D189" s="353"/>
      <c r="E189" s="84"/>
      <c r="F189" s="81"/>
      <c r="G189" s="81"/>
    </row>
    <row r="190" spans="1:15" ht="29.1" customHeight="1" x14ac:dyDescent="0.2">
      <c r="A190" s="80"/>
      <c r="B190" s="348" t="s">
        <v>158</v>
      </c>
      <c r="C190" s="349"/>
      <c r="D190" s="59" t="s">
        <v>159</v>
      </c>
      <c r="E190" s="84"/>
      <c r="F190" s="81"/>
      <c r="G190" s="81"/>
    </row>
    <row r="191" spans="1:15" ht="17.100000000000001" customHeight="1" x14ac:dyDescent="0.2">
      <c r="A191" s="80"/>
      <c r="B191" s="348" t="s">
        <v>160</v>
      </c>
      <c r="C191" s="349"/>
      <c r="D191" s="59" t="s">
        <v>159</v>
      </c>
      <c r="E191" s="84"/>
      <c r="F191" s="81"/>
      <c r="G191" s="81"/>
    </row>
    <row r="192" spans="1:15" ht="17.100000000000001" customHeight="1" x14ac:dyDescent="0.2">
      <c r="A192" s="80"/>
      <c r="B192" s="348" t="s">
        <v>161</v>
      </c>
      <c r="C192" s="349"/>
      <c r="D192" s="73" t="s">
        <v>130</v>
      </c>
      <c r="E192" s="84"/>
      <c r="F192" s="81"/>
      <c r="G192" s="81"/>
    </row>
    <row r="193" spans="1:9" ht="24" customHeight="1" x14ac:dyDescent="0.2">
      <c r="A193" s="85"/>
      <c r="B193" s="86" t="s">
        <v>130</v>
      </c>
      <c r="C193" s="86" t="s">
        <v>162</v>
      </c>
      <c r="D193" s="86" t="s">
        <v>163</v>
      </c>
      <c r="E193" s="85"/>
      <c r="F193" s="85"/>
      <c r="G193" s="85"/>
    </row>
    <row r="194" spans="1:9" ht="18" customHeight="1" x14ac:dyDescent="0.2">
      <c r="A194" s="85"/>
      <c r="B194" s="87" t="s">
        <v>164</v>
      </c>
      <c r="C194" s="86" t="s">
        <v>165</v>
      </c>
      <c r="D194" s="86" t="s">
        <v>166</v>
      </c>
      <c r="E194" s="85"/>
      <c r="F194" s="85"/>
      <c r="G194" s="85"/>
    </row>
    <row r="195" spans="1:9" ht="17.100000000000001" customHeight="1" x14ac:dyDescent="0.2">
      <c r="A195" s="85"/>
      <c r="B195" s="61" t="s">
        <v>167</v>
      </c>
      <c r="C195" s="88">
        <v>29.394400000000001</v>
      </c>
      <c r="D195" s="88">
        <v>29.109100000000002</v>
      </c>
      <c r="E195" s="85"/>
      <c r="F195" s="89"/>
      <c r="G195" s="90"/>
    </row>
    <row r="196" spans="1:9" ht="29.1" customHeight="1" x14ac:dyDescent="0.2">
      <c r="A196" s="85"/>
      <c r="B196" s="61" t="s">
        <v>1072</v>
      </c>
      <c r="C196" s="88">
        <v>16.978000000000002</v>
      </c>
      <c r="D196" s="88">
        <v>16.524899999999999</v>
      </c>
      <c r="E196" s="85"/>
      <c r="F196" s="89"/>
      <c r="G196" s="90"/>
    </row>
    <row r="197" spans="1:9" ht="17.100000000000001" customHeight="1" x14ac:dyDescent="0.2">
      <c r="A197" s="85"/>
      <c r="B197" s="61" t="s">
        <v>168</v>
      </c>
      <c r="C197" s="88">
        <v>26.137799999999999</v>
      </c>
      <c r="D197" s="88">
        <v>25.8507</v>
      </c>
      <c r="E197" s="85"/>
      <c r="F197" s="89"/>
      <c r="G197" s="90"/>
    </row>
    <row r="198" spans="1:9" ht="29.1" customHeight="1" x14ac:dyDescent="0.2">
      <c r="A198" s="85"/>
      <c r="B198" s="61" t="s">
        <v>1074</v>
      </c>
      <c r="C198" s="88">
        <v>14.4856</v>
      </c>
      <c r="D198" s="88">
        <v>14.0801</v>
      </c>
      <c r="E198" s="85"/>
      <c r="F198" s="89"/>
      <c r="G198" s="90"/>
    </row>
    <row r="199" spans="1:9" ht="14.1" customHeight="1" x14ac:dyDescent="0.2">
      <c r="A199" s="85"/>
      <c r="B199" s="85"/>
      <c r="C199" s="85"/>
      <c r="D199" s="85"/>
      <c r="E199" s="85"/>
      <c r="F199" s="85"/>
      <c r="G199" s="85"/>
    </row>
    <row r="200" spans="1:9" ht="17.100000000000001" customHeight="1" x14ac:dyDescent="0.2">
      <c r="A200" s="85"/>
      <c r="B200" s="348" t="s">
        <v>1069</v>
      </c>
      <c r="C200" s="349"/>
      <c r="D200" s="59" t="s">
        <v>130</v>
      </c>
      <c r="E200" s="85"/>
      <c r="F200" s="85"/>
      <c r="G200" s="85"/>
    </row>
    <row r="201" spans="1:9" ht="18" customHeight="1" x14ac:dyDescent="0.2">
      <c r="A201" s="85"/>
      <c r="B201" s="91" t="s">
        <v>164</v>
      </c>
      <c r="C201" s="92" t="s">
        <v>761</v>
      </c>
      <c r="D201" s="92" t="s">
        <v>760</v>
      </c>
      <c r="E201" s="85"/>
      <c r="F201" s="85"/>
      <c r="G201" s="85"/>
    </row>
    <row r="202" spans="1:9" ht="29.1" customHeight="1" x14ac:dyDescent="0.2">
      <c r="A202" s="85"/>
      <c r="B202" s="4" t="s">
        <v>1072</v>
      </c>
      <c r="C202" s="93">
        <v>0.29599999999999999</v>
      </c>
      <c r="D202" s="69" t="s">
        <v>837</v>
      </c>
      <c r="E202" s="85"/>
      <c r="F202" s="89"/>
      <c r="G202" s="90"/>
    </row>
    <row r="203" spans="1:9" ht="29.1" customHeight="1" x14ac:dyDescent="0.2">
      <c r="A203" s="85"/>
      <c r="B203" s="4" t="s">
        <v>1074</v>
      </c>
      <c r="C203" s="93">
        <v>0.253</v>
      </c>
      <c r="D203" s="93">
        <v>0.253</v>
      </c>
      <c r="E203" s="85"/>
      <c r="F203" s="89"/>
      <c r="G203" s="90"/>
    </row>
    <row r="204" spans="1:9" ht="14.1" customHeight="1" x14ac:dyDescent="0.2">
      <c r="A204" s="85"/>
      <c r="B204" s="94"/>
      <c r="C204" s="94"/>
      <c r="D204" s="95"/>
      <c r="E204" s="85"/>
      <c r="F204" s="89"/>
      <c r="G204" s="90"/>
    </row>
    <row r="205" spans="1:9" ht="14.1" customHeight="1" x14ac:dyDescent="0.2">
      <c r="A205" s="85"/>
      <c r="B205" s="89"/>
      <c r="C205" s="89"/>
      <c r="D205" s="85"/>
      <c r="E205" s="85"/>
      <c r="F205" s="85"/>
      <c r="G205" s="85"/>
    </row>
    <row r="206" spans="1:9" ht="29.1" customHeight="1" x14ac:dyDescent="0.2">
      <c r="A206" s="85"/>
      <c r="B206" s="348" t="s">
        <v>169</v>
      </c>
      <c r="C206" s="349"/>
      <c r="D206" s="111" t="s">
        <v>990</v>
      </c>
      <c r="E206" s="96"/>
      <c r="F206" s="85"/>
      <c r="G206" s="85"/>
      <c r="I206" s="41"/>
    </row>
    <row r="207" spans="1:9" ht="29.1" customHeight="1" x14ac:dyDescent="0.2">
      <c r="A207" s="85"/>
      <c r="B207" s="348" t="s">
        <v>170</v>
      </c>
      <c r="C207" s="349"/>
      <c r="D207" s="59" t="s">
        <v>159</v>
      </c>
      <c r="E207" s="96"/>
      <c r="F207" s="85"/>
      <c r="G207" s="85"/>
    </row>
    <row r="208" spans="1:9" ht="17.100000000000001" customHeight="1" x14ac:dyDescent="0.2">
      <c r="A208" s="85"/>
      <c r="B208" s="346" t="s">
        <v>991</v>
      </c>
      <c r="C208" s="347"/>
      <c r="D208" s="97">
        <v>0.79267099718509237</v>
      </c>
      <c r="E208" s="96"/>
      <c r="F208" s="85"/>
      <c r="G208" s="85"/>
    </row>
    <row r="209" spans="1:7" ht="17.100000000000001" customHeight="1" x14ac:dyDescent="0.2">
      <c r="A209" s="85"/>
      <c r="B209" s="346" t="s">
        <v>992</v>
      </c>
      <c r="C209" s="347"/>
      <c r="D209" s="97">
        <v>0.66704266329906292</v>
      </c>
      <c r="E209" s="96"/>
      <c r="F209" s="85"/>
      <c r="G209" s="85"/>
    </row>
    <row r="210" spans="1:7" ht="17.100000000000001" customHeight="1" x14ac:dyDescent="0.2">
      <c r="A210" s="85"/>
      <c r="B210" s="348" t="s">
        <v>988</v>
      </c>
      <c r="C210" s="349"/>
      <c r="D210" s="98">
        <v>3.2289847895691803</v>
      </c>
      <c r="E210" s="85"/>
      <c r="F210" s="89"/>
      <c r="G210" s="90"/>
    </row>
    <row r="211" spans="1:7" ht="17.100000000000001" customHeight="1" x14ac:dyDescent="0.2">
      <c r="A211" s="85"/>
      <c r="B211" s="348" t="s">
        <v>989</v>
      </c>
      <c r="C211" s="349"/>
      <c r="D211" s="59" t="s">
        <v>159</v>
      </c>
      <c r="E211" s="96"/>
      <c r="F211" s="85"/>
      <c r="G211" s="85"/>
    </row>
    <row r="212" spans="1:7" ht="11.1" customHeight="1" x14ac:dyDescent="0.2">
      <c r="A212" s="99"/>
      <c r="B212" s="99"/>
      <c r="C212" s="99"/>
      <c r="D212" s="99"/>
      <c r="E212" s="99"/>
      <c r="F212" s="99"/>
      <c r="G212" s="99"/>
    </row>
  </sheetData>
  <mergeCells count="20">
    <mergeCell ref="B208:C208"/>
    <mergeCell ref="B209:C209"/>
    <mergeCell ref="B211:C211"/>
    <mergeCell ref="B210:C210"/>
    <mergeCell ref="B206:C206"/>
    <mergeCell ref="J2:N2"/>
    <mergeCell ref="A1:H1"/>
    <mergeCell ref="A2:H2"/>
    <mergeCell ref="A3:H3"/>
    <mergeCell ref="B207:C207"/>
    <mergeCell ref="B183:F183"/>
    <mergeCell ref="B184:F184"/>
    <mergeCell ref="B186:F186"/>
    <mergeCell ref="B189:D189"/>
    <mergeCell ref="B190:C190"/>
    <mergeCell ref="B191:C191"/>
    <mergeCell ref="B192:C192"/>
    <mergeCell ref="B200:C200"/>
    <mergeCell ref="B187:F187"/>
    <mergeCell ref="B185:F185"/>
  </mergeCells>
  <hyperlinks>
    <hyperlink ref="I1" location="Index!B26" display="Index" xr:uid="{FF7A6AD0-4635-4FAF-87E0-E1DE3EA4367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outlinePr summaryBelow="0" summaryRight="0"/>
  </sheetPr>
  <dimension ref="A1:N15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1077</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296</v>
      </c>
      <c r="C7" s="4" t="s">
        <v>297</v>
      </c>
      <c r="D7" s="4" t="s">
        <v>223</v>
      </c>
      <c r="E7" s="5">
        <v>142161</v>
      </c>
      <c r="F7" s="6">
        <v>2009.3746544999999</v>
      </c>
      <c r="G7" s="7">
        <v>6.2544410999999994E-2</v>
      </c>
      <c r="H7" s="51"/>
    </row>
    <row r="8" spans="1:14" ht="17.100000000000001" customHeight="1" x14ac:dyDescent="0.2">
      <c r="A8" s="3">
        <v>2</v>
      </c>
      <c r="B8" s="4" t="s">
        <v>269</v>
      </c>
      <c r="C8" s="4" t="s">
        <v>270</v>
      </c>
      <c r="D8" s="4" t="s">
        <v>16</v>
      </c>
      <c r="E8" s="5">
        <v>114656</v>
      </c>
      <c r="F8" s="6">
        <v>1629.6630560000001</v>
      </c>
      <c r="G8" s="7">
        <v>5.0725392000000001E-2</v>
      </c>
      <c r="H8" s="51"/>
    </row>
    <row r="9" spans="1:14" ht="17.100000000000001" customHeight="1" x14ac:dyDescent="0.2">
      <c r="A9" s="3">
        <v>3</v>
      </c>
      <c r="B9" s="4" t="s">
        <v>14</v>
      </c>
      <c r="C9" s="4" t="s">
        <v>15</v>
      </c>
      <c r="D9" s="4" t="s">
        <v>16</v>
      </c>
      <c r="E9" s="5">
        <v>184056</v>
      </c>
      <c r="F9" s="6">
        <v>1586.5627199999999</v>
      </c>
      <c r="G9" s="7">
        <v>4.9383837E-2</v>
      </c>
      <c r="H9" s="51"/>
    </row>
    <row r="10" spans="1:14" ht="17.100000000000001" customHeight="1" x14ac:dyDescent="0.2">
      <c r="A10" s="3">
        <v>4</v>
      </c>
      <c r="B10" s="4" t="s">
        <v>308</v>
      </c>
      <c r="C10" s="4" t="s">
        <v>309</v>
      </c>
      <c r="D10" s="4" t="s">
        <v>310</v>
      </c>
      <c r="E10" s="5">
        <v>58279</v>
      </c>
      <c r="F10" s="6">
        <v>1571.4640955</v>
      </c>
      <c r="G10" s="7">
        <v>4.8913872999999997E-2</v>
      </c>
      <c r="H10" s="51"/>
    </row>
    <row r="11" spans="1:14" ht="17.100000000000001" customHeight="1" x14ac:dyDescent="0.2">
      <c r="A11" s="3">
        <v>5</v>
      </c>
      <c r="B11" s="4" t="s">
        <v>26</v>
      </c>
      <c r="C11" s="4" t="s">
        <v>27</v>
      </c>
      <c r="D11" s="4" t="s">
        <v>28</v>
      </c>
      <c r="E11" s="5">
        <v>892572</v>
      </c>
      <c r="F11" s="6">
        <v>1424.9911979999999</v>
      </c>
      <c r="G11" s="7">
        <v>4.4354712999999997E-2</v>
      </c>
      <c r="H11" s="51"/>
    </row>
    <row r="12" spans="1:14" ht="17.100000000000001" customHeight="1" x14ac:dyDescent="0.2">
      <c r="A12" s="3">
        <v>6</v>
      </c>
      <c r="B12" s="4" t="s">
        <v>321</v>
      </c>
      <c r="C12" s="4" t="s">
        <v>322</v>
      </c>
      <c r="D12" s="4" t="s">
        <v>310</v>
      </c>
      <c r="E12" s="5">
        <v>397734</v>
      </c>
      <c r="F12" s="6">
        <v>1321.272348</v>
      </c>
      <c r="G12" s="7">
        <v>4.1126327999999997E-2</v>
      </c>
      <c r="H12" s="51"/>
    </row>
    <row r="13" spans="1:14" ht="17.100000000000001" customHeight="1" x14ac:dyDescent="0.2">
      <c r="A13" s="3">
        <v>7</v>
      </c>
      <c r="B13" s="4" t="s">
        <v>306</v>
      </c>
      <c r="C13" s="4" t="s">
        <v>307</v>
      </c>
      <c r="D13" s="4" t="s">
        <v>223</v>
      </c>
      <c r="E13" s="5">
        <v>38621</v>
      </c>
      <c r="F13" s="6">
        <v>1160.3872555</v>
      </c>
      <c r="G13" s="7">
        <v>3.6118569000000003E-2</v>
      </c>
      <c r="H13" s="51"/>
    </row>
    <row r="14" spans="1:14" ht="17.100000000000001" customHeight="1" x14ac:dyDescent="0.2">
      <c r="A14" s="3">
        <v>8</v>
      </c>
      <c r="B14" s="4" t="s">
        <v>20</v>
      </c>
      <c r="C14" s="4" t="s">
        <v>21</v>
      </c>
      <c r="D14" s="4" t="s">
        <v>22</v>
      </c>
      <c r="E14" s="5">
        <v>45754</v>
      </c>
      <c r="F14" s="6">
        <v>1087.915735</v>
      </c>
      <c r="G14" s="7">
        <v>3.3862798999999999E-2</v>
      </c>
      <c r="H14" s="51"/>
      <c r="J14" s="165" t="s">
        <v>1104</v>
      </c>
    </row>
    <row r="15" spans="1:14" ht="17.100000000000001" customHeight="1" x14ac:dyDescent="0.2">
      <c r="A15" s="3">
        <v>9</v>
      </c>
      <c r="B15" s="4" t="s">
        <v>323</v>
      </c>
      <c r="C15" s="4" t="s">
        <v>324</v>
      </c>
      <c r="D15" s="4" t="s">
        <v>223</v>
      </c>
      <c r="E15" s="5">
        <v>107029</v>
      </c>
      <c r="F15" s="6">
        <v>997.88488150000001</v>
      </c>
      <c r="G15" s="7">
        <v>3.1060470999999999E-2</v>
      </c>
      <c r="H15" s="51"/>
    </row>
    <row r="16" spans="1:14" ht="17.100000000000001" customHeight="1" x14ac:dyDescent="0.2">
      <c r="A16" s="3">
        <v>10</v>
      </c>
      <c r="B16" s="4" t="s">
        <v>41</v>
      </c>
      <c r="C16" s="4" t="s">
        <v>42</v>
      </c>
      <c r="D16" s="4" t="s">
        <v>16</v>
      </c>
      <c r="E16" s="5">
        <v>175968</v>
      </c>
      <c r="F16" s="6">
        <v>933.68620799999997</v>
      </c>
      <c r="G16" s="7">
        <v>2.9062203000000002E-2</v>
      </c>
      <c r="H16" s="51"/>
    </row>
    <row r="17" spans="1:10" ht="29.1" customHeight="1" x14ac:dyDescent="0.2">
      <c r="A17" s="3">
        <v>11</v>
      </c>
      <c r="B17" s="4" t="s">
        <v>23</v>
      </c>
      <c r="C17" s="4" t="s">
        <v>24</v>
      </c>
      <c r="D17" s="4" t="s">
        <v>25</v>
      </c>
      <c r="E17" s="5">
        <v>12100</v>
      </c>
      <c r="F17" s="6">
        <v>756.86710000000005</v>
      </c>
      <c r="G17" s="7">
        <v>2.3558477000000001E-2</v>
      </c>
      <c r="H17" s="51"/>
    </row>
    <row r="18" spans="1:10" ht="17.100000000000001" customHeight="1" x14ac:dyDescent="0.2">
      <c r="A18" s="3">
        <v>12</v>
      </c>
      <c r="B18" s="4" t="s">
        <v>11</v>
      </c>
      <c r="C18" s="4" t="s">
        <v>12</v>
      </c>
      <c r="D18" s="4" t="s">
        <v>13</v>
      </c>
      <c r="E18" s="5">
        <v>36880</v>
      </c>
      <c r="F18" s="6">
        <v>681.43176000000005</v>
      </c>
      <c r="G18" s="7">
        <v>2.1210454E-2</v>
      </c>
      <c r="H18" s="51"/>
    </row>
    <row r="19" spans="1:10" ht="53.1" customHeight="1" x14ac:dyDescent="0.2">
      <c r="A19" s="3">
        <v>13</v>
      </c>
      <c r="B19" s="4" t="s">
        <v>43</v>
      </c>
      <c r="C19" s="4" t="s">
        <v>44</v>
      </c>
      <c r="D19" s="4" t="s">
        <v>45</v>
      </c>
      <c r="E19" s="5">
        <v>438939</v>
      </c>
      <c r="F19" s="6">
        <v>670.04038349999996</v>
      </c>
      <c r="G19" s="7">
        <v>2.0855881999999999E-2</v>
      </c>
      <c r="H19" s="51"/>
    </row>
    <row r="20" spans="1:10" ht="17.100000000000001" customHeight="1" x14ac:dyDescent="0.2">
      <c r="A20" s="3">
        <v>14</v>
      </c>
      <c r="B20" s="4" t="s">
        <v>17</v>
      </c>
      <c r="C20" s="4" t="s">
        <v>18</v>
      </c>
      <c r="D20" s="4" t="s">
        <v>19</v>
      </c>
      <c r="E20" s="5">
        <v>83692</v>
      </c>
      <c r="F20" s="6">
        <v>669.45230800000002</v>
      </c>
      <c r="G20" s="7">
        <v>2.0837577999999999E-2</v>
      </c>
      <c r="H20" s="51"/>
    </row>
    <row r="21" spans="1:10" ht="17.100000000000001" customHeight="1" x14ac:dyDescent="0.2">
      <c r="A21" s="3">
        <v>15</v>
      </c>
      <c r="B21" s="4" t="s">
        <v>525</v>
      </c>
      <c r="C21" s="4" t="s">
        <v>526</v>
      </c>
      <c r="D21" s="4" t="s">
        <v>104</v>
      </c>
      <c r="E21" s="5">
        <v>36483</v>
      </c>
      <c r="F21" s="6">
        <v>615.54117599999995</v>
      </c>
      <c r="G21" s="7">
        <v>1.9159523000000001E-2</v>
      </c>
      <c r="H21" s="51"/>
    </row>
    <row r="22" spans="1:10" ht="29.1" customHeight="1" x14ac:dyDescent="0.2">
      <c r="A22" s="3">
        <v>16</v>
      </c>
      <c r="B22" s="4" t="s">
        <v>73</v>
      </c>
      <c r="C22" s="4" t="s">
        <v>74</v>
      </c>
      <c r="D22" s="4" t="s">
        <v>75</v>
      </c>
      <c r="E22" s="5">
        <v>608534</v>
      </c>
      <c r="F22" s="6">
        <v>614.31507299999998</v>
      </c>
      <c r="G22" s="7">
        <v>1.9121359000000001E-2</v>
      </c>
      <c r="H22" s="51"/>
      <c r="J22" s="157" t="s">
        <v>1105</v>
      </c>
    </row>
    <row r="23" spans="1:10" ht="29.1" customHeight="1" x14ac:dyDescent="0.2">
      <c r="A23" s="3">
        <v>17</v>
      </c>
      <c r="B23" s="4" t="s">
        <v>185</v>
      </c>
      <c r="C23" s="4" t="s">
        <v>186</v>
      </c>
      <c r="D23" s="4" t="s">
        <v>104</v>
      </c>
      <c r="E23" s="5">
        <v>145445</v>
      </c>
      <c r="F23" s="6">
        <v>599.08795499999997</v>
      </c>
      <c r="G23" s="7">
        <v>1.8647395000000001E-2</v>
      </c>
      <c r="H23" s="51"/>
    </row>
    <row r="24" spans="1:10" ht="17.100000000000001" customHeight="1" x14ac:dyDescent="0.2">
      <c r="A24" s="3">
        <v>18</v>
      </c>
      <c r="B24" s="4" t="s">
        <v>67</v>
      </c>
      <c r="C24" s="4" t="s">
        <v>68</v>
      </c>
      <c r="D24" s="4" t="s">
        <v>69</v>
      </c>
      <c r="E24" s="5">
        <v>6650</v>
      </c>
      <c r="F24" s="6">
        <v>587.07197499999995</v>
      </c>
      <c r="G24" s="7">
        <v>1.8273382000000001E-2</v>
      </c>
      <c r="H24" s="51"/>
    </row>
    <row r="25" spans="1:10" ht="17.100000000000001" customHeight="1" x14ac:dyDescent="0.2">
      <c r="A25" s="3">
        <v>19</v>
      </c>
      <c r="B25" s="4" t="s">
        <v>61</v>
      </c>
      <c r="C25" s="4" t="s">
        <v>62</v>
      </c>
      <c r="D25" s="4" t="s">
        <v>28</v>
      </c>
      <c r="E25" s="5">
        <v>271748</v>
      </c>
      <c r="F25" s="6">
        <v>576.64925600000004</v>
      </c>
      <c r="G25" s="7">
        <v>1.7948960999999999E-2</v>
      </c>
      <c r="H25" s="51"/>
    </row>
    <row r="26" spans="1:10" ht="29.1" customHeight="1" x14ac:dyDescent="0.2">
      <c r="A26" s="3">
        <v>20</v>
      </c>
      <c r="B26" s="4" t="s">
        <v>182</v>
      </c>
      <c r="C26" s="4" t="s">
        <v>183</v>
      </c>
      <c r="D26" s="4" t="s">
        <v>184</v>
      </c>
      <c r="E26" s="5">
        <v>12675</v>
      </c>
      <c r="F26" s="6">
        <v>569.21523749999994</v>
      </c>
      <c r="G26" s="7">
        <v>1.7717568E-2</v>
      </c>
      <c r="H26" s="51"/>
    </row>
    <row r="27" spans="1:10" ht="17.100000000000001" customHeight="1" x14ac:dyDescent="0.2">
      <c r="A27" s="3">
        <v>21</v>
      </c>
      <c r="B27" s="4" t="s">
        <v>300</v>
      </c>
      <c r="C27" s="4" t="s">
        <v>301</v>
      </c>
      <c r="D27" s="4" t="s">
        <v>235</v>
      </c>
      <c r="E27" s="5">
        <v>44500</v>
      </c>
      <c r="F27" s="6">
        <v>556.45024999999998</v>
      </c>
      <c r="G27" s="7">
        <v>1.7320241E-2</v>
      </c>
      <c r="H27" s="51"/>
    </row>
    <row r="28" spans="1:10" ht="17.100000000000001" customHeight="1" x14ac:dyDescent="0.2">
      <c r="A28" s="3">
        <v>22</v>
      </c>
      <c r="B28" s="4" t="s">
        <v>576</v>
      </c>
      <c r="C28" s="4" t="s">
        <v>577</v>
      </c>
      <c r="D28" s="4" t="s">
        <v>31</v>
      </c>
      <c r="E28" s="5">
        <v>21900</v>
      </c>
      <c r="F28" s="6">
        <v>549.51480000000004</v>
      </c>
      <c r="G28" s="7">
        <v>1.7104365999999999E-2</v>
      </c>
      <c r="H28" s="51"/>
    </row>
    <row r="29" spans="1:10" ht="17.100000000000001" customHeight="1" x14ac:dyDescent="0.2">
      <c r="A29" s="3">
        <v>23</v>
      </c>
      <c r="B29" s="4" t="s">
        <v>347</v>
      </c>
      <c r="C29" s="4" t="s">
        <v>348</v>
      </c>
      <c r="D29" s="4" t="s">
        <v>16</v>
      </c>
      <c r="E29" s="5">
        <v>235822</v>
      </c>
      <c r="F29" s="6">
        <v>539.44282499999997</v>
      </c>
      <c r="G29" s="7">
        <v>1.6790863E-2</v>
      </c>
      <c r="H29" s="51"/>
    </row>
    <row r="30" spans="1:10" ht="17.100000000000001" customHeight="1" x14ac:dyDescent="0.2">
      <c r="A30" s="3">
        <v>24</v>
      </c>
      <c r="B30" s="4" t="s">
        <v>342</v>
      </c>
      <c r="C30" s="4" t="s">
        <v>343</v>
      </c>
      <c r="D30" s="4" t="s">
        <v>232</v>
      </c>
      <c r="E30" s="5">
        <v>526970</v>
      </c>
      <c r="F30" s="6">
        <v>523.28120999999999</v>
      </c>
      <c r="G30" s="7">
        <v>1.6287810999999999E-2</v>
      </c>
      <c r="H30" s="51"/>
    </row>
    <row r="31" spans="1:10" ht="17.100000000000001" customHeight="1" x14ac:dyDescent="0.2">
      <c r="A31" s="3">
        <v>25</v>
      </c>
      <c r="B31" s="4" t="s">
        <v>261</v>
      </c>
      <c r="C31" s="4" t="s">
        <v>262</v>
      </c>
      <c r="D31" s="4" t="s">
        <v>97</v>
      </c>
      <c r="E31" s="5">
        <v>30000</v>
      </c>
      <c r="F31" s="6">
        <v>503.505</v>
      </c>
      <c r="G31" s="7">
        <v>1.5672251000000002E-2</v>
      </c>
      <c r="H31" s="51"/>
    </row>
    <row r="32" spans="1:10" ht="29.1" customHeight="1" x14ac:dyDescent="0.2">
      <c r="A32" s="3">
        <v>26</v>
      </c>
      <c r="B32" s="4" t="s">
        <v>193</v>
      </c>
      <c r="C32" s="4" t="s">
        <v>194</v>
      </c>
      <c r="D32" s="4" t="s">
        <v>184</v>
      </c>
      <c r="E32" s="5">
        <v>19372</v>
      </c>
      <c r="F32" s="6">
        <v>484.96833400000003</v>
      </c>
      <c r="G32" s="7">
        <v>1.5095272999999999E-2</v>
      </c>
      <c r="H32" s="51"/>
    </row>
    <row r="33" spans="1:8" ht="17.100000000000001" customHeight="1" x14ac:dyDescent="0.2">
      <c r="A33" s="3">
        <v>27</v>
      </c>
      <c r="B33" s="4" t="s">
        <v>333</v>
      </c>
      <c r="C33" s="4" t="s">
        <v>334</v>
      </c>
      <c r="D33" s="4" t="s">
        <v>223</v>
      </c>
      <c r="E33" s="5">
        <v>47842</v>
      </c>
      <c r="F33" s="6">
        <v>482.53441199999997</v>
      </c>
      <c r="G33" s="7">
        <v>1.5019513999999999E-2</v>
      </c>
      <c r="H33" s="51"/>
    </row>
    <row r="34" spans="1:8" ht="17.100000000000001" customHeight="1" x14ac:dyDescent="0.2">
      <c r="A34" s="3">
        <v>28</v>
      </c>
      <c r="B34" s="4" t="s">
        <v>105</v>
      </c>
      <c r="C34" s="4" t="s">
        <v>106</v>
      </c>
      <c r="D34" s="4" t="s">
        <v>31</v>
      </c>
      <c r="E34" s="5">
        <v>37500</v>
      </c>
      <c r="F34" s="6">
        <v>448.44375000000002</v>
      </c>
      <c r="G34" s="7">
        <v>1.3958398E-2</v>
      </c>
      <c r="H34" s="51"/>
    </row>
    <row r="35" spans="1:8" ht="17.100000000000001" customHeight="1" x14ac:dyDescent="0.2">
      <c r="A35" s="3">
        <v>29</v>
      </c>
      <c r="B35" s="4" t="s">
        <v>49</v>
      </c>
      <c r="C35" s="4" t="s">
        <v>50</v>
      </c>
      <c r="D35" s="4" t="s">
        <v>51</v>
      </c>
      <c r="E35" s="5">
        <v>62282</v>
      </c>
      <c r="F35" s="6">
        <v>443.22985299999999</v>
      </c>
      <c r="G35" s="7">
        <v>1.3796108E-2</v>
      </c>
      <c r="H35" s="51"/>
    </row>
    <row r="36" spans="1:8" ht="17.100000000000001" customHeight="1" x14ac:dyDescent="0.2">
      <c r="A36" s="3">
        <v>30</v>
      </c>
      <c r="B36" s="4" t="s">
        <v>578</v>
      </c>
      <c r="C36" s="4" t="s">
        <v>579</v>
      </c>
      <c r="D36" s="4" t="s">
        <v>69</v>
      </c>
      <c r="E36" s="5">
        <v>12160</v>
      </c>
      <c r="F36" s="6">
        <v>428.9744</v>
      </c>
      <c r="G36" s="7">
        <v>1.3352388999999999E-2</v>
      </c>
      <c r="H36" s="51"/>
    </row>
    <row r="37" spans="1:8" ht="17.100000000000001" customHeight="1" x14ac:dyDescent="0.2">
      <c r="A37" s="3">
        <v>31</v>
      </c>
      <c r="B37" s="4" t="s">
        <v>395</v>
      </c>
      <c r="C37" s="4" t="s">
        <v>396</v>
      </c>
      <c r="D37" s="4" t="s">
        <v>315</v>
      </c>
      <c r="E37" s="5">
        <v>33957</v>
      </c>
      <c r="F37" s="6">
        <v>413.85093749999999</v>
      </c>
      <c r="G37" s="7">
        <v>1.2881650999999999E-2</v>
      </c>
      <c r="H37" s="51"/>
    </row>
    <row r="38" spans="1:8" ht="17.100000000000001" customHeight="1" x14ac:dyDescent="0.2">
      <c r="A38" s="3">
        <v>32</v>
      </c>
      <c r="B38" s="4" t="s">
        <v>580</v>
      </c>
      <c r="C38" s="4" t="s">
        <v>581</v>
      </c>
      <c r="D38" s="4" t="s">
        <v>104</v>
      </c>
      <c r="E38" s="5">
        <v>13500</v>
      </c>
      <c r="F38" s="6">
        <v>387.80099999999999</v>
      </c>
      <c r="G38" s="7">
        <v>1.2070813E-2</v>
      </c>
      <c r="H38" s="51"/>
    </row>
    <row r="39" spans="1:8" ht="17.100000000000001" customHeight="1" x14ac:dyDescent="0.2">
      <c r="A39" s="3">
        <v>33</v>
      </c>
      <c r="B39" s="4" t="s">
        <v>582</v>
      </c>
      <c r="C39" s="4" t="s">
        <v>583</v>
      </c>
      <c r="D39" s="4" t="s">
        <v>260</v>
      </c>
      <c r="E39" s="5">
        <v>9850</v>
      </c>
      <c r="F39" s="6">
        <v>378.54042500000003</v>
      </c>
      <c r="G39" s="7">
        <v>1.1782565E-2</v>
      </c>
      <c r="H39" s="51"/>
    </row>
    <row r="40" spans="1:8" ht="17.100000000000001" customHeight="1" x14ac:dyDescent="0.2">
      <c r="A40" s="3">
        <v>34</v>
      </c>
      <c r="B40" s="4" t="s">
        <v>584</v>
      </c>
      <c r="C40" s="4" t="s">
        <v>585</v>
      </c>
      <c r="D40" s="4" t="s">
        <v>69</v>
      </c>
      <c r="E40" s="5">
        <v>10029</v>
      </c>
      <c r="F40" s="6">
        <v>368.22476399999999</v>
      </c>
      <c r="G40" s="7">
        <v>1.1461476999999999E-2</v>
      </c>
      <c r="H40" s="51"/>
    </row>
    <row r="41" spans="1:8" ht="29.1" customHeight="1" x14ac:dyDescent="0.2">
      <c r="A41" s="3">
        <v>35</v>
      </c>
      <c r="B41" s="4" t="s">
        <v>586</v>
      </c>
      <c r="C41" s="4" t="s">
        <v>587</v>
      </c>
      <c r="D41" s="4" t="s">
        <v>588</v>
      </c>
      <c r="E41" s="5">
        <v>10800</v>
      </c>
      <c r="F41" s="6">
        <v>349.18560000000002</v>
      </c>
      <c r="G41" s="7">
        <v>1.0868858E-2</v>
      </c>
      <c r="H41" s="51"/>
    </row>
    <row r="42" spans="1:8" ht="29.1" customHeight="1" x14ac:dyDescent="0.2">
      <c r="A42" s="3">
        <v>36</v>
      </c>
      <c r="B42" s="4" t="s">
        <v>473</v>
      </c>
      <c r="C42" s="4" t="s">
        <v>474</v>
      </c>
      <c r="D42" s="4" t="s">
        <v>203</v>
      </c>
      <c r="E42" s="5">
        <v>5548</v>
      </c>
      <c r="F42" s="6">
        <v>320.71878400000003</v>
      </c>
      <c r="G42" s="7">
        <v>9.9827909999999995E-3</v>
      </c>
      <c r="H42" s="51"/>
    </row>
    <row r="43" spans="1:8" ht="17.100000000000001" customHeight="1" x14ac:dyDescent="0.2">
      <c r="A43" s="3">
        <v>37</v>
      </c>
      <c r="B43" s="4" t="s">
        <v>589</v>
      </c>
      <c r="C43" s="4" t="s">
        <v>590</v>
      </c>
      <c r="D43" s="4" t="s">
        <v>117</v>
      </c>
      <c r="E43" s="5">
        <v>111500</v>
      </c>
      <c r="F43" s="6">
        <v>297.928</v>
      </c>
      <c r="G43" s="7">
        <v>9.2733980000000004E-3</v>
      </c>
      <c r="H43" s="51"/>
    </row>
    <row r="44" spans="1:8" ht="17.100000000000001" customHeight="1" x14ac:dyDescent="0.2">
      <c r="A44" s="3">
        <v>38</v>
      </c>
      <c r="B44" s="4" t="s">
        <v>174</v>
      </c>
      <c r="C44" s="4" t="s">
        <v>175</v>
      </c>
      <c r="D44" s="4" t="s">
        <v>22</v>
      </c>
      <c r="E44" s="5">
        <v>136848</v>
      </c>
      <c r="F44" s="6">
        <v>296.00222400000001</v>
      </c>
      <c r="G44" s="7">
        <v>9.2134560000000001E-3</v>
      </c>
      <c r="H44" s="51"/>
    </row>
    <row r="45" spans="1:8" ht="17.100000000000001" customHeight="1" x14ac:dyDescent="0.2">
      <c r="A45" s="3">
        <v>39</v>
      </c>
      <c r="B45" s="4" t="s">
        <v>244</v>
      </c>
      <c r="C45" s="4" t="s">
        <v>245</v>
      </c>
      <c r="D45" s="4" t="s">
        <v>223</v>
      </c>
      <c r="E45" s="5">
        <v>9100</v>
      </c>
      <c r="F45" s="6">
        <v>294.94920000000002</v>
      </c>
      <c r="G45" s="7">
        <v>9.1806790000000006E-3</v>
      </c>
      <c r="H45" s="51"/>
    </row>
    <row r="46" spans="1:8" ht="17.100000000000001" customHeight="1" x14ac:dyDescent="0.2">
      <c r="A46" s="3">
        <v>40</v>
      </c>
      <c r="B46" s="4" t="s">
        <v>118</v>
      </c>
      <c r="C46" s="4" t="s">
        <v>119</v>
      </c>
      <c r="D46" s="4" t="s">
        <v>120</v>
      </c>
      <c r="E46" s="5">
        <v>228490</v>
      </c>
      <c r="F46" s="6">
        <v>289.72532000000001</v>
      </c>
      <c r="G46" s="7">
        <v>9.018079E-3</v>
      </c>
      <c r="H46" s="51"/>
    </row>
    <row r="47" spans="1:8" ht="17.100000000000001" customHeight="1" x14ac:dyDescent="0.2">
      <c r="A47" s="3">
        <v>41</v>
      </c>
      <c r="B47" s="4" t="s">
        <v>591</v>
      </c>
      <c r="C47" s="4" t="s">
        <v>592</v>
      </c>
      <c r="D47" s="4" t="s">
        <v>19</v>
      </c>
      <c r="E47" s="5">
        <v>112660</v>
      </c>
      <c r="F47" s="6">
        <v>222.44717</v>
      </c>
      <c r="G47" s="7">
        <v>6.9239590000000004E-3</v>
      </c>
      <c r="H47" s="51"/>
    </row>
    <row r="48" spans="1:8" ht="29.1" customHeight="1" x14ac:dyDescent="0.2">
      <c r="A48" s="3">
        <v>42</v>
      </c>
      <c r="B48" s="4" t="s">
        <v>236</v>
      </c>
      <c r="C48" s="4" t="s">
        <v>237</v>
      </c>
      <c r="D48" s="4" t="s">
        <v>203</v>
      </c>
      <c r="E48" s="5">
        <v>9829</v>
      </c>
      <c r="F48" s="6">
        <v>205.70622650000001</v>
      </c>
      <c r="G48" s="7">
        <v>6.4028749999999997E-3</v>
      </c>
      <c r="H48" s="51"/>
    </row>
    <row r="49" spans="1:8" ht="17.100000000000001" customHeight="1" x14ac:dyDescent="0.2">
      <c r="A49" s="3">
        <v>43</v>
      </c>
      <c r="B49" s="4" t="s">
        <v>242</v>
      </c>
      <c r="C49" s="4" t="s">
        <v>243</v>
      </c>
      <c r="D49" s="4" t="s">
        <v>72</v>
      </c>
      <c r="E49" s="5">
        <v>4242</v>
      </c>
      <c r="F49" s="6">
        <v>192.90070800000001</v>
      </c>
      <c r="G49" s="7">
        <v>6.0042869999999996E-3</v>
      </c>
      <c r="H49" s="51"/>
    </row>
    <row r="50" spans="1:8" ht="17.100000000000001" customHeight="1" x14ac:dyDescent="0.2">
      <c r="A50" s="3">
        <v>44</v>
      </c>
      <c r="B50" s="4" t="s">
        <v>331</v>
      </c>
      <c r="C50" s="4" t="s">
        <v>332</v>
      </c>
      <c r="D50" s="4" t="s">
        <v>315</v>
      </c>
      <c r="E50" s="5">
        <v>30973</v>
      </c>
      <c r="F50" s="6">
        <v>162.03524949999999</v>
      </c>
      <c r="G50" s="7">
        <v>5.0435590000000004E-3</v>
      </c>
      <c r="H50" s="51"/>
    </row>
    <row r="51" spans="1:8" ht="17.100000000000001" customHeight="1" x14ac:dyDescent="0.2">
      <c r="A51" s="3">
        <v>45</v>
      </c>
      <c r="B51" s="4" t="s">
        <v>403</v>
      </c>
      <c r="C51" s="4" t="s">
        <v>404</v>
      </c>
      <c r="D51" s="4" t="s">
        <v>277</v>
      </c>
      <c r="E51" s="5">
        <v>20239</v>
      </c>
      <c r="F51" s="6">
        <v>160.475031</v>
      </c>
      <c r="G51" s="7">
        <v>4.9949950000000003E-3</v>
      </c>
      <c r="H51" s="51"/>
    </row>
    <row r="52" spans="1:8" ht="17.100000000000001" customHeight="1" x14ac:dyDescent="0.2">
      <c r="A52" s="3">
        <v>46</v>
      </c>
      <c r="B52" s="4" t="s">
        <v>359</v>
      </c>
      <c r="C52" s="4" t="s">
        <v>360</v>
      </c>
      <c r="D52" s="4" t="s">
        <v>69</v>
      </c>
      <c r="E52" s="5">
        <v>35292</v>
      </c>
      <c r="F52" s="6">
        <v>142.79143199999999</v>
      </c>
      <c r="G52" s="7">
        <v>4.4445700000000001E-3</v>
      </c>
      <c r="H52" s="51"/>
    </row>
    <row r="53" spans="1:8" ht="17.100000000000001" customHeight="1" x14ac:dyDescent="0.2">
      <c r="A53" s="3">
        <v>47</v>
      </c>
      <c r="B53" s="4" t="s">
        <v>593</v>
      </c>
      <c r="C53" s="4" t="s">
        <v>594</v>
      </c>
      <c r="D53" s="4" t="s">
        <v>72</v>
      </c>
      <c r="E53" s="5">
        <v>7625</v>
      </c>
      <c r="F53" s="6">
        <v>119.98699999999999</v>
      </c>
      <c r="G53" s="7">
        <v>3.734752E-3</v>
      </c>
      <c r="H53" s="51"/>
    </row>
    <row r="54" spans="1:8" ht="29.1" customHeight="1" x14ac:dyDescent="0.2">
      <c r="A54" s="3">
        <v>48</v>
      </c>
      <c r="B54" s="4" t="s">
        <v>457</v>
      </c>
      <c r="C54" s="4" t="s">
        <v>458</v>
      </c>
      <c r="D54" s="4" t="s">
        <v>367</v>
      </c>
      <c r="E54" s="5">
        <v>13358</v>
      </c>
      <c r="F54" s="6">
        <v>79.847444999999993</v>
      </c>
      <c r="G54" s="7">
        <v>2.4853560000000002E-3</v>
      </c>
      <c r="H54" s="51"/>
    </row>
    <row r="55" spans="1:8" ht="14.1" customHeight="1" x14ac:dyDescent="0.2">
      <c r="A55" s="1"/>
      <c r="B55" s="1"/>
      <c r="C55" s="2" t="s">
        <v>129</v>
      </c>
      <c r="D55" s="1"/>
      <c r="E55" s="1" t="s">
        <v>130</v>
      </c>
      <c r="F55" s="9">
        <v>29706.335726500001</v>
      </c>
      <c r="G55" s="10">
        <v>0.92464850899999984</v>
      </c>
      <c r="H55" s="51"/>
    </row>
    <row r="56" spans="1:8" ht="14.1" customHeight="1" x14ac:dyDescent="0.2">
      <c r="A56" s="1"/>
      <c r="B56" s="1"/>
      <c r="C56" s="11"/>
      <c r="D56" s="1"/>
      <c r="E56" s="1"/>
      <c r="F56" s="12"/>
      <c r="G56" s="12"/>
      <c r="H56" s="51"/>
    </row>
    <row r="57" spans="1:8" ht="14.1" customHeight="1" x14ac:dyDescent="0.2">
      <c r="A57" s="1"/>
      <c r="B57" s="1"/>
      <c r="C57" s="2" t="s">
        <v>131</v>
      </c>
      <c r="D57" s="1"/>
      <c r="E57" s="1"/>
      <c r="F57" s="1"/>
      <c r="G57" s="1"/>
      <c r="H57" s="51"/>
    </row>
    <row r="58" spans="1:8" ht="14.1" customHeight="1" x14ac:dyDescent="0.2">
      <c r="A58" s="1"/>
      <c r="B58" s="1"/>
      <c r="C58" s="2" t="s">
        <v>129</v>
      </c>
      <c r="D58" s="1"/>
      <c r="E58" s="1" t="s">
        <v>130</v>
      </c>
      <c r="F58" s="13">
        <v>0</v>
      </c>
      <c r="G58" s="14">
        <v>0</v>
      </c>
      <c r="H58" s="51"/>
    </row>
    <row r="59" spans="1:8" ht="14.1" customHeight="1" x14ac:dyDescent="0.2">
      <c r="A59" s="1"/>
      <c r="B59" s="1"/>
      <c r="C59" s="11"/>
      <c r="D59" s="1"/>
      <c r="E59" s="1"/>
      <c r="F59" s="12"/>
      <c r="G59" s="12"/>
      <c r="H59" s="51"/>
    </row>
    <row r="60" spans="1:8" ht="14.1" customHeight="1" x14ac:dyDescent="0.2">
      <c r="A60" s="1"/>
      <c r="B60" s="1"/>
      <c r="C60" s="2" t="s">
        <v>132</v>
      </c>
      <c r="D60" s="1"/>
      <c r="E60" s="1"/>
      <c r="F60" s="1"/>
      <c r="G60" s="1"/>
      <c r="H60" s="51"/>
    </row>
    <row r="61" spans="1:8" ht="17.100000000000001" customHeight="1" x14ac:dyDescent="0.2">
      <c r="A61" s="3">
        <v>1</v>
      </c>
      <c r="B61" s="4" t="s">
        <v>595</v>
      </c>
      <c r="C61" s="38" t="s">
        <v>998</v>
      </c>
      <c r="D61" s="4"/>
      <c r="E61" s="5">
        <v>50000</v>
      </c>
      <c r="F61" s="6">
        <v>5.46</v>
      </c>
      <c r="G61" s="7">
        <v>1.6995000000000001E-4</v>
      </c>
      <c r="H61" s="51"/>
    </row>
    <row r="62" spans="1:8" ht="17.100000000000001" customHeight="1" x14ac:dyDescent="0.2">
      <c r="A62" s="3">
        <v>2</v>
      </c>
      <c r="B62" s="4" t="s">
        <v>596</v>
      </c>
      <c r="C62" s="38" t="s">
        <v>997</v>
      </c>
      <c r="D62" s="4"/>
      <c r="E62" s="5">
        <v>50000</v>
      </c>
      <c r="F62" s="6">
        <v>4.9999999999999998E-7</v>
      </c>
      <c r="G62" s="8" t="s">
        <v>128</v>
      </c>
      <c r="H62" s="51"/>
    </row>
    <row r="63" spans="1:8" ht="17.100000000000001" customHeight="1" x14ac:dyDescent="0.2">
      <c r="A63" s="3">
        <v>3</v>
      </c>
      <c r="B63" s="4" t="s">
        <v>597</v>
      </c>
      <c r="C63" s="38" t="s">
        <v>999</v>
      </c>
      <c r="D63" s="4"/>
      <c r="E63" s="5">
        <v>20</v>
      </c>
      <c r="F63" s="6">
        <v>0</v>
      </c>
      <c r="G63" s="8" t="s">
        <v>128</v>
      </c>
      <c r="H63" s="51"/>
    </row>
    <row r="64" spans="1:8" ht="17.100000000000001" customHeight="1" x14ac:dyDescent="0.2">
      <c r="A64" s="3">
        <v>4</v>
      </c>
      <c r="B64" s="4" t="s">
        <v>598</v>
      </c>
      <c r="C64" s="38" t="s">
        <v>996</v>
      </c>
      <c r="D64" s="4"/>
      <c r="E64" s="5">
        <v>200000</v>
      </c>
      <c r="F64" s="6">
        <v>1.9999999999999999E-6</v>
      </c>
      <c r="G64" s="8" t="s">
        <v>128</v>
      </c>
      <c r="H64" s="51"/>
    </row>
    <row r="65" spans="1:8" ht="14.1" customHeight="1" x14ac:dyDescent="0.2">
      <c r="A65" s="1"/>
      <c r="B65" s="1"/>
      <c r="C65" s="2" t="s">
        <v>129</v>
      </c>
      <c r="D65" s="1"/>
      <c r="E65" s="1" t="s">
        <v>130</v>
      </c>
      <c r="F65" s="13">
        <v>5.4600024999999999</v>
      </c>
      <c r="G65" s="14">
        <v>1.6995000000000001E-4</v>
      </c>
      <c r="H65" s="51"/>
    </row>
    <row r="66" spans="1:8" ht="14.1" customHeight="1" x14ac:dyDescent="0.2">
      <c r="A66" s="1"/>
      <c r="B66" s="1"/>
      <c r="C66" s="11"/>
      <c r="D66" s="1"/>
      <c r="E66" s="1"/>
      <c r="F66" s="12"/>
      <c r="G66" s="12"/>
      <c r="H66" s="51"/>
    </row>
    <row r="67" spans="1:8" ht="14.1" customHeight="1" x14ac:dyDescent="0.2">
      <c r="A67" s="1"/>
      <c r="B67" s="1"/>
      <c r="C67" s="2" t="s">
        <v>133</v>
      </c>
      <c r="D67" s="1"/>
      <c r="E67" s="1"/>
      <c r="F67" s="1"/>
      <c r="G67" s="1"/>
      <c r="H67" s="51"/>
    </row>
    <row r="68" spans="1:8" ht="14.1" customHeight="1" x14ac:dyDescent="0.2">
      <c r="A68" s="1"/>
      <c r="B68" s="1"/>
      <c r="C68" s="2" t="s">
        <v>129</v>
      </c>
      <c r="D68" s="1"/>
      <c r="E68" s="1" t="s">
        <v>130</v>
      </c>
      <c r="F68" s="13">
        <v>0</v>
      </c>
      <c r="G68" s="14">
        <v>0</v>
      </c>
      <c r="H68" s="51"/>
    </row>
    <row r="69" spans="1:8" ht="14.1" customHeight="1" x14ac:dyDescent="0.2">
      <c r="A69" s="1"/>
      <c r="B69" s="1"/>
      <c r="C69" s="11"/>
      <c r="D69" s="1"/>
      <c r="E69" s="1"/>
      <c r="F69" s="12"/>
      <c r="G69" s="12"/>
      <c r="H69" s="51"/>
    </row>
    <row r="70" spans="1:8" ht="14.1" customHeight="1" x14ac:dyDescent="0.2">
      <c r="A70" s="1"/>
      <c r="B70" s="1"/>
      <c r="C70" s="2" t="s">
        <v>134</v>
      </c>
      <c r="D70" s="1"/>
      <c r="E70" s="1"/>
      <c r="F70" s="12"/>
      <c r="G70" s="12"/>
      <c r="H70" s="51"/>
    </row>
    <row r="71" spans="1:8" ht="14.1" customHeight="1" x14ac:dyDescent="0.2">
      <c r="A71" s="1"/>
      <c r="B71" s="1"/>
      <c r="C71" s="2" t="s">
        <v>129</v>
      </c>
      <c r="D71" s="1"/>
      <c r="E71" s="1" t="s">
        <v>130</v>
      </c>
      <c r="F71" s="13">
        <v>0</v>
      </c>
      <c r="G71" s="14">
        <v>0</v>
      </c>
      <c r="H71" s="51"/>
    </row>
    <row r="72" spans="1:8" ht="14.1" customHeight="1" x14ac:dyDescent="0.2">
      <c r="A72" s="1"/>
      <c r="B72" s="1"/>
      <c r="C72" s="11"/>
      <c r="D72" s="1"/>
      <c r="E72" s="1"/>
      <c r="F72" s="12"/>
      <c r="G72" s="12"/>
      <c r="H72" s="51"/>
    </row>
    <row r="73" spans="1:8" ht="14.1" customHeight="1" x14ac:dyDescent="0.2">
      <c r="A73" s="1"/>
      <c r="B73" s="1"/>
      <c r="C73" s="2" t="s">
        <v>135</v>
      </c>
      <c r="D73" s="1"/>
      <c r="E73" s="1"/>
      <c r="F73" s="12"/>
      <c r="G73" s="12"/>
      <c r="H73" s="51"/>
    </row>
    <row r="74" spans="1:8" ht="14.1" customHeight="1" x14ac:dyDescent="0.2">
      <c r="A74" s="1"/>
      <c r="B74" s="1"/>
      <c r="C74" s="2" t="s">
        <v>129</v>
      </c>
      <c r="D74" s="1"/>
      <c r="E74" s="1" t="s">
        <v>130</v>
      </c>
      <c r="F74" s="13">
        <v>0</v>
      </c>
      <c r="G74" s="14">
        <v>0</v>
      </c>
      <c r="H74" s="51"/>
    </row>
    <row r="75" spans="1:8" ht="14.1" customHeight="1" x14ac:dyDescent="0.2">
      <c r="A75" s="1"/>
      <c r="B75" s="1"/>
      <c r="C75" s="11"/>
      <c r="D75" s="1"/>
      <c r="E75" s="1"/>
      <c r="F75" s="12"/>
      <c r="G75" s="12"/>
      <c r="H75" s="51"/>
    </row>
    <row r="76" spans="1:8" ht="18" customHeight="1" x14ac:dyDescent="0.2">
      <c r="A76" s="1"/>
      <c r="B76" s="1"/>
      <c r="C76" s="2" t="s">
        <v>136</v>
      </c>
      <c r="D76" s="1"/>
      <c r="E76" s="1"/>
      <c r="F76" s="9">
        <v>29711.795729000001</v>
      </c>
      <c r="G76" s="10">
        <v>0.92481845900000004</v>
      </c>
      <c r="H76" s="51"/>
    </row>
    <row r="77" spans="1:8" ht="14.1" customHeight="1" x14ac:dyDescent="0.2">
      <c r="A77" s="1"/>
      <c r="B77" s="1"/>
      <c r="C77" s="11"/>
      <c r="D77" s="1"/>
      <c r="E77" s="1"/>
      <c r="F77" s="12"/>
      <c r="G77" s="12"/>
      <c r="H77" s="51"/>
    </row>
    <row r="78" spans="1:8" ht="14.1" customHeight="1" x14ac:dyDescent="0.2">
      <c r="A78" s="1"/>
      <c r="B78" s="1"/>
      <c r="C78" s="2" t="s">
        <v>137</v>
      </c>
      <c r="D78" s="1"/>
      <c r="E78" s="1"/>
      <c r="F78" s="12"/>
      <c r="G78" s="12"/>
      <c r="H78" s="51"/>
    </row>
    <row r="79" spans="1:8" ht="24" customHeight="1" x14ac:dyDescent="0.2">
      <c r="A79" s="1"/>
      <c r="B79" s="1"/>
      <c r="C79" s="2" t="s">
        <v>10</v>
      </c>
      <c r="D79" s="1"/>
      <c r="E79" s="1"/>
      <c r="F79" s="12"/>
      <c r="G79" s="12"/>
      <c r="H79" s="51"/>
    </row>
    <row r="80" spans="1:8" ht="29.1" customHeight="1" x14ac:dyDescent="0.2">
      <c r="A80" s="3">
        <v>1</v>
      </c>
      <c r="B80" s="4" t="s">
        <v>599</v>
      </c>
      <c r="C80" s="4" t="s">
        <v>600</v>
      </c>
      <c r="D80" s="4" t="s">
        <v>601</v>
      </c>
      <c r="E80" s="5">
        <v>4200</v>
      </c>
      <c r="F80" s="6">
        <v>1.1811240000000001</v>
      </c>
      <c r="G80" s="8" t="s">
        <v>128</v>
      </c>
      <c r="H80" s="51">
        <v>7.4649999999999999</v>
      </c>
    </row>
    <row r="81" spans="1:8" ht="14.1" customHeight="1" x14ac:dyDescent="0.2">
      <c r="A81" s="1"/>
      <c r="B81" s="1"/>
      <c r="C81" s="2" t="s">
        <v>129</v>
      </c>
      <c r="D81" s="1"/>
      <c r="E81" s="1" t="s">
        <v>130</v>
      </c>
      <c r="F81" s="9">
        <v>1.1811240000000001</v>
      </c>
      <c r="G81" s="10">
        <v>3.6764000000000002E-5</v>
      </c>
      <c r="H81" s="51"/>
    </row>
    <row r="82" spans="1:8" ht="14.1" customHeight="1" x14ac:dyDescent="0.2">
      <c r="A82" s="1"/>
      <c r="B82" s="1"/>
      <c r="C82" s="11"/>
      <c r="D82" s="1"/>
      <c r="E82" s="1"/>
      <c r="F82" s="12"/>
      <c r="G82" s="12"/>
      <c r="H82" s="51"/>
    </row>
    <row r="83" spans="1:8" ht="14.1" customHeight="1" x14ac:dyDescent="0.2">
      <c r="A83" s="1"/>
      <c r="B83" s="1"/>
      <c r="C83" s="2" t="s">
        <v>138</v>
      </c>
      <c r="D83" s="1"/>
      <c r="E83" s="1"/>
      <c r="F83" s="1"/>
      <c r="G83" s="1"/>
      <c r="H83" s="51"/>
    </row>
    <row r="84" spans="1:8" ht="14.1" customHeight="1" x14ac:dyDescent="0.2">
      <c r="A84" s="1"/>
      <c r="B84" s="1"/>
      <c r="C84" s="2" t="s">
        <v>129</v>
      </c>
      <c r="D84" s="1"/>
      <c r="E84" s="1" t="s">
        <v>130</v>
      </c>
      <c r="F84" s="13">
        <v>0</v>
      </c>
      <c r="G84" s="14">
        <v>0</v>
      </c>
      <c r="H84" s="51"/>
    </row>
    <row r="85" spans="1:8" ht="14.1" customHeight="1" x14ac:dyDescent="0.2">
      <c r="A85" s="1"/>
      <c r="B85" s="1"/>
      <c r="C85" s="11"/>
      <c r="D85" s="1"/>
      <c r="E85" s="1"/>
      <c r="F85" s="12"/>
      <c r="G85" s="12"/>
      <c r="H85" s="51"/>
    </row>
    <row r="86" spans="1:8" ht="14.1" customHeight="1" x14ac:dyDescent="0.2">
      <c r="A86" s="1"/>
      <c r="B86" s="1"/>
      <c r="C86" s="2" t="s">
        <v>139</v>
      </c>
      <c r="D86" s="1"/>
      <c r="E86" s="1"/>
      <c r="F86" s="1"/>
      <c r="G86" s="1"/>
      <c r="H86" s="51"/>
    </row>
    <row r="87" spans="1:8" ht="14.1" customHeight="1" x14ac:dyDescent="0.2">
      <c r="A87" s="1"/>
      <c r="B87" s="1"/>
      <c r="C87" s="2" t="s">
        <v>129</v>
      </c>
      <c r="D87" s="1"/>
      <c r="E87" s="1" t="s">
        <v>130</v>
      </c>
      <c r="F87" s="13">
        <v>0</v>
      </c>
      <c r="G87" s="14">
        <v>0</v>
      </c>
      <c r="H87" s="51"/>
    </row>
    <row r="88" spans="1:8" ht="14.1" customHeight="1" x14ac:dyDescent="0.2">
      <c r="A88" s="1"/>
      <c r="B88" s="1"/>
      <c r="C88" s="11"/>
      <c r="D88" s="1"/>
      <c r="E88" s="1"/>
      <c r="F88" s="12"/>
      <c r="G88" s="12"/>
      <c r="H88" s="51"/>
    </row>
    <row r="89" spans="1:8" ht="14.1" customHeight="1" x14ac:dyDescent="0.2">
      <c r="A89" s="1"/>
      <c r="B89" s="1"/>
      <c r="C89" s="2" t="s">
        <v>140</v>
      </c>
      <c r="D89" s="1"/>
      <c r="E89" s="1"/>
      <c r="F89" s="12"/>
      <c r="G89" s="12"/>
      <c r="H89" s="51"/>
    </row>
    <row r="90" spans="1:8" ht="14.1" customHeight="1" x14ac:dyDescent="0.2">
      <c r="A90" s="1"/>
      <c r="B90" s="1"/>
      <c r="C90" s="2" t="s">
        <v>129</v>
      </c>
      <c r="D90" s="1"/>
      <c r="E90" s="1" t="s">
        <v>130</v>
      </c>
      <c r="F90" s="13">
        <v>0</v>
      </c>
      <c r="G90" s="14">
        <v>0</v>
      </c>
      <c r="H90" s="51"/>
    </row>
    <row r="91" spans="1:8" ht="14.1" customHeight="1" x14ac:dyDescent="0.2">
      <c r="A91" s="1"/>
      <c r="B91" s="1"/>
      <c r="C91" s="11"/>
      <c r="D91" s="1"/>
      <c r="E91" s="1"/>
      <c r="F91" s="12"/>
      <c r="G91" s="12"/>
      <c r="H91" s="51"/>
    </row>
    <row r="92" spans="1:8" ht="14.1" customHeight="1" x14ac:dyDescent="0.2">
      <c r="A92" s="1"/>
      <c r="B92" s="1"/>
      <c r="C92" s="2" t="s">
        <v>141</v>
      </c>
      <c r="D92" s="1"/>
      <c r="E92" s="1"/>
      <c r="F92" s="9">
        <v>1.1811240000000001</v>
      </c>
      <c r="G92" s="10">
        <v>3.6764000000000002E-5</v>
      </c>
      <c r="H92" s="51"/>
    </row>
    <row r="93" spans="1:8" ht="14.1" customHeight="1" x14ac:dyDescent="0.2">
      <c r="A93" s="1"/>
      <c r="B93" s="1"/>
      <c r="C93" s="11"/>
      <c r="D93" s="1"/>
      <c r="E93" s="1"/>
      <c r="F93" s="12"/>
      <c r="G93" s="12"/>
      <c r="H93" s="51"/>
    </row>
    <row r="94" spans="1:8" ht="14.1" customHeight="1" x14ac:dyDescent="0.2">
      <c r="A94" s="1"/>
      <c r="B94" s="1"/>
      <c r="C94" s="2" t="s">
        <v>142</v>
      </c>
      <c r="D94" s="1"/>
      <c r="E94" s="1"/>
      <c r="F94" s="12"/>
      <c r="G94" s="12"/>
      <c r="H94" s="51"/>
    </row>
    <row r="95" spans="1:8" ht="14.1" customHeight="1" x14ac:dyDescent="0.2">
      <c r="A95" s="1"/>
      <c r="B95" s="1"/>
      <c r="C95" s="2" t="s">
        <v>143</v>
      </c>
      <c r="D95" s="1"/>
      <c r="E95" s="1"/>
      <c r="F95" s="12"/>
      <c r="G95" s="12"/>
      <c r="H95" s="51"/>
    </row>
    <row r="96" spans="1:8" ht="14.1" customHeight="1" x14ac:dyDescent="0.2">
      <c r="A96" s="1"/>
      <c r="B96" s="1"/>
      <c r="C96" s="2" t="s">
        <v>129</v>
      </c>
      <c r="D96" s="1"/>
      <c r="E96" s="1" t="s">
        <v>130</v>
      </c>
      <c r="F96" s="13">
        <v>0</v>
      </c>
      <c r="G96" s="14">
        <v>0</v>
      </c>
      <c r="H96" s="51"/>
    </row>
    <row r="97" spans="1:8" ht="14.1" customHeight="1" x14ac:dyDescent="0.2">
      <c r="A97" s="1"/>
      <c r="B97" s="1"/>
      <c r="C97" s="11"/>
      <c r="D97" s="1"/>
      <c r="E97" s="1"/>
      <c r="F97" s="12"/>
      <c r="G97" s="12"/>
      <c r="H97" s="51"/>
    </row>
    <row r="98" spans="1:8" ht="14.1" customHeight="1" x14ac:dyDescent="0.2">
      <c r="A98" s="1"/>
      <c r="B98" s="1"/>
      <c r="C98" s="2" t="s">
        <v>144</v>
      </c>
      <c r="D98" s="1"/>
      <c r="E98" s="1"/>
      <c r="F98" s="12"/>
      <c r="G98" s="12"/>
      <c r="H98" s="51"/>
    </row>
    <row r="99" spans="1:8" ht="14.1" customHeight="1" x14ac:dyDescent="0.2">
      <c r="A99" s="1"/>
      <c r="B99" s="1"/>
      <c r="C99" s="2" t="s">
        <v>129</v>
      </c>
      <c r="D99" s="1"/>
      <c r="E99" s="1" t="s">
        <v>130</v>
      </c>
      <c r="F99" s="13">
        <v>0</v>
      </c>
      <c r="G99" s="14">
        <v>0</v>
      </c>
      <c r="H99" s="51"/>
    </row>
    <row r="100" spans="1:8" ht="14.1" customHeight="1" x14ac:dyDescent="0.2">
      <c r="A100" s="1"/>
      <c r="B100" s="1"/>
      <c r="C100" s="11"/>
      <c r="D100" s="1"/>
      <c r="E100" s="1"/>
      <c r="F100" s="12"/>
      <c r="G100" s="12"/>
      <c r="H100" s="51"/>
    </row>
    <row r="101" spans="1:8" ht="14.1" customHeight="1" x14ac:dyDescent="0.2">
      <c r="A101" s="1"/>
      <c r="B101" s="1"/>
      <c r="C101" s="2" t="s">
        <v>145</v>
      </c>
      <c r="D101" s="1"/>
      <c r="E101" s="1"/>
      <c r="F101" s="12"/>
      <c r="G101" s="12"/>
      <c r="H101" s="51"/>
    </row>
    <row r="102" spans="1:8" ht="14.1" customHeight="1" x14ac:dyDescent="0.2">
      <c r="A102" s="1"/>
      <c r="B102" s="1"/>
      <c r="C102" s="2" t="s">
        <v>129</v>
      </c>
      <c r="D102" s="1"/>
      <c r="E102" s="1" t="s">
        <v>130</v>
      </c>
      <c r="F102" s="13">
        <v>0</v>
      </c>
      <c r="G102" s="14">
        <v>0</v>
      </c>
      <c r="H102" s="51"/>
    </row>
    <row r="103" spans="1:8" ht="14.1" customHeight="1" x14ac:dyDescent="0.2">
      <c r="A103" s="1"/>
      <c r="B103" s="1"/>
      <c r="C103" s="11"/>
      <c r="D103" s="1"/>
      <c r="E103" s="1"/>
      <c r="F103" s="12"/>
      <c r="G103" s="12"/>
      <c r="H103" s="51"/>
    </row>
    <row r="104" spans="1:8" ht="14.1" customHeight="1" x14ac:dyDescent="0.2">
      <c r="A104" s="1"/>
      <c r="B104" s="1"/>
      <c r="C104" s="2" t="s">
        <v>146</v>
      </c>
      <c r="D104" s="1"/>
      <c r="E104" s="1"/>
      <c r="F104" s="12"/>
      <c r="G104" s="12"/>
      <c r="H104" s="51"/>
    </row>
    <row r="105" spans="1:8" ht="17.100000000000001" customHeight="1" x14ac:dyDescent="0.2">
      <c r="A105" s="3">
        <v>1</v>
      </c>
      <c r="B105" s="4"/>
      <c r="C105" s="4" t="s">
        <v>147</v>
      </c>
      <c r="D105" s="4"/>
      <c r="E105" s="8"/>
      <c r="F105" s="6">
        <v>2622.6678898</v>
      </c>
      <c r="G105" s="7">
        <v>8.1633965000000003E-2</v>
      </c>
      <c r="H105" s="51">
        <v>6.1245112103248278</v>
      </c>
    </row>
    <row r="106" spans="1:8" ht="14.1" customHeight="1" x14ac:dyDescent="0.2">
      <c r="A106" s="1"/>
      <c r="B106" s="1"/>
      <c r="C106" s="2" t="s">
        <v>129</v>
      </c>
      <c r="D106" s="1"/>
      <c r="E106" s="1" t="s">
        <v>130</v>
      </c>
      <c r="F106" s="9">
        <v>2622.6678898</v>
      </c>
      <c r="G106" s="10">
        <v>8.1633965000000003E-2</v>
      </c>
      <c r="H106" s="51"/>
    </row>
    <row r="107" spans="1:8" ht="14.1" customHeight="1" x14ac:dyDescent="0.2">
      <c r="A107" s="1"/>
      <c r="B107" s="1"/>
      <c r="C107" s="11"/>
      <c r="D107" s="1"/>
      <c r="E107" s="1"/>
      <c r="F107" s="12"/>
      <c r="G107" s="12"/>
      <c r="H107" s="51"/>
    </row>
    <row r="108" spans="1:8" ht="14.1" customHeight="1" x14ac:dyDescent="0.2">
      <c r="A108" s="1"/>
      <c r="B108" s="1"/>
      <c r="C108" s="2" t="s">
        <v>148</v>
      </c>
      <c r="D108" s="1"/>
      <c r="E108" s="1"/>
      <c r="F108" s="9">
        <v>2622.6678898</v>
      </c>
      <c r="G108" s="10">
        <v>8.1633965000000003E-2</v>
      </c>
      <c r="H108" s="51"/>
    </row>
    <row r="109" spans="1:8" ht="14.1" customHeight="1" x14ac:dyDescent="0.2">
      <c r="A109" s="1"/>
      <c r="B109" s="1"/>
      <c r="C109" s="12"/>
      <c r="D109" s="1"/>
      <c r="E109" s="1"/>
      <c r="F109" s="1"/>
      <c r="G109" s="1"/>
      <c r="H109" s="51"/>
    </row>
    <row r="110" spans="1:8" ht="14.1" customHeight="1" x14ac:dyDescent="0.2">
      <c r="A110" s="1"/>
      <c r="B110" s="1"/>
      <c r="C110" s="2" t="s">
        <v>149</v>
      </c>
      <c r="D110" s="1"/>
      <c r="E110" s="1"/>
      <c r="F110" s="1"/>
      <c r="G110" s="1"/>
      <c r="H110" s="51"/>
    </row>
    <row r="111" spans="1:8" ht="14.1" customHeight="1" x14ac:dyDescent="0.2">
      <c r="A111" s="1"/>
      <c r="B111" s="1"/>
      <c r="C111" s="2" t="s">
        <v>150</v>
      </c>
      <c r="D111" s="1"/>
      <c r="E111" s="1"/>
      <c r="F111" s="1"/>
      <c r="G111" s="1"/>
      <c r="H111" s="51"/>
    </row>
    <row r="112" spans="1:8" ht="14.1" customHeight="1" x14ac:dyDescent="0.2">
      <c r="A112" s="1"/>
      <c r="B112" s="1"/>
      <c r="C112" s="2" t="s">
        <v>129</v>
      </c>
      <c r="D112" s="1"/>
      <c r="E112" s="1" t="s">
        <v>130</v>
      </c>
      <c r="F112" s="13">
        <v>0</v>
      </c>
      <c r="G112" s="14">
        <v>0</v>
      </c>
      <c r="H112" s="51"/>
    </row>
    <row r="113" spans="1:14" ht="14.1" customHeight="1" x14ac:dyDescent="0.2">
      <c r="A113" s="1"/>
      <c r="B113" s="1"/>
      <c r="C113" s="11"/>
      <c r="D113" s="1"/>
      <c r="E113" s="1"/>
      <c r="F113" s="12"/>
      <c r="G113" s="12"/>
      <c r="H113" s="51"/>
    </row>
    <row r="114" spans="1:14" ht="14.1" customHeight="1" x14ac:dyDescent="0.2">
      <c r="A114" s="1"/>
      <c r="B114" s="1"/>
      <c r="C114" s="2" t="s">
        <v>151</v>
      </c>
      <c r="D114" s="1"/>
      <c r="E114" s="1"/>
      <c r="F114" s="1"/>
      <c r="G114" s="1"/>
      <c r="H114" s="51"/>
    </row>
    <row r="115" spans="1:14" ht="14.1" customHeight="1" x14ac:dyDescent="0.2">
      <c r="A115" s="1"/>
      <c r="B115" s="1"/>
      <c r="C115" s="2" t="s">
        <v>152</v>
      </c>
      <c r="D115" s="1"/>
      <c r="E115" s="1"/>
      <c r="F115" s="1"/>
      <c r="G115" s="1"/>
      <c r="H115" s="51"/>
    </row>
    <row r="116" spans="1:14" ht="14.1" customHeight="1" x14ac:dyDescent="0.2">
      <c r="A116" s="1"/>
      <c r="B116" s="1"/>
      <c r="C116" s="2" t="s">
        <v>129</v>
      </c>
      <c r="D116" s="1"/>
      <c r="E116" s="1" t="s">
        <v>130</v>
      </c>
      <c r="F116" s="13">
        <v>0</v>
      </c>
      <c r="G116" s="14">
        <v>0</v>
      </c>
      <c r="H116" s="51"/>
    </row>
    <row r="117" spans="1:14" ht="14.1" customHeight="1" x14ac:dyDescent="0.2">
      <c r="A117" s="1"/>
      <c r="B117" s="1"/>
      <c r="C117" s="11"/>
      <c r="D117" s="1"/>
      <c r="E117" s="1"/>
      <c r="F117" s="12"/>
      <c r="G117" s="12"/>
      <c r="H117" s="51"/>
    </row>
    <row r="118" spans="1:14" ht="14.1" customHeight="1" x14ac:dyDescent="0.2">
      <c r="A118" s="1"/>
      <c r="B118" s="1"/>
      <c r="C118" s="11"/>
      <c r="D118" s="1"/>
      <c r="E118" s="1"/>
      <c r="F118" s="12"/>
      <c r="G118" s="12"/>
      <c r="H118" s="51"/>
    </row>
    <row r="119" spans="1:14" ht="24" customHeight="1" x14ac:dyDescent="0.2">
      <c r="A119" s="1"/>
      <c r="B119" s="1"/>
      <c r="C119" s="2" t="s">
        <v>153</v>
      </c>
      <c r="D119" s="1"/>
      <c r="E119" s="1"/>
      <c r="F119" s="12"/>
      <c r="G119" s="12"/>
      <c r="H119" s="51"/>
    </row>
    <row r="120" spans="1:14" ht="14.1" customHeight="1" x14ac:dyDescent="0.2">
      <c r="A120" s="1"/>
      <c r="B120" s="1"/>
      <c r="C120" s="2" t="s">
        <v>129</v>
      </c>
      <c r="D120" s="1"/>
      <c r="E120" s="1" t="s">
        <v>130</v>
      </c>
      <c r="F120" s="13">
        <v>0</v>
      </c>
      <c r="G120" s="14">
        <v>0</v>
      </c>
      <c r="H120" s="51"/>
    </row>
    <row r="121" spans="1:14" ht="14.1" customHeight="1" x14ac:dyDescent="0.2">
      <c r="A121" s="1"/>
      <c r="B121" s="1"/>
      <c r="C121" s="11"/>
      <c r="D121" s="1"/>
      <c r="E121" s="1"/>
      <c r="F121" s="12"/>
      <c r="G121" s="12"/>
      <c r="H121" s="51"/>
      <c r="J121" s="41"/>
      <c r="K121" s="41"/>
      <c r="L121" s="41"/>
      <c r="M121" s="41"/>
      <c r="N121" s="41"/>
    </row>
    <row r="122" spans="1:14" ht="14.1" customHeight="1" x14ac:dyDescent="0.2">
      <c r="A122" s="1"/>
      <c r="B122" s="4"/>
      <c r="C122" s="4"/>
      <c r="D122" s="2"/>
      <c r="E122" s="1"/>
      <c r="F122" s="4"/>
      <c r="G122" s="8"/>
      <c r="H122" s="51"/>
    </row>
    <row r="123" spans="1:14" ht="18" customHeight="1" x14ac:dyDescent="0.2">
      <c r="A123" s="8"/>
      <c r="B123" s="4"/>
      <c r="C123" s="38" t="s">
        <v>764</v>
      </c>
      <c r="D123" s="4"/>
      <c r="E123" s="8"/>
      <c r="F123" s="6">
        <v>-208.47923793000001</v>
      </c>
      <c r="G123" s="7">
        <v>-6.4891890000000002E-3</v>
      </c>
      <c r="H123" s="51"/>
    </row>
    <row r="124" spans="1:14" ht="14.1" customHeight="1" x14ac:dyDescent="0.2">
      <c r="A124" s="11"/>
      <c r="B124" s="11"/>
      <c r="C124" s="2" t="s">
        <v>155</v>
      </c>
      <c r="D124" s="15"/>
      <c r="E124" s="15"/>
      <c r="F124" s="9">
        <v>32127.165504870001</v>
      </c>
      <c r="G124" s="10">
        <v>0.99999999900000003</v>
      </c>
      <c r="H124" s="51"/>
    </row>
    <row r="125" spans="1:14" ht="14.1" customHeight="1" x14ac:dyDescent="0.2">
      <c r="A125" s="16"/>
      <c r="B125" s="16"/>
      <c r="C125" s="16"/>
      <c r="D125" s="17"/>
      <c r="E125" s="17"/>
      <c r="F125" s="17"/>
      <c r="G125" s="17"/>
    </row>
    <row r="126" spans="1:14" ht="17.100000000000001" customHeight="1" x14ac:dyDescent="0.2">
      <c r="A126" s="18"/>
      <c r="B126" s="327" t="s">
        <v>602</v>
      </c>
      <c r="C126" s="327"/>
      <c r="D126" s="327"/>
      <c r="E126" s="327"/>
      <c r="F126" s="327"/>
      <c r="G126" s="20"/>
      <c r="I126" s="41"/>
    </row>
    <row r="127" spans="1:14" ht="17.100000000000001" customHeight="1" x14ac:dyDescent="0.2">
      <c r="A127" s="53"/>
      <c r="B127" s="344" t="s">
        <v>762</v>
      </c>
      <c r="C127" s="344"/>
      <c r="D127" s="344"/>
      <c r="E127" s="344"/>
      <c r="F127" s="344"/>
      <c r="G127" s="54"/>
    </row>
    <row r="128" spans="1:14" ht="17.100000000000001" customHeight="1" x14ac:dyDescent="0.2">
      <c r="A128" s="18"/>
      <c r="B128" s="327" t="s">
        <v>156</v>
      </c>
      <c r="C128" s="327"/>
      <c r="D128" s="327"/>
      <c r="E128" s="327"/>
      <c r="F128" s="327"/>
      <c r="G128" s="20"/>
    </row>
    <row r="129" spans="1:7" ht="14.1" customHeight="1" x14ac:dyDescent="0.2">
      <c r="A129" s="18"/>
      <c r="B129" s="18"/>
      <c r="C129" s="18"/>
      <c r="D129" s="20"/>
      <c r="E129" s="20"/>
      <c r="F129" s="20"/>
      <c r="G129" s="20"/>
    </row>
    <row r="130" spans="1:7" ht="14.1" customHeight="1" x14ac:dyDescent="0.2">
      <c r="A130" s="18"/>
      <c r="B130" s="325" t="s">
        <v>157</v>
      </c>
      <c r="C130" s="326"/>
      <c r="D130" s="12" t="s">
        <v>130</v>
      </c>
      <c r="E130" s="21"/>
      <c r="F130" s="20"/>
      <c r="G130" s="20"/>
    </row>
    <row r="131" spans="1:7" ht="29.1" customHeight="1" x14ac:dyDescent="0.2">
      <c r="A131" s="18"/>
      <c r="B131" s="318" t="s">
        <v>158</v>
      </c>
      <c r="C131" s="319"/>
      <c r="D131" s="111" t="s">
        <v>980</v>
      </c>
      <c r="E131" s="21"/>
      <c r="F131" s="20"/>
      <c r="G131" s="20"/>
    </row>
    <row r="132" spans="1:7" ht="17.100000000000001" customHeight="1" x14ac:dyDescent="0.2">
      <c r="A132" s="18"/>
      <c r="B132" s="318" t="s">
        <v>1000</v>
      </c>
      <c r="C132" s="319"/>
      <c r="D132" s="2" t="s">
        <v>1001</v>
      </c>
      <c r="E132" s="21"/>
      <c r="F132" s="20"/>
      <c r="G132" s="20"/>
    </row>
    <row r="133" spans="1:7" ht="17.100000000000001" customHeight="1" x14ac:dyDescent="0.2">
      <c r="A133" s="18"/>
      <c r="B133" s="318" t="s">
        <v>161</v>
      </c>
      <c r="C133" s="319"/>
      <c r="D133" s="12" t="s">
        <v>130</v>
      </c>
      <c r="E133" s="21"/>
      <c r="F133" s="20"/>
      <c r="G133" s="20"/>
    </row>
    <row r="134" spans="1:7" ht="24" customHeight="1" x14ac:dyDescent="0.2">
      <c r="A134" s="22"/>
      <c r="B134" s="23" t="s">
        <v>130</v>
      </c>
      <c r="C134" s="23" t="s">
        <v>162</v>
      </c>
      <c r="D134" s="23" t="s">
        <v>163</v>
      </c>
      <c r="E134" s="22"/>
      <c r="F134" s="22"/>
      <c r="G134" s="22"/>
    </row>
    <row r="135" spans="1:7" ht="18" customHeight="1" x14ac:dyDescent="0.2">
      <c r="A135" s="22"/>
      <c r="B135" s="23" t="s">
        <v>164</v>
      </c>
      <c r="C135" s="23" t="s">
        <v>165</v>
      </c>
      <c r="D135" s="23" t="s">
        <v>166</v>
      </c>
      <c r="E135" s="22"/>
      <c r="F135" s="22"/>
      <c r="G135" s="22"/>
    </row>
    <row r="136" spans="1:7" ht="17.100000000000001" customHeight="1" x14ac:dyDescent="0.2">
      <c r="A136" s="22"/>
      <c r="B136" s="4" t="s">
        <v>167</v>
      </c>
      <c r="C136" s="24">
        <v>90.860299999999995</v>
      </c>
      <c r="D136" s="24">
        <v>88.421199999999999</v>
      </c>
      <c r="E136" s="22"/>
      <c r="F136" s="19"/>
      <c r="G136" s="25"/>
    </row>
    <row r="137" spans="1:7" ht="29.1" customHeight="1" x14ac:dyDescent="0.2">
      <c r="A137" s="22"/>
      <c r="B137" s="4" t="s">
        <v>1070</v>
      </c>
      <c r="C137" s="24">
        <v>50.310099999999998</v>
      </c>
      <c r="D137" s="24">
        <v>47.222200000000001</v>
      </c>
      <c r="E137" s="22"/>
      <c r="F137" s="19"/>
      <c r="G137" s="25"/>
    </row>
    <row r="138" spans="1:7" ht="17.100000000000001" customHeight="1" x14ac:dyDescent="0.2">
      <c r="A138" s="22"/>
      <c r="B138" s="4" t="s">
        <v>168</v>
      </c>
      <c r="C138" s="24">
        <v>86.256600000000006</v>
      </c>
      <c r="D138" s="24">
        <v>83.889099999999999</v>
      </c>
      <c r="E138" s="22"/>
      <c r="F138" s="19"/>
      <c r="G138" s="25"/>
    </row>
    <row r="139" spans="1:7" ht="29.1" customHeight="1" x14ac:dyDescent="0.2">
      <c r="A139" s="22"/>
      <c r="B139" s="4" t="s">
        <v>1071</v>
      </c>
      <c r="C139" s="24">
        <v>31.128499999999999</v>
      </c>
      <c r="D139" s="24">
        <v>29.203199999999999</v>
      </c>
      <c r="E139" s="22"/>
      <c r="F139" s="19"/>
      <c r="G139" s="25"/>
    </row>
    <row r="140" spans="1:7" ht="14.1" customHeight="1" x14ac:dyDescent="0.2">
      <c r="A140" s="22"/>
      <c r="B140" s="22"/>
      <c r="C140" s="22"/>
      <c r="D140" s="22"/>
      <c r="E140" s="22"/>
      <c r="F140" s="22"/>
      <c r="G140" s="22"/>
    </row>
    <row r="141" spans="1:7" ht="17.100000000000001" customHeight="1" x14ac:dyDescent="0.2">
      <c r="A141" s="22"/>
      <c r="B141" s="318" t="s">
        <v>1069</v>
      </c>
      <c r="C141" s="319"/>
      <c r="D141" s="2" t="s">
        <v>130</v>
      </c>
      <c r="E141" s="22"/>
      <c r="F141" s="22"/>
      <c r="G141" s="22"/>
    </row>
    <row r="142" spans="1:7" ht="18" customHeight="1" x14ac:dyDescent="0.2">
      <c r="A142" s="85"/>
      <c r="B142" s="91" t="s">
        <v>164</v>
      </c>
      <c r="C142" s="92" t="s">
        <v>761</v>
      </c>
      <c r="D142" s="92" t="s">
        <v>760</v>
      </c>
      <c r="E142" s="85"/>
      <c r="F142" s="85"/>
      <c r="G142" s="85"/>
    </row>
    <row r="143" spans="1:7" ht="29.1" customHeight="1" x14ac:dyDescent="0.2">
      <c r="A143" s="85"/>
      <c r="B143" s="61" t="s">
        <v>1070</v>
      </c>
      <c r="C143" s="93">
        <v>1.75</v>
      </c>
      <c r="D143" s="117" t="s">
        <v>837</v>
      </c>
      <c r="E143" s="85"/>
      <c r="F143" s="89"/>
      <c r="G143" s="90"/>
    </row>
    <row r="144" spans="1:7" ht="29.1" customHeight="1" x14ac:dyDescent="0.2">
      <c r="A144" s="85"/>
      <c r="B144" s="61" t="s">
        <v>1071</v>
      </c>
      <c r="C144" s="93">
        <v>1.083</v>
      </c>
      <c r="D144" s="93">
        <v>1.083</v>
      </c>
      <c r="E144" s="85"/>
      <c r="F144" s="89"/>
      <c r="G144" s="90"/>
    </row>
    <row r="145" spans="1:7" ht="14.1" customHeight="1" x14ac:dyDescent="0.2">
      <c r="A145" s="22"/>
      <c r="B145" s="19"/>
      <c r="C145" s="19"/>
      <c r="D145" s="22"/>
      <c r="E145" s="22"/>
      <c r="F145" s="22"/>
      <c r="G145" s="22"/>
    </row>
    <row r="146" spans="1:7" ht="29.1" customHeight="1" x14ac:dyDescent="0.2">
      <c r="A146" s="22"/>
      <c r="B146" s="318" t="s">
        <v>169</v>
      </c>
      <c r="C146" s="319"/>
      <c r="D146" s="2" t="s">
        <v>159</v>
      </c>
      <c r="E146" s="22"/>
      <c r="F146" s="22"/>
      <c r="G146" s="22"/>
    </row>
    <row r="147" spans="1:7" ht="29.1" customHeight="1" x14ac:dyDescent="0.2">
      <c r="A147" s="22"/>
      <c r="B147" s="318" t="s">
        <v>170</v>
      </c>
      <c r="C147" s="319"/>
      <c r="D147" s="2" t="s">
        <v>159</v>
      </c>
      <c r="E147" s="22"/>
      <c r="F147" s="22"/>
      <c r="G147" s="22"/>
    </row>
    <row r="148" spans="1:7" ht="17.100000000000001" customHeight="1" x14ac:dyDescent="0.2">
      <c r="A148" s="22"/>
      <c r="B148" s="318" t="s">
        <v>171</v>
      </c>
      <c r="C148" s="319"/>
      <c r="D148" s="28">
        <v>0.30662395825650152</v>
      </c>
      <c r="E148" s="22"/>
      <c r="F148" s="19"/>
      <c r="G148" s="25"/>
    </row>
    <row r="149" spans="1:7" ht="17.100000000000001" customHeight="1" x14ac:dyDescent="0.2">
      <c r="A149" s="22"/>
      <c r="B149" s="318" t="s">
        <v>172</v>
      </c>
      <c r="C149" s="319"/>
      <c r="D149" s="2" t="s">
        <v>159</v>
      </c>
      <c r="E149" s="22"/>
      <c r="F149" s="22"/>
      <c r="G149" s="22"/>
    </row>
    <row r="151" spans="1:7" x14ac:dyDescent="0.2">
      <c r="B151" s="102" t="s">
        <v>993</v>
      </c>
      <c r="C151" s="102"/>
      <c r="D151" s="102"/>
      <c r="E151" s="103"/>
      <c r="F151" s="104"/>
    </row>
    <row r="152" spans="1:7" ht="38.25" x14ac:dyDescent="0.2">
      <c r="B152" s="142" t="s">
        <v>973</v>
      </c>
      <c r="C152" s="105" t="s">
        <v>974</v>
      </c>
      <c r="D152" s="105" t="s">
        <v>975</v>
      </c>
      <c r="E152" s="105" t="s">
        <v>976</v>
      </c>
      <c r="F152" s="105" t="s">
        <v>977</v>
      </c>
    </row>
    <row r="153" spans="1:7" ht="25.5" x14ac:dyDescent="0.2">
      <c r="B153" s="143" t="s">
        <v>1059</v>
      </c>
      <c r="C153" s="107" t="s">
        <v>979</v>
      </c>
      <c r="D153" s="144">
        <v>0</v>
      </c>
      <c r="E153" s="145">
        <v>0</v>
      </c>
      <c r="F153" s="146">
        <v>241.97234</v>
      </c>
    </row>
    <row r="154" spans="1:7" ht="25.5" x14ac:dyDescent="0.2">
      <c r="B154" s="143" t="s">
        <v>1060</v>
      </c>
      <c r="C154" s="107" t="s">
        <v>979</v>
      </c>
      <c r="D154" s="144">
        <v>0</v>
      </c>
      <c r="E154" s="145">
        <v>0</v>
      </c>
      <c r="F154" s="146">
        <v>23.186299999999999</v>
      </c>
    </row>
  </sheetData>
  <mergeCells count="16">
    <mergeCell ref="A1:H1"/>
    <mergeCell ref="A2:H2"/>
    <mergeCell ref="A3:H3"/>
    <mergeCell ref="J2:N2"/>
    <mergeCell ref="B148:C148"/>
    <mergeCell ref="B130:C130"/>
    <mergeCell ref="B126:F126"/>
    <mergeCell ref="B128:F128"/>
    <mergeCell ref="B127:F127"/>
    <mergeCell ref="B149:C149"/>
    <mergeCell ref="B131:C131"/>
    <mergeCell ref="B132:C132"/>
    <mergeCell ref="B133:C133"/>
    <mergeCell ref="B141:C141"/>
    <mergeCell ref="B146:C146"/>
    <mergeCell ref="B147:C147"/>
  </mergeCells>
  <hyperlinks>
    <hyperlink ref="I1" location="Index!B27" display="Index" xr:uid="{44BFD626-C470-4D7A-B13A-C8F51C85A38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outlinePr summaryBelow="0" summaryRight="0"/>
  </sheetPr>
  <dimension ref="A1:O198"/>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8" max="8" width="11.5703125" bestFit="1" customWidth="1"/>
    <col min="11" max="11" width="11.5703125" bestFit="1"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1080</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269</v>
      </c>
      <c r="C7" s="4" t="s">
        <v>270</v>
      </c>
      <c r="D7" s="4" t="s">
        <v>16</v>
      </c>
      <c r="E7" s="5">
        <v>208423</v>
      </c>
      <c r="F7" s="6">
        <v>2962.4203105000001</v>
      </c>
      <c r="G7" s="7">
        <v>7.4886507000000005E-2</v>
      </c>
      <c r="H7" s="51"/>
    </row>
    <row r="8" spans="1:14" ht="17.100000000000001" customHeight="1" x14ac:dyDescent="0.2">
      <c r="A8" s="3">
        <v>2</v>
      </c>
      <c r="B8" s="4" t="s">
        <v>14</v>
      </c>
      <c r="C8" s="4" t="s">
        <v>15</v>
      </c>
      <c r="D8" s="4" t="s">
        <v>16</v>
      </c>
      <c r="E8" s="5">
        <v>325433</v>
      </c>
      <c r="F8" s="6">
        <v>2805.2324600000002</v>
      </c>
      <c r="G8" s="7">
        <v>7.0912982999999999E-2</v>
      </c>
      <c r="H8" s="51"/>
    </row>
    <row r="9" spans="1:14" ht="17.100000000000001" customHeight="1" x14ac:dyDescent="0.2">
      <c r="A9" s="3">
        <v>3</v>
      </c>
      <c r="B9" s="4" t="s">
        <v>296</v>
      </c>
      <c r="C9" s="4" t="s">
        <v>297</v>
      </c>
      <c r="D9" s="4" t="s">
        <v>223</v>
      </c>
      <c r="E9" s="5">
        <v>116000</v>
      </c>
      <c r="F9" s="6">
        <v>1639.6020000000001</v>
      </c>
      <c r="G9" s="7">
        <v>4.1447214000000003E-2</v>
      </c>
      <c r="H9" s="51"/>
    </row>
    <row r="10" spans="1:14" ht="53.1" customHeight="1" x14ac:dyDescent="0.2">
      <c r="A10" s="3">
        <v>4</v>
      </c>
      <c r="B10" s="4" t="s">
        <v>43</v>
      </c>
      <c r="C10" s="4" t="s">
        <v>44</v>
      </c>
      <c r="D10" s="4" t="s">
        <v>45</v>
      </c>
      <c r="E10" s="5">
        <v>918500</v>
      </c>
      <c r="F10" s="6">
        <v>1402.09025</v>
      </c>
      <c r="G10" s="7">
        <v>3.5443194999999997E-2</v>
      </c>
      <c r="H10" s="51"/>
    </row>
    <row r="11" spans="1:14" ht="17.100000000000001" customHeight="1" x14ac:dyDescent="0.2">
      <c r="A11" s="3">
        <v>5</v>
      </c>
      <c r="B11" s="4" t="s">
        <v>333</v>
      </c>
      <c r="C11" s="4" t="s">
        <v>334</v>
      </c>
      <c r="D11" s="4" t="s">
        <v>223</v>
      </c>
      <c r="E11" s="5">
        <v>132600</v>
      </c>
      <c r="F11" s="6">
        <v>1337.4036000000001</v>
      </c>
      <c r="G11" s="7">
        <v>3.3807993000000001E-2</v>
      </c>
      <c r="H11" s="51"/>
      <c r="J11" s="157" t="s">
        <v>1106</v>
      </c>
      <c r="K11" s="166"/>
      <c r="L11" s="166"/>
      <c r="M11" s="166"/>
      <c r="N11" s="166"/>
    </row>
    <row r="12" spans="1:14" ht="17.100000000000001" customHeight="1" x14ac:dyDescent="0.2">
      <c r="A12" s="3">
        <v>6</v>
      </c>
      <c r="B12" s="4" t="s">
        <v>308</v>
      </c>
      <c r="C12" s="4" t="s">
        <v>309</v>
      </c>
      <c r="D12" s="4" t="s">
        <v>310</v>
      </c>
      <c r="E12" s="5">
        <v>48458</v>
      </c>
      <c r="F12" s="6">
        <v>1306.645741</v>
      </c>
      <c r="G12" s="7">
        <v>3.3030469999999999E-2</v>
      </c>
      <c r="H12" s="51"/>
    </row>
    <row r="13" spans="1:14" ht="29.1" customHeight="1" x14ac:dyDescent="0.2">
      <c r="A13" s="3">
        <v>7</v>
      </c>
      <c r="B13" s="4" t="s">
        <v>298</v>
      </c>
      <c r="C13" s="4" t="s">
        <v>299</v>
      </c>
      <c r="D13" s="4" t="s">
        <v>97</v>
      </c>
      <c r="E13" s="5">
        <v>47100</v>
      </c>
      <c r="F13" s="6">
        <v>1077.53025</v>
      </c>
      <c r="G13" s="7">
        <v>2.7238700000000001E-2</v>
      </c>
      <c r="H13" s="51"/>
    </row>
    <row r="14" spans="1:14" ht="17.100000000000001" customHeight="1" x14ac:dyDescent="0.2">
      <c r="A14" s="3">
        <v>8</v>
      </c>
      <c r="B14" s="4" t="s">
        <v>349</v>
      </c>
      <c r="C14" s="4" t="s">
        <v>350</v>
      </c>
      <c r="D14" s="4" t="s">
        <v>97</v>
      </c>
      <c r="E14" s="5">
        <v>13125</v>
      </c>
      <c r="F14" s="6">
        <v>962.81718750000005</v>
      </c>
      <c r="G14" s="7">
        <v>2.4338887999999999E-2</v>
      </c>
      <c r="H14" s="51"/>
    </row>
    <row r="15" spans="1:14" ht="17.100000000000001" customHeight="1" x14ac:dyDescent="0.2">
      <c r="A15" s="3">
        <v>9</v>
      </c>
      <c r="B15" s="4" t="s">
        <v>195</v>
      </c>
      <c r="C15" s="4" t="s">
        <v>196</v>
      </c>
      <c r="D15" s="4" t="s">
        <v>16</v>
      </c>
      <c r="E15" s="5">
        <v>121365</v>
      </c>
      <c r="F15" s="6">
        <v>889.84817999999996</v>
      </c>
      <c r="G15" s="7">
        <v>2.2494317E-2</v>
      </c>
      <c r="H15" s="51"/>
    </row>
    <row r="16" spans="1:14" ht="17.100000000000001" customHeight="1" x14ac:dyDescent="0.2">
      <c r="A16" s="3">
        <v>10</v>
      </c>
      <c r="B16" s="4" t="s">
        <v>41</v>
      </c>
      <c r="C16" s="4" t="s">
        <v>42</v>
      </c>
      <c r="D16" s="4" t="s">
        <v>16</v>
      </c>
      <c r="E16" s="5">
        <v>167312</v>
      </c>
      <c r="F16" s="6">
        <v>887.75747200000001</v>
      </c>
      <c r="G16" s="7">
        <v>2.2441467E-2</v>
      </c>
      <c r="H16" s="51"/>
    </row>
    <row r="17" spans="1:14" ht="17.100000000000001" customHeight="1" x14ac:dyDescent="0.2">
      <c r="A17" s="3">
        <v>11</v>
      </c>
      <c r="B17" s="4" t="s">
        <v>67</v>
      </c>
      <c r="C17" s="4" t="s">
        <v>68</v>
      </c>
      <c r="D17" s="4" t="s">
        <v>69</v>
      </c>
      <c r="E17" s="5">
        <v>10000</v>
      </c>
      <c r="F17" s="6">
        <v>882.81500000000005</v>
      </c>
      <c r="G17" s="7">
        <v>2.2316526999999999E-2</v>
      </c>
      <c r="H17" s="51"/>
    </row>
    <row r="18" spans="1:14" ht="17.100000000000001" customHeight="1" x14ac:dyDescent="0.2">
      <c r="A18" s="3">
        <v>12</v>
      </c>
      <c r="B18" s="4" t="s">
        <v>510</v>
      </c>
      <c r="C18" s="4" t="s">
        <v>511</v>
      </c>
      <c r="D18" s="4" t="s">
        <v>315</v>
      </c>
      <c r="E18" s="5">
        <v>15000</v>
      </c>
      <c r="F18" s="6">
        <v>595.51499999999999</v>
      </c>
      <c r="G18" s="7">
        <v>1.505392E-2</v>
      </c>
      <c r="H18" s="51"/>
    </row>
    <row r="19" spans="1:14" ht="17.100000000000001" customHeight="1" x14ac:dyDescent="0.2">
      <c r="A19" s="3">
        <v>13</v>
      </c>
      <c r="B19" s="4" t="s">
        <v>261</v>
      </c>
      <c r="C19" s="4" t="s">
        <v>262</v>
      </c>
      <c r="D19" s="4" t="s">
        <v>97</v>
      </c>
      <c r="E19" s="5">
        <v>35000</v>
      </c>
      <c r="F19" s="6">
        <v>587.42250000000001</v>
      </c>
      <c r="G19" s="7">
        <v>1.4849351E-2</v>
      </c>
      <c r="H19" s="51"/>
    </row>
    <row r="20" spans="1:14" ht="17.100000000000001" customHeight="1" x14ac:dyDescent="0.2">
      <c r="A20" s="3">
        <v>14</v>
      </c>
      <c r="B20" s="4" t="s">
        <v>39</v>
      </c>
      <c r="C20" s="4" t="s">
        <v>40</v>
      </c>
      <c r="D20" s="4" t="s">
        <v>31</v>
      </c>
      <c r="E20" s="5">
        <v>22000</v>
      </c>
      <c r="F20" s="6">
        <v>563.36500000000001</v>
      </c>
      <c r="G20" s="7">
        <v>1.4241205999999999E-2</v>
      </c>
      <c r="H20" s="51"/>
    </row>
    <row r="21" spans="1:14" ht="17.100000000000001" customHeight="1" x14ac:dyDescent="0.2">
      <c r="A21" s="3">
        <v>15</v>
      </c>
      <c r="B21" s="4" t="s">
        <v>84</v>
      </c>
      <c r="C21" s="4" t="s">
        <v>85</v>
      </c>
      <c r="D21" s="4" t="s">
        <v>36</v>
      </c>
      <c r="E21" s="5">
        <v>220555</v>
      </c>
      <c r="F21" s="6">
        <v>518.08369500000003</v>
      </c>
      <c r="G21" s="7">
        <v>1.3096548E-2</v>
      </c>
      <c r="H21" s="51"/>
    </row>
    <row r="22" spans="1:14" ht="17.100000000000001" customHeight="1" x14ac:dyDescent="0.2">
      <c r="A22" s="3">
        <v>16</v>
      </c>
      <c r="B22" s="4" t="s">
        <v>524</v>
      </c>
      <c r="C22" s="38" t="s">
        <v>1014</v>
      </c>
      <c r="D22" s="4" t="s">
        <v>69</v>
      </c>
      <c r="E22" s="5">
        <v>260000</v>
      </c>
      <c r="F22" s="6">
        <v>508.69</v>
      </c>
      <c r="G22" s="7">
        <v>1.2859086E-2</v>
      </c>
      <c r="H22" s="51"/>
    </row>
    <row r="23" spans="1:14" ht="29.1" customHeight="1" x14ac:dyDescent="0.2">
      <c r="A23" s="3">
        <v>17</v>
      </c>
      <c r="B23" s="4" t="s">
        <v>95</v>
      </c>
      <c r="C23" s="4" t="s">
        <v>96</v>
      </c>
      <c r="D23" s="4" t="s">
        <v>97</v>
      </c>
      <c r="E23" s="5">
        <v>67000</v>
      </c>
      <c r="F23" s="6">
        <v>490.57400000000001</v>
      </c>
      <c r="G23" s="7">
        <v>1.2401135000000001E-2</v>
      </c>
      <c r="H23" s="51"/>
    </row>
    <row r="24" spans="1:14" ht="17.100000000000001" customHeight="1" x14ac:dyDescent="0.2">
      <c r="A24" s="3">
        <v>18</v>
      </c>
      <c r="B24" s="4" t="s">
        <v>347</v>
      </c>
      <c r="C24" s="4" t="s">
        <v>348</v>
      </c>
      <c r="D24" s="4" t="s">
        <v>16</v>
      </c>
      <c r="E24" s="5">
        <v>209000</v>
      </c>
      <c r="F24" s="6">
        <v>478.08749999999998</v>
      </c>
      <c r="G24" s="7">
        <v>1.2085491E-2</v>
      </c>
      <c r="H24" s="51"/>
    </row>
    <row r="25" spans="1:14" ht="17.100000000000001" customHeight="1" x14ac:dyDescent="0.2">
      <c r="A25" s="3">
        <v>19</v>
      </c>
      <c r="B25" s="4" t="s">
        <v>20</v>
      </c>
      <c r="C25" s="4" t="s">
        <v>21</v>
      </c>
      <c r="D25" s="4" t="s">
        <v>22</v>
      </c>
      <c r="E25" s="5">
        <v>19000</v>
      </c>
      <c r="F25" s="6">
        <v>451.77249999999998</v>
      </c>
      <c r="G25" s="7">
        <v>1.1420278000000001E-2</v>
      </c>
      <c r="H25" s="51"/>
    </row>
    <row r="26" spans="1:14" ht="17.100000000000001" customHeight="1" x14ac:dyDescent="0.2">
      <c r="A26" s="3">
        <v>20</v>
      </c>
      <c r="B26" s="4" t="s">
        <v>306</v>
      </c>
      <c r="C26" s="4" t="s">
        <v>307</v>
      </c>
      <c r="D26" s="4" t="s">
        <v>223</v>
      </c>
      <c r="E26" s="5">
        <v>13950</v>
      </c>
      <c r="F26" s="6">
        <v>419.134725</v>
      </c>
      <c r="G26" s="7">
        <v>1.0595234E-2</v>
      </c>
      <c r="H26" s="51"/>
    </row>
    <row r="27" spans="1:14" ht="17.100000000000001" customHeight="1" x14ac:dyDescent="0.2">
      <c r="A27" s="3">
        <v>21</v>
      </c>
      <c r="B27" s="4" t="s">
        <v>233</v>
      </c>
      <c r="C27" s="4" t="s">
        <v>234</v>
      </c>
      <c r="D27" s="4" t="s">
        <v>235</v>
      </c>
      <c r="E27" s="5">
        <v>53000</v>
      </c>
      <c r="F27" s="6">
        <v>404.178</v>
      </c>
      <c r="G27" s="7">
        <v>1.0217145E-2</v>
      </c>
      <c r="H27" s="51"/>
    </row>
    <row r="28" spans="1:14" ht="53.1" customHeight="1" x14ac:dyDescent="0.2">
      <c r="A28" s="3">
        <v>22</v>
      </c>
      <c r="B28" s="4" t="s">
        <v>93</v>
      </c>
      <c r="C28" s="4" t="s">
        <v>94</v>
      </c>
      <c r="D28" s="4" t="s">
        <v>45</v>
      </c>
      <c r="E28" s="5">
        <v>26000</v>
      </c>
      <c r="F28" s="6">
        <v>385.52800000000002</v>
      </c>
      <c r="G28" s="7">
        <v>9.7456950000000004E-3</v>
      </c>
      <c r="H28" s="51"/>
    </row>
    <row r="29" spans="1:14" ht="29.1" customHeight="1" x14ac:dyDescent="0.2">
      <c r="A29" s="3">
        <v>23</v>
      </c>
      <c r="B29" s="4" t="s">
        <v>185</v>
      </c>
      <c r="C29" s="4" t="s">
        <v>186</v>
      </c>
      <c r="D29" s="4" t="s">
        <v>104</v>
      </c>
      <c r="E29" s="5">
        <v>93000</v>
      </c>
      <c r="F29" s="6">
        <v>383.06700000000001</v>
      </c>
      <c r="G29" s="7">
        <v>9.6834839999999991E-3</v>
      </c>
      <c r="H29" s="51"/>
    </row>
    <row r="30" spans="1:14" ht="29.1" customHeight="1" x14ac:dyDescent="0.2">
      <c r="A30" s="3">
        <v>24</v>
      </c>
      <c r="B30" s="4" t="s">
        <v>604</v>
      </c>
      <c r="C30" s="4" t="s">
        <v>605</v>
      </c>
      <c r="D30" s="4" t="s">
        <v>184</v>
      </c>
      <c r="E30" s="5">
        <v>20000</v>
      </c>
      <c r="F30" s="6">
        <v>351.83</v>
      </c>
      <c r="G30" s="7">
        <v>8.8938490000000005E-3</v>
      </c>
      <c r="H30" s="51"/>
    </row>
    <row r="31" spans="1:14" ht="17.100000000000001" customHeight="1" x14ac:dyDescent="0.2">
      <c r="A31" s="3">
        <v>25</v>
      </c>
      <c r="B31" s="4" t="s">
        <v>246</v>
      </c>
      <c r="C31" s="4" t="s">
        <v>247</v>
      </c>
      <c r="D31" s="4" t="s">
        <v>248</v>
      </c>
      <c r="E31" s="5">
        <v>55785</v>
      </c>
      <c r="F31" s="6">
        <v>347.37319500000001</v>
      </c>
      <c r="G31" s="7">
        <v>8.7811869999999993E-3</v>
      </c>
      <c r="H31" s="51"/>
      <c r="J31" s="166"/>
      <c r="K31" s="166"/>
      <c r="L31" s="166"/>
      <c r="M31" s="166"/>
      <c r="N31" s="166"/>
    </row>
    <row r="32" spans="1:14" ht="17.100000000000001" customHeight="1" x14ac:dyDescent="0.2">
      <c r="A32" s="3">
        <v>26</v>
      </c>
      <c r="B32" s="4" t="s">
        <v>606</v>
      </c>
      <c r="C32" s="4" t="s">
        <v>607</v>
      </c>
      <c r="D32" s="4" t="s">
        <v>181</v>
      </c>
      <c r="E32" s="5">
        <v>40000</v>
      </c>
      <c r="F32" s="6">
        <v>336.92</v>
      </c>
      <c r="G32" s="7">
        <v>8.5169419999999996E-3</v>
      </c>
      <c r="H32" s="51"/>
    </row>
    <row r="33" spans="1:8" ht="17.100000000000001" customHeight="1" x14ac:dyDescent="0.2">
      <c r="A33" s="3">
        <v>27</v>
      </c>
      <c r="B33" s="4" t="s">
        <v>516</v>
      </c>
      <c r="C33" s="4" t="s">
        <v>517</v>
      </c>
      <c r="D33" s="4" t="s">
        <v>223</v>
      </c>
      <c r="E33" s="5">
        <v>24014</v>
      </c>
      <c r="F33" s="6">
        <v>336.00388800000002</v>
      </c>
      <c r="G33" s="7">
        <v>8.4937840000000008E-3</v>
      </c>
      <c r="H33" s="51"/>
    </row>
    <row r="34" spans="1:8" ht="17.100000000000001" customHeight="1" x14ac:dyDescent="0.2">
      <c r="A34" s="3">
        <v>28</v>
      </c>
      <c r="B34" s="4" t="s">
        <v>109</v>
      </c>
      <c r="C34" s="4" t="s">
        <v>110</v>
      </c>
      <c r="D34" s="4" t="s">
        <v>72</v>
      </c>
      <c r="E34" s="5">
        <v>69539</v>
      </c>
      <c r="F34" s="6">
        <v>322.48711250000002</v>
      </c>
      <c r="G34" s="7">
        <v>8.1520959999999993E-3</v>
      </c>
      <c r="H34" s="51"/>
    </row>
    <row r="35" spans="1:8" ht="17.100000000000001" customHeight="1" x14ac:dyDescent="0.2">
      <c r="A35" s="3">
        <v>29</v>
      </c>
      <c r="B35" s="4" t="s">
        <v>265</v>
      </c>
      <c r="C35" s="4" t="s">
        <v>266</v>
      </c>
      <c r="D35" s="4" t="s">
        <v>208</v>
      </c>
      <c r="E35" s="5">
        <v>120000</v>
      </c>
      <c r="F35" s="6">
        <v>317.04000000000002</v>
      </c>
      <c r="G35" s="7">
        <v>8.0143990000000002E-3</v>
      </c>
      <c r="H35" s="51"/>
    </row>
    <row r="36" spans="1:8" ht="29.1" customHeight="1" x14ac:dyDescent="0.2">
      <c r="A36" s="3">
        <v>30</v>
      </c>
      <c r="B36" s="4" t="s">
        <v>23</v>
      </c>
      <c r="C36" s="4" t="s">
        <v>24</v>
      </c>
      <c r="D36" s="4" t="s">
        <v>25</v>
      </c>
      <c r="E36" s="5">
        <v>5000</v>
      </c>
      <c r="F36" s="6">
        <v>312.755</v>
      </c>
      <c r="G36" s="7">
        <v>7.9060789999999999E-3</v>
      </c>
      <c r="H36" s="51"/>
    </row>
    <row r="37" spans="1:8" ht="17.100000000000001" customHeight="1" x14ac:dyDescent="0.2">
      <c r="A37" s="3">
        <v>31</v>
      </c>
      <c r="B37" s="4" t="s">
        <v>342</v>
      </c>
      <c r="C37" s="4" t="s">
        <v>343</v>
      </c>
      <c r="D37" s="4" t="s">
        <v>232</v>
      </c>
      <c r="E37" s="5">
        <v>293250</v>
      </c>
      <c r="F37" s="6">
        <v>291.19725</v>
      </c>
      <c r="G37" s="7">
        <v>7.3611249999999996E-3</v>
      </c>
      <c r="H37" s="51"/>
    </row>
    <row r="38" spans="1:8" ht="17.100000000000001" customHeight="1" x14ac:dyDescent="0.2">
      <c r="A38" s="3">
        <v>32</v>
      </c>
      <c r="B38" s="4" t="s">
        <v>107</v>
      </c>
      <c r="C38" s="4" t="s">
        <v>108</v>
      </c>
      <c r="D38" s="4" t="s">
        <v>92</v>
      </c>
      <c r="E38" s="5">
        <v>30333</v>
      </c>
      <c r="F38" s="6">
        <v>278.39627400000001</v>
      </c>
      <c r="G38" s="7">
        <v>7.0375309999999996E-3</v>
      </c>
      <c r="H38" s="51"/>
    </row>
    <row r="39" spans="1:8" ht="17.100000000000001" customHeight="1" x14ac:dyDescent="0.2">
      <c r="A39" s="3">
        <v>33</v>
      </c>
      <c r="B39" s="4" t="s">
        <v>11</v>
      </c>
      <c r="C39" s="4" t="s">
        <v>12</v>
      </c>
      <c r="D39" s="4" t="s">
        <v>13</v>
      </c>
      <c r="E39" s="5">
        <v>13950</v>
      </c>
      <c r="F39" s="6">
        <v>257.75414999999998</v>
      </c>
      <c r="G39" s="7">
        <v>6.5157219999999998E-3</v>
      </c>
      <c r="H39" s="51"/>
    </row>
    <row r="40" spans="1:8" ht="29.1" customHeight="1" x14ac:dyDescent="0.2">
      <c r="A40" s="3">
        <v>34</v>
      </c>
      <c r="B40" s="4" t="s">
        <v>304</v>
      </c>
      <c r="C40" s="4" t="s">
        <v>305</v>
      </c>
      <c r="D40" s="4" t="s">
        <v>203</v>
      </c>
      <c r="E40" s="5">
        <v>23742</v>
      </c>
      <c r="F40" s="6">
        <v>225.22848300000001</v>
      </c>
      <c r="G40" s="7">
        <v>5.6935120000000004E-3</v>
      </c>
      <c r="H40" s="51"/>
    </row>
    <row r="41" spans="1:8" ht="17.100000000000001" customHeight="1" x14ac:dyDescent="0.2">
      <c r="A41" s="3">
        <v>35</v>
      </c>
      <c r="B41" s="4" t="s">
        <v>559</v>
      </c>
      <c r="C41" s="4" t="s">
        <v>560</v>
      </c>
      <c r="D41" s="4" t="s">
        <v>104</v>
      </c>
      <c r="E41" s="5">
        <v>6600</v>
      </c>
      <c r="F41" s="6">
        <v>220.60169999999999</v>
      </c>
      <c r="G41" s="7">
        <v>5.5765520000000002E-3</v>
      </c>
      <c r="H41" s="51"/>
    </row>
    <row r="42" spans="1:8" ht="17.100000000000001" customHeight="1" x14ac:dyDescent="0.2">
      <c r="A42" s="3">
        <v>36</v>
      </c>
      <c r="B42" s="4" t="s">
        <v>531</v>
      </c>
      <c r="C42" s="4" t="s">
        <v>532</v>
      </c>
      <c r="D42" s="4" t="s">
        <v>260</v>
      </c>
      <c r="E42" s="5">
        <v>12505</v>
      </c>
      <c r="F42" s="6">
        <v>203.05618999999999</v>
      </c>
      <c r="G42" s="7">
        <v>5.1330220000000001E-3</v>
      </c>
      <c r="H42" s="51"/>
    </row>
    <row r="43" spans="1:8" ht="17.100000000000001" customHeight="1" x14ac:dyDescent="0.2">
      <c r="A43" s="3">
        <v>37</v>
      </c>
      <c r="B43" s="4" t="s">
        <v>256</v>
      </c>
      <c r="C43" s="4" t="s">
        <v>257</v>
      </c>
      <c r="D43" s="4" t="s">
        <v>104</v>
      </c>
      <c r="E43" s="5">
        <v>21793</v>
      </c>
      <c r="F43" s="6">
        <v>199.63477649999999</v>
      </c>
      <c r="G43" s="7">
        <v>5.0465329999999997E-3</v>
      </c>
      <c r="H43" s="51"/>
    </row>
    <row r="44" spans="1:8" ht="29.1" customHeight="1" x14ac:dyDescent="0.2">
      <c r="A44" s="3">
        <v>38</v>
      </c>
      <c r="B44" s="4" t="s">
        <v>608</v>
      </c>
      <c r="C44" s="4" t="s">
        <v>609</v>
      </c>
      <c r="D44" s="4" t="s">
        <v>97</v>
      </c>
      <c r="E44" s="5">
        <v>104000</v>
      </c>
      <c r="F44" s="6">
        <v>192.66</v>
      </c>
      <c r="G44" s="7">
        <v>4.8702190000000003E-3</v>
      </c>
      <c r="H44" s="51"/>
    </row>
    <row r="45" spans="1:8" ht="29.1" customHeight="1" x14ac:dyDescent="0.2">
      <c r="A45" s="3">
        <v>39</v>
      </c>
      <c r="B45" s="4" t="s">
        <v>236</v>
      </c>
      <c r="C45" s="4" t="s">
        <v>237</v>
      </c>
      <c r="D45" s="4" t="s">
        <v>203</v>
      </c>
      <c r="E45" s="5">
        <v>9000</v>
      </c>
      <c r="F45" s="6">
        <v>188.35650000000001</v>
      </c>
      <c r="G45" s="7">
        <v>4.761431E-3</v>
      </c>
      <c r="H45" s="51"/>
    </row>
    <row r="46" spans="1:8" ht="17.100000000000001" customHeight="1" x14ac:dyDescent="0.2">
      <c r="A46" s="3">
        <v>40</v>
      </c>
      <c r="B46" s="4" t="s">
        <v>533</v>
      </c>
      <c r="C46" s="4" t="s">
        <v>534</v>
      </c>
      <c r="D46" s="4" t="s">
        <v>69</v>
      </c>
      <c r="E46" s="5">
        <v>14930</v>
      </c>
      <c r="F46" s="6">
        <v>185.8785</v>
      </c>
      <c r="G46" s="7">
        <v>4.6987900000000004E-3</v>
      </c>
      <c r="H46" s="51"/>
    </row>
    <row r="47" spans="1:8" ht="17.100000000000001" customHeight="1" x14ac:dyDescent="0.2">
      <c r="A47" s="3">
        <v>41</v>
      </c>
      <c r="B47" s="4" t="s">
        <v>374</v>
      </c>
      <c r="C47" s="4" t="s">
        <v>375</v>
      </c>
      <c r="D47" s="4" t="s">
        <v>104</v>
      </c>
      <c r="E47" s="5">
        <v>7125</v>
      </c>
      <c r="F47" s="6">
        <v>185.74518749999999</v>
      </c>
      <c r="G47" s="7">
        <v>4.6954199999999996E-3</v>
      </c>
      <c r="H47" s="51"/>
    </row>
    <row r="48" spans="1:8" ht="17.100000000000001" customHeight="1" x14ac:dyDescent="0.2">
      <c r="A48" s="3">
        <v>42</v>
      </c>
      <c r="B48" s="4" t="s">
        <v>34</v>
      </c>
      <c r="C48" s="4" t="s">
        <v>35</v>
      </c>
      <c r="D48" s="4" t="s">
        <v>36</v>
      </c>
      <c r="E48" s="5">
        <v>5785</v>
      </c>
      <c r="F48" s="6">
        <v>178.66394</v>
      </c>
      <c r="G48" s="7">
        <v>4.5164150000000002E-3</v>
      </c>
      <c r="H48" s="51"/>
    </row>
    <row r="49" spans="1:8" ht="29.1" customHeight="1" x14ac:dyDescent="0.2">
      <c r="A49" s="3">
        <v>43</v>
      </c>
      <c r="B49" s="4" t="s">
        <v>365</v>
      </c>
      <c r="C49" s="4" t="s">
        <v>366</v>
      </c>
      <c r="D49" s="4" t="s">
        <v>367</v>
      </c>
      <c r="E49" s="5">
        <v>21600</v>
      </c>
      <c r="F49" s="6">
        <v>173.41560000000001</v>
      </c>
      <c r="G49" s="7">
        <v>4.3837429999999998E-3</v>
      </c>
      <c r="H49" s="51"/>
    </row>
    <row r="50" spans="1:8" ht="29.1" customHeight="1" x14ac:dyDescent="0.2">
      <c r="A50" s="3">
        <v>44</v>
      </c>
      <c r="B50" s="4" t="s">
        <v>610</v>
      </c>
      <c r="C50" s="4" t="s">
        <v>611</v>
      </c>
      <c r="D50" s="4" t="s">
        <v>235</v>
      </c>
      <c r="E50" s="5">
        <v>15000</v>
      </c>
      <c r="F50" s="6">
        <v>172.67250000000001</v>
      </c>
      <c r="G50" s="7">
        <v>4.3649580000000004E-3</v>
      </c>
      <c r="H50" s="51"/>
    </row>
    <row r="51" spans="1:8" ht="17.100000000000001" customHeight="1" x14ac:dyDescent="0.2">
      <c r="A51" s="3">
        <v>45</v>
      </c>
      <c r="B51" s="4" t="s">
        <v>199</v>
      </c>
      <c r="C51" s="4" t="s">
        <v>200</v>
      </c>
      <c r="D51" s="4" t="s">
        <v>16</v>
      </c>
      <c r="E51" s="5">
        <v>128700</v>
      </c>
      <c r="F51" s="6">
        <v>170.39879999999999</v>
      </c>
      <c r="G51" s="7">
        <v>4.3074819999999996E-3</v>
      </c>
      <c r="H51" s="51"/>
    </row>
    <row r="52" spans="1:8" ht="17.100000000000001" customHeight="1" x14ac:dyDescent="0.2">
      <c r="A52" s="3">
        <v>46</v>
      </c>
      <c r="B52" s="4" t="s">
        <v>190</v>
      </c>
      <c r="C52" s="4" t="s">
        <v>191</v>
      </c>
      <c r="D52" s="4" t="s">
        <v>192</v>
      </c>
      <c r="E52" s="5">
        <v>325</v>
      </c>
      <c r="F52" s="6">
        <v>164.6649875</v>
      </c>
      <c r="G52" s="7">
        <v>4.1625380000000003E-3</v>
      </c>
      <c r="H52" s="51"/>
    </row>
    <row r="53" spans="1:8" ht="17.100000000000001" customHeight="1" x14ac:dyDescent="0.2">
      <c r="A53" s="3">
        <v>47</v>
      </c>
      <c r="B53" s="4" t="s">
        <v>527</v>
      </c>
      <c r="C53" s="4" t="s">
        <v>528</v>
      </c>
      <c r="D53" s="4" t="s">
        <v>72</v>
      </c>
      <c r="E53" s="5">
        <v>41932</v>
      </c>
      <c r="F53" s="6">
        <v>152.54861600000001</v>
      </c>
      <c r="G53" s="7">
        <v>3.8562499999999999E-3</v>
      </c>
      <c r="H53" s="51"/>
    </row>
    <row r="54" spans="1:8" ht="17.100000000000001" customHeight="1" x14ac:dyDescent="0.2">
      <c r="A54" s="3">
        <v>48</v>
      </c>
      <c r="B54" s="4" t="s">
        <v>612</v>
      </c>
      <c r="C54" s="4" t="s">
        <v>613</v>
      </c>
      <c r="D54" s="4" t="s">
        <v>235</v>
      </c>
      <c r="E54" s="5">
        <v>26400</v>
      </c>
      <c r="F54" s="6">
        <v>140.03880000000001</v>
      </c>
      <c r="G54" s="7">
        <v>3.540016E-3</v>
      </c>
      <c r="H54" s="51"/>
    </row>
    <row r="55" spans="1:8" ht="17.100000000000001" customHeight="1" x14ac:dyDescent="0.2">
      <c r="A55" s="3">
        <v>49</v>
      </c>
      <c r="B55" s="4" t="s">
        <v>555</v>
      </c>
      <c r="C55" s="4" t="s">
        <v>556</v>
      </c>
      <c r="D55" s="4" t="s">
        <v>189</v>
      </c>
      <c r="E55" s="5">
        <v>9417</v>
      </c>
      <c r="F55" s="6">
        <v>132.666696</v>
      </c>
      <c r="G55" s="7">
        <v>3.3536579999999998E-3</v>
      </c>
      <c r="H55" s="51"/>
    </row>
    <row r="56" spans="1:8" ht="17.100000000000001" customHeight="1" x14ac:dyDescent="0.2">
      <c r="A56" s="3">
        <v>50</v>
      </c>
      <c r="B56" s="4" t="s">
        <v>271</v>
      </c>
      <c r="C56" s="4" t="s">
        <v>272</v>
      </c>
      <c r="D56" s="4" t="s">
        <v>72</v>
      </c>
      <c r="E56" s="5">
        <v>21946</v>
      </c>
      <c r="F56" s="6">
        <v>122.700086</v>
      </c>
      <c r="G56" s="7">
        <v>3.1017140000000002E-3</v>
      </c>
      <c r="H56" s="51"/>
    </row>
    <row r="57" spans="1:8" ht="17.100000000000001" customHeight="1" x14ac:dyDescent="0.2">
      <c r="A57" s="3">
        <v>51</v>
      </c>
      <c r="B57" s="4" t="s">
        <v>311</v>
      </c>
      <c r="C57" s="4" t="s">
        <v>312</v>
      </c>
      <c r="D57" s="4" t="s">
        <v>69</v>
      </c>
      <c r="E57" s="5">
        <v>8400</v>
      </c>
      <c r="F57" s="6">
        <v>106.5288</v>
      </c>
      <c r="G57" s="7">
        <v>2.6929229999999998E-3</v>
      </c>
      <c r="H57" s="51"/>
    </row>
    <row r="58" spans="1:8" ht="17.100000000000001" customHeight="1" x14ac:dyDescent="0.2">
      <c r="A58" s="3">
        <v>52</v>
      </c>
      <c r="B58" s="4" t="s">
        <v>359</v>
      </c>
      <c r="C58" s="4" t="s">
        <v>360</v>
      </c>
      <c r="D58" s="4" t="s">
        <v>69</v>
      </c>
      <c r="E58" s="5">
        <v>19950</v>
      </c>
      <c r="F58" s="6">
        <v>80.717699999999994</v>
      </c>
      <c r="G58" s="7">
        <v>2.0404490000000002E-3</v>
      </c>
      <c r="H58" s="51"/>
    </row>
    <row r="59" spans="1:8" ht="17.100000000000001" customHeight="1" x14ac:dyDescent="0.2">
      <c r="A59" s="3">
        <v>53</v>
      </c>
      <c r="B59" s="61" t="s">
        <v>1012</v>
      </c>
      <c r="C59" s="65" t="s">
        <v>125</v>
      </c>
      <c r="D59" s="61" t="s">
        <v>97</v>
      </c>
      <c r="E59" s="5">
        <v>26000</v>
      </c>
      <c r="F59" s="6">
        <v>78.454999999999998</v>
      </c>
      <c r="G59" s="7">
        <v>1.9832500000000002E-3</v>
      </c>
      <c r="H59" s="51"/>
    </row>
    <row r="60" spans="1:8" ht="29.1" customHeight="1" x14ac:dyDescent="0.2">
      <c r="A60" s="3">
        <v>54</v>
      </c>
      <c r="B60" s="4" t="s">
        <v>353</v>
      </c>
      <c r="C60" s="4" t="s">
        <v>354</v>
      </c>
      <c r="D60" s="4" t="s">
        <v>203</v>
      </c>
      <c r="E60" s="5">
        <v>1650</v>
      </c>
      <c r="F60" s="6">
        <v>61.135800000000003</v>
      </c>
      <c r="G60" s="7">
        <v>1.545441E-3</v>
      </c>
      <c r="H60" s="51"/>
    </row>
    <row r="61" spans="1:8" ht="29.1" customHeight="1" x14ac:dyDescent="0.2">
      <c r="A61" s="3">
        <v>55</v>
      </c>
      <c r="B61" s="4" t="s">
        <v>86</v>
      </c>
      <c r="C61" s="4" t="s">
        <v>87</v>
      </c>
      <c r="D61" s="4" t="s">
        <v>25</v>
      </c>
      <c r="E61" s="5">
        <v>9000</v>
      </c>
      <c r="F61" s="6">
        <v>46.404000000000003</v>
      </c>
      <c r="G61" s="7">
        <v>1.1730390000000001E-3</v>
      </c>
      <c r="H61" s="51"/>
    </row>
    <row r="62" spans="1:8" ht="17.100000000000001" customHeight="1" x14ac:dyDescent="0.2">
      <c r="A62" s="3">
        <v>56</v>
      </c>
      <c r="B62" s="4" t="s">
        <v>174</v>
      </c>
      <c r="C62" s="4" t="s">
        <v>175</v>
      </c>
      <c r="D62" s="4" t="s">
        <v>22</v>
      </c>
      <c r="E62" s="5">
        <v>10800</v>
      </c>
      <c r="F62" s="6">
        <v>23.360399999999998</v>
      </c>
      <c r="G62" s="7">
        <v>5.9052300000000002E-4</v>
      </c>
      <c r="H62" s="51"/>
    </row>
    <row r="63" spans="1:8" ht="17.100000000000001" customHeight="1" x14ac:dyDescent="0.2">
      <c r="A63" s="3">
        <v>57</v>
      </c>
      <c r="B63" s="4" t="s">
        <v>344</v>
      </c>
      <c r="C63" s="38" t="s">
        <v>969</v>
      </c>
      <c r="D63" s="4" t="s">
        <v>19</v>
      </c>
      <c r="E63" s="5">
        <v>56299</v>
      </c>
      <c r="F63" s="6">
        <v>226.35012950000001</v>
      </c>
      <c r="G63" s="7">
        <v>5.7218659999999999E-3</v>
      </c>
      <c r="H63" s="51"/>
    </row>
    <row r="64" spans="1:8" ht="14.1" customHeight="1" x14ac:dyDescent="0.2">
      <c r="A64" s="1"/>
      <c r="B64" s="1"/>
      <c r="C64" s="2" t="s">
        <v>129</v>
      </c>
      <c r="D64" s="1"/>
      <c r="E64" s="1" t="s">
        <v>130</v>
      </c>
      <c r="F64" s="9">
        <v>28723.220432499998</v>
      </c>
      <c r="G64" s="10">
        <v>0.72608929199999961</v>
      </c>
      <c r="H64" s="51"/>
    </row>
    <row r="65" spans="1:8" ht="14.1" customHeight="1" x14ac:dyDescent="0.2">
      <c r="A65" s="1"/>
      <c r="B65" s="1"/>
      <c r="C65" s="11"/>
      <c r="D65" s="1"/>
      <c r="E65" s="1"/>
      <c r="F65" s="12"/>
      <c r="G65" s="12"/>
      <c r="H65" s="51"/>
    </row>
    <row r="66" spans="1:8" ht="14.1" customHeight="1" x14ac:dyDescent="0.2">
      <c r="A66" s="1"/>
      <c r="B66" s="1"/>
      <c r="C66" s="2" t="s">
        <v>131</v>
      </c>
      <c r="D66" s="1"/>
      <c r="E66" s="1"/>
      <c r="F66" s="1"/>
      <c r="G66" s="1"/>
      <c r="H66" s="51"/>
    </row>
    <row r="67" spans="1:8" ht="14.1" customHeight="1" x14ac:dyDescent="0.2">
      <c r="A67" s="1"/>
      <c r="B67" s="1"/>
      <c r="C67" s="2" t="s">
        <v>129</v>
      </c>
      <c r="D67" s="1"/>
      <c r="E67" s="1" t="s">
        <v>130</v>
      </c>
      <c r="F67" s="13">
        <v>0</v>
      </c>
      <c r="G67" s="14">
        <v>0</v>
      </c>
      <c r="H67" s="51"/>
    </row>
    <row r="68" spans="1:8" ht="14.1" customHeight="1" x14ac:dyDescent="0.2">
      <c r="A68" s="1"/>
      <c r="B68" s="1"/>
      <c r="C68" s="11"/>
      <c r="D68" s="1"/>
      <c r="E68" s="1"/>
      <c r="F68" s="12"/>
      <c r="G68" s="12"/>
      <c r="H68" s="51"/>
    </row>
    <row r="69" spans="1:8" ht="14.1" customHeight="1" x14ac:dyDescent="0.2">
      <c r="A69" s="1"/>
      <c r="B69" s="1"/>
      <c r="C69" s="2" t="s">
        <v>132</v>
      </c>
      <c r="D69" s="1"/>
      <c r="E69" s="1"/>
      <c r="F69" s="1"/>
      <c r="G69" s="1"/>
      <c r="H69" s="51"/>
    </row>
    <row r="70" spans="1:8" ht="14.1" customHeight="1" x14ac:dyDescent="0.2">
      <c r="A70" s="1"/>
      <c r="B70" s="1"/>
      <c r="C70" s="2" t="s">
        <v>129</v>
      </c>
      <c r="D70" s="1"/>
      <c r="E70" s="1" t="s">
        <v>130</v>
      </c>
      <c r="F70" s="13">
        <v>0</v>
      </c>
      <c r="G70" s="14">
        <v>0</v>
      </c>
      <c r="H70" s="51"/>
    </row>
    <row r="71" spans="1:8" ht="14.1" customHeight="1" x14ac:dyDescent="0.2">
      <c r="A71" s="1"/>
      <c r="B71" s="1"/>
      <c r="C71" s="11"/>
      <c r="D71" s="1"/>
      <c r="E71" s="1"/>
      <c r="F71" s="12"/>
      <c r="G71" s="12"/>
      <c r="H71" s="51"/>
    </row>
    <row r="72" spans="1:8" ht="14.1" customHeight="1" x14ac:dyDescent="0.2">
      <c r="A72" s="1"/>
      <c r="B72" s="1"/>
      <c r="C72" s="2" t="s">
        <v>133</v>
      </c>
      <c r="D72" s="1"/>
      <c r="E72" s="1"/>
      <c r="F72" s="1"/>
      <c r="G72" s="1"/>
      <c r="H72" s="51"/>
    </row>
    <row r="73" spans="1:8" ht="14.1" customHeight="1" x14ac:dyDescent="0.2">
      <c r="A73" s="1"/>
      <c r="B73" s="1"/>
      <c r="C73" s="2" t="s">
        <v>129</v>
      </c>
      <c r="D73" s="1"/>
      <c r="E73" s="1" t="s">
        <v>130</v>
      </c>
      <c r="F73" s="9">
        <v>0</v>
      </c>
      <c r="G73" s="10">
        <v>0</v>
      </c>
      <c r="H73" s="51"/>
    </row>
    <row r="74" spans="1:8" ht="14.1" customHeight="1" x14ac:dyDescent="0.2">
      <c r="A74" s="1"/>
      <c r="B74" s="1"/>
      <c r="C74" s="11"/>
      <c r="D74" s="1"/>
      <c r="E74" s="1"/>
      <c r="F74" s="12"/>
      <c r="G74" s="12"/>
      <c r="H74" s="51"/>
    </row>
    <row r="75" spans="1:8" ht="14.1" customHeight="1" x14ac:dyDescent="0.2">
      <c r="A75" s="1"/>
      <c r="B75" s="1"/>
      <c r="C75" s="2" t="s">
        <v>134</v>
      </c>
      <c r="D75" s="1"/>
      <c r="E75" s="1"/>
      <c r="F75" s="12"/>
      <c r="G75" s="12"/>
      <c r="H75" s="51"/>
    </row>
    <row r="76" spans="1:8" ht="14.1" customHeight="1" x14ac:dyDescent="0.2">
      <c r="A76" s="1"/>
      <c r="B76" s="1"/>
      <c r="C76" s="2" t="s">
        <v>129</v>
      </c>
      <c r="D76" s="1"/>
      <c r="E76" s="1" t="s">
        <v>130</v>
      </c>
      <c r="F76" s="13">
        <v>0</v>
      </c>
      <c r="G76" s="14">
        <v>0</v>
      </c>
      <c r="H76" s="51"/>
    </row>
    <row r="77" spans="1:8" ht="14.1" customHeight="1" x14ac:dyDescent="0.2">
      <c r="A77" s="1"/>
      <c r="B77" s="1"/>
      <c r="C77" s="11"/>
      <c r="D77" s="1"/>
      <c r="E77" s="1"/>
      <c r="F77" s="12"/>
      <c r="G77" s="12"/>
      <c r="H77" s="51"/>
    </row>
    <row r="78" spans="1:8" ht="14.1" customHeight="1" x14ac:dyDescent="0.2">
      <c r="A78" s="1"/>
      <c r="B78" s="1"/>
      <c r="C78" s="2" t="s">
        <v>135</v>
      </c>
      <c r="D78" s="1"/>
      <c r="E78" s="1"/>
      <c r="F78" s="12"/>
      <c r="G78" s="12"/>
      <c r="H78" s="51"/>
    </row>
    <row r="79" spans="1:8" ht="25.5" x14ac:dyDescent="0.2">
      <c r="A79" s="3">
        <v>1</v>
      </c>
      <c r="B79" s="4"/>
      <c r="C79" s="4" t="s">
        <v>920</v>
      </c>
      <c r="D79" s="4" t="s">
        <v>569</v>
      </c>
      <c r="E79" s="5">
        <v>-10800</v>
      </c>
      <c r="F79" s="6">
        <v>-23.500800000000002</v>
      </c>
      <c r="G79" s="7">
        <v>-5.9407000000000004E-4</v>
      </c>
      <c r="H79" s="51"/>
    </row>
    <row r="80" spans="1:8" ht="17.100000000000001" customHeight="1" x14ac:dyDescent="0.2">
      <c r="A80" s="3">
        <v>2</v>
      </c>
      <c r="B80" s="4"/>
      <c r="C80" s="4" t="s">
        <v>921</v>
      </c>
      <c r="D80" s="4" t="s">
        <v>569</v>
      </c>
      <c r="E80" s="5">
        <v>-9000</v>
      </c>
      <c r="F80" s="6">
        <v>-46.669499999999999</v>
      </c>
      <c r="G80" s="7">
        <v>-1.17975E-3</v>
      </c>
      <c r="H80" s="51"/>
    </row>
    <row r="81" spans="1:8" ht="17.100000000000001" customHeight="1" x14ac:dyDescent="0.2">
      <c r="A81" s="3">
        <v>3</v>
      </c>
      <c r="B81" s="4"/>
      <c r="C81" s="4" t="s">
        <v>922</v>
      </c>
      <c r="D81" s="4" t="s">
        <v>569</v>
      </c>
      <c r="E81" s="5">
        <v>-1650</v>
      </c>
      <c r="F81" s="6">
        <v>-61.303274999999999</v>
      </c>
      <c r="G81" s="7">
        <v>-1.5496799999999999E-3</v>
      </c>
      <c r="H81" s="51"/>
    </row>
    <row r="82" spans="1:8" ht="17.100000000000001" customHeight="1" x14ac:dyDescent="0.2">
      <c r="A82" s="3">
        <v>4</v>
      </c>
      <c r="B82" s="4"/>
      <c r="C82" s="4" t="s">
        <v>923</v>
      </c>
      <c r="D82" s="4" t="s">
        <v>569</v>
      </c>
      <c r="E82" s="5">
        <v>-19950</v>
      </c>
      <c r="F82" s="6">
        <v>-80.528175000000005</v>
      </c>
      <c r="G82" s="7">
        <v>-2.0356599999999999E-3</v>
      </c>
      <c r="H82" s="51"/>
    </row>
    <row r="83" spans="1:8" ht="17.100000000000001" customHeight="1" x14ac:dyDescent="0.2">
      <c r="A83" s="3">
        <v>5</v>
      </c>
      <c r="B83" s="4"/>
      <c r="C83" s="4" t="s">
        <v>924</v>
      </c>
      <c r="D83" s="4" t="s">
        <v>569</v>
      </c>
      <c r="E83" s="5">
        <v>-18000</v>
      </c>
      <c r="F83" s="6">
        <v>-96.048000000000002</v>
      </c>
      <c r="G83" s="7">
        <v>-2.4279800000000002E-3</v>
      </c>
      <c r="H83" s="51"/>
    </row>
    <row r="84" spans="1:8" ht="25.5" x14ac:dyDescent="0.2">
      <c r="A84" s="3">
        <v>6</v>
      </c>
      <c r="B84" s="4"/>
      <c r="C84" s="4" t="s">
        <v>925</v>
      </c>
      <c r="D84" s="4" t="s">
        <v>569</v>
      </c>
      <c r="E84" s="5">
        <v>-8400</v>
      </c>
      <c r="F84" s="6">
        <v>-106.99079999999999</v>
      </c>
      <c r="G84" s="7">
        <v>-2.7045999999999997E-3</v>
      </c>
      <c r="H84" s="51"/>
    </row>
    <row r="85" spans="1:8" ht="25.5" x14ac:dyDescent="0.2">
      <c r="A85" s="3">
        <v>7</v>
      </c>
      <c r="B85" s="4"/>
      <c r="C85" s="4" t="s">
        <v>926</v>
      </c>
      <c r="D85" s="4" t="s">
        <v>569</v>
      </c>
      <c r="E85" s="5">
        <v>-26400</v>
      </c>
      <c r="F85" s="6">
        <v>-140.44800000000001</v>
      </c>
      <c r="G85" s="7">
        <v>-3.5503600000000002E-3</v>
      </c>
      <c r="H85" s="51"/>
    </row>
    <row r="86" spans="1:8" ht="17.100000000000001" customHeight="1" x14ac:dyDescent="0.2">
      <c r="A86" s="3">
        <v>8</v>
      </c>
      <c r="B86" s="4"/>
      <c r="C86" s="4" t="s">
        <v>927</v>
      </c>
      <c r="D86" s="4" t="s">
        <v>569</v>
      </c>
      <c r="E86" s="5">
        <v>-128700</v>
      </c>
      <c r="F86" s="6">
        <v>-171.36404999999999</v>
      </c>
      <c r="G86" s="7">
        <v>-4.3318799999999998E-3</v>
      </c>
      <c r="H86" s="51"/>
    </row>
    <row r="87" spans="1:8" ht="25.5" x14ac:dyDescent="0.2">
      <c r="A87" s="3">
        <v>9</v>
      </c>
      <c r="B87" s="4"/>
      <c r="C87" s="4" t="s">
        <v>928</v>
      </c>
      <c r="D87" s="4" t="s">
        <v>569</v>
      </c>
      <c r="E87" s="5">
        <v>-21600</v>
      </c>
      <c r="F87" s="6">
        <v>-174.0744</v>
      </c>
      <c r="G87" s="7">
        <v>-4.4003999999999996E-3</v>
      </c>
      <c r="H87" s="51"/>
    </row>
    <row r="88" spans="1:8" ht="17.100000000000001" customHeight="1" x14ac:dyDescent="0.2">
      <c r="A88" s="3">
        <v>10</v>
      </c>
      <c r="B88" s="4"/>
      <c r="C88" s="4" t="s">
        <v>929</v>
      </c>
      <c r="D88" s="4" t="s">
        <v>569</v>
      </c>
      <c r="E88" s="5">
        <v>-7125</v>
      </c>
      <c r="F88" s="6">
        <v>-186.07293749999999</v>
      </c>
      <c r="G88" s="7">
        <v>-4.7036999999999999E-3</v>
      </c>
      <c r="H88" s="51"/>
    </row>
    <row r="89" spans="1:8" ht="25.5" x14ac:dyDescent="0.2">
      <c r="A89" s="3">
        <v>11</v>
      </c>
      <c r="B89" s="4"/>
      <c r="C89" s="4" t="s">
        <v>930</v>
      </c>
      <c r="D89" s="4" t="s">
        <v>569</v>
      </c>
      <c r="E89" s="5">
        <v>-104000</v>
      </c>
      <c r="F89" s="6">
        <v>-193.28399999999999</v>
      </c>
      <c r="G89" s="7">
        <v>-4.8859899999999998E-3</v>
      </c>
      <c r="H89" s="51"/>
    </row>
    <row r="90" spans="1:8" ht="17.100000000000001" customHeight="1" x14ac:dyDescent="0.2">
      <c r="A90" s="3">
        <v>12</v>
      </c>
      <c r="B90" s="4"/>
      <c r="C90" s="4" t="s">
        <v>931</v>
      </c>
      <c r="D90" s="4" t="s">
        <v>569</v>
      </c>
      <c r="E90" s="5">
        <v>-12000</v>
      </c>
      <c r="F90" s="6">
        <v>-202.02</v>
      </c>
      <c r="G90" s="7">
        <v>-5.1068299999999997E-3</v>
      </c>
      <c r="H90" s="51"/>
    </row>
    <row r="91" spans="1:8" ht="17.100000000000001" customHeight="1" x14ac:dyDescent="0.2">
      <c r="A91" s="3">
        <v>13</v>
      </c>
      <c r="B91" s="4"/>
      <c r="C91" s="4" t="s">
        <v>932</v>
      </c>
      <c r="D91" s="4" t="s">
        <v>569</v>
      </c>
      <c r="E91" s="5">
        <v>-6600</v>
      </c>
      <c r="F91" s="6">
        <v>-221.37719999999999</v>
      </c>
      <c r="G91" s="7">
        <v>-5.5961600000000002E-3</v>
      </c>
      <c r="H91" s="51"/>
    </row>
    <row r="92" spans="1:8" ht="25.5" x14ac:dyDescent="0.2">
      <c r="A92" s="3">
        <v>14</v>
      </c>
      <c r="B92" s="4"/>
      <c r="C92" s="4" t="s">
        <v>933</v>
      </c>
      <c r="D92" s="4" t="s">
        <v>569</v>
      </c>
      <c r="E92" s="5">
        <v>-7950</v>
      </c>
      <c r="F92" s="6">
        <v>-239.203575</v>
      </c>
      <c r="G92" s="7">
        <v>-6.0467899999999998E-3</v>
      </c>
      <c r="H92" s="51"/>
    </row>
    <row r="93" spans="1:8" ht="17.100000000000001" customHeight="1" x14ac:dyDescent="0.2">
      <c r="A93" s="3">
        <v>15</v>
      </c>
      <c r="B93" s="4"/>
      <c r="C93" s="4" t="s">
        <v>934</v>
      </c>
      <c r="D93" s="4" t="s">
        <v>569</v>
      </c>
      <c r="E93" s="5">
        <v>-34800</v>
      </c>
      <c r="F93" s="6">
        <v>-255.9366</v>
      </c>
      <c r="G93" s="7">
        <v>-6.4697800000000005E-3</v>
      </c>
      <c r="H93" s="51"/>
    </row>
    <row r="94" spans="1:8" ht="17.100000000000001" customHeight="1" x14ac:dyDescent="0.2">
      <c r="A94" s="3">
        <v>16</v>
      </c>
      <c r="B94" s="4"/>
      <c r="C94" s="4" t="s">
        <v>935</v>
      </c>
      <c r="D94" s="4" t="s">
        <v>569</v>
      </c>
      <c r="E94" s="5">
        <v>-293250</v>
      </c>
      <c r="F94" s="6">
        <v>-292.22362500000003</v>
      </c>
      <c r="G94" s="7">
        <v>-7.3870699999999999E-3</v>
      </c>
      <c r="H94" s="51"/>
    </row>
    <row r="95" spans="1:8" ht="25.5" x14ac:dyDescent="0.2">
      <c r="A95" s="3">
        <v>17</v>
      </c>
      <c r="B95" s="4"/>
      <c r="C95" s="4" t="s">
        <v>936</v>
      </c>
      <c r="D95" s="4" t="s">
        <v>569</v>
      </c>
      <c r="E95" s="5">
        <v>-14100</v>
      </c>
      <c r="F95" s="6">
        <v>-324.24360000000001</v>
      </c>
      <c r="G95" s="7">
        <v>-8.1965000000000007E-3</v>
      </c>
      <c r="H95" s="51"/>
    </row>
    <row r="96" spans="1:8" ht="17.100000000000001" customHeight="1" x14ac:dyDescent="0.2">
      <c r="A96" s="3">
        <v>18</v>
      </c>
      <c r="B96" s="4"/>
      <c r="C96" s="4" t="s">
        <v>937</v>
      </c>
      <c r="D96" s="4" t="s">
        <v>569</v>
      </c>
      <c r="E96" s="5">
        <v>-220000</v>
      </c>
      <c r="F96" s="6">
        <v>-338.03</v>
      </c>
      <c r="G96" s="7">
        <v>-8.5450000000000005E-3</v>
      </c>
      <c r="H96" s="51"/>
    </row>
    <row r="97" spans="1:8" ht="17.100000000000001" customHeight="1" x14ac:dyDescent="0.2">
      <c r="A97" s="3">
        <v>19</v>
      </c>
      <c r="B97" s="4"/>
      <c r="C97" s="4" t="s">
        <v>938</v>
      </c>
      <c r="D97" s="4" t="s">
        <v>569</v>
      </c>
      <c r="E97" s="5">
        <v>-40000</v>
      </c>
      <c r="F97" s="6">
        <v>-338.88</v>
      </c>
      <c r="G97" s="7">
        <v>-8.5664899999999995E-3</v>
      </c>
      <c r="H97" s="51"/>
    </row>
    <row r="98" spans="1:8" ht="17.100000000000001" customHeight="1" x14ac:dyDescent="0.2">
      <c r="A98" s="3">
        <v>20</v>
      </c>
      <c r="B98" s="4"/>
      <c r="C98" s="4" t="s">
        <v>939</v>
      </c>
      <c r="D98" s="4" t="s">
        <v>569</v>
      </c>
      <c r="E98" s="5">
        <v>-65100</v>
      </c>
      <c r="F98" s="6">
        <v>-912.31140000000005</v>
      </c>
      <c r="G98" s="7">
        <v>-2.3062160000000002E-2</v>
      </c>
      <c r="H98" s="51"/>
    </row>
    <row r="99" spans="1:8" ht="17.100000000000001" customHeight="1" x14ac:dyDescent="0.2">
      <c r="A99" s="3">
        <v>21</v>
      </c>
      <c r="B99" s="4"/>
      <c r="C99" s="4" t="s">
        <v>940</v>
      </c>
      <c r="D99" s="4" t="s">
        <v>569</v>
      </c>
      <c r="E99" s="5">
        <v>-13125</v>
      </c>
      <c r="F99" s="6">
        <v>-966.72187499999995</v>
      </c>
      <c r="G99" s="7">
        <v>-2.4437589999999999E-2</v>
      </c>
      <c r="H99" s="51"/>
    </row>
    <row r="100" spans="1:8" ht="17.100000000000001" customHeight="1" x14ac:dyDescent="0.2">
      <c r="A100" s="3">
        <v>22</v>
      </c>
      <c r="B100" s="4"/>
      <c r="C100" s="4" t="s">
        <v>941</v>
      </c>
      <c r="D100" s="4" t="s">
        <v>569</v>
      </c>
      <c r="E100" s="5">
        <v>-42600</v>
      </c>
      <c r="F100" s="6">
        <v>-1148.8794</v>
      </c>
      <c r="G100" s="7">
        <v>-2.904232E-2</v>
      </c>
      <c r="H100" s="51"/>
    </row>
    <row r="101" spans="1:8" ht="17.100000000000001" customHeight="1" x14ac:dyDescent="0.2">
      <c r="A101" s="3">
        <v>23</v>
      </c>
      <c r="B101" s="4"/>
      <c r="C101" s="4" t="s">
        <v>942</v>
      </c>
      <c r="D101" s="4" t="s">
        <v>569</v>
      </c>
      <c r="E101" s="5">
        <v>-132600</v>
      </c>
      <c r="F101" s="6">
        <v>-1341.249</v>
      </c>
      <c r="G101" s="7">
        <v>-3.3905199999999996E-2</v>
      </c>
      <c r="H101" s="51"/>
    </row>
    <row r="102" spans="1:8" ht="17.100000000000001" customHeight="1" x14ac:dyDescent="0.2">
      <c r="A102" s="3">
        <v>24</v>
      </c>
      <c r="B102" s="4"/>
      <c r="C102" s="4" t="s">
        <v>943</v>
      </c>
      <c r="D102" s="4" t="s">
        <v>569</v>
      </c>
      <c r="E102" s="5">
        <v>-196625</v>
      </c>
      <c r="F102" s="6">
        <v>-1703.755625</v>
      </c>
      <c r="G102" s="7">
        <v>-4.306894E-2</v>
      </c>
      <c r="H102" s="51"/>
    </row>
    <row r="103" spans="1:8" ht="17.100000000000001" customHeight="1" x14ac:dyDescent="0.2">
      <c r="A103" s="3">
        <v>25</v>
      </c>
      <c r="B103" s="4"/>
      <c r="C103" s="4" t="s">
        <v>944</v>
      </c>
      <c r="D103" s="4" t="s">
        <v>569</v>
      </c>
      <c r="E103" s="5">
        <v>-156200</v>
      </c>
      <c r="F103" s="6">
        <v>-2227.0996</v>
      </c>
      <c r="G103" s="7">
        <v>-5.6298459999999995E-2</v>
      </c>
      <c r="H103" s="51"/>
    </row>
    <row r="104" spans="1:8" ht="14.1" customHeight="1" x14ac:dyDescent="0.2">
      <c r="A104" s="1"/>
      <c r="B104" s="1"/>
      <c r="C104" s="2" t="s">
        <v>129</v>
      </c>
      <c r="D104" s="1"/>
      <c r="E104" s="1" t="s">
        <v>130</v>
      </c>
      <c r="F104" s="9">
        <v>-11792.215437499999</v>
      </c>
      <c r="G104" s="10">
        <v>-0.29809336400000003</v>
      </c>
      <c r="H104" s="51"/>
    </row>
    <row r="105" spans="1:8" ht="14.1" customHeight="1" x14ac:dyDescent="0.2">
      <c r="A105" s="1"/>
      <c r="B105" s="1"/>
      <c r="C105" s="11"/>
      <c r="D105" s="1"/>
      <c r="E105" s="1"/>
      <c r="F105" s="12"/>
      <c r="G105" s="12"/>
      <c r="H105" s="51"/>
    </row>
    <row r="106" spans="1:8" ht="18" customHeight="1" x14ac:dyDescent="0.2">
      <c r="A106" s="1"/>
      <c r="B106" s="1"/>
      <c r="C106" s="2" t="s">
        <v>136</v>
      </c>
      <c r="D106" s="1"/>
      <c r="E106" s="1"/>
      <c r="F106" s="9">
        <v>28723.220432499998</v>
      </c>
      <c r="G106" s="10">
        <v>0.72608929199999961</v>
      </c>
      <c r="H106" s="51"/>
    </row>
    <row r="107" spans="1:8" ht="14.1" customHeight="1" x14ac:dyDescent="0.2">
      <c r="A107" s="1"/>
      <c r="B107" s="1"/>
      <c r="C107" s="11"/>
      <c r="D107" s="1"/>
      <c r="E107" s="1"/>
      <c r="F107" s="12"/>
      <c r="G107" s="12"/>
      <c r="H107" s="51"/>
    </row>
    <row r="108" spans="1:8" ht="14.1" customHeight="1" x14ac:dyDescent="0.2">
      <c r="A108" s="1"/>
      <c r="B108" s="1"/>
      <c r="C108" s="2" t="s">
        <v>137</v>
      </c>
      <c r="D108" s="1"/>
      <c r="E108" s="1"/>
      <c r="F108" s="12"/>
      <c r="G108" s="12"/>
      <c r="H108" s="51"/>
    </row>
    <row r="109" spans="1:8" ht="24" customHeight="1" x14ac:dyDescent="0.2">
      <c r="A109" s="1"/>
      <c r="B109" s="1"/>
      <c r="C109" s="2" t="s">
        <v>10</v>
      </c>
      <c r="D109" s="1"/>
      <c r="E109" s="1"/>
      <c r="F109" s="12"/>
      <c r="G109" s="12"/>
      <c r="H109" s="51"/>
    </row>
    <row r="110" spans="1:8" ht="29.1" customHeight="1" x14ac:dyDescent="0.2">
      <c r="A110" s="3">
        <v>1</v>
      </c>
      <c r="B110" s="4" t="s">
        <v>614</v>
      </c>
      <c r="C110" s="4" t="s">
        <v>615</v>
      </c>
      <c r="D110" s="4" t="s">
        <v>616</v>
      </c>
      <c r="E110" s="5">
        <v>50</v>
      </c>
      <c r="F110" s="6">
        <v>492.13400000000001</v>
      </c>
      <c r="G110" s="7">
        <v>1.244057E-2</v>
      </c>
      <c r="H110" s="51">
        <v>7.2750000000000004</v>
      </c>
    </row>
    <row r="111" spans="1:8" ht="17.100000000000001" customHeight="1" x14ac:dyDescent="0.2">
      <c r="A111" s="3">
        <v>2</v>
      </c>
      <c r="B111" s="4" t="s">
        <v>617</v>
      </c>
      <c r="C111" s="4" t="s">
        <v>618</v>
      </c>
      <c r="D111" s="4" t="s">
        <v>601</v>
      </c>
      <c r="E111" s="5">
        <v>20</v>
      </c>
      <c r="F111" s="6">
        <v>200.6592</v>
      </c>
      <c r="G111" s="7">
        <v>5.0724289999999998E-3</v>
      </c>
      <c r="H111" s="51">
        <v>6.81</v>
      </c>
    </row>
    <row r="112" spans="1:8" ht="29.1" customHeight="1" x14ac:dyDescent="0.2">
      <c r="A112" s="3">
        <v>3</v>
      </c>
      <c r="B112" s="4" t="s">
        <v>619</v>
      </c>
      <c r="C112" s="4" t="s">
        <v>620</v>
      </c>
      <c r="D112" s="4" t="s">
        <v>601</v>
      </c>
      <c r="E112" s="5">
        <v>5</v>
      </c>
      <c r="F112" s="6">
        <v>50.683450000000001</v>
      </c>
      <c r="G112" s="7">
        <v>1.281218E-3</v>
      </c>
      <c r="H112" s="51">
        <v>7.2350000000000003</v>
      </c>
    </row>
    <row r="113" spans="1:8" ht="17.100000000000001" customHeight="1" x14ac:dyDescent="0.2">
      <c r="A113" s="3">
        <v>4</v>
      </c>
      <c r="B113" s="4" t="s">
        <v>621</v>
      </c>
      <c r="C113" s="4" t="s">
        <v>622</v>
      </c>
      <c r="D113" s="4" t="s">
        <v>601</v>
      </c>
      <c r="E113" s="5">
        <v>5</v>
      </c>
      <c r="F113" s="6">
        <v>50.38805</v>
      </c>
      <c r="G113" s="7">
        <v>1.273751E-3</v>
      </c>
      <c r="H113" s="51">
        <v>6.915</v>
      </c>
    </row>
    <row r="114" spans="1:8" ht="17.100000000000001" customHeight="1" x14ac:dyDescent="0.2">
      <c r="A114" s="3">
        <v>5</v>
      </c>
      <c r="B114" s="4" t="s">
        <v>623</v>
      </c>
      <c r="C114" s="4" t="s">
        <v>624</v>
      </c>
      <c r="D114" s="4" t="s">
        <v>601</v>
      </c>
      <c r="E114" s="5">
        <v>5</v>
      </c>
      <c r="F114" s="6">
        <v>50.040950000000002</v>
      </c>
      <c r="G114" s="7">
        <v>1.2649759999999999E-3</v>
      </c>
      <c r="H114" s="51">
        <v>6.55</v>
      </c>
    </row>
    <row r="115" spans="1:8" ht="29.1" customHeight="1" x14ac:dyDescent="0.2">
      <c r="A115" s="3">
        <v>6</v>
      </c>
      <c r="B115" s="4" t="s">
        <v>625</v>
      </c>
      <c r="C115" s="4" t="s">
        <v>626</v>
      </c>
      <c r="D115" s="4" t="s">
        <v>627</v>
      </c>
      <c r="E115" s="5">
        <v>5</v>
      </c>
      <c r="F115" s="6">
        <v>49.695399999999999</v>
      </c>
      <c r="G115" s="7">
        <v>1.256241E-3</v>
      </c>
      <c r="H115" s="51">
        <v>7.1</v>
      </c>
    </row>
    <row r="116" spans="1:8" ht="29.1" customHeight="1" x14ac:dyDescent="0.2">
      <c r="A116" s="3">
        <v>7</v>
      </c>
      <c r="B116" s="4" t="s">
        <v>599</v>
      </c>
      <c r="C116" s="4" t="s">
        <v>600</v>
      </c>
      <c r="D116" s="4" t="s">
        <v>601</v>
      </c>
      <c r="E116" s="5">
        <v>1640</v>
      </c>
      <c r="F116" s="6">
        <v>0.46120080000000002</v>
      </c>
      <c r="G116" s="8" t="s">
        <v>128</v>
      </c>
      <c r="H116" s="51">
        <v>7.4649999999999999</v>
      </c>
    </row>
    <row r="117" spans="1:8" ht="14.1" customHeight="1" x14ac:dyDescent="0.2">
      <c r="A117" s="1"/>
      <c r="B117" s="1"/>
      <c r="C117" s="2" t="s">
        <v>129</v>
      </c>
      <c r="D117" s="1"/>
      <c r="E117" s="1" t="s">
        <v>130</v>
      </c>
      <c r="F117" s="9">
        <v>894.06225080000002</v>
      </c>
      <c r="G117" s="10">
        <v>2.2600843999999998E-2</v>
      </c>
      <c r="H117" s="51"/>
    </row>
    <row r="118" spans="1:8" ht="14.1" customHeight="1" x14ac:dyDescent="0.2">
      <c r="A118" s="1"/>
      <c r="B118" s="1"/>
      <c r="C118" s="11"/>
      <c r="D118" s="1"/>
      <c r="E118" s="1"/>
      <c r="F118" s="12"/>
      <c r="G118" s="12"/>
      <c r="H118" s="51"/>
    </row>
    <row r="119" spans="1:8" ht="14.1" customHeight="1" x14ac:dyDescent="0.2">
      <c r="A119" s="1"/>
      <c r="B119" s="1"/>
      <c r="C119" s="2" t="s">
        <v>138</v>
      </c>
      <c r="D119" s="1"/>
      <c r="E119" s="1"/>
      <c r="F119" s="1"/>
      <c r="G119" s="1"/>
      <c r="H119" s="51"/>
    </row>
    <row r="120" spans="1:8" ht="14.1" customHeight="1" x14ac:dyDescent="0.2">
      <c r="A120" s="1"/>
      <c r="B120" s="1"/>
      <c r="C120" s="2" t="s">
        <v>129</v>
      </c>
      <c r="D120" s="1"/>
      <c r="E120" s="1" t="s">
        <v>130</v>
      </c>
      <c r="F120" s="13">
        <v>0</v>
      </c>
      <c r="G120" s="14">
        <v>0</v>
      </c>
      <c r="H120" s="51"/>
    </row>
    <row r="121" spans="1:8" ht="14.1" customHeight="1" x14ac:dyDescent="0.2">
      <c r="A121" s="1"/>
      <c r="B121" s="1"/>
      <c r="C121" s="11"/>
      <c r="D121" s="1"/>
      <c r="E121" s="1"/>
      <c r="F121" s="12"/>
      <c r="G121" s="12"/>
      <c r="H121" s="51"/>
    </row>
    <row r="122" spans="1:8" ht="14.1" customHeight="1" x14ac:dyDescent="0.2">
      <c r="A122" s="1"/>
      <c r="B122" s="1"/>
      <c r="C122" s="2" t="s">
        <v>139</v>
      </c>
      <c r="D122" s="1"/>
      <c r="E122" s="1"/>
      <c r="F122" s="1"/>
      <c r="G122" s="1"/>
      <c r="H122" s="51"/>
    </row>
    <row r="123" spans="1:8" ht="29.1" customHeight="1" x14ac:dyDescent="0.2">
      <c r="A123" s="3">
        <v>1</v>
      </c>
      <c r="B123" s="4" t="s">
        <v>628</v>
      </c>
      <c r="C123" s="4" t="s">
        <v>629</v>
      </c>
      <c r="D123" s="4" t="s">
        <v>571</v>
      </c>
      <c r="E123" s="5">
        <v>1500000</v>
      </c>
      <c r="F123" s="6">
        <v>1429.0785000000001</v>
      </c>
      <c r="G123" s="7">
        <v>3.6125427000000002E-2</v>
      </c>
      <c r="H123" s="51">
        <v>7.1689999999999996</v>
      </c>
    </row>
    <row r="124" spans="1:8" ht="29.1" customHeight="1" x14ac:dyDescent="0.2">
      <c r="A124" s="3">
        <v>2</v>
      </c>
      <c r="B124" s="4" t="s">
        <v>630</v>
      </c>
      <c r="C124" s="4" t="s">
        <v>631</v>
      </c>
      <c r="D124" s="4" t="s">
        <v>571</v>
      </c>
      <c r="E124" s="5">
        <v>500000</v>
      </c>
      <c r="F124" s="6">
        <v>472.39150000000001</v>
      </c>
      <c r="G124" s="7">
        <v>1.1941502E-2</v>
      </c>
      <c r="H124" s="51">
        <v>7.1619000000000002</v>
      </c>
    </row>
    <row r="125" spans="1:8" ht="29.1" customHeight="1" x14ac:dyDescent="0.2">
      <c r="A125" s="3">
        <v>3</v>
      </c>
      <c r="B125" s="4" t="s">
        <v>632</v>
      </c>
      <c r="C125" s="4" t="s">
        <v>633</v>
      </c>
      <c r="D125" s="4" t="s">
        <v>571</v>
      </c>
      <c r="E125" s="5">
        <v>100000</v>
      </c>
      <c r="F125" s="6">
        <v>101.739</v>
      </c>
      <c r="G125" s="7">
        <v>2.571842E-3</v>
      </c>
      <c r="H125" s="51">
        <v>7.4</v>
      </c>
    </row>
    <row r="126" spans="1:8" ht="29.1" customHeight="1" x14ac:dyDescent="0.2">
      <c r="A126" s="3">
        <v>4</v>
      </c>
      <c r="B126" s="4" t="s">
        <v>634</v>
      </c>
      <c r="C126" s="4" t="s">
        <v>635</v>
      </c>
      <c r="D126" s="4" t="s">
        <v>571</v>
      </c>
      <c r="E126" s="5">
        <v>50000</v>
      </c>
      <c r="F126" s="6">
        <v>49.122250000000001</v>
      </c>
      <c r="G126" s="7">
        <v>1.241753E-3</v>
      </c>
      <c r="H126" s="51">
        <v>7.0937000000000001</v>
      </c>
    </row>
    <row r="127" spans="1:8" ht="14.1" customHeight="1" x14ac:dyDescent="0.2">
      <c r="A127" s="1"/>
      <c r="B127" s="1"/>
      <c r="C127" s="2" t="s">
        <v>129</v>
      </c>
      <c r="D127" s="1"/>
      <c r="E127" s="1" t="s">
        <v>130</v>
      </c>
      <c r="F127" s="9">
        <v>2052.3312500000002</v>
      </c>
      <c r="G127" s="10">
        <v>5.1880523999999997E-2</v>
      </c>
      <c r="H127" s="51"/>
    </row>
    <row r="128" spans="1:8" ht="14.1" customHeight="1" x14ac:dyDescent="0.2">
      <c r="A128" s="1"/>
      <c r="B128" s="1"/>
      <c r="C128" s="11"/>
      <c r="D128" s="1"/>
      <c r="E128" s="1"/>
      <c r="F128" s="12"/>
      <c r="G128" s="12"/>
      <c r="H128" s="51"/>
    </row>
    <row r="129" spans="1:8" ht="14.1" customHeight="1" x14ac:dyDescent="0.2">
      <c r="A129" s="1"/>
      <c r="B129" s="1"/>
      <c r="C129" s="2" t="s">
        <v>140</v>
      </c>
      <c r="D129" s="1"/>
      <c r="E129" s="1"/>
      <c r="F129" s="12"/>
      <c r="G129" s="12"/>
      <c r="H129" s="51"/>
    </row>
    <row r="130" spans="1:8" ht="14.1" customHeight="1" x14ac:dyDescent="0.2">
      <c r="A130" s="1"/>
      <c r="B130" s="1"/>
      <c r="C130" s="2" t="s">
        <v>129</v>
      </c>
      <c r="D130" s="1"/>
      <c r="E130" s="1" t="s">
        <v>130</v>
      </c>
      <c r="F130" s="13">
        <v>0</v>
      </c>
      <c r="G130" s="14">
        <v>0</v>
      </c>
      <c r="H130" s="51"/>
    </row>
    <row r="131" spans="1:8" ht="14.1" customHeight="1" x14ac:dyDescent="0.2">
      <c r="A131" s="1"/>
      <c r="B131" s="1"/>
      <c r="C131" s="11"/>
      <c r="D131" s="1"/>
      <c r="E131" s="1"/>
      <c r="F131" s="12"/>
      <c r="G131" s="12"/>
      <c r="H131" s="51"/>
    </row>
    <row r="132" spans="1:8" ht="14.1" customHeight="1" x14ac:dyDescent="0.2">
      <c r="A132" s="1"/>
      <c r="B132" s="1"/>
      <c r="C132" s="2" t="s">
        <v>141</v>
      </c>
      <c r="D132" s="1"/>
      <c r="E132" s="1"/>
      <c r="F132" s="9">
        <v>2946.3935007999999</v>
      </c>
      <c r="G132" s="10">
        <v>7.4481368000000006E-2</v>
      </c>
      <c r="H132" s="51"/>
    </row>
    <row r="133" spans="1:8" ht="14.1" customHeight="1" x14ac:dyDescent="0.2">
      <c r="A133" s="1"/>
      <c r="B133" s="1"/>
      <c r="C133" s="11"/>
      <c r="D133" s="1"/>
      <c r="E133" s="1"/>
      <c r="F133" s="12"/>
      <c r="G133" s="12"/>
      <c r="H133" s="51"/>
    </row>
    <row r="134" spans="1:8" ht="14.1" customHeight="1" x14ac:dyDescent="0.2">
      <c r="A134" s="1"/>
      <c r="B134" s="1"/>
      <c r="C134" s="2" t="s">
        <v>142</v>
      </c>
      <c r="D134" s="1"/>
      <c r="E134" s="1"/>
      <c r="F134" s="12"/>
      <c r="G134" s="12"/>
      <c r="H134" s="51"/>
    </row>
    <row r="135" spans="1:8" ht="14.1" customHeight="1" x14ac:dyDescent="0.2">
      <c r="A135" s="1"/>
      <c r="B135" s="1"/>
      <c r="C135" s="2" t="s">
        <v>143</v>
      </c>
      <c r="D135" s="1"/>
      <c r="E135" s="1"/>
      <c r="F135" s="12"/>
      <c r="G135" s="12"/>
      <c r="H135" s="51"/>
    </row>
    <row r="136" spans="1:8" ht="14.1" customHeight="1" x14ac:dyDescent="0.2">
      <c r="A136" s="1"/>
      <c r="B136" s="1"/>
      <c r="C136" s="2" t="s">
        <v>129</v>
      </c>
      <c r="D136" s="1"/>
      <c r="E136" s="1" t="s">
        <v>130</v>
      </c>
      <c r="F136" s="13">
        <v>0</v>
      </c>
      <c r="G136" s="14">
        <v>0</v>
      </c>
      <c r="H136" s="51"/>
    </row>
    <row r="137" spans="1:8" ht="14.1" customHeight="1" x14ac:dyDescent="0.2">
      <c r="A137" s="1"/>
      <c r="B137" s="1"/>
      <c r="C137" s="11"/>
      <c r="D137" s="1"/>
      <c r="E137" s="1"/>
      <c r="F137" s="12"/>
      <c r="G137" s="12"/>
      <c r="H137" s="51"/>
    </row>
    <row r="138" spans="1:8" ht="14.1" customHeight="1" x14ac:dyDescent="0.2">
      <c r="A138" s="1"/>
      <c r="B138" s="1"/>
      <c r="C138" s="2" t="s">
        <v>144</v>
      </c>
      <c r="D138" s="1"/>
      <c r="E138" s="1"/>
      <c r="F138" s="12"/>
      <c r="G138" s="12"/>
      <c r="H138" s="51"/>
    </row>
    <row r="139" spans="1:8" ht="14.1" customHeight="1" x14ac:dyDescent="0.2">
      <c r="A139" s="1"/>
      <c r="B139" s="1"/>
      <c r="C139" s="2" t="s">
        <v>129</v>
      </c>
      <c r="D139" s="1"/>
      <c r="E139" s="1" t="s">
        <v>130</v>
      </c>
      <c r="F139" s="13">
        <v>0</v>
      </c>
      <c r="G139" s="14">
        <v>0</v>
      </c>
      <c r="H139" s="51"/>
    </row>
    <row r="140" spans="1:8" ht="14.1" customHeight="1" x14ac:dyDescent="0.2">
      <c r="A140" s="1"/>
      <c r="B140" s="1"/>
      <c r="C140" s="11"/>
      <c r="D140" s="1"/>
      <c r="E140" s="1"/>
      <c r="F140" s="12"/>
      <c r="G140" s="12"/>
      <c r="H140" s="51"/>
    </row>
    <row r="141" spans="1:8" ht="14.1" customHeight="1" x14ac:dyDescent="0.2">
      <c r="A141" s="1"/>
      <c r="B141" s="1"/>
      <c r="C141" s="2" t="s">
        <v>145</v>
      </c>
      <c r="D141" s="1"/>
      <c r="E141" s="1"/>
      <c r="F141" s="12"/>
      <c r="G141" s="12"/>
      <c r="H141" s="51"/>
    </row>
    <row r="142" spans="1:8" ht="17.100000000000001" customHeight="1" x14ac:dyDescent="0.2">
      <c r="A142" s="3">
        <v>1</v>
      </c>
      <c r="B142" s="4" t="s">
        <v>636</v>
      </c>
      <c r="C142" s="4" t="s">
        <v>1043</v>
      </c>
      <c r="D142" s="4" t="s">
        <v>571</v>
      </c>
      <c r="E142" s="5">
        <v>2000000</v>
      </c>
      <c r="F142" s="6">
        <v>1963.316</v>
      </c>
      <c r="G142" s="7">
        <v>4.9630322999999997E-2</v>
      </c>
      <c r="H142" s="51">
        <v>6.2</v>
      </c>
    </row>
    <row r="143" spans="1:8" ht="17.100000000000001" customHeight="1" x14ac:dyDescent="0.2">
      <c r="A143" s="3">
        <v>2</v>
      </c>
      <c r="B143" s="4" t="s">
        <v>637</v>
      </c>
      <c r="C143" s="4" t="s">
        <v>1044</v>
      </c>
      <c r="D143" s="4" t="s">
        <v>571</v>
      </c>
      <c r="E143" s="5">
        <v>1000000</v>
      </c>
      <c r="F143" s="6">
        <v>987.82100000000003</v>
      </c>
      <c r="G143" s="7">
        <v>2.4970955E-2</v>
      </c>
      <c r="H143" s="51">
        <v>6</v>
      </c>
    </row>
    <row r="144" spans="1:8" ht="14.1" customHeight="1" x14ac:dyDescent="0.2">
      <c r="A144" s="1"/>
      <c r="B144" s="1"/>
      <c r="C144" s="2" t="s">
        <v>129</v>
      </c>
      <c r="D144" s="1"/>
      <c r="E144" s="1" t="s">
        <v>130</v>
      </c>
      <c r="F144" s="9">
        <v>2951.1370000000002</v>
      </c>
      <c r="G144" s="10">
        <v>7.4601277999999993E-2</v>
      </c>
      <c r="H144" s="51"/>
    </row>
    <row r="145" spans="1:8" ht="14.1" customHeight="1" x14ac:dyDescent="0.2">
      <c r="A145" s="1"/>
      <c r="B145" s="1"/>
      <c r="C145" s="11"/>
      <c r="D145" s="1"/>
      <c r="E145" s="1"/>
      <c r="F145" s="12"/>
      <c r="G145" s="12"/>
      <c r="H145" s="51"/>
    </row>
    <row r="146" spans="1:8" ht="14.1" customHeight="1" x14ac:dyDescent="0.2">
      <c r="A146" s="1"/>
      <c r="B146" s="1"/>
      <c r="C146" s="2" t="s">
        <v>146</v>
      </c>
      <c r="D146" s="1"/>
      <c r="E146" s="1"/>
      <c r="F146" s="12"/>
      <c r="G146" s="12"/>
      <c r="H146" s="51"/>
    </row>
    <row r="147" spans="1:8" ht="17.100000000000001" customHeight="1" x14ac:dyDescent="0.2">
      <c r="A147" s="3">
        <v>1</v>
      </c>
      <c r="B147" s="4"/>
      <c r="C147" s="4" t="s">
        <v>147</v>
      </c>
      <c r="D147" s="4"/>
      <c r="E147" s="8"/>
      <c r="F147" s="6">
        <v>3442.8824067999999</v>
      </c>
      <c r="G147" s="7">
        <v>8.7032024999999999E-2</v>
      </c>
      <c r="H147" s="51">
        <v>6.1245112103248278</v>
      </c>
    </row>
    <row r="148" spans="1:8" ht="14.1" customHeight="1" x14ac:dyDescent="0.2">
      <c r="A148" s="1"/>
      <c r="B148" s="1"/>
      <c r="C148" s="2" t="s">
        <v>129</v>
      </c>
      <c r="D148" s="1"/>
      <c r="E148" s="1" t="s">
        <v>130</v>
      </c>
      <c r="F148" s="9">
        <v>3442.8824067999999</v>
      </c>
      <c r="G148" s="10">
        <v>8.7032024999999999E-2</v>
      </c>
      <c r="H148" s="51"/>
    </row>
    <row r="149" spans="1:8" ht="14.1" customHeight="1" x14ac:dyDescent="0.2">
      <c r="A149" s="1"/>
      <c r="B149" s="1"/>
      <c r="C149" s="11"/>
      <c r="D149" s="1"/>
      <c r="E149" s="1"/>
      <c r="F149" s="12"/>
      <c r="G149" s="12"/>
      <c r="H149" s="51"/>
    </row>
    <row r="150" spans="1:8" ht="14.1" customHeight="1" x14ac:dyDescent="0.2">
      <c r="A150" s="1"/>
      <c r="B150" s="1"/>
      <c r="C150" s="2" t="s">
        <v>148</v>
      </c>
      <c r="D150" s="1"/>
      <c r="E150" s="1"/>
      <c r="F150" s="9">
        <v>6394.0194068000001</v>
      </c>
      <c r="G150" s="10">
        <v>0.16163330300000001</v>
      </c>
      <c r="H150" s="51"/>
    </row>
    <row r="151" spans="1:8" ht="14.1" customHeight="1" x14ac:dyDescent="0.2">
      <c r="A151" s="1"/>
      <c r="B151" s="1"/>
      <c r="C151" s="12"/>
      <c r="D151" s="1"/>
      <c r="E151" s="1"/>
      <c r="F151" s="1"/>
      <c r="G151" s="1"/>
      <c r="H151" s="51"/>
    </row>
    <row r="152" spans="1:8" ht="14.1" customHeight="1" x14ac:dyDescent="0.2">
      <c r="A152" s="1"/>
      <c r="B152" s="1"/>
      <c r="C152" s="2" t="s">
        <v>149</v>
      </c>
      <c r="D152" s="1"/>
      <c r="E152" s="1"/>
      <c r="F152" s="1"/>
      <c r="G152" s="1"/>
      <c r="H152" s="51"/>
    </row>
    <row r="153" spans="1:8" ht="14.1" customHeight="1" x14ac:dyDescent="0.2">
      <c r="A153" s="1"/>
      <c r="B153" s="1"/>
      <c r="C153" s="2" t="s">
        <v>150</v>
      </c>
      <c r="D153" s="1"/>
      <c r="E153" s="1"/>
      <c r="F153" s="1"/>
      <c r="G153" s="1"/>
      <c r="H153" s="51"/>
    </row>
    <row r="154" spans="1:8" ht="14.1" customHeight="1" x14ac:dyDescent="0.2">
      <c r="A154" s="1"/>
      <c r="B154" s="1"/>
      <c r="C154" s="2" t="s">
        <v>129</v>
      </c>
      <c r="D154" s="1"/>
      <c r="E154" s="1" t="s">
        <v>130</v>
      </c>
      <c r="F154" s="13">
        <v>0</v>
      </c>
      <c r="G154" s="14">
        <v>0</v>
      </c>
      <c r="H154" s="51"/>
    </row>
    <row r="155" spans="1:8" ht="14.1" customHeight="1" x14ac:dyDescent="0.2">
      <c r="A155" s="1"/>
      <c r="B155" s="1"/>
      <c r="C155" s="11"/>
      <c r="D155" s="1"/>
      <c r="E155" s="1"/>
      <c r="F155" s="12"/>
      <c r="G155" s="12"/>
      <c r="H155" s="51"/>
    </row>
    <row r="156" spans="1:8" ht="14.1" customHeight="1" x14ac:dyDescent="0.2">
      <c r="A156" s="1"/>
      <c r="B156" s="1"/>
      <c r="C156" s="2" t="s">
        <v>151</v>
      </c>
      <c r="D156" s="1"/>
      <c r="E156" s="1"/>
      <c r="F156" s="1"/>
      <c r="G156" s="1"/>
      <c r="H156" s="51"/>
    </row>
    <row r="157" spans="1:8" ht="14.1" customHeight="1" x14ac:dyDescent="0.2">
      <c r="A157" s="1"/>
      <c r="B157" s="1"/>
      <c r="C157" s="2" t="s">
        <v>152</v>
      </c>
      <c r="D157" s="1"/>
      <c r="E157" s="1"/>
      <c r="F157" s="1"/>
      <c r="G157" s="1"/>
      <c r="H157" s="51"/>
    </row>
    <row r="158" spans="1:8" ht="14.1" customHeight="1" x14ac:dyDescent="0.2">
      <c r="A158" s="1"/>
      <c r="B158" s="1"/>
      <c r="C158" s="2" t="s">
        <v>129</v>
      </c>
      <c r="D158" s="1"/>
      <c r="E158" s="1" t="s">
        <v>130</v>
      </c>
      <c r="F158" s="13">
        <v>0</v>
      </c>
      <c r="G158" s="14">
        <v>0</v>
      </c>
      <c r="H158" s="51"/>
    </row>
    <row r="159" spans="1:8" ht="14.1" customHeight="1" x14ac:dyDescent="0.2">
      <c r="A159" s="1"/>
      <c r="B159" s="1"/>
      <c r="C159" s="11"/>
      <c r="D159" s="1"/>
      <c r="E159" s="1"/>
      <c r="F159" s="12"/>
      <c r="G159" s="12"/>
      <c r="H159" s="51"/>
    </row>
    <row r="160" spans="1:8" ht="14.1" customHeight="1" x14ac:dyDescent="0.2">
      <c r="A160" s="1"/>
      <c r="B160" s="1"/>
      <c r="C160" s="11"/>
      <c r="D160" s="1"/>
      <c r="E160" s="1"/>
      <c r="F160" s="12"/>
      <c r="G160" s="12"/>
      <c r="H160" s="51"/>
    </row>
    <row r="161" spans="1:15" ht="24" customHeight="1" x14ac:dyDescent="0.2">
      <c r="A161" s="1"/>
      <c r="B161" s="1"/>
      <c r="C161" s="2" t="s">
        <v>153</v>
      </c>
      <c r="D161" s="1"/>
      <c r="E161" s="1"/>
      <c r="F161" s="12"/>
      <c r="G161" s="12"/>
      <c r="H161" s="51"/>
    </row>
    <row r="162" spans="1:15" ht="14.1" customHeight="1" x14ac:dyDescent="0.2">
      <c r="A162" s="1"/>
      <c r="B162" s="1"/>
      <c r="C162" s="2" t="s">
        <v>129</v>
      </c>
      <c r="D162" s="1"/>
      <c r="E162" s="1" t="s">
        <v>130</v>
      </c>
      <c r="F162" s="13">
        <v>0</v>
      </c>
      <c r="G162" s="14">
        <v>0</v>
      </c>
      <c r="H162" s="51"/>
    </row>
    <row r="163" spans="1:15" ht="14.1" customHeight="1" x14ac:dyDescent="0.2">
      <c r="A163" s="1"/>
      <c r="B163" s="1"/>
      <c r="C163" s="11"/>
      <c r="D163" s="1"/>
      <c r="E163" s="1"/>
      <c r="F163" s="12"/>
      <c r="G163" s="12"/>
      <c r="H163" s="51"/>
    </row>
    <row r="164" spans="1:15" ht="18" customHeight="1" x14ac:dyDescent="0.2">
      <c r="A164" s="8"/>
      <c r="B164" s="4"/>
      <c r="C164" s="4" t="s">
        <v>574</v>
      </c>
      <c r="D164" s="4"/>
      <c r="E164" s="8"/>
      <c r="F164" s="51">
        <v>1496</v>
      </c>
      <c r="G164" s="52">
        <v>3.7817123574735517E-2</v>
      </c>
      <c r="H164" s="51"/>
      <c r="K164" s="233"/>
    </row>
    <row r="165" spans="1:15" ht="18" customHeight="1" x14ac:dyDescent="0.2">
      <c r="A165" s="8"/>
      <c r="B165" s="4"/>
      <c r="C165" s="38" t="s">
        <v>764</v>
      </c>
      <c r="D165" s="4"/>
      <c r="E165" s="8"/>
      <c r="F165" s="51">
        <f>187.379755989998-188.2138383</f>
        <v>-0.83408231000200317</v>
      </c>
      <c r="G165" s="52" t="s">
        <v>128</v>
      </c>
      <c r="H165" s="51"/>
    </row>
    <row r="166" spans="1:15" ht="14.1" customHeight="1" x14ac:dyDescent="0.2">
      <c r="A166" s="11"/>
      <c r="B166" s="11"/>
      <c r="C166" s="2" t="s">
        <v>155</v>
      </c>
      <c r="D166" s="15"/>
      <c r="E166" s="15"/>
      <c r="F166" s="55">
        <v>39558.79925779</v>
      </c>
      <c r="G166" s="56">
        <v>1</v>
      </c>
      <c r="H166" s="51"/>
    </row>
    <row r="167" spans="1:15" ht="14.1" customHeight="1" x14ac:dyDescent="0.2">
      <c r="A167" s="16"/>
      <c r="B167" s="16"/>
      <c r="C167" s="16"/>
      <c r="D167" s="17"/>
      <c r="E167" s="17"/>
      <c r="F167" s="17"/>
      <c r="G167" s="57"/>
    </row>
    <row r="168" spans="1:15" ht="17.100000000000001" customHeight="1" x14ac:dyDescent="0.2">
      <c r="A168" s="18"/>
      <c r="B168" s="327" t="s">
        <v>602</v>
      </c>
      <c r="C168" s="327"/>
      <c r="D168" s="327"/>
      <c r="E168" s="327"/>
      <c r="F168" s="327"/>
      <c r="G168" s="20"/>
    </row>
    <row r="169" spans="1:15" ht="17.100000000000001" customHeight="1" x14ac:dyDescent="0.2">
      <c r="A169" s="53"/>
      <c r="B169" s="344" t="s">
        <v>762</v>
      </c>
      <c r="C169" s="344"/>
      <c r="D169" s="344"/>
      <c r="E169" s="344"/>
      <c r="F169" s="344"/>
      <c r="G169" s="54"/>
    </row>
    <row r="170" spans="1:15" ht="17.100000000000001" customHeight="1" x14ac:dyDescent="0.2">
      <c r="A170" s="18"/>
      <c r="B170" s="327" t="s">
        <v>156</v>
      </c>
      <c r="C170" s="327"/>
      <c r="D170" s="327"/>
      <c r="E170" s="327"/>
      <c r="F170" s="327"/>
      <c r="G170" s="20"/>
    </row>
    <row r="171" spans="1:15" s="41" customFormat="1" x14ac:dyDescent="0.2">
      <c r="A171" s="39"/>
      <c r="B171" s="345" t="s">
        <v>971</v>
      </c>
      <c r="C171" s="345"/>
      <c r="D171" s="345"/>
      <c r="E171" s="345"/>
      <c r="F171" s="345"/>
      <c r="G171" s="40"/>
      <c r="H171"/>
      <c r="I171"/>
      <c r="J171"/>
      <c r="K171"/>
      <c r="L171"/>
      <c r="M171"/>
      <c r="N171"/>
      <c r="O171"/>
    </row>
    <row r="172" spans="1:15" ht="14.1" customHeight="1" x14ac:dyDescent="0.2">
      <c r="A172" s="18"/>
      <c r="B172" s="18"/>
      <c r="C172" s="18"/>
      <c r="D172" s="20"/>
      <c r="E172" s="20"/>
      <c r="F172" s="20"/>
      <c r="G172" s="20"/>
    </row>
    <row r="173" spans="1:15" ht="14.1" customHeight="1" x14ac:dyDescent="0.2">
      <c r="A173" s="18"/>
      <c r="B173" s="325" t="s">
        <v>157</v>
      </c>
      <c r="C173" s="326"/>
      <c r="D173" s="12" t="s">
        <v>130</v>
      </c>
      <c r="E173" s="21"/>
      <c r="F173" s="20"/>
      <c r="G173" s="20"/>
    </row>
    <row r="174" spans="1:15" ht="29.1" customHeight="1" x14ac:dyDescent="0.2">
      <c r="A174" s="18"/>
      <c r="B174" s="318" t="s">
        <v>158</v>
      </c>
      <c r="C174" s="319"/>
      <c r="D174" s="2" t="s">
        <v>159</v>
      </c>
      <c r="E174" s="21"/>
      <c r="F174" s="20"/>
      <c r="G174" s="20"/>
      <c r="O174" s="41"/>
    </row>
    <row r="175" spans="1:15" ht="17.100000000000001" customHeight="1" x14ac:dyDescent="0.2">
      <c r="A175" s="18"/>
      <c r="B175" s="318" t="s">
        <v>160</v>
      </c>
      <c r="C175" s="319"/>
      <c r="D175" s="2" t="s">
        <v>159</v>
      </c>
      <c r="E175" s="21"/>
      <c r="F175" s="20"/>
      <c r="G175" s="20"/>
    </row>
    <row r="176" spans="1:15" ht="17.100000000000001" customHeight="1" x14ac:dyDescent="0.2">
      <c r="A176" s="18"/>
      <c r="B176" s="318" t="s">
        <v>161</v>
      </c>
      <c r="C176" s="319"/>
      <c r="D176" s="12" t="s">
        <v>130</v>
      </c>
      <c r="E176" s="21"/>
      <c r="F176" s="20"/>
      <c r="G176" s="20"/>
      <c r="I176" s="41"/>
    </row>
    <row r="177" spans="1:14" ht="24" customHeight="1" x14ac:dyDescent="0.2">
      <c r="A177" s="22"/>
      <c r="B177" s="23" t="s">
        <v>130</v>
      </c>
      <c r="C177" s="23" t="s">
        <v>162</v>
      </c>
      <c r="D177" s="23" t="s">
        <v>163</v>
      </c>
      <c r="E177" s="22"/>
      <c r="F177" s="22"/>
      <c r="G177" s="22"/>
    </row>
    <row r="178" spans="1:14" ht="18" customHeight="1" x14ac:dyDescent="0.2">
      <c r="A178" s="22"/>
      <c r="B178" s="23" t="s">
        <v>164</v>
      </c>
      <c r="C178" s="23" t="s">
        <v>165</v>
      </c>
      <c r="D178" s="23" t="s">
        <v>166</v>
      </c>
      <c r="E178" s="22"/>
      <c r="F178" s="22"/>
      <c r="G178" s="22"/>
      <c r="I178" s="41"/>
      <c r="J178" s="41"/>
      <c r="K178" s="41"/>
      <c r="L178" s="41"/>
      <c r="M178" s="41"/>
      <c r="N178" s="41"/>
    </row>
    <row r="179" spans="1:14" ht="17.100000000000001" customHeight="1" x14ac:dyDescent="0.2">
      <c r="A179" s="22"/>
      <c r="B179" s="4" t="s">
        <v>167</v>
      </c>
      <c r="C179" s="24">
        <v>57.091900000000003</v>
      </c>
      <c r="D179" s="24">
        <v>56.518799999999999</v>
      </c>
      <c r="E179" s="22"/>
      <c r="F179" s="19"/>
      <c r="G179" s="25"/>
    </row>
    <row r="180" spans="1:14" ht="29.1" customHeight="1" x14ac:dyDescent="0.2">
      <c r="A180" s="22"/>
      <c r="B180" s="4" t="s">
        <v>1086</v>
      </c>
      <c r="C180" s="24">
        <v>14.5929</v>
      </c>
      <c r="D180" s="24">
        <v>13.944000000000001</v>
      </c>
      <c r="E180" s="22"/>
      <c r="F180" s="19"/>
      <c r="G180" s="25"/>
    </row>
    <row r="181" spans="1:14" ht="29.1" customHeight="1" x14ac:dyDescent="0.2">
      <c r="A181" s="22"/>
      <c r="B181" s="4" t="s">
        <v>1073</v>
      </c>
      <c r="C181" s="24">
        <v>21.271799999999999</v>
      </c>
      <c r="D181" s="24">
        <v>20.691400000000002</v>
      </c>
      <c r="E181" s="22"/>
      <c r="F181" s="19"/>
      <c r="G181" s="25"/>
    </row>
    <row r="182" spans="1:14" ht="17.100000000000001" customHeight="1" x14ac:dyDescent="0.2">
      <c r="A182" s="22"/>
      <c r="B182" s="4" t="s">
        <v>168</v>
      </c>
      <c r="C182" s="24">
        <v>51.569099999999999</v>
      </c>
      <c r="D182" s="24">
        <v>50.9801</v>
      </c>
      <c r="E182" s="22"/>
      <c r="F182" s="19"/>
      <c r="G182" s="25"/>
    </row>
    <row r="183" spans="1:14" ht="29.1" customHeight="1" x14ac:dyDescent="0.2">
      <c r="A183" s="22"/>
      <c r="B183" s="4" t="s">
        <v>1087</v>
      </c>
      <c r="C183" s="24">
        <v>14.2653</v>
      </c>
      <c r="D183" s="24">
        <v>13.6112</v>
      </c>
      <c r="E183" s="22"/>
      <c r="F183" s="19"/>
      <c r="G183" s="25"/>
    </row>
    <row r="184" spans="1:14" ht="29.1" customHeight="1" x14ac:dyDescent="0.2">
      <c r="A184" s="22"/>
      <c r="B184" s="4" t="s">
        <v>1075</v>
      </c>
      <c r="C184" s="24">
        <v>15.36</v>
      </c>
      <c r="D184" s="24">
        <v>14.920400000000001</v>
      </c>
      <c r="E184" s="22"/>
      <c r="F184" s="19"/>
      <c r="G184" s="25"/>
    </row>
    <row r="185" spans="1:14" ht="14.1" customHeight="1" x14ac:dyDescent="0.2">
      <c r="A185" s="22"/>
      <c r="B185" s="22"/>
      <c r="C185" s="22"/>
      <c r="D185" s="22"/>
      <c r="E185" s="22"/>
      <c r="F185" s="22"/>
      <c r="G185" s="22"/>
    </row>
    <row r="186" spans="1:14" ht="17.100000000000001" customHeight="1" x14ac:dyDescent="0.2">
      <c r="A186" s="22"/>
      <c r="B186" s="318" t="s">
        <v>1069</v>
      </c>
      <c r="C186" s="319"/>
      <c r="D186" s="2" t="s">
        <v>130</v>
      </c>
      <c r="E186" s="22"/>
      <c r="F186" s="22"/>
      <c r="G186" s="22"/>
    </row>
    <row r="187" spans="1:14" ht="18" customHeight="1" x14ac:dyDescent="0.2">
      <c r="A187" s="85"/>
      <c r="B187" s="91" t="s">
        <v>164</v>
      </c>
      <c r="C187" s="92" t="s">
        <v>761</v>
      </c>
      <c r="D187" s="92" t="s">
        <v>760</v>
      </c>
      <c r="E187" s="85"/>
      <c r="F187" s="85"/>
      <c r="G187" s="85"/>
    </row>
    <row r="188" spans="1:14" ht="29.1" customHeight="1" x14ac:dyDescent="0.2">
      <c r="A188" s="85"/>
      <c r="B188" s="61" t="s">
        <v>1086</v>
      </c>
      <c r="C188" s="93">
        <v>0.51100000000000001</v>
      </c>
      <c r="D188" s="117" t="s">
        <v>837</v>
      </c>
      <c r="E188" s="85"/>
      <c r="F188" s="89"/>
      <c r="G188" s="90"/>
    </row>
    <row r="189" spans="1:14" ht="29.1" customHeight="1" x14ac:dyDescent="0.2">
      <c r="A189" s="85"/>
      <c r="B189" s="61" t="s">
        <v>1073</v>
      </c>
      <c r="C189" s="93">
        <v>0.373</v>
      </c>
      <c r="D189" s="117" t="s">
        <v>837</v>
      </c>
      <c r="E189" s="85"/>
      <c r="F189" s="89"/>
      <c r="G189" s="90"/>
    </row>
    <row r="190" spans="1:14" ht="29.1" customHeight="1" x14ac:dyDescent="0.2">
      <c r="A190" s="85"/>
      <c r="B190" s="61" t="s">
        <v>1087</v>
      </c>
      <c r="C190" s="93">
        <v>0.5</v>
      </c>
      <c r="D190" s="93">
        <v>0.5</v>
      </c>
      <c r="E190" s="85"/>
      <c r="F190" s="89"/>
      <c r="G190" s="90"/>
    </row>
    <row r="191" spans="1:14" ht="29.1" customHeight="1" x14ac:dyDescent="0.2">
      <c r="A191" s="85"/>
      <c r="B191" s="61" t="s">
        <v>1075</v>
      </c>
      <c r="C191" s="93">
        <v>0.26900000000000002</v>
      </c>
      <c r="D191" s="93">
        <v>0.26900000000000002</v>
      </c>
      <c r="E191" s="85"/>
      <c r="F191" s="89"/>
      <c r="G191" s="90"/>
    </row>
    <row r="192" spans="1:14" ht="14.1" customHeight="1" x14ac:dyDescent="0.2">
      <c r="A192" s="22"/>
      <c r="B192" s="19"/>
      <c r="C192" s="19"/>
      <c r="D192" s="22"/>
      <c r="E192" s="22"/>
      <c r="F192" s="22"/>
      <c r="G192" s="22"/>
    </row>
    <row r="193" spans="1:7" ht="29.1" customHeight="1" x14ac:dyDescent="0.2">
      <c r="A193" s="22"/>
      <c r="B193" s="328" t="s">
        <v>169</v>
      </c>
      <c r="C193" s="329"/>
      <c r="D193" s="111" t="s">
        <v>990</v>
      </c>
      <c r="E193" s="22"/>
      <c r="F193" s="22"/>
      <c r="G193" s="22"/>
    </row>
    <row r="194" spans="1:7" ht="29.1" customHeight="1" x14ac:dyDescent="0.2">
      <c r="A194" s="22"/>
      <c r="B194" s="328" t="s">
        <v>170</v>
      </c>
      <c r="C194" s="329"/>
      <c r="D194" s="2" t="s">
        <v>159</v>
      </c>
      <c r="E194" s="22"/>
      <c r="F194" s="22"/>
      <c r="G194" s="22"/>
    </row>
    <row r="195" spans="1:7" ht="17.100000000000001" customHeight="1" x14ac:dyDescent="0.2">
      <c r="A195" s="118"/>
      <c r="B195" s="346" t="s">
        <v>991</v>
      </c>
      <c r="C195" s="347"/>
      <c r="D195" s="119">
        <v>0.67420454631843241</v>
      </c>
      <c r="E195" s="121"/>
      <c r="F195" s="118"/>
      <c r="G195" s="118"/>
    </row>
    <row r="196" spans="1:7" ht="17.100000000000001" customHeight="1" x14ac:dyDescent="0.2">
      <c r="A196" s="118"/>
      <c r="B196" s="346" t="s">
        <v>992</v>
      </c>
      <c r="C196" s="347"/>
      <c r="D196" s="119">
        <v>0.63261382116346843</v>
      </c>
      <c r="E196" s="121"/>
      <c r="F196" s="118"/>
      <c r="G196" s="118"/>
    </row>
    <row r="197" spans="1:7" ht="17.100000000000001" customHeight="1" x14ac:dyDescent="0.2">
      <c r="A197" s="22"/>
      <c r="B197" s="328" t="s">
        <v>988</v>
      </c>
      <c r="C197" s="329"/>
      <c r="D197" s="28">
        <v>4.3294920777680375</v>
      </c>
      <c r="E197" s="22"/>
      <c r="F197" s="19"/>
      <c r="G197" s="25"/>
    </row>
    <row r="198" spans="1:7" ht="17.100000000000001" customHeight="1" x14ac:dyDescent="0.2">
      <c r="A198" s="22"/>
      <c r="B198" s="328" t="s">
        <v>989</v>
      </c>
      <c r="C198" s="329"/>
      <c r="D198" s="2" t="s">
        <v>159</v>
      </c>
      <c r="E198" s="22"/>
      <c r="F198" s="22"/>
      <c r="G198" s="22"/>
    </row>
  </sheetData>
  <mergeCells count="19">
    <mergeCell ref="B198:C198"/>
    <mergeCell ref="B174:C174"/>
    <mergeCell ref="B175:C175"/>
    <mergeCell ref="B176:C176"/>
    <mergeCell ref="B186:C186"/>
    <mergeCell ref="B193:C193"/>
    <mergeCell ref="B194:C194"/>
    <mergeCell ref="B195:C195"/>
    <mergeCell ref="B196:C196"/>
    <mergeCell ref="J2:N2"/>
    <mergeCell ref="B197:C197"/>
    <mergeCell ref="B169:F169"/>
    <mergeCell ref="B171:F171"/>
    <mergeCell ref="A1:H1"/>
    <mergeCell ref="A2:H2"/>
    <mergeCell ref="A3:H3"/>
    <mergeCell ref="B173:C173"/>
    <mergeCell ref="B168:F168"/>
    <mergeCell ref="B170:F170"/>
  </mergeCells>
  <hyperlinks>
    <hyperlink ref="I1" location="Index!B28" display="Index" xr:uid="{927CFE7F-CC14-42B9-A81E-1C714BB6452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outlinePr summaryBelow="0" summaryRight="0"/>
  </sheetPr>
  <dimension ref="A1:N122"/>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1081</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14</v>
      </c>
      <c r="C7" s="4" t="s">
        <v>15</v>
      </c>
      <c r="D7" s="4" t="s">
        <v>16</v>
      </c>
      <c r="E7" s="5">
        <v>755230</v>
      </c>
      <c r="F7" s="6">
        <v>6510.0825999999997</v>
      </c>
      <c r="G7" s="7">
        <v>8.8404468E-2</v>
      </c>
      <c r="H7" s="51"/>
    </row>
    <row r="8" spans="1:14" ht="29.1" customHeight="1" x14ac:dyDescent="0.2">
      <c r="A8" s="3">
        <v>2</v>
      </c>
      <c r="B8" s="4" t="s">
        <v>298</v>
      </c>
      <c r="C8" s="4" t="s">
        <v>299</v>
      </c>
      <c r="D8" s="4" t="s">
        <v>97</v>
      </c>
      <c r="E8" s="5">
        <v>206000</v>
      </c>
      <c r="F8" s="6">
        <v>4712.7650000000003</v>
      </c>
      <c r="G8" s="7">
        <v>6.3997573000000002E-2</v>
      </c>
      <c r="H8" s="51"/>
    </row>
    <row r="9" spans="1:14" ht="17.100000000000001" customHeight="1" x14ac:dyDescent="0.2">
      <c r="A9" s="3">
        <v>3</v>
      </c>
      <c r="B9" s="4" t="s">
        <v>296</v>
      </c>
      <c r="C9" s="4" t="s">
        <v>297</v>
      </c>
      <c r="D9" s="4" t="s">
        <v>223</v>
      </c>
      <c r="E9" s="5">
        <v>288000</v>
      </c>
      <c r="F9" s="6">
        <v>4070.7359999999999</v>
      </c>
      <c r="G9" s="7">
        <v>5.5279060999999997E-2</v>
      </c>
      <c r="H9" s="51"/>
    </row>
    <row r="10" spans="1:14" ht="17.100000000000001" customHeight="1" x14ac:dyDescent="0.2">
      <c r="A10" s="3">
        <v>4</v>
      </c>
      <c r="B10" s="4" t="s">
        <v>20</v>
      </c>
      <c r="C10" s="4" t="s">
        <v>21</v>
      </c>
      <c r="D10" s="4" t="s">
        <v>22</v>
      </c>
      <c r="E10" s="5">
        <v>164000</v>
      </c>
      <c r="F10" s="6">
        <v>3899.51</v>
      </c>
      <c r="G10" s="7">
        <v>5.2953875999999997E-2</v>
      </c>
      <c r="H10" s="51"/>
    </row>
    <row r="11" spans="1:14" ht="17.100000000000001" customHeight="1" x14ac:dyDescent="0.2">
      <c r="A11" s="3">
        <v>5</v>
      </c>
      <c r="B11" s="4" t="s">
        <v>41</v>
      </c>
      <c r="C11" s="4" t="s">
        <v>42</v>
      </c>
      <c r="D11" s="4" t="s">
        <v>16</v>
      </c>
      <c r="E11" s="5">
        <v>595460</v>
      </c>
      <c r="F11" s="6">
        <v>3159.5107600000001</v>
      </c>
      <c r="G11" s="7">
        <v>4.2904965000000003E-2</v>
      </c>
      <c r="H11" s="51"/>
    </row>
    <row r="12" spans="1:14" ht="17.100000000000001" customHeight="1" x14ac:dyDescent="0.2">
      <c r="A12" s="3">
        <v>6</v>
      </c>
      <c r="B12" s="4" t="s">
        <v>11</v>
      </c>
      <c r="C12" s="4" t="s">
        <v>12</v>
      </c>
      <c r="D12" s="4" t="s">
        <v>13</v>
      </c>
      <c r="E12" s="5">
        <v>156000</v>
      </c>
      <c r="F12" s="6">
        <v>2882.4119999999998</v>
      </c>
      <c r="G12" s="7">
        <v>3.9142069000000002E-2</v>
      </c>
      <c r="H12" s="51"/>
    </row>
    <row r="13" spans="1:14" ht="17.100000000000001" customHeight="1" x14ac:dyDescent="0.2">
      <c r="A13" s="3">
        <v>7</v>
      </c>
      <c r="B13" s="4" t="s">
        <v>261</v>
      </c>
      <c r="C13" s="4" t="s">
        <v>262</v>
      </c>
      <c r="D13" s="4" t="s">
        <v>97</v>
      </c>
      <c r="E13" s="5">
        <v>171220</v>
      </c>
      <c r="F13" s="6">
        <v>2873.6708699999999</v>
      </c>
      <c r="G13" s="7">
        <v>3.9023367000000003E-2</v>
      </c>
      <c r="H13" s="51"/>
    </row>
    <row r="14" spans="1:14" ht="17.100000000000001" customHeight="1" x14ac:dyDescent="0.2">
      <c r="A14" s="3">
        <v>8</v>
      </c>
      <c r="B14" s="4" t="s">
        <v>347</v>
      </c>
      <c r="C14" s="4" t="s">
        <v>348</v>
      </c>
      <c r="D14" s="4" t="s">
        <v>16</v>
      </c>
      <c r="E14" s="5">
        <v>1248000</v>
      </c>
      <c r="F14" s="6">
        <v>2854.8</v>
      </c>
      <c r="G14" s="7">
        <v>3.8767108000000002E-2</v>
      </c>
      <c r="H14" s="51"/>
      <c r="J14" s="157" t="s">
        <v>1107</v>
      </c>
    </row>
    <row r="15" spans="1:14" ht="17.100000000000001" customHeight="1" x14ac:dyDescent="0.2">
      <c r="A15" s="3">
        <v>9</v>
      </c>
      <c r="B15" s="4" t="s">
        <v>355</v>
      </c>
      <c r="C15" s="4" t="s">
        <v>356</v>
      </c>
      <c r="D15" s="4" t="s">
        <v>189</v>
      </c>
      <c r="E15" s="5">
        <v>64955</v>
      </c>
      <c r="F15" s="6">
        <v>2849.2835525</v>
      </c>
      <c r="G15" s="7">
        <v>3.8692196999999998E-2</v>
      </c>
      <c r="H15" s="51"/>
    </row>
    <row r="16" spans="1:14" ht="17.100000000000001" customHeight="1" x14ac:dyDescent="0.2">
      <c r="A16" s="3">
        <v>10</v>
      </c>
      <c r="B16" s="4" t="s">
        <v>344</v>
      </c>
      <c r="C16" s="38" t="s">
        <v>969</v>
      </c>
      <c r="D16" s="4" t="s">
        <v>19</v>
      </c>
      <c r="E16" s="5">
        <v>677624</v>
      </c>
      <c r="F16" s="6">
        <v>2724.3872919999999</v>
      </c>
      <c r="G16" s="7">
        <v>3.6996152999999997E-2</v>
      </c>
      <c r="H16" s="51"/>
    </row>
    <row r="17" spans="1:10" ht="53.1" customHeight="1" x14ac:dyDescent="0.2">
      <c r="A17" s="3">
        <v>11</v>
      </c>
      <c r="B17" s="4" t="s">
        <v>43</v>
      </c>
      <c r="C17" s="4" t="s">
        <v>44</v>
      </c>
      <c r="D17" s="4" t="s">
        <v>45</v>
      </c>
      <c r="E17" s="5">
        <v>1625000</v>
      </c>
      <c r="F17" s="6">
        <v>2480.5625</v>
      </c>
      <c r="G17" s="7">
        <v>3.3685104E-2</v>
      </c>
      <c r="H17" s="51"/>
    </row>
    <row r="18" spans="1:10" ht="17.100000000000001" customHeight="1" x14ac:dyDescent="0.2">
      <c r="A18" s="3">
        <v>12</v>
      </c>
      <c r="B18" s="4" t="s">
        <v>67</v>
      </c>
      <c r="C18" s="4" t="s">
        <v>68</v>
      </c>
      <c r="D18" s="4" t="s">
        <v>69</v>
      </c>
      <c r="E18" s="5">
        <v>26000</v>
      </c>
      <c r="F18" s="6">
        <v>2295.319</v>
      </c>
      <c r="G18" s="7">
        <v>3.1169566999999999E-2</v>
      </c>
      <c r="H18" s="51"/>
    </row>
    <row r="19" spans="1:10" ht="53.1" customHeight="1" x14ac:dyDescent="0.2">
      <c r="A19" s="3">
        <v>13</v>
      </c>
      <c r="B19" s="4" t="s">
        <v>93</v>
      </c>
      <c r="C19" s="4" t="s">
        <v>94</v>
      </c>
      <c r="D19" s="4" t="s">
        <v>45</v>
      </c>
      <c r="E19" s="5">
        <v>143000</v>
      </c>
      <c r="F19" s="6">
        <v>2120.404</v>
      </c>
      <c r="G19" s="7">
        <v>2.8794286999999998E-2</v>
      </c>
      <c r="H19" s="51"/>
    </row>
    <row r="20" spans="1:10" ht="29.1" customHeight="1" x14ac:dyDescent="0.2">
      <c r="A20" s="3">
        <v>14</v>
      </c>
      <c r="B20" s="4" t="s">
        <v>73</v>
      </c>
      <c r="C20" s="4" t="s">
        <v>74</v>
      </c>
      <c r="D20" s="4" t="s">
        <v>75</v>
      </c>
      <c r="E20" s="5">
        <v>2100000</v>
      </c>
      <c r="F20" s="6">
        <v>2119.9499999999998</v>
      </c>
      <c r="G20" s="7">
        <v>2.8788121999999999E-2</v>
      </c>
      <c r="H20" s="51"/>
    </row>
    <row r="21" spans="1:10" ht="29.1" customHeight="1" x14ac:dyDescent="0.2">
      <c r="A21" s="3">
        <v>15</v>
      </c>
      <c r="B21" s="4" t="s">
        <v>95</v>
      </c>
      <c r="C21" s="4" t="s">
        <v>96</v>
      </c>
      <c r="D21" s="4" t="s">
        <v>97</v>
      </c>
      <c r="E21" s="5">
        <v>273000</v>
      </c>
      <c r="F21" s="6">
        <v>1998.9059999999999</v>
      </c>
      <c r="G21" s="7">
        <v>2.7144390000000001E-2</v>
      </c>
      <c r="H21" s="51"/>
      <c r="J21" s="157" t="s">
        <v>1108</v>
      </c>
    </row>
    <row r="22" spans="1:10" ht="29.1" customHeight="1" x14ac:dyDescent="0.2">
      <c r="A22" s="3">
        <v>16</v>
      </c>
      <c r="B22" s="4" t="s">
        <v>182</v>
      </c>
      <c r="C22" s="4" t="s">
        <v>183</v>
      </c>
      <c r="D22" s="4" t="s">
        <v>184</v>
      </c>
      <c r="E22" s="5">
        <v>40584</v>
      </c>
      <c r="F22" s="6">
        <v>1822.566564</v>
      </c>
      <c r="G22" s="7">
        <v>2.4749766999999999E-2</v>
      </c>
      <c r="H22" s="51"/>
    </row>
    <row r="23" spans="1:10" ht="17.100000000000001" customHeight="1" x14ac:dyDescent="0.2">
      <c r="A23" s="3">
        <v>17</v>
      </c>
      <c r="B23" s="4" t="s">
        <v>510</v>
      </c>
      <c r="C23" s="4" t="s">
        <v>511</v>
      </c>
      <c r="D23" s="4" t="s">
        <v>315</v>
      </c>
      <c r="E23" s="5">
        <v>45000</v>
      </c>
      <c r="F23" s="6">
        <v>1786.5450000000001</v>
      </c>
      <c r="G23" s="7">
        <v>2.4260607999999999E-2</v>
      </c>
      <c r="H23" s="51"/>
    </row>
    <row r="24" spans="1:10" ht="29.1" customHeight="1" x14ac:dyDescent="0.2">
      <c r="A24" s="3">
        <v>18</v>
      </c>
      <c r="B24" s="4" t="s">
        <v>88</v>
      </c>
      <c r="C24" s="4" t="s">
        <v>89</v>
      </c>
      <c r="D24" s="4" t="s">
        <v>25</v>
      </c>
      <c r="E24" s="5">
        <v>8000</v>
      </c>
      <c r="F24" s="6">
        <v>1682.6479999999999</v>
      </c>
      <c r="G24" s="7">
        <v>2.2849726000000001E-2</v>
      </c>
      <c r="H24" s="51"/>
    </row>
    <row r="25" spans="1:10" ht="17.100000000000001" customHeight="1" x14ac:dyDescent="0.2">
      <c r="A25" s="3">
        <v>19</v>
      </c>
      <c r="B25" s="4" t="s">
        <v>84</v>
      </c>
      <c r="C25" s="4" t="s">
        <v>85</v>
      </c>
      <c r="D25" s="4" t="s">
        <v>36</v>
      </c>
      <c r="E25" s="5">
        <v>661667</v>
      </c>
      <c r="F25" s="6">
        <v>1554.2557830000001</v>
      </c>
      <c r="G25" s="7">
        <v>2.1106208000000001E-2</v>
      </c>
      <c r="H25" s="51"/>
    </row>
    <row r="26" spans="1:10" ht="17.100000000000001" customHeight="1" x14ac:dyDescent="0.2">
      <c r="A26" s="3">
        <v>20</v>
      </c>
      <c r="B26" s="4" t="s">
        <v>265</v>
      </c>
      <c r="C26" s="4" t="s">
        <v>266</v>
      </c>
      <c r="D26" s="4" t="s">
        <v>208</v>
      </c>
      <c r="E26" s="5">
        <v>585972</v>
      </c>
      <c r="F26" s="6">
        <v>1548.1380240000001</v>
      </c>
      <c r="G26" s="7">
        <v>2.1023131E-2</v>
      </c>
      <c r="H26" s="51"/>
    </row>
    <row r="27" spans="1:10" ht="17.100000000000001" customHeight="1" x14ac:dyDescent="0.2">
      <c r="A27" s="3">
        <v>21</v>
      </c>
      <c r="B27" s="4" t="s">
        <v>107</v>
      </c>
      <c r="C27" s="4" t="s">
        <v>108</v>
      </c>
      <c r="D27" s="4" t="s">
        <v>92</v>
      </c>
      <c r="E27" s="5">
        <v>166802</v>
      </c>
      <c r="F27" s="6">
        <v>1530.908756</v>
      </c>
      <c r="G27" s="7">
        <v>2.0789163999999999E-2</v>
      </c>
      <c r="H27" s="51"/>
    </row>
    <row r="28" spans="1:10" ht="17.100000000000001" customHeight="1" x14ac:dyDescent="0.2">
      <c r="A28" s="3">
        <v>22</v>
      </c>
      <c r="B28" s="4" t="s">
        <v>359</v>
      </c>
      <c r="C28" s="4" t="s">
        <v>360</v>
      </c>
      <c r="D28" s="4" t="s">
        <v>69</v>
      </c>
      <c r="E28" s="5">
        <v>362330</v>
      </c>
      <c r="F28" s="6">
        <v>1465.9871800000001</v>
      </c>
      <c r="G28" s="7">
        <v>1.9907553000000001E-2</v>
      </c>
      <c r="H28" s="51"/>
    </row>
    <row r="29" spans="1:10" ht="17.100000000000001" customHeight="1" x14ac:dyDescent="0.2">
      <c r="A29" s="3">
        <v>23</v>
      </c>
      <c r="B29" s="4" t="s">
        <v>52</v>
      </c>
      <c r="C29" s="4" t="s">
        <v>53</v>
      </c>
      <c r="D29" s="4" t="s">
        <v>28</v>
      </c>
      <c r="E29" s="5">
        <v>657694</v>
      </c>
      <c r="F29" s="6">
        <v>1423.90751</v>
      </c>
      <c r="G29" s="7">
        <v>1.9336127000000002E-2</v>
      </c>
      <c r="H29" s="51"/>
    </row>
    <row r="30" spans="1:10" ht="17.100000000000001" customHeight="1" x14ac:dyDescent="0.2">
      <c r="A30" s="3">
        <v>24</v>
      </c>
      <c r="B30" s="4" t="s">
        <v>293</v>
      </c>
      <c r="C30" s="4" t="s">
        <v>294</v>
      </c>
      <c r="D30" s="4" t="s">
        <v>104</v>
      </c>
      <c r="E30" s="5">
        <v>32217</v>
      </c>
      <c r="F30" s="6">
        <v>1408.3983720000001</v>
      </c>
      <c r="G30" s="7">
        <v>1.9125519000000001E-2</v>
      </c>
      <c r="H30" s="51"/>
    </row>
    <row r="31" spans="1:10" ht="17.100000000000001" customHeight="1" x14ac:dyDescent="0.2">
      <c r="A31" s="3">
        <v>25</v>
      </c>
      <c r="B31" s="4" t="s">
        <v>34</v>
      </c>
      <c r="C31" s="4" t="s">
        <v>35</v>
      </c>
      <c r="D31" s="4" t="s">
        <v>36</v>
      </c>
      <c r="E31" s="5">
        <v>41000</v>
      </c>
      <c r="F31" s="6">
        <v>1266.2439999999999</v>
      </c>
      <c r="G31" s="7">
        <v>1.7195116E-2</v>
      </c>
      <c r="H31" s="51"/>
    </row>
    <row r="32" spans="1:10" ht="17.100000000000001" customHeight="1" x14ac:dyDescent="0.2">
      <c r="A32" s="3">
        <v>26</v>
      </c>
      <c r="B32" s="4" t="s">
        <v>109</v>
      </c>
      <c r="C32" s="4" t="s">
        <v>110</v>
      </c>
      <c r="D32" s="4" t="s">
        <v>72</v>
      </c>
      <c r="E32" s="5">
        <v>271788</v>
      </c>
      <c r="F32" s="6">
        <v>1260.4168500000001</v>
      </c>
      <c r="G32" s="7">
        <v>1.7115986E-2</v>
      </c>
      <c r="H32" s="51"/>
    </row>
    <row r="33" spans="1:8" ht="17.100000000000001" customHeight="1" x14ac:dyDescent="0.2">
      <c r="A33" s="3">
        <v>27</v>
      </c>
      <c r="B33" s="4" t="s">
        <v>368</v>
      </c>
      <c r="C33" s="4" t="s">
        <v>369</v>
      </c>
      <c r="D33" s="4" t="s">
        <v>104</v>
      </c>
      <c r="E33" s="5">
        <v>86708</v>
      </c>
      <c r="F33" s="6">
        <v>873.019498</v>
      </c>
      <c r="G33" s="7">
        <v>1.1855276E-2</v>
      </c>
      <c r="H33" s="51"/>
    </row>
    <row r="34" spans="1:8" ht="17.100000000000001" customHeight="1" x14ac:dyDescent="0.2">
      <c r="A34" s="3">
        <v>28</v>
      </c>
      <c r="B34" s="4" t="s">
        <v>516</v>
      </c>
      <c r="C34" s="4" t="s">
        <v>517</v>
      </c>
      <c r="D34" s="4" t="s">
        <v>223</v>
      </c>
      <c r="E34" s="5">
        <v>46000</v>
      </c>
      <c r="F34" s="6">
        <v>643.63199999999995</v>
      </c>
      <c r="G34" s="7">
        <v>8.7402799999999996E-3</v>
      </c>
      <c r="H34" s="51"/>
    </row>
    <row r="35" spans="1:8" ht="17.100000000000001" customHeight="1" x14ac:dyDescent="0.2">
      <c r="A35" s="3">
        <v>29</v>
      </c>
      <c r="B35" s="61" t="s">
        <v>1012</v>
      </c>
      <c r="C35" s="65" t="s">
        <v>125</v>
      </c>
      <c r="D35" s="61" t="s">
        <v>97</v>
      </c>
      <c r="E35" s="5">
        <v>143000</v>
      </c>
      <c r="F35" s="6">
        <v>431.5025</v>
      </c>
      <c r="G35" s="7">
        <v>5.8596409999999996E-3</v>
      </c>
      <c r="H35" s="51"/>
    </row>
    <row r="36" spans="1:8" ht="14.1" customHeight="1" x14ac:dyDescent="0.2">
      <c r="A36" s="1"/>
      <c r="B36" s="1"/>
      <c r="C36" s="2" t="s">
        <v>129</v>
      </c>
      <c r="D36" s="1"/>
      <c r="E36" s="1" t="s">
        <v>130</v>
      </c>
      <c r="F36" s="9">
        <v>66250.469611500012</v>
      </c>
      <c r="G36" s="10">
        <v>0.89965640899999988</v>
      </c>
      <c r="H36" s="51"/>
    </row>
    <row r="37" spans="1:8" ht="14.1" customHeight="1" x14ac:dyDescent="0.2">
      <c r="A37" s="1"/>
      <c r="B37" s="1"/>
      <c r="C37" s="11"/>
      <c r="D37" s="1"/>
      <c r="E37" s="1"/>
      <c r="F37" s="12"/>
      <c r="G37" s="12"/>
      <c r="H37" s="51"/>
    </row>
    <row r="38" spans="1:8" ht="14.1" customHeight="1" x14ac:dyDescent="0.2">
      <c r="A38" s="1"/>
      <c r="B38" s="1"/>
      <c r="C38" s="2" t="s">
        <v>131</v>
      </c>
      <c r="D38" s="1"/>
      <c r="E38" s="1"/>
      <c r="F38" s="1"/>
      <c r="G38" s="1"/>
      <c r="H38" s="51"/>
    </row>
    <row r="39" spans="1:8" ht="14.1" customHeight="1" x14ac:dyDescent="0.2">
      <c r="A39" s="1"/>
      <c r="B39" s="1"/>
      <c r="C39" s="2" t="s">
        <v>129</v>
      </c>
      <c r="D39" s="1"/>
      <c r="E39" s="1" t="s">
        <v>130</v>
      </c>
      <c r="F39" s="13">
        <v>0</v>
      </c>
      <c r="G39" s="14">
        <v>0</v>
      </c>
      <c r="H39" s="51"/>
    </row>
    <row r="40" spans="1:8" ht="14.1" customHeight="1" x14ac:dyDescent="0.2">
      <c r="A40" s="1"/>
      <c r="B40" s="1"/>
      <c r="C40" s="11"/>
      <c r="D40" s="1"/>
      <c r="E40" s="1"/>
      <c r="F40" s="12"/>
      <c r="G40" s="12"/>
      <c r="H40" s="51"/>
    </row>
    <row r="41" spans="1:8" ht="14.1" customHeight="1" x14ac:dyDescent="0.2">
      <c r="A41" s="1"/>
      <c r="B41" s="1"/>
      <c r="C41" s="2" t="s">
        <v>132</v>
      </c>
      <c r="D41" s="1"/>
      <c r="E41" s="1"/>
      <c r="F41" s="1"/>
      <c r="G41" s="1"/>
      <c r="H41" s="51"/>
    </row>
    <row r="42" spans="1:8" ht="14.1" customHeight="1" x14ac:dyDescent="0.2">
      <c r="A42" s="1"/>
      <c r="B42" s="1"/>
      <c r="C42" s="2" t="s">
        <v>129</v>
      </c>
      <c r="D42" s="1"/>
      <c r="E42" s="1" t="s">
        <v>130</v>
      </c>
      <c r="F42" s="13">
        <v>0</v>
      </c>
      <c r="G42" s="14">
        <v>0</v>
      </c>
      <c r="H42" s="51"/>
    </row>
    <row r="43" spans="1:8" ht="14.1" customHeight="1" x14ac:dyDescent="0.2">
      <c r="A43" s="1"/>
      <c r="B43" s="1"/>
      <c r="C43" s="11"/>
      <c r="D43" s="1"/>
      <c r="E43" s="1"/>
      <c r="F43" s="12"/>
      <c r="G43" s="12"/>
      <c r="H43" s="51"/>
    </row>
    <row r="44" spans="1:8" ht="14.1" customHeight="1" x14ac:dyDescent="0.2">
      <c r="A44" s="1"/>
      <c r="B44" s="1"/>
      <c r="C44" s="2" t="s">
        <v>133</v>
      </c>
      <c r="D44" s="1"/>
      <c r="E44" s="1"/>
      <c r="F44" s="1"/>
      <c r="G44" s="1"/>
      <c r="H44" s="51"/>
    </row>
    <row r="45" spans="1:8" ht="14.1" customHeight="1" x14ac:dyDescent="0.2">
      <c r="A45" s="1"/>
      <c r="B45" s="1"/>
      <c r="C45" s="2" t="s">
        <v>129</v>
      </c>
      <c r="D45" s="1"/>
      <c r="E45" s="1" t="s">
        <v>130</v>
      </c>
      <c r="F45" s="9">
        <v>0</v>
      </c>
      <c r="G45" s="10">
        <v>0</v>
      </c>
      <c r="H45" s="51"/>
    </row>
    <row r="46" spans="1:8" ht="14.1" customHeight="1" x14ac:dyDescent="0.2">
      <c r="A46" s="1"/>
      <c r="B46" s="1"/>
      <c r="C46" s="11"/>
      <c r="D46" s="1"/>
      <c r="E46" s="1"/>
      <c r="F46" s="12"/>
      <c r="G46" s="12"/>
      <c r="H46" s="51"/>
    </row>
    <row r="47" spans="1:8" ht="14.1" customHeight="1" x14ac:dyDescent="0.2">
      <c r="A47" s="1"/>
      <c r="B47" s="1"/>
      <c r="C47" s="2" t="s">
        <v>134</v>
      </c>
      <c r="D47" s="1"/>
      <c r="E47" s="1"/>
      <c r="F47" s="12"/>
      <c r="G47" s="12"/>
      <c r="H47" s="51"/>
    </row>
    <row r="48" spans="1:8" ht="14.1" customHeight="1" x14ac:dyDescent="0.2">
      <c r="A48" s="1"/>
      <c r="B48" s="1"/>
      <c r="C48" s="2" t="s">
        <v>129</v>
      </c>
      <c r="D48" s="1"/>
      <c r="E48" s="1" t="s">
        <v>130</v>
      </c>
      <c r="F48" s="13">
        <v>0</v>
      </c>
      <c r="G48" s="14">
        <v>0</v>
      </c>
      <c r="H48" s="51"/>
    </row>
    <row r="49" spans="1:8" ht="14.1" customHeight="1" x14ac:dyDescent="0.2">
      <c r="A49" s="1"/>
      <c r="B49" s="1"/>
      <c r="C49" s="11"/>
      <c r="D49" s="1"/>
      <c r="E49" s="1"/>
      <c r="F49" s="12"/>
      <c r="G49" s="12"/>
      <c r="H49" s="51"/>
    </row>
    <row r="50" spans="1:8" ht="14.1" customHeight="1" x14ac:dyDescent="0.2">
      <c r="A50" s="1"/>
      <c r="B50" s="1"/>
      <c r="C50" s="2" t="s">
        <v>135</v>
      </c>
      <c r="D50" s="1"/>
      <c r="E50" s="1"/>
      <c r="F50" s="12"/>
      <c r="G50" s="12"/>
      <c r="H50" s="51"/>
    </row>
    <row r="51" spans="1:8" ht="14.1" customHeight="1" x14ac:dyDescent="0.2">
      <c r="A51" s="1"/>
      <c r="B51" s="1"/>
      <c r="C51" s="2" t="s">
        <v>129</v>
      </c>
      <c r="D51" s="1"/>
      <c r="E51" s="1" t="s">
        <v>130</v>
      </c>
      <c r="F51" s="13">
        <v>0</v>
      </c>
      <c r="G51" s="14">
        <v>0</v>
      </c>
      <c r="H51" s="51"/>
    </row>
    <row r="52" spans="1:8" ht="14.1" customHeight="1" x14ac:dyDescent="0.2">
      <c r="A52" s="1"/>
      <c r="B52" s="1"/>
      <c r="C52" s="11"/>
      <c r="D52" s="1"/>
      <c r="E52" s="1"/>
      <c r="F52" s="12"/>
      <c r="G52" s="12"/>
      <c r="H52" s="51"/>
    </row>
    <row r="53" spans="1:8" ht="18" customHeight="1" x14ac:dyDescent="0.2">
      <c r="A53" s="1"/>
      <c r="B53" s="1"/>
      <c r="C53" s="2" t="s">
        <v>136</v>
      </c>
      <c r="D53" s="1"/>
      <c r="E53" s="1"/>
      <c r="F53" s="9">
        <v>66250.469611499997</v>
      </c>
      <c r="G53" s="10">
        <v>0.89965640899999999</v>
      </c>
      <c r="H53" s="51"/>
    </row>
    <row r="54" spans="1:8" ht="14.1" customHeight="1" x14ac:dyDescent="0.2">
      <c r="A54" s="1"/>
      <c r="B54" s="1"/>
      <c r="C54" s="11"/>
      <c r="D54" s="1"/>
      <c r="E54" s="1"/>
      <c r="F54" s="12"/>
      <c r="G54" s="12"/>
      <c r="H54" s="51"/>
    </row>
    <row r="55" spans="1:8" ht="14.1" customHeight="1" x14ac:dyDescent="0.2">
      <c r="A55" s="1"/>
      <c r="B55" s="1"/>
      <c r="C55" s="2" t="s">
        <v>137</v>
      </c>
      <c r="D55" s="1"/>
      <c r="E55" s="1"/>
      <c r="F55" s="12"/>
      <c r="G55" s="12"/>
      <c r="H55" s="51"/>
    </row>
    <row r="56" spans="1:8" ht="24" customHeight="1" x14ac:dyDescent="0.2">
      <c r="A56" s="1"/>
      <c r="B56" s="1"/>
      <c r="C56" s="2" t="s">
        <v>10</v>
      </c>
      <c r="D56" s="1"/>
      <c r="E56" s="1"/>
      <c r="F56" s="12"/>
      <c r="G56" s="12"/>
      <c r="H56" s="51"/>
    </row>
    <row r="57" spans="1:8" ht="14.1" customHeight="1" x14ac:dyDescent="0.2">
      <c r="A57" s="1"/>
      <c r="B57" s="1"/>
      <c r="C57" s="2" t="s">
        <v>129</v>
      </c>
      <c r="D57" s="1"/>
      <c r="E57" s="1" t="s">
        <v>130</v>
      </c>
      <c r="F57" s="13">
        <v>0</v>
      </c>
      <c r="G57" s="14">
        <v>0</v>
      </c>
      <c r="H57" s="51"/>
    </row>
    <row r="58" spans="1:8" ht="14.1" customHeight="1" x14ac:dyDescent="0.2">
      <c r="A58" s="1"/>
      <c r="B58" s="1"/>
      <c r="C58" s="11"/>
      <c r="D58" s="1"/>
      <c r="E58" s="1"/>
      <c r="F58" s="12"/>
      <c r="G58" s="12"/>
      <c r="H58" s="51"/>
    </row>
    <row r="59" spans="1:8" ht="14.1" customHeight="1" x14ac:dyDescent="0.2">
      <c r="A59" s="1"/>
      <c r="B59" s="1"/>
      <c r="C59" s="2" t="s">
        <v>138</v>
      </c>
      <c r="D59" s="1"/>
      <c r="E59" s="1"/>
      <c r="F59" s="1"/>
      <c r="G59" s="1"/>
      <c r="H59" s="51"/>
    </row>
    <row r="60" spans="1:8" ht="14.1" customHeight="1" x14ac:dyDescent="0.2">
      <c r="A60" s="1"/>
      <c r="B60" s="1"/>
      <c r="C60" s="2" t="s">
        <v>129</v>
      </c>
      <c r="D60" s="1"/>
      <c r="E60" s="1" t="s">
        <v>130</v>
      </c>
      <c r="F60" s="13">
        <v>0</v>
      </c>
      <c r="G60" s="14">
        <v>0</v>
      </c>
      <c r="H60" s="51"/>
    </row>
    <row r="61" spans="1:8" ht="14.1" customHeight="1" x14ac:dyDescent="0.2">
      <c r="A61" s="1"/>
      <c r="B61" s="1"/>
      <c r="C61" s="11"/>
      <c r="D61" s="1"/>
      <c r="E61" s="1"/>
      <c r="F61" s="12"/>
      <c r="G61" s="12"/>
      <c r="H61" s="51"/>
    </row>
    <row r="62" spans="1:8" ht="14.1" customHeight="1" x14ac:dyDescent="0.2">
      <c r="A62" s="1"/>
      <c r="B62" s="1"/>
      <c r="C62" s="2" t="s">
        <v>139</v>
      </c>
      <c r="D62" s="1"/>
      <c r="E62" s="1"/>
      <c r="F62" s="1"/>
      <c r="G62" s="1"/>
      <c r="H62" s="51"/>
    </row>
    <row r="63" spans="1:8" ht="14.1" customHeight="1" x14ac:dyDescent="0.2">
      <c r="A63" s="1"/>
      <c r="B63" s="1"/>
      <c r="C63" s="2" t="s">
        <v>129</v>
      </c>
      <c r="D63" s="1"/>
      <c r="E63" s="1" t="s">
        <v>130</v>
      </c>
      <c r="F63" s="13">
        <v>0</v>
      </c>
      <c r="G63" s="14">
        <v>0</v>
      </c>
      <c r="H63" s="51"/>
    </row>
    <row r="64" spans="1:8" ht="14.1" customHeight="1" x14ac:dyDescent="0.2">
      <c r="A64" s="1"/>
      <c r="B64" s="1"/>
      <c r="C64" s="11"/>
      <c r="D64" s="1"/>
      <c r="E64" s="1"/>
      <c r="F64" s="12"/>
      <c r="G64" s="12"/>
      <c r="H64" s="51"/>
    </row>
    <row r="65" spans="1:8" ht="14.1" customHeight="1" x14ac:dyDescent="0.2">
      <c r="A65" s="1"/>
      <c r="B65" s="1"/>
      <c r="C65" s="2" t="s">
        <v>140</v>
      </c>
      <c r="D65" s="1"/>
      <c r="E65" s="1"/>
      <c r="F65" s="12"/>
      <c r="G65" s="12"/>
      <c r="H65" s="51"/>
    </row>
    <row r="66" spans="1:8" ht="14.1" customHeight="1" x14ac:dyDescent="0.2">
      <c r="A66" s="1"/>
      <c r="B66" s="1"/>
      <c r="C66" s="2" t="s">
        <v>129</v>
      </c>
      <c r="D66" s="1"/>
      <c r="E66" s="1" t="s">
        <v>130</v>
      </c>
      <c r="F66" s="13">
        <v>0</v>
      </c>
      <c r="G66" s="14">
        <v>0</v>
      </c>
      <c r="H66" s="51"/>
    </row>
    <row r="67" spans="1:8" ht="14.1" customHeight="1" x14ac:dyDescent="0.2">
      <c r="A67" s="1"/>
      <c r="B67" s="1"/>
      <c r="C67" s="11"/>
      <c r="D67" s="1"/>
      <c r="E67" s="1"/>
      <c r="F67" s="12"/>
      <c r="G67" s="12"/>
      <c r="H67" s="51"/>
    </row>
    <row r="68" spans="1:8" ht="14.1" customHeight="1" x14ac:dyDescent="0.2">
      <c r="A68" s="1"/>
      <c r="B68" s="1"/>
      <c r="C68" s="2" t="s">
        <v>141</v>
      </c>
      <c r="D68" s="1"/>
      <c r="E68" s="1"/>
      <c r="F68" s="9">
        <v>0</v>
      </c>
      <c r="G68" s="10">
        <v>0</v>
      </c>
      <c r="H68" s="51"/>
    </row>
    <row r="69" spans="1:8" ht="14.1" customHeight="1" x14ac:dyDescent="0.2">
      <c r="A69" s="1"/>
      <c r="B69" s="1"/>
      <c r="C69" s="11"/>
      <c r="D69" s="1"/>
      <c r="E69" s="1"/>
      <c r="F69" s="12"/>
      <c r="G69" s="12"/>
      <c r="H69" s="51"/>
    </row>
    <row r="70" spans="1:8" ht="14.1" customHeight="1" x14ac:dyDescent="0.2">
      <c r="A70" s="1"/>
      <c r="B70" s="1"/>
      <c r="C70" s="2" t="s">
        <v>142</v>
      </c>
      <c r="D70" s="1"/>
      <c r="E70" s="1"/>
      <c r="F70" s="12"/>
      <c r="G70" s="12"/>
      <c r="H70" s="51"/>
    </row>
    <row r="71" spans="1:8" ht="14.1" customHeight="1" x14ac:dyDescent="0.2">
      <c r="A71" s="1"/>
      <c r="B71" s="1"/>
      <c r="C71" s="2" t="s">
        <v>143</v>
      </c>
      <c r="D71" s="1"/>
      <c r="E71" s="1"/>
      <c r="F71" s="12"/>
      <c r="G71" s="12"/>
      <c r="H71" s="51"/>
    </row>
    <row r="72" spans="1:8" ht="14.1" customHeight="1" x14ac:dyDescent="0.2">
      <c r="A72" s="1"/>
      <c r="B72" s="1"/>
      <c r="C72" s="2" t="s">
        <v>129</v>
      </c>
      <c r="D72" s="1"/>
      <c r="E72" s="1" t="s">
        <v>130</v>
      </c>
      <c r="F72" s="13">
        <v>0</v>
      </c>
      <c r="G72" s="14">
        <v>0</v>
      </c>
      <c r="H72" s="51"/>
    </row>
    <row r="73" spans="1:8" ht="14.1" customHeight="1" x14ac:dyDescent="0.2">
      <c r="A73" s="1"/>
      <c r="B73" s="1"/>
      <c r="C73" s="11"/>
      <c r="D73" s="1"/>
      <c r="E73" s="1"/>
      <c r="F73" s="12"/>
      <c r="G73" s="12"/>
      <c r="H73" s="51"/>
    </row>
    <row r="74" spans="1:8" ht="14.1" customHeight="1" x14ac:dyDescent="0.2">
      <c r="A74" s="1"/>
      <c r="B74" s="1"/>
      <c r="C74" s="2" t="s">
        <v>144</v>
      </c>
      <c r="D74" s="1"/>
      <c r="E74" s="1"/>
      <c r="F74" s="12"/>
      <c r="G74" s="12"/>
      <c r="H74" s="51"/>
    </row>
    <row r="75" spans="1:8" ht="14.1" customHeight="1" x14ac:dyDescent="0.2">
      <c r="A75" s="1"/>
      <c r="B75" s="1"/>
      <c r="C75" s="2" t="s">
        <v>129</v>
      </c>
      <c r="D75" s="1"/>
      <c r="E75" s="1" t="s">
        <v>130</v>
      </c>
      <c r="F75" s="13">
        <v>0</v>
      </c>
      <c r="G75" s="14">
        <v>0</v>
      </c>
      <c r="H75" s="51"/>
    </row>
    <row r="76" spans="1:8" ht="14.1" customHeight="1" x14ac:dyDescent="0.2">
      <c r="A76" s="1"/>
      <c r="B76" s="1"/>
      <c r="C76" s="11"/>
      <c r="D76" s="1"/>
      <c r="E76" s="1"/>
      <c r="F76" s="12"/>
      <c r="G76" s="12"/>
      <c r="H76" s="51"/>
    </row>
    <row r="77" spans="1:8" ht="14.1" customHeight="1" x14ac:dyDescent="0.2">
      <c r="A77" s="1"/>
      <c r="B77" s="1"/>
      <c r="C77" s="2" t="s">
        <v>145</v>
      </c>
      <c r="D77" s="1"/>
      <c r="E77" s="1"/>
      <c r="F77" s="12"/>
      <c r="G77" s="12"/>
      <c r="H77" s="51"/>
    </row>
    <row r="78" spans="1:8" ht="14.1" customHeight="1" x14ac:dyDescent="0.2">
      <c r="A78" s="1"/>
      <c r="B78" s="1"/>
      <c r="C78" s="2" t="s">
        <v>129</v>
      </c>
      <c r="D78" s="1"/>
      <c r="E78" s="1" t="s">
        <v>130</v>
      </c>
      <c r="F78" s="13">
        <v>0</v>
      </c>
      <c r="G78" s="14">
        <v>0</v>
      </c>
      <c r="H78" s="51"/>
    </row>
    <row r="79" spans="1:8" ht="14.1" customHeight="1" x14ac:dyDescent="0.2">
      <c r="A79" s="1"/>
      <c r="B79" s="1"/>
      <c r="C79" s="11"/>
      <c r="D79" s="1"/>
      <c r="E79" s="1"/>
      <c r="F79" s="12"/>
      <c r="G79" s="12"/>
      <c r="H79" s="51"/>
    </row>
    <row r="80" spans="1:8" ht="14.1" customHeight="1" x14ac:dyDescent="0.2">
      <c r="A80" s="1"/>
      <c r="B80" s="1"/>
      <c r="C80" s="2" t="s">
        <v>146</v>
      </c>
      <c r="D80" s="1"/>
      <c r="E80" s="1"/>
      <c r="F80" s="12"/>
      <c r="G80" s="12"/>
      <c r="H80" s="51"/>
    </row>
    <row r="81" spans="1:8" ht="17.100000000000001" customHeight="1" x14ac:dyDescent="0.2">
      <c r="A81" s="3">
        <v>1</v>
      </c>
      <c r="B81" s="4"/>
      <c r="C81" s="4" t="s">
        <v>147</v>
      </c>
      <c r="D81" s="4"/>
      <c r="E81" s="8"/>
      <c r="F81" s="6">
        <v>7539.4839407999998</v>
      </c>
      <c r="G81" s="7">
        <v>0.102383351</v>
      </c>
      <c r="H81" s="51">
        <v>6.1245112103248278</v>
      </c>
    </row>
    <row r="82" spans="1:8" ht="14.1" customHeight="1" x14ac:dyDescent="0.2">
      <c r="A82" s="1"/>
      <c r="B82" s="1"/>
      <c r="C82" s="2" t="s">
        <v>129</v>
      </c>
      <c r="D82" s="1"/>
      <c r="E82" s="1" t="s">
        <v>130</v>
      </c>
      <c r="F82" s="9">
        <v>7539.4839407999998</v>
      </c>
      <c r="G82" s="10">
        <v>0.102383351</v>
      </c>
      <c r="H82" s="51"/>
    </row>
    <row r="83" spans="1:8" ht="14.1" customHeight="1" x14ac:dyDescent="0.2">
      <c r="A83" s="1"/>
      <c r="B83" s="1"/>
      <c r="C83" s="11"/>
      <c r="D83" s="1"/>
      <c r="E83" s="1"/>
      <c r="F83" s="12"/>
      <c r="G83" s="12"/>
      <c r="H83" s="51"/>
    </row>
    <row r="84" spans="1:8" ht="14.1" customHeight="1" x14ac:dyDescent="0.2">
      <c r="A84" s="1"/>
      <c r="B84" s="1"/>
      <c r="C84" s="2" t="s">
        <v>148</v>
      </c>
      <c r="D84" s="1"/>
      <c r="E84" s="1"/>
      <c r="F84" s="9">
        <v>7539.4839407999998</v>
      </c>
      <c r="G84" s="10">
        <v>0.102383351</v>
      </c>
      <c r="H84" s="51"/>
    </row>
    <row r="85" spans="1:8" ht="14.1" customHeight="1" x14ac:dyDescent="0.2">
      <c r="A85" s="1"/>
      <c r="B85" s="1"/>
      <c r="C85" s="12"/>
      <c r="D85" s="1"/>
      <c r="E85" s="1"/>
      <c r="F85" s="1"/>
      <c r="G85" s="1"/>
      <c r="H85" s="51"/>
    </row>
    <row r="86" spans="1:8" ht="14.1" customHeight="1" x14ac:dyDescent="0.2">
      <c r="A86" s="1"/>
      <c r="B86" s="1"/>
      <c r="C86" s="2" t="s">
        <v>149</v>
      </c>
      <c r="D86" s="1"/>
      <c r="E86" s="1"/>
      <c r="F86" s="1"/>
      <c r="G86" s="1"/>
      <c r="H86" s="51"/>
    </row>
    <row r="87" spans="1:8" ht="14.1" customHeight="1" x14ac:dyDescent="0.2">
      <c r="A87" s="1"/>
      <c r="B87" s="1"/>
      <c r="C87" s="2" t="s">
        <v>150</v>
      </c>
      <c r="D87" s="1"/>
      <c r="E87" s="1"/>
      <c r="F87" s="1"/>
      <c r="G87" s="1"/>
      <c r="H87" s="51"/>
    </row>
    <row r="88" spans="1:8" ht="14.1" customHeight="1" x14ac:dyDescent="0.2">
      <c r="A88" s="1"/>
      <c r="B88" s="1"/>
      <c r="C88" s="2" t="s">
        <v>129</v>
      </c>
      <c r="D88" s="1"/>
      <c r="E88" s="1" t="s">
        <v>130</v>
      </c>
      <c r="F88" s="13">
        <v>0</v>
      </c>
      <c r="G88" s="14">
        <v>0</v>
      </c>
      <c r="H88" s="51"/>
    </row>
    <row r="89" spans="1:8" ht="14.1" customHeight="1" x14ac:dyDescent="0.2">
      <c r="A89" s="1"/>
      <c r="B89" s="1"/>
      <c r="C89" s="11"/>
      <c r="D89" s="1"/>
      <c r="E89" s="1"/>
      <c r="F89" s="12"/>
      <c r="G89" s="12"/>
      <c r="H89" s="51"/>
    </row>
    <row r="90" spans="1:8" ht="14.1" customHeight="1" x14ac:dyDescent="0.2">
      <c r="A90" s="1"/>
      <c r="B90" s="1"/>
      <c r="C90" s="2" t="s">
        <v>151</v>
      </c>
      <c r="D90" s="1"/>
      <c r="E90" s="1"/>
      <c r="F90" s="1"/>
      <c r="G90" s="1"/>
      <c r="H90" s="51"/>
    </row>
    <row r="91" spans="1:8" ht="14.1" customHeight="1" x14ac:dyDescent="0.2">
      <c r="A91" s="1"/>
      <c r="B91" s="1"/>
      <c r="C91" s="2" t="s">
        <v>152</v>
      </c>
      <c r="D91" s="1"/>
      <c r="E91" s="1"/>
      <c r="F91" s="1"/>
      <c r="G91" s="1"/>
      <c r="H91" s="51"/>
    </row>
    <row r="92" spans="1:8" ht="14.1" customHeight="1" x14ac:dyDescent="0.2">
      <c r="A92" s="1"/>
      <c r="B92" s="1"/>
      <c r="C92" s="2" t="s">
        <v>129</v>
      </c>
      <c r="D92" s="1"/>
      <c r="E92" s="1" t="s">
        <v>130</v>
      </c>
      <c r="F92" s="13">
        <v>0</v>
      </c>
      <c r="G92" s="14">
        <v>0</v>
      </c>
      <c r="H92" s="51"/>
    </row>
    <row r="93" spans="1:8" ht="14.1" customHeight="1" x14ac:dyDescent="0.2">
      <c r="A93" s="1"/>
      <c r="B93" s="1"/>
      <c r="C93" s="11"/>
      <c r="D93" s="1"/>
      <c r="E93" s="1"/>
      <c r="F93" s="12"/>
      <c r="G93" s="12"/>
      <c r="H93" s="51"/>
    </row>
    <row r="94" spans="1:8" ht="14.1" customHeight="1" x14ac:dyDescent="0.2">
      <c r="A94" s="1"/>
      <c r="B94" s="1"/>
      <c r="C94" s="11"/>
      <c r="D94" s="1"/>
      <c r="E94" s="1"/>
      <c r="F94" s="12"/>
      <c r="G94" s="12"/>
      <c r="H94" s="51"/>
    </row>
    <row r="95" spans="1:8" ht="24" customHeight="1" x14ac:dyDescent="0.2">
      <c r="A95" s="1"/>
      <c r="B95" s="1"/>
      <c r="C95" s="2" t="s">
        <v>153</v>
      </c>
      <c r="D95" s="1"/>
      <c r="E95" s="1"/>
      <c r="F95" s="12"/>
      <c r="G95" s="12"/>
      <c r="H95" s="51"/>
    </row>
    <row r="96" spans="1:8" ht="14.1" customHeight="1" x14ac:dyDescent="0.2">
      <c r="A96" s="1"/>
      <c r="B96" s="1"/>
      <c r="C96" s="2" t="s">
        <v>129</v>
      </c>
      <c r="D96" s="1"/>
      <c r="E96" s="1" t="s">
        <v>130</v>
      </c>
      <c r="F96" s="13">
        <v>0</v>
      </c>
      <c r="G96" s="14">
        <v>0</v>
      </c>
      <c r="H96" s="51"/>
    </row>
    <row r="97" spans="1:8" ht="14.1" customHeight="1" x14ac:dyDescent="0.2">
      <c r="A97" s="1"/>
      <c r="B97" s="1"/>
      <c r="C97" s="11"/>
      <c r="D97" s="1"/>
      <c r="E97" s="1"/>
      <c r="F97" s="12"/>
      <c r="G97" s="12"/>
      <c r="H97" s="51"/>
    </row>
    <row r="98" spans="1:8" ht="14.1" customHeight="1" x14ac:dyDescent="0.2">
      <c r="A98" s="1"/>
      <c r="B98" s="4"/>
      <c r="C98" s="4"/>
      <c r="D98" s="2"/>
      <c r="E98" s="1"/>
      <c r="F98" s="4"/>
      <c r="G98" s="8"/>
      <c r="H98" s="51"/>
    </row>
    <row r="99" spans="1:8" ht="18" customHeight="1" x14ac:dyDescent="0.2">
      <c r="A99" s="8"/>
      <c r="B99" s="4"/>
      <c r="C99" s="4" t="s">
        <v>154</v>
      </c>
      <c r="D99" s="4"/>
      <c r="E99" s="8"/>
      <c r="F99" s="6">
        <v>-150.20756039</v>
      </c>
      <c r="G99" s="7">
        <v>-2.0397620000000001E-3</v>
      </c>
      <c r="H99" s="51"/>
    </row>
    <row r="100" spans="1:8" ht="14.1" customHeight="1" x14ac:dyDescent="0.2">
      <c r="A100" s="11"/>
      <c r="B100" s="11"/>
      <c r="C100" s="2" t="s">
        <v>155</v>
      </c>
      <c r="D100" s="15"/>
      <c r="E100" s="15"/>
      <c r="F100" s="9">
        <v>73639.745991909993</v>
      </c>
      <c r="G100" s="10">
        <v>0.99999999799999995</v>
      </c>
      <c r="H100" s="51"/>
    </row>
    <row r="101" spans="1:8" ht="14.1" customHeight="1" x14ac:dyDescent="0.2">
      <c r="A101" s="16"/>
      <c r="B101" s="16"/>
      <c r="C101" s="16"/>
      <c r="D101" s="17"/>
      <c r="E101" s="17"/>
      <c r="F101" s="17"/>
      <c r="G101" s="17"/>
    </row>
    <row r="102" spans="1:8" ht="14.1" customHeight="1" x14ac:dyDescent="0.2">
      <c r="A102" s="18"/>
      <c r="B102" s="18"/>
      <c r="C102" s="18"/>
      <c r="D102" s="20"/>
      <c r="E102" s="20"/>
      <c r="F102" s="20"/>
      <c r="G102" s="20"/>
    </row>
    <row r="103" spans="1:8" ht="14.1" customHeight="1" x14ac:dyDescent="0.2">
      <c r="A103" s="18"/>
      <c r="B103" s="325" t="s">
        <v>157</v>
      </c>
      <c r="C103" s="326"/>
      <c r="D103" s="12" t="s">
        <v>130</v>
      </c>
      <c r="E103" s="21"/>
      <c r="F103" s="20"/>
      <c r="G103" s="20"/>
    </row>
    <row r="104" spans="1:8" ht="29.1" customHeight="1" x14ac:dyDescent="0.2">
      <c r="A104" s="18"/>
      <c r="B104" s="318" t="s">
        <v>158</v>
      </c>
      <c r="C104" s="319"/>
      <c r="D104" s="2" t="s">
        <v>159</v>
      </c>
      <c r="E104" s="21"/>
      <c r="F104" s="20"/>
      <c r="G104" s="20"/>
    </row>
    <row r="105" spans="1:8" ht="17.100000000000001" customHeight="1" x14ac:dyDescent="0.2">
      <c r="A105" s="18"/>
      <c r="B105" s="318" t="s">
        <v>160</v>
      </c>
      <c r="C105" s="319"/>
      <c r="D105" s="2" t="s">
        <v>159</v>
      </c>
      <c r="E105" s="21"/>
      <c r="F105" s="20"/>
      <c r="G105" s="20"/>
    </row>
    <row r="106" spans="1:8" ht="17.100000000000001" customHeight="1" x14ac:dyDescent="0.2">
      <c r="A106" s="18"/>
      <c r="B106" s="318" t="s">
        <v>161</v>
      </c>
      <c r="C106" s="319"/>
      <c r="D106" s="12" t="s">
        <v>130</v>
      </c>
      <c r="E106" s="21"/>
      <c r="F106" s="20"/>
      <c r="G106" s="20"/>
    </row>
    <row r="107" spans="1:8" ht="24" customHeight="1" x14ac:dyDescent="0.2">
      <c r="A107" s="22"/>
      <c r="B107" s="23" t="s">
        <v>130</v>
      </c>
      <c r="C107" s="23" t="s">
        <v>162</v>
      </c>
      <c r="D107" s="23" t="s">
        <v>163</v>
      </c>
      <c r="E107" s="22"/>
      <c r="F107" s="22"/>
      <c r="G107" s="22"/>
    </row>
    <row r="108" spans="1:8" ht="18" customHeight="1" x14ac:dyDescent="0.2">
      <c r="A108" s="22"/>
      <c r="B108" s="23" t="s">
        <v>164</v>
      </c>
      <c r="C108" s="23" t="s">
        <v>165</v>
      </c>
      <c r="D108" s="23" t="s">
        <v>166</v>
      </c>
      <c r="E108" s="22"/>
      <c r="F108" s="22"/>
      <c r="G108" s="22"/>
    </row>
    <row r="109" spans="1:8" ht="17.100000000000001" customHeight="1" x14ac:dyDescent="0.2">
      <c r="A109" s="22"/>
      <c r="B109" s="4" t="s">
        <v>167</v>
      </c>
      <c r="C109" s="24">
        <v>118.1016</v>
      </c>
      <c r="D109" s="24">
        <v>114.4731</v>
      </c>
      <c r="E109" s="22"/>
      <c r="F109" s="19"/>
      <c r="G109" s="25"/>
    </row>
    <row r="110" spans="1:8" ht="29.1" customHeight="1" x14ac:dyDescent="0.2">
      <c r="A110" s="22"/>
      <c r="B110" s="4" t="s">
        <v>1070</v>
      </c>
      <c r="C110" s="24">
        <v>37.379199999999997</v>
      </c>
      <c r="D110" s="24">
        <v>34.923999999999999</v>
      </c>
      <c r="E110" s="22"/>
      <c r="F110" s="19"/>
      <c r="G110" s="25"/>
    </row>
    <row r="111" spans="1:8" ht="17.100000000000001" customHeight="1" x14ac:dyDescent="0.2">
      <c r="A111" s="22"/>
      <c r="B111" s="4" t="s">
        <v>168</v>
      </c>
      <c r="C111" s="24">
        <v>109.8783</v>
      </c>
      <c r="D111" s="24">
        <v>106.4156</v>
      </c>
      <c r="E111" s="22"/>
      <c r="F111" s="19"/>
      <c r="G111" s="25"/>
    </row>
    <row r="112" spans="1:8" ht="29.1" customHeight="1" x14ac:dyDescent="0.2">
      <c r="A112" s="22"/>
      <c r="B112" s="4" t="s">
        <v>1071</v>
      </c>
      <c r="C112" s="24">
        <v>35.420299999999997</v>
      </c>
      <c r="D112" s="24">
        <v>33.066899999999997</v>
      </c>
      <c r="E112" s="22"/>
      <c r="F112" s="19"/>
      <c r="G112" s="25"/>
    </row>
    <row r="113" spans="1:7" ht="14.1" customHeight="1" x14ac:dyDescent="0.2">
      <c r="A113" s="22"/>
      <c r="B113" s="22"/>
      <c r="C113" s="22"/>
      <c r="D113" s="22"/>
      <c r="E113" s="22"/>
      <c r="F113" s="22"/>
      <c r="G113" s="22"/>
    </row>
    <row r="114" spans="1:7" ht="17.100000000000001" customHeight="1" x14ac:dyDescent="0.2">
      <c r="A114" s="22"/>
      <c r="B114" s="318" t="s">
        <v>1069</v>
      </c>
      <c r="C114" s="319"/>
      <c r="D114" s="2" t="s">
        <v>130</v>
      </c>
      <c r="E114" s="22"/>
      <c r="F114" s="22"/>
      <c r="G114" s="22"/>
    </row>
    <row r="115" spans="1:7" ht="18" customHeight="1" x14ac:dyDescent="0.2">
      <c r="A115" s="85"/>
      <c r="B115" s="91" t="s">
        <v>164</v>
      </c>
      <c r="C115" s="92" t="s">
        <v>761</v>
      </c>
      <c r="D115" s="92" t="s">
        <v>760</v>
      </c>
      <c r="E115" s="85"/>
      <c r="F115" s="85"/>
      <c r="G115" s="85"/>
    </row>
    <row r="116" spans="1:7" ht="29.1" customHeight="1" x14ac:dyDescent="0.2">
      <c r="A116" s="22"/>
      <c r="B116" s="61" t="s">
        <v>1070</v>
      </c>
      <c r="C116" s="93">
        <v>1.325</v>
      </c>
      <c r="D116" s="117" t="s">
        <v>837</v>
      </c>
      <c r="E116" s="22"/>
      <c r="F116" s="19"/>
      <c r="G116" s="25"/>
    </row>
    <row r="117" spans="1:7" ht="29.1" customHeight="1" x14ac:dyDescent="0.2">
      <c r="A117" s="22"/>
      <c r="B117" s="61" t="s">
        <v>1071</v>
      </c>
      <c r="C117" s="93">
        <v>1.2549999999999999</v>
      </c>
      <c r="D117" s="93">
        <v>1.2549999999999999</v>
      </c>
      <c r="E117" s="22"/>
      <c r="F117" s="19"/>
      <c r="G117" s="25"/>
    </row>
    <row r="118" spans="1:7" ht="14.1" customHeight="1" x14ac:dyDescent="0.2">
      <c r="A118" s="22"/>
      <c r="B118" s="19"/>
      <c r="C118" s="19"/>
      <c r="D118" s="22"/>
      <c r="E118" s="22"/>
      <c r="F118" s="22"/>
      <c r="G118" s="22"/>
    </row>
    <row r="119" spans="1:7" ht="29.1" customHeight="1" x14ac:dyDescent="0.2">
      <c r="A119" s="22"/>
      <c r="B119" s="318" t="s">
        <v>169</v>
      </c>
      <c r="C119" s="319"/>
      <c r="D119" s="2" t="s">
        <v>159</v>
      </c>
      <c r="E119" s="22"/>
      <c r="F119" s="22"/>
      <c r="G119" s="22"/>
    </row>
    <row r="120" spans="1:7" ht="29.1" customHeight="1" x14ac:dyDescent="0.2">
      <c r="A120" s="22"/>
      <c r="B120" s="318" t="s">
        <v>170</v>
      </c>
      <c r="C120" s="319"/>
      <c r="D120" s="2" t="s">
        <v>159</v>
      </c>
      <c r="E120" s="22"/>
      <c r="F120" s="22"/>
      <c r="G120" s="22"/>
    </row>
    <row r="121" spans="1:7" ht="17.100000000000001" customHeight="1" x14ac:dyDescent="0.2">
      <c r="A121" s="22"/>
      <c r="B121" s="318" t="s">
        <v>171</v>
      </c>
      <c r="C121" s="319"/>
      <c r="D121" s="28">
        <v>0.42544787666979067</v>
      </c>
      <c r="E121" s="22"/>
      <c r="F121" s="19"/>
      <c r="G121" s="25"/>
    </row>
    <row r="122" spans="1:7" ht="17.100000000000001" customHeight="1" x14ac:dyDescent="0.2">
      <c r="A122" s="22"/>
      <c r="B122" s="318" t="s">
        <v>172</v>
      </c>
      <c r="C122" s="319"/>
      <c r="D122" s="2" t="s">
        <v>159</v>
      </c>
      <c r="E122" s="22"/>
      <c r="F122" s="22"/>
      <c r="G122" s="22"/>
    </row>
  </sheetData>
  <mergeCells count="13">
    <mergeCell ref="A1:H1"/>
    <mergeCell ref="A2:H2"/>
    <mergeCell ref="A3:H3"/>
    <mergeCell ref="J2:N2"/>
    <mergeCell ref="B122:C122"/>
    <mergeCell ref="B104:C104"/>
    <mergeCell ref="B105:C105"/>
    <mergeCell ref="B106:C106"/>
    <mergeCell ref="B114:C114"/>
    <mergeCell ref="B119:C119"/>
    <mergeCell ref="B120:C120"/>
    <mergeCell ref="B103:C103"/>
    <mergeCell ref="B121:C121"/>
  </mergeCells>
  <hyperlinks>
    <hyperlink ref="I1" location="Index!B29" display="Index" xr:uid="{CEA09262-579B-4BF0-B363-700F757384FF}"/>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outlinePr summaryBelow="0" summaryRight="0"/>
  </sheetPr>
  <dimension ref="A1:N167"/>
  <sheetViews>
    <sheetView showGridLines="0" topLeftCell="F8" workbookViewId="0">
      <selection activeCell="J14" sqref="J14"/>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1082</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20</v>
      </c>
      <c r="C7" s="4" t="s">
        <v>21</v>
      </c>
      <c r="D7" s="4" t="s">
        <v>22</v>
      </c>
      <c r="E7" s="5">
        <v>428238</v>
      </c>
      <c r="F7" s="6">
        <v>10182.429045000001</v>
      </c>
      <c r="G7" s="7">
        <v>5.4751599999999997E-2</v>
      </c>
      <c r="H7" s="51"/>
    </row>
    <row r="8" spans="1:14" ht="17.100000000000001" customHeight="1" x14ac:dyDescent="0.2">
      <c r="A8" s="3">
        <v>2</v>
      </c>
      <c r="B8" s="4" t="s">
        <v>14</v>
      </c>
      <c r="C8" s="4" t="s">
        <v>15</v>
      </c>
      <c r="D8" s="4" t="s">
        <v>16</v>
      </c>
      <c r="E8" s="5">
        <v>1012161</v>
      </c>
      <c r="F8" s="6">
        <v>8724.8278200000004</v>
      </c>
      <c r="G8" s="7">
        <v>4.6913981E-2</v>
      </c>
      <c r="H8" s="51"/>
    </row>
    <row r="9" spans="1:14" ht="17.100000000000001" customHeight="1" x14ac:dyDescent="0.2">
      <c r="A9" s="3">
        <v>3</v>
      </c>
      <c r="B9" s="4" t="s">
        <v>41</v>
      </c>
      <c r="C9" s="4" t="s">
        <v>42</v>
      </c>
      <c r="D9" s="4" t="s">
        <v>16</v>
      </c>
      <c r="E9" s="5">
        <v>1564122</v>
      </c>
      <c r="F9" s="6">
        <v>8299.2313319999994</v>
      </c>
      <c r="G9" s="7">
        <v>4.4625521000000001E-2</v>
      </c>
      <c r="H9" s="51"/>
    </row>
    <row r="10" spans="1:14" ht="17.100000000000001" customHeight="1" x14ac:dyDescent="0.2">
      <c r="A10" s="3">
        <v>4</v>
      </c>
      <c r="B10" s="4" t="s">
        <v>269</v>
      </c>
      <c r="C10" s="4" t="s">
        <v>270</v>
      </c>
      <c r="D10" s="4" t="s">
        <v>16</v>
      </c>
      <c r="E10" s="5">
        <v>530246</v>
      </c>
      <c r="F10" s="6">
        <v>7536.6515209999998</v>
      </c>
      <c r="G10" s="7">
        <v>4.0525077999999999E-2</v>
      </c>
      <c r="H10" s="51"/>
    </row>
    <row r="11" spans="1:14" ht="17.100000000000001" customHeight="1" x14ac:dyDescent="0.2">
      <c r="A11" s="3">
        <v>5</v>
      </c>
      <c r="B11" s="4" t="s">
        <v>296</v>
      </c>
      <c r="C11" s="4" t="s">
        <v>297</v>
      </c>
      <c r="D11" s="4" t="s">
        <v>223</v>
      </c>
      <c r="E11" s="5">
        <v>462087</v>
      </c>
      <c r="F11" s="6">
        <v>6531.3687014999996</v>
      </c>
      <c r="G11" s="7">
        <v>3.5119604999999998E-2</v>
      </c>
      <c r="H11" s="51"/>
    </row>
    <row r="12" spans="1:14" ht="17.100000000000001" customHeight="1" x14ac:dyDescent="0.2">
      <c r="A12" s="3">
        <v>6</v>
      </c>
      <c r="B12" s="4" t="s">
        <v>308</v>
      </c>
      <c r="C12" s="4" t="s">
        <v>309</v>
      </c>
      <c r="D12" s="4" t="s">
        <v>310</v>
      </c>
      <c r="E12" s="5">
        <v>228570</v>
      </c>
      <c r="F12" s="6">
        <v>6163.2757650000003</v>
      </c>
      <c r="G12" s="7">
        <v>3.3140345000000002E-2</v>
      </c>
      <c r="H12" s="51"/>
    </row>
    <row r="13" spans="1:14" ht="17.100000000000001" customHeight="1" x14ac:dyDescent="0.2">
      <c r="A13" s="3">
        <v>7</v>
      </c>
      <c r="B13" s="4" t="s">
        <v>195</v>
      </c>
      <c r="C13" s="4" t="s">
        <v>196</v>
      </c>
      <c r="D13" s="4" t="s">
        <v>16</v>
      </c>
      <c r="E13" s="5">
        <v>801235</v>
      </c>
      <c r="F13" s="6">
        <v>5874.6550200000001</v>
      </c>
      <c r="G13" s="7">
        <v>3.1588412000000003E-2</v>
      </c>
      <c r="H13" s="51"/>
    </row>
    <row r="14" spans="1:14" ht="53.1" customHeight="1" x14ac:dyDescent="0.2">
      <c r="A14" s="3">
        <v>8</v>
      </c>
      <c r="B14" s="4" t="s">
        <v>43</v>
      </c>
      <c r="C14" s="4" t="s">
        <v>44</v>
      </c>
      <c r="D14" s="4" t="s">
        <v>45</v>
      </c>
      <c r="E14" s="5">
        <v>3314257</v>
      </c>
      <c r="F14" s="6">
        <v>5059.2133105000003</v>
      </c>
      <c r="G14" s="7">
        <v>2.7203728E-2</v>
      </c>
      <c r="H14" s="51"/>
      <c r="J14" s="157" t="s">
        <v>1109</v>
      </c>
    </row>
    <row r="15" spans="1:14" ht="17.100000000000001" customHeight="1" x14ac:dyDescent="0.2">
      <c r="A15" s="3">
        <v>9</v>
      </c>
      <c r="B15" s="4" t="s">
        <v>639</v>
      </c>
      <c r="C15" s="4" t="s">
        <v>640</v>
      </c>
      <c r="D15" s="4" t="s">
        <v>641</v>
      </c>
      <c r="E15" s="5">
        <v>20262</v>
      </c>
      <c r="F15" s="6">
        <v>4985.7285060000004</v>
      </c>
      <c r="G15" s="7">
        <v>2.6808595000000001E-2</v>
      </c>
      <c r="H15" s="51"/>
    </row>
    <row r="16" spans="1:14" ht="29.1" customHeight="1" x14ac:dyDescent="0.2">
      <c r="A16" s="3">
        <v>10</v>
      </c>
      <c r="B16" s="4" t="s">
        <v>185</v>
      </c>
      <c r="C16" s="4" t="s">
        <v>186</v>
      </c>
      <c r="D16" s="4" t="s">
        <v>104</v>
      </c>
      <c r="E16" s="5">
        <v>1154985</v>
      </c>
      <c r="F16" s="6">
        <v>4757.3832149999998</v>
      </c>
      <c r="G16" s="7">
        <v>2.5580767000000001E-2</v>
      </c>
      <c r="H16" s="51"/>
    </row>
    <row r="17" spans="1:10" ht="29.1" customHeight="1" x14ac:dyDescent="0.2">
      <c r="A17" s="3">
        <v>11</v>
      </c>
      <c r="B17" s="4" t="s">
        <v>193</v>
      </c>
      <c r="C17" s="4" t="s">
        <v>194</v>
      </c>
      <c r="D17" s="4" t="s">
        <v>184</v>
      </c>
      <c r="E17" s="5">
        <v>172468</v>
      </c>
      <c r="F17" s="6">
        <v>4317.6501459999999</v>
      </c>
      <c r="G17" s="7">
        <v>2.3216292999999999E-2</v>
      </c>
      <c r="H17" s="51"/>
    </row>
    <row r="18" spans="1:10" ht="17.100000000000001" customHeight="1" x14ac:dyDescent="0.2">
      <c r="A18" s="3">
        <v>12</v>
      </c>
      <c r="B18" s="4" t="s">
        <v>510</v>
      </c>
      <c r="C18" s="4" t="s">
        <v>511</v>
      </c>
      <c r="D18" s="4" t="s">
        <v>315</v>
      </c>
      <c r="E18" s="5">
        <v>102643</v>
      </c>
      <c r="F18" s="6">
        <v>4075.0297430000001</v>
      </c>
      <c r="G18" s="7">
        <v>2.1911706999999999E-2</v>
      </c>
      <c r="H18" s="51"/>
    </row>
    <row r="19" spans="1:10" ht="17.100000000000001" customHeight="1" x14ac:dyDescent="0.2">
      <c r="A19" s="3">
        <v>13</v>
      </c>
      <c r="B19" s="4" t="s">
        <v>17</v>
      </c>
      <c r="C19" s="4" t="s">
        <v>18</v>
      </c>
      <c r="D19" s="4" t="s">
        <v>19</v>
      </c>
      <c r="E19" s="5">
        <v>503797</v>
      </c>
      <c r="F19" s="6">
        <v>4029.8722029999999</v>
      </c>
      <c r="G19" s="7">
        <v>2.1668891999999999E-2</v>
      </c>
      <c r="H19" s="51"/>
    </row>
    <row r="20" spans="1:10" ht="29.1" customHeight="1" x14ac:dyDescent="0.2">
      <c r="A20" s="3">
        <v>14</v>
      </c>
      <c r="B20" s="4" t="s">
        <v>520</v>
      </c>
      <c r="C20" s="4" t="s">
        <v>521</v>
      </c>
      <c r="D20" s="4" t="s">
        <v>203</v>
      </c>
      <c r="E20" s="5">
        <v>872732</v>
      </c>
      <c r="F20" s="6">
        <v>3935.5849539999999</v>
      </c>
      <c r="G20" s="7">
        <v>2.1161902999999999E-2</v>
      </c>
      <c r="H20" s="51"/>
    </row>
    <row r="21" spans="1:10" ht="17.100000000000001" customHeight="1" x14ac:dyDescent="0.2">
      <c r="A21" s="3">
        <v>15</v>
      </c>
      <c r="B21" s="4" t="s">
        <v>39</v>
      </c>
      <c r="C21" s="4" t="s">
        <v>40</v>
      </c>
      <c r="D21" s="4" t="s">
        <v>31</v>
      </c>
      <c r="E21" s="5">
        <v>151640</v>
      </c>
      <c r="F21" s="6">
        <v>3883.1212999999998</v>
      </c>
      <c r="G21" s="7">
        <v>2.0879801999999999E-2</v>
      </c>
      <c r="H21" s="51"/>
    </row>
    <row r="22" spans="1:10" ht="17.100000000000001" customHeight="1" x14ac:dyDescent="0.2">
      <c r="A22" s="3">
        <v>16</v>
      </c>
      <c r="B22" s="4" t="s">
        <v>190</v>
      </c>
      <c r="C22" s="4" t="s">
        <v>191</v>
      </c>
      <c r="D22" s="4" t="s">
        <v>192</v>
      </c>
      <c r="E22" s="5">
        <v>7615</v>
      </c>
      <c r="F22" s="6">
        <v>3858.2273224999999</v>
      </c>
      <c r="G22" s="7">
        <v>2.0745946000000001E-2</v>
      </c>
      <c r="H22" s="51"/>
    </row>
    <row r="23" spans="1:10" ht="17.100000000000001" customHeight="1" x14ac:dyDescent="0.2">
      <c r="A23" s="3">
        <v>17</v>
      </c>
      <c r="B23" s="4" t="s">
        <v>391</v>
      </c>
      <c r="C23" s="4" t="s">
        <v>392</v>
      </c>
      <c r="D23" s="4" t="s">
        <v>97</v>
      </c>
      <c r="E23" s="5">
        <v>739710</v>
      </c>
      <c r="F23" s="6">
        <v>3549.1285800000001</v>
      </c>
      <c r="G23" s="7">
        <v>1.9083901E-2</v>
      </c>
      <c r="H23" s="51"/>
    </row>
    <row r="24" spans="1:10" ht="17.100000000000001" customHeight="1" x14ac:dyDescent="0.2">
      <c r="A24" s="3">
        <v>18</v>
      </c>
      <c r="B24" s="4" t="s">
        <v>90</v>
      </c>
      <c r="C24" s="4" t="s">
        <v>91</v>
      </c>
      <c r="D24" s="4" t="s">
        <v>92</v>
      </c>
      <c r="E24" s="5">
        <v>684527</v>
      </c>
      <c r="F24" s="6">
        <v>3482.1888490000001</v>
      </c>
      <c r="G24" s="7">
        <v>1.8723962E-2</v>
      </c>
      <c r="H24" s="51"/>
      <c r="J24" s="157" t="s">
        <v>1110</v>
      </c>
    </row>
    <row r="25" spans="1:10" ht="17.100000000000001" customHeight="1" x14ac:dyDescent="0.2">
      <c r="A25" s="3">
        <v>19</v>
      </c>
      <c r="B25" s="4" t="s">
        <v>67</v>
      </c>
      <c r="C25" s="4" t="s">
        <v>68</v>
      </c>
      <c r="D25" s="4" t="s">
        <v>69</v>
      </c>
      <c r="E25" s="5">
        <v>37000</v>
      </c>
      <c r="F25" s="6">
        <v>3266.4155000000001</v>
      </c>
      <c r="G25" s="7">
        <v>1.7563734000000001E-2</v>
      </c>
      <c r="H25" s="51"/>
    </row>
    <row r="26" spans="1:10" ht="29.1" customHeight="1" x14ac:dyDescent="0.2">
      <c r="A26" s="3">
        <v>20</v>
      </c>
      <c r="B26" s="4" t="s">
        <v>182</v>
      </c>
      <c r="C26" s="4" t="s">
        <v>183</v>
      </c>
      <c r="D26" s="4" t="s">
        <v>184</v>
      </c>
      <c r="E26" s="5">
        <v>69720</v>
      </c>
      <c r="F26" s="6">
        <v>3131.0206199999998</v>
      </c>
      <c r="G26" s="7">
        <v>1.6835706999999998E-2</v>
      </c>
      <c r="H26" s="51"/>
    </row>
    <row r="27" spans="1:10" ht="29.1" customHeight="1" x14ac:dyDescent="0.2">
      <c r="A27" s="3">
        <v>21</v>
      </c>
      <c r="B27" s="4" t="s">
        <v>236</v>
      </c>
      <c r="C27" s="4" t="s">
        <v>237</v>
      </c>
      <c r="D27" s="4" t="s">
        <v>203</v>
      </c>
      <c r="E27" s="5">
        <v>148360</v>
      </c>
      <c r="F27" s="6">
        <v>3104.95226</v>
      </c>
      <c r="G27" s="7">
        <v>1.6695535000000001E-2</v>
      </c>
      <c r="H27" s="51"/>
    </row>
    <row r="28" spans="1:10" ht="17.100000000000001" customHeight="1" x14ac:dyDescent="0.2">
      <c r="A28" s="3">
        <v>22</v>
      </c>
      <c r="B28" s="4" t="s">
        <v>82</v>
      </c>
      <c r="C28" s="4" t="s">
        <v>83</v>
      </c>
      <c r="D28" s="4" t="s">
        <v>31</v>
      </c>
      <c r="E28" s="5">
        <v>205288</v>
      </c>
      <c r="F28" s="6">
        <v>2967.0274639999998</v>
      </c>
      <c r="G28" s="7">
        <v>1.5953905000000001E-2</v>
      </c>
      <c r="H28" s="51"/>
    </row>
    <row r="29" spans="1:10" ht="17.100000000000001" customHeight="1" x14ac:dyDescent="0.2">
      <c r="A29" s="3">
        <v>23</v>
      </c>
      <c r="B29" s="4" t="s">
        <v>107</v>
      </c>
      <c r="C29" s="4" t="s">
        <v>108</v>
      </c>
      <c r="D29" s="4" t="s">
        <v>92</v>
      </c>
      <c r="E29" s="5">
        <v>322706</v>
      </c>
      <c r="F29" s="6">
        <v>2961.7956680000002</v>
      </c>
      <c r="G29" s="7">
        <v>1.5925773000000001E-2</v>
      </c>
      <c r="H29" s="51"/>
    </row>
    <row r="30" spans="1:10" ht="17.100000000000001" customHeight="1" x14ac:dyDescent="0.2">
      <c r="A30" s="3">
        <v>24</v>
      </c>
      <c r="B30" s="4" t="s">
        <v>214</v>
      </c>
      <c r="C30" s="4" t="s">
        <v>215</v>
      </c>
      <c r="D30" s="4" t="s">
        <v>181</v>
      </c>
      <c r="E30" s="5">
        <v>168859</v>
      </c>
      <c r="F30" s="6">
        <v>2882.2542709999998</v>
      </c>
      <c r="G30" s="7">
        <v>1.5498074000000001E-2</v>
      </c>
      <c r="H30" s="51"/>
    </row>
    <row r="31" spans="1:10" ht="17.100000000000001" customHeight="1" x14ac:dyDescent="0.2">
      <c r="A31" s="3">
        <v>25</v>
      </c>
      <c r="B31" s="4" t="s">
        <v>256</v>
      </c>
      <c r="C31" s="4" t="s">
        <v>257</v>
      </c>
      <c r="D31" s="4" t="s">
        <v>104</v>
      </c>
      <c r="E31" s="5">
        <v>314277</v>
      </c>
      <c r="F31" s="6">
        <v>2878.9344584999999</v>
      </c>
      <c r="G31" s="7">
        <v>1.5480223E-2</v>
      </c>
      <c r="H31" s="51"/>
    </row>
    <row r="32" spans="1:10" ht="29.1" customHeight="1" x14ac:dyDescent="0.2">
      <c r="A32" s="3">
        <v>26</v>
      </c>
      <c r="B32" s="4" t="s">
        <v>95</v>
      </c>
      <c r="C32" s="4" t="s">
        <v>96</v>
      </c>
      <c r="D32" s="4" t="s">
        <v>97</v>
      </c>
      <c r="E32" s="5">
        <v>388492</v>
      </c>
      <c r="F32" s="6">
        <v>2844.5384239999998</v>
      </c>
      <c r="G32" s="7">
        <v>1.5295273E-2</v>
      </c>
      <c r="H32" s="51"/>
    </row>
    <row r="33" spans="1:8" ht="17.100000000000001" customHeight="1" x14ac:dyDescent="0.2">
      <c r="A33" s="3">
        <v>27</v>
      </c>
      <c r="B33" s="4" t="s">
        <v>347</v>
      </c>
      <c r="C33" s="4" t="s">
        <v>348</v>
      </c>
      <c r="D33" s="4" t="s">
        <v>16</v>
      </c>
      <c r="E33" s="5">
        <v>1208778</v>
      </c>
      <c r="F33" s="6">
        <v>2765.079675</v>
      </c>
      <c r="G33" s="7">
        <v>1.4868018E-2</v>
      </c>
      <c r="H33" s="51"/>
    </row>
    <row r="34" spans="1:8" ht="17.100000000000001" customHeight="1" x14ac:dyDescent="0.2">
      <c r="A34" s="3">
        <v>28</v>
      </c>
      <c r="B34" s="4" t="s">
        <v>261</v>
      </c>
      <c r="C34" s="4" t="s">
        <v>262</v>
      </c>
      <c r="D34" s="4" t="s">
        <v>97</v>
      </c>
      <c r="E34" s="5">
        <v>164719</v>
      </c>
      <c r="F34" s="6">
        <v>2764.5613364999999</v>
      </c>
      <c r="G34" s="7">
        <v>1.4865231E-2</v>
      </c>
      <c r="H34" s="51"/>
    </row>
    <row r="35" spans="1:8" ht="17.100000000000001" customHeight="1" x14ac:dyDescent="0.2">
      <c r="A35" s="3">
        <v>29</v>
      </c>
      <c r="B35" s="4" t="s">
        <v>306</v>
      </c>
      <c r="C35" s="4" t="s">
        <v>307</v>
      </c>
      <c r="D35" s="4" t="s">
        <v>223</v>
      </c>
      <c r="E35" s="5">
        <v>92000</v>
      </c>
      <c r="F35" s="6">
        <v>2764.1860000000001</v>
      </c>
      <c r="G35" s="7">
        <v>1.4863213E-2</v>
      </c>
      <c r="H35" s="51"/>
    </row>
    <row r="36" spans="1:8" ht="17.100000000000001" customHeight="1" x14ac:dyDescent="0.2">
      <c r="A36" s="3">
        <v>30</v>
      </c>
      <c r="B36" s="4" t="s">
        <v>504</v>
      </c>
      <c r="C36" s="4" t="s">
        <v>505</v>
      </c>
      <c r="D36" s="4" t="s">
        <v>315</v>
      </c>
      <c r="E36" s="5">
        <v>108444</v>
      </c>
      <c r="F36" s="6">
        <v>2740.8136559999998</v>
      </c>
      <c r="G36" s="7">
        <v>1.4737538E-2</v>
      </c>
      <c r="H36" s="51"/>
    </row>
    <row r="37" spans="1:8" ht="53.1" customHeight="1" x14ac:dyDescent="0.2">
      <c r="A37" s="3">
        <v>31</v>
      </c>
      <c r="B37" s="4" t="s">
        <v>93</v>
      </c>
      <c r="C37" s="4" t="s">
        <v>94</v>
      </c>
      <c r="D37" s="4" t="s">
        <v>45</v>
      </c>
      <c r="E37" s="5">
        <v>177008</v>
      </c>
      <c r="F37" s="6">
        <v>2624.6746240000002</v>
      </c>
      <c r="G37" s="7">
        <v>1.4113051E-2</v>
      </c>
      <c r="H37" s="51"/>
    </row>
    <row r="38" spans="1:8" ht="17.100000000000001" customHeight="1" x14ac:dyDescent="0.2">
      <c r="A38" s="3">
        <v>32</v>
      </c>
      <c r="B38" s="4" t="s">
        <v>357</v>
      </c>
      <c r="C38" s="4" t="s">
        <v>358</v>
      </c>
      <c r="D38" s="4" t="s">
        <v>51</v>
      </c>
      <c r="E38" s="5">
        <v>137750</v>
      </c>
      <c r="F38" s="6">
        <v>2544.7935000000002</v>
      </c>
      <c r="G38" s="7">
        <v>1.3683524000000001E-2</v>
      </c>
      <c r="H38" s="51"/>
    </row>
    <row r="39" spans="1:8" ht="17.100000000000001" customHeight="1" x14ac:dyDescent="0.2">
      <c r="A39" s="3">
        <v>33</v>
      </c>
      <c r="B39" s="4" t="s">
        <v>349</v>
      </c>
      <c r="C39" s="4" t="s">
        <v>350</v>
      </c>
      <c r="D39" s="4" t="s">
        <v>97</v>
      </c>
      <c r="E39" s="5">
        <v>34308</v>
      </c>
      <c r="F39" s="6">
        <v>2516.7491100000002</v>
      </c>
      <c r="G39" s="7">
        <v>1.3532728000000001E-2</v>
      </c>
      <c r="H39" s="51"/>
    </row>
    <row r="40" spans="1:8" ht="17.100000000000001" customHeight="1" x14ac:dyDescent="0.2">
      <c r="A40" s="3">
        <v>34</v>
      </c>
      <c r="B40" s="4" t="s">
        <v>54</v>
      </c>
      <c r="C40" s="4" t="s">
        <v>55</v>
      </c>
      <c r="D40" s="4" t="s">
        <v>13</v>
      </c>
      <c r="E40" s="5">
        <v>880580</v>
      </c>
      <c r="F40" s="6">
        <v>2334.8578699999998</v>
      </c>
      <c r="G40" s="7">
        <v>1.2554687E-2</v>
      </c>
      <c r="H40" s="51"/>
    </row>
    <row r="41" spans="1:8" ht="17.100000000000001" customHeight="1" x14ac:dyDescent="0.2">
      <c r="A41" s="3">
        <v>35</v>
      </c>
      <c r="B41" s="4" t="s">
        <v>109</v>
      </c>
      <c r="C41" s="4" t="s">
        <v>110</v>
      </c>
      <c r="D41" s="4" t="s">
        <v>72</v>
      </c>
      <c r="E41" s="5">
        <v>464467</v>
      </c>
      <c r="F41" s="6">
        <v>2153.9657124999999</v>
      </c>
      <c r="G41" s="7">
        <v>1.1582017E-2</v>
      </c>
      <c r="H41" s="51"/>
    </row>
    <row r="42" spans="1:8" ht="17.100000000000001" customHeight="1" x14ac:dyDescent="0.2">
      <c r="A42" s="3">
        <v>36</v>
      </c>
      <c r="B42" s="4" t="s">
        <v>29</v>
      </c>
      <c r="C42" s="4" t="s">
        <v>30</v>
      </c>
      <c r="D42" s="4" t="s">
        <v>31</v>
      </c>
      <c r="E42" s="5">
        <v>107410</v>
      </c>
      <c r="F42" s="6">
        <v>2146.105505</v>
      </c>
      <c r="G42" s="7">
        <v>1.1539752E-2</v>
      </c>
      <c r="H42" s="51"/>
    </row>
    <row r="43" spans="1:8" ht="17.100000000000001" customHeight="1" x14ac:dyDescent="0.2">
      <c r="A43" s="3">
        <v>37</v>
      </c>
      <c r="B43" s="4" t="s">
        <v>102</v>
      </c>
      <c r="C43" s="4" t="s">
        <v>103</v>
      </c>
      <c r="D43" s="4" t="s">
        <v>104</v>
      </c>
      <c r="E43" s="5">
        <v>492099</v>
      </c>
      <c r="F43" s="6">
        <v>2095.6035915000002</v>
      </c>
      <c r="G43" s="7">
        <v>1.1268200000000001E-2</v>
      </c>
      <c r="H43" s="51"/>
    </row>
    <row r="44" spans="1:8" ht="17.100000000000001" customHeight="1" x14ac:dyDescent="0.2">
      <c r="A44" s="3">
        <v>38</v>
      </c>
      <c r="B44" s="4" t="s">
        <v>32</v>
      </c>
      <c r="C44" s="4" t="s">
        <v>33</v>
      </c>
      <c r="D44" s="4" t="s">
        <v>31</v>
      </c>
      <c r="E44" s="5">
        <v>100996</v>
      </c>
      <c r="F44" s="6">
        <v>2084.7089340000002</v>
      </c>
      <c r="G44" s="7">
        <v>1.1209619000000001E-2</v>
      </c>
      <c r="H44" s="51"/>
    </row>
    <row r="45" spans="1:8" ht="17.100000000000001" customHeight="1" x14ac:dyDescent="0.2">
      <c r="A45" s="3">
        <v>39</v>
      </c>
      <c r="B45" s="4" t="s">
        <v>278</v>
      </c>
      <c r="C45" s="4" t="s">
        <v>279</v>
      </c>
      <c r="D45" s="4" t="s">
        <v>104</v>
      </c>
      <c r="E45" s="5">
        <v>167824</v>
      </c>
      <c r="F45" s="6">
        <v>2014.5592959999999</v>
      </c>
      <c r="G45" s="7">
        <v>1.0832420000000001E-2</v>
      </c>
      <c r="H45" s="51"/>
    </row>
    <row r="46" spans="1:8" ht="17.100000000000001" customHeight="1" x14ac:dyDescent="0.2">
      <c r="A46" s="3">
        <v>40</v>
      </c>
      <c r="B46" s="4" t="s">
        <v>355</v>
      </c>
      <c r="C46" s="4" t="s">
        <v>356</v>
      </c>
      <c r="D46" s="4" t="s">
        <v>189</v>
      </c>
      <c r="E46" s="5">
        <v>45000</v>
      </c>
      <c r="F46" s="6">
        <v>1973.9475</v>
      </c>
      <c r="G46" s="7">
        <v>1.0614047E-2</v>
      </c>
      <c r="H46" s="51"/>
    </row>
    <row r="47" spans="1:8" ht="17.100000000000001" customHeight="1" x14ac:dyDescent="0.2">
      <c r="A47" s="3">
        <v>41</v>
      </c>
      <c r="B47" s="4" t="s">
        <v>265</v>
      </c>
      <c r="C47" s="4" t="s">
        <v>266</v>
      </c>
      <c r="D47" s="4" t="s">
        <v>208</v>
      </c>
      <c r="E47" s="5">
        <v>734154</v>
      </c>
      <c r="F47" s="6">
        <v>1939.6348680000001</v>
      </c>
      <c r="G47" s="7">
        <v>1.0429546E-2</v>
      </c>
      <c r="H47" s="51"/>
    </row>
    <row r="48" spans="1:8" ht="29.1" customHeight="1" x14ac:dyDescent="0.2">
      <c r="A48" s="3">
        <v>42</v>
      </c>
      <c r="B48" s="4" t="s">
        <v>254</v>
      </c>
      <c r="C48" s="4" t="s">
        <v>255</v>
      </c>
      <c r="D48" s="4" t="s">
        <v>72</v>
      </c>
      <c r="E48" s="5">
        <v>19364</v>
      </c>
      <c r="F48" s="6">
        <v>1925.7982099999999</v>
      </c>
      <c r="G48" s="7">
        <v>1.0355145E-2</v>
      </c>
      <c r="H48" s="51"/>
    </row>
    <row r="49" spans="1:8" ht="17.100000000000001" customHeight="1" x14ac:dyDescent="0.2">
      <c r="A49" s="3">
        <v>43</v>
      </c>
      <c r="B49" s="4" t="s">
        <v>240</v>
      </c>
      <c r="C49" s="4" t="s">
        <v>241</v>
      </c>
      <c r="D49" s="4" t="s">
        <v>97</v>
      </c>
      <c r="E49" s="5">
        <v>265000</v>
      </c>
      <c r="F49" s="6">
        <v>1732.04</v>
      </c>
      <c r="G49" s="7">
        <v>9.3132949999999992E-3</v>
      </c>
      <c r="H49" s="51"/>
    </row>
    <row r="50" spans="1:8" ht="17.100000000000001" customHeight="1" x14ac:dyDescent="0.2">
      <c r="A50" s="3">
        <v>44</v>
      </c>
      <c r="B50" s="4" t="s">
        <v>421</v>
      </c>
      <c r="C50" s="4" t="s">
        <v>422</v>
      </c>
      <c r="D50" s="4" t="s">
        <v>104</v>
      </c>
      <c r="E50" s="5">
        <v>156000</v>
      </c>
      <c r="F50" s="6">
        <v>1717.0139999999999</v>
      </c>
      <c r="G50" s="7">
        <v>9.2324989999999999E-3</v>
      </c>
      <c r="H50" s="51"/>
    </row>
    <row r="51" spans="1:8" ht="17.100000000000001" customHeight="1" x14ac:dyDescent="0.2">
      <c r="A51" s="3">
        <v>45</v>
      </c>
      <c r="B51" s="4" t="s">
        <v>70</v>
      </c>
      <c r="C51" s="4" t="s">
        <v>71</v>
      </c>
      <c r="D51" s="4" t="s">
        <v>72</v>
      </c>
      <c r="E51" s="5">
        <v>52890</v>
      </c>
      <c r="F51" s="6">
        <v>1699.011915</v>
      </c>
      <c r="G51" s="7">
        <v>9.1357000000000001E-3</v>
      </c>
      <c r="H51" s="51"/>
    </row>
    <row r="52" spans="1:8" ht="29.1" customHeight="1" x14ac:dyDescent="0.2">
      <c r="A52" s="3">
        <v>46</v>
      </c>
      <c r="B52" s="4" t="s">
        <v>63</v>
      </c>
      <c r="C52" s="4" t="s">
        <v>64</v>
      </c>
      <c r="D52" s="4" t="s">
        <v>25</v>
      </c>
      <c r="E52" s="5">
        <v>58907</v>
      </c>
      <c r="F52" s="6">
        <v>1546.6916455</v>
      </c>
      <c r="G52" s="7">
        <v>8.3166639999999997E-3</v>
      </c>
      <c r="H52" s="51"/>
    </row>
    <row r="53" spans="1:8" ht="29.1" customHeight="1" x14ac:dyDescent="0.2">
      <c r="A53" s="3">
        <v>47</v>
      </c>
      <c r="B53" s="4" t="s">
        <v>211</v>
      </c>
      <c r="C53" s="4" t="s">
        <v>212</v>
      </c>
      <c r="D53" s="4" t="s">
        <v>213</v>
      </c>
      <c r="E53" s="5">
        <v>51503</v>
      </c>
      <c r="F53" s="6">
        <v>1544.2402004999999</v>
      </c>
      <c r="G53" s="7">
        <v>8.3034830000000004E-3</v>
      </c>
      <c r="H53" s="51"/>
    </row>
    <row r="54" spans="1:8" ht="29.1" customHeight="1" x14ac:dyDescent="0.2">
      <c r="A54" s="3">
        <v>48</v>
      </c>
      <c r="B54" s="4" t="s">
        <v>291</v>
      </c>
      <c r="C54" s="4" t="s">
        <v>292</v>
      </c>
      <c r="D54" s="4" t="s">
        <v>184</v>
      </c>
      <c r="E54" s="5">
        <v>182381</v>
      </c>
      <c r="F54" s="6">
        <v>1369.9548815000001</v>
      </c>
      <c r="G54" s="7">
        <v>7.3663390000000004E-3</v>
      </c>
      <c r="H54" s="51"/>
    </row>
    <row r="55" spans="1:8" ht="17.100000000000001" customHeight="1" x14ac:dyDescent="0.2">
      <c r="A55" s="3">
        <v>49</v>
      </c>
      <c r="B55" s="4" t="s">
        <v>244</v>
      </c>
      <c r="C55" s="4" t="s">
        <v>245</v>
      </c>
      <c r="D55" s="4" t="s">
        <v>223</v>
      </c>
      <c r="E55" s="5">
        <v>36036</v>
      </c>
      <c r="F55" s="6">
        <v>1167.998832</v>
      </c>
      <c r="G55" s="7">
        <v>6.2804080000000003E-3</v>
      </c>
      <c r="H55" s="51"/>
    </row>
    <row r="56" spans="1:8" ht="17.100000000000001" customHeight="1" x14ac:dyDescent="0.2">
      <c r="A56" s="3">
        <v>50</v>
      </c>
      <c r="B56" s="4" t="s">
        <v>258</v>
      </c>
      <c r="C56" s="4" t="s">
        <v>259</v>
      </c>
      <c r="D56" s="4" t="s">
        <v>260</v>
      </c>
      <c r="E56" s="5">
        <v>103000</v>
      </c>
      <c r="F56" s="6">
        <v>1079.749</v>
      </c>
      <c r="G56" s="7">
        <v>5.8058820000000001E-3</v>
      </c>
      <c r="H56" s="51"/>
    </row>
    <row r="57" spans="1:8" ht="17.100000000000001" customHeight="1" x14ac:dyDescent="0.2">
      <c r="A57" s="3">
        <v>51</v>
      </c>
      <c r="B57" s="4" t="s">
        <v>78</v>
      </c>
      <c r="C57" s="4" t="s">
        <v>79</v>
      </c>
      <c r="D57" s="4" t="s">
        <v>31</v>
      </c>
      <c r="E57" s="5">
        <v>85238</v>
      </c>
      <c r="F57" s="6">
        <v>884.81305899999995</v>
      </c>
      <c r="G57" s="7">
        <v>4.7576989999999998E-3</v>
      </c>
      <c r="H57" s="51"/>
    </row>
    <row r="58" spans="1:8" ht="17.100000000000001" customHeight="1" x14ac:dyDescent="0.2">
      <c r="A58" s="3">
        <v>52</v>
      </c>
      <c r="B58" s="4" t="s">
        <v>516</v>
      </c>
      <c r="C58" s="4" t="s">
        <v>517</v>
      </c>
      <c r="D58" s="4" t="s">
        <v>223</v>
      </c>
      <c r="E58" s="5">
        <v>55715</v>
      </c>
      <c r="F58" s="6">
        <v>779.56428000000005</v>
      </c>
      <c r="G58" s="7">
        <v>4.1917689999999997E-3</v>
      </c>
      <c r="H58" s="51"/>
    </row>
    <row r="59" spans="1:8" ht="17.100000000000001" customHeight="1" x14ac:dyDescent="0.2">
      <c r="A59" s="3">
        <v>53</v>
      </c>
      <c r="B59" s="4" t="s">
        <v>123</v>
      </c>
      <c r="C59" s="4" t="s">
        <v>124</v>
      </c>
      <c r="D59" s="4" t="s">
        <v>104</v>
      </c>
      <c r="E59" s="5">
        <v>30850</v>
      </c>
      <c r="F59" s="6">
        <v>729.20145000000002</v>
      </c>
      <c r="G59" s="7">
        <v>3.9209650000000002E-3</v>
      </c>
      <c r="H59" s="51"/>
    </row>
    <row r="60" spans="1:8" ht="17.100000000000001" customHeight="1" x14ac:dyDescent="0.2">
      <c r="A60" s="3">
        <v>54</v>
      </c>
      <c r="B60" s="4" t="s">
        <v>522</v>
      </c>
      <c r="C60" s="4" t="s">
        <v>523</v>
      </c>
      <c r="D60" s="4" t="s">
        <v>104</v>
      </c>
      <c r="E60" s="5">
        <v>265348</v>
      </c>
      <c r="F60" s="6">
        <v>724.13469199999997</v>
      </c>
      <c r="G60" s="7">
        <v>3.8937210000000002E-3</v>
      </c>
      <c r="H60" s="51"/>
    </row>
    <row r="61" spans="1:8" ht="17.100000000000001" customHeight="1" x14ac:dyDescent="0.2">
      <c r="A61" s="3">
        <v>55</v>
      </c>
      <c r="B61" s="4" t="s">
        <v>381</v>
      </c>
      <c r="C61" s="4" t="s">
        <v>382</v>
      </c>
      <c r="D61" s="4" t="s">
        <v>277</v>
      </c>
      <c r="E61" s="5">
        <v>50981</v>
      </c>
      <c r="F61" s="6">
        <v>642.94688150000002</v>
      </c>
      <c r="G61" s="7">
        <v>3.457168E-3</v>
      </c>
      <c r="H61" s="51"/>
    </row>
    <row r="62" spans="1:8" ht="17.100000000000001" customHeight="1" x14ac:dyDescent="0.2">
      <c r="A62" s="3">
        <v>56</v>
      </c>
      <c r="B62" s="4" t="s">
        <v>401</v>
      </c>
      <c r="C62" s="4" t="s">
        <v>402</v>
      </c>
      <c r="D62" s="4" t="s">
        <v>223</v>
      </c>
      <c r="E62" s="5">
        <v>86440</v>
      </c>
      <c r="F62" s="6">
        <v>570.41755999999998</v>
      </c>
      <c r="G62" s="7">
        <v>3.0671729999999999E-3</v>
      </c>
      <c r="H62" s="51"/>
    </row>
    <row r="63" spans="1:8" ht="17.100000000000001" customHeight="1" x14ac:dyDescent="0.2">
      <c r="A63" s="3">
        <v>57</v>
      </c>
      <c r="B63" s="61" t="s">
        <v>1012</v>
      </c>
      <c r="C63" s="65" t="s">
        <v>125</v>
      </c>
      <c r="D63" s="61" t="s">
        <v>97</v>
      </c>
      <c r="E63" s="5">
        <v>177729</v>
      </c>
      <c r="F63" s="6">
        <v>536.2972575</v>
      </c>
      <c r="G63" s="7">
        <v>2.8837060000000002E-3</v>
      </c>
      <c r="H63" s="51"/>
    </row>
    <row r="64" spans="1:8" ht="29.1" customHeight="1" x14ac:dyDescent="0.2">
      <c r="A64" s="3">
        <v>58</v>
      </c>
      <c r="B64" s="4" t="s">
        <v>506</v>
      </c>
      <c r="C64" s="4" t="s">
        <v>507</v>
      </c>
      <c r="D64" s="4" t="s">
        <v>184</v>
      </c>
      <c r="E64" s="5">
        <v>30432</v>
      </c>
      <c r="F64" s="6">
        <v>450.33273600000001</v>
      </c>
      <c r="G64" s="7">
        <v>2.4214689999999999E-3</v>
      </c>
      <c r="H64" s="51"/>
    </row>
    <row r="65" spans="1:9" ht="17.100000000000001" customHeight="1" x14ac:dyDescent="0.2">
      <c r="A65" s="3">
        <v>59</v>
      </c>
      <c r="B65" s="4" t="s">
        <v>228</v>
      </c>
      <c r="C65" s="4" t="s">
        <v>229</v>
      </c>
      <c r="D65" s="4" t="s">
        <v>31</v>
      </c>
      <c r="E65" s="5">
        <v>15955</v>
      </c>
      <c r="F65" s="6">
        <v>356.18739749999997</v>
      </c>
      <c r="G65" s="7">
        <v>1.9152430000000001E-3</v>
      </c>
      <c r="H65" s="51"/>
    </row>
    <row r="66" spans="1:9" ht="29.1" customHeight="1" x14ac:dyDescent="0.2">
      <c r="A66" s="3">
        <v>60</v>
      </c>
      <c r="B66" s="4" t="s">
        <v>419</v>
      </c>
      <c r="C66" s="4" t="s">
        <v>420</v>
      </c>
      <c r="D66" s="4" t="s">
        <v>203</v>
      </c>
      <c r="E66" s="5">
        <v>10619</v>
      </c>
      <c r="F66" s="6">
        <v>203.863562</v>
      </c>
      <c r="G66" s="7">
        <v>1.0961879999999999E-3</v>
      </c>
      <c r="H66" s="51"/>
    </row>
    <row r="67" spans="1:9" ht="14.1" customHeight="1" x14ac:dyDescent="0.2">
      <c r="A67" s="1"/>
      <c r="B67" s="1"/>
      <c r="C67" s="2" t="s">
        <v>129</v>
      </c>
      <c r="D67" s="1"/>
      <c r="E67" s="1" t="s">
        <v>130</v>
      </c>
      <c r="F67" s="9">
        <v>178407.00473750007</v>
      </c>
      <c r="G67" s="10">
        <v>0.95930636899999988</v>
      </c>
      <c r="H67" s="51"/>
    </row>
    <row r="68" spans="1:9" ht="14.1" customHeight="1" x14ac:dyDescent="0.2">
      <c r="A68" s="1"/>
      <c r="B68" s="1"/>
      <c r="C68" s="11"/>
      <c r="D68" s="1"/>
      <c r="E68" s="1"/>
      <c r="F68" s="12"/>
      <c r="G68" s="12"/>
      <c r="H68" s="51"/>
    </row>
    <row r="69" spans="1:9" ht="14.1" customHeight="1" x14ac:dyDescent="0.2">
      <c r="A69" s="1"/>
      <c r="B69" s="1"/>
      <c r="C69" s="2" t="s">
        <v>131</v>
      </c>
      <c r="D69" s="1"/>
      <c r="E69" s="1"/>
      <c r="F69" s="1"/>
      <c r="G69" s="1"/>
      <c r="H69" s="51"/>
    </row>
    <row r="70" spans="1:9" ht="14.1" customHeight="1" x14ac:dyDescent="0.2">
      <c r="A70" s="1"/>
      <c r="B70" s="1"/>
      <c r="C70" s="2" t="s">
        <v>129</v>
      </c>
      <c r="D70" s="1"/>
      <c r="E70" s="1" t="s">
        <v>130</v>
      </c>
      <c r="F70" s="13">
        <v>0</v>
      </c>
      <c r="G70" s="14">
        <v>0</v>
      </c>
      <c r="H70" s="51"/>
    </row>
    <row r="71" spans="1:9" ht="14.1" customHeight="1" x14ac:dyDescent="0.2">
      <c r="A71" s="1"/>
      <c r="B71" s="1"/>
      <c r="C71" s="11"/>
      <c r="D71" s="1"/>
      <c r="E71" s="1"/>
      <c r="F71" s="12"/>
      <c r="G71" s="12"/>
      <c r="H71" s="51"/>
    </row>
    <row r="72" spans="1:9" ht="14.1" customHeight="1" x14ac:dyDescent="0.2">
      <c r="A72" s="1"/>
      <c r="B72" s="1"/>
      <c r="C72" s="2" t="s">
        <v>132</v>
      </c>
      <c r="D72" s="1"/>
      <c r="E72" s="1"/>
      <c r="F72" s="1"/>
      <c r="G72" s="1"/>
      <c r="H72" s="51"/>
    </row>
    <row r="73" spans="1:9" ht="29.1" customHeight="1" x14ac:dyDescent="0.2">
      <c r="A73" s="3">
        <v>1</v>
      </c>
      <c r="B73" s="38" t="s">
        <v>642</v>
      </c>
      <c r="C73" s="4" t="s">
        <v>981</v>
      </c>
      <c r="D73" s="4" t="s">
        <v>643</v>
      </c>
      <c r="E73" s="5">
        <v>511578</v>
      </c>
      <c r="F73" s="6">
        <v>26.602056000000001</v>
      </c>
      <c r="G73" s="7">
        <v>1.43041E-4</v>
      </c>
      <c r="H73" s="51"/>
    </row>
    <row r="74" spans="1:9" ht="17.100000000000001" customHeight="1" x14ac:dyDescent="0.2">
      <c r="A74" s="3">
        <v>2</v>
      </c>
      <c r="B74" s="38" t="s">
        <v>644</v>
      </c>
      <c r="C74" s="4" t="s">
        <v>1002</v>
      </c>
      <c r="D74" s="4" t="s">
        <v>315</v>
      </c>
      <c r="E74" s="5">
        <v>39500</v>
      </c>
      <c r="F74" s="6">
        <v>26.1569</v>
      </c>
      <c r="G74" s="7">
        <v>1.4064700000000001E-4</v>
      </c>
      <c r="H74" s="51"/>
    </row>
    <row r="75" spans="1:9" ht="41.1" customHeight="1" x14ac:dyDescent="0.2">
      <c r="A75" s="3">
        <v>3</v>
      </c>
      <c r="B75" s="38" t="s">
        <v>645</v>
      </c>
      <c r="C75" s="4" t="s">
        <v>1003</v>
      </c>
      <c r="D75" s="4" t="s">
        <v>646</v>
      </c>
      <c r="E75" s="5">
        <v>200000</v>
      </c>
      <c r="F75" s="6">
        <v>1.9999999999999999E-6</v>
      </c>
      <c r="G75" s="8" t="s">
        <v>128</v>
      </c>
      <c r="H75" s="51"/>
    </row>
    <row r="76" spans="1:9" ht="17.100000000000001" customHeight="1" x14ac:dyDescent="0.2">
      <c r="A76" s="3">
        <v>4</v>
      </c>
      <c r="B76" s="38" t="s">
        <v>647</v>
      </c>
      <c r="C76" s="4" t="s">
        <v>982</v>
      </c>
      <c r="D76" s="4"/>
      <c r="E76" s="5">
        <v>176305</v>
      </c>
      <c r="F76" s="6">
        <v>1.7630000000000001E-6</v>
      </c>
      <c r="G76" s="8" t="s">
        <v>128</v>
      </c>
      <c r="H76" s="51"/>
      <c r="I76" s="161"/>
    </row>
    <row r="77" spans="1:9" ht="17.100000000000001" customHeight="1" x14ac:dyDescent="0.2">
      <c r="A77" s="3">
        <v>5</v>
      </c>
      <c r="B77" s="38" t="s">
        <v>648</v>
      </c>
      <c r="C77" s="4" t="s">
        <v>1004</v>
      </c>
      <c r="D77" s="4"/>
      <c r="E77" s="5">
        <v>200</v>
      </c>
      <c r="F77" s="6">
        <v>2.0000000000000001E-9</v>
      </c>
      <c r="G77" s="8" t="s">
        <v>128</v>
      </c>
      <c r="H77" s="51"/>
      <c r="I77" s="161"/>
    </row>
    <row r="78" spans="1:9" ht="29.1" customHeight="1" x14ac:dyDescent="0.2">
      <c r="A78" s="3">
        <v>6</v>
      </c>
      <c r="B78" s="38" t="s">
        <v>649</v>
      </c>
      <c r="C78" s="4" t="s">
        <v>1005</v>
      </c>
      <c r="D78" s="4" t="s">
        <v>51</v>
      </c>
      <c r="E78" s="5">
        <v>54000</v>
      </c>
      <c r="F78" s="6">
        <v>5.4000000000000002E-7</v>
      </c>
      <c r="G78" s="8" t="s">
        <v>128</v>
      </c>
      <c r="H78" s="51"/>
      <c r="I78" s="161"/>
    </row>
    <row r="79" spans="1:9" ht="29.1" customHeight="1" x14ac:dyDescent="0.2">
      <c r="A79" s="3">
        <v>7</v>
      </c>
      <c r="B79" s="38" t="s">
        <v>650</v>
      </c>
      <c r="C79" s="4" t="s">
        <v>1006</v>
      </c>
      <c r="D79" s="4" t="s">
        <v>472</v>
      </c>
      <c r="E79" s="5">
        <v>50800</v>
      </c>
      <c r="F79" s="6">
        <v>5.0800000000000005E-7</v>
      </c>
      <c r="G79" s="8" t="s">
        <v>128</v>
      </c>
      <c r="H79" s="51"/>
      <c r="I79" s="161"/>
    </row>
    <row r="80" spans="1:9" ht="17.100000000000001" customHeight="1" x14ac:dyDescent="0.2">
      <c r="A80" s="3">
        <v>8</v>
      </c>
      <c r="B80" s="38" t="s">
        <v>651</v>
      </c>
      <c r="C80" s="4" t="s">
        <v>1007</v>
      </c>
      <c r="D80" s="4"/>
      <c r="E80" s="5">
        <v>93200</v>
      </c>
      <c r="F80" s="6">
        <v>9.3200000000000003E-7</v>
      </c>
      <c r="G80" s="8" t="s">
        <v>128</v>
      </c>
      <c r="H80" s="51"/>
      <c r="I80" s="161"/>
    </row>
    <row r="81" spans="1:9" ht="14.1" customHeight="1" x14ac:dyDescent="0.2">
      <c r="A81" s="1"/>
      <c r="B81" s="1"/>
      <c r="C81" s="2" t="s">
        <v>129</v>
      </c>
      <c r="D81" s="1"/>
      <c r="E81" s="1" t="s">
        <v>130</v>
      </c>
      <c r="F81" s="13">
        <v>52.758961745000001</v>
      </c>
      <c r="G81" s="14">
        <v>2.8368800000000004E-4</v>
      </c>
      <c r="H81" s="51"/>
      <c r="I81" s="161"/>
    </row>
    <row r="82" spans="1:9" ht="14.1" customHeight="1" x14ac:dyDescent="0.2">
      <c r="A82" s="1"/>
      <c r="B82" s="1"/>
      <c r="C82" s="11"/>
      <c r="D82" s="1"/>
      <c r="E82" s="1"/>
      <c r="F82" s="12"/>
      <c r="G82" s="12"/>
      <c r="H82" s="51"/>
      <c r="I82" s="161"/>
    </row>
    <row r="83" spans="1:9" ht="14.1" customHeight="1" x14ac:dyDescent="0.2">
      <c r="A83" s="1"/>
      <c r="B83" s="1"/>
      <c r="C83" s="2" t="s">
        <v>133</v>
      </c>
      <c r="D83" s="1"/>
      <c r="E83" s="1"/>
      <c r="F83" s="1"/>
      <c r="G83" s="1"/>
      <c r="H83" s="51"/>
      <c r="I83" s="161"/>
    </row>
    <row r="84" spans="1:9" ht="14.1" customHeight="1" x14ac:dyDescent="0.2">
      <c r="A84" s="1"/>
      <c r="B84" s="1"/>
      <c r="C84" s="2" t="s">
        <v>129</v>
      </c>
      <c r="D84" s="1"/>
      <c r="E84" s="1" t="s">
        <v>130</v>
      </c>
      <c r="F84" s="13">
        <v>0</v>
      </c>
      <c r="G84" s="14">
        <v>0</v>
      </c>
      <c r="H84" s="51"/>
    </row>
    <row r="85" spans="1:9" ht="14.1" customHeight="1" x14ac:dyDescent="0.2">
      <c r="A85" s="1"/>
      <c r="B85" s="1"/>
      <c r="C85" s="11"/>
      <c r="D85" s="1"/>
      <c r="E85" s="1"/>
      <c r="F85" s="12"/>
      <c r="G85" s="12"/>
      <c r="H85" s="51"/>
    </row>
    <row r="86" spans="1:9" ht="14.1" customHeight="1" x14ac:dyDescent="0.2">
      <c r="A86" s="1"/>
      <c r="B86" s="1"/>
      <c r="C86" s="2" t="s">
        <v>134</v>
      </c>
      <c r="D86" s="1"/>
      <c r="E86" s="1"/>
      <c r="F86" s="12"/>
      <c r="G86" s="12"/>
      <c r="H86" s="51"/>
    </row>
    <row r="87" spans="1:9" ht="25.5" x14ac:dyDescent="0.2">
      <c r="A87" s="49">
        <v>1</v>
      </c>
      <c r="B87" s="38" t="s">
        <v>965</v>
      </c>
      <c r="C87" s="38" t="s">
        <v>966</v>
      </c>
      <c r="D87" s="38" t="s">
        <v>97</v>
      </c>
      <c r="E87" s="50">
        <v>380400</v>
      </c>
      <c r="F87" s="51">
        <v>1509.8076000000001</v>
      </c>
      <c r="G87" s="52">
        <v>8.1183399999999999E-3</v>
      </c>
      <c r="H87" s="51"/>
    </row>
    <row r="88" spans="1:9" ht="14.1" customHeight="1" x14ac:dyDescent="0.2">
      <c r="A88" s="1"/>
      <c r="B88" s="1"/>
      <c r="C88" s="2" t="s">
        <v>129</v>
      </c>
      <c r="D88" s="1"/>
      <c r="E88" s="1" t="s">
        <v>130</v>
      </c>
      <c r="F88" s="13">
        <v>1509.8076000000001</v>
      </c>
      <c r="G88" s="14">
        <v>8.1183399999999999E-3</v>
      </c>
      <c r="H88" s="51"/>
    </row>
    <row r="89" spans="1:9" ht="14.1" customHeight="1" x14ac:dyDescent="0.2">
      <c r="A89" s="1"/>
      <c r="B89" s="1"/>
      <c r="C89" s="11"/>
      <c r="D89" s="1"/>
      <c r="E89" s="1"/>
      <c r="F89" s="12"/>
      <c r="G89" s="12"/>
      <c r="H89" s="51"/>
    </row>
    <row r="90" spans="1:9" ht="14.1" customHeight="1" x14ac:dyDescent="0.2">
      <c r="A90" s="1"/>
      <c r="B90" s="1"/>
      <c r="C90" s="2" t="s">
        <v>135</v>
      </c>
      <c r="D90" s="1"/>
      <c r="E90" s="1"/>
      <c r="F90" s="12"/>
      <c r="G90" s="12"/>
      <c r="H90" s="51"/>
    </row>
    <row r="91" spans="1:9" ht="14.1" customHeight="1" x14ac:dyDescent="0.2">
      <c r="A91" s="1"/>
      <c r="B91" s="1"/>
      <c r="C91" s="2" t="s">
        <v>129</v>
      </c>
      <c r="D91" s="1"/>
      <c r="E91" s="1" t="s">
        <v>130</v>
      </c>
      <c r="F91" s="13">
        <v>0</v>
      </c>
      <c r="G91" s="14">
        <v>0</v>
      </c>
      <c r="H91" s="51"/>
    </row>
    <row r="92" spans="1:9" ht="14.1" customHeight="1" x14ac:dyDescent="0.2">
      <c r="A92" s="1"/>
      <c r="B92" s="1"/>
      <c r="C92" s="11"/>
      <c r="D92" s="1"/>
      <c r="E92" s="1"/>
      <c r="F92" s="12"/>
      <c r="G92" s="12"/>
      <c r="H92" s="51"/>
    </row>
    <row r="93" spans="1:9" ht="18" customHeight="1" x14ac:dyDescent="0.2">
      <c r="A93" s="1"/>
      <c r="B93" s="1"/>
      <c r="C93" s="2" t="s">
        <v>136</v>
      </c>
      <c r="D93" s="1"/>
      <c r="E93" s="1"/>
      <c r="F93" s="9">
        <v>179969.57129924509</v>
      </c>
      <c r="G93" s="10">
        <v>0.96770839699999989</v>
      </c>
      <c r="H93" s="51"/>
    </row>
    <row r="94" spans="1:9" ht="14.1" customHeight="1" x14ac:dyDescent="0.2">
      <c r="A94" s="1"/>
      <c r="B94" s="1"/>
      <c r="C94" s="11"/>
      <c r="D94" s="1"/>
      <c r="E94" s="1"/>
      <c r="F94" s="12"/>
      <c r="G94" s="12"/>
      <c r="H94" s="51"/>
    </row>
    <row r="95" spans="1:9" ht="14.1" customHeight="1" x14ac:dyDescent="0.2">
      <c r="A95" s="1"/>
      <c r="B95" s="1"/>
      <c r="C95" s="2" t="s">
        <v>137</v>
      </c>
      <c r="D95" s="1"/>
      <c r="E95" s="1"/>
      <c r="F95" s="12"/>
      <c r="G95" s="12"/>
      <c r="H95" s="51"/>
    </row>
    <row r="96" spans="1:9" ht="24" customHeight="1" x14ac:dyDescent="0.2">
      <c r="A96" s="1"/>
      <c r="B96" s="1"/>
      <c r="C96" s="2" t="s">
        <v>10</v>
      </c>
      <c r="D96" s="1"/>
      <c r="E96" s="1"/>
      <c r="F96" s="12"/>
      <c r="G96" s="12"/>
      <c r="H96" s="51"/>
    </row>
    <row r="97" spans="1:8" ht="14.1" customHeight="1" x14ac:dyDescent="0.2">
      <c r="A97" s="1"/>
      <c r="B97" s="1"/>
      <c r="C97" s="2" t="s">
        <v>129</v>
      </c>
      <c r="D97" s="1"/>
      <c r="E97" s="1" t="s">
        <v>130</v>
      </c>
      <c r="F97" s="13">
        <v>0</v>
      </c>
      <c r="G97" s="14">
        <v>0</v>
      </c>
      <c r="H97" s="51"/>
    </row>
    <row r="98" spans="1:8" ht="14.1" customHeight="1" x14ac:dyDescent="0.2">
      <c r="A98" s="1"/>
      <c r="B98" s="1"/>
      <c r="C98" s="11"/>
      <c r="D98" s="1"/>
      <c r="E98" s="1"/>
      <c r="F98" s="12"/>
      <c r="G98" s="12"/>
      <c r="H98" s="51"/>
    </row>
    <row r="99" spans="1:8" ht="14.1" customHeight="1" x14ac:dyDescent="0.2">
      <c r="A99" s="1"/>
      <c r="B99" s="1"/>
      <c r="C99" s="2" t="s">
        <v>138</v>
      </c>
      <c r="D99" s="1"/>
      <c r="E99" s="1"/>
      <c r="F99" s="1"/>
      <c r="G99" s="1"/>
      <c r="H99" s="51"/>
    </row>
    <row r="100" spans="1:8" ht="14.1" customHeight="1" x14ac:dyDescent="0.2">
      <c r="A100" s="1"/>
      <c r="B100" s="1"/>
      <c r="C100" s="2" t="s">
        <v>129</v>
      </c>
      <c r="D100" s="1"/>
      <c r="E100" s="1" t="s">
        <v>130</v>
      </c>
      <c r="F100" s="13">
        <v>0</v>
      </c>
      <c r="G100" s="14">
        <v>0</v>
      </c>
      <c r="H100" s="51"/>
    </row>
    <row r="101" spans="1:8" ht="14.1" customHeight="1" x14ac:dyDescent="0.2">
      <c r="A101" s="1"/>
      <c r="B101" s="1"/>
      <c r="C101" s="11"/>
      <c r="D101" s="1"/>
      <c r="E101" s="1"/>
      <c r="F101" s="12"/>
      <c r="G101" s="12"/>
      <c r="H101" s="51"/>
    </row>
    <row r="102" spans="1:8" ht="14.1" customHeight="1" x14ac:dyDescent="0.2">
      <c r="A102" s="1"/>
      <c r="B102" s="1"/>
      <c r="C102" s="2" t="s">
        <v>139</v>
      </c>
      <c r="D102" s="1"/>
      <c r="E102" s="1"/>
      <c r="F102" s="1"/>
      <c r="G102" s="1"/>
      <c r="H102" s="51"/>
    </row>
    <row r="103" spans="1:8" ht="14.1" customHeight="1" x14ac:dyDescent="0.2">
      <c r="A103" s="1"/>
      <c r="B103" s="1"/>
      <c r="C103" s="2" t="s">
        <v>129</v>
      </c>
      <c r="D103" s="1"/>
      <c r="E103" s="1" t="s">
        <v>130</v>
      </c>
      <c r="F103" s="13">
        <v>0</v>
      </c>
      <c r="G103" s="14">
        <v>0</v>
      </c>
      <c r="H103" s="51"/>
    </row>
    <row r="104" spans="1:8" ht="14.1" customHeight="1" x14ac:dyDescent="0.2">
      <c r="A104" s="1"/>
      <c r="B104" s="1"/>
      <c r="C104" s="11"/>
      <c r="D104" s="1"/>
      <c r="E104" s="1"/>
      <c r="F104" s="12"/>
      <c r="G104" s="12"/>
      <c r="H104" s="51"/>
    </row>
    <row r="105" spans="1:8" ht="14.1" customHeight="1" x14ac:dyDescent="0.2">
      <c r="A105" s="1"/>
      <c r="B105" s="1"/>
      <c r="C105" s="2" t="s">
        <v>140</v>
      </c>
      <c r="D105" s="1"/>
      <c r="E105" s="1"/>
      <c r="F105" s="12"/>
      <c r="G105" s="12"/>
      <c r="H105" s="51"/>
    </row>
    <row r="106" spans="1:8" ht="14.1" customHeight="1" x14ac:dyDescent="0.2">
      <c r="A106" s="1"/>
      <c r="B106" s="1"/>
      <c r="C106" s="2" t="s">
        <v>129</v>
      </c>
      <c r="D106" s="1"/>
      <c r="E106" s="1" t="s">
        <v>130</v>
      </c>
      <c r="F106" s="13">
        <v>0</v>
      </c>
      <c r="G106" s="14">
        <v>0</v>
      </c>
      <c r="H106" s="51"/>
    </row>
    <row r="107" spans="1:8" ht="14.1" customHeight="1" x14ac:dyDescent="0.2">
      <c r="A107" s="1"/>
      <c r="B107" s="1"/>
      <c r="C107" s="11"/>
      <c r="D107" s="1"/>
      <c r="E107" s="1"/>
      <c r="F107" s="12"/>
      <c r="G107" s="12"/>
      <c r="H107" s="51"/>
    </row>
    <row r="108" spans="1:8" ht="14.1" customHeight="1" x14ac:dyDescent="0.2">
      <c r="A108" s="1"/>
      <c r="B108" s="1"/>
      <c r="C108" s="2" t="s">
        <v>141</v>
      </c>
      <c r="D108" s="1"/>
      <c r="E108" s="1"/>
      <c r="F108" s="9">
        <v>0</v>
      </c>
      <c r="G108" s="10">
        <v>0</v>
      </c>
      <c r="H108" s="51"/>
    </row>
    <row r="109" spans="1:8" ht="14.1" customHeight="1" x14ac:dyDescent="0.2">
      <c r="A109" s="1"/>
      <c r="B109" s="1"/>
      <c r="C109" s="11"/>
      <c r="D109" s="1"/>
      <c r="E109" s="1"/>
      <c r="F109" s="12"/>
      <c r="G109" s="12"/>
      <c r="H109" s="51"/>
    </row>
    <row r="110" spans="1:8" ht="14.1" customHeight="1" x14ac:dyDescent="0.2">
      <c r="A110" s="1"/>
      <c r="B110" s="1"/>
      <c r="C110" s="2" t="s">
        <v>142</v>
      </c>
      <c r="D110" s="1"/>
      <c r="E110" s="1"/>
      <c r="F110" s="12"/>
      <c r="G110" s="12"/>
      <c r="H110" s="51"/>
    </row>
    <row r="111" spans="1:8" ht="14.1" customHeight="1" x14ac:dyDescent="0.2">
      <c r="A111" s="1"/>
      <c r="B111" s="1"/>
      <c r="C111" s="2" t="s">
        <v>143</v>
      </c>
      <c r="D111" s="1"/>
      <c r="E111" s="1"/>
      <c r="F111" s="12"/>
      <c r="G111" s="12"/>
      <c r="H111" s="51"/>
    </row>
    <row r="112" spans="1:8" ht="14.1" customHeight="1" x14ac:dyDescent="0.2">
      <c r="A112" s="1"/>
      <c r="B112" s="1"/>
      <c r="C112" s="2" t="s">
        <v>129</v>
      </c>
      <c r="D112" s="1"/>
      <c r="E112" s="1" t="s">
        <v>130</v>
      </c>
      <c r="F112" s="13">
        <v>0</v>
      </c>
      <c r="G112" s="14">
        <v>0</v>
      </c>
      <c r="H112" s="51"/>
    </row>
    <row r="113" spans="1:8" ht="14.1" customHeight="1" x14ac:dyDescent="0.2">
      <c r="A113" s="1"/>
      <c r="B113" s="1"/>
      <c r="C113" s="11"/>
      <c r="D113" s="1"/>
      <c r="E113" s="1"/>
      <c r="F113" s="12"/>
      <c r="G113" s="12"/>
      <c r="H113" s="51"/>
    </row>
    <row r="114" spans="1:8" ht="14.1" customHeight="1" x14ac:dyDescent="0.2">
      <c r="A114" s="1"/>
      <c r="B114" s="1"/>
      <c r="C114" s="2" t="s">
        <v>144</v>
      </c>
      <c r="D114" s="1"/>
      <c r="E114" s="1"/>
      <c r="F114" s="12"/>
      <c r="G114" s="12"/>
      <c r="H114" s="51"/>
    </row>
    <row r="115" spans="1:8" ht="14.1" customHeight="1" x14ac:dyDescent="0.2">
      <c r="A115" s="1"/>
      <c r="B115" s="1"/>
      <c r="C115" s="2" t="s">
        <v>129</v>
      </c>
      <c r="D115" s="1"/>
      <c r="E115" s="1" t="s">
        <v>130</v>
      </c>
      <c r="F115" s="13">
        <v>0</v>
      </c>
      <c r="G115" s="14">
        <v>0</v>
      </c>
      <c r="H115" s="51"/>
    </row>
    <row r="116" spans="1:8" ht="14.1" customHeight="1" x14ac:dyDescent="0.2">
      <c r="A116" s="1"/>
      <c r="B116" s="1"/>
      <c r="C116" s="11"/>
      <c r="D116" s="1"/>
      <c r="E116" s="1"/>
      <c r="F116" s="12"/>
      <c r="G116" s="12"/>
      <c r="H116" s="51"/>
    </row>
    <row r="117" spans="1:8" ht="14.1" customHeight="1" x14ac:dyDescent="0.2">
      <c r="A117" s="1"/>
      <c r="B117" s="1"/>
      <c r="C117" s="2" t="s">
        <v>145</v>
      </c>
      <c r="D117" s="1"/>
      <c r="E117" s="1"/>
      <c r="F117" s="12"/>
      <c r="G117" s="12"/>
      <c r="H117" s="51"/>
    </row>
    <row r="118" spans="1:8" ht="14.1" customHeight="1" x14ac:dyDescent="0.2">
      <c r="A118" s="1"/>
      <c r="B118" s="1"/>
      <c r="C118" s="2" t="s">
        <v>129</v>
      </c>
      <c r="D118" s="1"/>
      <c r="E118" s="1" t="s">
        <v>130</v>
      </c>
      <c r="F118" s="13">
        <v>0</v>
      </c>
      <c r="G118" s="14">
        <v>0</v>
      </c>
      <c r="H118" s="51"/>
    </row>
    <row r="119" spans="1:8" ht="14.1" customHeight="1" x14ac:dyDescent="0.2">
      <c r="A119" s="1"/>
      <c r="B119" s="1"/>
      <c r="C119" s="11"/>
      <c r="D119" s="1"/>
      <c r="E119" s="1"/>
      <c r="F119" s="12"/>
      <c r="G119" s="12"/>
      <c r="H119" s="51"/>
    </row>
    <row r="120" spans="1:8" ht="14.1" customHeight="1" x14ac:dyDescent="0.2">
      <c r="A120" s="1"/>
      <c r="B120" s="1"/>
      <c r="C120" s="2" t="s">
        <v>146</v>
      </c>
      <c r="D120" s="1"/>
      <c r="E120" s="1"/>
      <c r="F120" s="12"/>
      <c r="G120" s="12"/>
      <c r="H120" s="51"/>
    </row>
    <row r="121" spans="1:8" ht="17.100000000000001" customHeight="1" x14ac:dyDescent="0.2">
      <c r="A121" s="3">
        <v>1</v>
      </c>
      <c r="B121" s="4"/>
      <c r="C121" s="4" t="s">
        <v>147</v>
      </c>
      <c r="D121" s="4"/>
      <c r="E121" s="8"/>
      <c r="F121" s="6">
        <v>4934.8035966999996</v>
      </c>
      <c r="G121" s="7">
        <v>2.6534768E-2</v>
      </c>
      <c r="H121" s="51">
        <v>6.1245112103248278</v>
      </c>
    </row>
    <row r="122" spans="1:8" ht="14.1" customHeight="1" x14ac:dyDescent="0.2">
      <c r="A122" s="1"/>
      <c r="B122" s="1"/>
      <c r="C122" s="2" t="s">
        <v>129</v>
      </c>
      <c r="D122" s="1"/>
      <c r="E122" s="1" t="s">
        <v>130</v>
      </c>
      <c r="F122" s="9">
        <v>4934.8035966999996</v>
      </c>
      <c r="G122" s="10">
        <v>2.6534768E-2</v>
      </c>
      <c r="H122" s="51"/>
    </row>
    <row r="123" spans="1:8" ht="14.1" customHeight="1" x14ac:dyDescent="0.2">
      <c r="A123" s="1"/>
      <c r="B123" s="1"/>
      <c r="C123" s="11"/>
      <c r="D123" s="1"/>
      <c r="E123" s="1"/>
      <c r="F123" s="12"/>
      <c r="G123" s="12"/>
      <c r="H123" s="51"/>
    </row>
    <row r="124" spans="1:8" ht="14.1" customHeight="1" x14ac:dyDescent="0.2">
      <c r="A124" s="1"/>
      <c r="B124" s="1"/>
      <c r="C124" s="2" t="s">
        <v>148</v>
      </c>
      <c r="D124" s="1"/>
      <c r="E124" s="1"/>
      <c r="F124" s="9">
        <v>4934.8035966999996</v>
      </c>
      <c r="G124" s="10">
        <v>2.6534768E-2</v>
      </c>
      <c r="H124" s="51"/>
    </row>
    <row r="125" spans="1:8" ht="14.1" customHeight="1" x14ac:dyDescent="0.2">
      <c r="A125" s="1"/>
      <c r="B125" s="1"/>
      <c r="C125" s="12"/>
      <c r="D125" s="1"/>
      <c r="E125" s="1"/>
      <c r="F125" s="1"/>
      <c r="G125" s="1"/>
      <c r="H125" s="51"/>
    </row>
    <row r="126" spans="1:8" ht="14.1" customHeight="1" x14ac:dyDescent="0.2">
      <c r="A126" s="1"/>
      <c r="B126" s="1"/>
      <c r="C126" s="2" t="s">
        <v>149</v>
      </c>
      <c r="D126" s="1"/>
      <c r="E126" s="1"/>
      <c r="F126" s="1"/>
      <c r="G126" s="1"/>
      <c r="H126" s="51"/>
    </row>
    <row r="127" spans="1:8" ht="14.1" customHeight="1" x14ac:dyDescent="0.2">
      <c r="A127" s="1"/>
      <c r="B127" s="1"/>
      <c r="C127" s="2" t="s">
        <v>150</v>
      </c>
      <c r="D127" s="1"/>
      <c r="E127" s="1"/>
      <c r="F127" s="1"/>
      <c r="G127" s="1"/>
      <c r="H127" s="51"/>
    </row>
    <row r="128" spans="1:8" ht="14.1" customHeight="1" x14ac:dyDescent="0.2">
      <c r="A128" s="1"/>
      <c r="B128" s="1"/>
      <c r="C128" s="2" t="s">
        <v>129</v>
      </c>
      <c r="D128" s="1"/>
      <c r="E128" s="1" t="s">
        <v>130</v>
      </c>
      <c r="F128" s="13">
        <v>0</v>
      </c>
      <c r="G128" s="14">
        <v>0</v>
      </c>
      <c r="H128" s="51"/>
    </row>
    <row r="129" spans="1:8" ht="14.1" customHeight="1" x14ac:dyDescent="0.2">
      <c r="A129" s="1"/>
      <c r="B129" s="1"/>
      <c r="C129" s="11"/>
      <c r="D129" s="1"/>
      <c r="E129" s="1"/>
      <c r="F129" s="12"/>
      <c r="G129" s="12"/>
      <c r="H129" s="51"/>
    </row>
    <row r="130" spans="1:8" ht="14.1" customHeight="1" x14ac:dyDescent="0.2">
      <c r="A130" s="1"/>
      <c r="B130" s="1"/>
      <c r="C130" s="2" t="s">
        <v>151</v>
      </c>
      <c r="D130" s="1"/>
      <c r="E130" s="1"/>
      <c r="F130" s="1"/>
      <c r="G130" s="1"/>
      <c r="H130" s="51"/>
    </row>
    <row r="131" spans="1:8" ht="14.1" customHeight="1" x14ac:dyDescent="0.2">
      <c r="A131" s="1"/>
      <c r="B131" s="1"/>
      <c r="C131" s="2" t="s">
        <v>152</v>
      </c>
      <c r="D131" s="1"/>
      <c r="E131" s="1"/>
      <c r="F131" s="1"/>
      <c r="G131" s="1"/>
      <c r="H131" s="51"/>
    </row>
    <row r="132" spans="1:8" ht="14.1" customHeight="1" x14ac:dyDescent="0.2">
      <c r="A132" s="1"/>
      <c r="B132" s="1"/>
      <c r="C132" s="2" t="s">
        <v>129</v>
      </c>
      <c r="D132" s="1"/>
      <c r="E132" s="1" t="s">
        <v>130</v>
      </c>
      <c r="F132" s="13">
        <v>0</v>
      </c>
      <c r="G132" s="14">
        <v>0</v>
      </c>
      <c r="H132" s="51"/>
    </row>
    <row r="133" spans="1:8" ht="14.1" customHeight="1" x14ac:dyDescent="0.2">
      <c r="A133" s="1"/>
      <c r="B133" s="1"/>
      <c r="C133" s="11"/>
      <c r="D133" s="1"/>
      <c r="E133" s="1"/>
      <c r="F133" s="12"/>
      <c r="G133" s="12"/>
      <c r="H133" s="51"/>
    </row>
    <row r="134" spans="1:8" ht="14.1" customHeight="1" x14ac:dyDescent="0.2">
      <c r="A134" s="1"/>
      <c r="B134" s="1"/>
      <c r="C134" s="11"/>
      <c r="D134" s="1"/>
      <c r="E134" s="1"/>
      <c r="F134" s="12"/>
      <c r="G134" s="12"/>
      <c r="H134" s="51"/>
    </row>
    <row r="135" spans="1:8" ht="24" customHeight="1" x14ac:dyDescent="0.2">
      <c r="A135" s="1"/>
      <c r="B135" s="1"/>
      <c r="C135" s="2" t="s">
        <v>153</v>
      </c>
      <c r="D135" s="1"/>
      <c r="E135" s="1"/>
      <c r="F135" s="12"/>
      <c r="G135" s="12"/>
      <c r="H135" s="51"/>
    </row>
    <row r="136" spans="1:8" ht="14.1" customHeight="1" x14ac:dyDescent="0.2">
      <c r="A136" s="1"/>
      <c r="B136" s="1"/>
      <c r="C136" s="2" t="s">
        <v>129</v>
      </c>
      <c r="D136" s="1"/>
      <c r="E136" s="1" t="s">
        <v>130</v>
      </c>
      <c r="F136" s="13">
        <v>0</v>
      </c>
      <c r="G136" s="14">
        <v>0</v>
      </c>
      <c r="H136" s="51"/>
    </row>
    <row r="137" spans="1:8" ht="14.1" customHeight="1" x14ac:dyDescent="0.2">
      <c r="A137" s="1"/>
      <c r="B137" s="1"/>
      <c r="C137" s="11"/>
      <c r="D137" s="1"/>
      <c r="E137" s="1"/>
      <c r="F137" s="12"/>
      <c r="G137" s="12"/>
      <c r="H137" s="51"/>
    </row>
    <row r="138" spans="1:8" ht="14.1" customHeight="1" x14ac:dyDescent="0.2">
      <c r="A138" s="1"/>
      <c r="B138" s="4"/>
      <c r="C138" s="4"/>
      <c r="D138" s="2"/>
      <c r="E138" s="1"/>
      <c r="F138" s="4"/>
      <c r="G138" s="8"/>
      <c r="H138" s="51"/>
    </row>
    <row r="139" spans="1:8" ht="18" customHeight="1" x14ac:dyDescent="0.2">
      <c r="A139" s="8"/>
      <c r="B139" s="4"/>
      <c r="C139" s="4" t="s">
        <v>154</v>
      </c>
      <c r="D139" s="4"/>
      <c r="E139" s="8"/>
      <c r="F139" s="6">
        <v>1070.62818629</v>
      </c>
      <c r="G139" s="7">
        <v>5.7568389999999997E-3</v>
      </c>
      <c r="H139" s="51"/>
    </row>
    <row r="140" spans="1:8" ht="14.1" customHeight="1" x14ac:dyDescent="0.2">
      <c r="A140" s="11"/>
      <c r="B140" s="11"/>
      <c r="C140" s="2" t="s">
        <v>155</v>
      </c>
      <c r="D140" s="15"/>
      <c r="E140" s="15"/>
      <c r="F140" s="9">
        <v>185975.00308223508</v>
      </c>
      <c r="G140" s="10">
        <v>1.0000000039999999</v>
      </c>
      <c r="H140" s="51"/>
    </row>
    <row r="141" spans="1:8" ht="14.1" customHeight="1" x14ac:dyDescent="0.2">
      <c r="A141" s="16"/>
      <c r="B141" s="16"/>
      <c r="C141" s="16"/>
      <c r="D141" s="17"/>
      <c r="E141" s="17"/>
      <c r="F141" s="17"/>
      <c r="G141" s="17"/>
    </row>
    <row r="142" spans="1:8" ht="17.100000000000001" customHeight="1" x14ac:dyDescent="0.2">
      <c r="A142" s="18"/>
      <c r="B142" s="327" t="s">
        <v>156</v>
      </c>
      <c r="C142" s="327"/>
      <c r="D142" s="327"/>
      <c r="E142" s="327"/>
      <c r="F142" s="327"/>
      <c r="G142" s="20"/>
    </row>
    <row r="143" spans="1:8" ht="14.1" customHeight="1" x14ac:dyDescent="0.2">
      <c r="A143" s="18"/>
      <c r="B143" s="18"/>
      <c r="C143" s="18"/>
      <c r="D143" s="20"/>
      <c r="E143" s="20"/>
      <c r="F143" s="20"/>
      <c r="G143" s="20"/>
    </row>
    <row r="144" spans="1:8" ht="14.1" customHeight="1" x14ac:dyDescent="0.2">
      <c r="A144" s="18"/>
      <c r="B144" s="325" t="s">
        <v>157</v>
      </c>
      <c r="C144" s="326"/>
      <c r="D144" s="12" t="s">
        <v>130</v>
      </c>
      <c r="E144" s="21"/>
      <c r="F144" s="20"/>
      <c r="G144" s="20"/>
    </row>
    <row r="145" spans="1:7" ht="29.1" customHeight="1" x14ac:dyDescent="0.2">
      <c r="A145" s="18"/>
      <c r="B145" s="318" t="s">
        <v>158</v>
      </c>
      <c r="C145" s="319"/>
      <c r="D145" s="111" t="s">
        <v>980</v>
      </c>
      <c r="E145" s="21"/>
      <c r="F145" s="20"/>
      <c r="G145" s="20"/>
    </row>
    <row r="146" spans="1:7" ht="17.100000000000001" customHeight="1" x14ac:dyDescent="0.2">
      <c r="A146" s="18"/>
      <c r="B146" s="328" t="s">
        <v>983</v>
      </c>
      <c r="C146" s="329"/>
      <c r="D146" s="111" t="s">
        <v>1008</v>
      </c>
      <c r="E146" s="21"/>
      <c r="F146" s="20"/>
      <c r="G146" s="20"/>
    </row>
    <row r="147" spans="1:7" ht="17.100000000000001" customHeight="1" x14ac:dyDescent="0.2">
      <c r="A147" s="18"/>
      <c r="B147" s="318" t="s">
        <v>161</v>
      </c>
      <c r="C147" s="319"/>
      <c r="D147" s="12" t="s">
        <v>130</v>
      </c>
      <c r="E147" s="21"/>
      <c r="F147" s="20"/>
      <c r="G147" s="20"/>
    </row>
    <row r="148" spans="1:7" ht="24" customHeight="1" x14ac:dyDescent="0.2">
      <c r="A148" s="22"/>
      <c r="B148" s="23" t="s">
        <v>130</v>
      </c>
      <c r="C148" s="23" t="s">
        <v>162</v>
      </c>
      <c r="D148" s="23" t="s">
        <v>163</v>
      </c>
      <c r="E148" s="22"/>
      <c r="F148" s="22"/>
      <c r="G148" s="22"/>
    </row>
    <row r="149" spans="1:7" ht="18" customHeight="1" x14ac:dyDescent="0.2">
      <c r="A149" s="22"/>
      <c r="B149" s="23" t="s">
        <v>164</v>
      </c>
      <c r="C149" s="23" t="s">
        <v>165</v>
      </c>
      <c r="D149" s="23" t="s">
        <v>166</v>
      </c>
      <c r="E149" s="22"/>
      <c r="F149" s="22"/>
      <c r="G149" s="22"/>
    </row>
    <row r="150" spans="1:7" ht="17.100000000000001" customHeight="1" x14ac:dyDescent="0.2">
      <c r="A150" s="22"/>
      <c r="B150" s="4" t="s">
        <v>167</v>
      </c>
      <c r="C150" s="24">
        <v>261.97359999999998</v>
      </c>
      <c r="D150" s="24">
        <v>256.71539999999999</v>
      </c>
      <c r="E150" s="22"/>
      <c r="F150" s="19"/>
      <c r="G150" s="25"/>
    </row>
    <row r="151" spans="1:7" ht="29.1" customHeight="1" x14ac:dyDescent="0.2">
      <c r="A151" s="22"/>
      <c r="B151" s="4" t="s">
        <v>1070</v>
      </c>
      <c r="C151" s="24">
        <v>69.661000000000001</v>
      </c>
      <c r="D151" s="24">
        <v>65.756399999999999</v>
      </c>
      <c r="E151" s="22"/>
      <c r="F151" s="19"/>
      <c r="G151" s="25"/>
    </row>
    <row r="152" spans="1:7" ht="17.100000000000001" customHeight="1" x14ac:dyDescent="0.2">
      <c r="A152" s="22"/>
      <c r="B152" s="4" t="s">
        <v>168</v>
      </c>
      <c r="C152" s="24">
        <v>242.93299999999999</v>
      </c>
      <c r="D152" s="24">
        <v>237.83090000000001</v>
      </c>
      <c r="E152" s="22"/>
      <c r="F152" s="19"/>
      <c r="G152" s="25"/>
    </row>
    <row r="153" spans="1:7" ht="29.1" customHeight="1" x14ac:dyDescent="0.2">
      <c r="A153" s="22"/>
      <c r="B153" s="4" t="s">
        <v>1071</v>
      </c>
      <c r="C153" s="24">
        <v>53.332799999999999</v>
      </c>
      <c r="D153" s="24">
        <v>50.294699999999999</v>
      </c>
      <c r="E153" s="22"/>
      <c r="F153" s="19"/>
      <c r="G153" s="25"/>
    </row>
    <row r="154" spans="1:7" ht="14.1" customHeight="1" x14ac:dyDescent="0.2">
      <c r="A154" s="22"/>
      <c r="B154" s="22"/>
      <c r="C154" s="22"/>
      <c r="D154" s="22"/>
      <c r="E154" s="22"/>
      <c r="F154" s="22"/>
      <c r="G154" s="22"/>
    </row>
    <row r="155" spans="1:7" ht="17.100000000000001" customHeight="1" x14ac:dyDescent="0.2">
      <c r="A155" s="22"/>
      <c r="B155" s="318" t="s">
        <v>1069</v>
      </c>
      <c r="C155" s="319"/>
      <c r="D155" s="2" t="s">
        <v>130</v>
      </c>
      <c r="E155" s="22"/>
      <c r="F155" s="22"/>
      <c r="G155" s="22"/>
    </row>
    <row r="156" spans="1:7" ht="18" customHeight="1" x14ac:dyDescent="0.2">
      <c r="A156" s="85"/>
      <c r="B156" s="91" t="s">
        <v>164</v>
      </c>
      <c r="C156" s="92" t="s">
        <v>761</v>
      </c>
      <c r="D156" s="92" t="s">
        <v>760</v>
      </c>
      <c r="E156" s="85"/>
      <c r="F156" s="85"/>
      <c r="G156" s="85"/>
    </row>
    <row r="157" spans="1:7" ht="29.1" customHeight="1" x14ac:dyDescent="0.2">
      <c r="A157" s="22"/>
      <c r="B157" s="61" t="s">
        <v>1070</v>
      </c>
      <c r="C157" s="93">
        <v>2.472</v>
      </c>
      <c r="D157" s="117" t="s">
        <v>837</v>
      </c>
      <c r="E157" s="22"/>
      <c r="F157" s="19"/>
      <c r="G157" s="25"/>
    </row>
    <row r="158" spans="1:7" ht="29.1" customHeight="1" x14ac:dyDescent="0.2">
      <c r="A158" s="22"/>
      <c r="B158" s="61" t="s">
        <v>1071</v>
      </c>
      <c r="C158" s="93">
        <v>1.8919999999999999</v>
      </c>
      <c r="D158" s="93">
        <v>1.8919999999999999</v>
      </c>
      <c r="E158" s="22"/>
      <c r="F158" s="19"/>
      <c r="G158" s="25"/>
    </row>
    <row r="159" spans="1:7" ht="14.1" customHeight="1" x14ac:dyDescent="0.2">
      <c r="A159" s="22"/>
      <c r="B159" s="19"/>
      <c r="C159" s="19"/>
      <c r="D159" s="22"/>
      <c r="E159" s="22"/>
      <c r="F159" s="22"/>
      <c r="G159" s="22"/>
    </row>
    <row r="160" spans="1:7" ht="29.1" customHeight="1" x14ac:dyDescent="0.2">
      <c r="A160" s="22"/>
      <c r="B160" s="318" t="s">
        <v>169</v>
      </c>
      <c r="C160" s="319"/>
      <c r="D160" s="2" t="s">
        <v>159</v>
      </c>
      <c r="E160" s="22"/>
      <c r="F160" s="22"/>
      <c r="G160" s="22"/>
    </row>
    <row r="161" spans="1:7" ht="29.1" customHeight="1" x14ac:dyDescent="0.2">
      <c r="A161" s="22"/>
      <c r="B161" s="318" t="s">
        <v>170</v>
      </c>
      <c r="C161" s="319"/>
      <c r="D161" s="2" t="s">
        <v>159</v>
      </c>
      <c r="E161" s="22"/>
      <c r="F161" s="22"/>
      <c r="G161" s="22"/>
    </row>
    <row r="162" spans="1:7" ht="17.100000000000001" customHeight="1" x14ac:dyDescent="0.2">
      <c r="A162" s="22"/>
      <c r="B162" s="318" t="s">
        <v>171</v>
      </c>
      <c r="C162" s="319"/>
      <c r="D162" s="28">
        <v>0.73688715358382517</v>
      </c>
      <c r="E162" s="22"/>
      <c r="F162" s="19"/>
      <c r="G162" s="25"/>
    </row>
    <row r="163" spans="1:7" ht="17.100000000000001" customHeight="1" x14ac:dyDescent="0.2">
      <c r="A163" s="22"/>
      <c r="B163" s="318" t="s">
        <v>172</v>
      </c>
      <c r="C163" s="319"/>
      <c r="D163" s="2" t="s">
        <v>159</v>
      </c>
      <c r="E163" s="22"/>
      <c r="F163" s="22"/>
      <c r="G163" s="22"/>
    </row>
    <row r="165" spans="1:7" x14ac:dyDescent="0.2">
      <c r="B165" s="147" t="s">
        <v>993</v>
      </c>
    </row>
    <row r="166" spans="1:7" ht="38.25" x14ac:dyDescent="0.2">
      <c r="B166" s="125" t="s">
        <v>973</v>
      </c>
      <c r="C166" s="125" t="s">
        <v>974</v>
      </c>
      <c r="D166" s="125" t="s">
        <v>975</v>
      </c>
      <c r="E166" s="125" t="s">
        <v>976</v>
      </c>
      <c r="F166" s="125" t="s">
        <v>977</v>
      </c>
    </row>
    <row r="167" spans="1:7" x14ac:dyDescent="0.2">
      <c r="B167" s="106" t="s">
        <v>1061</v>
      </c>
      <c r="C167" s="107" t="s">
        <v>979</v>
      </c>
      <c r="D167" s="144">
        <v>0</v>
      </c>
      <c r="E167" s="145">
        <v>0</v>
      </c>
      <c r="F167" s="146">
        <v>29.407129999999999</v>
      </c>
    </row>
  </sheetData>
  <mergeCells count="14">
    <mergeCell ref="A1:H1"/>
    <mergeCell ref="A2:H2"/>
    <mergeCell ref="A3:H3"/>
    <mergeCell ref="J2:N2"/>
    <mergeCell ref="B162:C162"/>
    <mergeCell ref="B144:C144"/>
    <mergeCell ref="B142:F142"/>
    <mergeCell ref="B163:C163"/>
    <mergeCell ref="B145:C145"/>
    <mergeCell ref="B146:C146"/>
    <mergeCell ref="B147:C147"/>
    <mergeCell ref="B155:C155"/>
    <mergeCell ref="B160:C160"/>
    <mergeCell ref="B161:C161"/>
  </mergeCells>
  <hyperlinks>
    <hyperlink ref="I1" location="Index!B30" display="Index" xr:uid="{690620F8-23C4-4C58-A3C4-EC54FA585285}"/>
  </hyperlinks>
  <pageMargins left="5.000000074505806E-2" right="5.000000074505806E-2" top="0.30000001192092896" bottom="0.20000000298023224" header="0" footer="0"/>
  <pageSetup paperSize="9" orientation="landscape" r:id="rId1"/>
  <headerFooter alignWithMargins="0"/>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outlinePr summaryBelow="0" summaryRight="0"/>
  </sheetPr>
  <dimension ref="A1:N19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1083</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29.1" customHeight="1" x14ac:dyDescent="0.2">
      <c r="A7" s="3">
        <v>1</v>
      </c>
      <c r="B7" s="4" t="s">
        <v>652</v>
      </c>
      <c r="C7" s="4" t="s">
        <v>653</v>
      </c>
      <c r="D7" s="4" t="s">
        <v>654</v>
      </c>
      <c r="E7" s="5">
        <v>2258</v>
      </c>
      <c r="F7" s="6">
        <v>78.030834999999996</v>
      </c>
      <c r="G7" s="7">
        <v>1.3885771999999999E-2</v>
      </c>
      <c r="H7" s="51"/>
    </row>
    <row r="8" spans="1:14" ht="17.100000000000001" customHeight="1" x14ac:dyDescent="0.2">
      <c r="A8" s="3">
        <v>2</v>
      </c>
      <c r="B8" s="4" t="s">
        <v>655</v>
      </c>
      <c r="C8" s="4" t="s">
        <v>656</v>
      </c>
      <c r="D8" s="4" t="s">
        <v>28</v>
      </c>
      <c r="E8" s="5">
        <v>2265</v>
      </c>
      <c r="F8" s="6">
        <v>74.51397</v>
      </c>
      <c r="G8" s="7">
        <v>1.3259938000000001E-2</v>
      </c>
      <c r="H8" s="51"/>
    </row>
    <row r="9" spans="1:14" ht="17.100000000000001" customHeight="1" x14ac:dyDescent="0.2">
      <c r="A9" s="3">
        <v>3</v>
      </c>
      <c r="B9" s="4" t="s">
        <v>261</v>
      </c>
      <c r="C9" s="4" t="s">
        <v>262</v>
      </c>
      <c r="D9" s="4" t="s">
        <v>97</v>
      </c>
      <c r="E9" s="5">
        <v>4370</v>
      </c>
      <c r="F9" s="6">
        <v>73.343895000000003</v>
      </c>
      <c r="G9" s="7">
        <v>1.3051719999999999E-2</v>
      </c>
      <c r="H9" s="51"/>
    </row>
    <row r="10" spans="1:14" ht="17.100000000000001" customHeight="1" x14ac:dyDescent="0.2">
      <c r="A10" s="3">
        <v>4</v>
      </c>
      <c r="B10" s="4" t="s">
        <v>338</v>
      </c>
      <c r="C10" s="4" t="s">
        <v>339</v>
      </c>
      <c r="D10" s="4" t="s">
        <v>16</v>
      </c>
      <c r="E10" s="5">
        <v>5976</v>
      </c>
      <c r="F10" s="6">
        <v>70.827551999999997</v>
      </c>
      <c r="G10" s="7">
        <v>1.2603931000000001E-2</v>
      </c>
      <c r="H10" s="51"/>
    </row>
    <row r="11" spans="1:14" ht="29.1" customHeight="1" x14ac:dyDescent="0.2">
      <c r="A11" s="3">
        <v>5</v>
      </c>
      <c r="B11" s="4" t="s">
        <v>86</v>
      </c>
      <c r="C11" s="4" t="s">
        <v>87</v>
      </c>
      <c r="D11" s="4" t="s">
        <v>25</v>
      </c>
      <c r="E11" s="5">
        <v>13475</v>
      </c>
      <c r="F11" s="6">
        <v>69.477099999999993</v>
      </c>
      <c r="G11" s="7">
        <v>1.2363615E-2</v>
      </c>
      <c r="H11" s="51"/>
    </row>
    <row r="12" spans="1:14" ht="17.100000000000001" customHeight="1" x14ac:dyDescent="0.2">
      <c r="A12" s="3">
        <v>6</v>
      </c>
      <c r="B12" s="4" t="s">
        <v>657</v>
      </c>
      <c r="C12" s="4" t="s">
        <v>658</v>
      </c>
      <c r="D12" s="4" t="s">
        <v>97</v>
      </c>
      <c r="E12" s="5">
        <v>1052</v>
      </c>
      <c r="F12" s="6">
        <v>67.230689999999996</v>
      </c>
      <c r="G12" s="7">
        <v>1.1963860999999999E-2</v>
      </c>
      <c r="H12" s="51"/>
    </row>
    <row r="13" spans="1:14" ht="17.100000000000001" customHeight="1" x14ac:dyDescent="0.2">
      <c r="A13" s="3">
        <v>7</v>
      </c>
      <c r="B13" s="4" t="s">
        <v>199</v>
      </c>
      <c r="C13" s="4" t="s">
        <v>200</v>
      </c>
      <c r="D13" s="4" t="s">
        <v>16</v>
      </c>
      <c r="E13" s="5">
        <v>49481</v>
      </c>
      <c r="F13" s="6">
        <v>65.512844000000001</v>
      </c>
      <c r="G13" s="7">
        <v>1.1658165999999999E-2</v>
      </c>
      <c r="H13" s="51"/>
      <c r="J13" s="157" t="s">
        <v>1111</v>
      </c>
    </row>
    <row r="14" spans="1:14" ht="17.100000000000001" customHeight="1" x14ac:dyDescent="0.2">
      <c r="A14" s="3">
        <v>8</v>
      </c>
      <c r="B14" s="4" t="s">
        <v>355</v>
      </c>
      <c r="C14" s="4" t="s">
        <v>356</v>
      </c>
      <c r="D14" s="4" t="s">
        <v>189</v>
      </c>
      <c r="E14" s="5">
        <v>1474</v>
      </c>
      <c r="F14" s="6">
        <v>64.657747000000001</v>
      </c>
      <c r="G14" s="7">
        <v>1.1505998999999999E-2</v>
      </c>
      <c r="H14" s="51"/>
    </row>
    <row r="15" spans="1:14" ht="17.100000000000001" customHeight="1" x14ac:dyDescent="0.2">
      <c r="A15" s="3">
        <v>9</v>
      </c>
      <c r="B15" s="4" t="s">
        <v>349</v>
      </c>
      <c r="C15" s="4" t="s">
        <v>350</v>
      </c>
      <c r="D15" s="4" t="s">
        <v>97</v>
      </c>
      <c r="E15" s="5">
        <v>878</v>
      </c>
      <c r="F15" s="6">
        <v>64.407884999999993</v>
      </c>
      <c r="G15" s="7">
        <v>1.1461536E-2</v>
      </c>
      <c r="H15" s="51"/>
    </row>
    <row r="16" spans="1:14" ht="17.100000000000001" customHeight="1" x14ac:dyDescent="0.2">
      <c r="A16" s="3">
        <v>10</v>
      </c>
      <c r="B16" s="4" t="s">
        <v>584</v>
      </c>
      <c r="C16" s="4" t="s">
        <v>585</v>
      </c>
      <c r="D16" s="4" t="s">
        <v>69</v>
      </c>
      <c r="E16" s="5">
        <v>1719</v>
      </c>
      <c r="F16" s="6">
        <v>63.114803999999999</v>
      </c>
      <c r="G16" s="7">
        <v>1.1231428999999999E-2</v>
      </c>
      <c r="H16" s="51"/>
    </row>
    <row r="17" spans="1:8" ht="17.100000000000001" customHeight="1" x14ac:dyDescent="0.2">
      <c r="A17" s="3">
        <v>11</v>
      </c>
      <c r="B17" s="4" t="s">
        <v>374</v>
      </c>
      <c r="C17" s="4" t="s">
        <v>375</v>
      </c>
      <c r="D17" s="4" t="s">
        <v>104</v>
      </c>
      <c r="E17" s="5">
        <v>2387</v>
      </c>
      <c r="F17" s="6">
        <v>62.2278965</v>
      </c>
      <c r="G17" s="7">
        <v>1.1073602E-2</v>
      </c>
      <c r="H17" s="51"/>
    </row>
    <row r="18" spans="1:8" ht="29.1" customHeight="1" x14ac:dyDescent="0.2">
      <c r="A18" s="3">
        <v>12</v>
      </c>
      <c r="B18" s="4" t="s">
        <v>659</v>
      </c>
      <c r="C18" s="4" t="s">
        <v>660</v>
      </c>
      <c r="D18" s="4" t="s">
        <v>184</v>
      </c>
      <c r="E18" s="5">
        <v>2285</v>
      </c>
      <c r="F18" s="6">
        <v>61.473354999999998</v>
      </c>
      <c r="G18" s="7">
        <v>1.0939328999999999E-2</v>
      </c>
      <c r="H18" s="51"/>
    </row>
    <row r="19" spans="1:8" ht="17.100000000000001" customHeight="1" x14ac:dyDescent="0.2">
      <c r="A19" s="3">
        <v>13</v>
      </c>
      <c r="B19" s="4" t="s">
        <v>661</v>
      </c>
      <c r="C19" s="4" t="s">
        <v>662</v>
      </c>
      <c r="D19" s="4" t="s">
        <v>16</v>
      </c>
      <c r="E19" s="5">
        <v>166938</v>
      </c>
      <c r="F19" s="6">
        <v>61.015839</v>
      </c>
      <c r="G19" s="7">
        <v>1.0857913E-2</v>
      </c>
      <c r="H19" s="51"/>
    </row>
    <row r="20" spans="1:8" ht="29.1" customHeight="1" x14ac:dyDescent="0.2">
      <c r="A20" s="3">
        <v>14</v>
      </c>
      <c r="B20" s="4" t="s">
        <v>663</v>
      </c>
      <c r="C20" s="4" t="s">
        <v>664</v>
      </c>
      <c r="D20" s="4" t="s">
        <v>25</v>
      </c>
      <c r="E20" s="5">
        <v>3636</v>
      </c>
      <c r="F20" s="6">
        <v>60.897545999999998</v>
      </c>
      <c r="G20" s="7">
        <v>1.0836863E-2</v>
      </c>
      <c r="H20" s="51"/>
    </row>
    <row r="21" spans="1:8" ht="17.100000000000001" customHeight="1" x14ac:dyDescent="0.2">
      <c r="A21" s="3">
        <v>15</v>
      </c>
      <c r="B21" s="4" t="s">
        <v>665</v>
      </c>
      <c r="C21" s="4" t="s">
        <v>666</v>
      </c>
      <c r="D21" s="4" t="s">
        <v>104</v>
      </c>
      <c r="E21" s="5">
        <v>4467</v>
      </c>
      <c r="F21" s="6">
        <v>60.239728499999998</v>
      </c>
      <c r="G21" s="7">
        <v>1.0719803E-2</v>
      </c>
      <c r="H21" s="51"/>
    </row>
    <row r="22" spans="1:8" ht="17.100000000000001" customHeight="1" x14ac:dyDescent="0.2">
      <c r="A22" s="3">
        <v>16</v>
      </c>
      <c r="B22" s="4" t="s">
        <v>321</v>
      </c>
      <c r="C22" s="4" t="s">
        <v>322</v>
      </c>
      <c r="D22" s="4" t="s">
        <v>310</v>
      </c>
      <c r="E22" s="5">
        <v>18102</v>
      </c>
      <c r="F22" s="6">
        <v>60.134844000000001</v>
      </c>
      <c r="G22" s="7">
        <v>1.0701138000000001E-2</v>
      </c>
      <c r="H22" s="51"/>
    </row>
    <row r="23" spans="1:8" ht="17.100000000000001" customHeight="1" x14ac:dyDescent="0.2">
      <c r="A23" s="3">
        <v>17</v>
      </c>
      <c r="B23" s="4" t="s">
        <v>11</v>
      </c>
      <c r="C23" s="4" t="s">
        <v>12</v>
      </c>
      <c r="D23" s="4" t="s">
        <v>13</v>
      </c>
      <c r="E23" s="5">
        <v>3252</v>
      </c>
      <c r="F23" s="6">
        <v>60.087204</v>
      </c>
      <c r="G23" s="7">
        <v>1.069266E-2</v>
      </c>
      <c r="H23" s="51"/>
    </row>
    <row r="24" spans="1:8" ht="17.100000000000001" customHeight="1" x14ac:dyDescent="0.2">
      <c r="A24" s="3">
        <v>18</v>
      </c>
      <c r="B24" s="4" t="s">
        <v>14</v>
      </c>
      <c r="C24" s="4" t="s">
        <v>15</v>
      </c>
      <c r="D24" s="4" t="s">
        <v>16</v>
      </c>
      <c r="E24" s="5">
        <v>6845</v>
      </c>
      <c r="F24" s="6">
        <v>59.003900000000002</v>
      </c>
      <c r="G24" s="7">
        <v>1.0499883999999999E-2</v>
      </c>
      <c r="H24" s="51"/>
    </row>
    <row r="25" spans="1:8" ht="29.1" customHeight="1" x14ac:dyDescent="0.2">
      <c r="A25" s="3">
        <v>19</v>
      </c>
      <c r="B25" s="4" t="s">
        <v>488</v>
      </c>
      <c r="C25" s="4" t="s">
        <v>489</v>
      </c>
      <c r="D25" s="4" t="s">
        <v>203</v>
      </c>
      <c r="E25" s="5">
        <v>5281</v>
      </c>
      <c r="F25" s="6">
        <v>58.880509500000002</v>
      </c>
      <c r="G25" s="7">
        <v>1.0477926E-2</v>
      </c>
      <c r="H25" s="51"/>
    </row>
    <row r="26" spans="1:8" ht="29.1" customHeight="1" x14ac:dyDescent="0.2">
      <c r="A26" s="3">
        <v>20</v>
      </c>
      <c r="B26" s="4" t="s">
        <v>58</v>
      </c>
      <c r="C26" s="4" t="s">
        <v>59</v>
      </c>
      <c r="D26" s="4" t="s">
        <v>60</v>
      </c>
      <c r="E26" s="5">
        <v>7162</v>
      </c>
      <c r="F26" s="6">
        <v>58.774952999999996</v>
      </c>
      <c r="G26" s="7">
        <v>1.0459141999999999E-2</v>
      </c>
      <c r="H26" s="51"/>
    </row>
    <row r="27" spans="1:8" ht="17.100000000000001" customHeight="1" x14ac:dyDescent="0.2">
      <c r="A27" s="3">
        <v>21</v>
      </c>
      <c r="B27" s="4" t="s">
        <v>667</v>
      </c>
      <c r="C27" s="4" t="s">
        <v>668</v>
      </c>
      <c r="D27" s="4" t="s">
        <v>97</v>
      </c>
      <c r="E27" s="5">
        <v>6430</v>
      </c>
      <c r="F27" s="6">
        <v>58.738050000000001</v>
      </c>
      <c r="G27" s="7">
        <v>1.0452575E-2</v>
      </c>
      <c r="H27" s="51"/>
    </row>
    <row r="28" spans="1:8" ht="17.100000000000001" customHeight="1" x14ac:dyDescent="0.2">
      <c r="A28" s="3">
        <v>22</v>
      </c>
      <c r="B28" s="4" t="s">
        <v>17</v>
      </c>
      <c r="C28" s="4" t="s">
        <v>18</v>
      </c>
      <c r="D28" s="4" t="s">
        <v>19</v>
      </c>
      <c r="E28" s="5">
        <v>7300</v>
      </c>
      <c r="F28" s="6">
        <v>58.392699999999998</v>
      </c>
      <c r="G28" s="7">
        <v>1.0391119000000001E-2</v>
      </c>
      <c r="H28" s="51"/>
    </row>
    <row r="29" spans="1:8" ht="17.100000000000001" customHeight="1" x14ac:dyDescent="0.2">
      <c r="A29" s="3">
        <v>23</v>
      </c>
      <c r="B29" s="4" t="s">
        <v>669</v>
      </c>
      <c r="C29" s="4" t="s">
        <v>670</v>
      </c>
      <c r="D29" s="4" t="s">
        <v>671</v>
      </c>
      <c r="E29" s="5">
        <v>21586</v>
      </c>
      <c r="F29" s="6">
        <v>58.292993000000003</v>
      </c>
      <c r="G29" s="7">
        <v>1.0373376E-2</v>
      </c>
      <c r="H29" s="51"/>
    </row>
    <row r="30" spans="1:8" ht="17.100000000000001" customHeight="1" x14ac:dyDescent="0.2">
      <c r="A30" s="3">
        <v>24</v>
      </c>
      <c r="B30" s="4" t="s">
        <v>115</v>
      </c>
      <c r="C30" s="4" t="s">
        <v>116</v>
      </c>
      <c r="D30" s="4" t="s">
        <v>117</v>
      </c>
      <c r="E30" s="5">
        <v>14913</v>
      </c>
      <c r="F30" s="6">
        <v>58.242721500000002</v>
      </c>
      <c r="G30" s="7">
        <v>1.0364430000000001E-2</v>
      </c>
      <c r="H30" s="51"/>
    </row>
    <row r="31" spans="1:8" ht="17.100000000000001" customHeight="1" x14ac:dyDescent="0.2">
      <c r="A31" s="3">
        <v>25</v>
      </c>
      <c r="B31" s="4" t="s">
        <v>559</v>
      </c>
      <c r="C31" s="4" t="s">
        <v>560</v>
      </c>
      <c r="D31" s="4" t="s">
        <v>104</v>
      </c>
      <c r="E31" s="5">
        <v>1734</v>
      </c>
      <c r="F31" s="6">
        <v>57.958083000000002</v>
      </c>
      <c r="G31" s="7">
        <v>1.0313777999999999E-2</v>
      </c>
      <c r="H31" s="51"/>
    </row>
    <row r="32" spans="1:8" ht="17.100000000000001" customHeight="1" x14ac:dyDescent="0.2">
      <c r="A32" s="3">
        <v>26</v>
      </c>
      <c r="B32" s="4" t="s">
        <v>76</v>
      </c>
      <c r="C32" s="4" t="s">
        <v>77</v>
      </c>
      <c r="D32" s="4" t="s">
        <v>36</v>
      </c>
      <c r="E32" s="5">
        <v>2079</v>
      </c>
      <c r="F32" s="6">
        <v>57.604931999999998</v>
      </c>
      <c r="G32" s="7">
        <v>1.0250934E-2</v>
      </c>
      <c r="H32" s="51"/>
    </row>
    <row r="33" spans="1:8" ht="17.100000000000001" customHeight="1" x14ac:dyDescent="0.2">
      <c r="A33" s="3">
        <v>27</v>
      </c>
      <c r="B33" s="4" t="s">
        <v>26</v>
      </c>
      <c r="C33" s="4" t="s">
        <v>27</v>
      </c>
      <c r="D33" s="4" t="s">
        <v>28</v>
      </c>
      <c r="E33" s="5">
        <v>35898</v>
      </c>
      <c r="F33" s="6">
        <v>57.311157000000001</v>
      </c>
      <c r="G33" s="7">
        <v>1.0198656E-2</v>
      </c>
      <c r="H33" s="51"/>
    </row>
    <row r="34" spans="1:8" ht="29.1" customHeight="1" x14ac:dyDescent="0.2">
      <c r="A34" s="3">
        <v>28</v>
      </c>
      <c r="B34" s="4" t="s">
        <v>95</v>
      </c>
      <c r="C34" s="4" t="s">
        <v>96</v>
      </c>
      <c r="D34" s="4" t="s">
        <v>97</v>
      </c>
      <c r="E34" s="5">
        <v>7825</v>
      </c>
      <c r="F34" s="6">
        <v>57.294649999999997</v>
      </c>
      <c r="G34" s="7">
        <v>1.0195719000000001E-2</v>
      </c>
      <c r="H34" s="51"/>
    </row>
    <row r="35" spans="1:8" ht="17.100000000000001" customHeight="1" x14ac:dyDescent="0.2">
      <c r="A35" s="3">
        <v>29</v>
      </c>
      <c r="B35" s="4" t="s">
        <v>672</v>
      </c>
      <c r="C35" s="4" t="s">
        <v>673</v>
      </c>
      <c r="D35" s="4" t="s">
        <v>674</v>
      </c>
      <c r="E35" s="5">
        <v>26819</v>
      </c>
      <c r="F35" s="6">
        <v>56.923327499999999</v>
      </c>
      <c r="G35" s="7">
        <v>1.0129641E-2</v>
      </c>
      <c r="H35" s="51"/>
    </row>
    <row r="36" spans="1:8" ht="17.100000000000001" customHeight="1" x14ac:dyDescent="0.2">
      <c r="A36" s="3">
        <v>30</v>
      </c>
      <c r="B36" s="4" t="s">
        <v>311</v>
      </c>
      <c r="C36" s="4" t="s">
        <v>312</v>
      </c>
      <c r="D36" s="4" t="s">
        <v>69</v>
      </c>
      <c r="E36" s="5">
        <v>4487</v>
      </c>
      <c r="F36" s="6">
        <v>56.904133999999999</v>
      </c>
      <c r="G36" s="7">
        <v>1.0126226E-2</v>
      </c>
      <c r="H36" s="51"/>
    </row>
    <row r="37" spans="1:8" ht="17.100000000000001" customHeight="1" x14ac:dyDescent="0.2">
      <c r="A37" s="3">
        <v>31</v>
      </c>
      <c r="B37" s="4" t="s">
        <v>300</v>
      </c>
      <c r="C37" s="4" t="s">
        <v>301</v>
      </c>
      <c r="D37" s="4" t="s">
        <v>235</v>
      </c>
      <c r="E37" s="5">
        <v>4550</v>
      </c>
      <c r="F37" s="6">
        <v>56.895474999999998</v>
      </c>
      <c r="G37" s="7">
        <v>1.0124685E-2</v>
      </c>
      <c r="H37" s="51"/>
    </row>
    <row r="38" spans="1:8" ht="17.100000000000001" customHeight="1" x14ac:dyDescent="0.2">
      <c r="A38" s="3">
        <v>32</v>
      </c>
      <c r="B38" s="4" t="s">
        <v>308</v>
      </c>
      <c r="C38" s="4" t="s">
        <v>309</v>
      </c>
      <c r="D38" s="4" t="s">
        <v>310</v>
      </c>
      <c r="E38" s="5">
        <v>2109</v>
      </c>
      <c r="F38" s="6">
        <v>56.868130499999999</v>
      </c>
      <c r="G38" s="7">
        <v>1.0119819E-2</v>
      </c>
      <c r="H38" s="51"/>
    </row>
    <row r="39" spans="1:8" ht="17.100000000000001" customHeight="1" x14ac:dyDescent="0.2">
      <c r="A39" s="3">
        <v>33</v>
      </c>
      <c r="B39" s="4" t="s">
        <v>195</v>
      </c>
      <c r="C39" s="4" t="s">
        <v>196</v>
      </c>
      <c r="D39" s="4" t="s">
        <v>16</v>
      </c>
      <c r="E39" s="5">
        <v>7750</v>
      </c>
      <c r="F39" s="6">
        <v>56.823</v>
      </c>
      <c r="G39" s="7">
        <v>1.0111788E-2</v>
      </c>
      <c r="H39" s="51"/>
    </row>
    <row r="40" spans="1:8" ht="17.100000000000001" customHeight="1" x14ac:dyDescent="0.2">
      <c r="A40" s="3">
        <v>34</v>
      </c>
      <c r="B40" s="4" t="s">
        <v>675</v>
      </c>
      <c r="C40" s="4" t="s">
        <v>676</v>
      </c>
      <c r="D40" s="4" t="s">
        <v>677</v>
      </c>
      <c r="E40" s="5">
        <v>44437</v>
      </c>
      <c r="F40" s="6">
        <v>56.7682675</v>
      </c>
      <c r="G40" s="7">
        <v>1.0102048000000001E-2</v>
      </c>
      <c r="H40" s="51"/>
    </row>
    <row r="41" spans="1:8" ht="17.100000000000001" customHeight="1" x14ac:dyDescent="0.2">
      <c r="A41" s="3">
        <v>35</v>
      </c>
      <c r="B41" s="4" t="s">
        <v>41</v>
      </c>
      <c r="C41" s="4" t="s">
        <v>42</v>
      </c>
      <c r="D41" s="4" t="s">
        <v>16</v>
      </c>
      <c r="E41" s="5">
        <v>10691</v>
      </c>
      <c r="F41" s="6">
        <v>56.726446000000003</v>
      </c>
      <c r="G41" s="7">
        <v>1.0094606000000001E-2</v>
      </c>
      <c r="H41" s="51"/>
    </row>
    <row r="42" spans="1:8" ht="17.100000000000001" customHeight="1" x14ac:dyDescent="0.2">
      <c r="A42" s="3">
        <v>36</v>
      </c>
      <c r="B42" s="4" t="s">
        <v>206</v>
      </c>
      <c r="C42" s="4" t="s">
        <v>207</v>
      </c>
      <c r="D42" s="4" t="s">
        <v>208</v>
      </c>
      <c r="E42" s="5">
        <v>1294</v>
      </c>
      <c r="F42" s="6">
        <v>56.721195999999999</v>
      </c>
      <c r="G42" s="7">
        <v>1.0093671E-2</v>
      </c>
      <c r="H42" s="51"/>
    </row>
    <row r="43" spans="1:8" ht="17.100000000000001" customHeight="1" x14ac:dyDescent="0.2">
      <c r="A43" s="3">
        <v>37</v>
      </c>
      <c r="B43" s="4" t="s">
        <v>246</v>
      </c>
      <c r="C43" s="4" t="s">
        <v>247</v>
      </c>
      <c r="D43" s="4" t="s">
        <v>248</v>
      </c>
      <c r="E43" s="5">
        <v>9100</v>
      </c>
      <c r="F43" s="6">
        <v>56.665700000000001</v>
      </c>
      <c r="G43" s="7">
        <v>1.0083796000000001E-2</v>
      </c>
      <c r="H43" s="51"/>
    </row>
    <row r="44" spans="1:8" ht="29.1" customHeight="1" x14ac:dyDescent="0.2">
      <c r="A44" s="3">
        <v>38</v>
      </c>
      <c r="B44" s="4" t="s">
        <v>211</v>
      </c>
      <c r="C44" s="4" t="s">
        <v>212</v>
      </c>
      <c r="D44" s="4" t="s">
        <v>213</v>
      </c>
      <c r="E44" s="5">
        <v>1883</v>
      </c>
      <c r="F44" s="6">
        <v>56.458930500000001</v>
      </c>
      <c r="G44" s="7">
        <v>1.0047001E-2</v>
      </c>
      <c r="H44" s="51"/>
    </row>
    <row r="45" spans="1:8" ht="17.100000000000001" customHeight="1" x14ac:dyDescent="0.2">
      <c r="A45" s="3">
        <v>39</v>
      </c>
      <c r="B45" s="4" t="s">
        <v>342</v>
      </c>
      <c r="C45" s="4" t="s">
        <v>343</v>
      </c>
      <c r="D45" s="4" t="s">
        <v>232</v>
      </c>
      <c r="E45" s="5">
        <v>56800</v>
      </c>
      <c r="F45" s="6">
        <v>56.4024</v>
      </c>
      <c r="G45" s="7">
        <v>1.0036941000000001E-2</v>
      </c>
      <c r="H45" s="51"/>
    </row>
    <row r="46" spans="1:8" ht="29.1" customHeight="1" x14ac:dyDescent="0.2">
      <c r="A46" s="3">
        <v>40</v>
      </c>
      <c r="B46" s="4" t="s">
        <v>678</v>
      </c>
      <c r="C46" s="4" t="s">
        <v>679</v>
      </c>
      <c r="D46" s="4" t="s">
        <v>25</v>
      </c>
      <c r="E46" s="5">
        <v>2331</v>
      </c>
      <c r="F46" s="6">
        <v>56.308801500000001</v>
      </c>
      <c r="G46" s="7">
        <v>1.0020285E-2</v>
      </c>
      <c r="H46" s="51"/>
    </row>
    <row r="47" spans="1:8" ht="17.100000000000001" customHeight="1" x14ac:dyDescent="0.2">
      <c r="A47" s="3">
        <v>41</v>
      </c>
      <c r="B47" s="4" t="s">
        <v>680</v>
      </c>
      <c r="C47" s="4" t="s">
        <v>681</v>
      </c>
      <c r="D47" s="4" t="s">
        <v>284</v>
      </c>
      <c r="E47" s="5">
        <v>6143</v>
      </c>
      <c r="F47" s="6">
        <v>55.928943500000003</v>
      </c>
      <c r="G47" s="7">
        <v>9.9526879999999995E-3</v>
      </c>
      <c r="H47" s="51"/>
    </row>
    <row r="48" spans="1:8" ht="17.100000000000001" customHeight="1" x14ac:dyDescent="0.2">
      <c r="A48" s="3">
        <v>42</v>
      </c>
      <c r="B48" s="4" t="s">
        <v>682</v>
      </c>
      <c r="C48" s="4" t="s">
        <v>683</v>
      </c>
      <c r="D48" s="4" t="s">
        <v>51</v>
      </c>
      <c r="E48" s="5">
        <v>3005</v>
      </c>
      <c r="F48" s="6">
        <v>55.751764999999999</v>
      </c>
      <c r="G48" s="7">
        <v>9.9211590000000006E-3</v>
      </c>
      <c r="H48" s="51"/>
    </row>
    <row r="49" spans="1:8" ht="29.1" customHeight="1" x14ac:dyDescent="0.2">
      <c r="A49" s="3">
        <v>43</v>
      </c>
      <c r="B49" s="4" t="s">
        <v>23</v>
      </c>
      <c r="C49" s="4" t="s">
        <v>24</v>
      </c>
      <c r="D49" s="4" t="s">
        <v>25</v>
      </c>
      <c r="E49" s="5">
        <v>891</v>
      </c>
      <c r="F49" s="6">
        <v>55.732940999999997</v>
      </c>
      <c r="G49" s="7">
        <v>9.9178089999999997E-3</v>
      </c>
      <c r="H49" s="51"/>
    </row>
    <row r="50" spans="1:8" ht="29.1" customHeight="1" x14ac:dyDescent="0.2">
      <c r="A50" s="3">
        <v>44</v>
      </c>
      <c r="B50" s="4" t="s">
        <v>304</v>
      </c>
      <c r="C50" s="4" t="s">
        <v>305</v>
      </c>
      <c r="D50" s="4" t="s">
        <v>203</v>
      </c>
      <c r="E50" s="5">
        <v>5874</v>
      </c>
      <c r="F50" s="6">
        <v>55.723700999999998</v>
      </c>
      <c r="G50" s="7">
        <v>9.9161649999999994E-3</v>
      </c>
      <c r="H50" s="51"/>
    </row>
    <row r="51" spans="1:8" ht="17.100000000000001" customHeight="1" x14ac:dyDescent="0.2">
      <c r="A51" s="3">
        <v>45</v>
      </c>
      <c r="B51" s="4" t="s">
        <v>684</v>
      </c>
      <c r="C51" s="4" t="s">
        <v>685</v>
      </c>
      <c r="D51" s="4" t="s">
        <v>92</v>
      </c>
      <c r="E51" s="5">
        <v>15549</v>
      </c>
      <c r="F51" s="6">
        <v>55.463282999999997</v>
      </c>
      <c r="G51" s="7">
        <v>9.8698229999999998E-3</v>
      </c>
      <c r="H51" s="51"/>
    </row>
    <row r="52" spans="1:8" ht="17.100000000000001" customHeight="1" x14ac:dyDescent="0.2">
      <c r="A52" s="3">
        <v>46</v>
      </c>
      <c r="B52" s="4" t="s">
        <v>582</v>
      </c>
      <c r="C52" s="4" t="s">
        <v>583</v>
      </c>
      <c r="D52" s="4" t="s">
        <v>260</v>
      </c>
      <c r="E52" s="5">
        <v>1430</v>
      </c>
      <c r="F52" s="6">
        <v>54.955615000000002</v>
      </c>
      <c r="G52" s="7">
        <v>9.7794820000000008E-3</v>
      </c>
      <c r="H52" s="51"/>
    </row>
    <row r="53" spans="1:8" ht="17.100000000000001" customHeight="1" x14ac:dyDescent="0.2">
      <c r="A53" s="3">
        <v>47</v>
      </c>
      <c r="B53" s="4" t="s">
        <v>686</v>
      </c>
      <c r="C53" s="4" t="s">
        <v>687</v>
      </c>
      <c r="D53" s="4" t="s">
        <v>260</v>
      </c>
      <c r="E53" s="5">
        <v>287</v>
      </c>
      <c r="F53" s="6">
        <v>54.945576000000003</v>
      </c>
      <c r="G53" s="7">
        <v>9.7776960000000007E-3</v>
      </c>
      <c r="H53" s="51"/>
    </row>
    <row r="54" spans="1:8" ht="29.1" customHeight="1" x14ac:dyDescent="0.2">
      <c r="A54" s="3">
        <v>48</v>
      </c>
      <c r="B54" s="4" t="s">
        <v>88</v>
      </c>
      <c r="C54" s="4" t="s">
        <v>89</v>
      </c>
      <c r="D54" s="4" t="s">
        <v>25</v>
      </c>
      <c r="E54" s="5">
        <v>261</v>
      </c>
      <c r="F54" s="6">
        <v>54.896391000000001</v>
      </c>
      <c r="G54" s="7">
        <v>9.7689430000000004E-3</v>
      </c>
      <c r="H54" s="51"/>
    </row>
    <row r="55" spans="1:8" ht="29.1" customHeight="1" x14ac:dyDescent="0.2">
      <c r="A55" s="3">
        <v>49</v>
      </c>
      <c r="B55" s="4" t="s">
        <v>365</v>
      </c>
      <c r="C55" s="4" t="s">
        <v>366</v>
      </c>
      <c r="D55" s="4" t="s">
        <v>367</v>
      </c>
      <c r="E55" s="5">
        <v>6826</v>
      </c>
      <c r="F55" s="6">
        <v>54.802540999999998</v>
      </c>
      <c r="G55" s="7">
        <v>9.7522419999999995E-3</v>
      </c>
      <c r="H55" s="51"/>
    </row>
    <row r="56" spans="1:8" ht="17.100000000000001" customHeight="1" x14ac:dyDescent="0.2">
      <c r="A56" s="3">
        <v>50</v>
      </c>
      <c r="B56" s="4" t="s">
        <v>688</v>
      </c>
      <c r="C56" s="4" t="s">
        <v>689</v>
      </c>
      <c r="D56" s="4" t="s">
        <v>284</v>
      </c>
      <c r="E56" s="5">
        <v>9554</v>
      </c>
      <c r="F56" s="6">
        <v>54.739643000000001</v>
      </c>
      <c r="G56" s="7">
        <v>9.7410489999999999E-3</v>
      </c>
      <c r="H56" s="51"/>
    </row>
    <row r="57" spans="1:8" ht="17.100000000000001" customHeight="1" x14ac:dyDescent="0.2">
      <c r="A57" s="3">
        <v>51</v>
      </c>
      <c r="B57" s="4" t="s">
        <v>690</v>
      </c>
      <c r="C57" s="4" t="s">
        <v>691</v>
      </c>
      <c r="D57" s="4" t="s">
        <v>232</v>
      </c>
      <c r="E57" s="5">
        <v>8630</v>
      </c>
      <c r="F57" s="6">
        <v>54.511395</v>
      </c>
      <c r="G57" s="7">
        <v>9.7004320000000002E-3</v>
      </c>
      <c r="H57" s="51"/>
    </row>
    <row r="58" spans="1:8" ht="17.100000000000001" customHeight="1" x14ac:dyDescent="0.2">
      <c r="A58" s="3">
        <v>52</v>
      </c>
      <c r="B58" s="4" t="s">
        <v>692</v>
      </c>
      <c r="C58" s="4" t="s">
        <v>693</v>
      </c>
      <c r="D58" s="4" t="s">
        <v>284</v>
      </c>
      <c r="E58" s="5">
        <v>10135</v>
      </c>
      <c r="F58" s="6">
        <v>54.511097499999998</v>
      </c>
      <c r="G58" s="7">
        <v>9.7003790000000003E-3</v>
      </c>
      <c r="H58" s="51"/>
    </row>
    <row r="59" spans="1:8" ht="17.100000000000001" customHeight="1" x14ac:dyDescent="0.2">
      <c r="A59" s="3">
        <v>53</v>
      </c>
      <c r="B59" s="4" t="s">
        <v>694</v>
      </c>
      <c r="C59" s="4" t="s">
        <v>695</v>
      </c>
      <c r="D59" s="4" t="s">
        <v>232</v>
      </c>
      <c r="E59" s="5">
        <v>70883</v>
      </c>
      <c r="F59" s="6">
        <v>54.402702499999997</v>
      </c>
      <c r="G59" s="7">
        <v>9.6810899999999998E-3</v>
      </c>
      <c r="H59" s="51"/>
    </row>
    <row r="60" spans="1:8" ht="17.100000000000001" customHeight="1" x14ac:dyDescent="0.2">
      <c r="A60" s="3">
        <v>54</v>
      </c>
      <c r="B60" s="4" t="s">
        <v>696</v>
      </c>
      <c r="C60" s="4" t="s">
        <v>697</v>
      </c>
      <c r="D60" s="4" t="s">
        <v>28</v>
      </c>
      <c r="E60" s="5">
        <v>2404</v>
      </c>
      <c r="F60" s="6">
        <v>54.349632</v>
      </c>
      <c r="G60" s="7">
        <v>9.6716460000000008E-3</v>
      </c>
      <c r="H60" s="51"/>
    </row>
    <row r="61" spans="1:8" ht="29.1" customHeight="1" x14ac:dyDescent="0.2">
      <c r="A61" s="3">
        <v>55</v>
      </c>
      <c r="B61" s="4" t="s">
        <v>193</v>
      </c>
      <c r="C61" s="4" t="s">
        <v>194</v>
      </c>
      <c r="D61" s="4" t="s">
        <v>184</v>
      </c>
      <c r="E61" s="5">
        <v>2157</v>
      </c>
      <c r="F61" s="6">
        <v>53.999416500000002</v>
      </c>
      <c r="G61" s="7">
        <v>9.6093240000000007E-3</v>
      </c>
      <c r="H61" s="51"/>
    </row>
    <row r="62" spans="1:8" ht="29.1" customHeight="1" x14ac:dyDescent="0.2">
      <c r="A62" s="3">
        <v>56</v>
      </c>
      <c r="B62" s="4" t="s">
        <v>698</v>
      </c>
      <c r="C62" s="4" t="s">
        <v>699</v>
      </c>
      <c r="D62" s="4" t="s">
        <v>203</v>
      </c>
      <c r="E62" s="5">
        <v>3456</v>
      </c>
      <c r="F62" s="6">
        <v>53.908416000000003</v>
      </c>
      <c r="G62" s="7">
        <v>9.5931300000000001E-3</v>
      </c>
      <c r="H62" s="51"/>
    </row>
    <row r="63" spans="1:8" ht="29.1" customHeight="1" x14ac:dyDescent="0.2">
      <c r="A63" s="3">
        <v>57</v>
      </c>
      <c r="B63" s="4" t="s">
        <v>565</v>
      </c>
      <c r="C63" s="4" t="s">
        <v>566</v>
      </c>
      <c r="D63" s="4" t="s">
        <v>203</v>
      </c>
      <c r="E63" s="5">
        <v>13890</v>
      </c>
      <c r="F63" s="6">
        <v>53.740409999999997</v>
      </c>
      <c r="G63" s="7">
        <v>9.5632330000000008E-3</v>
      </c>
      <c r="H63" s="51"/>
    </row>
    <row r="64" spans="1:8" ht="17.100000000000001" customHeight="1" x14ac:dyDescent="0.2">
      <c r="A64" s="3">
        <v>58</v>
      </c>
      <c r="B64" s="4" t="s">
        <v>606</v>
      </c>
      <c r="C64" s="4" t="s">
        <v>607</v>
      </c>
      <c r="D64" s="4" t="s">
        <v>181</v>
      </c>
      <c r="E64" s="5">
        <v>6376</v>
      </c>
      <c r="F64" s="6">
        <v>53.705047999999998</v>
      </c>
      <c r="G64" s="7">
        <v>9.5569409999999994E-3</v>
      </c>
      <c r="H64" s="51"/>
    </row>
    <row r="65" spans="1:8" ht="17.100000000000001" customHeight="1" x14ac:dyDescent="0.2">
      <c r="A65" s="3">
        <v>59</v>
      </c>
      <c r="B65" s="4" t="s">
        <v>700</v>
      </c>
      <c r="C65" s="4" t="s">
        <v>701</v>
      </c>
      <c r="D65" s="4" t="s">
        <v>223</v>
      </c>
      <c r="E65" s="5">
        <v>1202</v>
      </c>
      <c r="F65" s="6">
        <v>53.583356999999999</v>
      </c>
      <c r="G65" s="7">
        <v>9.5352849999999992E-3</v>
      </c>
      <c r="H65" s="51"/>
    </row>
    <row r="66" spans="1:8" ht="17.100000000000001" customHeight="1" x14ac:dyDescent="0.2">
      <c r="A66" s="3">
        <v>60</v>
      </c>
      <c r="B66" s="4" t="s">
        <v>702</v>
      </c>
      <c r="C66" s="4" t="s">
        <v>703</v>
      </c>
      <c r="D66" s="4" t="s">
        <v>284</v>
      </c>
      <c r="E66" s="5">
        <v>3278</v>
      </c>
      <c r="F66" s="6">
        <v>53.411732000000001</v>
      </c>
      <c r="G66" s="7">
        <v>9.5047440000000007E-3</v>
      </c>
      <c r="H66" s="51"/>
    </row>
    <row r="67" spans="1:8" ht="17.100000000000001" customHeight="1" x14ac:dyDescent="0.2">
      <c r="A67" s="3">
        <v>61</v>
      </c>
      <c r="B67" s="4" t="s">
        <v>221</v>
      </c>
      <c r="C67" s="4" t="s">
        <v>222</v>
      </c>
      <c r="D67" s="4" t="s">
        <v>223</v>
      </c>
      <c r="E67" s="5">
        <v>1689</v>
      </c>
      <c r="F67" s="6">
        <v>53.358043500000001</v>
      </c>
      <c r="G67" s="7">
        <v>9.4951900000000006E-3</v>
      </c>
      <c r="H67" s="51"/>
    </row>
    <row r="68" spans="1:8" ht="17.100000000000001" customHeight="1" x14ac:dyDescent="0.2">
      <c r="A68" s="3">
        <v>62</v>
      </c>
      <c r="B68" s="4" t="s">
        <v>704</v>
      </c>
      <c r="C68" s="4" t="s">
        <v>705</v>
      </c>
      <c r="D68" s="4" t="s">
        <v>72</v>
      </c>
      <c r="E68" s="5">
        <v>337</v>
      </c>
      <c r="F68" s="6">
        <v>53.296044500000001</v>
      </c>
      <c r="G68" s="7">
        <v>9.4841579999999995E-3</v>
      </c>
      <c r="H68" s="51"/>
    </row>
    <row r="69" spans="1:8" ht="17.100000000000001" customHeight="1" x14ac:dyDescent="0.2">
      <c r="A69" s="3">
        <v>63</v>
      </c>
      <c r="B69" s="4" t="s">
        <v>336</v>
      </c>
      <c r="C69" s="4" t="s">
        <v>337</v>
      </c>
      <c r="D69" s="4" t="s">
        <v>16</v>
      </c>
      <c r="E69" s="5">
        <v>2927</v>
      </c>
      <c r="F69" s="6">
        <v>53.247984000000002</v>
      </c>
      <c r="G69" s="7">
        <v>9.4756049999999998E-3</v>
      </c>
      <c r="H69" s="51"/>
    </row>
    <row r="70" spans="1:8" ht="29.1" customHeight="1" x14ac:dyDescent="0.2">
      <c r="A70" s="3">
        <v>64</v>
      </c>
      <c r="B70" s="4" t="s">
        <v>706</v>
      </c>
      <c r="C70" s="4" t="s">
        <v>707</v>
      </c>
      <c r="D70" s="4" t="s">
        <v>203</v>
      </c>
      <c r="E70" s="5">
        <v>7831</v>
      </c>
      <c r="F70" s="6">
        <v>53.239053499999997</v>
      </c>
      <c r="G70" s="7">
        <v>9.474016E-3</v>
      </c>
      <c r="H70" s="51"/>
    </row>
    <row r="71" spans="1:8" ht="17.100000000000001" customHeight="1" x14ac:dyDescent="0.2">
      <c r="A71" s="3">
        <v>65</v>
      </c>
      <c r="B71" s="4" t="s">
        <v>708</v>
      </c>
      <c r="C71" s="4" t="s">
        <v>709</v>
      </c>
      <c r="D71" s="4" t="s">
        <v>315</v>
      </c>
      <c r="E71" s="5">
        <v>2814</v>
      </c>
      <c r="F71" s="6">
        <v>53.173344</v>
      </c>
      <c r="G71" s="7">
        <v>9.4623229999999999E-3</v>
      </c>
      <c r="H71" s="51"/>
    </row>
    <row r="72" spans="1:8" ht="29.1" customHeight="1" x14ac:dyDescent="0.2">
      <c r="A72" s="3">
        <v>66</v>
      </c>
      <c r="B72" s="4" t="s">
        <v>710</v>
      </c>
      <c r="C72" s="4" t="s">
        <v>711</v>
      </c>
      <c r="D72" s="4" t="s">
        <v>235</v>
      </c>
      <c r="E72" s="5">
        <v>10017</v>
      </c>
      <c r="F72" s="6">
        <v>52.684411500000003</v>
      </c>
      <c r="G72" s="7">
        <v>9.3753159999999999E-3</v>
      </c>
      <c r="H72" s="51"/>
    </row>
    <row r="73" spans="1:8" ht="17.100000000000001" customHeight="1" x14ac:dyDescent="0.2">
      <c r="A73" s="3">
        <v>67</v>
      </c>
      <c r="B73" s="4" t="s">
        <v>712</v>
      </c>
      <c r="C73" s="4" t="s">
        <v>713</v>
      </c>
      <c r="D73" s="4" t="s">
        <v>97</v>
      </c>
      <c r="E73" s="5">
        <v>4975</v>
      </c>
      <c r="F73" s="6">
        <v>51.742487500000003</v>
      </c>
      <c r="G73" s="7">
        <v>9.2076980000000003E-3</v>
      </c>
      <c r="H73" s="51"/>
    </row>
    <row r="74" spans="1:8" ht="17.100000000000001" customHeight="1" x14ac:dyDescent="0.2">
      <c r="A74" s="3">
        <v>68</v>
      </c>
      <c r="B74" s="4" t="s">
        <v>269</v>
      </c>
      <c r="C74" s="4" t="s">
        <v>270</v>
      </c>
      <c r="D74" s="4" t="s">
        <v>16</v>
      </c>
      <c r="E74" s="5">
        <v>3636</v>
      </c>
      <c r="F74" s="6">
        <v>51.680286000000002</v>
      </c>
      <c r="G74" s="7">
        <v>9.1966289999999996E-3</v>
      </c>
      <c r="H74" s="51"/>
    </row>
    <row r="75" spans="1:8" ht="29.1" customHeight="1" x14ac:dyDescent="0.2">
      <c r="A75" s="3">
        <v>69</v>
      </c>
      <c r="B75" s="4" t="s">
        <v>714</v>
      </c>
      <c r="C75" s="4" t="s">
        <v>715</v>
      </c>
      <c r="D75" s="4" t="s">
        <v>284</v>
      </c>
      <c r="E75" s="5">
        <v>372</v>
      </c>
      <c r="F75" s="6">
        <v>51.652757999999999</v>
      </c>
      <c r="G75" s="7">
        <v>9.1917309999999999E-3</v>
      </c>
      <c r="H75" s="51"/>
    </row>
    <row r="76" spans="1:8" ht="29.1" customHeight="1" x14ac:dyDescent="0.2">
      <c r="A76" s="3">
        <v>70</v>
      </c>
      <c r="B76" s="4" t="s">
        <v>298</v>
      </c>
      <c r="C76" s="4" t="s">
        <v>299</v>
      </c>
      <c r="D76" s="4" t="s">
        <v>97</v>
      </c>
      <c r="E76" s="5">
        <v>2255</v>
      </c>
      <c r="F76" s="6">
        <v>51.588762500000001</v>
      </c>
      <c r="G76" s="7">
        <v>9.1803430000000005E-3</v>
      </c>
      <c r="H76" s="51"/>
    </row>
    <row r="77" spans="1:8" ht="17.100000000000001" customHeight="1" x14ac:dyDescent="0.2">
      <c r="A77" s="3">
        <v>71</v>
      </c>
      <c r="B77" s="4" t="s">
        <v>67</v>
      </c>
      <c r="C77" s="4" t="s">
        <v>68</v>
      </c>
      <c r="D77" s="4" t="s">
        <v>69</v>
      </c>
      <c r="E77" s="5">
        <v>583</v>
      </c>
      <c r="F77" s="6">
        <v>51.468114499999999</v>
      </c>
      <c r="G77" s="7">
        <v>9.1588729999999997E-3</v>
      </c>
      <c r="H77" s="51"/>
    </row>
    <row r="78" spans="1:8" ht="29.1" customHeight="1" x14ac:dyDescent="0.2">
      <c r="A78" s="3">
        <v>72</v>
      </c>
      <c r="B78" s="4" t="s">
        <v>716</v>
      </c>
      <c r="C78" s="4" t="s">
        <v>717</v>
      </c>
      <c r="D78" s="4" t="s">
        <v>213</v>
      </c>
      <c r="E78" s="5">
        <v>7526</v>
      </c>
      <c r="F78" s="6">
        <v>50.578482999999999</v>
      </c>
      <c r="G78" s="7">
        <v>9.0005610000000007E-3</v>
      </c>
      <c r="H78" s="51"/>
    </row>
    <row r="79" spans="1:8" ht="17.100000000000001" customHeight="1" x14ac:dyDescent="0.2">
      <c r="A79" s="3">
        <v>73</v>
      </c>
      <c r="B79" s="4" t="s">
        <v>718</v>
      </c>
      <c r="C79" s="4" t="s">
        <v>719</v>
      </c>
      <c r="D79" s="4" t="s">
        <v>104</v>
      </c>
      <c r="E79" s="5">
        <v>8145</v>
      </c>
      <c r="F79" s="6">
        <v>50.254649999999998</v>
      </c>
      <c r="G79" s="7">
        <v>8.9429339999999996E-3</v>
      </c>
      <c r="H79" s="51"/>
    </row>
    <row r="80" spans="1:8" ht="17.100000000000001" customHeight="1" x14ac:dyDescent="0.2">
      <c r="A80" s="3">
        <v>74</v>
      </c>
      <c r="B80" s="4" t="s">
        <v>61</v>
      </c>
      <c r="C80" s="4" t="s">
        <v>62</v>
      </c>
      <c r="D80" s="4" t="s">
        <v>28</v>
      </c>
      <c r="E80" s="5">
        <v>23578</v>
      </c>
      <c r="F80" s="6">
        <v>50.032516000000001</v>
      </c>
      <c r="G80" s="7">
        <v>8.9034049999999997E-3</v>
      </c>
      <c r="H80" s="51"/>
    </row>
    <row r="81" spans="1:8" ht="17.100000000000001" customHeight="1" x14ac:dyDescent="0.2">
      <c r="A81" s="3">
        <v>75</v>
      </c>
      <c r="B81" s="4" t="s">
        <v>333</v>
      </c>
      <c r="C81" s="4" t="s">
        <v>334</v>
      </c>
      <c r="D81" s="4" t="s">
        <v>223</v>
      </c>
      <c r="E81" s="5">
        <v>4939</v>
      </c>
      <c r="F81" s="6">
        <v>49.814754000000001</v>
      </c>
      <c r="G81" s="7">
        <v>8.8646539999999996E-3</v>
      </c>
      <c r="H81" s="51"/>
    </row>
    <row r="82" spans="1:8" ht="29.1" customHeight="1" x14ac:dyDescent="0.2">
      <c r="A82" s="3">
        <v>76</v>
      </c>
      <c r="B82" s="4" t="s">
        <v>353</v>
      </c>
      <c r="C82" s="4" t="s">
        <v>354</v>
      </c>
      <c r="D82" s="4" t="s">
        <v>203</v>
      </c>
      <c r="E82" s="5">
        <v>1337</v>
      </c>
      <c r="F82" s="6">
        <v>49.538524000000002</v>
      </c>
      <c r="G82" s="7">
        <v>8.8154979999999997E-3</v>
      </c>
      <c r="H82" s="51"/>
    </row>
    <row r="83" spans="1:8" ht="29.1" customHeight="1" x14ac:dyDescent="0.2">
      <c r="A83" s="3">
        <v>77</v>
      </c>
      <c r="B83" s="4" t="s">
        <v>610</v>
      </c>
      <c r="C83" s="4" t="s">
        <v>611</v>
      </c>
      <c r="D83" s="4" t="s">
        <v>235</v>
      </c>
      <c r="E83" s="5">
        <v>4302</v>
      </c>
      <c r="F83" s="6">
        <v>49.522472999999998</v>
      </c>
      <c r="G83" s="7">
        <v>8.8126420000000007E-3</v>
      </c>
      <c r="H83" s="51"/>
    </row>
    <row r="84" spans="1:8" ht="17.100000000000001" customHeight="1" x14ac:dyDescent="0.2">
      <c r="A84" s="3">
        <v>78</v>
      </c>
      <c r="B84" s="4" t="s">
        <v>720</v>
      </c>
      <c r="C84" s="4" t="s">
        <v>721</v>
      </c>
      <c r="D84" s="4" t="s">
        <v>189</v>
      </c>
      <c r="E84" s="5">
        <v>1279</v>
      </c>
      <c r="F84" s="6">
        <v>49.377074</v>
      </c>
      <c r="G84" s="7">
        <v>8.7867669999999991E-3</v>
      </c>
      <c r="H84" s="51"/>
    </row>
    <row r="85" spans="1:8" ht="17.100000000000001" customHeight="1" x14ac:dyDescent="0.2">
      <c r="A85" s="3">
        <v>79</v>
      </c>
      <c r="B85" s="4" t="s">
        <v>359</v>
      </c>
      <c r="C85" s="4" t="s">
        <v>360</v>
      </c>
      <c r="D85" s="4" t="s">
        <v>69</v>
      </c>
      <c r="E85" s="5">
        <v>11985</v>
      </c>
      <c r="F85" s="6">
        <v>48.491309999999999</v>
      </c>
      <c r="G85" s="7">
        <v>8.6291440000000001E-3</v>
      </c>
      <c r="H85" s="51"/>
    </row>
    <row r="86" spans="1:8" ht="29.1" customHeight="1" x14ac:dyDescent="0.2">
      <c r="A86" s="3">
        <v>80</v>
      </c>
      <c r="B86" s="4" t="s">
        <v>722</v>
      </c>
      <c r="C86" s="4" t="s">
        <v>723</v>
      </c>
      <c r="D86" s="4" t="s">
        <v>203</v>
      </c>
      <c r="E86" s="5">
        <v>1113</v>
      </c>
      <c r="F86" s="6">
        <v>48.256340999999999</v>
      </c>
      <c r="G86" s="7">
        <v>8.5873300000000007E-3</v>
      </c>
      <c r="H86" s="51"/>
    </row>
    <row r="87" spans="1:8" ht="17.100000000000001" customHeight="1" x14ac:dyDescent="0.2">
      <c r="A87" s="3">
        <v>81</v>
      </c>
      <c r="B87" s="4" t="s">
        <v>724</v>
      </c>
      <c r="C87" s="4" t="s">
        <v>725</v>
      </c>
      <c r="D87" s="4" t="s">
        <v>220</v>
      </c>
      <c r="E87" s="5">
        <v>55225</v>
      </c>
      <c r="F87" s="6">
        <v>48.073362500000002</v>
      </c>
      <c r="G87" s="7">
        <v>8.5547690000000003E-3</v>
      </c>
      <c r="H87" s="51"/>
    </row>
    <row r="88" spans="1:8" ht="17.100000000000001" customHeight="1" x14ac:dyDescent="0.2">
      <c r="A88" s="3">
        <v>82</v>
      </c>
      <c r="B88" s="4" t="s">
        <v>296</v>
      </c>
      <c r="C88" s="4" t="s">
        <v>297</v>
      </c>
      <c r="D88" s="4" t="s">
        <v>223</v>
      </c>
      <c r="E88" s="5">
        <v>3398</v>
      </c>
      <c r="F88" s="6">
        <v>48.029031000000003</v>
      </c>
      <c r="G88" s="7">
        <v>8.5468799999999998E-3</v>
      </c>
      <c r="H88" s="51"/>
    </row>
    <row r="89" spans="1:8" ht="17.100000000000001" customHeight="1" x14ac:dyDescent="0.2">
      <c r="A89" s="3">
        <v>83</v>
      </c>
      <c r="B89" s="4" t="s">
        <v>100</v>
      </c>
      <c r="C89" s="4" t="s">
        <v>101</v>
      </c>
      <c r="D89" s="4" t="s">
        <v>22</v>
      </c>
      <c r="E89" s="5">
        <v>15721</v>
      </c>
      <c r="F89" s="6">
        <v>47.917608000000001</v>
      </c>
      <c r="G89" s="7">
        <v>8.5270520000000002E-3</v>
      </c>
      <c r="H89" s="51"/>
    </row>
    <row r="90" spans="1:8" ht="17.100000000000001" customHeight="1" x14ac:dyDescent="0.2">
      <c r="A90" s="3">
        <v>84</v>
      </c>
      <c r="B90" s="4" t="s">
        <v>20</v>
      </c>
      <c r="C90" s="4" t="s">
        <v>21</v>
      </c>
      <c r="D90" s="4" t="s">
        <v>22</v>
      </c>
      <c r="E90" s="5">
        <v>1986</v>
      </c>
      <c r="F90" s="6">
        <v>47.222115000000002</v>
      </c>
      <c r="G90" s="7">
        <v>8.4032870000000006E-3</v>
      </c>
      <c r="H90" s="51"/>
    </row>
    <row r="91" spans="1:8" ht="17.100000000000001" customHeight="1" x14ac:dyDescent="0.2">
      <c r="A91" s="3">
        <v>85</v>
      </c>
      <c r="B91" s="4" t="s">
        <v>323</v>
      </c>
      <c r="C91" s="4" t="s">
        <v>324</v>
      </c>
      <c r="D91" s="4" t="s">
        <v>223</v>
      </c>
      <c r="E91" s="5">
        <v>5047</v>
      </c>
      <c r="F91" s="6">
        <v>47.055704499999997</v>
      </c>
      <c r="G91" s="7">
        <v>8.3736739999999994E-3</v>
      </c>
      <c r="H91" s="51"/>
    </row>
    <row r="92" spans="1:8" ht="17.100000000000001" customHeight="1" x14ac:dyDescent="0.2">
      <c r="A92" s="3">
        <v>86</v>
      </c>
      <c r="B92" s="4" t="s">
        <v>612</v>
      </c>
      <c r="C92" s="4" t="s">
        <v>613</v>
      </c>
      <c r="D92" s="4" t="s">
        <v>235</v>
      </c>
      <c r="E92" s="5">
        <v>8836</v>
      </c>
      <c r="F92" s="6">
        <v>46.870562</v>
      </c>
      <c r="G92" s="7">
        <v>8.3407280000000004E-3</v>
      </c>
      <c r="H92" s="51"/>
    </row>
    <row r="93" spans="1:8" ht="17.100000000000001" customHeight="1" x14ac:dyDescent="0.2">
      <c r="A93" s="3">
        <v>87</v>
      </c>
      <c r="B93" s="4" t="s">
        <v>726</v>
      </c>
      <c r="C93" s="4" t="s">
        <v>727</v>
      </c>
      <c r="D93" s="4" t="s">
        <v>16</v>
      </c>
      <c r="E93" s="5">
        <v>17454</v>
      </c>
      <c r="F93" s="6">
        <v>46.532364000000001</v>
      </c>
      <c r="G93" s="7">
        <v>8.2805450000000003E-3</v>
      </c>
      <c r="H93" s="51"/>
    </row>
    <row r="94" spans="1:8" ht="17.100000000000001" customHeight="1" x14ac:dyDescent="0.2">
      <c r="A94" s="3">
        <v>88</v>
      </c>
      <c r="B94" s="4" t="s">
        <v>728</v>
      </c>
      <c r="C94" s="4" t="s">
        <v>729</v>
      </c>
      <c r="D94" s="4" t="s">
        <v>189</v>
      </c>
      <c r="E94" s="5">
        <v>74224</v>
      </c>
      <c r="F94" s="6">
        <v>46.278663999999999</v>
      </c>
      <c r="G94" s="7">
        <v>8.2353979999999997E-3</v>
      </c>
      <c r="H94" s="51"/>
    </row>
    <row r="95" spans="1:8" ht="17.100000000000001" customHeight="1" x14ac:dyDescent="0.2">
      <c r="A95" s="3">
        <v>89</v>
      </c>
      <c r="B95" s="4" t="s">
        <v>325</v>
      </c>
      <c r="C95" s="4" t="s">
        <v>326</v>
      </c>
      <c r="D95" s="4" t="s">
        <v>223</v>
      </c>
      <c r="E95" s="5">
        <v>11655</v>
      </c>
      <c r="F95" s="6">
        <v>45.949837500000001</v>
      </c>
      <c r="G95" s="7">
        <v>8.1768829999999994E-3</v>
      </c>
      <c r="H95" s="51"/>
    </row>
    <row r="96" spans="1:8" ht="17.100000000000001" customHeight="1" x14ac:dyDescent="0.2">
      <c r="A96" s="3">
        <v>90</v>
      </c>
      <c r="B96" s="4" t="s">
        <v>561</v>
      </c>
      <c r="C96" s="4" t="s">
        <v>562</v>
      </c>
      <c r="D96" s="4" t="s">
        <v>69</v>
      </c>
      <c r="E96" s="5">
        <v>1796</v>
      </c>
      <c r="F96" s="6">
        <v>45.783631999999997</v>
      </c>
      <c r="G96" s="7">
        <v>8.147306E-3</v>
      </c>
      <c r="H96" s="51"/>
    </row>
    <row r="97" spans="1:8" ht="17.100000000000001" customHeight="1" x14ac:dyDescent="0.2">
      <c r="A97" s="3">
        <v>91</v>
      </c>
      <c r="B97" s="4" t="s">
        <v>306</v>
      </c>
      <c r="C97" s="4" t="s">
        <v>307</v>
      </c>
      <c r="D97" s="4" t="s">
        <v>223</v>
      </c>
      <c r="E97" s="5">
        <v>1520</v>
      </c>
      <c r="F97" s="6">
        <v>45.669159999999998</v>
      </c>
      <c r="G97" s="7">
        <v>8.1269350000000001E-3</v>
      </c>
      <c r="H97" s="51"/>
    </row>
    <row r="98" spans="1:8" ht="17.100000000000001" customHeight="1" x14ac:dyDescent="0.2">
      <c r="A98" s="3">
        <v>92</v>
      </c>
      <c r="B98" s="4" t="s">
        <v>730</v>
      </c>
      <c r="C98" s="4" t="s">
        <v>731</v>
      </c>
      <c r="D98" s="4" t="s">
        <v>22</v>
      </c>
      <c r="E98" s="5">
        <v>67751</v>
      </c>
      <c r="F98" s="6">
        <v>45.359294499999997</v>
      </c>
      <c r="G98" s="7">
        <v>8.0717940000000002E-3</v>
      </c>
      <c r="H98" s="51"/>
    </row>
    <row r="99" spans="1:8" ht="29.1" customHeight="1" x14ac:dyDescent="0.2">
      <c r="A99" s="3">
        <v>93</v>
      </c>
      <c r="B99" s="4" t="s">
        <v>732</v>
      </c>
      <c r="C99" s="4" t="s">
        <v>733</v>
      </c>
      <c r="D99" s="4" t="s">
        <v>734</v>
      </c>
      <c r="E99" s="5">
        <v>7103</v>
      </c>
      <c r="F99" s="6">
        <v>45.313588500000002</v>
      </c>
      <c r="G99" s="7">
        <v>8.0636609999999997E-3</v>
      </c>
      <c r="H99" s="51"/>
    </row>
    <row r="100" spans="1:8" ht="17.100000000000001" customHeight="1" x14ac:dyDescent="0.2">
      <c r="A100" s="3">
        <v>94</v>
      </c>
      <c r="B100" s="4" t="s">
        <v>591</v>
      </c>
      <c r="C100" s="4" t="s">
        <v>592</v>
      </c>
      <c r="D100" s="4" t="s">
        <v>19</v>
      </c>
      <c r="E100" s="5">
        <v>22811</v>
      </c>
      <c r="F100" s="6">
        <v>45.040319500000003</v>
      </c>
      <c r="G100" s="7">
        <v>8.0150320000000001E-3</v>
      </c>
      <c r="H100" s="51"/>
    </row>
    <row r="101" spans="1:8" ht="17.100000000000001" customHeight="1" x14ac:dyDescent="0.2">
      <c r="A101" s="3">
        <v>95</v>
      </c>
      <c r="B101" s="4" t="s">
        <v>578</v>
      </c>
      <c r="C101" s="4" t="s">
        <v>579</v>
      </c>
      <c r="D101" s="4" t="s">
        <v>69</v>
      </c>
      <c r="E101" s="5">
        <v>1270</v>
      </c>
      <c r="F101" s="6">
        <v>44.802424999999999</v>
      </c>
      <c r="G101" s="7">
        <v>7.9726980000000003E-3</v>
      </c>
      <c r="H101" s="51"/>
    </row>
    <row r="102" spans="1:8" ht="29.1" customHeight="1" x14ac:dyDescent="0.2">
      <c r="A102" s="3">
        <v>96</v>
      </c>
      <c r="B102" s="4" t="s">
        <v>735</v>
      </c>
      <c r="C102" s="4" t="s">
        <v>736</v>
      </c>
      <c r="D102" s="4" t="s">
        <v>203</v>
      </c>
      <c r="E102" s="5">
        <v>15321</v>
      </c>
      <c r="F102" s="6">
        <v>44.576449500000003</v>
      </c>
      <c r="G102" s="7">
        <v>7.9324849999999995E-3</v>
      </c>
      <c r="H102" s="51"/>
    </row>
    <row r="103" spans="1:8" ht="17.100000000000001" customHeight="1" x14ac:dyDescent="0.2">
      <c r="A103" s="3">
        <v>97</v>
      </c>
      <c r="B103" s="4" t="s">
        <v>118</v>
      </c>
      <c r="C103" s="4" t="s">
        <v>119</v>
      </c>
      <c r="D103" s="4" t="s">
        <v>120</v>
      </c>
      <c r="E103" s="5">
        <v>34499</v>
      </c>
      <c r="F103" s="6">
        <v>43.744731999999999</v>
      </c>
      <c r="G103" s="7">
        <v>7.7844790000000004E-3</v>
      </c>
      <c r="H103" s="51"/>
    </row>
    <row r="104" spans="1:8" ht="17.100000000000001" customHeight="1" x14ac:dyDescent="0.2">
      <c r="A104" s="3">
        <v>98</v>
      </c>
      <c r="B104" s="4" t="s">
        <v>372</v>
      </c>
      <c r="C104" s="4" t="s">
        <v>373</v>
      </c>
      <c r="D104" s="4" t="s">
        <v>189</v>
      </c>
      <c r="E104" s="5">
        <v>3354</v>
      </c>
      <c r="F104" s="6">
        <v>42.666234000000003</v>
      </c>
      <c r="G104" s="7">
        <v>7.5925580000000001E-3</v>
      </c>
      <c r="H104" s="51"/>
    </row>
    <row r="105" spans="1:8" ht="29.1" customHeight="1" x14ac:dyDescent="0.2">
      <c r="A105" s="3">
        <v>99</v>
      </c>
      <c r="B105" s="4" t="s">
        <v>236</v>
      </c>
      <c r="C105" s="4" t="s">
        <v>237</v>
      </c>
      <c r="D105" s="4" t="s">
        <v>203</v>
      </c>
      <c r="E105" s="5">
        <v>1883</v>
      </c>
      <c r="F105" s="6">
        <v>39.408365500000002</v>
      </c>
      <c r="G105" s="7">
        <v>7.0128120000000002E-3</v>
      </c>
      <c r="H105" s="51"/>
    </row>
    <row r="106" spans="1:8" ht="17.100000000000001" customHeight="1" x14ac:dyDescent="0.2">
      <c r="A106" s="3">
        <v>100</v>
      </c>
      <c r="B106" s="4" t="s">
        <v>737</v>
      </c>
      <c r="C106" s="4" t="s">
        <v>738</v>
      </c>
      <c r="D106" s="4" t="s">
        <v>97</v>
      </c>
      <c r="E106" s="5">
        <v>2973</v>
      </c>
      <c r="F106" s="6">
        <v>25.694152500000001</v>
      </c>
      <c r="G106" s="7">
        <v>4.5723350000000003E-3</v>
      </c>
      <c r="H106" s="51"/>
    </row>
    <row r="107" spans="1:8" ht="27" customHeight="1" x14ac:dyDescent="0.2">
      <c r="A107" s="3">
        <v>101</v>
      </c>
      <c r="B107" s="4" t="s">
        <v>739</v>
      </c>
      <c r="C107" s="4" t="s">
        <v>740</v>
      </c>
      <c r="D107" s="4" t="s">
        <v>203</v>
      </c>
      <c r="E107" s="5">
        <v>12392</v>
      </c>
      <c r="F107" s="6">
        <v>26.734500799999999</v>
      </c>
      <c r="G107" s="7">
        <v>4.7574679999999999E-3</v>
      </c>
      <c r="H107" s="51"/>
    </row>
    <row r="108" spans="1:8" ht="14.1" customHeight="1" x14ac:dyDescent="0.2">
      <c r="A108" s="1"/>
      <c r="B108" s="1"/>
      <c r="C108" s="2" t="s">
        <v>129</v>
      </c>
      <c r="D108" s="1"/>
      <c r="E108" s="1" t="s">
        <v>130</v>
      </c>
      <c r="F108" s="9">
        <v>5472.9373153000015</v>
      </c>
      <c r="G108" s="10">
        <v>0.97392217699999983</v>
      </c>
      <c r="H108" s="51"/>
    </row>
    <row r="109" spans="1:8" ht="14.1" customHeight="1" x14ac:dyDescent="0.2">
      <c r="A109" s="1"/>
      <c r="B109" s="1"/>
      <c r="C109" s="11"/>
      <c r="D109" s="1"/>
      <c r="E109" s="1"/>
      <c r="F109" s="12"/>
      <c r="G109" s="12"/>
      <c r="H109" s="51"/>
    </row>
    <row r="110" spans="1:8" ht="14.1" customHeight="1" x14ac:dyDescent="0.2">
      <c r="A110" s="1"/>
      <c r="B110" s="1"/>
      <c r="C110" s="2" t="s">
        <v>131</v>
      </c>
      <c r="D110" s="1"/>
      <c r="E110" s="1"/>
      <c r="F110" s="1"/>
      <c r="G110" s="1"/>
      <c r="H110" s="51"/>
    </row>
    <row r="111" spans="1:8" ht="14.1" customHeight="1" x14ac:dyDescent="0.2">
      <c r="A111" s="1"/>
      <c r="B111" s="1"/>
      <c r="C111" s="2" t="s">
        <v>129</v>
      </c>
      <c r="D111" s="1"/>
      <c r="E111" s="1" t="s">
        <v>130</v>
      </c>
      <c r="F111" s="13">
        <v>0</v>
      </c>
      <c r="G111" s="14">
        <v>0</v>
      </c>
      <c r="H111" s="51"/>
    </row>
    <row r="112" spans="1:8" ht="14.1" customHeight="1" x14ac:dyDescent="0.2">
      <c r="A112" s="1"/>
      <c r="B112" s="1"/>
      <c r="C112" s="11"/>
      <c r="D112" s="1"/>
      <c r="E112" s="1"/>
      <c r="F112" s="12"/>
      <c r="G112" s="12"/>
      <c r="H112" s="51"/>
    </row>
    <row r="113" spans="1:8" ht="14.1" customHeight="1" x14ac:dyDescent="0.2">
      <c r="A113" s="1"/>
      <c r="B113" s="1"/>
      <c r="C113" s="2" t="s">
        <v>132</v>
      </c>
      <c r="D113" s="1"/>
      <c r="E113" s="1"/>
      <c r="F113" s="1"/>
      <c r="G113" s="1"/>
      <c r="H113" s="51"/>
    </row>
    <row r="114" spans="1:8" ht="17.100000000000001" customHeight="1" x14ac:dyDescent="0.2">
      <c r="A114" s="3">
        <v>1</v>
      </c>
      <c r="B114" s="4" t="s">
        <v>741</v>
      </c>
      <c r="C114" s="65" t="s">
        <v>1009</v>
      </c>
      <c r="D114" s="4"/>
      <c r="E114" s="5">
        <v>26586</v>
      </c>
      <c r="F114" s="6">
        <v>2.6600000000000003E-7</v>
      </c>
      <c r="G114" s="8" t="s">
        <v>128</v>
      </c>
      <c r="H114" s="51"/>
    </row>
    <row r="115" spans="1:8" ht="14.1" customHeight="1" x14ac:dyDescent="0.2">
      <c r="A115" s="1"/>
      <c r="B115" s="1"/>
      <c r="C115" s="2" t="s">
        <v>129</v>
      </c>
      <c r="D115" s="1"/>
      <c r="E115" s="1" t="s">
        <v>130</v>
      </c>
      <c r="F115" s="9">
        <v>2.6600000000000003E-7</v>
      </c>
      <c r="G115" s="10">
        <v>0</v>
      </c>
      <c r="H115" s="51"/>
    </row>
    <row r="116" spans="1:8" ht="14.1" customHeight="1" x14ac:dyDescent="0.2">
      <c r="A116" s="1"/>
      <c r="B116" s="1"/>
      <c r="C116" s="11"/>
      <c r="D116" s="1"/>
      <c r="E116" s="1"/>
      <c r="F116" s="12"/>
      <c r="G116" s="12"/>
      <c r="H116" s="51"/>
    </row>
    <row r="117" spans="1:8" ht="14.1" customHeight="1" x14ac:dyDescent="0.2">
      <c r="A117" s="1"/>
      <c r="B117" s="1"/>
      <c r="C117" s="2" t="s">
        <v>133</v>
      </c>
      <c r="D117" s="1"/>
      <c r="E117" s="1"/>
      <c r="F117" s="1"/>
      <c r="G117" s="1"/>
      <c r="H117" s="51"/>
    </row>
    <row r="118" spans="1:8" ht="14.1" customHeight="1" x14ac:dyDescent="0.2">
      <c r="A118" s="1"/>
      <c r="B118" s="1"/>
      <c r="C118" s="2" t="s">
        <v>129</v>
      </c>
      <c r="D118" s="1"/>
      <c r="E118" s="1" t="s">
        <v>130</v>
      </c>
      <c r="F118" s="13">
        <v>0</v>
      </c>
      <c r="G118" s="14">
        <v>0</v>
      </c>
      <c r="H118" s="51"/>
    </row>
    <row r="119" spans="1:8" ht="14.1" customHeight="1" x14ac:dyDescent="0.2">
      <c r="A119" s="1"/>
      <c r="B119" s="1"/>
      <c r="C119" s="11"/>
      <c r="D119" s="1"/>
      <c r="E119" s="1"/>
      <c r="F119" s="12"/>
      <c r="G119" s="12"/>
      <c r="H119" s="51"/>
    </row>
    <row r="120" spans="1:8" ht="14.1" customHeight="1" x14ac:dyDescent="0.2">
      <c r="A120" s="1"/>
      <c r="B120" s="1"/>
      <c r="C120" s="2" t="s">
        <v>134</v>
      </c>
      <c r="D120" s="1"/>
      <c r="E120" s="1"/>
      <c r="F120" s="12"/>
      <c r="G120" s="12"/>
      <c r="H120" s="51"/>
    </row>
    <row r="121" spans="1:8" ht="14.1" customHeight="1" x14ac:dyDescent="0.2">
      <c r="A121" s="1"/>
      <c r="B121" s="1"/>
      <c r="C121" s="2" t="s">
        <v>129</v>
      </c>
      <c r="D121" s="1"/>
      <c r="E121" s="1" t="s">
        <v>130</v>
      </c>
      <c r="F121" s="13">
        <v>0</v>
      </c>
      <c r="G121" s="14">
        <v>0</v>
      </c>
      <c r="H121" s="51"/>
    </row>
    <row r="122" spans="1:8" ht="14.1" customHeight="1" x14ac:dyDescent="0.2">
      <c r="A122" s="1"/>
      <c r="B122" s="1"/>
      <c r="C122" s="11"/>
      <c r="D122" s="1"/>
      <c r="E122" s="1"/>
      <c r="F122" s="12"/>
      <c r="G122" s="12"/>
      <c r="H122" s="51"/>
    </row>
    <row r="123" spans="1:8" ht="14.1" customHeight="1" x14ac:dyDescent="0.2">
      <c r="A123" s="1"/>
      <c r="B123" s="1"/>
      <c r="C123" s="2" t="s">
        <v>135</v>
      </c>
      <c r="D123" s="1"/>
      <c r="E123" s="1"/>
      <c r="F123" s="12"/>
      <c r="G123" s="12"/>
      <c r="H123" s="51"/>
    </row>
    <row r="124" spans="1:8" ht="14.1" customHeight="1" x14ac:dyDescent="0.2">
      <c r="A124" s="1"/>
      <c r="B124" s="1"/>
      <c r="C124" s="2" t="s">
        <v>129</v>
      </c>
      <c r="D124" s="1"/>
      <c r="E124" s="1" t="s">
        <v>130</v>
      </c>
      <c r="F124" s="13">
        <v>0</v>
      </c>
      <c r="G124" s="14">
        <v>0</v>
      </c>
      <c r="H124" s="51"/>
    </row>
    <row r="125" spans="1:8" ht="14.1" customHeight="1" x14ac:dyDescent="0.2">
      <c r="A125" s="1"/>
      <c r="B125" s="1"/>
      <c r="C125" s="11"/>
      <c r="D125" s="1"/>
      <c r="E125" s="1"/>
      <c r="F125" s="12"/>
      <c r="G125" s="12"/>
      <c r="H125" s="51"/>
    </row>
    <row r="126" spans="1:8" ht="18" customHeight="1" x14ac:dyDescent="0.2">
      <c r="A126" s="1"/>
      <c r="B126" s="1"/>
      <c r="C126" s="2" t="s">
        <v>136</v>
      </c>
      <c r="D126" s="1"/>
      <c r="E126" s="1"/>
      <c r="F126" s="9">
        <v>5472.9373155659996</v>
      </c>
      <c r="G126" s="10">
        <v>0.97392217699999994</v>
      </c>
      <c r="H126" s="51"/>
    </row>
    <row r="127" spans="1:8" ht="14.1" customHeight="1" x14ac:dyDescent="0.2">
      <c r="A127" s="1"/>
      <c r="B127" s="1"/>
      <c r="C127" s="11"/>
      <c r="D127" s="1"/>
      <c r="E127" s="1"/>
      <c r="F127" s="12"/>
      <c r="G127" s="12"/>
      <c r="H127" s="51"/>
    </row>
    <row r="128" spans="1:8" ht="14.1" customHeight="1" x14ac:dyDescent="0.2">
      <c r="A128" s="1"/>
      <c r="B128" s="1"/>
      <c r="C128" s="2" t="s">
        <v>137</v>
      </c>
      <c r="D128" s="1"/>
      <c r="E128" s="1"/>
      <c r="F128" s="12"/>
      <c r="G128" s="12"/>
      <c r="H128" s="51"/>
    </row>
    <row r="129" spans="1:8" ht="24" customHeight="1" x14ac:dyDescent="0.2">
      <c r="A129" s="1"/>
      <c r="B129" s="1"/>
      <c r="C129" s="2" t="s">
        <v>10</v>
      </c>
      <c r="D129" s="1"/>
      <c r="E129" s="1"/>
      <c r="F129" s="12"/>
      <c r="G129" s="12"/>
      <c r="H129" s="51"/>
    </row>
    <row r="130" spans="1:8" ht="29.1" customHeight="1" x14ac:dyDescent="0.2">
      <c r="A130" s="3">
        <v>1</v>
      </c>
      <c r="B130" s="4" t="s">
        <v>599</v>
      </c>
      <c r="C130" s="4" t="s">
        <v>600</v>
      </c>
      <c r="D130" s="4" t="s">
        <v>601</v>
      </c>
      <c r="E130" s="5">
        <v>828</v>
      </c>
      <c r="F130" s="6">
        <v>0.23285016</v>
      </c>
      <c r="G130" s="8" t="s">
        <v>128</v>
      </c>
      <c r="H130" s="51">
        <v>7.4649999999999999</v>
      </c>
    </row>
    <row r="131" spans="1:8" ht="14.1" customHeight="1" x14ac:dyDescent="0.2">
      <c r="A131" s="1"/>
      <c r="B131" s="1"/>
      <c r="C131" s="2" t="s">
        <v>129</v>
      </c>
      <c r="D131" s="1"/>
      <c r="E131" s="1" t="s">
        <v>130</v>
      </c>
      <c r="F131" s="9">
        <v>0.23285016</v>
      </c>
      <c r="G131" s="10">
        <v>4.1436000000000001E-5</v>
      </c>
      <c r="H131" s="51"/>
    </row>
    <row r="132" spans="1:8" ht="14.1" customHeight="1" x14ac:dyDescent="0.2">
      <c r="A132" s="1"/>
      <c r="B132" s="1"/>
      <c r="C132" s="11"/>
      <c r="D132" s="1"/>
      <c r="E132" s="1"/>
      <c r="F132" s="12"/>
      <c r="G132" s="12"/>
      <c r="H132" s="51"/>
    </row>
    <row r="133" spans="1:8" ht="14.1" customHeight="1" x14ac:dyDescent="0.2">
      <c r="A133" s="1"/>
      <c r="B133" s="1"/>
      <c r="C133" s="2" t="s">
        <v>138</v>
      </c>
      <c r="D133" s="1"/>
      <c r="E133" s="1"/>
      <c r="F133" s="1"/>
      <c r="G133" s="1"/>
      <c r="H133" s="51"/>
    </row>
    <row r="134" spans="1:8" ht="14.1" customHeight="1" x14ac:dyDescent="0.2">
      <c r="A134" s="1"/>
      <c r="B134" s="1"/>
      <c r="C134" s="2" t="s">
        <v>129</v>
      </c>
      <c r="D134" s="1"/>
      <c r="E134" s="1" t="s">
        <v>130</v>
      </c>
      <c r="F134" s="13">
        <v>0</v>
      </c>
      <c r="G134" s="14">
        <v>0</v>
      </c>
      <c r="H134" s="51"/>
    </row>
    <row r="135" spans="1:8" ht="14.1" customHeight="1" x14ac:dyDescent="0.2">
      <c r="A135" s="1"/>
      <c r="B135" s="1"/>
      <c r="C135" s="11"/>
      <c r="D135" s="1"/>
      <c r="E135" s="1"/>
      <c r="F135" s="12"/>
      <c r="G135" s="12"/>
      <c r="H135" s="51"/>
    </row>
    <row r="136" spans="1:8" ht="14.1" customHeight="1" x14ac:dyDescent="0.2">
      <c r="A136" s="1"/>
      <c r="B136" s="1"/>
      <c r="C136" s="2" t="s">
        <v>139</v>
      </c>
      <c r="D136" s="1"/>
      <c r="E136" s="1"/>
      <c r="F136" s="1"/>
      <c r="G136" s="1"/>
      <c r="H136" s="51"/>
    </row>
    <row r="137" spans="1:8" ht="14.1" customHeight="1" x14ac:dyDescent="0.2">
      <c r="A137" s="1"/>
      <c r="B137" s="1"/>
      <c r="C137" s="2" t="s">
        <v>129</v>
      </c>
      <c r="D137" s="1"/>
      <c r="E137" s="1" t="s">
        <v>130</v>
      </c>
      <c r="F137" s="13">
        <v>0</v>
      </c>
      <c r="G137" s="14">
        <v>0</v>
      </c>
      <c r="H137" s="51"/>
    </row>
    <row r="138" spans="1:8" ht="14.1" customHeight="1" x14ac:dyDescent="0.2">
      <c r="A138" s="1"/>
      <c r="B138" s="1"/>
      <c r="C138" s="11"/>
      <c r="D138" s="1"/>
      <c r="E138" s="1"/>
      <c r="F138" s="12"/>
      <c r="G138" s="12"/>
      <c r="H138" s="51"/>
    </row>
    <row r="139" spans="1:8" ht="14.1" customHeight="1" x14ac:dyDescent="0.2">
      <c r="A139" s="1"/>
      <c r="B139" s="1"/>
      <c r="C139" s="2" t="s">
        <v>140</v>
      </c>
      <c r="D139" s="1"/>
      <c r="E139" s="1"/>
      <c r="F139" s="12"/>
      <c r="G139" s="12"/>
      <c r="H139" s="51"/>
    </row>
    <row r="140" spans="1:8" ht="14.1" customHeight="1" x14ac:dyDescent="0.2">
      <c r="A140" s="1"/>
      <c r="B140" s="1"/>
      <c r="C140" s="2" t="s">
        <v>129</v>
      </c>
      <c r="D140" s="1"/>
      <c r="E140" s="1" t="s">
        <v>130</v>
      </c>
      <c r="F140" s="13">
        <v>0</v>
      </c>
      <c r="G140" s="14">
        <v>0</v>
      </c>
      <c r="H140" s="51"/>
    </row>
    <row r="141" spans="1:8" ht="14.1" customHeight="1" x14ac:dyDescent="0.2">
      <c r="A141" s="1"/>
      <c r="B141" s="1"/>
      <c r="C141" s="11"/>
      <c r="D141" s="1"/>
      <c r="E141" s="1"/>
      <c r="F141" s="12"/>
      <c r="G141" s="12"/>
      <c r="H141" s="51"/>
    </row>
    <row r="142" spans="1:8" ht="14.1" customHeight="1" x14ac:dyDescent="0.2">
      <c r="A142" s="1"/>
      <c r="B142" s="1"/>
      <c r="C142" s="2" t="s">
        <v>141</v>
      </c>
      <c r="D142" s="1"/>
      <c r="E142" s="1"/>
      <c r="F142" s="9">
        <v>0.23285016</v>
      </c>
      <c r="G142" s="10">
        <v>4.1436000000000001E-5</v>
      </c>
      <c r="H142" s="51"/>
    </row>
    <row r="143" spans="1:8" ht="14.1" customHeight="1" x14ac:dyDescent="0.2">
      <c r="A143" s="1"/>
      <c r="B143" s="1"/>
      <c r="C143" s="11"/>
      <c r="D143" s="1"/>
      <c r="E143" s="1"/>
      <c r="F143" s="12"/>
      <c r="G143" s="12"/>
      <c r="H143" s="51"/>
    </row>
    <row r="144" spans="1:8" ht="14.1" customHeight="1" x14ac:dyDescent="0.2">
      <c r="A144" s="1"/>
      <c r="B144" s="1"/>
      <c r="C144" s="2" t="s">
        <v>142</v>
      </c>
      <c r="D144" s="1"/>
      <c r="E144" s="1"/>
      <c r="F144" s="12"/>
      <c r="G144" s="12"/>
      <c r="H144" s="51"/>
    </row>
    <row r="145" spans="1:8" ht="14.1" customHeight="1" x14ac:dyDescent="0.2">
      <c r="A145" s="1"/>
      <c r="B145" s="1"/>
      <c r="C145" s="2" t="s">
        <v>143</v>
      </c>
      <c r="D145" s="1"/>
      <c r="E145" s="1"/>
      <c r="F145" s="12"/>
      <c r="G145" s="12"/>
      <c r="H145" s="51"/>
    </row>
    <row r="146" spans="1:8" ht="14.1" customHeight="1" x14ac:dyDescent="0.2">
      <c r="A146" s="1"/>
      <c r="B146" s="1"/>
      <c r="C146" s="2" t="s">
        <v>129</v>
      </c>
      <c r="D146" s="1"/>
      <c r="E146" s="1" t="s">
        <v>130</v>
      </c>
      <c r="F146" s="13">
        <v>0</v>
      </c>
      <c r="G146" s="14">
        <v>0</v>
      </c>
      <c r="H146" s="51"/>
    </row>
    <row r="147" spans="1:8" ht="14.1" customHeight="1" x14ac:dyDescent="0.2">
      <c r="A147" s="1"/>
      <c r="B147" s="1"/>
      <c r="C147" s="11"/>
      <c r="D147" s="1"/>
      <c r="E147" s="1"/>
      <c r="F147" s="12"/>
      <c r="G147" s="12"/>
      <c r="H147" s="51"/>
    </row>
    <row r="148" spans="1:8" ht="14.1" customHeight="1" x14ac:dyDescent="0.2">
      <c r="A148" s="1"/>
      <c r="B148" s="1"/>
      <c r="C148" s="2" t="s">
        <v>144</v>
      </c>
      <c r="D148" s="1"/>
      <c r="E148" s="1"/>
      <c r="F148" s="12"/>
      <c r="G148" s="12"/>
      <c r="H148" s="51"/>
    </row>
    <row r="149" spans="1:8" ht="14.1" customHeight="1" x14ac:dyDescent="0.2">
      <c r="A149" s="1"/>
      <c r="B149" s="1"/>
      <c r="C149" s="2" t="s">
        <v>129</v>
      </c>
      <c r="D149" s="1"/>
      <c r="E149" s="1" t="s">
        <v>130</v>
      </c>
      <c r="F149" s="13">
        <v>0</v>
      </c>
      <c r="G149" s="14">
        <v>0</v>
      </c>
      <c r="H149" s="51"/>
    </row>
    <row r="150" spans="1:8" ht="14.1" customHeight="1" x14ac:dyDescent="0.2">
      <c r="A150" s="1"/>
      <c r="B150" s="1"/>
      <c r="C150" s="11"/>
      <c r="D150" s="1"/>
      <c r="E150" s="1"/>
      <c r="F150" s="12"/>
      <c r="G150" s="12"/>
      <c r="H150" s="51"/>
    </row>
    <row r="151" spans="1:8" ht="14.1" customHeight="1" x14ac:dyDescent="0.2">
      <c r="A151" s="1"/>
      <c r="B151" s="1"/>
      <c r="C151" s="2" t="s">
        <v>145</v>
      </c>
      <c r="D151" s="1"/>
      <c r="E151" s="1"/>
      <c r="F151" s="12"/>
      <c r="G151" s="12"/>
      <c r="H151" s="51"/>
    </row>
    <row r="152" spans="1:8" ht="14.1" customHeight="1" x14ac:dyDescent="0.2">
      <c r="A152" s="1"/>
      <c r="B152" s="1"/>
      <c r="C152" s="2" t="s">
        <v>129</v>
      </c>
      <c r="D152" s="1"/>
      <c r="E152" s="1" t="s">
        <v>130</v>
      </c>
      <c r="F152" s="13">
        <v>0</v>
      </c>
      <c r="G152" s="14">
        <v>0</v>
      </c>
      <c r="H152" s="51"/>
    </row>
    <row r="153" spans="1:8" ht="14.1" customHeight="1" x14ac:dyDescent="0.2">
      <c r="A153" s="1"/>
      <c r="B153" s="1"/>
      <c r="C153" s="11"/>
      <c r="D153" s="1"/>
      <c r="E153" s="1"/>
      <c r="F153" s="12"/>
      <c r="G153" s="12"/>
      <c r="H153" s="51"/>
    </row>
    <row r="154" spans="1:8" ht="14.1" customHeight="1" x14ac:dyDescent="0.2">
      <c r="A154" s="1"/>
      <c r="B154" s="1"/>
      <c r="C154" s="2" t="s">
        <v>146</v>
      </c>
      <c r="D154" s="1"/>
      <c r="E154" s="1"/>
      <c r="F154" s="12"/>
      <c r="G154" s="12"/>
      <c r="H154" s="51"/>
    </row>
    <row r="155" spans="1:8" ht="17.100000000000001" customHeight="1" x14ac:dyDescent="0.2">
      <c r="A155" s="3">
        <v>1</v>
      </c>
      <c r="B155" s="4"/>
      <c r="C155" s="4" t="s">
        <v>147</v>
      </c>
      <c r="D155" s="4"/>
      <c r="E155" s="8"/>
      <c r="F155" s="6">
        <v>163.06341639999999</v>
      </c>
      <c r="G155" s="7">
        <v>2.9017522E-2</v>
      </c>
      <c r="H155" s="51">
        <v>6.1245112103248278</v>
      </c>
    </row>
    <row r="156" spans="1:8" ht="14.1" customHeight="1" x14ac:dyDescent="0.2">
      <c r="A156" s="1"/>
      <c r="B156" s="1"/>
      <c r="C156" s="2" t="s">
        <v>129</v>
      </c>
      <c r="D156" s="1"/>
      <c r="E156" s="1" t="s">
        <v>130</v>
      </c>
      <c r="F156" s="9">
        <v>163.06341639999999</v>
      </c>
      <c r="G156" s="10">
        <v>2.9017522E-2</v>
      </c>
      <c r="H156" s="51"/>
    </row>
    <row r="157" spans="1:8" ht="14.1" customHeight="1" x14ac:dyDescent="0.2">
      <c r="A157" s="1"/>
      <c r="B157" s="1"/>
      <c r="C157" s="11"/>
      <c r="D157" s="1"/>
      <c r="E157" s="1"/>
      <c r="F157" s="12"/>
      <c r="G157" s="12"/>
      <c r="H157" s="51"/>
    </row>
    <row r="158" spans="1:8" ht="14.1" customHeight="1" x14ac:dyDescent="0.2">
      <c r="A158" s="1"/>
      <c r="B158" s="1"/>
      <c r="C158" s="2" t="s">
        <v>148</v>
      </c>
      <c r="D158" s="1"/>
      <c r="E158" s="1"/>
      <c r="F158" s="9">
        <v>163.06341639999999</v>
      </c>
      <c r="G158" s="10">
        <v>2.9017522E-2</v>
      </c>
      <c r="H158" s="51"/>
    </row>
    <row r="159" spans="1:8" ht="14.1" customHeight="1" x14ac:dyDescent="0.2">
      <c r="A159" s="1"/>
      <c r="B159" s="1"/>
      <c r="C159" s="12"/>
      <c r="D159" s="1"/>
      <c r="E159" s="1"/>
      <c r="F159" s="1"/>
      <c r="G159" s="1"/>
      <c r="H159" s="51"/>
    </row>
    <row r="160" spans="1:8" ht="14.1" customHeight="1" x14ac:dyDescent="0.2">
      <c r="A160" s="1"/>
      <c r="B160" s="1"/>
      <c r="C160" s="2" t="s">
        <v>149</v>
      </c>
      <c r="D160" s="1"/>
      <c r="E160" s="1"/>
      <c r="F160" s="1"/>
      <c r="G160" s="1"/>
      <c r="H160" s="51"/>
    </row>
    <row r="161" spans="1:14" ht="14.1" customHeight="1" x14ac:dyDescent="0.2">
      <c r="A161" s="1"/>
      <c r="B161" s="1"/>
      <c r="C161" s="2" t="s">
        <v>150</v>
      </c>
      <c r="D161" s="1"/>
      <c r="E161" s="1"/>
      <c r="F161" s="1"/>
      <c r="G161" s="1"/>
      <c r="H161" s="51"/>
    </row>
    <row r="162" spans="1:14" ht="14.1" customHeight="1" x14ac:dyDescent="0.2">
      <c r="A162" s="1"/>
      <c r="B162" s="1"/>
      <c r="C162" s="2" t="s">
        <v>129</v>
      </c>
      <c r="D162" s="1"/>
      <c r="E162" s="1" t="s">
        <v>130</v>
      </c>
      <c r="F162" s="13">
        <v>0</v>
      </c>
      <c r="G162" s="14">
        <v>0</v>
      </c>
      <c r="H162" s="51"/>
    </row>
    <row r="163" spans="1:14" ht="14.1" customHeight="1" x14ac:dyDescent="0.2">
      <c r="A163" s="1"/>
      <c r="B163" s="1"/>
      <c r="C163" s="11"/>
      <c r="D163" s="1"/>
      <c r="E163" s="1"/>
      <c r="F163" s="12"/>
      <c r="G163" s="12"/>
      <c r="H163" s="51"/>
    </row>
    <row r="164" spans="1:14" ht="14.1" customHeight="1" x14ac:dyDescent="0.2">
      <c r="A164" s="1"/>
      <c r="B164" s="1"/>
      <c r="C164" s="2" t="s">
        <v>151</v>
      </c>
      <c r="D164" s="1"/>
      <c r="E164" s="1"/>
      <c r="F164" s="1"/>
      <c r="G164" s="1"/>
      <c r="H164" s="51"/>
    </row>
    <row r="165" spans="1:14" ht="14.1" customHeight="1" x14ac:dyDescent="0.2">
      <c r="A165" s="1"/>
      <c r="B165" s="1"/>
      <c r="C165" s="2" t="s">
        <v>152</v>
      </c>
      <c r="D165" s="1"/>
      <c r="E165" s="1"/>
      <c r="F165" s="1"/>
      <c r="G165" s="1"/>
      <c r="H165" s="51"/>
    </row>
    <row r="166" spans="1:14" ht="14.1" customHeight="1" x14ac:dyDescent="0.2">
      <c r="A166" s="1"/>
      <c r="B166" s="1"/>
      <c r="C166" s="2" t="s">
        <v>129</v>
      </c>
      <c r="D166" s="1"/>
      <c r="E166" s="1" t="s">
        <v>130</v>
      </c>
      <c r="F166" s="13">
        <v>0</v>
      </c>
      <c r="G166" s="14">
        <v>0</v>
      </c>
      <c r="H166" s="51"/>
    </row>
    <row r="167" spans="1:14" ht="14.1" customHeight="1" x14ac:dyDescent="0.2">
      <c r="A167" s="1"/>
      <c r="B167" s="1"/>
      <c r="C167" s="11"/>
      <c r="D167" s="1"/>
      <c r="E167" s="1"/>
      <c r="F167" s="12"/>
      <c r="G167" s="12"/>
      <c r="H167" s="51"/>
    </row>
    <row r="168" spans="1:14" ht="14.1" customHeight="1" x14ac:dyDescent="0.2">
      <c r="A168" s="1"/>
      <c r="B168" s="1"/>
      <c r="C168" s="11"/>
      <c r="D168" s="1"/>
      <c r="E168" s="1"/>
      <c r="F168" s="12"/>
      <c r="G168" s="12"/>
      <c r="H168" s="51"/>
    </row>
    <row r="169" spans="1:14" ht="24" customHeight="1" x14ac:dyDescent="0.2">
      <c r="A169" s="1"/>
      <c r="B169" s="1"/>
      <c r="C169" s="2" t="s">
        <v>153</v>
      </c>
      <c r="D169" s="1"/>
      <c r="E169" s="1"/>
      <c r="F169" s="12"/>
      <c r="G169" s="12"/>
      <c r="H169" s="51"/>
    </row>
    <row r="170" spans="1:14" ht="14.1" customHeight="1" x14ac:dyDescent="0.2">
      <c r="A170" s="1"/>
      <c r="B170" s="1"/>
      <c r="C170" s="2" t="s">
        <v>129</v>
      </c>
      <c r="D170" s="1"/>
      <c r="E170" s="1" t="s">
        <v>130</v>
      </c>
      <c r="F170" s="13">
        <v>0</v>
      </c>
      <c r="G170" s="14">
        <v>0</v>
      </c>
      <c r="H170" s="51"/>
    </row>
    <row r="171" spans="1:14" ht="14.1" customHeight="1" x14ac:dyDescent="0.2">
      <c r="A171" s="1"/>
      <c r="B171" s="1"/>
      <c r="C171" s="11"/>
      <c r="D171" s="1"/>
      <c r="E171" s="1"/>
      <c r="F171" s="12"/>
      <c r="G171" s="12"/>
      <c r="H171" s="51"/>
    </row>
    <row r="172" spans="1:14" ht="14.1" customHeight="1" x14ac:dyDescent="0.2">
      <c r="A172" s="1"/>
      <c r="B172" s="4"/>
      <c r="C172" s="4"/>
      <c r="D172" s="2"/>
      <c r="E172" s="1"/>
      <c r="F172" s="4"/>
      <c r="G172" s="8"/>
      <c r="H172" s="51"/>
    </row>
    <row r="173" spans="1:14" ht="18" customHeight="1" x14ac:dyDescent="0.2">
      <c r="A173" s="8"/>
      <c r="B173" s="4"/>
      <c r="C173" s="38" t="s">
        <v>764</v>
      </c>
      <c r="D173" s="4"/>
      <c r="E173" s="8"/>
      <c r="F173" s="6">
        <v>-16.752430390000001</v>
      </c>
      <c r="G173" s="7">
        <v>-2.9811350000000002E-3</v>
      </c>
      <c r="H173" s="51"/>
    </row>
    <row r="174" spans="1:14" ht="14.1" customHeight="1" x14ac:dyDescent="0.2">
      <c r="A174" s="11"/>
      <c r="B174" s="11"/>
      <c r="C174" s="2" t="s">
        <v>155</v>
      </c>
      <c r="D174" s="15"/>
      <c r="E174" s="15"/>
      <c r="F174" s="9">
        <v>5619.4811517360004</v>
      </c>
      <c r="G174" s="10">
        <v>1</v>
      </c>
      <c r="H174" s="51"/>
    </row>
    <row r="175" spans="1:14" ht="14.1" customHeight="1" x14ac:dyDescent="0.2">
      <c r="A175" s="16"/>
      <c r="B175" s="16"/>
      <c r="C175" s="16"/>
      <c r="D175" s="17"/>
      <c r="E175" s="17"/>
      <c r="F175" s="17"/>
      <c r="G175" s="17"/>
    </row>
    <row r="176" spans="1:14" ht="17.100000000000001" customHeight="1" x14ac:dyDescent="0.2">
      <c r="A176" s="18"/>
      <c r="B176" s="327" t="s">
        <v>602</v>
      </c>
      <c r="C176" s="327"/>
      <c r="D176" s="327"/>
      <c r="E176" s="327"/>
      <c r="F176" s="327"/>
      <c r="G176" s="20"/>
      <c r="I176" s="41"/>
      <c r="J176" s="41"/>
      <c r="K176" s="41"/>
      <c r="L176" s="41"/>
      <c r="M176" s="41"/>
      <c r="N176" s="41"/>
    </row>
    <row r="177" spans="1:7" ht="17.100000000000001" customHeight="1" x14ac:dyDescent="0.2">
      <c r="A177" s="53"/>
      <c r="B177" s="344" t="s">
        <v>762</v>
      </c>
      <c r="C177" s="344"/>
      <c r="D177" s="344"/>
      <c r="E177" s="344"/>
      <c r="F177" s="344"/>
      <c r="G177" s="54"/>
    </row>
    <row r="178" spans="1:7" ht="17.100000000000001" customHeight="1" x14ac:dyDescent="0.2">
      <c r="A178" s="18"/>
      <c r="B178" s="327" t="s">
        <v>156</v>
      </c>
      <c r="C178" s="327"/>
      <c r="D178" s="327"/>
      <c r="E178" s="327"/>
      <c r="F178" s="327"/>
      <c r="G178" s="20"/>
    </row>
    <row r="179" spans="1:7" ht="14.1" customHeight="1" x14ac:dyDescent="0.2">
      <c r="A179" s="53"/>
      <c r="B179" s="116" t="s">
        <v>1010</v>
      </c>
      <c r="C179" s="53"/>
      <c r="D179" s="54"/>
      <c r="E179" s="54"/>
      <c r="F179" s="54"/>
      <c r="G179" s="54"/>
    </row>
    <row r="180" spans="1:7" ht="14.1" customHeight="1" x14ac:dyDescent="0.2">
      <c r="A180" s="18"/>
      <c r="B180" s="18"/>
      <c r="C180" s="18"/>
      <c r="D180" s="20"/>
      <c r="E180" s="20"/>
      <c r="F180" s="20"/>
      <c r="G180" s="20"/>
    </row>
    <row r="181" spans="1:7" ht="14.1" customHeight="1" x14ac:dyDescent="0.2">
      <c r="A181" s="18"/>
      <c r="B181" s="325" t="s">
        <v>157</v>
      </c>
      <c r="C181" s="326"/>
      <c r="D181" s="12" t="s">
        <v>130</v>
      </c>
      <c r="E181" s="21"/>
      <c r="F181" s="20"/>
      <c r="G181" s="20"/>
    </row>
    <row r="182" spans="1:7" ht="29.1" customHeight="1" x14ac:dyDescent="0.2">
      <c r="A182" s="18"/>
      <c r="B182" s="318" t="s">
        <v>158</v>
      </c>
      <c r="C182" s="319"/>
      <c r="D182" s="2" t="s">
        <v>159</v>
      </c>
      <c r="E182" s="21"/>
      <c r="F182" s="20"/>
      <c r="G182" s="20"/>
    </row>
    <row r="183" spans="1:7" ht="17.100000000000001" customHeight="1" x14ac:dyDescent="0.2">
      <c r="A183" s="18"/>
      <c r="B183" s="318" t="s">
        <v>160</v>
      </c>
      <c r="C183" s="319"/>
      <c r="D183" s="2" t="s">
        <v>159</v>
      </c>
      <c r="E183" s="21"/>
      <c r="F183" s="20"/>
      <c r="G183" s="20"/>
    </row>
    <row r="184" spans="1:7" ht="17.100000000000001" customHeight="1" x14ac:dyDescent="0.2">
      <c r="A184" s="18"/>
      <c r="B184" s="318" t="s">
        <v>161</v>
      </c>
      <c r="C184" s="319"/>
      <c r="D184" s="12" t="s">
        <v>130</v>
      </c>
      <c r="E184" s="21"/>
      <c r="F184" s="20"/>
      <c r="G184" s="20"/>
    </row>
    <row r="185" spans="1:7" ht="24" customHeight="1" x14ac:dyDescent="0.2">
      <c r="A185" s="22"/>
      <c r="B185" s="23" t="s">
        <v>130</v>
      </c>
      <c r="C185" s="23" t="s">
        <v>162</v>
      </c>
      <c r="D185" s="23" t="s">
        <v>163</v>
      </c>
      <c r="E185" s="22"/>
      <c r="F185" s="22"/>
      <c r="G185" s="22"/>
    </row>
    <row r="186" spans="1:7" ht="18" customHeight="1" x14ac:dyDescent="0.2">
      <c r="A186" s="22"/>
      <c r="B186" s="23" t="s">
        <v>164</v>
      </c>
      <c r="C186" s="23" t="s">
        <v>165</v>
      </c>
      <c r="D186" s="23" t="s">
        <v>166</v>
      </c>
      <c r="E186" s="22"/>
      <c r="F186" s="22"/>
      <c r="G186" s="22"/>
    </row>
    <row r="187" spans="1:7" ht="17.100000000000001" customHeight="1" x14ac:dyDescent="0.2">
      <c r="A187" s="22"/>
      <c r="B187" s="4" t="s">
        <v>167</v>
      </c>
      <c r="C187" s="24">
        <v>117.37730000000001</v>
      </c>
      <c r="D187" s="24">
        <v>113.8231</v>
      </c>
      <c r="E187" s="22"/>
      <c r="F187" s="19"/>
      <c r="G187" s="25"/>
    </row>
    <row r="188" spans="1:7" ht="17.100000000000001" customHeight="1" x14ac:dyDescent="0.2">
      <c r="A188" s="22"/>
      <c r="B188" s="4" t="s">
        <v>1067</v>
      </c>
      <c r="C188" s="24">
        <v>68.980900000000005</v>
      </c>
      <c r="D188" s="24">
        <v>66.892200000000003</v>
      </c>
      <c r="E188" s="22"/>
      <c r="F188" s="19"/>
      <c r="G188" s="25"/>
    </row>
    <row r="189" spans="1:7" ht="17.100000000000001" customHeight="1" x14ac:dyDescent="0.2">
      <c r="A189" s="22"/>
      <c r="B189" s="4" t="s">
        <v>168</v>
      </c>
      <c r="C189" s="24">
        <v>112.9693</v>
      </c>
      <c r="D189" s="24">
        <v>109.5107</v>
      </c>
      <c r="E189" s="22"/>
      <c r="F189" s="19"/>
      <c r="G189" s="25"/>
    </row>
    <row r="190" spans="1:7" ht="17.100000000000001" customHeight="1" x14ac:dyDescent="0.2">
      <c r="A190" s="22"/>
      <c r="B190" s="4" t="s">
        <v>1068</v>
      </c>
      <c r="C190" s="24">
        <v>66.394300000000001</v>
      </c>
      <c r="D190" s="24">
        <v>64.361599999999996</v>
      </c>
      <c r="E190" s="22"/>
      <c r="F190" s="19"/>
      <c r="G190" s="25"/>
    </row>
    <row r="191" spans="1:7" ht="14.1" customHeight="1" x14ac:dyDescent="0.2">
      <c r="A191" s="22"/>
      <c r="B191" s="22"/>
      <c r="C191" s="22"/>
      <c r="D191" s="22"/>
      <c r="E191" s="22"/>
      <c r="F191" s="22"/>
      <c r="G191" s="22"/>
    </row>
    <row r="192" spans="1:7" ht="17.100000000000001" customHeight="1" x14ac:dyDescent="0.2">
      <c r="A192" s="22"/>
      <c r="B192" s="318" t="s">
        <v>1069</v>
      </c>
      <c r="C192" s="319"/>
      <c r="D192" s="2" t="s">
        <v>159</v>
      </c>
      <c r="E192" s="22"/>
      <c r="F192" s="22"/>
      <c r="G192" s="22"/>
    </row>
    <row r="193" spans="1:7" ht="18" customHeight="1" x14ac:dyDescent="0.2">
      <c r="A193" s="22"/>
      <c r="B193" s="26"/>
      <c r="C193" s="26"/>
      <c r="D193" s="27"/>
      <c r="E193" s="22"/>
      <c r="F193" s="22"/>
      <c r="G193" s="22"/>
    </row>
    <row r="194" spans="1:7" ht="29.1" customHeight="1" x14ac:dyDescent="0.2">
      <c r="A194" s="22"/>
      <c r="B194" s="318" t="s">
        <v>169</v>
      </c>
      <c r="C194" s="319"/>
      <c r="D194" s="2" t="s">
        <v>159</v>
      </c>
      <c r="E194" s="22"/>
      <c r="F194" s="22"/>
      <c r="G194" s="22"/>
    </row>
    <row r="195" spans="1:7" ht="29.1" customHeight="1" x14ac:dyDescent="0.2">
      <c r="A195" s="22"/>
      <c r="B195" s="318" t="s">
        <v>170</v>
      </c>
      <c r="C195" s="319"/>
      <c r="D195" s="2" t="s">
        <v>159</v>
      </c>
      <c r="E195" s="22"/>
      <c r="F195" s="22"/>
      <c r="G195" s="22"/>
    </row>
    <row r="196" spans="1:7" ht="17.100000000000001" customHeight="1" x14ac:dyDescent="0.2">
      <c r="A196" s="22"/>
      <c r="B196" s="318" t="s">
        <v>171</v>
      </c>
      <c r="C196" s="319"/>
      <c r="D196" s="28">
        <v>0.46794076787551825</v>
      </c>
      <c r="E196" s="22"/>
      <c r="F196" s="19"/>
      <c r="G196" s="25"/>
    </row>
    <row r="197" spans="1:7" ht="17.100000000000001" customHeight="1" x14ac:dyDescent="0.2">
      <c r="A197" s="22"/>
      <c r="B197" s="318" t="s">
        <v>172</v>
      </c>
      <c r="C197" s="319"/>
      <c r="D197" s="2" t="s">
        <v>159</v>
      </c>
      <c r="E197" s="22"/>
      <c r="F197" s="22"/>
      <c r="G197" s="22"/>
    </row>
  </sheetData>
  <mergeCells count="16">
    <mergeCell ref="A1:H1"/>
    <mergeCell ref="A2:H2"/>
    <mergeCell ref="A3:H3"/>
    <mergeCell ref="J2:N2"/>
    <mergeCell ref="B196:C196"/>
    <mergeCell ref="B181:C181"/>
    <mergeCell ref="B176:F176"/>
    <mergeCell ref="B178:F178"/>
    <mergeCell ref="B177:F177"/>
    <mergeCell ref="B197:C197"/>
    <mergeCell ref="B182:C182"/>
    <mergeCell ref="B183:C183"/>
    <mergeCell ref="B184:C184"/>
    <mergeCell ref="B192:C192"/>
    <mergeCell ref="B194:C194"/>
    <mergeCell ref="B195:C195"/>
  </mergeCells>
  <hyperlinks>
    <hyperlink ref="I1" location="Index!B31" display="Index" xr:uid="{CEC6ACE4-FB6F-4D5F-9022-2A19F4FAD7BC}"/>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outlinePr summaryBelow="0" summaryRight="0"/>
  </sheetPr>
  <dimension ref="A1:N156"/>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985</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14</v>
      </c>
      <c r="C7" s="4" t="s">
        <v>15</v>
      </c>
      <c r="D7" s="4" t="s">
        <v>16</v>
      </c>
      <c r="E7" s="5">
        <v>1034000</v>
      </c>
      <c r="F7" s="6">
        <v>8913.08</v>
      </c>
      <c r="G7" s="7">
        <v>9.4306730000000005E-2</v>
      </c>
      <c r="H7" s="51"/>
    </row>
    <row r="8" spans="1:14" ht="17.100000000000001" customHeight="1" x14ac:dyDescent="0.2">
      <c r="A8" s="3">
        <v>2</v>
      </c>
      <c r="B8" s="4" t="s">
        <v>269</v>
      </c>
      <c r="C8" s="4" t="s">
        <v>270</v>
      </c>
      <c r="D8" s="4" t="s">
        <v>16</v>
      </c>
      <c r="E8" s="5">
        <v>335117</v>
      </c>
      <c r="F8" s="6">
        <v>4763.1854794999999</v>
      </c>
      <c r="G8" s="7">
        <v>5.0397892E-2</v>
      </c>
      <c r="H8" s="51"/>
    </row>
    <row r="9" spans="1:14" ht="17.100000000000001" customHeight="1" x14ac:dyDescent="0.2">
      <c r="A9" s="3">
        <v>3</v>
      </c>
      <c r="B9" s="4" t="s">
        <v>41</v>
      </c>
      <c r="C9" s="4" t="s">
        <v>42</v>
      </c>
      <c r="D9" s="4" t="s">
        <v>16</v>
      </c>
      <c r="E9" s="5">
        <v>787020</v>
      </c>
      <c r="F9" s="6">
        <v>4175.9281199999996</v>
      </c>
      <c r="G9" s="7">
        <v>4.4184291000000001E-2</v>
      </c>
      <c r="H9" s="51"/>
    </row>
    <row r="10" spans="1:14" ht="17.100000000000001" customHeight="1" x14ac:dyDescent="0.2">
      <c r="A10" s="3">
        <v>4</v>
      </c>
      <c r="B10" s="4" t="s">
        <v>296</v>
      </c>
      <c r="C10" s="4" t="s">
        <v>297</v>
      </c>
      <c r="D10" s="4" t="s">
        <v>223</v>
      </c>
      <c r="E10" s="5">
        <v>288000</v>
      </c>
      <c r="F10" s="6">
        <v>4070.7359999999999</v>
      </c>
      <c r="G10" s="7">
        <v>4.3071284000000001E-2</v>
      </c>
      <c r="H10" s="51"/>
    </row>
    <row r="11" spans="1:14" ht="17.100000000000001" customHeight="1" x14ac:dyDescent="0.2">
      <c r="A11" s="3">
        <v>5</v>
      </c>
      <c r="B11" s="4" t="s">
        <v>20</v>
      </c>
      <c r="C11" s="4" t="s">
        <v>21</v>
      </c>
      <c r="D11" s="4" t="s">
        <v>22</v>
      </c>
      <c r="E11" s="5">
        <v>155000</v>
      </c>
      <c r="F11" s="6">
        <v>3685.5124999999998</v>
      </c>
      <c r="G11" s="7">
        <v>3.8995345000000001E-2</v>
      </c>
      <c r="H11" s="51"/>
    </row>
    <row r="12" spans="1:14" ht="53.1" customHeight="1" x14ac:dyDescent="0.2">
      <c r="A12" s="3">
        <v>6</v>
      </c>
      <c r="B12" s="4" t="s">
        <v>43</v>
      </c>
      <c r="C12" s="4" t="s">
        <v>44</v>
      </c>
      <c r="D12" s="4" t="s">
        <v>45</v>
      </c>
      <c r="E12" s="5">
        <v>2405310</v>
      </c>
      <c r="F12" s="6">
        <v>3671.7057150000001</v>
      </c>
      <c r="G12" s="7">
        <v>3.8849258999999997E-2</v>
      </c>
      <c r="H12" s="51"/>
    </row>
    <row r="13" spans="1:14" ht="29.1" customHeight="1" x14ac:dyDescent="0.2">
      <c r="A13" s="3">
        <v>7</v>
      </c>
      <c r="B13" s="4" t="s">
        <v>298</v>
      </c>
      <c r="C13" s="4" t="s">
        <v>299</v>
      </c>
      <c r="D13" s="4" t="s">
        <v>97</v>
      </c>
      <c r="E13" s="5">
        <v>157000</v>
      </c>
      <c r="F13" s="6">
        <v>3591.7674999999999</v>
      </c>
      <c r="G13" s="7">
        <v>3.8003455999999998E-2</v>
      </c>
      <c r="H13" s="51"/>
      <c r="J13" s="157" t="s">
        <v>1104</v>
      </c>
    </row>
    <row r="14" spans="1:14" ht="17.100000000000001" customHeight="1" x14ac:dyDescent="0.2">
      <c r="A14" s="3">
        <v>8</v>
      </c>
      <c r="B14" s="4" t="s">
        <v>39</v>
      </c>
      <c r="C14" s="4" t="s">
        <v>40</v>
      </c>
      <c r="D14" s="4" t="s">
        <v>31</v>
      </c>
      <c r="E14" s="5">
        <v>126000</v>
      </c>
      <c r="F14" s="6">
        <v>3226.5450000000001</v>
      </c>
      <c r="G14" s="7">
        <v>3.4139141999999997E-2</v>
      </c>
      <c r="H14" s="51"/>
    </row>
    <row r="15" spans="1:14" ht="17.100000000000001" customHeight="1" x14ac:dyDescent="0.2">
      <c r="A15" s="3">
        <v>9</v>
      </c>
      <c r="B15" s="4" t="s">
        <v>195</v>
      </c>
      <c r="C15" s="4" t="s">
        <v>196</v>
      </c>
      <c r="D15" s="4" t="s">
        <v>16</v>
      </c>
      <c r="E15" s="5">
        <v>410005</v>
      </c>
      <c r="F15" s="6">
        <v>3006.1566600000001</v>
      </c>
      <c r="G15" s="7">
        <v>3.1807277000000002E-2</v>
      </c>
      <c r="H15" s="51"/>
    </row>
    <row r="16" spans="1:14" ht="17.100000000000001" customHeight="1" x14ac:dyDescent="0.2">
      <c r="A16" s="3">
        <v>10</v>
      </c>
      <c r="B16" s="4" t="s">
        <v>67</v>
      </c>
      <c r="C16" s="4" t="s">
        <v>68</v>
      </c>
      <c r="D16" s="4" t="s">
        <v>69</v>
      </c>
      <c r="E16" s="5">
        <v>33000</v>
      </c>
      <c r="F16" s="6">
        <v>2913.2894999999999</v>
      </c>
      <c r="G16" s="7">
        <v>3.0824675999999999E-2</v>
      </c>
      <c r="H16" s="51"/>
    </row>
    <row r="17" spans="1:10" ht="17.100000000000001" customHeight="1" x14ac:dyDescent="0.2">
      <c r="A17" s="3">
        <v>11</v>
      </c>
      <c r="B17" s="4" t="s">
        <v>306</v>
      </c>
      <c r="C17" s="4" t="s">
        <v>307</v>
      </c>
      <c r="D17" s="4" t="s">
        <v>223</v>
      </c>
      <c r="E17" s="5">
        <v>78000</v>
      </c>
      <c r="F17" s="6">
        <v>2343.549</v>
      </c>
      <c r="G17" s="7">
        <v>2.4796416000000002E-2</v>
      </c>
      <c r="H17" s="51"/>
    </row>
    <row r="18" spans="1:10" ht="17.100000000000001" customHeight="1" x14ac:dyDescent="0.2">
      <c r="A18" s="3">
        <v>12</v>
      </c>
      <c r="B18" s="4" t="s">
        <v>246</v>
      </c>
      <c r="C18" s="4" t="s">
        <v>247</v>
      </c>
      <c r="D18" s="4" t="s">
        <v>248</v>
      </c>
      <c r="E18" s="5">
        <v>361925</v>
      </c>
      <c r="F18" s="6">
        <v>2253.7069750000001</v>
      </c>
      <c r="G18" s="7">
        <v>2.3845824000000002E-2</v>
      </c>
      <c r="H18" s="51"/>
    </row>
    <row r="19" spans="1:10" ht="17.100000000000001" customHeight="1" x14ac:dyDescent="0.2">
      <c r="A19" s="3">
        <v>13</v>
      </c>
      <c r="B19" s="4" t="s">
        <v>344</v>
      </c>
      <c r="C19" s="38" t="s">
        <v>969</v>
      </c>
      <c r="D19" s="4" t="s">
        <v>19</v>
      </c>
      <c r="E19" s="5">
        <v>493578</v>
      </c>
      <c r="F19" s="6">
        <v>1984.430349</v>
      </c>
      <c r="G19" s="7">
        <v>2.0996685000000001E-2</v>
      </c>
      <c r="H19" s="51"/>
    </row>
    <row r="20" spans="1:10" ht="17.100000000000001" customHeight="1" x14ac:dyDescent="0.2">
      <c r="A20" s="3">
        <v>14</v>
      </c>
      <c r="B20" s="4" t="s">
        <v>34</v>
      </c>
      <c r="C20" s="4" t="s">
        <v>35</v>
      </c>
      <c r="D20" s="4" t="s">
        <v>36</v>
      </c>
      <c r="E20" s="5">
        <v>60212</v>
      </c>
      <c r="F20" s="6">
        <v>1859.5874080000001</v>
      </c>
      <c r="G20" s="7">
        <v>1.9675758000000002E-2</v>
      </c>
      <c r="H20" s="51"/>
    </row>
    <row r="21" spans="1:10" ht="17.100000000000001" customHeight="1" x14ac:dyDescent="0.2">
      <c r="A21" s="3">
        <v>15</v>
      </c>
      <c r="B21" s="4" t="s">
        <v>308</v>
      </c>
      <c r="C21" s="4" t="s">
        <v>309</v>
      </c>
      <c r="D21" s="4" t="s">
        <v>310</v>
      </c>
      <c r="E21" s="5">
        <v>68396</v>
      </c>
      <c r="F21" s="6">
        <v>1844.263942</v>
      </c>
      <c r="G21" s="7">
        <v>1.9513625E-2</v>
      </c>
      <c r="H21" s="51"/>
    </row>
    <row r="22" spans="1:10" ht="29.1" customHeight="1" x14ac:dyDescent="0.2">
      <c r="A22" s="3">
        <v>16</v>
      </c>
      <c r="B22" s="4" t="s">
        <v>304</v>
      </c>
      <c r="C22" s="4" t="s">
        <v>305</v>
      </c>
      <c r="D22" s="4" t="s">
        <v>203</v>
      </c>
      <c r="E22" s="5">
        <v>185514</v>
      </c>
      <c r="F22" s="6">
        <v>1759.878561</v>
      </c>
      <c r="G22" s="7">
        <v>1.8620767999999999E-2</v>
      </c>
      <c r="H22" s="51"/>
    </row>
    <row r="23" spans="1:10" ht="17.100000000000001" customHeight="1" x14ac:dyDescent="0.2">
      <c r="A23" s="3">
        <v>17</v>
      </c>
      <c r="B23" s="4" t="s">
        <v>359</v>
      </c>
      <c r="C23" s="4" t="s">
        <v>360</v>
      </c>
      <c r="D23" s="4" t="s">
        <v>69</v>
      </c>
      <c r="E23" s="5">
        <v>403269</v>
      </c>
      <c r="F23" s="6">
        <v>1631.6263739999999</v>
      </c>
      <c r="G23" s="7">
        <v>1.7263767999999999E-2</v>
      </c>
      <c r="H23" s="51"/>
    </row>
    <row r="24" spans="1:10" ht="29.1" customHeight="1" x14ac:dyDescent="0.2">
      <c r="A24" s="3">
        <v>18</v>
      </c>
      <c r="B24" s="4" t="s">
        <v>185</v>
      </c>
      <c r="C24" s="4" t="s">
        <v>186</v>
      </c>
      <c r="D24" s="4" t="s">
        <v>104</v>
      </c>
      <c r="E24" s="5">
        <v>394000</v>
      </c>
      <c r="F24" s="6">
        <v>1622.886</v>
      </c>
      <c r="G24" s="7">
        <v>1.7171288999999999E-2</v>
      </c>
      <c r="H24" s="51"/>
      <c r="J24" s="157" t="s">
        <v>1112</v>
      </c>
    </row>
    <row r="25" spans="1:10" ht="17.100000000000001" customHeight="1" x14ac:dyDescent="0.2">
      <c r="A25" s="3">
        <v>19</v>
      </c>
      <c r="B25" s="4" t="s">
        <v>177</v>
      </c>
      <c r="C25" s="4" t="s">
        <v>178</v>
      </c>
      <c r="D25" s="4" t="s">
        <v>16</v>
      </c>
      <c r="E25" s="5">
        <v>1292000</v>
      </c>
      <c r="F25" s="6">
        <v>1534.25</v>
      </c>
      <c r="G25" s="7">
        <v>1.6233457E-2</v>
      </c>
      <c r="H25" s="51"/>
    </row>
    <row r="26" spans="1:10" ht="53.1" customHeight="1" x14ac:dyDescent="0.2">
      <c r="A26" s="3">
        <v>20</v>
      </c>
      <c r="B26" s="4" t="s">
        <v>93</v>
      </c>
      <c r="C26" s="4" t="s">
        <v>94</v>
      </c>
      <c r="D26" s="4" t="s">
        <v>45</v>
      </c>
      <c r="E26" s="5">
        <v>98510</v>
      </c>
      <c r="F26" s="6">
        <v>1460.7062800000001</v>
      </c>
      <c r="G26" s="7">
        <v>1.5455312000000001E-2</v>
      </c>
      <c r="H26" s="51"/>
    </row>
    <row r="27" spans="1:10" ht="29.1" customHeight="1" x14ac:dyDescent="0.2">
      <c r="A27" s="3">
        <v>21</v>
      </c>
      <c r="B27" s="4" t="s">
        <v>95</v>
      </c>
      <c r="C27" s="4" t="s">
        <v>96</v>
      </c>
      <c r="D27" s="4" t="s">
        <v>97</v>
      </c>
      <c r="E27" s="5">
        <v>197572</v>
      </c>
      <c r="F27" s="6">
        <v>1446.6221840000001</v>
      </c>
      <c r="G27" s="7">
        <v>1.5306292000000001E-2</v>
      </c>
      <c r="H27" s="51"/>
    </row>
    <row r="28" spans="1:10" ht="17.100000000000001" customHeight="1" x14ac:dyDescent="0.2">
      <c r="A28" s="3">
        <v>22</v>
      </c>
      <c r="B28" s="4" t="s">
        <v>199</v>
      </c>
      <c r="C28" s="4" t="s">
        <v>200</v>
      </c>
      <c r="D28" s="4" t="s">
        <v>16</v>
      </c>
      <c r="E28" s="5">
        <v>1077030</v>
      </c>
      <c r="F28" s="6">
        <v>1425.9877200000001</v>
      </c>
      <c r="G28" s="7">
        <v>1.5087965E-2</v>
      </c>
      <c r="H28" s="51"/>
    </row>
    <row r="29" spans="1:10" ht="17.100000000000001" customHeight="1" x14ac:dyDescent="0.2">
      <c r="A29" s="3">
        <v>23</v>
      </c>
      <c r="B29" s="4" t="s">
        <v>261</v>
      </c>
      <c r="C29" s="4" t="s">
        <v>262</v>
      </c>
      <c r="D29" s="4" t="s">
        <v>97</v>
      </c>
      <c r="E29" s="5">
        <v>80000</v>
      </c>
      <c r="F29" s="6">
        <v>1342.68</v>
      </c>
      <c r="G29" s="7">
        <v>1.420651E-2</v>
      </c>
      <c r="H29" s="51"/>
    </row>
    <row r="30" spans="1:10" ht="17.100000000000001" customHeight="1" x14ac:dyDescent="0.2">
      <c r="A30" s="3">
        <v>24</v>
      </c>
      <c r="B30" s="4" t="s">
        <v>233</v>
      </c>
      <c r="C30" s="4" t="s">
        <v>234</v>
      </c>
      <c r="D30" s="4" t="s">
        <v>235</v>
      </c>
      <c r="E30" s="5">
        <v>175000</v>
      </c>
      <c r="F30" s="6">
        <v>1334.55</v>
      </c>
      <c r="G30" s="7">
        <v>1.4120489E-2</v>
      </c>
      <c r="H30" s="51"/>
    </row>
    <row r="31" spans="1:10" ht="17.100000000000001" customHeight="1" x14ac:dyDescent="0.2">
      <c r="A31" s="3">
        <v>25</v>
      </c>
      <c r="B31" s="4" t="s">
        <v>510</v>
      </c>
      <c r="C31" s="4" t="s">
        <v>511</v>
      </c>
      <c r="D31" s="4" t="s">
        <v>315</v>
      </c>
      <c r="E31" s="5">
        <v>33000</v>
      </c>
      <c r="F31" s="6">
        <v>1310.133</v>
      </c>
      <c r="G31" s="7">
        <v>1.386214E-2</v>
      </c>
      <c r="H31" s="51"/>
    </row>
    <row r="32" spans="1:10" ht="17.100000000000001" customHeight="1" x14ac:dyDescent="0.2">
      <c r="A32" s="3">
        <v>26</v>
      </c>
      <c r="B32" s="4" t="s">
        <v>11</v>
      </c>
      <c r="C32" s="4" t="s">
        <v>12</v>
      </c>
      <c r="D32" s="4" t="s">
        <v>13</v>
      </c>
      <c r="E32" s="5">
        <v>70588</v>
      </c>
      <c r="F32" s="6">
        <v>1304.2544760000001</v>
      </c>
      <c r="G32" s="7">
        <v>1.3799941E-2</v>
      </c>
      <c r="H32" s="51"/>
    </row>
    <row r="33" spans="1:8" ht="17.100000000000001" customHeight="1" x14ac:dyDescent="0.2">
      <c r="A33" s="3">
        <v>27</v>
      </c>
      <c r="B33" s="4" t="s">
        <v>347</v>
      </c>
      <c r="C33" s="4" t="s">
        <v>348</v>
      </c>
      <c r="D33" s="4" t="s">
        <v>16</v>
      </c>
      <c r="E33" s="5">
        <v>522654</v>
      </c>
      <c r="F33" s="6">
        <v>1195.571025</v>
      </c>
      <c r="G33" s="7">
        <v>1.2649992000000001E-2</v>
      </c>
      <c r="H33" s="51"/>
    </row>
    <row r="34" spans="1:8" ht="29.1" customHeight="1" x14ac:dyDescent="0.2">
      <c r="A34" s="3">
        <v>28</v>
      </c>
      <c r="B34" s="4" t="s">
        <v>182</v>
      </c>
      <c r="C34" s="4" t="s">
        <v>183</v>
      </c>
      <c r="D34" s="4" t="s">
        <v>184</v>
      </c>
      <c r="E34" s="5">
        <v>26290</v>
      </c>
      <c r="F34" s="6">
        <v>1180.6444650000001</v>
      </c>
      <c r="G34" s="7">
        <v>1.2492059E-2</v>
      </c>
      <c r="H34" s="51"/>
    </row>
    <row r="35" spans="1:8" ht="17.100000000000001" customHeight="1" x14ac:dyDescent="0.2">
      <c r="A35" s="3">
        <v>29</v>
      </c>
      <c r="B35" s="4" t="s">
        <v>355</v>
      </c>
      <c r="C35" s="4" t="s">
        <v>356</v>
      </c>
      <c r="D35" s="4" t="s">
        <v>189</v>
      </c>
      <c r="E35" s="5">
        <v>26000</v>
      </c>
      <c r="F35" s="6">
        <v>1140.5029999999999</v>
      </c>
      <c r="G35" s="7">
        <v>1.2067333E-2</v>
      </c>
      <c r="H35" s="51"/>
    </row>
    <row r="36" spans="1:8" ht="17.100000000000001" customHeight="1" x14ac:dyDescent="0.2">
      <c r="A36" s="3">
        <v>30</v>
      </c>
      <c r="B36" s="4" t="s">
        <v>547</v>
      </c>
      <c r="C36" s="4" t="s">
        <v>548</v>
      </c>
      <c r="D36" s="4" t="s">
        <v>104</v>
      </c>
      <c r="E36" s="5">
        <v>165000</v>
      </c>
      <c r="F36" s="6">
        <v>1098.1575</v>
      </c>
      <c r="G36" s="7">
        <v>1.1619288E-2</v>
      </c>
      <c r="H36" s="51"/>
    </row>
    <row r="37" spans="1:8" ht="17.100000000000001" customHeight="1" x14ac:dyDescent="0.2">
      <c r="A37" s="3">
        <v>31</v>
      </c>
      <c r="B37" s="4" t="s">
        <v>109</v>
      </c>
      <c r="C37" s="4" t="s">
        <v>110</v>
      </c>
      <c r="D37" s="4" t="s">
        <v>72</v>
      </c>
      <c r="E37" s="5">
        <v>223346</v>
      </c>
      <c r="F37" s="6">
        <v>1035.767075</v>
      </c>
      <c r="G37" s="7">
        <v>1.0959152999999999E-2</v>
      </c>
      <c r="H37" s="51"/>
    </row>
    <row r="38" spans="1:8" ht="17.100000000000001" customHeight="1" x14ac:dyDescent="0.2">
      <c r="A38" s="3">
        <v>32</v>
      </c>
      <c r="B38" s="4" t="s">
        <v>527</v>
      </c>
      <c r="C38" s="4" t="s">
        <v>528</v>
      </c>
      <c r="D38" s="4" t="s">
        <v>72</v>
      </c>
      <c r="E38" s="5">
        <v>278622</v>
      </c>
      <c r="F38" s="6">
        <v>1013.626836</v>
      </c>
      <c r="G38" s="7">
        <v>1.0724892999999999E-2</v>
      </c>
      <c r="H38" s="51"/>
    </row>
    <row r="39" spans="1:8" ht="17.100000000000001" customHeight="1" x14ac:dyDescent="0.2">
      <c r="A39" s="3">
        <v>33</v>
      </c>
      <c r="B39" s="4" t="s">
        <v>190</v>
      </c>
      <c r="C39" s="4" t="s">
        <v>191</v>
      </c>
      <c r="D39" s="4" t="s">
        <v>192</v>
      </c>
      <c r="E39" s="5">
        <v>2000</v>
      </c>
      <c r="F39" s="6">
        <v>1013.323</v>
      </c>
      <c r="G39" s="7">
        <v>1.0721678E-2</v>
      </c>
      <c r="H39" s="51"/>
    </row>
    <row r="40" spans="1:8" ht="29.1" customHeight="1" x14ac:dyDescent="0.2">
      <c r="A40" s="3">
        <v>34</v>
      </c>
      <c r="B40" s="4" t="s">
        <v>23</v>
      </c>
      <c r="C40" s="4" t="s">
        <v>24</v>
      </c>
      <c r="D40" s="4" t="s">
        <v>25</v>
      </c>
      <c r="E40" s="5">
        <v>16000</v>
      </c>
      <c r="F40" s="6">
        <v>1000.816</v>
      </c>
      <c r="G40" s="7">
        <v>1.0589345999999999E-2</v>
      </c>
      <c r="H40" s="51"/>
    </row>
    <row r="41" spans="1:8" ht="17.100000000000001" customHeight="1" x14ac:dyDescent="0.2">
      <c r="A41" s="3">
        <v>35</v>
      </c>
      <c r="B41" s="4" t="s">
        <v>531</v>
      </c>
      <c r="C41" s="4" t="s">
        <v>532</v>
      </c>
      <c r="D41" s="4" t="s">
        <v>260</v>
      </c>
      <c r="E41" s="5">
        <v>56776</v>
      </c>
      <c r="F41" s="6">
        <v>921.92868799999997</v>
      </c>
      <c r="G41" s="7">
        <v>9.7546620000000007E-3</v>
      </c>
      <c r="H41" s="51"/>
    </row>
    <row r="42" spans="1:8" ht="29.1" customHeight="1" x14ac:dyDescent="0.2">
      <c r="A42" s="3">
        <v>36</v>
      </c>
      <c r="B42" s="4" t="s">
        <v>236</v>
      </c>
      <c r="C42" s="4" t="s">
        <v>237</v>
      </c>
      <c r="D42" s="4" t="s">
        <v>203</v>
      </c>
      <c r="E42" s="5">
        <v>44000</v>
      </c>
      <c r="F42" s="6">
        <v>920.85400000000004</v>
      </c>
      <c r="G42" s="7">
        <v>9.7432909999999994E-3</v>
      </c>
      <c r="H42" s="51"/>
    </row>
    <row r="43" spans="1:8" ht="17.100000000000001" customHeight="1" x14ac:dyDescent="0.2">
      <c r="A43" s="3">
        <v>37</v>
      </c>
      <c r="B43" s="4" t="s">
        <v>504</v>
      </c>
      <c r="C43" s="4" t="s">
        <v>505</v>
      </c>
      <c r="D43" s="4" t="s">
        <v>315</v>
      </c>
      <c r="E43" s="5">
        <v>36000</v>
      </c>
      <c r="F43" s="6">
        <v>909.86400000000003</v>
      </c>
      <c r="G43" s="7">
        <v>9.6270090000000006E-3</v>
      </c>
      <c r="H43" s="51"/>
    </row>
    <row r="44" spans="1:8" ht="29.1" customHeight="1" x14ac:dyDescent="0.2">
      <c r="A44" s="3">
        <v>38</v>
      </c>
      <c r="B44" s="4" t="s">
        <v>604</v>
      </c>
      <c r="C44" s="4" t="s">
        <v>605</v>
      </c>
      <c r="D44" s="4" t="s">
        <v>184</v>
      </c>
      <c r="E44" s="5">
        <v>50000</v>
      </c>
      <c r="F44" s="6">
        <v>879.57500000000005</v>
      </c>
      <c r="G44" s="7">
        <v>9.3065289999999991E-3</v>
      </c>
      <c r="H44" s="51"/>
    </row>
    <row r="45" spans="1:8" ht="17.100000000000001" customHeight="1" x14ac:dyDescent="0.2">
      <c r="A45" s="3">
        <v>39</v>
      </c>
      <c r="B45" s="4" t="s">
        <v>70</v>
      </c>
      <c r="C45" s="4" t="s">
        <v>71</v>
      </c>
      <c r="D45" s="4" t="s">
        <v>72</v>
      </c>
      <c r="E45" s="5">
        <v>27000</v>
      </c>
      <c r="F45" s="6">
        <v>867.33450000000005</v>
      </c>
      <c r="G45" s="7">
        <v>9.1770159999999996E-3</v>
      </c>
      <c r="H45" s="51"/>
    </row>
    <row r="46" spans="1:8" ht="17.100000000000001" customHeight="1" x14ac:dyDescent="0.2">
      <c r="A46" s="3">
        <v>40</v>
      </c>
      <c r="B46" s="4" t="s">
        <v>533</v>
      </c>
      <c r="C46" s="4" t="s">
        <v>534</v>
      </c>
      <c r="D46" s="4" t="s">
        <v>69</v>
      </c>
      <c r="E46" s="5">
        <v>68000</v>
      </c>
      <c r="F46" s="6">
        <v>846.6</v>
      </c>
      <c r="G46" s="7">
        <v>8.9576299999999994E-3</v>
      </c>
      <c r="H46" s="51"/>
    </row>
    <row r="47" spans="1:8" ht="17.100000000000001" customHeight="1" x14ac:dyDescent="0.2">
      <c r="A47" s="3">
        <v>41</v>
      </c>
      <c r="B47" s="4" t="s">
        <v>300</v>
      </c>
      <c r="C47" s="4" t="s">
        <v>301</v>
      </c>
      <c r="D47" s="4" t="s">
        <v>235</v>
      </c>
      <c r="E47" s="5">
        <v>66146</v>
      </c>
      <c r="F47" s="6">
        <v>827.122657</v>
      </c>
      <c r="G47" s="7">
        <v>8.7515460000000007E-3</v>
      </c>
      <c r="H47" s="51"/>
    </row>
    <row r="48" spans="1:8" ht="17.100000000000001" customHeight="1" x14ac:dyDescent="0.2">
      <c r="A48" s="3">
        <v>42</v>
      </c>
      <c r="B48" s="4" t="s">
        <v>107</v>
      </c>
      <c r="C48" s="4" t="s">
        <v>108</v>
      </c>
      <c r="D48" s="4" t="s">
        <v>92</v>
      </c>
      <c r="E48" s="5">
        <v>82001</v>
      </c>
      <c r="F48" s="6">
        <v>752.60517800000002</v>
      </c>
      <c r="G48" s="7">
        <v>7.9630980000000001E-3</v>
      </c>
      <c r="H48" s="51"/>
    </row>
    <row r="49" spans="1:8" ht="29.1" customHeight="1" x14ac:dyDescent="0.2">
      <c r="A49" s="3">
        <v>43</v>
      </c>
      <c r="B49" s="4" t="s">
        <v>224</v>
      </c>
      <c r="C49" s="4" t="s">
        <v>225</v>
      </c>
      <c r="D49" s="4" t="s">
        <v>203</v>
      </c>
      <c r="E49" s="5">
        <v>79880</v>
      </c>
      <c r="F49" s="6">
        <v>730.90200000000004</v>
      </c>
      <c r="G49" s="7">
        <v>7.7334630000000003E-3</v>
      </c>
      <c r="H49" s="51"/>
    </row>
    <row r="50" spans="1:8" ht="17.100000000000001" customHeight="1" x14ac:dyDescent="0.2">
      <c r="A50" s="3">
        <v>44</v>
      </c>
      <c r="B50" s="4" t="s">
        <v>516</v>
      </c>
      <c r="C50" s="4" t="s">
        <v>517</v>
      </c>
      <c r="D50" s="4" t="s">
        <v>223</v>
      </c>
      <c r="E50" s="5">
        <v>50504</v>
      </c>
      <c r="F50" s="6">
        <v>706.65196800000001</v>
      </c>
      <c r="G50" s="7">
        <v>7.4768810000000003E-3</v>
      </c>
      <c r="H50" s="51"/>
    </row>
    <row r="51" spans="1:8" ht="29.1" customHeight="1" x14ac:dyDescent="0.2">
      <c r="A51" s="3">
        <v>45</v>
      </c>
      <c r="B51" s="4" t="s">
        <v>610</v>
      </c>
      <c r="C51" s="4" t="s">
        <v>611</v>
      </c>
      <c r="D51" s="4" t="s">
        <v>235</v>
      </c>
      <c r="E51" s="5">
        <v>61375</v>
      </c>
      <c r="F51" s="6">
        <v>706.51831249999998</v>
      </c>
      <c r="G51" s="7">
        <v>7.4754670000000004E-3</v>
      </c>
      <c r="H51" s="51"/>
    </row>
    <row r="52" spans="1:8" ht="29.1" customHeight="1" x14ac:dyDescent="0.2">
      <c r="A52" s="3">
        <v>46</v>
      </c>
      <c r="B52" s="4" t="s">
        <v>488</v>
      </c>
      <c r="C52" s="4" t="s">
        <v>489</v>
      </c>
      <c r="D52" s="4" t="s">
        <v>203</v>
      </c>
      <c r="E52" s="5">
        <v>63000</v>
      </c>
      <c r="F52" s="6">
        <v>702.41849999999999</v>
      </c>
      <c r="G52" s="7">
        <v>7.4320879999999999E-3</v>
      </c>
      <c r="H52" s="51"/>
    </row>
    <row r="53" spans="1:8" ht="17.100000000000001" customHeight="1" x14ac:dyDescent="0.2">
      <c r="A53" s="3">
        <v>47</v>
      </c>
      <c r="B53" s="4" t="s">
        <v>742</v>
      </c>
      <c r="C53" s="4" t="s">
        <v>743</v>
      </c>
      <c r="D53" s="4" t="s">
        <v>223</v>
      </c>
      <c r="E53" s="5">
        <v>17000</v>
      </c>
      <c r="F53" s="6">
        <v>571.53150000000005</v>
      </c>
      <c r="G53" s="7">
        <v>6.0472099999999999E-3</v>
      </c>
      <c r="H53" s="51"/>
    </row>
    <row r="54" spans="1:8" ht="29.1" customHeight="1" x14ac:dyDescent="0.2">
      <c r="A54" s="3">
        <v>48</v>
      </c>
      <c r="B54" s="4" t="s">
        <v>353</v>
      </c>
      <c r="C54" s="4" t="s">
        <v>354</v>
      </c>
      <c r="D54" s="4" t="s">
        <v>203</v>
      </c>
      <c r="E54" s="5">
        <v>14839</v>
      </c>
      <c r="F54" s="6">
        <v>549.81462799999997</v>
      </c>
      <c r="G54" s="7">
        <v>5.8174300000000002E-3</v>
      </c>
      <c r="H54" s="51"/>
    </row>
    <row r="55" spans="1:8" ht="17.100000000000001" customHeight="1" x14ac:dyDescent="0.2">
      <c r="A55" s="3">
        <v>49</v>
      </c>
      <c r="B55" s="4" t="s">
        <v>265</v>
      </c>
      <c r="C55" s="4" t="s">
        <v>266</v>
      </c>
      <c r="D55" s="4" t="s">
        <v>208</v>
      </c>
      <c r="E55" s="5">
        <v>200000</v>
      </c>
      <c r="F55" s="6">
        <v>528.4</v>
      </c>
      <c r="G55" s="7">
        <v>5.5908479999999998E-3</v>
      </c>
      <c r="H55" s="51"/>
    </row>
    <row r="56" spans="1:8" ht="17.100000000000001" customHeight="1" x14ac:dyDescent="0.2">
      <c r="A56" s="3">
        <v>50</v>
      </c>
      <c r="B56" s="4" t="s">
        <v>271</v>
      </c>
      <c r="C56" s="4" t="s">
        <v>272</v>
      </c>
      <c r="D56" s="4" t="s">
        <v>72</v>
      </c>
      <c r="E56" s="5">
        <v>80000</v>
      </c>
      <c r="F56" s="6">
        <v>447.28</v>
      </c>
      <c r="G56" s="7">
        <v>4.7325409999999998E-3</v>
      </c>
      <c r="H56" s="51"/>
    </row>
    <row r="57" spans="1:8" ht="17.100000000000001" customHeight="1" x14ac:dyDescent="0.2">
      <c r="A57" s="3">
        <v>51</v>
      </c>
      <c r="B57" s="4" t="s">
        <v>342</v>
      </c>
      <c r="C57" s="4" t="s">
        <v>343</v>
      </c>
      <c r="D57" s="4" t="s">
        <v>232</v>
      </c>
      <c r="E57" s="5">
        <v>427730</v>
      </c>
      <c r="F57" s="6">
        <v>424.73588999999998</v>
      </c>
      <c r="G57" s="7">
        <v>4.4940079999999999E-3</v>
      </c>
      <c r="H57" s="51"/>
    </row>
    <row r="58" spans="1:8" ht="17.100000000000001" customHeight="1" x14ac:dyDescent="0.2">
      <c r="A58" s="3">
        <v>52</v>
      </c>
      <c r="B58" s="4" t="s">
        <v>325</v>
      </c>
      <c r="C58" s="4" t="s">
        <v>326</v>
      </c>
      <c r="D58" s="4" t="s">
        <v>223</v>
      </c>
      <c r="E58" s="5">
        <v>91000</v>
      </c>
      <c r="F58" s="6">
        <v>358.76749999999998</v>
      </c>
      <c r="G58" s="7">
        <v>3.7960149999999998E-3</v>
      </c>
      <c r="H58" s="51"/>
    </row>
    <row r="59" spans="1:8" ht="17.100000000000001" customHeight="1" x14ac:dyDescent="0.2">
      <c r="A59" s="3">
        <v>53</v>
      </c>
      <c r="B59" s="4" t="s">
        <v>238</v>
      </c>
      <c r="C59" s="4" t="s">
        <v>239</v>
      </c>
      <c r="D59" s="4" t="s">
        <v>104</v>
      </c>
      <c r="E59" s="5">
        <v>33000</v>
      </c>
      <c r="F59" s="6">
        <v>299.12849999999997</v>
      </c>
      <c r="G59" s="7">
        <v>3.1649920000000002E-3</v>
      </c>
      <c r="H59" s="51"/>
    </row>
    <row r="60" spans="1:8" ht="17.100000000000001" customHeight="1" x14ac:dyDescent="0.2">
      <c r="A60" s="3">
        <v>54</v>
      </c>
      <c r="B60" s="61" t="s">
        <v>1012</v>
      </c>
      <c r="C60" s="65" t="s">
        <v>125</v>
      </c>
      <c r="D60" s="61" t="s">
        <v>97</v>
      </c>
      <c r="E60" s="5">
        <v>98510</v>
      </c>
      <c r="F60" s="6">
        <v>297.25392499999998</v>
      </c>
      <c r="G60" s="7">
        <v>3.1451579999999999E-3</v>
      </c>
      <c r="H60" s="51"/>
    </row>
    <row r="61" spans="1:8" ht="17.100000000000001" customHeight="1" x14ac:dyDescent="0.2">
      <c r="A61" s="3">
        <v>55</v>
      </c>
      <c r="B61" s="4" t="s">
        <v>728</v>
      </c>
      <c r="C61" s="4" t="s">
        <v>729</v>
      </c>
      <c r="D61" s="4" t="s">
        <v>189</v>
      </c>
      <c r="E61" s="5">
        <v>370890</v>
      </c>
      <c r="F61" s="6">
        <v>231.24991499999999</v>
      </c>
      <c r="G61" s="7">
        <v>2.446789E-3</v>
      </c>
      <c r="H61" s="51"/>
    </row>
    <row r="62" spans="1:8" ht="17.100000000000001" customHeight="1" x14ac:dyDescent="0.2">
      <c r="A62" s="3">
        <v>56</v>
      </c>
      <c r="B62" s="4" t="s">
        <v>555</v>
      </c>
      <c r="C62" s="4" t="s">
        <v>556</v>
      </c>
      <c r="D62" s="4" t="s">
        <v>189</v>
      </c>
      <c r="E62" s="5">
        <v>8126</v>
      </c>
      <c r="F62" s="6">
        <v>114.479088</v>
      </c>
      <c r="G62" s="7">
        <v>1.21127E-3</v>
      </c>
      <c r="H62" s="51"/>
    </row>
    <row r="63" spans="1:8" ht="17.100000000000001" customHeight="1" x14ac:dyDescent="0.2">
      <c r="A63" s="3">
        <v>57</v>
      </c>
      <c r="B63" s="4" t="s">
        <v>514</v>
      </c>
      <c r="C63" s="4" t="s">
        <v>515</v>
      </c>
      <c r="D63" s="4" t="s">
        <v>315</v>
      </c>
      <c r="E63" s="5">
        <v>4</v>
      </c>
      <c r="F63" s="6">
        <v>2.8910000000000002E-2</v>
      </c>
      <c r="G63" s="8" t="s">
        <v>128</v>
      </c>
      <c r="H63" s="51"/>
    </row>
    <row r="64" spans="1:8" ht="14.1" customHeight="1" x14ac:dyDescent="0.2">
      <c r="A64" s="1"/>
      <c r="B64" s="1"/>
      <c r="C64" s="2" t="s">
        <v>129</v>
      </c>
      <c r="D64" s="1"/>
      <c r="E64" s="1" t="s">
        <v>130</v>
      </c>
      <c r="F64" s="9">
        <v>90750.472303999981</v>
      </c>
      <c r="G64" s="10">
        <v>0.96020427399999975</v>
      </c>
      <c r="H64" s="51"/>
    </row>
    <row r="65" spans="1:8" ht="14.1" customHeight="1" x14ac:dyDescent="0.2">
      <c r="A65" s="1"/>
      <c r="B65" s="1"/>
      <c r="C65" s="11"/>
      <c r="D65" s="1"/>
      <c r="E65" s="1"/>
      <c r="F65" s="12"/>
      <c r="G65" s="12"/>
      <c r="H65" s="51"/>
    </row>
    <row r="66" spans="1:8" ht="14.1" customHeight="1" x14ac:dyDescent="0.2">
      <c r="A66" s="1"/>
      <c r="B66" s="1"/>
      <c r="C66" s="2" t="s">
        <v>131</v>
      </c>
      <c r="D66" s="1"/>
      <c r="E66" s="1"/>
      <c r="F66" s="1"/>
      <c r="G66" s="1"/>
      <c r="H66" s="51"/>
    </row>
    <row r="67" spans="1:8" ht="14.1" customHeight="1" x14ac:dyDescent="0.2">
      <c r="A67" s="1"/>
      <c r="B67" s="1"/>
      <c r="C67" s="2" t="s">
        <v>129</v>
      </c>
      <c r="D67" s="1"/>
      <c r="E67" s="1" t="s">
        <v>130</v>
      </c>
      <c r="F67" s="13">
        <v>0</v>
      </c>
      <c r="G67" s="14">
        <v>0</v>
      </c>
      <c r="H67" s="51"/>
    </row>
    <row r="68" spans="1:8" ht="14.1" customHeight="1" x14ac:dyDescent="0.2">
      <c r="A68" s="1"/>
      <c r="B68" s="1"/>
      <c r="C68" s="11"/>
      <c r="D68" s="1"/>
      <c r="E68" s="1"/>
      <c r="F68" s="12"/>
      <c r="G68" s="12"/>
      <c r="H68" s="51"/>
    </row>
    <row r="69" spans="1:8" ht="14.1" customHeight="1" x14ac:dyDescent="0.2">
      <c r="A69" s="1"/>
      <c r="B69" s="1"/>
      <c r="C69" s="2" t="s">
        <v>132</v>
      </c>
      <c r="D69" s="1"/>
      <c r="E69" s="1"/>
      <c r="F69" s="1"/>
      <c r="G69" s="1"/>
      <c r="H69" s="51"/>
    </row>
    <row r="70" spans="1:8" ht="29.1" customHeight="1" x14ac:dyDescent="0.2">
      <c r="A70" s="3">
        <v>1</v>
      </c>
      <c r="B70" s="4" t="s">
        <v>642</v>
      </c>
      <c r="C70" s="38" t="s">
        <v>981</v>
      </c>
      <c r="D70" s="4" t="s">
        <v>643</v>
      </c>
      <c r="E70" s="5">
        <v>374002</v>
      </c>
      <c r="F70" s="6">
        <v>19.448104000000001</v>
      </c>
      <c r="G70" s="7">
        <v>2.05775E-4</v>
      </c>
      <c r="H70" s="51"/>
    </row>
    <row r="71" spans="1:8" ht="17.100000000000001" customHeight="1" x14ac:dyDescent="0.2">
      <c r="A71" s="3">
        <v>2</v>
      </c>
      <c r="B71" s="4" t="s">
        <v>647</v>
      </c>
      <c r="C71" s="38" t="s">
        <v>982</v>
      </c>
      <c r="D71" s="4"/>
      <c r="E71" s="5">
        <v>200000</v>
      </c>
      <c r="F71" s="6">
        <v>1.9999999999999999E-6</v>
      </c>
      <c r="G71" s="8" t="s">
        <v>128</v>
      </c>
      <c r="H71" s="51"/>
    </row>
    <row r="72" spans="1:8" ht="14.1" customHeight="1" x14ac:dyDescent="0.2">
      <c r="A72" s="1"/>
      <c r="B72" s="1"/>
      <c r="C72" s="2" t="s">
        <v>129</v>
      </c>
      <c r="D72" s="1"/>
      <c r="E72" s="1" t="s">
        <v>130</v>
      </c>
      <c r="F72" s="13">
        <v>19.448105999999999</v>
      </c>
      <c r="G72" s="14">
        <v>2.05775E-4</v>
      </c>
      <c r="H72" s="51"/>
    </row>
    <row r="73" spans="1:8" ht="14.1" customHeight="1" x14ac:dyDescent="0.2">
      <c r="A73" s="1"/>
      <c r="B73" s="1"/>
      <c r="C73" s="11"/>
      <c r="D73" s="1"/>
      <c r="E73" s="1"/>
      <c r="F73" s="12"/>
      <c r="G73" s="12"/>
      <c r="H73" s="51"/>
    </row>
    <row r="74" spans="1:8" ht="14.1" customHeight="1" x14ac:dyDescent="0.2">
      <c r="A74" s="1"/>
      <c r="B74" s="1"/>
      <c r="C74" s="2" t="s">
        <v>133</v>
      </c>
      <c r="D74" s="1"/>
      <c r="E74" s="1"/>
      <c r="F74" s="1"/>
      <c r="G74" s="1"/>
      <c r="H74" s="51"/>
    </row>
    <row r="75" spans="1:8" ht="14.1" customHeight="1" x14ac:dyDescent="0.2">
      <c r="A75" s="1"/>
      <c r="B75" s="1"/>
      <c r="C75" s="2" t="s">
        <v>129</v>
      </c>
      <c r="D75" s="1"/>
      <c r="E75" s="1" t="s">
        <v>130</v>
      </c>
      <c r="F75" s="9">
        <v>0</v>
      </c>
      <c r="G75" s="10">
        <v>0</v>
      </c>
      <c r="H75" s="51"/>
    </row>
    <row r="76" spans="1:8" ht="14.1" customHeight="1" x14ac:dyDescent="0.2">
      <c r="A76" s="1"/>
      <c r="B76" s="1"/>
      <c r="C76" s="11"/>
      <c r="D76" s="1"/>
      <c r="E76" s="1"/>
      <c r="F76" s="12"/>
      <c r="G76" s="12"/>
      <c r="H76" s="51"/>
    </row>
    <row r="77" spans="1:8" ht="14.1" customHeight="1" x14ac:dyDescent="0.2">
      <c r="A77" s="1"/>
      <c r="B77" s="1"/>
      <c r="C77" s="2" t="s">
        <v>134</v>
      </c>
      <c r="D77" s="1"/>
      <c r="E77" s="1"/>
      <c r="F77" s="12"/>
      <c r="G77" s="12"/>
      <c r="H77" s="51"/>
    </row>
    <row r="78" spans="1:8" ht="14.1" customHeight="1" x14ac:dyDescent="0.2">
      <c r="A78" s="1"/>
      <c r="B78" s="1"/>
      <c r="C78" s="2" t="s">
        <v>129</v>
      </c>
      <c r="D78" s="1"/>
      <c r="E78" s="1" t="s">
        <v>130</v>
      </c>
      <c r="F78" s="13">
        <v>0</v>
      </c>
      <c r="G78" s="14">
        <v>0</v>
      </c>
      <c r="H78" s="51"/>
    </row>
    <row r="79" spans="1:8" ht="14.1" customHeight="1" x14ac:dyDescent="0.2">
      <c r="A79" s="1"/>
      <c r="B79" s="1"/>
      <c r="C79" s="11"/>
      <c r="D79" s="1"/>
      <c r="E79" s="1"/>
      <c r="F79" s="12"/>
      <c r="G79" s="12"/>
      <c r="H79" s="51"/>
    </row>
    <row r="80" spans="1:8" ht="14.1" customHeight="1" x14ac:dyDescent="0.2">
      <c r="A80" s="1"/>
      <c r="B80" s="1"/>
      <c r="C80" s="2" t="s">
        <v>135</v>
      </c>
      <c r="D80" s="1"/>
      <c r="E80" s="1"/>
      <c r="F80" s="12"/>
      <c r="G80" s="12"/>
      <c r="H80" s="51"/>
    </row>
    <row r="81" spans="1:8" ht="14.1" customHeight="1" x14ac:dyDescent="0.2">
      <c r="A81" s="1"/>
      <c r="B81" s="1"/>
      <c r="C81" s="2" t="s">
        <v>129</v>
      </c>
      <c r="D81" s="1"/>
      <c r="E81" s="1" t="s">
        <v>130</v>
      </c>
      <c r="F81" s="13">
        <v>0</v>
      </c>
      <c r="G81" s="14">
        <v>0</v>
      </c>
      <c r="H81" s="51"/>
    </row>
    <row r="82" spans="1:8" ht="14.1" customHeight="1" x14ac:dyDescent="0.2">
      <c r="A82" s="1"/>
      <c r="B82" s="1"/>
      <c r="C82" s="11"/>
      <c r="D82" s="1"/>
      <c r="E82" s="1"/>
      <c r="F82" s="12"/>
      <c r="G82" s="12"/>
      <c r="H82" s="51"/>
    </row>
    <row r="83" spans="1:8" ht="18" customHeight="1" x14ac:dyDescent="0.2">
      <c r="A83" s="1"/>
      <c r="B83" s="1"/>
      <c r="C83" s="2" t="s">
        <v>136</v>
      </c>
      <c r="D83" s="1"/>
      <c r="E83" s="1"/>
      <c r="F83" s="9">
        <v>90769.920410000006</v>
      </c>
      <c r="G83" s="10">
        <v>0.96041035500000005</v>
      </c>
      <c r="H83" s="51"/>
    </row>
    <row r="84" spans="1:8" ht="14.1" customHeight="1" x14ac:dyDescent="0.2">
      <c r="A84" s="1"/>
      <c r="B84" s="1"/>
      <c r="C84" s="11"/>
      <c r="D84" s="1"/>
      <c r="E84" s="1"/>
      <c r="F84" s="12"/>
      <c r="G84" s="12"/>
      <c r="H84" s="51"/>
    </row>
    <row r="85" spans="1:8" ht="14.1" customHeight="1" x14ac:dyDescent="0.2">
      <c r="A85" s="1"/>
      <c r="B85" s="1"/>
      <c r="C85" s="2" t="s">
        <v>137</v>
      </c>
      <c r="D85" s="1"/>
      <c r="E85" s="1"/>
      <c r="F85" s="12"/>
      <c r="G85" s="12"/>
      <c r="H85" s="51"/>
    </row>
    <row r="86" spans="1:8" ht="24" customHeight="1" x14ac:dyDescent="0.2">
      <c r="A86" s="1"/>
      <c r="B86" s="1"/>
      <c r="C86" s="2" t="s">
        <v>10</v>
      </c>
      <c r="D86" s="1"/>
      <c r="E86" s="1"/>
      <c r="F86" s="12"/>
      <c r="G86" s="12"/>
      <c r="H86" s="51"/>
    </row>
    <row r="87" spans="1:8" ht="14.1" customHeight="1" x14ac:dyDescent="0.2">
      <c r="A87" s="1"/>
      <c r="B87" s="1"/>
      <c r="C87" s="2" t="s">
        <v>129</v>
      </c>
      <c r="D87" s="1"/>
      <c r="E87" s="1" t="s">
        <v>130</v>
      </c>
      <c r="F87" s="13">
        <v>0</v>
      </c>
      <c r="G87" s="14">
        <v>0</v>
      </c>
      <c r="H87" s="51"/>
    </row>
    <row r="88" spans="1:8" ht="14.1" customHeight="1" x14ac:dyDescent="0.2">
      <c r="A88" s="1"/>
      <c r="B88" s="1"/>
      <c r="C88" s="11"/>
      <c r="D88" s="1"/>
      <c r="E88" s="1"/>
      <c r="F88" s="12"/>
      <c r="G88" s="12"/>
      <c r="H88" s="51"/>
    </row>
    <row r="89" spans="1:8" ht="14.1" customHeight="1" x14ac:dyDescent="0.2">
      <c r="A89" s="1"/>
      <c r="B89" s="1"/>
      <c r="C89" s="2" t="s">
        <v>138</v>
      </c>
      <c r="D89" s="1"/>
      <c r="E89" s="1"/>
      <c r="F89" s="1"/>
      <c r="G89" s="1"/>
      <c r="H89" s="51"/>
    </row>
    <row r="90" spans="1:8" ht="14.1" customHeight="1" x14ac:dyDescent="0.2">
      <c r="A90" s="1"/>
      <c r="B90" s="1"/>
      <c r="C90" s="2" t="s">
        <v>129</v>
      </c>
      <c r="D90" s="1"/>
      <c r="E90" s="1" t="s">
        <v>130</v>
      </c>
      <c r="F90" s="13">
        <v>0</v>
      </c>
      <c r="G90" s="14">
        <v>0</v>
      </c>
      <c r="H90" s="51"/>
    </row>
    <row r="91" spans="1:8" ht="14.1" customHeight="1" x14ac:dyDescent="0.2">
      <c r="A91" s="1"/>
      <c r="B91" s="1"/>
      <c r="C91" s="11"/>
      <c r="D91" s="1"/>
      <c r="E91" s="1"/>
      <c r="F91" s="12"/>
      <c r="G91" s="12"/>
      <c r="H91" s="51"/>
    </row>
    <row r="92" spans="1:8" ht="14.1" customHeight="1" x14ac:dyDescent="0.2">
      <c r="A92" s="1"/>
      <c r="B92" s="1"/>
      <c r="C92" s="2" t="s">
        <v>139</v>
      </c>
      <c r="D92" s="1"/>
      <c r="E92" s="1"/>
      <c r="F92" s="1"/>
      <c r="G92" s="1"/>
      <c r="H92" s="51"/>
    </row>
    <row r="93" spans="1:8" ht="14.1" customHeight="1" x14ac:dyDescent="0.2">
      <c r="A93" s="1"/>
      <c r="B93" s="1"/>
      <c r="C93" s="2" t="s">
        <v>129</v>
      </c>
      <c r="D93" s="1"/>
      <c r="E93" s="1" t="s">
        <v>130</v>
      </c>
      <c r="F93" s="13">
        <v>0</v>
      </c>
      <c r="G93" s="14">
        <v>0</v>
      </c>
      <c r="H93" s="51"/>
    </row>
    <row r="94" spans="1:8" ht="14.1" customHeight="1" x14ac:dyDescent="0.2">
      <c r="A94" s="1"/>
      <c r="B94" s="1"/>
      <c r="C94" s="11"/>
      <c r="D94" s="1"/>
      <c r="E94" s="1"/>
      <c r="F94" s="12"/>
      <c r="G94" s="12"/>
      <c r="H94" s="51"/>
    </row>
    <row r="95" spans="1:8" ht="14.1" customHeight="1" x14ac:dyDescent="0.2">
      <c r="A95" s="1"/>
      <c r="B95" s="1"/>
      <c r="C95" s="2" t="s">
        <v>140</v>
      </c>
      <c r="D95" s="1"/>
      <c r="E95" s="1"/>
      <c r="F95" s="12"/>
      <c r="G95" s="12"/>
      <c r="H95" s="51"/>
    </row>
    <row r="96" spans="1:8" ht="14.1" customHeight="1" x14ac:dyDescent="0.2">
      <c r="A96" s="1"/>
      <c r="B96" s="1"/>
      <c r="C96" s="2" t="s">
        <v>129</v>
      </c>
      <c r="D96" s="1"/>
      <c r="E96" s="1" t="s">
        <v>130</v>
      </c>
      <c r="F96" s="13">
        <v>0</v>
      </c>
      <c r="G96" s="14">
        <v>0</v>
      </c>
      <c r="H96" s="51"/>
    </row>
    <row r="97" spans="1:8" ht="14.1" customHeight="1" x14ac:dyDescent="0.2">
      <c r="A97" s="1"/>
      <c r="B97" s="1"/>
      <c r="C97" s="11"/>
      <c r="D97" s="1"/>
      <c r="E97" s="1"/>
      <c r="F97" s="12"/>
      <c r="G97" s="12"/>
      <c r="H97" s="51"/>
    </row>
    <row r="98" spans="1:8" ht="14.1" customHeight="1" x14ac:dyDescent="0.2">
      <c r="A98" s="1"/>
      <c r="B98" s="1"/>
      <c r="C98" s="2" t="s">
        <v>141</v>
      </c>
      <c r="D98" s="1"/>
      <c r="E98" s="1"/>
      <c r="F98" s="9">
        <v>0</v>
      </c>
      <c r="G98" s="10">
        <v>0</v>
      </c>
      <c r="H98" s="51"/>
    </row>
    <row r="99" spans="1:8" ht="14.1" customHeight="1" x14ac:dyDescent="0.2">
      <c r="A99" s="1"/>
      <c r="B99" s="1"/>
      <c r="C99" s="11"/>
      <c r="D99" s="1"/>
      <c r="E99" s="1"/>
      <c r="F99" s="12"/>
      <c r="G99" s="12"/>
      <c r="H99" s="51"/>
    </row>
    <row r="100" spans="1:8" ht="14.1" customHeight="1" x14ac:dyDescent="0.2">
      <c r="A100" s="1"/>
      <c r="B100" s="1"/>
      <c r="C100" s="2" t="s">
        <v>142</v>
      </c>
      <c r="D100" s="1"/>
      <c r="E100" s="1"/>
      <c r="F100" s="12"/>
      <c r="G100" s="12"/>
      <c r="H100" s="51"/>
    </row>
    <row r="101" spans="1:8" ht="14.1" customHeight="1" x14ac:dyDescent="0.2">
      <c r="A101" s="1"/>
      <c r="B101" s="1"/>
      <c r="C101" s="2" t="s">
        <v>143</v>
      </c>
      <c r="D101" s="1"/>
      <c r="E101" s="1"/>
      <c r="F101" s="12"/>
      <c r="G101" s="12"/>
      <c r="H101" s="51"/>
    </row>
    <row r="102" spans="1:8" ht="14.1" customHeight="1" x14ac:dyDescent="0.2">
      <c r="A102" s="1"/>
      <c r="B102" s="1"/>
      <c r="C102" s="2" t="s">
        <v>129</v>
      </c>
      <c r="D102" s="1"/>
      <c r="E102" s="1" t="s">
        <v>130</v>
      </c>
      <c r="F102" s="13">
        <v>0</v>
      </c>
      <c r="G102" s="14">
        <v>0</v>
      </c>
      <c r="H102" s="51"/>
    </row>
    <row r="103" spans="1:8" ht="14.1" customHeight="1" x14ac:dyDescent="0.2">
      <c r="A103" s="1"/>
      <c r="B103" s="1"/>
      <c r="C103" s="11"/>
      <c r="D103" s="1"/>
      <c r="E103" s="1"/>
      <c r="F103" s="12"/>
      <c r="G103" s="12"/>
      <c r="H103" s="51"/>
    </row>
    <row r="104" spans="1:8" ht="14.1" customHeight="1" x14ac:dyDescent="0.2">
      <c r="A104" s="1"/>
      <c r="B104" s="1"/>
      <c r="C104" s="2" t="s">
        <v>144</v>
      </c>
      <c r="D104" s="1"/>
      <c r="E104" s="1"/>
      <c r="F104" s="12"/>
      <c r="G104" s="12"/>
      <c r="H104" s="51"/>
    </row>
    <row r="105" spans="1:8" ht="14.1" customHeight="1" x14ac:dyDescent="0.2">
      <c r="A105" s="1"/>
      <c r="B105" s="1"/>
      <c r="C105" s="2" t="s">
        <v>129</v>
      </c>
      <c r="D105" s="1"/>
      <c r="E105" s="1" t="s">
        <v>130</v>
      </c>
      <c r="F105" s="13">
        <v>0</v>
      </c>
      <c r="G105" s="14">
        <v>0</v>
      </c>
      <c r="H105" s="51"/>
    </row>
    <row r="106" spans="1:8" ht="14.1" customHeight="1" x14ac:dyDescent="0.2">
      <c r="A106" s="1"/>
      <c r="B106" s="1"/>
      <c r="C106" s="11"/>
      <c r="D106" s="1"/>
      <c r="E106" s="1"/>
      <c r="F106" s="12"/>
      <c r="G106" s="12"/>
      <c r="H106" s="51"/>
    </row>
    <row r="107" spans="1:8" ht="14.1" customHeight="1" x14ac:dyDescent="0.2">
      <c r="A107" s="1"/>
      <c r="B107" s="1"/>
      <c r="C107" s="2" t="s">
        <v>145</v>
      </c>
      <c r="D107" s="1"/>
      <c r="E107" s="1"/>
      <c r="F107" s="12"/>
      <c r="G107" s="12"/>
      <c r="H107" s="51"/>
    </row>
    <row r="108" spans="1:8" ht="14.1" customHeight="1" x14ac:dyDescent="0.2">
      <c r="A108" s="1"/>
      <c r="B108" s="1"/>
      <c r="C108" s="2" t="s">
        <v>129</v>
      </c>
      <c r="D108" s="1"/>
      <c r="E108" s="1" t="s">
        <v>130</v>
      </c>
      <c r="F108" s="13">
        <v>0</v>
      </c>
      <c r="G108" s="14">
        <v>0</v>
      </c>
      <c r="H108" s="51"/>
    </row>
    <row r="109" spans="1:8" ht="14.1" customHeight="1" x14ac:dyDescent="0.2">
      <c r="A109" s="1"/>
      <c r="B109" s="1"/>
      <c r="C109" s="11"/>
      <c r="D109" s="1"/>
      <c r="E109" s="1"/>
      <c r="F109" s="12"/>
      <c r="G109" s="12"/>
      <c r="H109" s="51"/>
    </row>
    <row r="110" spans="1:8" ht="14.1" customHeight="1" x14ac:dyDescent="0.2">
      <c r="A110" s="1"/>
      <c r="B110" s="1"/>
      <c r="C110" s="2" t="s">
        <v>146</v>
      </c>
      <c r="D110" s="1"/>
      <c r="E110" s="1"/>
      <c r="F110" s="12"/>
      <c r="G110" s="12"/>
      <c r="H110" s="51"/>
    </row>
    <row r="111" spans="1:8" ht="17.100000000000001" customHeight="1" x14ac:dyDescent="0.2">
      <c r="A111" s="3">
        <v>1</v>
      </c>
      <c r="B111" s="4"/>
      <c r="C111" s="4" t="s">
        <v>147</v>
      </c>
      <c r="D111" s="4"/>
      <c r="E111" s="8"/>
      <c r="F111" s="6">
        <v>2403.5034135999999</v>
      </c>
      <c r="G111" s="7">
        <v>2.5430777000000002E-2</v>
      </c>
      <c r="H111" s="51">
        <v>6.1245112103248278</v>
      </c>
    </row>
    <row r="112" spans="1:8" ht="14.1" customHeight="1" x14ac:dyDescent="0.2">
      <c r="A112" s="1"/>
      <c r="B112" s="1"/>
      <c r="C112" s="2" t="s">
        <v>129</v>
      </c>
      <c r="D112" s="1"/>
      <c r="E112" s="1" t="s">
        <v>130</v>
      </c>
      <c r="F112" s="9">
        <v>2403.5034135999999</v>
      </c>
      <c r="G112" s="10">
        <v>2.5430777000000002E-2</v>
      </c>
      <c r="H112" s="51"/>
    </row>
    <row r="113" spans="1:8" ht="14.1" customHeight="1" x14ac:dyDescent="0.2">
      <c r="A113" s="1"/>
      <c r="B113" s="1"/>
      <c r="C113" s="11"/>
      <c r="D113" s="1"/>
      <c r="E113" s="1"/>
      <c r="F113" s="12"/>
      <c r="G113" s="12"/>
      <c r="H113" s="51"/>
    </row>
    <row r="114" spans="1:8" ht="14.1" customHeight="1" x14ac:dyDescent="0.2">
      <c r="A114" s="1"/>
      <c r="B114" s="1"/>
      <c r="C114" s="2" t="s">
        <v>148</v>
      </c>
      <c r="D114" s="1"/>
      <c r="E114" s="1"/>
      <c r="F114" s="9">
        <v>2403.5034135999999</v>
      </c>
      <c r="G114" s="10">
        <v>2.5430777000000002E-2</v>
      </c>
      <c r="H114" s="51"/>
    </row>
    <row r="115" spans="1:8" ht="14.1" customHeight="1" x14ac:dyDescent="0.2">
      <c r="A115" s="1"/>
      <c r="B115" s="1"/>
      <c r="C115" s="12"/>
      <c r="D115" s="1"/>
      <c r="E115" s="1"/>
      <c r="F115" s="1"/>
      <c r="G115" s="1"/>
      <c r="H115" s="51"/>
    </row>
    <row r="116" spans="1:8" ht="14.1" customHeight="1" x14ac:dyDescent="0.2">
      <c r="A116" s="1"/>
      <c r="B116" s="1"/>
      <c r="C116" s="2" t="s">
        <v>149</v>
      </c>
      <c r="D116" s="1"/>
      <c r="E116" s="1"/>
      <c r="F116" s="1"/>
      <c r="G116" s="1"/>
      <c r="H116" s="51"/>
    </row>
    <row r="117" spans="1:8" ht="14.1" customHeight="1" x14ac:dyDescent="0.2">
      <c r="A117" s="1"/>
      <c r="B117" s="1"/>
      <c r="C117" s="2" t="s">
        <v>150</v>
      </c>
      <c r="D117" s="1"/>
      <c r="E117" s="1"/>
      <c r="F117" s="1"/>
      <c r="G117" s="1"/>
      <c r="H117" s="51"/>
    </row>
    <row r="118" spans="1:8" ht="14.1" customHeight="1" x14ac:dyDescent="0.2">
      <c r="A118" s="1"/>
      <c r="B118" s="1"/>
      <c r="C118" s="2" t="s">
        <v>129</v>
      </c>
      <c r="D118" s="1"/>
      <c r="E118" s="1" t="s">
        <v>130</v>
      </c>
      <c r="F118" s="13">
        <v>0</v>
      </c>
      <c r="G118" s="14">
        <v>0</v>
      </c>
      <c r="H118" s="51"/>
    </row>
    <row r="119" spans="1:8" ht="14.1" customHeight="1" x14ac:dyDescent="0.2">
      <c r="A119" s="1"/>
      <c r="B119" s="1"/>
      <c r="C119" s="11"/>
      <c r="D119" s="1"/>
      <c r="E119" s="1"/>
      <c r="F119" s="12"/>
      <c r="G119" s="12"/>
      <c r="H119" s="51"/>
    </row>
    <row r="120" spans="1:8" ht="14.1" customHeight="1" x14ac:dyDescent="0.2">
      <c r="A120" s="1"/>
      <c r="B120" s="1"/>
      <c r="C120" s="2" t="s">
        <v>151</v>
      </c>
      <c r="D120" s="1"/>
      <c r="E120" s="1"/>
      <c r="F120" s="1"/>
      <c r="G120" s="1"/>
      <c r="H120" s="51"/>
    </row>
    <row r="121" spans="1:8" ht="14.1" customHeight="1" x14ac:dyDescent="0.2">
      <c r="A121" s="1"/>
      <c r="B121" s="1"/>
      <c r="C121" s="2" t="s">
        <v>152</v>
      </c>
      <c r="D121" s="1"/>
      <c r="E121" s="1"/>
      <c r="F121" s="1"/>
      <c r="G121" s="1"/>
      <c r="H121" s="51"/>
    </row>
    <row r="122" spans="1:8" ht="14.1" customHeight="1" x14ac:dyDescent="0.2">
      <c r="A122" s="1"/>
      <c r="B122" s="1"/>
      <c r="C122" s="2" t="s">
        <v>129</v>
      </c>
      <c r="D122" s="1"/>
      <c r="E122" s="1" t="s">
        <v>130</v>
      </c>
      <c r="F122" s="13">
        <v>0</v>
      </c>
      <c r="G122" s="14">
        <v>0</v>
      </c>
      <c r="H122" s="51"/>
    </row>
    <row r="123" spans="1:8" ht="14.1" customHeight="1" x14ac:dyDescent="0.2">
      <c r="A123" s="1"/>
      <c r="B123" s="1"/>
      <c r="C123" s="11"/>
      <c r="D123" s="1"/>
      <c r="E123" s="1"/>
      <c r="F123" s="12"/>
      <c r="G123" s="12"/>
      <c r="H123" s="51"/>
    </row>
    <row r="124" spans="1:8" ht="14.1" customHeight="1" x14ac:dyDescent="0.2">
      <c r="A124" s="1"/>
      <c r="B124" s="1"/>
      <c r="C124" s="11"/>
      <c r="D124" s="1"/>
      <c r="E124" s="1"/>
      <c r="F124" s="12"/>
      <c r="G124" s="12"/>
      <c r="H124" s="51"/>
    </row>
    <row r="125" spans="1:8" ht="24" customHeight="1" x14ac:dyDescent="0.2">
      <c r="A125" s="1"/>
      <c r="B125" s="1"/>
      <c r="C125" s="2" t="s">
        <v>153</v>
      </c>
      <c r="D125" s="1"/>
      <c r="E125" s="1"/>
      <c r="F125" s="12"/>
      <c r="G125" s="12"/>
      <c r="H125" s="51"/>
    </row>
    <row r="126" spans="1:8" ht="14.1" customHeight="1" x14ac:dyDescent="0.2">
      <c r="A126" s="1"/>
      <c r="B126" s="1"/>
      <c r="C126" s="2" t="s">
        <v>129</v>
      </c>
      <c r="D126" s="1"/>
      <c r="E126" s="1" t="s">
        <v>130</v>
      </c>
      <c r="F126" s="13">
        <v>0</v>
      </c>
      <c r="G126" s="14">
        <v>0</v>
      </c>
      <c r="H126" s="51"/>
    </row>
    <row r="127" spans="1:8" ht="14.1" customHeight="1" x14ac:dyDescent="0.2">
      <c r="A127" s="1"/>
      <c r="B127" s="1"/>
      <c r="C127" s="11"/>
      <c r="D127" s="1"/>
      <c r="E127" s="1"/>
      <c r="F127" s="12"/>
      <c r="G127" s="12"/>
      <c r="H127" s="51"/>
    </row>
    <row r="128" spans="1:8" ht="14.1" customHeight="1" x14ac:dyDescent="0.2">
      <c r="A128" s="1"/>
      <c r="B128" s="4"/>
      <c r="C128" s="4"/>
      <c r="D128" s="2"/>
      <c r="E128" s="1"/>
      <c r="F128" s="4"/>
      <c r="G128" s="8"/>
      <c r="H128" s="51"/>
    </row>
    <row r="129" spans="1:8" ht="18" customHeight="1" x14ac:dyDescent="0.2">
      <c r="A129" s="8"/>
      <c r="B129" s="4"/>
      <c r="C129" s="4" t="s">
        <v>154</v>
      </c>
      <c r="D129" s="4"/>
      <c r="E129" s="8"/>
      <c r="F129" s="6">
        <v>1338.17723662</v>
      </c>
      <c r="G129" s="7">
        <v>1.4158867E-2</v>
      </c>
      <c r="H129" s="51"/>
    </row>
    <row r="130" spans="1:8" ht="14.1" customHeight="1" x14ac:dyDescent="0.2">
      <c r="A130" s="11"/>
      <c r="B130" s="11"/>
      <c r="C130" s="2" t="s">
        <v>155</v>
      </c>
      <c r="D130" s="15"/>
      <c r="E130" s="15"/>
      <c r="F130" s="9">
        <v>94511.601060219997</v>
      </c>
      <c r="G130" s="10">
        <v>0.99999999900000003</v>
      </c>
      <c r="H130" s="51"/>
    </row>
    <row r="131" spans="1:8" ht="14.1" customHeight="1" x14ac:dyDescent="0.2">
      <c r="A131" s="16"/>
      <c r="B131" s="16"/>
      <c r="C131" s="16"/>
      <c r="D131" s="17"/>
      <c r="E131" s="17"/>
      <c r="F131" s="17"/>
      <c r="G131" s="17"/>
    </row>
    <row r="132" spans="1:8" ht="17.100000000000001" customHeight="1" x14ac:dyDescent="0.2">
      <c r="A132" s="18"/>
      <c r="B132" s="327" t="s">
        <v>156</v>
      </c>
      <c r="C132" s="327"/>
      <c r="D132" s="327"/>
      <c r="E132" s="327"/>
      <c r="F132" s="327"/>
      <c r="G132" s="20"/>
    </row>
    <row r="133" spans="1:8" ht="14.1" customHeight="1" x14ac:dyDescent="0.2">
      <c r="A133" s="18"/>
      <c r="B133" s="18"/>
      <c r="C133" s="18"/>
      <c r="D133" s="20"/>
      <c r="E133" s="20"/>
      <c r="F133" s="20"/>
      <c r="G133" s="20"/>
    </row>
    <row r="134" spans="1:8" ht="14.1" customHeight="1" x14ac:dyDescent="0.2">
      <c r="A134" s="18"/>
      <c r="B134" s="325" t="s">
        <v>157</v>
      </c>
      <c r="C134" s="326"/>
      <c r="D134" s="12" t="s">
        <v>130</v>
      </c>
      <c r="E134" s="21"/>
      <c r="F134" s="20"/>
      <c r="G134" s="20"/>
    </row>
    <row r="135" spans="1:8" ht="29.1" customHeight="1" x14ac:dyDescent="0.2">
      <c r="A135" s="18"/>
      <c r="B135" s="318" t="s">
        <v>158</v>
      </c>
      <c r="C135" s="319"/>
      <c r="D135" s="111" t="s">
        <v>980</v>
      </c>
      <c r="E135" s="21"/>
      <c r="F135" s="20"/>
      <c r="G135" s="20"/>
    </row>
    <row r="136" spans="1:8" ht="17.100000000000001" customHeight="1" x14ac:dyDescent="0.2">
      <c r="A136" s="18"/>
      <c r="B136" s="318" t="s">
        <v>983</v>
      </c>
      <c r="C136" s="319"/>
      <c r="D136" s="111" t="s">
        <v>984</v>
      </c>
      <c r="E136" s="21"/>
      <c r="F136" s="20"/>
      <c r="G136" s="20"/>
    </row>
    <row r="137" spans="1:8" ht="17.100000000000001" customHeight="1" x14ac:dyDescent="0.2">
      <c r="A137" s="18"/>
      <c r="B137" s="318" t="s">
        <v>161</v>
      </c>
      <c r="C137" s="319"/>
      <c r="D137" s="12" t="s">
        <v>130</v>
      </c>
      <c r="E137" s="21"/>
      <c r="F137" s="20"/>
      <c r="G137" s="20"/>
    </row>
    <row r="138" spans="1:8" ht="24" customHeight="1" x14ac:dyDescent="0.2">
      <c r="A138" s="22"/>
      <c r="B138" s="23" t="s">
        <v>130</v>
      </c>
      <c r="C138" s="23" t="s">
        <v>162</v>
      </c>
      <c r="D138" s="23" t="s">
        <v>163</v>
      </c>
      <c r="E138" s="22"/>
      <c r="F138" s="22"/>
      <c r="G138" s="22"/>
    </row>
    <row r="139" spans="1:8" ht="18" customHeight="1" x14ac:dyDescent="0.2">
      <c r="A139" s="22"/>
      <c r="B139" s="23" t="s">
        <v>164</v>
      </c>
      <c r="C139" s="23" t="s">
        <v>165</v>
      </c>
      <c r="D139" s="23" t="s">
        <v>166</v>
      </c>
      <c r="E139" s="22"/>
      <c r="F139" s="22"/>
      <c r="G139" s="22"/>
    </row>
    <row r="140" spans="1:8" ht="17.100000000000001" customHeight="1" x14ac:dyDescent="0.2">
      <c r="A140" s="22"/>
      <c r="B140" s="4" t="s">
        <v>167</v>
      </c>
      <c r="C140" s="24">
        <v>357.62779999999998</v>
      </c>
      <c r="D140" s="24">
        <v>349.48219999999998</v>
      </c>
      <c r="E140" s="22"/>
      <c r="F140" s="19"/>
      <c r="G140" s="25"/>
    </row>
    <row r="141" spans="1:8" ht="29.1" customHeight="1" x14ac:dyDescent="0.2">
      <c r="A141" s="22"/>
      <c r="B141" s="4" t="s">
        <v>1070</v>
      </c>
      <c r="C141" s="24">
        <v>357.41800000000001</v>
      </c>
      <c r="D141" s="24">
        <v>349.25880000000001</v>
      </c>
      <c r="E141" s="22"/>
      <c r="F141" s="19"/>
      <c r="G141" s="25"/>
    </row>
    <row r="142" spans="1:8" ht="17.100000000000001" customHeight="1" x14ac:dyDescent="0.2">
      <c r="A142" s="22"/>
      <c r="B142" s="4" t="s">
        <v>168</v>
      </c>
      <c r="C142" s="24">
        <v>339.9067</v>
      </c>
      <c r="D142" s="24">
        <v>332.00139999999999</v>
      </c>
      <c r="E142" s="22"/>
      <c r="F142" s="19"/>
      <c r="G142" s="25"/>
    </row>
    <row r="143" spans="1:8" ht="29.1" customHeight="1" x14ac:dyDescent="0.2">
      <c r="A143" s="22"/>
      <c r="B143" s="4" t="s">
        <v>1071</v>
      </c>
      <c r="C143" s="24">
        <v>339.89089999999999</v>
      </c>
      <c r="D143" s="24">
        <v>319.8109</v>
      </c>
      <c r="E143" s="22"/>
      <c r="F143" s="19"/>
      <c r="G143" s="25"/>
    </row>
    <row r="144" spans="1:8" ht="14.1" customHeight="1" x14ac:dyDescent="0.2">
      <c r="A144" s="22"/>
      <c r="B144" s="22"/>
      <c r="C144" s="22"/>
      <c r="D144" s="22"/>
      <c r="E144" s="22"/>
      <c r="F144" s="22"/>
      <c r="G144" s="22"/>
    </row>
    <row r="145" spans="1:7" ht="17.100000000000001" customHeight="1" x14ac:dyDescent="0.2">
      <c r="A145" s="85"/>
      <c r="B145" s="348" t="s">
        <v>1069</v>
      </c>
      <c r="C145" s="349"/>
      <c r="D145" s="59" t="s">
        <v>130</v>
      </c>
      <c r="E145" s="85"/>
      <c r="F145" s="85"/>
      <c r="G145" s="85"/>
    </row>
    <row r="146" spans="1:7" ht="18" customHeight="1" x14ac:dyDescent="0.2">
      <c r="A146" s="85"/>
      <c r="B146" s="91" t="s">
        <v>164</v>
      </c>
      <c r="C146" s="92" t="s">
        <v>761</v>
      </c>
      <c r="D146" s="92" t="s">
        <v>760</v>
      </c>
      <c r="E146" s="85"/>
      <c r="F146" s="85"/>
      <c r="G146" s="85"/>
    </row>
    <row r="147" spans="1:7" ht="29.1" customHeight="1" x14ac:dyDescent="0.2">
      <c r="A147" s="85"/>
      <c r="B147" s="61" t="s">
        <v>1071</v>
      </c>
      <c r="C147" s="93">
        <v>12.023</v>
      </c>
      <c r="D147" s="69" t="s">
        <v>837</v>
      </c>
      <c r="E147" s="85"/>
      <c r="F147" s="89"/>
      <c r="G147" s="90"/>
    </row>
    <row r="148" spans="1:7" ht="14.1" customHeight="1" x14ac:dyDescent="0.2">
      <c r="A148" s="22"/>
      <c r="B148" s="19"/>
      <c r="C148" s="19"/>
      <c r="D148" s="22"/>
      <c r="E148" s="22"/>
      <c r="F148" s="22"/>
      <c r="G148" s="22"/>
    </row>
    <row r="149" spans="1:7" ht="29.1" customHeight="1" x14ac:dyDescent="0.2">
      <c r="A149" s="22"/>
      <c r="B149" s="318" t="s">
        <v>169</v>
      </c>
      <c r="C149" s="319"/>
      <c r="D149" s="2" t="s">
        <v>159</v>
      </c>
      <c r="E149" s="22"/>
      <c r="F149" s="22"/>
      <c r="G149" s="22"/>
    </row>
    <row r="150" spans="1:7" ht="29.1" customHeight="1" x14ac:dyDescent="0.2">
      <c r="A150" s="22"/>
      <c r="B150" s="318" t="s">
        <v>170</v>
      </c>
      <c r="C150" s="319"/>
      <c r="D150" s="2" t="s">
        <v>159</v>
      </c>
      <c r="E150" s="22"/>
      <c r="F150" s="22"/>
      <c r="G150" s="22"/>
    </row>
    <row r="151" spans="1:7" ht="17.100000000000001" customHeight="1" x14ac:dyDescent="0.2">
      <c r="A151" s="22"/>
      <c r="B151" s="318" t="s">
        <v>171</v>
      </c>
      <c r="C151" s="319"/>
      <c r="D151" s="28">
        <v>0.37629319507715336</v>
      </c>
      <c r="E151" s="22"/>
      <c r="F151" s="19"/>
      <c r="G151" s="25"/>
    </row>
    <row r="152" spans="1:7" ht="17.100000000000001" customHeight="1" x14ac:dyDescent="0.2">
      <c r="A152" s="22"/>
      <c r="B152" s="318" t="s">
        <v>172</v>
      </c>
      <c r="C152" s="319"/>
      <c r="D152" s="2" t="s">
        <v>159</v>
      </c>
      <c r="E152" s="22"/>
      <c r="F152" s="22"/>
      <c r="G152" s="22"/>
    </row>
    <row r="154" spans="1:7" x14ac:dyDescent="0.2">
      <c r="B154" s="102" t="s">
        <v>993</v>
      </c>
      <c r="C154" s="102"/>
      <c r="D154" s="102"/>
      <c r="E154" s="103"/>
      <c r="F154" s="104"/>
    </row>
    <row r="155" spans="1:7" ht="38.25" x14ac:dyDescent="0.2">
      <c r="B155" s="105" t="s">
        <v>973</v>
      </c>
      <c r="C155" s="105" t="s">
        <v>974</v>
      </c>
      <c r="D155" s="105" t="s">
        <v>975</v>
      </c>
      <c r="E155" s="105" t="s">
        <v>976</v>
      </c>
      <c r="F155" s="105" t="s">
        <v>977</v>
      </c>
    </row>
    <row r="156" spans="1:7" x14ac:dyDescent="0.2">
      <c r="B156" s="106" t="s">
        <v>978</v>
      </c>
      <c r="C156" s="107" t="s">
        <v>979</v>
      </c>
      <c r="D156" s="108">
        <v>0</v>
      </c>
      <c r="E156" s="109">
        <v>0</v>
      </c>
      <c r="F156" s="110">
        <v>0.54925000000000002</v>
      </c>
    </row>
  </sheetData>
  <mergeCells count="14">
    <mergeCell ref="A1:H1"/>
    <mergeCell ref="A3:H3"/>
    <mergeCell ref="J2:N2"/>
    <mergeCell ref="B151:C151"/>
    <mergeCell ref="B152:C152"/>
    <mergeCell ref="B135:C135"/>
    <mergeCell ref="B136:C136"/>
    <mergeCell ref="B137:C137"/>
    <mergeCell ref="B145:C145"/>
    <mergeCell ref="B149:C149"/>
    <mergeCell ref="B150:C150"/>
    <mergeCell ref="B134:C134"/>
    <mergeCell ref="B132:F132"/>
    <mergeCell ref="A2:H2"/>
  </mergeCells>
  <hyperlinks>
    <hyperlink ref="I1" location="Index!B32" display="Index" xr:uid="{F067C50C-CED8-4EEF-8DFF-2D655F956835}"/>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outlinePr summaryBelow="0" summaryRight="0"/>
  </sheetPr>
  <dimension ref="A1:N130"/>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862</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308</v>
      </c>
      <c r="C7" s="4" t="s">
        <v>309</v>
      </c>
      <c r="D7" s="4" t="s">
        <v>310</v>
      </c>
      <c r="E7" s="5">
        <v>469036</v>
      </c>
      <c r="F7" s="6">
        <v>12647.321222</v>
      </c>
      <c r="G7" s="7">
        <v>0.101633418</v>
      </c>
      <c r="H7" s="51"/>
    </row>
    <row r="8" spans="1:14" ht="17.100000000000001" customHeight="1" x14ac:dyDescent="0.2">
      <c r="A8" s="3">
        <v>2</v>
      </c>
      <c r="B8" s="4" t="s">
        <v>374</v>
      </c>
      <c r="C8" s="4" t="s">
        <v>375</v>
      </c>
      <c r="D8" s="4" t="s">
        <v>104</v>
      </c>
      <c r="E8" s="5">
        <v>293714</v>
      </c>
      <c r="F8" s="6">
        <v>7656.9771229999997</v>
      </c>
      <c r="G8" s="7">
        <v>6.1531192999999998E-2</v>
      </c>
      <c r="H8" s="51"/>
    </row>
    <row r="9" spans="1:14" ht="17.100000000000001" customHeight="1" x14ac:dyDescent="0.2">
      <c r="A9" s="3">
        <v>3</v>
      </c>
      <c r="B9" s="4" t="s">
        <v>179</v>
      </c>
      <c r="C9" s="4" t="s">
        <v>180</v>
      </c>
      <c r="D9" s="4" t="s">
        <v>181</v>
      </c>
      <c r="E9" s="5">
        <v>676217</v>
      </c>
      <c r="F9" s="6">
        <v>7061.057914</v>
      </c>
      <c r="G9" s="7">
        <v>5.6742407000000002E-2</v>
      </c>
      <c r="H9" s="51"/>
    </row>
    <row r="10" spans="1:14" ht="17.100000000000001" customHeight="1" x14ac:dyDescent="0.2">
      <c r="A10" s="3">
        <v>4</v>
      </c>
      <c r="B10" s="4" t="s">
        <v>14</v>
      </c>
      <c r="C10" s="4" t="s">
        <v>15</v>
      </c>
      <c r="D10" s="4" t="s">
        <v>16</v>
      </c>
      <c r="E10" s="5">
        <v>764613</v>
      </c>
      <c r="F10" s="6">
        <v>6590.9640600000002</v>
      </c>
      <c r="G10" s="7">
        <v>5.2964749999999998E-2</v>
      </c>
      <c r="H10" s="51"/>
    </row>
    <row r="11" spans="1:14" ht="17.100000000000001" customHeight="1" x14ac:dyDescent="0.2">
      <c r="A11" s="3">
        <v>5</v>
      </c>
      <c r="B11" s="4" t="s">
        <v>269</v>
      </c>
      <c r="C11" s="4" t="s">
        <v>270</v>
      </c>
      <c r="D11" s="4" t="s">
        <v>16</v>
      </c>
      <c r="E11" s="5">
        <v>461466</v>
      </c>
      <c r="F11" s="6">
        <v>6559.0469910000002</v>
      </c>
      <c r="G11" s="7">
        <v>5.2708265999999997E-2</v>
      </c>
      <c r="H11" s="51"/>
    </row>
    <row r="12" spans="1:14" ht="17.100000000000001" customHeight="1" x14ac:dyDescent="0.2">
      <c r="A12" s="3">
        <v>6</v>
      </c>
      <c r="B12" s="4" t="s">
        <v>67</v>
      </c>
      <c r="C12" s="4" t="s">
        <v>68</v>
      </c>
      <c r="D12" s="4" t="s">
        <v>69</v>
      </c>
      <c r="E12" s="5">
        <v>72295</v>
      </c>
      <c r="F12" s="6">
        <v>6382.3110425000004</v>
      </c>
      <c r="G12" s="7">
        <v>5.1288022000000003E-2</v>
      </c>
      <c r="H12" s="51"/>
      <c r="J12" s="157"/>
    </row>
    <row r="13" spans="1:14" ht="17.100000000000001" customHeight="1" x14ac:dyDescent="0.2">
      <c r="A13" s="3">
        <v>7</v>
      </c>
      <c r="B13" s="4" t="s">
        <v>321</v>
      </c>
      <c r="C13" s="4" t="s">
        <v>322</v>
      </c>
      <c r="D13" s="4" t="s">
        <v>310</v>
      </c>
      <c r="E13" s="5">
        <v>1670266</v>
      </c>
      <c r="F13" s="6">
        <v>5548.6236520000002</v>
      </c>
      <c r="G13" s="7">
        <v>4.4588540000000003E-2</v>
      </c>
      <c r="H13" s="51"/>
    </row>
    <row r="14" spans="1:14" ht="29.1" customHeight="1" x14ac:dyDescent="0.2">
      <c r="A14" s="3">
        <v>8</v>
      </c>
      <c r="B14" s="4" t="s">
        <v>185</v>
      </c>
      <c r="C14" s="4" t="s">
        <v>186</v>
      </c>
      <c r="D14" s="4" t="s">
        <v>104</v>
      </c>
      <c r="E14" s="5">
        <v>1340150</v>
      </c>
      <c r="F14" s="6">
        <v>5520.0778499999997</v>
      </c>
      <c r="G14" s="7">
        <v>4.4359147000000002E-2</v>
      </c>
      <c r="H14" s="51"/>
      <c r="J14" s="157" t="s">
        <v>1113</v>
      </c>
    </row>
    <row r="15" spans="1:14" ht="17.100000000000001" customHeight="1" x14ac:dyDescent="0.2">
      <c r="A15" s="3">
        <v>9</v>
      </c>
      <c r="B15" s="4" t="s">
        <v>190</v>
      </c>
      <c r="C15" s="4" t="s">
        <v>191</v>
      </c>
      <c r="D15" s="4" t="s">
        <v>192</v>
      </c>
      <c r="E15" s="5">
        <v>9596</v>
      </c>
      <c r="F15" s="6">
        <v>4861.9237540000004</v>
      </c>
      <c r="G15" s="7">
        <v>3.9070243999999997E-2</v>
      </c>
      <c r="H15" s="51"/>
    </row>
    <row r="16" spans="1:14" ht="17.100000000000001" customHeight="1" x14ac:dyDescent="0.2">
      <c r="A16" s="3">
        <v>10</v>
      </c>
      <c r="B16" s="4" t="s">
        <v>584</v>
      </c>
      <c r="C16" s="4" t="s">
        <v>585</v>
      </c>
      <c r="D16" s="4" t="s">
        <v>69</v>
      </c>
      <c r="E16" s="5">
        <v>102546</v>
      </c>
      <c r="F16" s="6">
        <v>3765.0789359999999</v>
      </c>
      <c r="G16" s="7">
        <v>3.0256038999999998E-2</v>
      </c>
      <c r="H16" s="51"/>
    </row>
    <row r="17" spans="1:8" ht="17.100000000000001" customHeight="1" x14ac:dyDescent="0.2">
      <c r="A17" s="3">
        <v>11</v>
      </c>
      <c r="B17" s="4" t="s">
        <v>606</v>
      </c>
      <c r="C17" s="4" t="s">
        <v>607</v>
      </c>
      <c r="D17" s="4" t="s">
        <v>181</v>
      </c>
      <c r="E17" s="5">
        <v>442284</v>
      </c>
      <c r="F17" s="6">
        <v>3725.3581319999998</v>
      </c>
      <c r="G17" s="7">
        <v>2.9936844000000001E-2</v>
      </c>
      <c r="H17" s="51"/>
    </row>
    <row r="18" spans="1:8" ht="17.100000000000001" customHeight="1" x14ac:dyDescent="0.2">
      <c r="A18" s="3">
        <v>12</v>
      </c>
      <c r="B18" s="4" t="s">
        <v>559</v>
      </c>
      <c r="C18" s="4" t="s">
        <v>560</v>
      </c>
      <c r="D18" s="4" t="s">
        <v>104</v>
      </c>
      <c r="E18" s="5">
        <v>101000</v>
      </c>
      <c r="F18" s="6">
        <v>3375.8744999999999</v>
      </c>
      <c r="G18" s="7">
        <v>2.7128406000000001E-2</v>
      </c>
      <c r="H18" s="51"/>
    </row>
    <row r="19" spans="1:8" ht="17.100000000000001" customHeight="1" x14ac:dyDescent="0.2">
      <c r="A19" s="3">
        <v>13</v>
      </c>
      <c r="B19" s="4" t="s">
        <v>383</v>
      </c>
      <c r="C19" s="4" t="s">
        <v>384</v>
      </c>
      <c r="D19" s="4" t="s">
        <v>104</v>
      </c>
      <c r="E19" s="5">
        <v>168807</v>
      </c>
      <c r="F19" s="6">
        <v>2784.3870615000001</v>
      </c>
      <c r="G19" s="7">
        <v>2.2375234000000001E-2</v>
      </c>
      <c r="H19" s="51"/>
    </row>
    <row r="20" spans="1:8" ht="17.100000000000001" customHeight="1" x14ac:dyDescent="0.2">
      <c r="A20" s="3">
        <v>14</v>
      </c>
      <c r="B20" s="4" t="s">
        <v>206</v>
      </c>
      <c r="C20" s="4" t="s">
        <v>207</v>
      </c>
      <c r="D20" s="4" t="s">
        <v>208</v>
      </c>
      <c r="E20" s="5">
        <v>60999</v>
      </c>
      <c r="F20" s="6">
        <v>2673.8301660000002</v>
      </c>
      <c r="G20" s="7">
        <v>2.1486802999999999E-2</v>
      </c>
      <c r="H20" s="51"/>
    </row>
    <row r="21" spans="1:8" ht="29.1" customHeight="1" x14ac:dyDescent="0.2">
      <c r="A21" s="3">
        <v>15</v>
      </c>
      <c r="B21" s="4" t="s">
        <v>365</v>
      </c>
      <c r="C21" s="4" t="s">
        <v>366</v>
      </c>
      <c r="D21" s="4" t="s">
        <v>367</v>
      </c>
      <c r="E21" s="5">
        <v>326201</v>
      </c>
      <c r="F21" s="6">
        <v>2618.9047285000001</v>
      </c>
      <c r="G21" s="7">
        <v>2.1045424E-2</v>
      </c>
      <c r="H21" s="51"/>
    </row>
    <row r="22" spans="1:8" ht="17.100000000000001" customHeight="1" x14ac:dyDescent="0.2">
      <c r="A22" s="3">
        <v>16</v>
      </c>
      <c r="B22" s="4" t="s">
        <v>311</v>
      </c>
      <c r="C22" s="4" t="s">
        <v>312</v>
      </c>
      <c r="D22" s="4" t="s">
        <v>69</v>
      </c>
      <c r="E22" s="5">
        <v>195927</v>
      </c>
      <c r="F22" s="6">
        <v>2484.7462139999998</v>
      </c>
      <c r="G22" s="7">
        <v>1.9967331000000001E-2</v>
      </c>
      <c r="H22" s="51"/>
    </row>
    <row r="23" spans="1:8" ht="17.100000000000001" customHeight="1" x14ac:dyDescent="0.2">
      <c r="A23" s="3">
        <v>17</v>
      </c>
      <c r="B23" s="4" t="s">
        <v>216</v>
      </c>
      <c r="C23" s="4" t="s">
        <v>217</v>
      </c>
      <c r="D23" s="4" t="s">
        <v>104</v>
      </c>
      <c r="E23" s="5">
        <v>2557299</v>
      </c>
      <c r="F23" s="6">
        <v>2462.6789370000001</v>
      </c>
      <c r="G23" s="7">
        <v>1.9789998999999999E-2</v>
      </c>
      <c r="H23" s="51"/>
    </row>
    <row r="24" spans="1:8" ht="17.100000000000001" customHeight="1" x14ac:dyDescent="0.2">
      <c r="A24" s="3">
        <v>18</v>
      </c>
      <c r="B24" s="4" t="s">
        <v>349</v>
      </c>
      <c r="C24" s="4" t="s">
        <v>350</v>
      </c>
      <c r="D24" s="4" t="s">
        <v>97</v>
      </c>
      <c r="E24" s="5">
        <v>33455</v>
      </c>
      <c r="F24" s="6">
        <v>2454.1751625000002</v>
      </c>
      <c r="G24" s="7">
        <v>1.9721663E-2</v>
      </c>
      <c r="H24" s="51"/>
    </row>
    <row r="25" spans="1:8" ht="17.100000000000001" customHeight="1" x14ac:dyDescent="0.2">
      <c r="A25" s="3">
        <v>19</v>
      </c>
      <c r="B25" s="4" t="s">
        <v>355</v>
      </c>
      <c r="C25" s="4" t="s">
        <v>356</v>
      </c>
      <c r="D25" s="4" t="s">
        <v>189</v>
      </c>
      <c r="E25" s="5">
        <v>52454</v>
      </c>
      <c r="F25" s="6">
        <v>2300.9209369999999</v>
      </c>
      <c r="G25" s="7">
        <v>1.8490118E-2</v>
      </c>
      <c r="H25" s="51"/>
    </row>
    <row r="26" spans="1:8" ht="17.100000000000001" customHeight="1" x14ac:dyDescent="0.2">
      <c r="A26" s="3">
        <v>20</v>
      </c>
      <c r="B26" s="4" t="s">
        <v>686</v>
      </c>
      <c r="C26" s="4" t="s">
        <v>687</v>
      </c>
      <c r="D26" s="4" t="s">
        <v>260</v>
      </c>
      <c r="E26" s="5">
        <v>11926</v>
      </c>
      <c r="F26" s="6">
        <v>2283.2088480000002</v>
      </c>
      <c r="G26" s="7">
        <v>1.8347783999999999E-2</v>
      </c>
      <c r="H26" s="51"/>
    </row>
    <row r="27" spans="1:8" ht="17.100000000000001" customHeight="1" x14ac:dyDescent="0.2">
      <c r="A27" s="3">
        <v>21</v>
      </c>
      <c r="B27" s="4" t="s">
        <v>90</v>
      </c>
      <c r="C27" s="4" t="s">
        <v>91</v>
      </c>
      <c r="D27" s="4" t="s">
        <v>92</v>
      </c>
      <c r="E27" s="5">
        <v>441855</v>
      </c>
      <c r="F27" s="6">
        <v>2247.7163850000002</v>
      </c>
      <c r="G27" s="7">
        <v>1.8062568000000001E-2</v>
      </c>
      <c r="H27" s="51"/>
    </row>
    <row r="28" spans="1:8" ht="17.100000000000001" customHeight="1" x14ac:dyDescent="0.2">
      <c r="A28" s="3">
        <v>22</v>
      </c>
      <c r="B28" s="4" t="s">
        <v>389</v>
      </c>
      <c r="C28" s="4" t="s">
        <v>390</v>
      </c>
      <c r="D28" s="4" t="s">
        <v>248</v>
      </c>
      <c r="E28" s="5">
        <v>295409</v>
      </c>
      <c r="F28" s="6">
        <v>2122.2182560000001</v>
      </c>
      <c r="G28" s="7">
        <v>1.7054070000000001E-2</v>
      </c>
      <c r="H28" s="51"/>
    </row>
    <row r="29" spans="1:8" ht="17.100000000000001" customHeight="1" x14ac:dyDescent="0.2">
      <c r="A29" s="3">
        <v>23</v>
      </c>
      <c r="B29" s="4" t="s">
        <v>238</v>
      </c>
      <c r="C29" s="4" t="s">
        <v>239</v>
      </c>
      <c r="D29" s="4" t="s">
        <v>104</v>
      </c>
      <c r="E29" s="5">
        <v>222989</v>
      </c>
      <c r="F29" s="6">
        <v>2021.2837904999999</v>
      </c>
      <c r="G29" s="7">
        <v>1.6242963999999999E-2</v>
      </c>
      <c r="H29" s="51"/>
    </row>
    <row r="30" spans="1:8" ht="17.100000000000001" customHeight="1" x14ac:dyDescent="0.2">
      <c r="A30" s="3">
        <v>24</v>
      </c>
      <c r="B30" s="4" t="s">
        <v>249</v>
      </c>
      <c r="C30" s="4" t="s">
        <v>250</v>
      </c>
      <c r="D30" s="4" t="s">
        <v>251</v>
      </c>
      <c r="E30" s="5">
        <v>750000</v>
      </c>
      <c r="F30" s="6">
        <v>1936.125</v>
      </c>
      <c r="G30" s="7">
        <v>1.5558631E-2</v>
      </c>
      <c r="H30" s="51"/>
    </row>
    <row r="31" spans="1:8" ht="17.100000000000001" customHeight="1" x14ac:dyDescent="0.2">
      <c r="A31" s="3">
        <v>25</v>
      </c>
      <c r="B31" s="4" t="s">
        <v>582</v>
      </c>
      <c r="C31" s="4" t="s">
        <v>583</v>
      </c>
      <c r="D31" s="4" t="s">
        <v>260</v>
      </c>
      <c r="E31" s="5">
        <v>47367</v>
      </c>
      <c r="F31" s="6">
        <v>1820.3374934999999</v>
      </c>
      <c r="G31" s="7">
        <v>1.4628166999999999E-2</v>
      </c>
      <c r="H31" s="51"/>
    </row>
    <row r="32" spans="1:8" ht="17.100000000000001" customHeight="1" x14ac:dyDescent="0.2">
      <c r="A32" s="3">
        <v>26</v>
      </c>
      <c r="B32" s="4" t="s">
        <v>744</v>
      </c>
      <c r="C32" s="4" t="s">
        <v>745</v>
      </c>
      <c r="D32" s="4" t="s">
        <v>248</v>
      </c>
      <c r="E32" s="5">
        <v>922900</v>
      </c>
      <c r="F32" s="6">
        <v>1796.8862999999999</v>
      </c>
      <c r="G32" s="7">
        <v>1.4439713999999999E-2</v>
      </c>
      <c r="H32" s="51"/>
    </row>
    <row r="33" spans="1:8" ht="17.100000000000001" customHeight="1" x14ac:dyDescent="0.2">
      <c r="A33" s="3">
        <v>27</v>
      </c>
      <c r="B33" s="4" t="s">
        <v>525</v>
      </c>
      <c r="C33" s="4" t="s">
        <v>526</v>
      </c>
      <c r="D33" s="4" t="s">
        <v>104</v>
      </c>
      <c r="E33" s="5">
        <v>95725</v>
      </c>
      <c r="F33" s="6">
        <v>1615.0722000000001</v>
      </c>
      <c r="G33" s="7">
        <v>1.2978662E-2</v>
      </c>
      <c r="H33" s="51"/>
    </row>
    <row r="34" spans="1:8" ht="17.100000000000001" customHeight="1" x14ac:dyDescent="0.2">
      <c r="A34" s="3">
        <v>28</v>
      </c>
      <c r="B34" s="4" t="s">
        <v>372</v>
      </c>
      <c r="C34" s="4" t="s">
        <v>373</v>
      </c>
      <c r="D34" s="4" t="s">
        <v>189</v>
      </c>
      <c r="E34" s="5">
        <v>120851</v>
      </c>
      <c r="F34" s="6">
        <v>1537.3455710000001</v>
      </c>
      <c r="G34" s="7">
        <v>1.2354054E-2</v>
      </c>
      <c r="H34" s="51"/>
    </row>
    <row r="35" spans="1:8" ht="17.100000000000001" customHeight="1" x14ac:dyDescent="0.2">
      <c r="A35" s="3">
        <v>29</v>
      </c>
      <c r="B35" s="4" t="s">
        <v>214</v>
      </c>
      <c r="C35" s="4" t="s">
        <v>215</v>
      </c>
      <c r="D35" s="4" t="s">
        <v>181</v>
      </c>
      <c r="E35" s="5">
        <v>84437</v>
      </c>
      <c r="F35" s="6">
        <v>1441.2551530000001</v>
      </c>
      <c r="G35" s="7">
        <v>1.1581875E-2</v>
      </c>
      <c r="H35" s="51"/>
    </row>
    <row r="36" spans="1:8" ht="17.100000000000001" customHeight="1" x14ac:dyDescent="0.2">
      <c r="A36" s="3">
        <v>30</v>
      </c>
      <c r="B36" s="4" t="s">
        <v>720</v>
      </c>
      <c r="C36" s="4" t="s">
        <v>721</v>
      </c>
      <c r="D36" s="4" t="s">
        <v>189</v>
      </c>
      <c r="E36" s="5">
        <v>34028</v>
      </c>
      <c r="F36" s="6">
        <v>1313.684968</v>
      </c>
      <c r="G36" s="7">
        <v>1.0556724999999999E-2</v>
      </c>
      <c r="H36" s="51"/>
    </row>
    <row r="37" spans="1:8" ht="17.100000000000001" customHeight="1" x14ac:dyDescent="0.2">
      <c r="A37" s="3">
        <v>31</v>
      </c>
      <c r="B37" s="4" t="s">
        <v>258</v>
      </c>
      <c r="C37" s="4" t="s">
        <v>259</v>
      </c>
      <c r="D37" s="4" t="s">
        <v>260</v>
      </c>
      <c r="E37" s="5">
        <v>103000</v>
      </c>
      <c r="F37" s="6">
        <v>1079.749</v>
      </c>
      <c r="G37" s="7">
        <v>8.6768239999999996E-3</v>
      </c>
      <c r="H37" s="51"/>
    </row>
    <row r="38" spans="1:8" ht="17.100000000000001" customHeight="1" x14ac:dyDescent="0.2">
      <c r="A38" s="3">
        <v>32</v>
      </c>
      <c r="B38" s="4" t="s">
        <v>504</v>
      </c>
      <c r="C38" s="4" t="s">
        <v>505</v>
      </c>
      <c r="D38" s="4" t="s">
        <v>315</v>
      </c>
      <c r="E38" s="5">
        <v>31203</v>
      </c>
      <c r="F38" s="6">
        <v>788.62462200000004</v>
      </c>
      <c r="G38" s="7">
        <v>6.3373589999999999E-3</v>
      </c>
      <c r="H38" s="51"/>
    </row>
    <row r="39" spans="1:8" ht="29.1" customHeight="1" x14ac:dyDescent="0.2">
      <c r="A39" s="3">
        <v>33</v>
      </c>
      <c r="B39" s="4" t="s">
        <v>23</v>
      </c>
      <c r="C39" s="4" t="s">
        <v>24</v>
      </c>
      <c r="D39" s="4" t="s">
        <v>25</v>
      </c>
      <c r="E39" s="5">
        <v>12517</v>
      </c>
      <c r="F39" s="6">
        <v>782.95086700000002</v>
      </c>
      <c r="G39" s="7">
        <v>6.2917650000000004E-3</v>
      </c>
      <c r="H39" s="51"/>
    </row>
    <row r="40" spans="1:8" ht="17.100000000000001" customHeight="1" x14ac:dyDescent="0.2">
      <c r="A40" s="3">
        <v>34</v>
      </c>
      <c r="B40" s="4" t="s">
        <v>746</v>
      </c>
      <c r="C40" s="4" t="s">
        <v>747</v>
      </c>
      <c r="D40" s="4" t="s">
        <v>104</v>
      </c>
      <c r="E40" s="5">
        <v>142914</v>
      </c>
      <c r="F40" s="6">
        <v>781.73958000000005</v>
      </c>
      <c r="G40" s="7">
        <v>6.2820310000000004E-3</v>
      </c>
      <c r="H40" s="51"/>
    </row>
    <row r="41" spans="1:8" ht="17.100000000000001" customHeight="1" x14ac:dyDescent="0.2">
      <c r="A41" s="3">
        <v>35</v>
      </c>
      <c r="B41" s="4" t="s">
        <v>680</v>
      </c>
      <c r="C41" s="4" t="s">
        <v>681</v>
      </c>
      <c r="D41" s="4" t="s">
        <v>284</v>
      </c>
      <c r="E41" s="5">
        <v>60000</v>
      </c>
      <c r="F41" s="6">
        <v>546.27</v>
      </c>
      <c r="G41" s="7">
        <v>4.3898059999999996E-3</v>
      </c>
      <c r="H41" s="51"/>
    </row>
    <row r="42" spans="1:8" ht="17.100000000000001" customHeight="1" x14ac:dyDescent="0.2">
      <c r="A42" s="3">
        <v>36</v>
      </c>
      <c r="B42" s="4" t="s">
        <v>692</v>
      </c>
      <c r="C42" s="4" t="s">
        <v>693</v>
      </c>
      <c r="D42" s="4" t="s">
        <v>284</v>
      </c>
      <c r="E42" s="5">
        <v>76424</v>
      </c>
      <c r="F42" s="6">
        <v>411.04648400000002</v>
      </c>
      <c r="G42" s="7">
        <v>3.3031549999999999E-3</v>
      </c>
      <c r="H42" s="51"/>
    </row>
    <row r="43" spans="1:8" ht="17.100000000000001" customHeight="1" x14ac:dyDescent="0.2">
      <c r="A43" s="3">
        <v>37</v>
      </c>
      <c r="B43" s="4" t="s">
        <v>102</v>
      </c>
      <c r="C43" s="4" t="s">
        <v>103</v>
      </c>
      <c r="D43" s="4" t="s">
        <v>104</v>
      </c>
      <c r="E43" s="5">
        <v>20000</v>
      </c>
      <c r="F43" s="6">
        <v>85.17</v>
      </c>
      <c r="G43" s="7">
        <v>6.8442299999999998E-4</v>
      </c>
      <c r="H43" s="51"/>
    </row>
    <row r="44" spans="1:8" ht="17.100000000000001" customHeight="1" x14ac:dyDescent="0.2">
      <c r="A44" s="3">
        <v>38</v>
      </c>
      <c r="B44" s="4" t="s">
        <v>543</v>
      </c>
      <c r="C44" s="4" t="s">
        <v>544</v>
      </c>
      <c r="D44" s="4" t="s">
        <v>315</v>
      </c>
      <c r="E44" s="5">
        <v>11055</v>
      </c>
      <c r="F44" s="6">
        <v>80.723609999999994</v>
      </c>
      <c r="G44" s="7">
        <v>6.4869199999999998E-4</v>
      </c>
      <c r="H44" s="51"/>
    </row>
    <row r="45" spans="1:8" ht="17.100000000000001" customHeight="1" x14ac:dyDescent="0.2">
      <c r="A45" s="3">
        <v>39</v>
      </c>
      <c r="B45" s="4" t="s">
        <v>256</v>
      </c>
      <c r="C45" s="4" t="s">
        <v>257</v>
      </c>
      <c r="D45" s="4" t="s">
        <v>104</v>
      </c>
      <c r="E45" s="5">
        <v>278</v>
      </c>
      <c r="F45" s="6">
        <v>2.5466190000000002</v>
      </c>
      <c r="G45" s="8" t="s">
        <v>128</v>
      </c>
      <c r="H45" s="51"/>
    </row>
    <row r="46" spans="1:8" ht="14.1" customHeight="1" x14ac:dyDescent="0.2">
      <c r="A46" s="1"/>
      <c r="B46" s="1"/>
      <c r="C46" s="2" t="s">
        <v>129</v>
      </c>
      <c r="D46" s="1"/>
      <c r="E46" s="1" t="s">
        <v>130</v>
      </c>
      <c r="F46" s="9">
        <v>116168.21313</v>
      </c>
      <c r="G46" s="10">
        <v>0.93352358199999996</v>
      </c>
      <c r="H46" s="51"/>
    </row>
    <row r="47" spans="1:8" ht="14.1" customHeight="1" x14ac:dyDescent="0.2">
      <c r="A47" s="1"/>
      <c r="B47" s="1"/>
      <c r="C47" s="11"/>
      <c r="D47" s="1"/>
      <c r="E47" s="1"/>
      <c r="F47" s="12"/>
      <c r="G47" s="12"/>
      <c r="H47" s="51"/>
    </row>
    <row r="48" spans="1:8" ht="14.1" customHeight="1" x14ac:dyDescent="0.2">
      <c r="A48" s="1"/>
      <c r="B48" s="1"/>
      <c r="C48" s="2" t="s">
        <v>131</v>
      </c>
      <c r="D48" s="1"/>
      <c r="E48" s="1"/>
      <c r="F48" s="1"/>
      <c r="G48" s="1"/>
      <c r="H48" s="51"/>
    </row>
    <row r="49" spans="1:8" ht="14.1" customHeight="1" x14ac:dyDescent="0.2">
      <c r="A49" s="1"/>
      <c r="B49" s="1"/>
      <c r="C49" s="2" t="s">
        <v>129</v>
      </c>
      <c r="D49" s="1"/>
      <c r="E49" s="1" t="s">
        <v>130</v>
      </c>
      <c r="F49" s="13">
        <v>0</v>
      </c>
      <c r="G49" s="14">
        <v>0</v>
      </c>
      <c r="H49" s="51"/>
    </row>
    <row r="50" spans="1:8" ht="14.1" customHeight="1" x14ac:dyDescent="0.2">
      <c r="A50" s="1"/>
      <c r="B50" s="1"/>
      <c r="C50" s="11"/>
      <c r="D50" s="1"/>
      <c r="E50" s="1"/>
      <c r="F50" s="12"/>
      <c r="G50" s="12"/>
      <c r="H50" s="51"/>
    </row>
    <row r="51" spans="1:8" ht="14.1" customHeight="1" x14ac:dyDescent="0.2">
      <c r="A51" s="1"/>
      <c r="B51" s="1"/>
      <c r="C51" s="2" t="s">
        <v>132</v>
      </c>
      <c r="D51" s="1"/>
      <c r="E51" s="1"/>
      <c r="F51" s="1"/>
      <c r="G51" s="1"/>
      <c r="H51" s="51"/>
    </row>
    <row r="52" spans="1:8" ht="14.1" customHeight="1" x14ac:dyDescent="0.2">
      <c r="A52" s="1"/>
      <c r="B52" s="1"/>
      <c r="C52" s="2" t="s">
        <v>129</v>
      </c>
      <c r="D52" s="1"/>
      <c r="E52" s="1" t="s">
        <v>130</v>
      </c>
      <c r="F52" s="13">
        <v>0</v>
      </c>
      <c r="G52" s="14">
        <v>0</v>
      </c>
      <c r="H52" s="51"/>
    </row>
    <row r="53" spans="1:8" ht="14.1" customHeight="1" x14ac:dyDescent="0.2">
      <c r="A53" s="1"/>
      <c r="B53" s="1"/>
      <c r="C53" s="11"/>
      <c r="D53" s="1"/>
      <c r="E53" s="1"/>
      <c r="F53" s="12"/>
      <c r="G53" s="12"/>
      <c r="H53" s="51"/>
    </row>
    <row r="54" spans="1:8" ht="14.1" customHeight="1" x14ac:dyDescent="0.2">
      <c r="A54" s="1"/>
      <c r="B54" s="1"/>
      <c r="C54" s="2" t="s">
        <v>133</v>
      </c>
      <c r="D54" s="1"/>
      <c r="E54" s="1"/>
      <c r="F54" s="1"/>
      <c r="G54" s="1"/>
      <c r="H54" s="51"/>
    </row>
    <row r="55" spans="1:8" ht="14.1" customHeight="1" x14ac:dyDescent="0.2">
      <c r="A55" s="1"/>
      <c r="B55" s="1"/>
      <c r="C55" s="2" t="s">
        <v>129</v>
      </c>
      <c r="D55" s="1"/>
      <c r="E55" s="1" t="s">
        <v>130</v>
      </c>
      <c r="F55" s="13">
        <v>0</v>
      </c>
      <c r="G55" s="14">
        <v>0</v>
      </c>
      <c r="H55" s="51"/>
    </row>
    <row r="56" spans="1:8" ht="14.1" customHeight="1" x14ac:dyDescent="0.2">
      <c r="A56" s="1"/>
      <c r="B56" s="1"/>
      <c r="C56" s="11"/>
      <c r="D56" s="1"/>
      <c r="E56" s="1"/>
      <c r="F56" s="12"/>
      <c r="G56" s="12"/>
      <c r="H56" s="51"/>
    </row>
    <row r="57" spans="1:8" ht="14.1" customHeight="1" x14ac:dyDescent="0.2">
      <c r="A57" s="1"/>
      <c r="B57" s="1"/>
      <c r="C57" s="2" t="s">
        <v>134</v>
      </c>
      <c r="D57" s="1"/>
      <c r="E57" s="1"/>
      <c r="F57" s="12"/>
      <c r="G57" s="12"/>
      <c r="H57" s="51"/>
    </row>
    <row r="58" spans="1:8" ht="14.1" customHeight="1" x14ac:dyDescent="0.2">
      <c r="A58" s="1"/>
      <c r="B58" s="1"/>
      <c r="C58" s="2" t="s">
        <v>129</v>
      </c>
      <c r="D58" s="1"/>
      <c r="E58" s="1" t="s">
        <v>130</v>
      </c>
      <c r="F58" s="13">
        <v>0</v>
      </c>
      <c r="G58" s="14">
        <v>0</v>
      </c>
      <c r="H58" s="51"/>
    </row>
    <row r="59" spans="1:8" ht="14.1" customHeight="1" x14ac:dyDescent="0.2">
      <c r="A59" s="1"/>
      <c r="B59" s="1"/>
      <c r="C59" s="11"/>
      <c r="D59" s="1"/>
      <c r="E59" s="1"/>
      <c r="F59" s="12"/>
      <c r="G59" s="12"/>
      <c r="H59" s="51"/>
    </row>
    <row r="60" spans="1:8" ht="14.1" customHeight="1" x14ac:dyDescent="0.2">
      <c r="A60" s="1"/>
      <c r="B60" s="1"/>
      <c r="C60" s="2" t="s">
        <v>135</v>
      </c>
      <c r="D60" s="1"/>
      <c r="E60" s="1"/>
      <c r="F60" s="12"/>
      <c r="G60" s="12"/>
      <c r="H60" s="51"/>
    </row>
    <row r="61" spans="1:8" ht="14.1" customHeight="1" x14ac:dyDescent="0.2">
      <c r="A61" s="1"/>
      <c r="B61" s="1"/>
      <c r="C61" s="2" t="s">
        <v>129</v>
      </c>
      <c r="D61" s="1"/>
      <c r="E61" s="1" t="s">
        <v>130</v>
      </c>
      <c r="F61" s="13">
        <v>0</v>
      </c>
      <c r="G61" s="14">
        <v>0</v>
      </c>
      <c r="H61" s="51"/>
    </row>
    <row r="62" spans="1:8" ht="14.1" customHeight="1" x14ac:dyDescent="0.2">
      <c r="A62" s="1"/>
      <c r="B62" s="1"/>
      <c r="C62" s="11"/>
      <c r="D62" s="1"/>
      <c r="E62" s="1"/>
      <c r="F62" s="12"/>
      <c r="G62" s="12"/>
      <c r="H62" s="51"/>
    </row>
    <row r="63" spans="1:8" ht="18" customHeight="1" x14ac:dyDescent="0.2">
      <c r="A63" s="1"/>
      <c r="B63" s="1"/>
      <c r="C63" s="2" t="s">
        <v>136</v>
      </c>
      <c r="D63" s="1"/>
      <c r="E63" s="1"/>
      <c r="F63" s="9">
        <v>116168.21313</v>
      </c>
      <c r="G63" s="10">
        <v>0.93352358199999996</v>
      </c>
      <c r="H63" s="51"/>
    </row>
    <row r="64" spans="1:8" ht="14.1" customHeight="1" x14ac:dyDescent="0.2">
      <c r="A64" s="1"/>
      <c r="B64" s="1"/>
      <c r="C64" s="11"/>
      <c r="D64" s="1"/>
      <c r="E64" s="1"/>
      <c r="F64" s="12"/>
      <c r="G64" s="12"/>
      <c r="H64" s="51"/>
    </row>
    <row r="65" spans="1:8" ht="14.1" customHeight="1" x14ac:dyDescent="0.2">
      <c r="A65" s="1"/>
      <c r="B65" s="1"/>
      <c r="C65" s="2" t="s">
        <v>137</v>
      </c>
      <c r="D65" s="1"/>
      <c r="E65" s="1"/>
      <c r="F65" s="12"/>
      <c r="G65" s="12"/>
      <c r="H65" s="51"/>
    </row>
    <row r="66" spans="1:8" ht="24" customHeight="1" x14ac:dyDescent="0.2">
      <c r="A66" s="1"/>
      <c r="B66" s="1"/>
      <c r="C66" s="2" t="s">
        <v>10</v>
      </c>
      <c r="D66" s="1"/>
      <c r="E66" s="1"/>
      <c r="F66" s="12"/>
      <c r="G66" s="12"/>
      <c r="H66" s="51"/>
    </row>
    <row r="67" spans="1:8" ht="14.1" customHeight="1" x14ac:dyDescent="0.2">
      <c r="A67" s="1"/>
      <c r="B67" s="1"/>
      <c r="C67" s="2" t="s">
        <v>129</v>
      </c>
      <c r="D67" s="1"/>
      <c r="E67" s="1" t="s">
        <v>130</v>
      </c>
      <c r="F67" s="13">
        <v>0</v>
      </c>
      <c r="G67" s="14">
        <v>0</v>
      </c>
      <c r="H67" s="51"/>
    </row>
    <row r="68" spans="1:8" ht="14.1" customHeight="1" x14ac:dyDescent="0.2">
      <c r="A68" s="1"/>
      <c r="B68" s="1"/>
      <c r="C68" s="11"/>
      <c r="D68" s="1"/>
      <c r="E68" s="1"/>
      <c r="F68" s="12"/>
      <c r="G68" s="12"/>
      <c r="H68" s="51"/>
    </row>
    <row r="69" spans="1:8" ht="14.1" customHeight="1" x14ac:dyDescent="0.2">
      <c r="A69" s="1"/>
      <c r="B69" s="1"/>
      <c r="C69" s="2" t="s">
        <v>138</v>
      </c>
      <c r="D69" s="1"/>
      <c r="E69" s="1"/>
      <c r="F69" s="1"/>
      <c r="G69" s="1"/>
      <c r="H69" s="51"/>
    </row>
    <row r="70" spans="1:8" ht="14.1" customHeight="1" x14ac:dyDescent="0.2">
      <c r="A70" s="1"/>
      <c r="B70" s="1"/>
      <c r="C70" s="2" t="s">
        <v>129</v>
      </c>
      <c r="D70" s="1"/>
      <c r="E70" s="1" t="s">
        <v>130</v>
      </c>
      <c r="F70" s="13">
        <v>0</v>
      </c>
      <c r="G70" s="14">
        <v>0</v>
      </c>
      <c r="H70" s="51"/>
    </row>
    <row r="71" spans="1:8" ht="14.1" customHeight="1" x14ac:dyDescent="0.2">
      <c r="A71" s="1"/>
      <c r="B71" s="1"/>
      <c r="C71" s="11"/>
      <c r="D71" s="1"/>
      <c r="E71" s="1"/>
      <c r="F71" s="12"/>
      <c r="G71" s="12"/>
      <c r="H71" s="51"/>
    </row>
    <row r="72" spans="1:8" ht="14.1" customHeight="1" x14ac:dyDescent="0.2">
      <c r="A72" s="1"/>
      <c r="B72" s="1"/>
      <c r="C72" s="2" t="s">
        <v>139</v>
      </c>
      <c r="D72" s="1"/>
      <c r="E72" s="1"/>
      <c r="F72" s="1"/>
      <c r="G72" s="1"/>
      <c r="H72" s="51"/>
    </row>
    <row r="73" spans="1:8" ht="14.1" customHeight="1" x14ac:dyDescent="0.2">
      <c r="A73" s="1"/>
      <c r="B73" s="1"/>
      <c r="C73" s="2" t="s">
        <v>129</v>
      </c>
      <c r="D73" s="1"/>
      <c r="E73" s="1" t="s">
        <v>130</v>
      </c>
      <c r="F73" s="13">
        <v>0</v>
      </c>
      <c r="G73" s="14">
        <v>0</v>
      </c>
      <c r="H73" s="51"/>
    </row>
    <row r="74" spans="1:8" ht="14.1" customHeight="1" x14ac:dyDescent="0.2">
      <c r="A74" s="1"/>
      <c r="B74" s="1"/>
      <c r="C74" s="11"/>
      <c r="D74" s="1"/>
      <c r="E74" s="1"/>
      <c r="F74" s="12"/>
      <c r="G74" s="12"/>
      <c r="H74" s="51"/>
    </row>
    <row r="75" spans="1:8" ht="14.1" customHeight="1" x14ac:dyDescent="0.2">
      <c r="A75" s="1"/>
      <c r="B75" s="1"/>
      <c r="C75" s="2" t="s">
        <v>140</v>
      </c>
      <c r="D75" s="1"/>
      <c r="E75" s="1"/>
      <c r="F75" s="12"/>
      <c r="G75" s="12"/>
      <c r="H75" s="51"/>
    </row>
    <row r="76" spans="1:8" ht="14.1" customHeight="1" x14ac:dyDescent="0.2">
      <c r="A76" s="1"/>
      <c r="B76" s="1"/>
      <c r="C76" s="2" t="s">
        <v>129</v>
      </c>
      <c r="D76" s="1"/>
      <c r="E76" s="1" t="s">
        <v>130</v>
      </c>
      <c r="F76" s="13">
        <v>0</v>
      </c>
      <c r="G76" s="14">
        <v>0</v>
      </c>
      <c r="H76" s="51"/>
    </row>
    <row r="77" spans="1:8" ht="14.1" customHeight="1" x14ac:dyDescent="0.2">
      <c r="A77" s="1"/>
      <c r="B77" s="1"/>
      <c r="C77" s="11"/>
      <c r="D77" s="1"/>
      <c r="E77" s="1"/>
      <c r="F77" s="12"/>
      <c r="G77" s="12"/>
      <c r="H77" s="51"/>
    </row>
    <row r="78" spans="1:8" ht="14.1" customHeight="1" x14ac:dyDescent="0.2">
      <c r="A78" s="1"/>
      <c r="B78" s="1"/>
      <c r="C78" s="2" t="s">
        <v>141</v>
      </c>
      <c r="D78" s="1"/>
      <c r="E78" s="1"/>
      <c r="F78" s="9">
        <v>0</v>
      </c>
      <c r="G78" s="10">
        <v>0</v>
      </c>
      <c r="H78" s="51"/>
    </row>
    <row r="79" spans="1:8" ht="14.1" customHeight="1" x14ac:dyDescent="0.2">
      <c r="A79" s="1"/>
      <c r="B79" s="1"/>
      <c r="C79" s="11"/>
      <c r="D79" s="1"/>
      <c r="E79" s="1"/>
      <c r="F79" s="12"/>
      <c r="G79" s="12"/>
      <c r="H79" s="51"/>
    </row>
    <row r="80" spans="1:8" ht="14.1" customHeight="1" x14ac:dyDescent="0.2">
      <c r="A80" s="1"/>
      <c r="B80" s="1"/>
      <c r="C80" s="2" t="s">
        <v>142</v>
      </c>
      <c r="D80" s="1"/>
      <c r="E80" s="1"/>
      <c r="F80" s="12"/>
      <c r="G80" s="12"/>
      <c r="H80" s="51"/>
    </row>
    <row r="81" spans="1:8" ht="14.1" customHeight="1" x14ac:dyDescent="0.2">
      <c r="A81" s="1"/>
      <c r="B81" s="1"/>
      <c r="C81" s="2" t="s">
        <v>143</v>
      </c>
      <c r="D81" s="1"/>
      <c r="E81" s="1"/>
      <c r="F81" s="12"/>
      <c r="G81" s="12"/>
      <c r="H81" s="51"/>
    </row>
    <row r="82" spans="1:8" ht="14.1" customHeight="1" x14ac:dyDescent="0.2">
      <c r="A82" s="1"/>
      <c r="B82" s="1"/>
      <c r="C82" s="2" t="s">
        <v>129</v>
      </c>
      <c r="D82" s="1"/>
      <c r="E82" s="1" t="s">
        <v>130</v>
      </c>
      <c r="F82" s="13">
        <v>0</v>
      </c>
      <c r="G82" s="14">
        <v>0</v>
      </c>
      <c r="H82" s="51"/>
    </row>
    <row r="83" spans="1:8" ht="14.1" customHeight="1" x14ac:dyDescent="0.2">
      <c r="A83" s="1"/>
      <c r="B83" s="1"/>
      <c r="C83" s="11"/>
      <c r="D83" s="1"/>
      <c r="E83" s="1"/>
      <c r="F83" s="12"/>
      <c r="G83" s="12"/>
      <c r="H83" s="51"/>
    </row>
    <row r="84" spans="1:8" ht="14.1" customHeight="1" x14ac:dyDescent="0.2">
      <c r="A84" s="1"/>
      <c r="B84" s="1"/>
      <c r="C84" s="2" t="s">
        <v>144</v>
      </c>
      <c r="D84" s="1"/>
      <c r="E84" s="1"/>
      <c r="F84" s="12"/>
      <c r="G84" s="12"/>
      <c r="H84" s="51"/>
    </row>
    <row r="85" spans="1:8" ht="14.1" customHeight="1" x14ac:dyDescent="0.2">
      <c r="A85" s="1"/>
      <c r="B85" s="1"/>
      <c r="C85" s="2" t="s">
        <v>129</v>
      </c>
      <c r="D85" s="1"/>
      <c r="E85" s="1" t="s">
        <v>130</v>
      </c>
      <c r="F85" s="13">
        <v>0</v>
      </c>
      <c r="G85" s="14">
        <v>0</v>
      </c>
      <c r="H85" s="51"/>
    </row>
    <row r="86" spans="1:8" ht="14.1" customHeight="1" x14ac:dyDescent="0.2">
      <c r="A86" s="1"/>
      <c r="B86" s="1"/>
      <c r="C86" s="11"/>
      <c r="D86" s="1"/>
      <c r="E86" s="1"/>
      <c r="F86" s="12"/>
      <c r="G86" s="12"/>
      <c r="H86" s="51"/>
    </row>
    <row r="87" spans="1:8" ht="14.1" customHeight="1" x14ac:dyDescent="0.2">
      <c r="A87" s="1"/>
      <c r="B87" s="1"/>
      <c r="C87" s="2" t="s">
        <v>145</v>
      </c>
      <c r="D87" s="1"/>
      <c r="E87" s="1"/>
      <c r="F87" s="12"/>
      <c r="G87" s="12"/>
      <c r="H87" s="51"/>
    </row>
    <row r="88" spans="1:8" ht="14.1" customHeight="1" x14ac:dyDescent="0.2">
      <c r="A88" s="1"/>
      <c r="B88" s="1"/>
      <c r="C88" s="2" t="s">
        <v>129</v>
      </c>
      <c r="D88" s="1"/>
      <c r="E88" s="1" t="s">
        <v>130</v>
      </c>
      <c r="F88" s="13">
        <v>0</v>
      </c>
      <c r="G88" s="14">
        <v>0</v>
      </c>
      <c r="H88" s="51"/>
    </row>
    <row r="89" spans="1:8" ht="14.1" customHeight="1" x14ac:dyDescent="0.2">
      <c r="A89" s="1"/>
      <c r="B89" s="1"/>
      <c r="C89" s="11"/>
      <c r="D89" s="1"/>
      <c r="E89" s="1"/>
      <c r="F89" s="12"/>
      <c r="G89" s="12"/>
      <c r="H89" s="51"/>
    </row>
    <row r="90" spans="1:8" ht="14.1" customHeight="1" x14ac:dyDescent="0.2">
      <c r="A90" s="1"/>
      <c r="B90" s="1"/>
      <c r="C90" s="2" t="s">
        <v>146</v>
      </c>
      <c r="D90" s="1"/>
      <c r="E90" s="1"/>
      <c r="F90" s="12"/>
      <c r="G90" s="12"/>
      <c r="H90" s="51"/>
    </row>
    <row r="91" spans="1:8" ht="17.100000000000001" customHeight="1" x14ac:dyDescent="0.2">
      <c r="A91" s="3">
        <v>1</v>
      </c>
      <c r="B91" s="4"/>
      <c r="C91" s="4" t="s">
        <v>147</v>
      </c>
      <c r="D91" s="4"/>
      <c r="E91" s="8"/>
      <c r="F91" s="6">
        <v>7299.9296287999996</v>
      </c>
      <c r="G91" s="7">
        <v>5.8661972E-2</v>
      </c>
      <c r="H91" s="51">
        <v>6.1245112103248278</v>
      </c>
    </row>
    <row r="92" spans="1:8" ht="14.1" customHeight="1" x14ac:dyDescent="0.2">
      <c r="A92" s="1"/>
      <c r="B92" s="1"/>
      <c r="C92" s="2" t="s">
        <v>129</v>
      </c>
      <c r="D92" s="1"/>
      <c r="E92" s="1" t="s">
        <v>130</v>
      </c>
      <c r="F92" s="9">
        <v>7299.9296287999996</v>
      </c>
      <c r="G92" s="10">
        <v>5.8661972E-2</v>
      </c>
      <c r="H92" s="51"/>
    </row>
    <row r="93" spans="1:8" ht="14.1" customHeight="1" x14ac:dyDescent="0.2">
      <c r="A93" s="1"/>
      <c r="B93" s="1"/>
      <c r="C93" s="11"/>
      <c r="D93" s="1"/>
      <c r="E93" s="1"/>
      <c r="F93" s="12"/>
      <c r="G93" s="12"/>
      <c r="H93" s="51"/>
    </row>
    <row r="94" spans="1:8" ht="14.1" customHeight="1" x14ac:dyDescent="0.2">
      <c r="A94" s="1"/>
      <c r="B94" s="1"/>
      <c r="C94" s="2" t="s">
        <v>148</v>
      </c>
      <c r="D94" s="1"/>
      <c r="E94" s="1"/>
      <c r="F94" s="9">
        <v>7299.9296287999996</v>
      </c>
      <c r="G94" s="10">
        <v>5.8661972E-2</v>
      </c>
      <c r="H94" s="51"/>
    </row>
    <row r="95" spans="1:8" ht="14.1" customHeight="1" x14ac:dyDescent="0.2">
      <c r="A95" s="1"/>
      <c r="B95" s="1"/>
      <c r="C95" s="12"/>
      <c r="D95" s="1"/>
      <c r="E95" s="1"/>
      <c r="F95" s="1"/>
      <c r="G95" s="1"/>
      <c r="H95" s="51"/>
    </row>
    <row r="96" spans="1:8" ht="14.1" customHeight="1" x14ac:dyDescent="0.2">
      <c r="A96" s="1"/>
      <c r="B96" s="1"/>
      <c r="C96" s="2" t="s">
        <v>149</v>
      </c>
      <c r="D96" s="1"/>
      <c r="E96" s="1"/>
      <c r="F96" s="1"/>
      <c r="G96" s="1"/>
      <c r="H96" s="51"/>
    </row>
    <row r="97" spans="1:8" ht="14.1" customHeight="1" x14ac:dyDescent="0.2">
      <c r="A97" s="1"/>
      <c r="B97" s="1"/>
      <c r="C97" s="2" t="s">
        <v>150</v>
      </c>
      <c r="D97" s="1"/>
      <c r="E97" s="1"/>
      <c r="F97" s="1"/>
      <c r="G97" s="1"/>
      <c r="H97" s="51"/>
    </row>
    <row r="98" spans="1:8" ht="14.1" customHeight="1" x14ac:dyDescent="0.2">
      <c r="A98" s="1"/>
      <c r="B98" s="1"/>
      <c r="C98" s="2" t="s">
        <v>129</v>
      </c>
      <c r="D98" s="1"/>
      <c r="E98" s="1" t="s">
        <v>130</v>
      </c>
      <c r="F98" s="13">
        <v>0</v>
      </c>
      <c r="G98" s="14">
        <v>0</v>
      </c>
      <c r="H98" s="51"/>
    </row>
    <row r="99" spans="1:8" ht="14.1" customHeight="1" x14ac:dyDescent="0.2">
      <c r="A99" s="1"/>
      <c r="B99" s="1"/>
      <c r="C99" s="11"/>
      <c r="D99" s="1"/>
      <c r="E99" s="1"/>
      <c r="F99" s="12"/>
      <c r="G99" s="12"/>
      <c r="H99" s="51"/>
    </row>
    <row r="100" spans="1:8" ht="14.1" customHeight="1" x14ac:dyDescent="0.2">
      <c r="A100" s="1"/>
      <c r="B100" s="1"/>
      <c r="C100" s="2" t="s">
        <v>151</v>
      </c>
      <c r="D100" s="1"/>
      <c r="E100" s="1"/>
      <c r="F100" s="1"/>
      <c r="G100" s="1"/>
      <c r="H100" s="51"/>
    </row>
    <row r="101" spans="1:8" ht="14.1" customHeight="1" x14ac:dyDescent="0.2">
      <c r="A101" s="1"/>
      <c r="B101" s="1"/>
      <c r="C101" s="2" t="s">
        <v>152</v>
      </c>
      <c r="D101" s="1"/>
      <c r="E101" s="1"/>
      <c r="F101" s="1"/>
      <c r="G101" s="1"/>
      <c r="H101" s="51"/>
    </row>
    <row r="102" spans="1:8" ht="14.1" customHeight="1" x14ac:dyDescent="0.2">
      <c r="A102" s="1"/>
      <c r="B102" s="1"/>
      <c r="C102" s="2" t="s">
        <v>129</v>
      </c>
      <c r="D102" s="1"/>
      <c r="E102" s="1" t="s">
        <v>130</v>
      </c>
      <c r="F102" s="13">
        <v>0</v>
      </c>
      <c r="G102" s="14">
        <v>0</v>
      </c>
      <c r="H102" s="51"/>
    </row>
    <row r="103" spans="1:8" ht="14.1" customHeight="1" x14ac:dyDescent="0.2">
      <c r="A103" s="1"/>
      <c r="B103" s="1"/>
      <c r="C103" s="11"/>
      <c r="D103" s="1"/>
      <c r="E103" s="1"/>
      <c r="F103" s="12"/>
      <c r="G103" s="12"/>
      <c r="H103" s="51"/>
    </row>
    <row r="104" spans="1:8" ht="14.1" customHeight="1" x14ac:dyDescent="0.2">
      <c r="A104" s="1"/>
      <c r="B104" s="1"/>
      <c r="C104" s="11"/>
      <c r="D104" s="1"/>
      <c r="E104" s="1"/>
      <c r="F104" s="12"/>
      <c r="G104" s="12"/>
      <c r="H104" s="51"/>
    </row>
    <row r="105" spans="1:8" ht="24" customHeight="1" x14ac:dyDescent="0.2">
      <c r="A105" s="1"/>
      <c r="B105" s="1"/>
      <c r="C105" s="2" t="s">
        <v>153</v>
      </c>
      <c r="D105" s="1"/>
      <c r="E105" s="1"/>
      <c r="F105" s="12"/>
      <c r="G105" s="12"/>
      <c r="H105" s="51"/>
    </row>
    <row r="106" spans="1:8" ht="14.1" customHeight="1" x14ac:dyDescent="0.2">
      <c r="A106" s="1"/>
      <c r="B106" s="1"/>
      <c r="C106" s="2" t="s">
        <v>129</v>
      </c>
      <c r="D106" s="1"/>
      <c r="E106" s="1" t="s">
        <v>130</v>
      </c>
      <c r="F106" s="13">
        <v>0</v>
      </c>
      <c r="G106" s="14">
        <v>0</v>
      </c>
      <c r="H106" s="51"/>
    </row>
    <row r="107" spans="1:8" ht="14.1" customHeight="1" x14ac:dyDescent="0.2">
      <c r="A107" s="1"/>
      <c r="B107" s="1"/>
      <c r="C107" s="11"/>
      <c r="D107" s="1"/>
      <c r="E107" s="1"/>
      <c r="F107" s="12"/>
      <c r="G107" s="12"/>
      <c r="H107" s="51"/>
    </row>
    <row r="108" spans="1:8" ht="14.1" customHeight="1" x14ac:dyDescent="0.2">
      <c r="A108" s="1"/>
      <c r="B108" s="4"/>
      <c r="C108" s="4"/>
      <c r="D108" s="2"/>
      <c r="E108" s="1"/>
      <c r="F108" s="4"/>
      <c r="G108" s="8"/>
      <c r="H108" s="51"/>
    </row>
    <row r="109" spans="1:8" ht="18" customHeight="1" x14ac:dyDescent="0.2">
      <c r="A109" s="8"/>
      <c r="B109" s="4"/>
      <c r="C109" s="4" t="s">
        <v>154</v>
      </c>
      <c r="D109" s="4"/>
      <c r="E109" s="8"/>
      <c r="F109" s="6">
        <v>972.43437859000005</v>
      </c>
      <c r="G109" s="7">
        <v>7.8144479999999999E-3</v>
      </c>
      <c r="H109" s="51"/>
    </row>
    <row r="110" spans="1:8" ht="14.1" customHeight="1" x14ac:dyDescent="0.2">
      <c r="A110" s="11"/>
      <c r="B110" s="11"/>
      <c r="C110" s="2" t="s">
        <v>155</v>
      </c>
      <c r="D110" s="15"/>
      <c r="E110" s="15"/>
      <c r="F110" s="9">
        <v>124440.57713739001</v>
      </c>
      <c r="G110" s="14">
        <v>1.0000000019999999</v>
      </c>
      <c r="H110" s="51"/>
    </row>
    <row r="111" spans="1:8" ht="14.1" customHeight="1" x14ac:dyDescent="0.2">
      <c r="A111" s="16"/>
      <c r="B111" s="16"/>
      <c r="C111" s="16"/>
      <c r="D111" s="17"/>
      <c r="E111" s="17"/>
      <c r="F111" s="17"/>
      <c r="G111" s="17"/>
    </row>
    <row r="112" spans="1:8" ht="17.100000000000001" customHeight="1" x14ac:dyDescent="0.2">
      <c r="A112" s="18"/>
      <c r="B112" s="327" t="s">
        <v>156</v>
      </c>
      <c r="C112" s="327"/>
      <c r="D112" s="327"/>
      <c r="E112" s="327"/>
      <c r="F112" s="327"/>
      <c r="G112" s="20"/>
    </row>
    <row r="113" spans="1:7" ht="14.1" customHeight="1" x14ac:dyDescent="0.2">
      <c r="A113" s="18"/>
      <c r="B113" s="18"/>
      <c r="C113" s="18"/>
      <c r="D113" s="20"/>
      <c r="E113" s="20"/>
      <c r="F113" s="20"/>
      <c r="G113" s="20"/>
    </row>
    <row r="114" spans="1:7" ht="14.1" customHeight="1" x14ac:dyDescent="0.2">
      <c r="A114" s="18"/>
      <c r="B114" s="325" t="s">
        <v>157</v>
      </c>
      <c r="C114" s="326"/>
      <c r="D114" s="12" t="s">
        <v>130</v>
      </c>
      <c r="E114" s="21"/>
      <c r="F114" s="20"/>
      <c r="G114" s="20"/>
    </row>
    <row r="115" spans="1:7" ht="29.1" customHeight="1" x14ac:dyDescent="0.2">
      <c r="A115" s="18"/>
      <c r="B115" s="318" t="s">
        <v>158</v>
      </c>
      <c r="C115" s="319"/>
      <c r="D115" s="2" t="s">
        <v>159</v>
      </c>
      <c r="E115" s="21"/>
      <c r="F115" s="20"/>
      <c r="G115" s="20"/>
    </row>
    <row r="116" spans="1:7" ht="17.100000000000001" customHeight="1" x14ac:dyDescent="0.2">
      <c r="A116" s="18"/>
      <c r="B116" s="318" t="s">
        <v>160</v>
      </c>
      <c r="C116" s="319"/>
      <c r="D116" s="2" t="s">
        <v>159</v>
      </c>
      <c r="E116" s="21"/>
      <c r="F116" s="20"/>
      <c r="G116" s="20"/>
    </row>
    <row r="117" spans="1:7" ht="17.100000000000001" customHeight="1" x14ac:dyDescent="0.2">
      <c r="A117" s="18"/>
      <c r="B117" s="318" t="s">
        <v>161</v>
      </c>
      <c r="C117" s="319"/>
      <c r="D117" s="12" t="s">
        <v>130</v>
      </c>
      <c r="E117" s="21"/>
      <c r="F117" s="20"/>
      <c r="G117" s="20"/>
    </row>
    <row r="118" spans="1:7" ht="24" customHeight="1" x14ac:dyDescent="0.2">
      <c r="A118" s="22"/>
      <c r="B118" s="23" t="s">
        <v>130</v>
      </c>
      <c r="C118" s="23" t="s">
        <v>162</v>
      </c>
      <c r="D118" s="23" t="s">
        <v>163</v>
      </c>
      <c r="E118" s="22"/>
      <c r="F118" s="22"/>
      <c r="G118" s="22"/>
    </row>
    <row r="119" spans="1:7" ht="18" customHeight="1" x14ac:dyDescent="0.2">
      <c r="A119" s="22"/>
      <c r="B119" s="23" t="s">
        <v>164</v>
      </c>
      <c r="C119" s="23" t="s">
        <v>165</v>
      </c>
      <c r="D119" s="23" t="s">
        <v>166</v>
      </c>
      <c r="E119" s="22"/>
      <c r="F119" s="22"/>
      <c r="G119" s="22"/>
    </row>
    <row r="120" spans="1:7" ht="17.100000000000001" customHeight="1" x14ac:dyDescent="0.2">
      <c r="A120" s="22"/>
      <c r="B120" s="4" t="s">
        <v>167</v>
      </c>
      <c r="C120" s="24">
        <v>68.022999999999996</v>
      </c>
      <c r="D120" s="24">
        <v>68.453400000000002</v>
      </c>
      <c r="E120" s="22"/>
      <c r="F120" s="19"/>
      <c r="G120" s="25"/>
    </row>
    <row r="121" spans="1:7" ht="17.100000000000001" customHeight="1" x14ac:dyDescent="0.2">
      <c r="A121" s="22"/>
      <c r="B121" s="4" t="s">
        <v>1067</v>
      </c>
      <c r="C121" s="24">
        <v>26.200199999999999</v>
      </c>
      <c r="D121" s="24">
        <v>26.3659</v>
      </c>
      <c r="E121" s="22"/>
      <c r="F121" s="19"/>
      <c r="G121" s="25"/>
    </row>
    <row r="122" spans="1:7" ht="17.100000000000001" customHeight="1" x14ac:dyDescent="0.2">
      <c r="A122" s="22"/>
      <c r="B122" s="4" t="s">
        <v>168</v>
      </c>
      <c r="C122" s="24">
        <v>63.630699999999997</v>
      </c>
      <c r="D122" s="24">
        <v>63.981299999999997</v>
      </c>
      <c r="E122" s="22"/>
      <c r="F122" s="19"/>
      <c r="G122" s="25"/>
    </row>
    <row r="123" spans="1:7" ht="17.100000000000001" customHeight="1" x14ac:dyDescent="0.2">
      <c r="A123" s="22"/>
      <c r="B123" s="4" t="s">
        <v>1068</v>
      </c>
      <c r="C123" s="24">
        <v>24.104299999999999</v>
      </c>
      <c r="D123" s="24">
        <v>24.237200000000001</v>
      </c>
      <c r="E123" s="22"/>
      <c r="F123" s="19"/>
      <c r="G123" s="25"/>
    </row>
    <row r="124" spans="1:7" ht="14.1" customHeight="1" x14ac:dyDescent="0.2">
      <c r="A124" s="22"/>
      <c r="B124" s="22"/>
      <c r="C124" s="22"/>
      <c r="D124" s="22"/>
      <c r="E124" s="22"/>
      <c r="F124" s="22"/>
      <c r="G124" s="22"/>
    </row>
    <row r="125" spans="1:7" ht="17.100000000000001" customHeight="1" x14ac:dyDescent="0.2">
      <c r="A125" s="22"/>
      <c r="B125" s="318" t="s">
        <v>1069</v>
      </c>
      <c r="C125" s="319"/>
      <c r="D125" s="2" t="s">
        <v>159</v>
      </c>
      <c r="E125" s="22"/>
      <c r="F125" s="22"/>
      <c r="G125" s="22"/>
    </row>
    <row r="126" spans="1:7" ht="18" customHeight="1" x14ac:dyDescent="0.2">
      <c r="A126" s="22"/>
      <c r="B126" s="26"/>
      <c r="C126" s="26"/>
      <c r="D126" s="27"/>
      <c r="E126" s="22"/>
      <c r="F126" s="22"/>
      <c r="G126" s="22"/>
    </row>
    <row r="127" spans="1:7" ht="29.1" customHeight="1" x14ac:dyDescent="0.2">
      <c r="A127" s="22"/>
      <c r="B127" s="318" t="s">
        <v>169</v>
      </c>
      <c r="C127" s="319"/>
      <c r="D127" s="2" t="s">
        <v>159</v>
      </c>
      <c r="E127" s="22"/>
      <c r="F127" s="22"/>
      <c r="G127" s="22"/>
    </row>
    <row r="128" spans="1:7" ht="29.1" customHeight="1" x14ac:dyDescent="0.2">
      <c r="A128" s="22"/>
      <c r="B128" s="318" t="s">
        <v>170</v>
      </c>
      <c r="C128" s="319"/>
      <c r="D128" s="2" t="s">
        <v>159</v>
      </c>
      <c r="E128" s="22"/>
      <c r="F128" s="22"/>
      <c r="G128" s="22"/>
    </row>
    <row r="129" spans="1:7" ht="17.100000000000001" customHeight="1" x14ac:dyDescent="0.2">
      <c r="A129" s="22"/>
      <c r="B129" s="318" t="s">
        <v>171</v>
      </c>
      <c r="C129" s="319"/>
      <c r="D129" s="28">
        <v>0.54252907707752129</v>
      </c>
      <c r="E129" s="22"/>
      <c r="F129" s="19"/>
      <c r="G129" s="25"/>
    </row>
    <row r="130" spans="1:7" ht="17.100000000000001" customHeight="1" x14ac:dyDescent="0.2">
      <c r="A130" s="22"/>
      <c r="B130" s="318" t="s">
        <v>172</v>
      </c>
      <c r="C130" s="319"/>
      <c r="D130" s="2" t="s">
        <v>159</v>
      </c>
      <c r="E130" s="22"/>
      <c r="F130" s="22"/>
      <c r="G130" s="22"/>
    </row>
  </sheetData>
  <mergeCells count="14">
    <mergeCell ref="A1:H1"/>
    <mergeCell ref="A2:H2"/>
    <mergeCell ref="A3:H3"/>
    <mergeCell ref="J2:N2"/>
    <mergeCell ref="B129:C129"/>
    <mergeCell ref="B114:C114"/>
    <mergeCell ref="B112:F112"/>
    <mergeCell ref="B130:C130"/>
    <mergeCell ref="B115:C115"/>
    <mergeCell ref="B116:C116"/>
    <mergeCell ref="B117:C117"/>
    <mergeCell ref="B125:C125"/>
    <mergeCell ref="B127:C127"/>
    <mergeCell ref="B128:C128"/>
  </mergeCells>
  <hyperlinks>
    <hyperlink ref="I1" location="Index!B33" display="Index" xr:uid="{A3FD0D24-945D-48C5-AFF2-E66739A84695}"/>
  </hyperlinks>
  <pageMargins left="5.000000074505806E-2" right="5.000000074505806E-2" top="0.30000001192092896" bottom="0.20000000298023224" header="0" footer="0"/>
  <pageSetup paperSize="9" orientation="landscape" r:id="rId1"/>
  <headerFooter alignWithMargins="0"/>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outlinePr summaryBelow="0" summaryRight="0"/>
  </sheetPr>
  <dimension ref="A1:N13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748</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14</v>
      </c>
      <c r="C7" s="4" t="s">
        <v>15</v>
      </c>
      <c r="D7" s="4" t="s">
        <v>16</v>
      </c>
      <c r="E7" s="5">
        <v>2530049</v>
      </c>
      <c r="F7" s="6">
        <v>21809.022379999999</v>
      </c>
      <c r="G7" s="7">
        <v>9.6226004000000004E-2</v>
      </c>
      <c r="H7" s="51"/>
    </row>
    <row r="8" spans="1:14" ht="17.100000000000001" customHeight="1" x14ac:dyDescent="0.2">
      <c r="A8" s="3">
        <v>2</v>
      </c>
      <c r="B8" s="4" t="s">
        <v>269</v>
      </c>
      <c r="C8" s="4" t="s">
        <v>270</v>
      </c>
      <c r="D8" s="4" t="s">
        <v>16</v>
      </c>
      <c r="E8" s="5">
        <v>1480832</v>
      </c>
      <c r="F8" s="6">
        <v>21047.805632</v>
      </c>
      <c r="G8" s="7">
        <v>9.2867354999999999E-2</v>
      </c>
      <c r="H8" s="51"/>
    </row>
    <row r="9" spans="1:14" ht="17.100000000000001" customHeight="1" x14ac:dyDescent="0.2">
      <c r="A9" s="3">
        <v>3</v>
      </c>
      <c r="B9" s="4" t="s">
        <v>17</v>
      </c>
      <c r="C9" s="4" t="s">
        <v>18</v>
      </c>
      <c r="D9" s="4" t="s">
        <v>19</v>
      </c>
      <c r="E9" s="5">
        <v>2087172</v>
      </c>
      <c r="F9" s="6">
        <v>16695.288828000001</v>
      </c>
      <c r="G9" s="7">
        <v>7.3663133000000006E-2</v>
      </c>
      <c r="H9" s="51"/>
    </row>
    <row r="10" spans="1:14" ht="17.100000000000001" customHeight="1" x14ac:dyDescent="0.2">
      <c r="A10" s="3">
        <v>4</v>
      </c>
      <c r="B10" s="4" t="s">
        <v>20</v>
      </c>
      <c r="C10" s="4" t="s">
        <v>21</v>
      </c>
      <c r="D10" s="4" t="s">
        <v>22</v>
      </c>
      <c r="E10" s="5">
        <v>523988</v>
      </c>
      <c r="F10" s="6">
        <v>12459.124669999999</v>
      </c>
      <c r="G10" s="7">
        <v>5.4972284000000003E-2</v>
      </c>
      <c r="H10" s="51"/>
    </row>
    <row r="11" spans="1:14" ht="29.1" customHeight="1" x14ac:dyDescent="0.2">
      <c r="A11" s="3">
        <v>5</v>
      </c>
      <c r="B11" s="4" t="s">
        <v>298</v>
      </c>
      <c r="C11" s="4" t="s">
        <v>299</v>
      </c>
      <c r="D11" s="4" t="s">
        <v>97</v>
      </c>
      <c r="E11" s="5">
        <v>531593</v>
      </c>
      <c r="F11" s="6">
        <v>12161.518857499999</v>
      </c>
      <c r="G11" s="7">
        <v>5.3659184999999998E-2</v>
      </c>
      <c r="H11" s="51"/>
    </row>
    <row r="12" spans="1:14" ht="17.100000000000001" customHeight="1" x14ac:dyDescent="0.2">
      <c r="A12" s="3">
        <v>6</v>
      </c>
      <c r="B12" s="4" t="s">
        <v>195</v>
      </c>
      <c r="C12" s="4" t="s">
        <v>196</v>
      </c>
      <c r="D12" s="4" t="s">
        <v>16</v>
      </c>
      <c r="E12" s="5">
        <v>995397</v>
      </c>
      <c r="F12" s="6">
        <v>7298.2508040000002</v>
      </c>
      <c r="G12" s="7">
        <v>3.2201421000000001E-2</v>
      </c>
      <c r="H12" s="51"/>
    </row>
    <row r="13" spans="1:14" ht="17.100000000000001" customHeight="1" x14ac:dyDescent="0.2">
      <c r="A13" s="3">
        <v>7</v>
      </c>
      <c r="B13" s="4" t="s">
        <v>374</v>
      </c>
      <c r="C13" s="4" t="s">
        <v>375</v>
      </c>
      <c r="D13" s="4" t="s">
        <v>104</v>
      </c>
      <c r="E13" s="5">
        <v>271091</v>
      </c>
      <c r="F13" s="6">
        <v>7067.2068245</v>
      </c>
      <c r="G13" s="7">
        <v>3.1182006000000002E-2</v>
      </c>
      <c r="H13" s="51"/>
      <c r="J13" s="157" t="s">
        <v>1114</v>
      </c>
    </row>
    <row r="14" spans="1:14" ht="17.100000000000001" customHeight="1" x14ac:dyDescent="0.2">
      <c r="A14" s="3">
        <v>8</v>
      </c>
      <c r="B14" s="4" t="s">
        <v>206</v>
      </c>
      <c r="C14" s="4" t="s">
        <v>207</v>
      </c>
      <c r="D14" s="4" t="s">
        <v>208</v>
      </c>
      <c r="E14" s="5">
        <v>159237</v>
      </c>
      <c r="F14" s="6">
        <v>6979.9946579999996</v>
      </c>
      <c r="G14" s="7">
        <v>3.0797208E-2</v>
      </c>
      <c r="H14" s="51"/>
    </row>
    <row r="15" spans="1:14" ht="17.100000000000001" customHeight="1" x14ac:dyDescent="0.2">
      <c r="A15" s="3">
        <v>9</v>
      </c>
      <c r="B15" s="4" t="s">
        <v>300</v>
      </c>
      <c r="C15" s="4" t="s">
        <v>301</v>
      </c>
      <c r="D15" s="4" t="s">
        <v>235</v>
      </c>
      <c r="E15" s="5">
        <v>531396</v>
      </c>
      <c r="F15" s="6">
        <v>6644.8412820000003</v>
      </c>
      <c r="G15" s="7">
        <v>2.9318440000000001E-2</v>
      </c>
      <c r="H15" s="51"/>
    </row>
    <row r="16" spans="1:14" ht="17.100000000000001" customHeight="1" x14ac:dyDescent="0.2">
      <c r="A16" s="3">
        <v>10</v>
      </c>
      <c r="B16" s="4" t="s">
        <v>249</v>
      </c>
      <c r="C16" s="4" t="s">
        <v>250</v>
      </c>
      <c r="D16" s="4" t="s">
        <v>251</v>
      </c>
      <c r="E16" s="5">
        <v>2283765</v>
      </c>
      <c r="F16" s="6">
        <v>5895.5393475000001</v>
      </c>
      <c r="G16" s="7">
        <v>2.6012362000000001E-2</v>
      </c>
      <c r="H16" s="51"/>
    </row>
    <row r="17" spans="1:10" ht="17.100000000000001" customHeight="1" x14ac:dyDescent="0.2">
      <c r="A17" s="3">
        <v>11</v>
      </c>
      <c r="B17" s="4" t="s">
        <v>221</v>
      </c>
      <c r="C17" s="4" t="s">
        <v>222</v>
      </c>
      <c r="D17" s="4" t="s">
        <v>223</v>
      </c>
      <c r="E17" s="5">
        <v>186612</v>
      </c>
      <c r="F17" s="6">
        <v>5895.3529980000003</v>
      </c>
      <c r="G17" s="7">
        <v>2.601154E-2</v>
      </c>
      <c r="H17" s="51"/>
    </row>
    <row r="18" spans="1:10" ht="17.100000000000001" customHeight="1" x14ac:dyDescent="0.2">
      <c r="A18" s="3">
        <v>12</v>
      </c>
      <c r="B18" s="4" t="s">
        <v>417</v>
      </c>
      <c r="C18" s="4" t="s">
        <v>418</v>
      </c>
      <c r="D18" s="4" t="s">
        <v>92</v>
      </c>
      <c r="E18" s="5">
        <v>400823</v>
      </c>
      <c r="F18" s="6">
        <v>5607.9145930000004</v>
      </c>
      <c r="G18" s="7">
        <v>2.4743300999999999E-2</v>
      </c>
      <c r="H18" s="51"/>
    </row>
    <row r="19" spans="1:10" ht="17.100000000000001" customHeight="1" x14ac:dyDescent="0.2">
      <c r="A19" s="3">
        <v>13</v>
      </c>
      <c r="B19" s="4" t="s">
        <v>389</v>
      </c>
      <c r="C19" s="4" t="s">
        <v>390</v>
      </c>
      <c r="D19" s="4" t="s">
        <v>248</v>
      </c>
      <c r="E19" s="5">
        <v>667345</v>
      </c>
      <c r="F19" s="6">
        <v>4794.2064799999998</v>
      </c>
      <c r="G19" s="7">
        <v>2.115305E-2</v>
      </c>
      <c r="H19" s="51"/>
    </row>
    <row r="20" spans="1:10" ht="17.100000000000001" customHeight="1" x14ac:dyDescent="0.2">
      <c r="A20" s="3">
        <v>14</v>
      </c>
      <c r="B20" s="4" t="s">
        <v>287</v>
      </c>
      <c r="C20" s="4" t="s">
        <v>288</v>
      </c>
      <c r="D20" s="4" t="s">
        <v>220</v>
      </c>
      <c r="E20" s="5">
        <v>1151772</v>
      </c>
      <c r="F20" s="6">
        <v>4570.2312959999999</v>
      </c>
      <c r="G20" s="7">
        <v>2.0164824000000001E-2</v>
      </c>
      <c r="H20" s="51"/>
    </row>
    <row r="21" spans="1:10" ht="17.100000000000001" customHeight="1" x14ac:dyDescent="0.2">
      <c r="A21" s="3">
        <v>15</v>
      </c>
      <c r="B21" s="4" t="s">
        <v>190</v>
      </c>
      <c r="C21" s="4" t="s">
        <v>191</v>
      </c>
      <c r="D21" s="4" t="s">
        <v>192</v>
      </c>
      <c r="E21" s="5">
        <v>8958</v>
      </c>
      <c r="F21" s="6">
        <v>4538.6737169999997</v>
      </c>
      <c r="G21" s="7">
        <v>2.0025584999999999E-2</v>
      </c>
      <c r="H21" s="51"/>
    </row>
    <row r="22" spans="1:10" ht="17.100000000000001" customHeight="1" x14ac:dyDescent="0.2">
      <c r="A22" s="3">
        <v>16</v>
      </c>
      <c r="B22" s="4" t="s">
        <v>49</v>
      </c>
      <c r="C22" s="4" t="s">
        <v>50</v>
      </c>
      <c r="D22" s="4" t="s">
        <v>51</v>
      </c>
      <c r="E22" s="5">
        <v>615445</v>
      </c>
      <c r="F22" s="6">
        <v>4379.8143424999998</v>
      </c>
      <c r="G22" s="7">
        <v>1.9324663999999998E-2</v>
      </c>
      <c r="H22" s="51"/>
    </row>
    <row r="23" spans="1:10" ht="17.100000000000001" customHeight="1" x14ac:dyDescent="0.2">
      <c r="A23" s="3">
        <v>17</v>
      </c>
      <c r="B23" s="4" t="s">
        <v>319</v>
      </c>
      <c r="C23" s="4" t="s">
        <v>320</v>
      </c>
      <c r="D23" s="4" t="s">
        <v>248</v>
      </c>
      <c r="E23" s="5">
        <v>261517</v>
      </c>
      <c r="F23" s="6">
        <v>3893.3343374999999</v>
      </c>
      <c r="G23" s="7">
        <v>1.7178212000000002E-2</v>
      </c>
      <c r="H23" s="51"/>
    </row>
    <row r="24" spans="1:10" ht="17.100000000000001" customHeight="1" x14ac:dyDescent="0.2">
      <c r="A24" s="3">
        <v>18</v>
      </c>
      <c r="B24" s="4" t="s">
        <v>393</v>
      </c>
      <c r="C24" s="4" t="s">
        <v>394</v>
      </c>
      <c r="D24" s="4" t="s">
        <v>97</v>
      </c>
      <c r="E24" s="5">
        <v>434221</v>
      </c>
      <c r="F24" s="6">
        <v>3793.1375455000002</v>
      </c>
      <c r="G24" s="7">
        <v>1.6736121999999999E-2</v>
      </c>
      <c r="H24" s="51"/>
    </row>
    <row r="25" spans="1:10" ht="17.100000000000001" customHeight="1" x14ac:dyDescent="0.2">
      <c r="A25" s="3">
        <v>19</v>
      </c>
      <c r="B25" s="4" t="s">
        <v>302</v>
      </c>
      <c r="C25" s="4" t="s">
        <v>303</v>
      </c>
      <c r="D25" s="4" t="s">
        <v>251</v>
      </c>
      <c r="E25" s="5">
        <v>717396</v>
      </c>
      <c r="F25" s="6">
        <v>3667.68705</v>
      </c>
      <c r="G25" s="7">
        <v>1.6182608000000001E-2</v>
      </c>
      <c r="H25" s="51"/>
      <c r="J25" s="157" t="s">
        <v>1115</v>
      </c>
    </row>
    <row r="26" spans="1:10" ht="17.100000000000001" customHeight="1" x14ac:dyDescent="0.2">
      <c r="A26" s="3">
        <v>20</v>
      </c>
      <c r="B26" s="4" t="s">
        <v>381</v>
      </c>
      <c r="C26" s="4" t="s">
        <v>382</v>
      </c>
      <c r="D26" s="4" t="s">
        <v>277</v>
      </c>
      <c r="E26" s="5">
        <v>281609</v>
      </c>
      <c r="F26" s="6">
        <v>3551.5119034999998</v>
      </c>
      <c r="G26" s="7">
        <v>1.5670019E-2</v>
      </c>
      <c r="H26" s="51"/>
    </row>
    <row r="27" spans="1:10" ht="29.1" customHeight="1" x14ac:dyDescent="0.2">
      <c r="A27" s="3">
        <v>21</v>
      </c>
      <c r="B27" s="4" t="s">
        <v>95</v>
      </c>
      <c r="C27" s="4" t="s">
        <v>96</v>
      </c>
      <c r="D27" s="4" t="s">
        <v>97</v>
      </c>
      <c r="E27" s="5">
        <v>460722</v>
      </c>
      <c r="F27" s="6">
        <v>3373.4064840000001</v>
      </c>
      <c r="G27" s="7">
        <v>1.488418E-2</v>
      </c>
      <c r="H27" s="51"/>
    </row>
    <row r="28" spans="1:10" ht="17.100000000000001" customHeight="1" x14ac:dyDescent="0.2">
      <c r="A28" s="3">
        <v>22</v>
      </c>
      <c r="B28" s="4" t="s">
        <v>265</v>
      </c>
      <c r="C28" s="4" t="s">
        <v>266</v>
      </c>
      <c r="D28" s="4" t="s">
        <v>208</v>
      </c>
      <c r="E28" s="5">
        <v>1201373</v>
      </c>
      <c r="F28" s="6">
        <v>3174.027466</v>
      </c>
      <c r="G28" s="7">
        <v>1.4004478000000001E-2</v>
      </c>
      <c r="H28" s="51"/>
    </row>
    <row r="29" spans="1:10" ht="17.100000000000001" customHeight="1" x14ac:dyDescent="0.2">
      <c r="A29" s="3">
        <v>23</v>
      </c>
      <c r="B29" s="4" t="s">
        <v>244</v>
      </c>
      <c r="C29" s="4" t="s">
        <v>245</v>
      </c>
      <c r="D29" s="4" t="s">
        <v>223</v>
      </c>
      <c r="E29" s="5">
        <v>86867</v>
      </c>
      <c r="F29" s="6">
        <v>2815.5332039999998</v>
      </c>
      <c r="G29" s="7">
        <v>1.2422726E-2</v>
      </c>
      <c r="H29" s="51"/>
    </row>
    <row r="30" spans="1:10" ht="17.100000000000001" customHeight="1" x14ac:dyDescent="0.2">
      <c r="A30" s="3">
        <v>24</v>
      </c>
      <c r="B30" s="4" t="s">
        <v>313</v>
      </c>
      <c r="C30" s="4" t="s">
        <v>314</v>
      </c>
      <c r="D30" s="4" t="s">
        <v>315</v>
      </c>
      <c r="E30" s="5">
        <v>206511</v>
      </c>
      <c r="F30" s="6">
        <v>2812.6798199999998</v>
      </c>
      <c r="G30" s="7">
        <v>1.2410136E-2</v>
      </c>
      <c r="H30" s="51"/>
    </row>
    <row r="31" spans="1:10" ht="17.100000000000001" customHeight="1" x14ac:dyDescent="0.2">
      <c r="A31" s="3">
        <v>25</v>
      </c>
      <c r="B31" s="4" t="s">
        <v>395</v>
      </c>
      <c r="C31" s="4" t="s">
        <v>396</v>
      </c>
      <c r="D31" s="4" t="s">
        <v>315</v>
      </c>
      <c r="E31" s="5">
        <v>224451</v>
      </c>
      <c r="F31" s="6">
        <v>2735.4965625</v>
      </c>
      <c r="G31" s="7">
        <v>1.2069587E-2</v>
      </c>
      <c r="H31" s="51"/>
    </row>
    <row r="32" spans="1:10" ht="17.100000000000001" customHeight="1" x14ac:dyDescent="0.2">
      <c r="A32" s="3">
        <v>26</v>
      </c>
      <c r="B32" s="4" t="s">
        <v>440</v>
      </c>
      <c r="C32" s="4" t="s">
        <v>441</v>
      </c>
      <c r="D32" s="4" t="s">
        <v>51</v>
      </c>
      <c r="E32" s="5">
        <v>345085</v>
      </c>
      <c r="F32" s="6">
        <v>2645.5941524999998</v>
      </c>
      <c r="G32" s="7">
        <v>1.1672919E-2</v>
      </c>
      <c r="H32" s="51"/>
    </row>
    <row r="33" spans="1:8" ht="17.100000000000001" customHeight="1" x14ac:dyDescent="0.2">
      <c r="A33" s="3">
        <v>27</v>
      </c>
      <c r="B33" s="4" t="s">
        <v>240</v>
      </c>
      <c r="C33" s="4" t="s">
        <v>241</v>
      </c>
      <c r="D33" s="4" t="s">
        <v>97</v>
      </c>
      <c r="E33" s="5">
        <v>400000</v>
      </c>
      <c r="F33" s="6">
        <v>2614.4</v>
      </c>
      <c r="G33" s="7">
        <v>1.1535284E-2</v>
      </c>
      <c r="H33" s="51"/>
    </row>
    <row r="34" spans="1:8" ht="29.1" customHeight="1" x14ac:dyDescent="0.2">
      <c r="A34" s="3">
        <v>28</v>
      </c>
      <c r="B34" s="4" t="s">
        <v>316</v>
      </c>
      <c r="C34" s="4" t="s">
        <v>317</v>
      </c>
      <c r="D34" s="4" t="s">
        <v>318</v>
      </c>
      <c r="E34" s="5">
        <v>378624</v>
      </c>
      <c r="F34" s="6">
        <v>2443.0713599999999</v>
      </c>
      <c r="G34" s="7">
        <v>1.0779346E-2</v>
      </c>
      <c r="H34" s="51"/>
    </row>
    <row r="35" spans="1:8" ht="29.1" customHeight="1" x14ac:dyDescent="0.2">
      <c r="A35" s="3">
        <v>29</v>
      </c>
      <c r="B35" s="4" t="s">
        <v>452</v>
      </c>
      <c r="C35" s="4" t="s">
        <v>453</v>
      </c>
      <c r="D35" s="4" t="s">
        <v>60</v>
      </c>
      <c r="E35" s="5">
        <v>651257</v>
      </c>
      <c r="F35" s="6">
        <v>2426.5835820000002</v>
      </c>
      <c r="G35" s="7">
        <v>1.0706597999999999E-2</v>
      </c>
      <c r="H35" s="51"/>
    </row>
    <row r="36" spans="1:8" ht="29.1" customHeight="1" x14ac:dyDescent="0.2">
      <c r="A36" s="3">
        <v>30</v>
      </c>
      <c r="B36" s="4" t="s">
        <v>610</v>
      </c>
      <c r="C36" s="4" t="s">
        <v>611</v>
      </c>
      <c r="D36" s="4" t="s">
        <v>235</v>
      </c>
      <c r="E36" s="5">
        <v>191985</v>
      </c>
      <c r="F36" s="6">
        <v>2210.0353275000002</v>
      </c>
      <c r="G36" s="7">
        <v>9.7511420000000008E-3</v>
      </c>
      <c r="H36" s="51"/>
    </row>
    <row r="37" spans="1:8" ht="17.100000000000001" customHeight="1" x14ac:dyDescent="0.2">
      <c r="A37" s="3">
        <v>31</v>
      </c>
      <c r="B37" s="4" t="s">
        <v>720</v>
      </c>
      <c r="C37" s="4" t="s">
        <v>721</v>
      </c>
      <c r="D37" s="4" t="s">
        <v>189</v>
      </c>
      <c r="E37" s="5">
        <v>53896</v>
      </c>
      <c r="F37" s="6">
        <v>2080.7089759999999</v>
      </c>
      <c r="G37" s="7">
        <v>9.1805270000000008E-3</v>
      </c>
      <c r="H37" s="51"/>
    </row>
    <row r="38" spans="1:8" ht="17.100000000000001" customHeight="1" x14ac:dyDescent="0.2">
      <c r="A38" s="3">
        <v>32</v>
      </c>
      <c r="B38" s="4" t="s">
        <v>749</v>
      </c>
      <c r="C38" s="4" t="s">
        <v>750</v>
      </c>
      <c r="D38" s="4" t="s">
        <v>251</v>
      </c>
      <c r="E38" s="5">
        <v>114424</v>
      </c>
      <c r="F38" s="6">
        <v>2046.47324</v>
      </c>
      <c r="G38" s="7">
        <v>9.0294710000000007E-3</v>
      </c>
      <c r="H38" s="51"/>
    </row>
    <row r="39" spans="1:8" ht="17.100000000000001" customHeight="1" x14ac:dyDescent="0.2">
      <c r="A39" s="3">
        <v>33</v>
      </c>
      <c r="B39" s="4" t="s">
        <v>514</v>
      </c>
      <c r="C39" s="4" t="s">
        <v>515</v>
      </c>
      <c r="D39" s="4" t="s">
        <v>315</v>
      </c>
      <c r="E39" s="5">
        <v>264699</v>
      </c>
      <c r="F39" s="6">
        <v>1913.1120225</v>
      </c>
      <c r="G39" s="7">
        <v>8.4410530000000004E-3</v>
      </c>
      <c r="H39" s="51"/>
    </row>
    <row r="40" spans="1:8" ht="17.100000000000001" customHeight="1" x14ac:dyDescent="0.2">
      <c r="A40" s="3">
        <v>34</v>
      </c>
      <c r="B40" s="4" t="s">
        <v>612</v>
      </c>
      <c r="C40" s="4" t="s">
        <v>613</v>
      </c>
      <c r="D40" s="4" t="s">
        <v>235</v>
      </c>
      <c r="E40" s="5">
        <v>345111</v>
      </c>
      <c r="F40" s="6">
        <v>1830.6412995000001</v>
      </c>
      <c r="G40" s="7">
        <v>8.0771750000000007E-3</v>
      </c>
      <c r="H40" s="51"/>
    </row>
    <row r="41" spans="1:8" ht="17.100000000000001" customHeight="1" x14ac:dyDescent="0.2">
      <c r="A41" s="3">
        <v>35</v>
      </c>
      <c r="B41" s="4" t="s">
        <v>204</v>
      </c>
      <c r="C41" s="4" t="s">
        <v>205</v>
      </c>
      <c r="D41" s="4" t="s">
        <v>16</v>
      </c>
      <c r="E41" s="5">
        <v>289455</v>
      </c>
      <c r="F41" s="6">
        <v>1792.3053600000001</v>
      </c>
      <c r="G41" s="7">
        <v>7.9080290000000004E-3</v>
      </c>
      <c r="H41" s="51"/>
    </row>
    <row r="42" spans="1:8" ht="29.1" customHeight="1" x14ac:dyDescent="0.2">
      <c r="A42" s="3">
        <v>36</v>
      </c>
      <c r="B42" s="4" t="s">
        <v>423</v>
      </c>
      <c r="C42" s="4" t="s">
        <v>424</v>
      </c>
      <c r="D42" s="4" t="s">
        <v>318</v>
      </c>
      <c r="E42" s="5">
        <v>380798</v>
      </c>
      <c r="F42" s="6">
        <v>1585.833271</v>
      </c>
      <c r="G42" s="7">
        <v>6.9970309999999999E-3</v>
      </c>
      <c r="H42" s="51"/>
    </row>
    <row r="43" spans="1:8" ht="17.100000000000001" customHeight="1" x14ac:dyDescent="0.2">
      <c r="A43" s="3">
        <v>37</v>
      </c>
      <c r="B43" s="4" t="s">
        <v>261</v>
      </c>
      <c r="C43" s="4" t="s">
        <v>262</v>
      </c>
      <c r="D43" s="4" t="s">
        <v>97</v>
      </c>
      <c r="E43" s="5">
        <v>91746</v>
      </c>
      <c r="F43" s="6">
        <v>1539.8189910000001</v>
      </c>
      <c r="G43" s="7">
        <v>6.794006E-3</v>
      </c>
      <c r="H43" s="51"/>
    </row>
    <row r="44" spans="1:8" ht="17.100000000000001" customHeight="1" x14ac:dyDescent="0.2">
      <c r="A44" s="3">
        <v>38</v>
      </c>
      <c r="B44" s="4" t="s">
        <v>516</v>
      </c>
      <c r="C44" s="4" t="s">
        <v>517</v>
      </c>
      <c r="D44" s="4" t="s">
        <v>223</v>
      </c>
      <c r="E44" s="5">
        <v>107408</v>
      </c>
      <c r="F44" s="6">
        <v>1502.852736</v>
      </c>
      <c r="G44" s="7">
        <v>6.6309029999999996E-3</v>
      </c>
      <c r="H44" s="51"/>
    </row>
    <row r="45" spans="1:8" ht="17.100000000000001" customHeight="1" x14ac:dyDescent="0.2">
      <c r="A45" s="3">
        <v>39</v>
      </c>
      <c r="B45" s="4" t="s">
        <v>336</v>
      </c>
      <c r="C45" s="4" t="s">
        <v>337</v>
      </c>
      <c r="D45" s="4" t="s">
        <v>16</v>
      </c>
      <c r="E45" s="5">
        <v>81043</v>
      </c>
      <c r="F45" s="6">
        <v>1474.3342560000001</v>
      </c>
      <c r="G45" s="7">
        <v>6.5050739999999996E-3</v>
      </c>
      <c r="H45" s="51"/>
    </row>
    <row r="46" spans="1:8" ht="17.100000000000001" customHeight="1" x14ac:dyDescent="0.2">
      <c r="A46" s="3">
        <v>40</v>
      </c>
      <c r="B46" s="4" t="s">
        <v>751</v>
      </c>
      <c r="C46" s="4" t="s">
        <v>752</v>
      </c>
      <c r="D46" s="4" t="s">
        <v>208</v>
      </c>
      <c r="E46" s="5">
        <v>82077</v>
      </c>
      <c r="F46" s="6">
        <v>1275.7638495000001</v>
      </c>
      <c r="G46" s="7">
        <v>5.6289390000000003E-3</v>
      </c>
      <c r="H46" s="51"/>
    </row>
    <row r="47" spans="1:8" ht="17.100000000000001" customHeight="1" x14ac:dyDescent="0.2">
      <c r="A47" s="3">
        <v>41</v>
      </c>
      <c r="B47" s="4" t="s">
        <v>349</v>
      </c>
      <c r="C47" s="4" t="s">
        <v>350</v>
      </c>
      <c r="D47" s="4" t="s">
        <v>97</v>
      </c>
      <c r="E47" s="5">
        <v>10721</v>
      </c>
      <c r="F47" s="6">
        <v>786.4657575</v>
      </c>
      <c r="G47" s="7">
        <v>3.4700529999999999E-3</v>
      </c>
      <c r="H47" s="51"/>
    </row>
    <row r="48" spans="1:8" ht="17.100000000000001" customHeight="1" x14ac:dyDescent="0.2">
      <c r="A48" s="3">
        <v>42</v>
      </c>
      <c r="B48" s="4" t="s">
        <v>344</v>
      </c>
      <c r="C48" s="38" t="s">
        <v>969</v>
      </c>
      <c r="D48" s="4" t="s">
        <v>19</v>
      </c>
      <c r="E48" s="5">
        <v>92315</v>
      </c>
      <c r="F48" s="6">
        <v>371.15245750000003</v>
      </c>
      <c r="G48" s="7">
        <v>1.6376030000000001E-3</v>
      </c>
      <c r="H48" s="51"/>
    </row>
    <row r="49" spans="1:8" ht="14.1" customHeight="1" x14ac:dyDescent="0.2">
      <c r="A49" s="1"/>
      <c r="B49" s="1"/>
      <c r="C49" s="2" t="s">
        <v>129</v>
      </c>
      <c r="D49" s="1"/>
      <c r="E49" s="1" t="s">
        <v>130</v>
      </c>
      <c r="F49" s="9">
        <v>208200.74772150005</v>
      </c>
      <c r="G49" s="10">
        <v>0.91862558300000019</v>
      </c>
      <c r="H49" s="51"/>
    </row>
    <row r="50" spans="1:8" ht="14.1" customHeight="1" x14ac:dyDescent="0.2">
      <c r="A50" s="1"/>
      <c r="B50" s="1"/>
      <c r="C50" s="11"/>
      <c r="D50" s="1"/>
      <c r="E50" s="1"/>
      <c r="F50" s="12"/>
      <c r="G50" s="12"/>
      <c r="H50" s="51"/>
    </row>
    <row r="51" spans="1:8" ht="14.1" customHeight="1" x14ac:dyDescent="0.2">
      <c r="A51" s="1"/>
      <c r="B51" s="1"/>
      <c r="C51" s="2" t="s">
        <v>131</v>
      </c>
      <c r="D51" s="1"/>
      <c r="E51" s="1"/>
      <c r="F51" s="1"/>
      <c r="G51" s="1"/>
      <c r="H51" s="51"/>
    </row>
    <row r="52" spans="1:8" ht="17.100000000000001" customHeight="1" x14ac:dyDescent="0.2">
      <c r="A52" s="3">
        <v>1</v>
      </c>
      <c r="B52" s="4" t="s">
        <v>753</v>
      </c>
      <c r="C52" s="4" t="s">
        <v>754</v>
      </c>
      <c r="D52" s="4" t="s">
        <v>248</v>
      </c>
      <c r="E52" s="5">
        <v>37829</v>
      </c>
      <c r="F52" s="6">
        <v>920.26688724500002</v>
      </c>
      <c r="G52" s="7">
        <v>4.0604109999999999E-3</v>
      </c>
      <c r="H52" s="51"/>
    </row>
    <row r="53" spans="1:8" ht="14.1" customHeight="1" x14ac:dyDescent="0.2">
      <c r="A53" s="1"/>
      <c r="B53" s="1"/>
      <c r="C53" s="2" t="s">
        <v>129</v>
      </c>
      <c r="D53" s="1"/>
      <c r="E53" s="1" t="s">
        <v>130</v>
      </c>
      <c r="F53" s="9">
        <v>920.26688724500002</v>
      </c>
      <c r="G53" s="10">
        <v>4.0604109999999999E-3</v>
      </c>
      <c r="H53" s="51"/>
    </row>
    <row r="54" spans="1:8" ht="14.1" customHeight="1" x14ac:dyDescent="0.2">
      <c r="A54" s="1"/>
      <c r="B54" s="1"/>
      <c r="C54" s="11"/>
      <c r="D54" s="1"/>
      <c r="E54" s="1"/>
      <c r="F54" s="12"/>
      <c r="G54" s="12"/>
      <c r="H54" s="51"/>
    </row>
    <row r="55" spans="1:8" ht="14.1" customHeight="1" x14ac:dyDescent="0.2">
      <c r="A55" s="1"/>
      <c r="B55" s="1"/>
      <c r="C55" s="2" t="s">
        <v>132</v>
      </c>
      <c r="D55" s="1"/>
      <c r="E55" s="1"/>
      <c r="F55" s="1"/>
      <c r="G55" s="1"/>
      <c r="H55" s="51"/>
    </row>
    <row r="56" spans="1:8" ht="14.1" customHeight="1" x14ac:dyDescent="0.2">
      <c r="A56" s="1"/>
      <c r="B56" s="1"/>
      <c r="C56" s="2" t="s">
        <v>129</v>
      </c>
      <c r="D56" s="1"/>
      <c r="E56" s="1" t="s">
        <v>130</v>
      </c>
      <c r="F56" s="13">
        <v>0</v>
      </c>
      <c r="G56" s="14">
        <v>0</v>
      </c>
      <c r="H56" s="51"/>
    </row>
    <row r="57" spans="1:8" ht="14.1" customHeight="1" x14ac:dyDescent="0.2">
      <c r="A57" s="1"/>
      <c r="B57" s="1"/>
      <c r="C57" s="11"/>
      <c r="D57" s="1"/>
      <c r="E57" s="1"/>
      <c r="F57" s="12"/>
      <c r="G57" s="12"/>
      <c r="H57" s="51"/>
    </row>
    <row r="58" spans="1:8" ht="14.1" customHeight="1" x14ac:dyDescent="0.2">
      <c r="A58" s="1"/>
      <c r="B58" s="1"/>
      <c r="C58" s="2" t="s">
        <v>133</v>
      </c>
      <c r="D58" s="1"/>
      <c r="E58" s="1"/>
      <c r="F58" s="1"/>
      <c r="G58" s="1"/>
      <c r="H58" s="51"/>
    </row>
    <row r="59" spans="1:8" ht="14.1" customHeight="1" x14ac:dyDescent="0.2">
      <c r="A59" s="1"/>
      <c r="B59" s="1"/>
      <c r="C59" s="2" t="s">
        <v>129</v>
      </c>
      <c r="D59" s="1"/>
      <c r="E59" s="1" t="s">
        <v>130</v>
      </c>
      <c r="F59" s="9">
        <v>0</v>
      </c>
      <c r="G59" s="10">
        <v>0</v>
      </c>
      <c r="H59" s="51"/>
    </row>
    <row r="60" spans="1:8" ht="14.1" customHeight="1" x14ac:dyDescent="0.2">
      <c r="A60" s="1"/>
      <c r="B60" s="1"/>
      <c r="C60" s="11"/>
      <c r="D60" s="1"/>
      <c r="E60" s="1"/>
      <c r="F60" s="12"/>
      <c r="G60" s="12"/>
      <c r="H60" s="51"/>
    </row>
    <row r="61" spans="1:8" ht="14.1" customHeight="1" x14ac:dyDescent="0.2">
      <c r="A61" s="1"/>
      <c r="B61" s="1"/>
      <c r="C61" s="2" t="s">
        <v>134</v>
      </c>
      <c r="D61" s="1"/>
      <c r="E61" s="1"/>
      <c r="F61" s="12"/>
      <c r="G61" s="12"/>
      <c r="H61" s="51"/>
    </row>
    <row r="62" spans="1:8" ht="14.1" customHeight="1" x14ac:dyDescent="0.2">
      <c r="A62" s="1"/>
      <c r="B62" s="1"/>
      <c r="C62" s="2" t="s">
        <v>129</v>
      </c>
      <c r="D62" s="1"/>
      <c r="E62" s="1" t="s">
        <v>130</v>
      </c>
      <c r="F62" s="13">
        <v>0</v>
      </c>
      <c r="G62" s="14">
        <v>0</v>
      </c>
      <c r="H62" s="51"/>
    </row>
    <row r="63" spans="1:8" ht="14.1" customHeight="1" x14ac:dyDescent="0.2">
      <c r="A63" s="1"/>
      <c r="B63" s="1"/>
      <c r="C63" s="11"/>
      <c r="D63" s="1"/>
      <c r="E63" s="1"/>
      <c r="F63" s="12"/>
      <c r="G63" s="12"/>
      <c r="H63" s="51"/>
    </row>
    <row r="64" spans="1:8" ht="14.1" customHeight="1" x14ac:dyDescent="0.2">
      <c r="A64" s="1"/>
      <c r="B64" s="1"/>
      <c r="C64" s="2" t="s">
        <v>135</v>
      </c>
      <c r="D64" s="1"/>
      <c r="E64" s="1"/>
      <c r="F64" s="12"/>
      <c r="G64" s="12"/>
      <c r="H64" s="51"/>
    </row>
    <row r="65" spans="1:8" ht="14.1" customHeight="1" x14ac:dyDescent="0.2">
      <c r="A65" s="1"/>
      <c r="B65" s="1"/>
      <c r="C65" s="2" t="s">
        <v>129</v>
      </c>
      <c r="D65" s="1"/>
      <c r="E65" s="1" t="s">
        <v>130</v>
      </c>
      <c r="F65" s="13">
        <v>0</v>
      </c>
      <c r="G65" s="14">
        <v>0</v>
      </c>
      <c r="H65" s="51"/>
    </row>
    <row r="66" spans="1:8" ht="14.1" customHeight="1" x14ac:dyDescent="0.2">
      <c r="A66" s="1"/>
      <c r="B66" s="1"/>
      <c r="C66" s="11"/>
      <c r="D66" s="1"/>
      <c r="E66" s="1"/>
      <c r="F66" s="12"/>
      <c r="G66" s="12"/>
      <c r="H66" s="51"/>
    </row>
    <row r="67" spans="1:8" ht="18" customHeight="1" x14ac:dyDescent="0.2">
      <c r="A67" s="1"/>
      <c r="B67" s="1"/>
      <c r="C67" s="2" t="s">
        <v>136</v>
      </c>
      <c r="D67" s="1"/>
      <c r="E67" s="1"/>
      <c r="F67" s="9">
        <v>209121.014608745</v>
      </c>
      <c r="G67" s="10">
        <v>0.92268599399999995</v>
      </c>
      <c r="H67" s="51"/>
    </row>
    <row r="68" spans="1:8" ht="14.1" customHeight="1" x14ac:dyDescent="0.2">
      <c r="A68" s="1"/>
      <c r="B68" s="1"/>
      <c r="C68" s="11"/>
      <c r="D68" s="1"/>
      <c r="E68" s="1"/>
      <c r="F68" s="12"/>
      <c r="G68" s="12"/>
      <c r="H68" s="51"/>
    </row>
    <row r="69" spans="1:8" ht="14.1" customHeight="1" x14ac:dyDescent="0.2">
      <c r="A69" s="1"/>
      <c r="B69" s="1"/>
      <c r="C69" s="2" t="s">
        <v>137</v>
      </c>
      <c r="D69" s="1"/>
      <c r="E69" s="1"/>
      <c r="F69" s="12"/>
      <c r="G69" s="12"/>
      <c r="H69" s="51"/>
    </row>
    <row r="70" spans="1:8" ht="24" customHeight="1" x14ac:dyDescent="0.2">
      <c r="A70" s="1"/>
      <c r="B70" s="1"/>
      <c r="C70" s="2" t="s">
        <v>10</v>
      </c>
      <c r="D70" s="1"/>
      <c r="E70" s="1"/>
      <c r="F70" s="12"/>
      <c r="G70" s="12"/>
      <c r="H70" s="51"/>
    </row>
    <row r="71" spans="1:8" ht="14.1" customHeight="1" x14ac:dyDescent="0.2">
      <c r="A71" s="1"/>
      <c r="B71" s="1"/>
      <c r="C71" s="2" t="s">
        <v>129</v>
      </c>
      <c r="D71" s="1"/>
      <c r="E71" s="1" t="s">
        <v>130</v>
      </c>
      <c r="F71" s="13">
        <v>0</v>
      </c>
      <c r="G71" s="14">
        <v>0</v>
      </c>
      <c r="H71" s="51"/>
    </row>
    <row r="72" spans="1:8" ht="14.1" customHeight="1" x14ac:dyDescent="0.2">
      <c r="A72" s="1"/>
      <c r="B72" s="1"/>
      <c r="C72" s="11"/>
      <c r="D72" s="1"/>
      <c r="E72" s="1"/>
      <c r="F72" s="12"/>
      <c r="G72" s="12"/>
      <c r="H72" s="51"/>
    </row>
    <row r="73" spans="1:8" ht="14.1" customHeight="1" x14ac:dyDescent="0.2">
      <c r="A73" s="1"/>
      <c r="B73" s="1"/>
      <c r="C73" s="2" t="s">
        <v>138</v>
      </c>
      <c r="D73" s="1"/>
      <c r="E73" s="1"/>
      <c r="F73" s="1"/>
      <c r="G73" s="1"/>
      <c r="H73" s="51"/>
    </row>
    <row r="74" spans="1:8" ht="14.1" customHeight="1" x14ac:dyDescent="0.2">
      <c r="A74" s="1"/>
      <c r="B74" s="1"/>
      <c r="C74" s="2" t="s">
        <v>129</v>
      </c>
      <c r="D74" s="1"/>
      <c r="E74" s="1" t="s">
        <v>130</v>
      </c>
      <c r="F74" s="13">
        <v>0</v>
      </c>
      <c r="G74" s="14">
        <v>0</v>
      </c>
      <c r="H74" s="51"/>
    </row>
    <row r="75" spans="1:8" ht="14.1" customHeight="1" x14ac:dyDescent="0.2">
      <c r="A75" s="1"/>
      <c r="B75" s="1"/>
      <c r="C75" s="11"/>
      <c r="D75" s="1"/>
      <c r="E75" s="1"/>
      <c r="F75" s="12"/>
      <c r="G75" s="12"/>
      <c r="H75" s="51"/>
    </row>
    <row r="76" spans="1:8" ht="14.1" customHeight="1" x14ac:dyDescent="0.2">
      <c r="A76" s="1"/>
      <c r="B76" s="1"/>
      <c r="C76" s="2" t="s">
        <v>139</v>
      </c>
      <c r="D76" s="1"/>
      <c r="E76" s="1"/>
      <c r="F76" s="1"/>
      <c r="G76" s="1"/>
      <c r="H76" s="51"/>
    </row>
    <row r="77" spans="1:8" ht="14.1" customHeight="1" x14ac:dyDescent="0.2">
      <c r="A77" s="1"/>
      <c r="B77" s="1"/>
      <c r="C77" s="2" t="s">
        <v>129</v>
      </c>
      <c r="D77" s="1"/>
      <c r="E77" s="1" t="s">
        <v>130</v>
      </c>
      <c r="F77" s="13">
        <v>0</v>
      </c>
      <c r="G77" s="14">
        <v>0</v>
      </c>
      <c r="H77" s="51"/>
    </row>
    <row r="78" spans="1:8" ht="14.1" customHeight="1" x14ac:dyDescent="0.2">
      <c r="A78" s="1"/>
      <c r="B78" s="1"/>
      <c r="C78" s="11"/>
      <c r="D78" s="1"/>
      <c r="E78" s="1"/>
      <c r="F78" s="12"/>
      <c r="G78" s="12"/>
      <c r="H78" s="51"/>
    </row>
    <row r="79" spans="1:8" ht="14.1" customHeight="1" x14ac:dyDescent="0.2">
      <c r="A79" s="1"/>
      <c r="B79" s="1"/>
      <c r="C79" s="2" t="s">
        <v>140</v>
      </c>
      <c r="D79" s="1"/>
      <c r="E79" s="1"/>
      <c r="F79" s="12"/>
      <c r="G79" s="12"/>
      <c r="H79" s="51"/>
    </row>
    <row r="80" spans="1:8" ht="14.1" customHeight="1" x14ac:dyDescent="0.2">
      <c r="A80" s="1"/>
      <c r="B80" s="1"/>
      <c r="C80" s="2" t="s">
        <v>129</v>
      </c>
      <c r="D80" s="1"/>
      <c r="E80" s="1" t="s">
        <v>130</v>
      </c>
      <c r="F80" s="13">
        <v>0</v>
      </c>
      <c r="G80" s="14">
        <v>0</v>
      </c>
      <c r="H80" s="51"/>
    </row>
    <row r="81" spans="1:8" ht="14.1" customHeight="1" x14ac:dyDescent="0.2">
      <c r="A81" s="1"/>
      <c r="B81" s="1"/>
      <c r="C81" s="11"/>
      <c r="D81" s="1"/>
      <c r="E81" s="1"/>
      <c r="F81" s="12"/>
      <c r="G81" s="12"/>
      <c r="H81" s="51"/>
    </row>
    <row r="82" spans="1:8" ht="14.1" customHeight="1" x14ac:dyDescent="0.2">
      <c r="A82" s="1"/>
      <c r="B82" s="1"/>
      <c r="C82" s="2" t="s">
        <v>141</v>
      </c>
      <c r="D82" s="1"/>
      <c r="E82" s="1"/>
      <c r="F82" s="9">
        <v>0</v>
      </c>
      <c r="G82" s="10">
        <v>0</v>
      </c>
      <c r="H82" s="51"/>
    </row>
    <row r="83" spans="1:8" ht="14.1" customHeight="1" x14ac:dyDescent="0.2">
      <c r="A83" s="1"/>
      <c r="B83" s="1"/>
      <c r="C83" s="11"/>
      <c r="D83" s="1"/>
      <c r="E83" s="1"/>
      <c r="F83" s="12"/>
      <c r="G83" s="12"/>
      <c r="H83" s="51"/>
    </row>
    <row r="84" spans="1:8" ht="14.1" customHeight="1" x14ac:dyDescent="0.2">
      <c r="A84" s="1"/>
      <c r="B84" s="1"/>
      <c r="C84" s="2" t="s">
        <v>142</v>
      </c>
      <c r="D84" s="1"/>
      <c r="E84" s="1"/>
      <c r="F84" s="12"/>
      <c r="G84" s="12"/>
      <c r="H84" s="51"/>
    </row>
    <row r="85" spans="1:8" ht="14.1" customHeight="1" x14ac:dyDescent="0.2">
      <c r="A85" s="1"/>
      <c r="B85" s="1"/>
      <c r="C85" s="2" t="s">
        <v>143</v>
      </c>
      <c r="D85" s="1"/>
      <c r="E85" s="1"/>
      <c r="F85" s="12"/>
      <c r="G85" s="12"/>
      <c r="H85" s="51"/>
    </row>
    <row r="86" spans="1:8" ht="14.1" customHeight="1" x14ac:dyDescent="0.2">
      <c r="A86" s="1"/>
      <c r="B86" s="1"/>
      <c r="C86" s="2" t="s">
        <v>129</v>
      </c>
      <c r="D86" s="1"/>
      <c r="E86" s="1" t="s">
        <v>130</v>
      </c>
      <c r="F86" s="13">
        <v>0</v>
      </c>
      <c r="G86" s="14">
        <v>0</v>
      </c>
      <c r="H86" s="51"/>
    </row>
    <row r="87" spans="1:8" ht="14.1" customHeight="1" x14ac:dyDescent="0.2">
      <c r="A87" s="1"/>
      <c r="B87" s="1"/>
      <c r="C87" s="11"/>
      <c r="D87" s="1"/>
      <c r="E87" s="1"/>
      <c r="F87" s="12"/>
      <c r="G87" s="12"/>
      <c r="H87" s="51"/>
    </row>
    <row r="88" spans="1:8" ht="14.1" customHeight="1" x14ac:dyDescent="0.2">
      <c r="A88" s="1"/>
      <c r="B88" s="1"/>
      <c r="C88" s="2" t="s">
        <v>144</v>
      </c>
      <c r="D88" s="1"/>
      <c r="E88" s="1"/>
      <c r="F88" s="12"/>
      <c r="G88" s="12"/>
      <c r="H88" s="51"/>
    </row>
    <row r="89" spans="1:8" ht="14.1" customHeight="1" x14ac:dyDescent="0.2">
      <c r="A89" s="1"/>
      <c r="B89" s="1"/>
      <c r="C89" s="2" t="s">
        <v>129</v>
      </c>
      <c r="D89" s="1"/>
      <c r="E89" s="1" t="s">
        <v>130</v>
      </c>
      <c r="F89" s="13">
        <v>0</v>
      </c>
      <c r="G89" s="14">
        <v>0</v>
      </c>
      <c r="H89" s="51"/>
    </row>
    <row r="90" spans="1:8" ht="14.1" customHeight="1" x14ac:dyDescent="0.2">
      <c r="A90" s="1"/>
      <c r="B90" s="1"/>
      <c r="C90" s="11"/>
      <c r="D90" s="1"/>
      <c r="E90" s="1"/>
      <c r="F90" s="12"/>
      <c r="G90" s="12"/>
      <c r="H90" s="51"/>
    </row>
    <row r="91" spans="1:8" ht="14.1" customHeight="1" x14ac:dyDescent="0.2">
      <c r="A91" s="1"/>
      <c r="B91" s="1"/>
      <c r="C91" s="2" t="s">
        <v>145</v>
      </c>
      <c r="D91" s="1"/>
      <c r="E91" s="1"/>
      <c r="F91" s="12"/>
      <c r="G91" s="12"/>
      <c r="H91" s="51"/>
    </row>
    <row r="92" spans="1:8" ht="14.1" customHeight="1" x14ac:dyDescent="0.2">
      <c r="A92" s="1"/>
      <c r="B92" s="1"/>
      <c r="C92" s="2" t="s">
        <v>129</v>
      </c>
      <c r="D92" s="1"/>
      <c r="E92" s="1" t="s">
        <v>130</v>
      </c>
      <c r="F92" s="13">
        <v>0</v>
      </c>
      <c r="G92" s="14">
        <v>0</v>
      </c>
      <c r="H92" s="51"/>
    </row>
    <row r="93" spans="1:8" ht="14.1" customHeight="1" x14ac:dyDescent="0.2">
      <c r="A93" s="1"/>
      <c r="B93" s="1"/>
      <c r="C93" s="11"/>
      <c r="D93" s="1"/>
      <c r="E93" s="1"/>
      <c r="F93" s="12"/>
      <c r="G93" s="12"/>
      <c r="H93" s="51"/>
    </row>
    <row r="94" spans="1:8" ht="14.1" customHeight="1" x14ac:dyDescent="0.2">
      <c r="A94" s="1"/>
      <c r="B94" s="1"/>
      <c r="C94" s="2" t="s">
        <v>146</v>
      </c>
      <c r="D94" s="1"/>
      <c r="E94" s="1"/>
      <c r="F94" s="12"/>
      <c r="G94" s="12"/>
      <c r="H94" s="51"/>
    </row>
    <row r="95" spans="1:8" ht="17.100000000000001" customHeight="1" x14ac:dyDescent="0.2">
      <c r="A95" s="3">
        <v>1</v>
      </c>
      <c r="B95" s="4"/>
      <c r="C95" s="4" t="s">
        <v>147</v>
      </c>
      <c r="D95" s="4"/>
      <c r="E95" s="8"/>
      <c r="F95" s="6">
        <v>16433.630965699998</v>
      </c>
      <c r="G95" s="7">
        <v>7.2508643999999997E-2</v>
      </c>
      <c r="H95" s="51">
        <v>6.1245112103248278</v>
      </c>
    </row>
    <row r="96" spans="1:8" ht="14.1" customHeight="1" x14ac:dyDescent="0.2">
      <c r="A96" s="1"/>
      <c r="B96" s="1"/>
      <c r="C96" s="2" t="s">
        <v>129</v>
      </c>
      <c r="D96" s="1"/>
      <c r="E96" s="1" t="s">
        <v>130</v>
      </c>
      <c r="F96" s="9">
        <v>16433.630965699998</v>
      </c>
      <c r="G96" s="10">
        <v>7.2508643999999997E-2</v>
      </c>
      <c r="H96" s="51"/>
    </row>
    <row r="97" spans="1:8" ht="14.1" customHeight="1" x14ac:dyDescent="0.2">
      <c r="A97" s="1"/>
      <c r="B97" s="1"/>
      <c r="C97" s="11"/>
      <c r="D97" s="1"/>
      <c r="E97" s="1"/>
      <c r="F97" s="12"/>
      <c r="G97" s="12"/>
      <c r="H97" s="51"/>
    </row>
    <row r="98" spans="1:8" ht="14.1" customHeight="1" x14ac:dyDescent="0.2">
      <c r="A98" s="1"/>
      <c r="B98" s="1"/>
      <c r="C98" s="2" t="s">
        <v>148</v>
      </c>
      <c r="D98" s="1"/>
      <c r="E98" s="1"/>
      <c r="F98" s="9">
        <v>16433.630965699998</v>
      </c>
      <c r="G98" s="10">
        <v>7.2508643999999997E-2</v>
      </c>
      <c r="H98" s="51"/>
    </row>
    <row r="99" spans="1:8" ht="14.1" customHeight="1" x14ac:dyDescent="0.2">
      <c r="A99" s="1"/>
      <c r="B99" s="1"/>
      <c r="C99" s="12"/>
      <c r="D99" s="1"/>
      <c r="E99" s="1"/>
      <c r="F99" s="1"/>
      <c r="G99" s="1"/>
      <c r="H99" s="51"/>
    </row>
    <row r="100" spans="1:8" ht="14.1" customHeight="1" x14ac:dyDescent="0.2">
      <c r="A100" s="1"/>
      <c r="B100" s="1"/>
      <c r="C100" s="2" t="s">
        <v>149</v>
      </c>
      <c r="D100" s="1"/>
      <c r="E100" s="1"/>
      <c r="F100" s="1"/>
      <c r="G100" s="1"/>
      <c r="H100" s="51"/>
    </row>
    <row r="101" spans="1:8" ht="14.1" customHeight="1" x14ac:dyDescent="0.2">
      <c r="A101" s="1"/>
      <c r="B101" s="1"/>
      <c r="C101" s="2" t="s">
        <v>150</v>
      </c>
      <c r="D101" s="1"/>
      <c r="E101" s="1"/>
      <c r="F101" s="1"/>
      <c r="G101" s="1"/>
      <c r="H101" s="51"/>
    </row>
    <row r="102" spans="1:8" ht="14.1" customHeight="1" x14ac:dyDescent="0.2">
      <c r="A102" s="1"/>
      <c r="B102" s="1"/>
      <c r="C102" s="2" t="s">
        <v>129</v>
      </c>
      <c r="D102" s="1"/>
      <c r="E102" s="1" t="s">
        <v>130</v>
      </c>
      <c r="F102" s="13">
        <v>0</v>
      </c>
      <c r="G102" s="14">
        <v>0</v>
      </c>
      <c r="H102" s="51"/>
    </row>
    <row r="103" spans="1:8" ht="14.1" customHeight="1" x14ac:dyDescent="0.2">
      <c r="A103" s="1"/>
      <c r="B103" s="1"/>
      <c r="C103" s="11"/>
      <c r="D103" s="1"/>
      <c r="E103" s="1"/>
      <c r="F103" s="12"/>
      <c r="G103" s="12"/>
      <c r="H103" s="51"/>
    </row>
    <row r="104" spans="1:8" ht="14.1" customHeight="1" x14ac:dyDescent="0.2">
      <c r="A104" s="1"/>
      <c r="B104" s="1"/>
      <c r="C104" s="2" t="s">
        <v>151</v>
      </c>
      <c r="D104" s="1"/>
      <c r="E104" s="1"/>
      <c r="F104" s="1"/>
      <c r="G104" s="1"/>
      <c r="H104" s="51"/>
    </row>
    <row r="105" spans="1:8" ht="14.1" customHeight="1" x14ac:dyDescent="0.2">
      <c r="A105" s="1"/>
      <c r="B105" s="1"/>
      <c r="C105" s="2" t="s">
        <v>152</v>
      </c>
      <c r="D105" s="1"/>
      <c r="E105" s="1"/>
      <c r="F105" s="1"/>
      <c r="G105" s="1"/>
      <c r="H105" s="51"/>
    </row>
    <row r="106" spans="1:8" ht="14.1" customHeight="1" x14ac:dyDescent="0.2">
      <c r="A106" s="1"/>
      <c r="B106" s="1"/>
      <c r="C106" s="2" t="s">
        <v>129</v>
      </c>
      <c r="D106" s="1"/>
      <c r="E106" s="1" t="s">
        <v>130</v>
      </c>
      <c r="F106" s="13">
        <v>0</v>
      </c>
      <c r="G106" s="14">
        <v>0</v>
      </c>
      <c r="H106" s="51"/>
    </row>
    <row r="107" spans="1:8" ht="14.1" customHeight="1" x14ac:dyDescent="0.2">
      <c r="A107" s="1"/>
      <c r="B107" s="1"/>
      <c r="C107" s="11"/>
      <c r="D107" s="1"/>
      <c r="E107" s="1"/>
      <c r="F107" s="12"/>
      <c r="G107" s="12"/>
      <c r="H107" s="51"/>
    </row>
    <row r="108" spans="1:8" ht="14.1" customHeight="1" x14ac:dyDescent="0.2">
      <c r="A108" s="1"/>
      <c r="B108" s="1"/>
      <c r="C108" s="11"/>
      <c r="D108" s="1"/>
      <c r="E108" s="1"/>
      <c r="F108" s="12"/>
      <c r="G108" s="12"/>
      <c r="H108" s="51"/>
    </row>
    <row r="109" spans="1:8" ht="24" customHeight="1" x14ac:dyDescent="0.2">
      <c r="A109" s="1"/>
      <c r="B109" s="1"/>
      <c r="C109" s="2" t="s">
        <v>153</v>
      </c>
      <c r="D109" s="1"/>
      <c r="E109" s="1"/>
      <c r="F109" s="12"/>
      <c r="G109" s="12"/>
      <c r="H109" s="51"/>
    </row>
    <row r="110" spans="1:8" ht="14.1" customHeight="1" x14ac:dyDescent="0.2">
      <c r="A110" s="1"/>
      <c r="B110" s="1"/>
      <c r="C110" s="2" t="s">
        <v>129</v>
      </c>
      <c r="D110" s="1"/>
      <c r="E110" s="1" t="s">
        <v>130</v>
      </c>
      <c r="F110" s="13">
        <v>0</v>
      </c>
      <c r="G110" s="14">
        <v>0</v>
      </c>
      <c r="H110" s="51"/>
    </row>
    <row r="111" spans="1:8" ht="14.1" customHeight="1" x14ac:dyDescent="0.2">
      <c r="A111" s="1"/>
      <c r="B111" s="1"/>
      <c r="C111" s="11"/>
      <c r="D111" s="1"/>
      <c r="E111" s="1"/>
      <c r="F111" s="12"/>
      <c r="G111" s="12"/>
      <c r="H111" s="51"/>
    </row>
    <row r="112" spans="1:8" ht="14.1" customHeight="1" x14ac:dyDescent="0.2">
      <c r="A112" s="1"/>
      <c r="B112" s="4"/>
      <c r="C112" s="4"/>
      <c r="D112" s="2"/>
      <c r="E112" s="1"/>
      <c r="F112" s="4"/>
      <c r="G112" s="8"/>
      <c r="H112" s="51"/>
    </row>
    <row r="113" spans="1:8" ht="18" customHeight="1" x14ac:dyDescent="0.2">
      <c r="A113" s="8"/>
      <c r="B113" s="4"/>
      <c r="C113" s="4" t="s">
        <v>154</v>
      </c>
      <c r="D113" s="4"/>
      <c r="E113" s="8"/>
      <c r="F113" s="6">
        <v>1089.1049927199999</v>
      </c>
      <c r="G113" s="7">
        <v>4.8053610000000002E-3</v>
      </c>
      <c r="H113" s="51"/>
    </row>
    <row r="114" spans="1:8" ht="14.1" customHeight="1" x14ac:dyDescent="0.2">
      <c r="A114" s="11"/>
      <c r="B114" s="11"/>
      <c r="C114" s="2" t="s">
        <v>155</v>
      </c>
      <c r="D114" s="15"/>
      <c r="E114" s="15"/>
      <c r="F114" s="9">
        <v>226643.750567165</v>
      </c>
      <c r="G114" s="10">
        <v>0.99999999899999992</v>
      </c>
      <c r="H114" s="51"/>
    </row>
    <row r="115" spans="1:8" ht="14.1" customHeight="1" x14ac:dyDescent="0.2">
      <c r="A115" s="16"/>
      <c r="B115" s="16"/>
      <c r="C115" s="16"/>
      <c r="D115" s="17"/>
      <c r="E115" s="17"/>
      <c r="F115" s="17"/>
      <c r="G115" s="17"/>
    </row>
    <row r="116" spans="1:8" ht="14.1" customHeight="1" x14ac:dyDescent="0.2">
      <c r="A116" s="18"/>
      <c r="B116" s="327" t="s">
        <v>130</v>
      </c>
      <c r="C116" s="327"/>
      <c r="D116" s="327"/>
      <c r="E116" s="327"/>
      <c r="F116" s="327"/>
      <c r="G116" s="20"/>
    </row>
    <row r="117" spans="1:8" ht="14.1" customHeight="1" x14ac:dyDescent="0.2">
      <c r="A117" s="18"/>
      <c r="B117" s="327" t="s">
        <v>130</v>
      </c>
      <c r="C117" s="327"/>
      <c r="D117" s="327"/>
      <c r="E117" s="327"/>
      <c r="F117" s="327"/>
      <c r="G117" s="20"/>
    </row>
    <row r="118" spans="1:8" ht="14.1" customHeight="1" x14ac:dyDescent="0.2">
      <c r="A118" s="18"/>
      <c r="B118" s="18"/>
      <c r="C118" s="18"/>
      <c r="D118" s="20"/>
      <c r="E118" s="20"/>
      <c r="F118" s="20"/>
      <c r="G118" s="20"/>
    </row>
    <row r="119" spans="1:8" ht="14.1" customHeight="1" x14ac:dyDescent="0.2">
      <c r="A119" s="18"/>
      <c r="B119" s="325" t="s">
        <v>157</v>
      </c>
      <c r="C119" s="326"/>
      <c r="D119" s="12" t="s">
        <v>130</v>
      </c>
      <c r="E119" s="21"/>
      <c r="F119" s="20"/>
      <c r="G119" s="20"/>
    </row>
    <row r="120" spans="1:8" ht="29.1" customHeight="1" x14ac:dyDescent="0.2">
      <c r="A120" s="18"/>
      <c r="B120" s="318" t="s">
        <v>158</v>
      </c>
      <c r="C120" s="319"/>
      <c r="D120" s="2" t="s">
        <v>159</v>
      </c>
      <c r="E120" s="21"/>
      <c r="F120" s="20"/>
      <c r="G120" s="20"/>
    </row>
    <row r="121" spans="1:8" ht="17.100000000000001" customHeight="1" x14ac:dyDescent="0.2">
      <c r="A121" s="18"/>
      <c r="B121" s="318" t="s">
        <v>160</v>
      </c>
      <c r="C121" s="319"/>
      <c r="D121" s="2" t="s">
        <v>159</v>
      </c>
      <c r="E121" s="21"/>
      <c r="F121" s="20"/>
      <c r="G121" s="20"/>
    </row>
    <row r="122" spans="1:8" ht="17.100000000000001" customHeight="1" x14ac:dyDescent="0.2">
      <c r="A122" s="18"/>
      <c r="B122" s="318" t="s">
        <v>161</v>
      </c>
      <c r="C122" s="319"/>
      <c r="D122" s="12" t="s">
        <v>130</v>
      </c>
      <c r="E122" s="21"/>
      <c r="F122" s="20"/>
      <c r="G122" s="20"/>
    </row>
    <row r="123" spans="1:8" ht="24" customHeight="1" x14ac:dyDescent="0.2">
      <c r="A123" s="22"/>
      <c r="B123" s="23" t="s">
        <v>130</v>
      </c>
      <c r="C123" s="23" t="s">
        <v>162</v>
      </c>
      <c r="D123" s="23" t="s">
        <v>163</v>
      </c>
      <c r="E123" s="22"/>
      <c r="F123" s="22"/>
      <c r="G123" s="22"/>
    </row>
    <row r="124" spans="1:8" ht="18" customHeight="1" x14ac:dyDescent="0.2">
      <c r="A124" s="22"/>
      <c r="B124" s="23" t="s">
        <v>164</v>
      </c>
      <c r="C124" s="23" t="s">
        <v>165</v>
      </c>
      <c r="D124" s="23" t="s">
        <v>166</v>
      </c>
      <c r="E124" s="22"/>
      <c r="F124" s="22"/>
      <c r="G124" s="22"/>
    </row>
    <row r="125" spans="1:8" ht="17.100000000000001" customHeight="1" x14ac:dyDescent="0.2">
      <c r="A125" s="22"/>
      <c r="B125" s="4" t="s">
        <v>167</v>
      </c>
      <c r="C125" s="24">
        <v>22.413</v>
      </c>
      <c r="D125" s="24">
        <v>22.029599999999999</v>
      </c>
      <c r="E125" s="22"/>
      <c r="F125" s="19"/>
      <c r="G125" s="25"/>
    </row>
    <row r="126" spans="1:8" ht="17.100000000000001" customHeight="1" x14ac:dyDescent="0.2">
      <c r="A126" s="22"/>
      <c r="B126" s="4" t="s">
        <v>1067</v>
      </c>
      <c r="C126" s="24">
        <v>19.101099999999999</v>
      </c>
      <c r="D126" s="24">
        <v>18.7743</v>
      </c>
      <c r="E126" s="22"/>
      <c r="F126" s="19"/>
      <c r="G126" s="25"/>
    </row>
    <row r="127" spans="1:8" ht="17.100000000000001" customHeight="1" x14ac:dyDescent="0.2">
      <c r="A127" s="22"/>
      <c r="B127" s="4" t="s">
        <v>168</v>
      </c>
      <c r="C127" s="24">
        <v>21.424299999999999</v>
      </c>
      <c r="D127" s="24">
        <v>21.033300000000001</v>
      </c>
      <c r="E127" s="22"/>
      <c r="F127" s="19"/>
      <c r="G127" s="25"/>
    </row>
    <row r="128" spans="1:8" ht="17.100000000000001" customHeight="1" x14ac:dyDescent="0.2">
      <c r="A128" s="22"/>
      <c r="B128" s="4" t="s">
        <v>1068</v>
      </c>
      <c r="C128" s="24">
        <v>18.241900000000001</v>
      </c>
      <c r="D128" s="24">
        <v>17.908899999999999</v>
      </c>
      <c r="E128" s="22"/>
      <c r="F128" s="19"/>
      <c r="G128" s="25"/>
    </row>
    <row r="129" spans="1:7" ht="14.1" customHeight="1" x14ac:dyDescent="0.2">
      <c r="A129" s="22"/>
      <c r="B129" s="22"/>
      <c r="C129" s="22"/>
      <c r="D129" s="22"/>
      <c r="E129" s="22"/>
      <c r="F129" s="22"/>
      <c r="G129" s="22"/>
    </row>
    <row r="130" spans="1:7" ht="17.100000000000001" customHeight="1" x14ac:dyDescent="0.2">
      <c r="A130" s="22"/>
      <c r="B130" s="318" t="s">
        <v>1069</v>
      </c>
      <c r="C130" s="319"/>
      <c r="D130" s="2" t="s">
        <v>159</v>
      </c>
      <c r="E130" s="22"/>
      <c r="F130" s="22"/>
      <c r="G130" s="22"/>
    </row>
    <row r="131" spans="1:7" ht="18" customHeight="1" x14ac:dyDescent="0.2">
      <c r="A131" s="22"/>
      <c r="B131" s="26"/>
      <c r="C131" s="26"/>
      <c r="D131" s="27"/>
      <c r="E131" s="22"/>
      <c r="F131" s="22"/>
      <c r="G131" s="22"/>
    </row>
    <row r="132" spans="1:7" ht="29.1" customHeight="1" x14ac:dyDescent="0.2">
      <c r="A132" s="22"/>
      <c r="B132" s="318" t="s">
        <v>169</v>
      </c>
      <c r="C132" s="319"/>
      <c r="D132" s="2" t="s">
        <v>159</v>
      </c>
      <c r="E132" s="22"/>
      <c r="F132" s="22"/>
      <c r="G132" s="22"/>
    </row>
    <row r="133" spans="1:7" ht="29.1" customHeight="1" x14ac:dyDescent="0.2">
      <c r="A133" s="22"/>
      <c r="B133" s="318" t="s">
        <v>170</v>
      </c>
      <c r="C133" s="319"/>
      <c r="D133" s="111" t="s">
        <v>1013</v>
      </c>
      <c r="E133" s="22"/>
      <c r="F133" s="22"/>
      <c r="G133" s="22"/>
    </row>
    <row r="134" spans="1:7" ht="17.100000000000001" customHeight="1" x14ac:dyDescent="0.2">
      <c r="A134" s="22"/>
      <c r="B134" s="318" t="s">
        <v>171</v>
      </c>
      <c r="C134" s="319"/>
      <c r="D134" s="28">
        <v>0.34593992773838261</v>
      </c>
      <c r="E134" s="22"/>
      <c r="F134" s="19"/>
      <c r="G134" s="25"/>
    </row>
    <row r="135" spans="1:7" ht="17.100000000000001" customHeight="1" x14ac:dyDescent="0.2">
      <c r="A135" s="22"/>
      <c r="B135" s="318" t="s">
        <v>172</v>
      </c>
      <c r="C135" s="319"/>
      <c r="D135" s="2" t="s">
        <v>159</v>
      </c>
      <c r="E135" s="22"/>
      <c r="F135" s="22"/>
      <c r="G135" s="22"/>
    </row>
  </sheetData>
  <mergeCells count="15">
    <mergeCell ref="A1:H1"/>
    <mergeCell ref="A2:H2"/>
    <mergeCell ref="A3:H3"/>
    <mergeCell ref="J2:N2"/>
    <mergeCell ref="B134:C134"/>
    <mergeCell ref="B119:C119"/>
    <mergeCell ref="B116:F116"/>
    <mergeCell ref="B117:F117"/>
    <mergeCell ref="B135:C135"/>
    <mergeCell ref="B120:C120"/>
    <mergeCell ref="B121:C121"/>
    <mergeCell ref="B122:C122"/>
    <mergeCell ref="B130:C130"/>
    <mergeCell ref="B132:C132"/>
    <mergeCell ref="B133:C133"/>
  </mergeCells>
  <hyperlinks>
    <hyperlink ref="I1" location="Index!B34" display="Index" xr:uid="{01C880F0-D107-4987-A73B-DD909D121666}"/>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outlinePr summaryBelow="0" summaryRight="0"/>
  </sheetPr>
  <dimension ref="A1:N145"/>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755</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14</v>
      </c>
      <c r="C7" s="4" t="s">
        <v>15</v>
      </c>
      <c r="D7" s="4" t="s">
        <v>16</v>
      </c>
      <c r="E7" s="5">
        <v>1939000</v>
      </c>
      <c r="F7" s="6">
        <v>16714.18</v>
      </c>
      <c r="G7" s="7">
        <v>9.5161197000000003E-2</v>
      </c>
      <c r="H7" s="51"/>
    </row>
    <row r="8" spans="1:14" ht="17.100000000000001" customHeight="1" x14ac:dyDescent="0.2">
      <c r="A8" s="3">
        <v>2</v>
      </c>
      <c r="B8" s="4" t="s">
        <v>269</v>
      </c>
      <c r="C8" s="4" t="s">
        <v>270</v>
      </c>
      <c r="D8" s="4" t="s">
        <v>16</v>
      </c>
      <c r="E8" s="5">
        <v>736000</v>
      </c>
      <c r="F8" s="6">
        <v>10461.136</v>
      </c>
      <c r="G8" s="7">
        <v>5.9559859999999999E-2</v>
      </c>
      <c r="H8" s="51"/>
    </row>
    <row r="9" spans="1:14" ht="17.100000000000001" customHeight="1" x14ac:dyDescent="0.2">
      <c r="A9" s="3">
        <v>3</v>
      </c>
      <c r="B9" s="4" t="s">
        <v>41</v>
      </c>
      <c r="C9" s="4" t="s">
        <v>42</v>
      </c>
      <c r="D9" s="4" t="s">
        <v>16</v>
      </c>
      <c r="E9" s="5">
        <v>1715000</v>
      </c>
      <c r="F9" s="6">
        <v>9099.7900000000009</v>
      </c>
      <c r="G9" s="7">
        <v>5.1809117000000002E-2</v>
      </c>
      <c r="H9" s="51"/>
    </row>
    <row r="10" spans="1:14" ht="17.100000000000001" customHeight="1" x14ac:dyDescent="0.2">
      <c r="A10" s="3">
        <v>4</v>
      </c>
      <c r="B10" s="4" t="s">
        <v>296</v>
      </c>
      <c r="C10" s="4" t="s">
        <v>297</v>
      </c>
      <c r="D10" s="4" t="s">
        <v>223</v>
      </c>
      <c r="E10" s="5">
        <v>592000</v>
      </c>
      <c r="F10" s="6">
        <v>8367.6239999999998</v>
      </c>
      <c r="G10" s="7">
        <v>4.7640572999999999E-2</v>
      </c>
      <c r="H10" s="51"/>
    </row>
    <row r="11" spans="1:14" ht="17.100000000000001" customHeight="1" x14ac:dyDescent="0.2">
      <c r="A11" s="3">
        <v>5</v>
      </c>
      <c r="B11" s="4" t="s">
        <v>20</v>
      </c>
      <c r="C11" s="4" t="s">
        <v>21</v>
      </c>
      <c r="D11" s="4" t="s">
        <v>22</v>
      </c>
      <c r="E11" s="5">
        <v>341595</v>
      </c>
      <c r="F11" s="6">
        <v>8122.2751125000004</v>
      </c>
      <c r="G11" s="7">
        <v>4.6243694000000002E-2</v>
      </c>
      <c r="H11" s="51"/>
    </row>
    <row r="12" spans="1:14" ht="17.100000000000001" customHeight="1" x14ac:dyDescent="0.2">
      <c r="A12" s="3">
        <v>6</v>
      </c>
      <c r="B12" s="4" t="s">
        <v>195</v>
      </c>
      <c r="C12" s="4" t="s">
        <v>196</v>
      </c>
      <c r="D12" s="4" t="s">
        <v>16</v>
      </c>
      <c r="E12" s="5">
        <v>1095000</v>
      </c>
      <c r="F12" s="6">
        <v>8028.54</v>
      </c>
      <c r="G12" s="7">
        <v>4.5710017999999998E-2</v>
      </c>
      <c r="H12" s="51"/>
    </row>
    <row r="13" spans="1:14" ht="53.1" customHeight="1" x14ac:dyDescent="0.25">
      <c r="A13" s="3">
        <v>7</v>
      </c>
      <c r="B13" s="4" t="s">
        <v>43</v>
      </c>
      <c r="C13" s="4" t="s">
        <v>44</v>
      </c>
      <c r="D13" s="4" t="s">
        <v>45</v>
      </c>
      <c r="E13" s="5">
        <v>4089762</v>
      </c>
      <c r="F13" s="6">
        <v>6243.0216929999997</v>
      </c>
      <c r="G13" s="7">
        <v>3.5544275E-2</v>
      </c>
      <c r="H13" s="51"/>
      <c r="J13" s="167" t="s">
        <v>1104</v>
      </c>
    </row>
    <row r="14" spans="1:14" ht="29.1" customHeight="1" x14ac:dyDescent="0.2">
      <c r="A14" s="3">
        <v>8</v>
      </c>
      <c r="B14" s="4" t="s">
        <v>298</v>
      </c>
      <c r="C14" s="4" t="s">
        <v>299</v>
      </c>
      <c r="D14" s="4" t="s">
        <v>97</v>
      </c>
      <c r="E14" s="5">
        <v>272000</v>
      </c>
      <c r="F14" s="6">
        <v>6222.68</v>
      </c>
      <c r="G14" s="7">
        <v>3.5428461000000001E-2</v>
      </c>
      <c r="H14" s="51"/>
      <c r="J14" s="157"/>
    </row>
    <row r="15" spans="1:14" ht="17.100000000000001" customHeight="1" x14ac:dyDescent="0.2">
      <c r="A15" s="3">
        <v>9</v>
      </c>
      <c r="B15" s="4" t="s">
        <v>39</v>
      </c>
      <c r="C15" s="4" t="s">
        <v>40</v>
      </c>
      <c r="D15" s="4" t="s">
        <v>31</v>
      </c>
      <c r="E15" s="5">
        <v>229000</v>
      </c>
      <c r="F15" s="6">
        <v>5864.1175000000003</v>
      </c>
      <c r="G15" s="7">
        <v>3.3387007000000003E-2</v>
      </c>
      <c r="H15" s="51"/>
    </row>
    <row r="16" spans="1:14" ht="17.100000000000001" customHeight="1" x14ac:dyDescent="0.2">
      <c r="A16" s="3">
        <v>10</v>
      </c>
      <c r="B16" s="4" t="s">
        <v>306</v>
      </c>
      <c r="C16" s="4" t="s">
        <v>307</v>
      </c>
      <c r="D16" s="4" t="s">
        <v>223</v>
      </c>
      <c r="E16" s="5">
        <v>165000</v>
      </c>
      <c r="F16" s="6">
        <v>4957.5074999999997</v>
      </c>
      <c r="G16" s="7">
        <v>2.8225276000000001E-2</v>
      </c>
      <c r="H16" s="51"/>
    </row>
    <row r="17" spans="1:10" ht="17.100000000000001" customHeight="1" x14ac:dyDescent="0.2">
      <c r="A17" s="3">
        <v>11</v>
      </c>
      <c r="B17" s="4" t="s">
        <v>11</v>
      </c>
      <c r="C17" s="4" t="s">
        <v>12</v>
      </c>
      <c r="D17" s="4" t="s">
        <v>13</v>
      </c>
      <c r="E17" s="5">
        <v>262761</v>
      </c>
      <c r="F17" s="6">
        <v>4855.0349969999997</v>
      </c>
      <c r="G17" s="7">
        <v>2.7641855E-2</v>
      </c>
      <c r="H17" s="51"/>
    </row>
    <row r="18" spans="1:10" ht="17.100000000000001" customHeight="1" x14ac:dyDescent="0.2">
      <c r="A18" s="3">
        <v>12</v>
      </c>
      <c r="B18" s="4" t="s">
        <v>32</v>
      </c>
      <c r="C18" s="4" t="s">
        <v>33</v>
      </c>
      <c r="D18" s="4" t="s">
        <v>31</v>
      </c>
      <c r="E18" s="5">
        <v>225556</v>
      </c>
      <c r="F18" s="6">
        <v>4655.8141740000001</v>
      </c>
      <c r="G18" s="7">
        <v>2.6507603000000001E-2</v>
      </c>
      <c r="H18" s="51"/>
    </row>
    <row r="19" spans="1:10" ht="17.100000000000001" customHeight="1" x14ac:dyDescent="0.2">
      <c r="A19" s="3">
        <v>13</v>
      </c>
      <c r="B19" s="4" t="s">
        <v>246</v>
      </c>
      <c r="C19" s="4" t="s">
        <v>247</v>
      </c>
      <c r="D19" s="4" t="s">
        <v>248</v>
      </c>
      <c r="E19" s="5">
        <v>715000</v>
      </c>
      <c r="F19" s="6">
        <v>4452.3050000000003</v>
      </c>
      <c r="G19" s="7">
        <v>2.5348935999999999E-2</v>
      </c>
      <c r="H19" s="51"/>
    </row>
    <row r="20" spans="1:10" ht="17.100000000000001" customHeight="1" x14ac:dyDescent="0.2">
      <c r="A20" s="3">
        <v>14</v>
      </c>
      <c r="B20" s="4" t="s">
        <v>67</v>
      </c>
      <c r="C20" s="4" t="s">
        <v>68</v>
      </c>
      <c r="D20" s="4" t="s">
        <v>69</v>
      </c>
      <c r="E20" s="5">
        <v>48000</v>
      </c>
      <c r="F20" s="6">
        <v>4237.5119999999997</v>
      </c>
      <c r="G20" s="7">
        <v>2.4126023999999999E-2</v>
      </c>
      <c r="H20" s="51"/>
    </row>
    <row r="21" spans="1:10" ht="17.100000000000001" customHeight="1" x14ac:dyDescent="0.2">
      <c r="A21" s="3">
        <v>15</v>
      </c>
      <c r="B21" s="4" t="s">
        <v>17</v>
      </c>
      <c r="C21" s="4" t="s">
        <v>18</v>
      </c>
      <c r="D21" s="4" t="s">
        <v>19</v>
      </c>
      <c r="E21" s="5">
        <v>503000</v>
      </c>
      <c r="F21" s="6">
        <v>4023.4969999999998</v>
      </c>
      <c r="G21" s="7">
        <v>2.2907542999999999E-2</v>
      </c>
      <c r="H21" s="51"/>
    </row>
    <row r="22" spans="1:10" ht="29.1" customHeight="1" x14ac:dyDescent="0.2">
      <c r="A22" s="3">
        <v>16</v>
      </c>
      <c r="B22" s="4" t="s">
        <v>304</v>
      </c>
      <c r="C22" s="4" t="s">
        <v>305</v>
      </c>
      <c r="D22" s="4" t="s">
        <v>203</v>
      </c>
      <c r="E22" s="5">
        <v>397908</v>
      </c>
      <c r="F22" s="6">
        <v>3774.754242</v>
      </c>
      <c r="G22" s="7">
        <v>2.1491340000000001E-2</v>
      </c>
      <c r="H22" s="51"/>
    </row>
    <row r="23" spans="1:10" ht="17.100000000000001" customHeight="1" x14ac:dyDescent="0.2">
      <c r="A23" s="3">
        <v>17</v>
      </c>
      <c r="B23" s="4" t="s">
        <v>261</v>
      </c>
      <c r="C23" s="4" t="s">
        <v>262</v>
      </c>
      <c r="D23" s="4" t="s">
        <v>97</v>
      </c>
      <c r="E23" s="5">
        <v>210000</v>
      </c>
      <c r="F23" s="6">
        <v>3524.5349999999999</v>
      </c>
      <c r="G23" s="7">
        <v>2.0066732E-2</v>
      </c>
      <c r="H23" s="51"/>
      <c r="J23" s="157" t="s">
        <v>1112</v>
      </c>
    </row>
    <row r="24" spans="1:10" ht="17.100000000000001" customHeight="1" x14ac:dyDescent="0.2">
      <c r="A24" s="3">
        <v>18</v>
      </c>
      <c r="B24" s="4" t="s">
        <v>308</v>
      </c>
      <c r="C24" s="4" t="s">
        <v>309</v>
      </c>
      <c r="D24" s="4" t="s">
        <v>310</v>
      </c>
      <c r="E24" s="5">
        <v>124000</v>
      </c>
      <c r="F24" s="6">
        <v>3343.598</v>
      </c>
      <c r="G24" s="7">
        <v>1.9036577999999998E-2</v>
      </c>
      <c r="H24" s="51"/>
    </row>
    <row r="25" spans="1:10" ht="29.1" customHeight="1" x14ac:dyDescent="0.2">
      <c r="A25" s="3">
        <v>19</v>
      </c>
      <c r="B25" s="4" t="s">
        <v>185</v>
      </c>
      <c r="C25" s="4" t="s">
        <v>186</v>
      </c>
      <c r="D25" s="4" t="s">
        <v>104</v>
      </c>
      <c r="E25" s="5">
        <v>800000</v>
      </c>
      <c r="F25" s="6">
        <v>3295.2</v>
      </c>
      <c r="G25" s="7">
        <v>1.8761027E-2</v>
      </c>
      <c r="H25" s="51"/>
    </row>
    <row r="26" spans="1:10" ht="17.100000000000001" customHeight="1" x14ac:dyDescent="0.2">
      <c r="A26" s="3">
        <v>20</v>
      </c>
      <c r="B26" s="4" t="s">
        <v>34</v>
      </c>
      <c r="C26" s="4" t="s">
        <v>35</v>
      </c>
      <c r="D26" s="4" t="s">
        <v>36</v>
      </c>
      <c r="E26" s="5">
        <v>100000</v>
      </c>
      <c r="F26" s="6">
        <v>3088.4</v>
      </c>
      <c r="G26" s="7">
        <v>1.7583623E-2</v>
      </c>
      <c r="H26" s="51"/>
    </row>
    <row r="27" spans="1:10" ht="17.100000000000001" customHeight="1" x14ac:dyDescent="0.2">
      <c r="A27" s="3">
        <v>21</v>
      </c>
      <c r="B27" s="4" t="s">
        <v>233</v>
      </c>
      <c r="C27" s="4" t="s">
        <v>234</v>
      </c>
      <c r="D27" s="4" t="s">
        <v>235</v>
      </c>
      <c r="E27" s="5">
        <v>396000</v>
      </c>
      <c r="F27" s="6">
        <v>3019.8960000000002</v>
      </c>
      <c r="G27" s="7">
        <v>1.71936E-2</v>
      </c>
      <c r="H27" s="51"/>
    </row>
    <row r="28" spans="1:10" ht="29.1" customHeight="1" x14ac:dyDescent="0.2">
      <c r="A28" s="3">
        <v>22</v>
      </c>
      <c r="B28" s="4" t="s">
        <v>95</v>
      </c>
      <c r="C28" s="4" t="s">
        <v>96</v>
      </c>
      <c r="D28" s="4" t="s">
        <v>97</v>
      </c>
      <c r="E28" s="5">
        <v>392000</v>
      </c>
      <c r="F28" s="6">
        <v>2870.2240000000002</v>
      </c>
      <c r="G28" s="7">
        <v>1.6341451E-2</v>
      </c>
      <c r="H28" s="51"/>
    </row>
    <row r="29" spans="1:10" ht="17.100000000000001" customHeight="1" x14ac:dyDescent="0.2">
      <c r="A29" s="3">
        <v>23</v>
      </c>
      <c r="B29" s="4" t="s">
        <v>510</v>
      </c>
      <c r="C29" s="4" t="s">
        <v>511</v>
      </c>
      <c r="D29" s="4" t="s">
        <v>315</v>
      </c>
      <c r="E29" s="5">
        <v>67000</v>
      </c>
      <c r="F29" s="6">
        <v>2659.9670000000001</v>
      </c>
      <c r="G29" s="7">
        <v>1.5144365E-2</v>
      </c>
      <c r="H29" s="51"/>
    </row>
    <row r="30" spans="1:10" ht="29.1" customHeight="1" x14ac:dyDescent="0.2">
      <c r="A30" s="3">
        <v>24</v>
      </c>
      <c r="B30" s="4" t="s">
        <v>23</v>
      </c>
      <c r="C30" s="4" t="s">
        <v>24</v>
      </c>
      <c r="D30" s="4" t="s">
        <v>25</v>
      </c>
      <c r="E30" s="5">
        <v>38000</v>
      </c>
      <c r="F30" s="6">
        <v>2376.9380000000001</v>
      </c>
      <c r="G30" s="7">
        <v>1.3532956E-2</v>
      </c>
      <c r="H30" s="51"/>
    </row>
    <row r="31" spans="1:10" ht="17.100000000000001" customHeight="1" x14ac:dyDescent="0.2">
      <c r="A31" s="3">
        <v>25</v>
      </c>
      <c r="B31" s="4" t="s">
        <v>355</v>
      </c>
      <c r="C31" s="4" t="s">
        <v>356</v>
      </c>
      <c r="D31" s="4" t="s">
        <v>189</v>
      </c>
      <c r="E31" s="5">
        <v>52000</v>
      </c>
      <c r="F31" s="6">
        <v>2281.0059999999999</v>
      </c>
      <c r="G31" s="7">
        <v>1.2986773E-2</v>
      </c>
      <c r="H31" s="51"/>
    </row>
    <row r="32" spans="1:10" ht="17.100000000000001" customHeight="1" x14ac:dyDescent="0.2">
      <c r="A32" s="3">
        <v>26</v>
      </c>
      <c r="B32" s="4" t="s">
        <v>109</v>
      </c>
      <c r="C32" s="4" t="s">
        <v>110</v>
      </c>
      <c r="D32" s="4" t="s">
        <v>72</v>
      </c>
      <c r="E32" s="5">
        <v>484905</v>
      </c>
      <c r="F32" s="6">
        <v>2248.7469375000001</v>
      </c>
      <c r="G32" s="7">
        <v>1.2803108000000001E-2</v>
      </c>
      <c r="H32" s="51"/>
    </row>
    <row r="33" spans="1:8" ht="17.100000000000001" customHeight="1" x14ac:dyDescent="0.2">
      <c r="A33" s="3">
        <v>27</v>
      </c>
      <c r="B33" s="4" t="s">
        <v>359</v>
      </c>
      <c r="C33" s="4" t="s">
        <v>360</v>
      </c>
      <c r="D33" s="4" t="s">
        <v>69</v>
      </c>
      <c r="E33" s="5">
        <v>533583</v>
      </c>
      <c r="F33" s="6">
        <v>2158.8768180000002</v>
      </c>
      <c r="G33" s="7">
        <v>1.2291438E-2</v>
      </c>
      <c r="H33" s="51"/>
    </row>
    <row r="34" spans="1:8" ht="29.1" customHeight="1" x14ac:dyDescent="0.2">
      <c r="A34" s="3">
        <v>28</v>
      </c>
      <c r="B34" s="4" t="s">
        <v>182</v>
      </c>
      <c r="C34" s="4" t="s">
        <v>183</v>
      </c>
      <c r="D34" s="4" t="s">
        <v>184</v>
      </c>
      <c r="E34" s="5">
        <v>48000</v>
      </c>
      <c r="F34" s="6">
        <v>2155.6080000000002</v>
      </c>
      <c r="G34" s="7">
        <v>1.2272827E-2</v>
      </c>
      <c r="H34" s="51"/>
    </row>
    <row r="35" spans="1:8" ht="17.100000000000001" customHeight="1" x14ac:dyDescent="0.2">
      <c r="A35" s="3">
        <v>29</v>
      </c>
      <c r="B35" s="4" t="s">
        <v>177</v>
      </c>
      <c r="C35" s="4" t="s">
        <v>178</v>
      </c>
      <c r="D35" s="4" t="s">
        <v>16</v>
      </c>
      <c r="E35" s="5">
        <v>1809981</v>
      </c>
      <c r="F35" s="6">
        <v>2149.3524375000002</v>
      </c>
      <c r="G35" s="7">
        <v>1.2237211E-2</v>
      </c>
      <c r="H35" s="51"/>
    </row>
    <row r="36" spans="1:8" ht="17.100000000000001" customHeight="1" x14ac:dyDescent="0.2">
      <c r="A36" s="3">
        <v>30</v>
      </c>
      <c r="B36" s="4" t="s">
        <v>347</v>
      </c>
      <c r="C36" s="4" t="s">
        <v>348</v>
      </c>
      <c r="D36" s="4" t="s">
        <v>16</v>
      </c>
      <c r="E36" s="5">
        <v>925292</v>
      </c>
      <c r="F36" s="6">
        <v>2116.60545</v>
      </c>
      <c r="G36" s="7">
        <v>1.2050768E-2</v>
      </c>
      <c r="H36" s="51"/>
    </row>
    <row r="37" spans="1:8" ht="17.100000000000001" customHeight="1" x14ac:dyDescent="0.2">
      <c r="A37" s="3">
        <v>31</v>
      </c>
      <c r="B37" s="4" t="s">
        <v>190</v>
      </c>
      <c r="C37" s="4" t="s">
        <v>191</v>
      </c>
      <c r="D37" s="4" t="s">
        <v>192</v>
      </c>
      <c r="E37" s="5">
        <v>4000</v>
      </c>
      <c r="F37" s="6">
        <v>2026.646</v>
      </c>
      <c r="G37" s="7">
        <v>1.1538589E-2</v>
      </c>
      <c r="H37" s="51"/>
    </row>
    <row r="38" spans="1:8" ht="17.100000000000001" customHeight="1" x14ac:dyDescent="0.2">
      <c r="A38" s="3">
        <v>32</v>
      </c>
      <c r="B38" s="4" t="s">
        <v>300</v>
      </c>
      <c r="C38" s="4" t="s">
        <v>301</v>
      </c>
      <c r="D38" s="4" t="s">
        <v>235</v>
      </c>
      <c r="E38" s="5">
        <v>161000</v>
      </c>
      <c r="F38" s="6">
        <v>2013.2245</v>
      </c>
      <c r="G38" s="7">
        <v>1.1462175E-2</v>
      </c>
      <c r="H38" s="51"/>
    </row>
    <row r="39" spans="1:8" ht="29.1" customHeight="1" x14ac:dyDescent="0.2">
      <c r="A39" s="3">
        <v>33</v>
      </c>
      <c r="B39" s="4" t="s">
        <v>236</v>
      </c>
      <c r="C39" s="4" t="s">
        <v>237</v>
      </c>
      <c r="D39" s="4" t="s">
        <v>203</v>
      </c>
      <c r="E39" s="5">
        <v>95000</v>
      </c>
      <c r="F39" s="6">
        <v>1988.2075</v>
      </c>
      <c r="G39" s="7">
        <v>1.1319742000000001E-2</v>
      </c>
      <c r="H39" s="51"/>
    </row>
    <row r="40" spans="1:8" ht="17.100000000000001" customHeight="1" x14ac:dyDescent="0.2">
      <c r="A40" s="3">
        <v>34</v>
      </c>
      <c r="B40" s="4" t="s">
        <v>179</v>
      </c>
      <c r="C40" s="4" t="s">
        <v>180</v>
      </c>
      <c r="D40" s="4" t="s">
        <v>181</v>
      </c>
      <c r="E40" s="5">
        <v>180000</v>
      </c>
      <c r="F40" s="6">
        <v>1879.56</v>
      </c>
      <c r="G40" s="7">
        <v>1.0701164000000001E-2</v>
      </c>
      <c r="H40" s="51"/>
    </row>
    <row r="41" spans="1:8" ht="17.100000000000001" customHeight="1" x14ac:dyDescent="0.2">
      <c r="A41" s="3">
        <v>35</v>
      </c>
      <c r="B41" s="4" t="s">
        <v>531</v>
      </c>
      <c r="C41" s="4" t="s">
        <v>532</v>
      </c>
      <c r="D41" s="4" t="s">
        <v>260</v>
      </c>
      <c r="E41" s="5">
        <v>115680</v>
      </c>
      <c r="F41" s="6">
        <v>1878.41184</v>
      </c>
      <c r="G41" s="7">
        <v>1.0694627E-2</v>
      </c>
      <c r="H41" s="51"/>
    </row>
    <row r="42" spans="1:8" ht="53.1" customHeight="1" x14ac:dyDescent="0.2">
      <c r="A42" s="3">
        <v>36</v>
      </c>
      <c r="B42" s="4" t="s">
        <v>93</v>
      </c>
      <c r="C42" s="4" t="s">
        <v>94</v>
      </c>
      <c r="D42" s="4" t="s">
        <v>45</v>
      </c>
      <c r="E42" s="5">
        <v>125775</v>
      </c>
      <c r="F42" s="6">
        <v>1864.9917</v>
      </c>
      <c r="G42" s="7">
        <v>1.0618219999999999E-2</v>
      </c>
      <c r="H42" s="51"/>
    </row>
    <row r="43" spans="1:8" ht="29.1" customHeight="1" x14ac:dyDescent="0.2">
      <c r="A43" s="3">
        <v>37</v>
      </c>
      <c r="B43" s="4" t="s">
        <v>604</v>
      </c>
      <c r="C43" s="4" t="s">
        <v>605</v>
      </c>
      <c r="D43" s="4" t="s">
        <v>184</v>
      </c>
      <c r="E43" s="5">
        <v>100000</v>
      </c>
      <c r="F43" s="6">
        <v>1759.15</v>
      </c>
      <c r="G43" s="7">
        <v>1.0015616999999999E-2</v>
      </c>
      <c r="H43" s="51"/>
    </row>
    <row r="44" spans="1:8" ht="17.100000000000001" customHeight="1" x14ac:dyDescent="0.2">
      <c r="A44" s="3">
        <v>38</v>
      </c>
      <c r="B44" s="4" t="s">
        <v>504</v>
      </c>
      <c r="C44" s="4" t="s">
        <v>505</v>
      </c>
      <c r="D44" s="4" t="s">
        <v>315</v>
      </c>
      <c r="E44" s="5">
        <v>68000</v>
      </c>
      <c r="F44" s="6">
        <v>1718.6320000000001</v>
      </c>
      <c r="G44" s="7">
        <v>9.7849300000000007E-3</v>
      </c>
      <c r="H44" s="51"/>
    </row>
    <row r="45" spans="1:8" ht="17.100000000000001" customHeight="1" x14ac:dyDescent="0.2">
      <c r="A45" s="3">
        <v>39</v>
      </c>
      <c r="B45" s="4" t="s">
        <v>70</v>
      </c>
      <c r="C45" s="4" t="s">
        <v>71</v>
      </c>
      <c r="D45" s="4" t="s">
        <v>72</v>
      </c>
      <c r="E45" s="5">
        <v>52000</v>
      </c>
      <c r="F45" s="6">
        <v>1670.422</v>
      </c>
      <c r="G45" s="7">
        <v>9.5104490000000007E-3</v>
      </c>
      <c r="H45" s="51"/>
    </row>
    <row r="46" spans="1:8" ht="17.100000000000001" customHeight="1" x14ac:dyDescent="0.2">
      <c r="A46" s="3">
        <v>40</v>
      </c>
      <c r="B46" s="4" t="s">
        <v>107</v>
      </c>
      <c r="C46" s="4" t="s">
        <v>108</v>
      </c>
      <c r="D46" s="4" t="s">
        <v>92</v>
      </c>
      <c r="E46" s="5">
        <v>173919</v>
      </c>
      <c r="F46" s="6">
        <v>1596.228582</v>
      </c>
      <c r="G46" s="7">
        <v>9.0880330000000006E-3</v>
      </c>
      <c r="H46" s="51"/>
    </row>
    <row r="47" spans="1:8" ht="29.1" customHeight="1" x14ac:dyDescent="0.2">
      <c r="A47" s="3">
        <v>41</v>
      </c>
      <c r="B47" s="4" t="s">
        <v>610</v>
      </c>
      <c r="C47" s="4" t="s">
        <v>611</v>
      </c>
      <c r="D47" s="4" t="s">
        <v>235</v>
      </c>
      <c r="E47" s="5">
        <v>130000</v>
      </c>
      <c r="F47" s="6">
        <v>1496.4949999999999</v>
      </c>
      <c r="G47" s="7">
        <v>8.5202060000000007E-3</v>
      </c>
      <c r="H47" s="51"/>
    </row>
    <row r="48" spans="1:8" ht="29.1" customHeight="1" x14ac:dyDescent="0.2">
      <c r="A48" s="3">
        <v>42</v>
      </c>
      <c r="B48" s="4" t="s">
        <v>488</v>
      </c>
      <c r="C48" s="4" t="s">
        <v>489</v>
      </c>
      <c r="D48" s="4" t="s">
        <v>203</v>
      </c>
      <c r="E48" s="5">
        <v>130000</v>
      </c>
      <c r="F48" s="6">
        <v>1449.4349999999999</v>
      </c>
      <c r="G48" s="7">
        <v>8.2522729999999992E-3</v>
      </c>
      <c r="H48" s="51"/>
    </row>
    <row r="49" spans="1:8" ht="17.100000000000001" customHeight="1" x14ac:dyDescent="0.2">
      <c r="A49" s="3">
        <v>43</v>
      </c>
      <c r="B49" s="4" t="s">
        <v>516</v>
      </c>
      <c r="C49" s="4" t="s">
        <v>517</v>
      </c>
      <c r="D49" s="4" t="s">
        <v>223</v>
      </c>
      <c r="E49" s="5">
        <v>102772</v>
      </c>
      <c r="F49" s="6">
        <v>1437.9858240000001</v>
      </c>
      <c r="G49" s="7">
        <v>8.1870869999999991E-3</v>
      </c>
      <c r="H49" s="51"/>
    </row>
    <row r="50" spans="1:8" ht="17.100000000000001" customHeight="1" x14ac:dyDescent="0.2">
      <c r="A50" s="3">
        <v>44</v>
      </c>
      <c r="B50" s="4" t="s">
        <v>199</v>
      </c>
      <c r="C50" s="4" t="s">
        <v>200</v>
      </c>
      <c r="D50" s="4" t="s">
        <v>16</v>
      </c>
      <c r="E50" s="5">
        <v>1000000</v>
      </c>
      <c r="F50" s="6">
        <v>1324</v>
      </c>
      <c r="G50" s="7">
        <v>7.5381160000000001E-3</v>
      </c>
      <c r="H50" s="51"/>
    </row>
    <row r="51" spans="1:8" ht="17.100000000000001" customHeight="1" x14ac:dyDescent="0.2">
      <c r="A51" s="3">
        <v>45</v>
      </c>
      <c r="B51" s="4" t="s">
        <v>742</v>
      </c>
      <c r="C51" s="4" t="s">
        <v>743</v>
      </c>
      <c r="D51" s="4" t="s">
        <v>223</v>
      </c>
      <c r="E51" s="5">
        <v>36000</v>
      </c>
      <c r="F51" s="6">
        <v>1210.3019999999999</v>
      </c>
      <c r="G51" s="7">
        <v>6.8907830000000002E-3</v>
      </c>
      <c r="H51" s="51"/>
    </row>
    <row r="52" spans="1:8" ht="17.100000000000001" customHeight="1" x14ac:dyDescent="0.2">
      <c r="A52" s="3">
        <v>46</v>
      </c>
      <c r="B52" s="4" t="s">
        <v>230</v>
      </c>
      <c r="C52" s="4" t="s">
        <v>231</v>
      </c>
      <c r="D52" s="4" t="s">
        <v>232</v>
      </c>
      <c r="E52" s="5">
        <v>194000</v>
      </c>
      <c r="F52" s="6">
        <v>831.48400000000004</v>
      </c>
      <c r="G52" s="7">
        <v>4.7340050000000003E-3</v>
      </c>
      <c r="H52" s="51"/>
    </row>
    <row r="53" spans="1:8" ht="17.100000000000001" customHeight="1" x14ac:dyDescent="0.2">
      <c r="A53" s="3">
        <v>47</v>
      </c>
      <c r="B53" s="4" t="s">
        <v>265</v>
      </c>
      <c r="C53" s="4" t="s">
        <v>266</v>
      </c>
      <c r="D53" s="4" t="s">
        <v>208</v>
      </c>
      <c r="E53" s="5">
        <v>300000</v>
      </c>
      <c r="F53" s="6">
        <v>792.6</v>
      </c>
      <c r="G53" s="7">
        <v>4.5126209999999996E-3</v>
      </c>
      <c r="H53" s="51"/>
    </row>
    <row r="54" spans="1:8" ht="17.100000000000001" customHeight="1" x14ac:dyDescent="0.2">
      <c r="A54" s="3">
        <v>48</v>
      </c>
      <c r="B54" s="4" t="s">
        <v>325</v>
      </c>
      <c r="C54" s="4" t="s">
        <v>326</v>
      </c>
      <c r="D54" s="4" t="s">
        <v>223</v>
      </c>
      <c r="E54" s="5">
        <v>188000</v>
      </c>
      <c r="F54" s="6">
        <v>741.19</v>
      </c>
      <c r="G54" s="7">
        <v>4.2199220000000001E-3</v>
      </c>
      <c r="H54" s="51"/>
    </row>
    <row r="55" spans="1:8" ht="17.100000000000001" customHeight="1" x14ac:dyDescent="0.2">
      <c r="A55" s="3">
        <v>49</v>
      </c>
      <c r="B55" s="61" t="s">
        <v>1012</v>
      </c>
      <c r="C55" s="65" t="s">
        <v>125</v>
      </c>
      <c r="D55" s="61" t="s">
        <v>97</v>
      </c>
      <c r="E55" s="5">
        <v>125775</v>
      </c>
      <c r="F55" s="6">
        <v>379.52606250000002</v>
      </c>
      <c r="G55" s="7">
        <v>2.1608090000000001E-3</v>
      </c>
      <c r="H55" s="51"/>
    </row>
    <row r="56" spans="1:8" ht="17.100000000000001" customHeight="1" x14ac:dyDescent="0.2">
      <c r="A56" s="3">
        <v>50</v>
      </c>
      <c r="B56" s="4" t="s">
        <v>555</v>
      </c>
      <c r="C56" s="4" t="s">
        <v>556</v>
      </c>
      <c r="D56" s="4" t="s">
        <v>189</v>
      </c>
      <c r="E56" s="5">
        <v>18112</v>
      </c>
      <c r="F56" s="6">
        <v>255.161856</v>
      </c>
      <c r="G56" s="7">
        <v>1.4527489999999999E-3</v>
      </c>
      <c r="H56" s="51"/>
    </row>
    <row r="57" spans="1:8" ht="17.100000000000001" customHeight="1" x14ac:dyDescent="0.2">
      <c r="A57" s="3">
        <v>51</v>
      </c>
      <c r="B57" s="4" t="s">
        <v>514</v>
      </c>
      <c r="C57" s="4" t="s">
        <v>515</v>
      </c>
      <c r="D57" s="4" t="s">
        <v>315</v>
      </c>
      <c r="E57" s="5">
        <v>3</v>
      </c>
      <c r="F57" s="6">
        <v>2.16825E-2</v>
      </c>
      <c r="G57" s="8" t="s">
        <v>128</v>
      </c>
      <c r="H57" s="51"/>
    </row>
    <row r="58" spans="1:8" ht="14.1" customHeight="1" x14ac:dyDescent="0.2">
      <c r="A58" s="1"/>
      <c r="B58" s="1"/>
      <c r="C58" s="2" t="s">
        <v>129</v>
      </c>
      <c r="D58" s="1"/>
      <c r="E58" s="1" t="s">
        <v>130</v>
      </c>
      <c r="F58" s="9">
        <v>175682.4184085</v>
      </c>
      <c r="G58" s="10">
        <v>1.0002374759999999</v>
      </c>
      <c r="H58" s="51"/>
    </row>
    <row r="59" spans="1:8" ht="14.1" customHeight="1" x14ac:dyDescent="0.2">
      <c r="A59" s="1"/>
      <c r="B59" s="1"/>
      <c r="C59" s="11"/>
      <c r="D59" s="1"/>
      <c r="E59" s="1"/>
      <c r="F59" s="12"/>
      <c r="G59" s="12"/>
      <c r="H59" s="51"/>
    </row>
    <row r="60" spans="1:8" ht="14.1" customHeight="1" x14ac:dyDescent="0.2">
      <c r="A60" s="1"/>
      <c r="B60" s="1"/>
      <c r="C60" s="2" t="s">
        <v>131</v>
      </c>
      <c r="D60" s="1"/>
      <c r="E60" s="1"/>
      <c r="F60" s="1"/>
      <c r="G60" s="1"/>
      <c r="H60" s="51"/>
    </row>
    <row r="61" spans="1:8" ht="14.1" customHeight="1" x14ac:dyDescent="0.2">
      <c r="A61" s="1"/>
      <c r="B61" s="1"/>
      <c r="C61" s="2" t="s">
        <v>129</v>
      </c>
      <c r="D61" s="1"/>
      <c r="E61" s="1" t="s">
        <v>130</v>
      </c>
      <c r="F61" s="13">
        <v>0</v>
      </c>
      <c r="G61" s="14">
        <v>0</v>
      </c>
      <c r="H61" s="51"/>
    </row>
    <row r="62" spans="1:8" ht="14.1" customHeight="1" x14ac:dyDescent="0.2">
      <c r="A62" s="1"/>
      <c r="B62" s="1"/>
      <c r="C62" s="11"/>
      <c r="D62" s="1"/>
      <c r="E62" s="1"/>
      <c r="F62" s="12"/>
      <c r="G62" s="12"/>
      <c r="H62" s="51"/>
    </row>
    <row r="63" spans="1:8" ht="14.1" customHeight="1" x14ac:dyDescent="0.2">
      <c r="A63" s="1"/>
      <c r="B63" s="1"/>
      <c r="C63" s="2" t="s">
        <v>132</v>
      </c>
      <c r="D63" s="1"/>
      <c r="E63" s="1"/>
      <c r="F63" s="1"/>
      <c r="G63" s="1"/>
      <c r="H63" s="51"/>
    </row>
    <row r="64" spans="1:8" ht="14.1" customHeight="1" x14ac:dyDescent="0.2">
      <c r="A64" s="1"/>
      <c r="B64" s="1"/>
      <c r="C64" s="2" t="s">
        <v>129</v>
      </c>
      <c r="D64" s="1"/>
      <c r="E64" s="1" t="s">
        <v>130</v>
      </c>
      <c r="F64" s="13">
        <v>0</v>
      </c>
      <c r="G64" s="14">
        <v>0</v>
      </c>
      <c r="H64" s="51"/>
    </row>
    <row r="65" spans="1:8" ht="14.1" customHeight="1" x14ac:dyDescent="0.2">
      <c r="A65" s="1"/>
      <c r="B65" s="1"/>
      <c r="C65" s="11"/>
      <c r="D65" s="1"/>
      <c r="E65" s="1"/>
      <c r="F65" s="12"/>
      <c r="G65" s="12"/>
      <c r="H65" s="51"/>
    </row>
    <row r="66" spans="1:8" ht="14.1" customHeight="1" x14ac:dyDescent="0.2">
      <c r="A66" s="1"/>
      <c r="B66" s="1"/>
      <c r="C66" s="2" t="s">
        <v>133</v>
      </c>
      <c r="D66" s="1"/>
      <c r="E66" s="1"/>
      <c r="F66" s="1"/>
      <c r="G66" s="1"/>
      <c r="H66" s="51"/>
    </row>
    <row r="67" spans="1:8" ht="14.1" customHeight="1" x14ac:dyDescent="0.2">
      <c r="A67" s="1"/>
      <c r="B67" s="1"/>
      <c r="C67" s="2" t="s">
        <v>129</v>
      </c>
      <c r="D67" s="1"/>
      <c r="E67" s="1" t="s">
        <v>130</v>
      </c>
      <c r="F67" s="13">
        <v>0</v>
      </c>
      <c r="G67" s="14">
        <v>0</v>
      </c>
      <c r="H67" s="51"/>
    </row>
    <row r="68" spans="1:8" ht="14.1" customHeight="1" x14ac:dyDescent="0.2">
      <c r="A68" s="1"/>
      <c r="B68" s="1"/>
      <c r="C68" s="11"/>
      <c r="D68" s="1"/>
      <c r="E68" s="1"/>
      <c r="F68" s="12"/>
      <c r="G68" s="12"/>
      <c r="H68" s="51"/>
    </row>
    <row r="69" spans="1:8" ht="14.1" customHeight="1" x14ac:dyDescent="0.2">
      <c r="A69" s="1"/>
      <c r="B69" s="1"/>
      <c r="C69" s="2" t="s">
        <v>134</v>
      </c>
      <c r="D69" s="1"/>
      <c r="E69" s="1"/>
      <c r="F69" s="12"/>
      <c r="G69" s="12"/>
      <c r="H69" s="51"/>
    </row>
    <row r="70" spans="1:8" ht="14.1" customHeight="1" x14ac:dyDescent="0.2">
      <c r="A70" s="1"/>
      <c r="B70" s="1"/>
      <c r="C70" s="2" t="s">
        <v>129</v>
      </c>
      <c r="D70" s="1"/>
      <c r="E70" s="1" t="s">
        <v>130</v>
      </c>
      <c r="F70" s="13">
        <v>0</v>
      </c>
      <c r="G70" s="14">
        <v>0</v>
      </c>
      <c r="H70" s="51"/>
    </row>
    <row r="71" spans="1:8" ht="14.1" customHeight="1" x14ac:dyDescent="0.2">
      <c r="A71" s="1"/>
      <c r="B71" s="1"/>
      <c r="C71" s="11"/>
      <c r="D71" s="1"/>
      <c r="E71" s="1"/>
      <c r="F71" s="12"/>
      <c r="G71" s="12"/>
      <c r="H71" s="51"/>
    </row>
    <row r="72" spans="1:8" ht="14.1" customHeight="1" x14ac:dyDescent="0.2">
      <c r="A72" s="1"/>
      <c r="B72" s="1"/>
      <c r="C72" s="2" t="s">
        <v>135</v>
      </c>
      <c r="D72" s="1"/>
      <c r="E72" s="1"/>
      <c r="F72" s="12"/>
      <c r="G72" s="12"/>
      <c r="H72" s="51"/>
    </row>
    <row r="73" spans="1:8" ht="14.1" customHeight="1" x14ac:dyDescent="0.2">
      <c r="A73" s="1"/>
      <c r="B73" s="1"/>
      <c r="C73" s="2" t="s">
        <v>129</v>
      </c>
      <c r="D73" s="1"/>
      <c r="E73" s="1" t="s">
        <v>130</v>
      </c>
      <c r="F73" s="13">
        <v>0</v>
      </c>
      <c r="G73" s="14">
        <v>0</v>
      </c>
      <c r="H73" s="51"/>
    </row>
    <row r="74" spans="1:8" ht="14.1" customHeight="1" x14ac:dyDescent="0.2">
      <c r="A74" s="1"/>
      <c r="B74" s="1"/>
      <c r="C74" s="11"/>
      <c r="D74" s="1"/>
      <c r="E74" s="1"/>
      <c r="F74" s="12"/>
      <c r="G74" s="12"/>
      <c r="H74" s="51"/>
    </row>
    <row r="75" spans="1:8" ht="18" customHeight="1" x14ac:dyDescent="0.2">
      <c r="A75" s="1"/>
      <c r="B75" s="1"/>
      <c r="C75" s="2" t="s">
        <v>136</v>
      </c>
      <c r="D75" s="1"/>
      <c r="E75" s="1"/>
      <c r="F75" s="9">
        <v>175682.4184085</v>
      </c>
      <c r="G75" s="10">
        <v>1.0002374759999999</v>
      </c>
      <c r="H75" s="51"/>
    </row>
    <row r="76" spans="1:8" ht="14.1" customHeight="1" x14ac:dyDescent="0.2">
      <c r="A76" s="1"/>
      <c r="B76" s="1"/>
      <c r="C76" s="11"/>
      <c r="D76" s="1"/>
      <c r="E76" s="1"/>
      <c r="F76" s="12"/>
      <c r="G76" s="12"/>
      <c r="H76" s="51"/>
    </row>
    <row r="77" spans="1:8" ht="14.1" customHeight="1" x14ac:dyDescent="0.2">
      <c r="A77" s="1"/>
      <c r="B77" s="1"/>
      <c r="C77" s="2" t="s">
        <v>137</v>
      </c>
      <c r="D77" s="1"/>
      <c r="E77" s="1"/>
      <c r="F77" s="12"/>
      <c r="G77" s="12"/>
      <c r="H77" s="51"/>
    </row>
    <row r="78" spans="1:8" ht="24" customHeight="1" x14ac:dyDescent="0.2">
      <c r="A78" s="1"/>
      <c r="B78" s="1"/>
      <c r="C78" s="2" t="s">
        <v>10</v>
      </c>
      <c r="D78" s="1"/>
      <c r="E78" s="1"/>
      <c r="F78" s="12"/>
      <c r="G78" s="12"/>
      <c r="H78" s="51"/>
    </row>
    <row r="79" spans="1:8" ht="14.1" customHeight="1" x14ac:dyDescent="0.2">
      <c r="A79" s="1"/>
      <c r="B79" s="1"/>
      <c r="C79" s="2" t="s">
        <v>129</v>
      </c>
      <c r="D79" s="1"/>
      <c r="E79" s="1" t="s">
        <v>130</v>
      </c>
      <c r="F79" s="13">
        <v>0</v>
      </c>
      <c r="G79" s="14">
        <v>0</v>
      </c>
      <c r="H79" s="51"/>
    </row>
    <row r="80" spans="1:8" ht="14.1" customHeight="1" x14ac:dyDescent="0.2">
      <c r="A80" s="1"/>
      <c r="B80" s="1"/>
      <c r="C80" s="11"/>
      <c r="D80" s="1"/>
      <c r="E80" s="1"/>
      <c r="F80" s="12"/>
      <c r="G80" s="12"/>
      <c r="H80" s="51"/>
    </row>
    <row r="81" spans="1:8" ht="14.1" customHeight="1" x14ac:dyDescent="0.2">
      <c r="A81" s="1"/>
      <c r="B81" s="1"/>
      <c r="C81" s="2" t="s">
        <v>138</v>
      </c>
      <c r="D81" s="1"/>
      <c r="E81" s="1"/>
      <c r="F81" s="1"/>
      <c r="G81" s="1"/>
      <c r="H81" s="51"/>
    </row>
    <row r="82" spans="1:8" ht="14.1" customHeight="1" x14ac:dyDescent="0.2">
      <c r="A82" s="1"/>
      <c r="B82" s="1"/>
      <c r="C82" s="2" t="s">
        <v>129</v>
      </c>
      <c r="D82" s="1"/>
      <c r="E82" s="1" t="s">
        <v>130</v>
      </c>
      <c r="F82" s="13">
        <v>0</v>
      </c>
      <c r="G82" s="14">
        <v>0</v>
      </c>
      <c r="H82" s="51"/>
    </row>
    <row r="83" spans="1:8" ht="14.1" customHeight="1" x14ac:dyDescent="0.2">
      <c r="A83" s="1"/>
      <c r="B83" s="1"/>
      <c r="C83" s="11"/>
      <c r="D83" s="1"/>
      <c r="E83" s="1"/>
      <c r="F83" s="12"/>
      <c r="G83" s="12"/>
      <c r="H83" s="51"/>
    </row>
    <row r="84" spans="1:8" ht="14.1" customHeight="1" x14ac:dyDescent="0.2">
      <c r="A84" s="1"/>
      <c r="B84" s="1"/>
      <c r="C84" s="2" t="s">
        <v>139</v>
      </c>
      <c r="D84" s="1"/>
      <c r="E84" s="1"/>
      <c r="F84" s="1"/>
      <c r="G84" s="1"/>
      <c r="H84" s="51"/>
    </row>
    <row r="85" spans="1:8" ht="14.1" customHeight="1" x14ac:dyDescent="0.2">
      <c r="A85" s="1"/>
      <c r="B85" s="1"/>
      <c r="C85" s="2" t="s">
        <v>129</v>
      </c>
      <c r="D85" s="1"/>
      <c r="E85" s="1" t="s">
        <v>130</v>
      </c>
      <c r="F85" s="13">
        <v>0</v>
      </c>
      <c r="G85" s="14">
        <v>0</v>
      </c>
      <c r="H85" s="51"/>
    </row>
    <row r="86" spans="1:8" ht="14.1" customHeight="1" x14ac:dyDescent="0.2">
      <c r="A86" s="1"/>
      <c r="B86" s="1"/>
      <c r="C86" s="11"/>
      <c r="D86" s="1"/>
      <c r="E86" s="1"/>
      <c r="F86" s="12"/>
      <c r="G86" s="12"/>
      <c r="H86" s="51"/>
    </row>
    <row r="87" spans="1:8" ht="14.1" customHeight="1" x14ac:dyDescent="0.2">
      <c r="A87" s="1"/>
      <c r="B87" s="1"/>
      <c r="C87" s="2" t="s">
        <v>140</v>
      </c>
      <c r="D87" s="1"/>
      <c r="E87" s="1"/>
      <c r="F87" s="12"/>
      <c r="G87" s="12"/>
      <c r="H87" s="51"/>
    </row>
    <row r="88" spans="1:8" ht="14.1" customHeight="1" x14ac:dyDescent="0.2">
      <c r="A88" s="1"/>
      <c r="B88" s="1"/>
      <c r="C88" s="2" t="s">
        <v>129</v>
      </c>
      <c r="D88" s="1"/>
      <c r="E88" s="1" t="s">
        <v>130</v>
      </c>
      <c r="F88" s="13">
        <v>0</v>
      </c>
      <c r="G88" s="14">
        <v>0</v>
      </c>
      <c r="H88" s="51"/>
    </row>
    <row r="89" spans="1:8" ht="14.1" customHeight="1" x14ac:dyDescent="0.2">
      <c r="A89" s="1"/>
      <c r="B89" s="1"/>
      <c r="C89" s="11"/>
      <c r="D89" s="1"/>
      <c r="E89" s="1"/>
      <c r="F89" s="12"/>
      <c r="G89" s="12"/>
      <c r="H89" s="51"/>
    </row>
    <row r="90" spans="1:8" ht="14.1" customHeight="1" x14ac:dyDescent="0.2">
      <c r="A90" s="1"/>
      <c r="B90" s="1"/>
      <c r="C90" s="2" t="s">
        <v>141</v>
      </c>
      <c r="D90" s="1"/>
      <c r="E90" s="1"/>
      <c r="F90" s="9">
        <v>0</v>
      </c>
      <c r="G90" s="10">
        <v>0</v>
      </c>
      <c r="H90" s="51"/>
    </row>
    <row r="91" spans="1:8" ht="14.1" customHeight="1" x14ac:dyDescent="0.2">
      <c r="A91" s="1"/>
      <c r="B91" s="1"/>
      <c r="C91" s="11"/>
      <c r="D91" s="1"/>
      <c r="E91" s="1"/>
      <c r="F91" s="12"/>
      <c r="G91" s="12"/>
      <c r="H91" s="51"/>
    </row>
    <row r="92" spans="1:8" ht="14.1" customHeight="1" x14ac:dyDescent="0.2">
      <c r="A92" s="1"/>
      <c r="B92" s="1"/>
      <c r="C92" s="2" t="s">
        <v>142</v>
      </c>
      <c r="D92" s="1"/>
      <c r="E92" s="1"/>
      <c r="F92" s="12"/>
      <c r="G92" s="12"/>
      <c r="H92" s="51"/>
    </row>
    <row r="93" spans="1:8" ht="14.1" customHeight="1" x14ac:dyDescent="0.2">
      <c r="A93" s="1"/>
      <c r="B93" s="1"/>
      <c r="C93" s="2" t="s">
        <v>143</v>
      </c>
      <c r="D93" s="1"/>
      <c r="E93" s="1"/>
      <c r="F93" s="12"/>
      <c r="G93" s="12"/>
      <c r="H93" s="51"/>
    </row>
    <row r="94" spans="1:8" ht="14.1" customHeight="1" x14ac:dyDescent="0.2">
      <c r="A94" s="1"/>
      <c r="B94" s="1"/>
      <c r="C94" s="2" t="s">
        <v>129</v>
      </c>
      <c r="D94" s="1"/>
      <c r="E94" s="1" t="s">
        <v>130</v>
      </c>
      <c r="F94" s="13">
        <v>0</v>
      </c>
      <c r="G94" s="14">
        <v>0</v>
      </c>
      <c r="H94" s="51"/>
    </row>
    <row r="95" spans="1:8" ht="14.1" customHeight="1" x14ac:dyDescent="0.2">
      <c r="A95" s="1"/>
      <c r="B95" s="1"/>
      <c r="C95" s="11"/>
      <c r="D95" s="1"/>
      <c r="E95" s="1"/>
      <c r="F95" s="12"/>
      <c r="G95" s="12"/>
      <c r="H95" s="51"/>
    </row>
    <row r="96" spans="1:8" ht="14.1" customHeight="1" x14ac:dyDescent="0.2">
      <c r="A96" s="1"/>
      <c r="B96" s="1"/>
      <c r="C96" s="2" t="s">
        <v>144</v>
      </c>
      <c r="D96" s="1"/>
      <c r="E96" s="1"/>
      <c r="F96" s="12"/>
      <c r="G96" s="12"/>
      <c r="H96" s="51"/>
    </row>
    <row r="97" spans="1:8" ht="14.1" customHeight="1" x14ac:dyDescent="0.2">
      <c r="A97" s="1"/>
      <c r="B97" s="1"/>
      <c r="C97" s="2" t="s">
        <v>129</v>
      </c>
      <c r="D97" s="1"/>
      <c r="E97" s="1" t="s">
        <v>130</v>
      </c>
      <c r="F97" s="13">
        <v>0</v>
      </c>
      <c r="G97" s="14">
        <v>0</v>
      </c>
      <c r="H97" s="51"/>
    </row>
    <row r="98" spans="1:8" ht="14.1" customHeight="1" x14ac:dyDescent="0.2">
      <c r="A98" s="1"/>
      <c r="B98" s="1"/>
      <c r="C98" s="11"/>
      <c r="D98" s="1"/>
      <c r="E98" s="1"/>
      <c r="F98" s="12"/>
      <c r="G98" s="12"/>
      <c r="H98" s="51"/>
    </row>
    <row r="99" spans="1:8" ht="14.1" customHeight="1" x14ac:dyDescent="0.2">
      <c r="A99" s="1"/>
      <c r="B99" s="1"/>
      <c r="C99" s="2" t="s">
        <v>145</v>
      </c>
      <c r="D99" s="1"/>
      <c r="E99" s="1"/>
      <c r="F99" s="12"/>
      <c r="G99" s="12"/>
      <c r="H99" s="51"/>
    </row>
    <row r="100" spans="1:8" ht="14.1" customHeight="1" x14ac:dyDescent="0.2">
      <c r="A100" s="1"/>
      <c r="B100" s="1"/>
      <c r="C100" s="2" t="s">
        <v>129</v>
      </c>
      <c r="D100" s="1"/>
      <c r="E100" s="1" t="s">
        <v>130</v>
      </c>
      <c r="F100" s="13">
        <v>0</v>
      </c>
      <c r="G100" s="14">
        <v>0</v>
      </c>
      <c r="H100" s="51"/>
    </row>
    <row r="101" spans="1:8" ht="14.1" customHeight="1" x14ac:dyDescent="0.2">
      <c r="A101" s="1"/>
      <c r="B101" s="1"/>
      <c r="C101" s="11"/>
      <c r="D101" s="1"/>
      <c r="E101" s="1"/>
      <c r="F101" s="12"/>
      <c r="G101" s="12"/>
      <c r="H101" s="51"/>
    </row>
    <row r="102" spans="1:8" ht="14.1" customHeight="1" x14ac:dyDescent="0.2">
      <c r="A102" s="1"/>
      <c r="B102" s="1"/>
      <c r="C102" s="2" t="s">
        <v>146</v>
      </c>
      <c r="D102" s="1"/>
      <c r="E102" s="1"/>
      <c r="F102" s="12"/>
      <c r="G102" s="12"/>
      <c r="H102" s="51"/>
    </row>
    <row r="103" spans="1:8" ht="17.100000000000001" customHeight="1" x14ac:dyDescent="0.2">
      <c r="A103" s="3">
        <v>1</v>
      </c>
      <c r="B103" s="4"/>
      <c r="C103" s="4" t="s">
        <v>147</v>
      </c>
      <c r="D103" s="4"/>
      <c r="E103" s="8"/>
      <c r="F103" s="6">
        <v>335.22965060000001</v>
      </c>
      <c r="G103" s="7">
        <v>1.90861E-3</v>
      </c>
      <c r="H103" s="51">
        <v>6.1245112103248278</v>
      </c>
    </row>
    <row r="104" spans="1:8" ht="14.1" customHeight="1" x14ac:dyDescent="0.2">
      <c r="A104" s="1"/>
      <c r="B104" s="1"/>
      <c r="C104" s="2" t="s">
        <v>129</v>
      </c>
      <c r="D104" s="1"/>
      <c r="E104" s="1" t="s">
        <v>130</v>
      </c>
      <c r="F104" s="9">
        <v>335.22965060000001</v>
      </c>
      <c r="G104" s="10">
        <v>1.90861E-3</v>
      </c>
      <c r="H104" s="51"/>
    </row>
    <row r="105" spans="1:8" ht="14.1" customHeight="1" x14ac:dyDescent="0.2">
      <c r="A105" s="1"/>
      <c r="B105" s="1"/>
      <c r="C105" s="11"/>
      <c r="D105" s="1"/>
      <c r="E105" s="1"/>
      <c r="F105" s="12"/>
      <c r="G105" s="12"/>
      <c r="H105" s="51"/>
    </row>
    <row r="106" spans="1:8" ht="14.1" customHeight="1" x14ac:dyDescent="0.2">
      <c r="A106" s="1"/>
      <c r="B106" s="1"/>
      <c r="C106" s="2" t="s">
        <v>148</v>
      </c>
      <c r="D106" s="1"/>
      <c r="E106" s="1"/>
      <c r="F106" s="9">
        <v>335.22965060000001</v>
      </c>
      <c r="G106" s="10">
        <v>1.90861E-3</v>
      </c>
      <c r="H106" s="51"/>
    </row>
    <row r="107" spans="1:8" ht="14.1" customHeight="1" x14ac:dyDescent="0.2">
      <c r="A107" s="1"/>
      <c r="B107" s="1"/>
      <c r="C107" s="12"/>
      <c r="D107" s="1"/>
      <c r="E107" s="1"/>
      <c r="F107" s="1"/>
      <c r="G107" s="1"/>
      <c r="H107" s="51"/>
    </row>
    <row r="108" spans="1:8" ht="14.1" customHeight="1" x14ac:dyDescent="0.2">
      <c r="A108" s="1"/>
      <c r="B108" s="1"/>
      <c r="C108" s="2" t="s">
        <v>149</v>
      </c>
      <c r="D108" s="1"/>
      <c r="E108" s="1"/>
      <c r="F108" s="1"/>
      <c r="G108" s="1"/>
      <c r="H108" s="51"/>
    </row>
    <row r="109" spans="1:8" ht="14.1" customHeight="1" x14ac:dyDescent="0.2">
      <c r="A109" s="1"/>
      <c r="B109" s="1"/>
      <c r="C109" s="2" t="s">
        <v>150</v>
      </c>
      <c r="D109" s="1"/>
      <c r="E109" s="1"/>
      <c r="F109" s="1"/>
      <c r="G109" s="1"/>
      <c r="H109" s="51"/>
    </row>
    <row r="110" spans="1:8" ht="14.1" customHeight="1" x14ac:dyDescent="0.2">
      <c r="A110" s="1"/>
      <c r="B110" s="1"/>
      <c r="C110" s="2" t="s">
        <v>129</v>
      </c>
      <c r="D110" s="1"/>
      <c r="E110" s="1" t="s">
        <v>130</v>
      </c>
      <c r="F110" s="13">
        <v>0</v>
      </c>
      <c r="G110" s="14">
        <v>0</v>
      </c>
      <c r="H110" s="51"/>
    </row>
    <row r="111" spans="1:8" ht="14.1" customHeight="1" x14ac:dyDescent="0.2">
      <c r="A111" s="1"/>
      <c r="B111" s="1"/>
      <c r="C111" s="11"/>
      <c r="D111" s="1"/>
      <c r="E111" s="1"/>
      <c r="F111" s="12"/>
      <c r="G111" s="12"/>
      <c r="H111" s="51"/>
    </row>
    <row r="112" spans="1:8" ht="14.1" customHeight="1" x14ac:dyDescent="0.2">
      <c r="A112" s="1"/>
      <c r="B112" s="1"/>
      <c r="C112" s="2" t="s">
        <v>151</v>
      </c>
      <c r="D112" s="1"/>
      <c r="E112" s="1"/>
      <c r="F112" s="1"/>
      <c r="G112" s="1"/>
      <c r="H112" s="51"/>
    </row>
    <row r="113" spans="1:8" ht="14.1" customHeight="1" x14ac:dyDescent="0.2">
      <c r="A113" s="1"/>
      <c r="B113" s="1"/>
      <c r="C113" s="2" t="s">
        <v>152</v>
      </c>
      <c r="D113" s="1"/>
      <c r="E113" s="1"/>
      <c r="F113" s="1"/>
      <c r="G113" s="1"/>
      <c r="H113" s="51"/>
    </row>
    <row r="114" spans="1:8" ht="14.1" customHeight="1" x14ac:dyDescent="0.2">
      <c r="A114" s="1"/>
      <c r="B114" s="1"/>
      <c r="C114" s="2" t="s">
        <v>129</v>
      </c>
      <c r="D114" s="1"/>
      <c r="E114" s="1" t="s">
        <v>130</v>
      </c>
      <c r="F114" s="13">
        <v>0</v>
      </c>
      <c r="G114" s="14">
        <v>0</v>
      </c>
      <c r="H114" s="51"/>
    </row>
    <row r="115" spans="1:8" ht="14.1" customHeight="1" x14ac:dyDescent="0.2">
      <c r="A115" s="1"/>
      <c r="B115" s="1"/>
      <c r="C115" s="11"/>
      <c r="D115" s="1"/>
      <c r="E115" s="1"/>
      <c r="F115" s="12"/>
      <c r="G115" s="12"/>
      <c r="H115" s="51"/>
    </row>
    <row r="116" spans="1:8" ht="14.1" customHeight="1" x14ac:dyDescent="0.2">
      <c r="A116" s="1"/>
      <c r="B116" s="1"/>
      <c r="C116" s="11"/>
      <c r="D116" s="1"/>
      <c r="E116" s="1"/>
      <c r="F116" s="12"/>
      <c r="G116" s="12"/>
      <c r="H116" s="51"/>
    </row>
    <row r="117" spans="1:8" ht="24" customHeight="1" x14ac:dyDescent="0.2">
      <c r="A117" s="1"/>
      <c r="B117" s="1"/>
      <c r="C117" s="2" t="s">
        <v>153</v>
      </c>
      <c r="D117" s="1"/>
      <c r="E117" s="1"/>
      <c r="F117" s="12"/>
      <c r="G117" s="12"/>
      <c r="H117" s="51"/>
    </row>
    <row r="118" spans="1:8" ht="14.1" customHeight="1" x14ac:dyDescent="0.2">
      <c r="A118" s="1"/>
      <c r="B118" s="1"/>
      <c r="C118" s="2" t="s">
        <v>129</v>
      </c>
      <c r="D118" s="1"/>
      <c r="E118" s="1" t="s">
        <v>130</v>
      </c>
      <c r="F118" s="13">
        <v>0</v>
      </c>
      <c r="G118" s="14">
        <v>0</v>
      </c>
      <c r="H118" s="51"/>
    </row>
    <row r="119" spans="1:8" ht="14.1" customHeight="1" x14ac:dyDescent="0.2">
      <c r="A119" s="1"/>
      <c r="B119" s="1"/>
      <c r="C119" s="11"/>
      <c r="D119" s="1"/>
      <c r="E119" s="1"/>
      <c r="F119" s="12"/>
      <c r="G119" s="12"/>
      <c r="H119" s="51"/>
    </row>
    <row r="120" spans="1:8" ht="14.1" customHeight="1" x14ac:dyDescent="0.2">
      <c r="A120" s="1"/>
      <c r="B120" s="4"/>
      <c r="C120" s="4"/>
      <c r="D120" s="2"/>
      <c r="E120" s="1"/>
      <c r="F120" s="4"/>
      <c r="G120" s="8"/>
      <c r="H120" s="51"/>
    </row>
    <row r="121" spans="1:8" ht="18" customHeight="1" x14ac:dyDescent="0.2">
      <c r="A121" s="8"/>
      <c r="B121" s="4"/>
      <c r="C121" s="4" t="s">
        <v>154</v>
      </c>
      <c r="D121" s="4"/>
      <c r="E121" s="8"/>
      <c r="F121" s="6">
        <v>-376.94019522999997</v>
      </c>
      <c r="G121" s="7">
        <v>-2.1460870000000001E-3</v>
      </c>
      <c r="H121" s="51"/>
    </row>
    <row r="122" spans="1:8" ht="14.1" customHeight="1" x14ac:dyDescent="0.2">
      <c r="A122" s="11"/>
      <c r="B122" s="11"/>
      <c r="C122" s="2" t="s">
        <v>155</v>
      </c>
      <c r="D122" s="15"/>
      <c r="E122" s="15"/>
      <c r="F122" s="9">
        <v>175640.70786386999</v>
      </c>
      <c r="G122" s="10">
        <v>0.99999999900000003</v>
      </c>
      <c r="H122" s="51"/>
    </row>
    <row r="123" spans="1:8" ht="14.1" customHeight="1" x14ac:dyDescent="0.2">
      <c r="A123" s="16"/>
      <c r="B123" s="16"/>
      <c r="C123" s="16"/>
      <c r="D123" s="17"/>
      <c r="E123" s="17"/>
      <c r="F123" s="17"/>
      <c r="G123" s="17"/>
    </row>
    <row r="124" spans="1:8" ht="17.100000000000001" customHeight="1" x14ac:dyDescent="0.2">
      <c r="A124" s="18"/>
      <c r="B124" s="327" t="s">
        <v>156</v>
      </c>
      <c r="C124" s="327"/>
      <c r="D124" s="327"/>
      <c r="E124" s="327"/>
      <c r="F124" s="327"/>
      <c r="G124" s="20"/>
    </row>
    <row r="125" spans="1:8" ht="14.1" customHeight="1" x14ac:dyDescent="0.2">
      <c r="A125" s="18"/>
      <c r="B125" s="18"/>
      <c r="C125" s="18"/>
      <c r="D125" s="20"/>
      <c r="E125" s="20"/>
      <c r="F125" s="20"/>
      <c r="G125" s="20"/>
    </row>
    <row r="126" spans="1:8" ht="14.1" customHeight="1" x14ac:dyDescent="0.2">
      <c r="A126" s="18"/>
      <c r="B126" s="325" t="s">
        <v>157</v>
      </c>
      <c r="C126" s="326"/>
      <c r="D126" s="12" t="s">
        <v>130</v>
      </c>
      <c r="E126" s="21"/>
      <c r="F126" s="20"/>
      <c r="G126" s="20"/>
    </row>
    <row r="127" spans="1:8" ht="29.1" customHeight="1" x14ac:dyDescent="0.2">
      <c r="A127" s="18"/>
      <c r="B127" s="318" t="s">
        <v>158</v>
      </c>
      <c r="C127" s="319"/>
      <c r="D127" s="2" t="s">
        <v>159</v>
      </c>
      <c r="E127" s="21"/>
      <c r="F127" s="20"/>
      <c r="G127" s="20"/>
    </row>
    <row r="128" spans="1:8" ht="17.100000000000001" customHeight="1" x14ac:dyDescent="0.2">
      <c r="A128" s="18"/>
      <c r="B128" s="318" t="s">
        <v>160</v>
      </c>
      <c r="C128" s="319"/>
      <c r="D128" s="2" t="s">
        <v>159</v>
      </c>
      <c r="E128" s="21"/>
      <c r="F128" s="20"/>
      <c r="G128" s="20"/>
    </row>
    <row r="129" spans="1:7" ht="17.100000000000001" customHeight="1" x14ac:dyDescent="0.2">
      <c r="A129" s="18"/>
      <c r="B129" s="318" t="s">
        <v>161</v>
      </c>
      <c r="C129" s="319"/>
      <c r="D129" s="12" t="s">
        <v>130</v>
      </c>
      <c r="E129" s="21"/>
      <c r="F129" s="20"/>
      <c r="G129" s="20"/>
    </row>
    <row r="130" spans="1:7" ht="24" customHeight="1" x14ac:dyDescent="0.2">
      <c r="A130" s="22"/>
      <c r="B130" s="23" t="s">
        <v>130</v>
      </c>
      <c r="C130" s="23" t="s">
        <v>162</v>
      </c>
      <c r="D130" s="23" t="s">
        <v>163</v>
      </c>
      <c r="E130" s="22"/>
      <c r="F130" s="22"/>
      <c r="G130" s="22"/>
    </row>
    <row r="131" spans="1:7" ht="18" customHeight="1" x14ac:dyDescent="0.2">
      <c r="A131" s="22"/>
      <c r="B131" s="23" t="s">
        <v>164</v>
      </c>
      <c r="C131" s="23" t="s">
        <v>165</v>
      </c>
      <c r="D131" s="23" t="s">
        <v>166</v>
      </c>
      <c r="E131" s="22"/>
      <c r="F131" s="22"/>
      <c r="G131" s="22"/>
    </row>
    <row r="132" spans="1:7" ht="17.100000000000001" customHeight="1" x14ac:dyDescent="0.2">
      <c r="A132" s="22"/>
      <c r="B132" s="4" t="s">
        <v>167</v>
      </c>
      <c r="C132" s="24">
        <v>160.96940000000001</v>
      </c>
      <c r="D132" s="24">
        <v>156.5119</v>
      </c>
      <c r="E132" s="22"/>
      <c r="F132" s="19"/>
      <c r="G132" s="25"/>
    </row>
    <row r="133" spans="1:7" ht="17.100000000000001" customHeight="1" x14ac:dyDescent="0.2">
      <c r="A133" s="22"/>
      <c r="B133" s="4" t="s">
        <v>1067</v>
      </c>
      <c r="C133" s="24">
        <v>16.431000000000001</v>
      </c>
      <c r="D133" s="24">
        <v>15.5335</v>
      </c>
      <c r="E133" s="22"/>
      <c r="F133" s="19"/>
      <c r="G133" s="25"/>
    </row>
    <row r="134" spans="1:7" ht="17.100000000000001" customHeight="1" x14ac:dyDescent="0.2">
      <c r="A134" s="22"/>
      <c r="B134" s="4" t="s">
        <v>168</v>
      </c>
      <c r="C134" s="24">
        <v>154.40790000000001</v>
      </c>
      <c r="D134" s="24">
        <v>150.0506</v>
      </c>
      <c r="E134" s="22"/>
      <c r="F134" s="19"/>
      <c r="G134" s="25"/>
    </row>
    <row r="135" spans="1:7" ht="17.100000000000001" customHeight="1" x14ac:dyDescent="0.2">
      <c r="A135" s="22"/>
      <c r="B135" s="4" t="s">
        <v>1068</v>
      </c>
      <c r="C135" s="24">
        <v>13.7418</v>
      </c>
      <c r="D135" s="24">
        <v>12.984299999999999</v>
      </c>
      <c r="E135" s="22"/>
      <c r="F135" s="19"/>
      <c r="G135" s="25"/>
    </row>
    <row r="136" spans="1:7" ht="14.1" customHeight="1" x14ac:dyDescent="0.2">
      <c r="A136" s="22"/>
      <c r="B136" s="22"/>
      <c r="C136" s="22"/>
      <c r="D136" s="22"/>
      <c r="E136" s="22"/>
      <c r="F136" s="22"/>
      <c r="G136" s="22"/>
    </row>
    <row r="137" spans="1:7" ht="17.100000000000001" customHeight="1" x14ac:dyDescent="0.2">
      <c r="A137" s="22"/>
      <c r="B137" s="318" t="s">
        <v>1069</v>
      </c>
      <c r="C137" s="319"/>
      <c r="D137" s="111" t="s">
        <v>159</v>
      </c>
      <c r="E137" s="22"/>
      <c r="F137" s="22"/>
      <c r="G137" s="22"/>
    </row>
    <row r="138" spans="1:7" ht="18" customHeight="1" x14ac:dyDescent="0.2">
      <c r="A138" s="85"/>
      <c r="B138" s="91" t="s">
        <v>164</v>
      </c>
      <c r="C138" s="92" t="s">
        <v>761</v>
      </c>
      <c r="D138" s="92" t="s">
        <v>760</v>
      </c>
      <c r="E138" s="85"/>
      <c r="F138" s="85"/>
      <c r="G138" s="85"/>
    </row>
    <row r="139" spans="1:7" ht="17.25" customHeight="1" x14ac:dyDescent="0.2">
      <c r="A139" s="85"/>
      <c r="B139" s="61" t="s">
        <v>1067</v>
      </c>
      <c r="C139" s="93">
        <v>0.45700000000000002</v>
      </c>
      <c r="D139" s="117" t="s">
        <v>837</v>
      </c>
      <c r="E139" s="85"/>
      <c r="F139" s="89"/>
      <c r="G139" s="90"/>
    </row>
    <row r="140" spans="1:7" ht="17.25" customHeight="1" x14ac:dyDescent="0.2">
      <c r="A140" s="85"/>
      <c r="B140" s="61" t="s">
        <v>1068</v>
      </c>
      <c r="C140" s="93">
        <v>0.38200000000000001</v>
      </c>
      <c r="D140" s="93">
        <v>0.38200000000000001</v>
      </c>
      <c r="E140" s="85"/>
      <c r="F140" s="89"/>
      <c r="G140" s="90"/>
    </row>
    <row r="141" spans="1:7" ht="14.1" customHeight="1" x14ac:dyDescent="0.2">
      <c r="A141" s="22"/>
      <c r="B141" s="19"/>
      <c r="C141" s="19"/>
      <c r="D141" s="22"/>
      <c r="E141" s="22"/>
      <c r="F141" s="22"/>
      <c r="G141" s="22"/>
    </row>
    <row r="142" spans="1:7" ht="29.1" customHeight="1" x14ac:dyDescent="0.2">
      <c r="A142" s="22"/>
      <c r="B142" s="318" t="s">
        <v>169</v>
      </c>
      <c r="C142" s="319"/>
      <c r="D142" s="2" t="s">
        <v>159</v>
      </c>
      <c r="E142" s="22"/>
      <c r="F142" s="22"/>
      <c r="G142" s="22"/>
    </row>
    <row r="143" spans="1:7" ht="29.1" customHeight="1" x14ac:dyDescent="0.2">
      <c r="A143" s="22"/>
      <c r="B143" s="318" t="s">
        <v>170</v>
      </c>
      <c r="C143" s="319"/>
      <c r="D143" s="2" t="s">
        <v>159</v>
      </c>
      <c r="E143" s="22"/>
      <c r="F143" s="22"/>
      <c r="G143" s="22"/>
    </row>
    <row r="144" spans="1:7" ht="17.100000000000001" customHeight="1" x14ac:dyDescent="0.2">
      <c r="A144" s="22"/>
      <c r="B144" s="318" t="s">
        <v>171</v>
      </c>
      <c r="C144" s="319"/>
      <c r="D144" s="28">
        <v>0.32436748775208851</v>
      </c>
      <c r="E144" s="22"/>
      <c r="F144" s="19"/>
      <c r="G144" s="25"/>
    </row>
    <row r="145" spans="1:7" ht="17.100000000000001" customHeight="1" x14ac:dyDescent="0.2">
      <c r="A145" s="22"/>
      <c r="B145" s="318" t="s">
        <v>172</v>
      </c>
      <c r="C145" s="319"/>
      <c r="D145" s="2" t="s">
        <v>159</v>
      </c>
      <c r="E145" s="22"/>
      <c r="F145" s="22"/>
      <c r="G145" s="22"/>
    </row>
  </sheetData>
  <mergeCells count="14">
    <mergeCell ref="A1:H1"/>
    <mergeCell ref="A2:H2"/>
    <mergeCell ref="A3:H3"/>
    <mergeCell ref="J2:N2"/>
    <mergeCell ref="B144:C144"/>
    <mergeCell ref="B126:C126"/>
    <mergeCell ref="B124:F124"/>
    <mergeCell ref="B145:C145"/>
    <mergeCell ref="B127:C127"/>
    <mergeCell ref="B128:C128"/>
    <mergeCell ref="B129:C129"/>
    <mergeCell ref="B137:C137"/>
    <mergeCell ref="B142:C142"/>
    <mergeCell ref="B143:C143"/>
  </mergeCells>
  <hyperlinks>
    <hyperlink ref="I1" location="Index!B35" display="Index" xr:uid="{F9C4128F-9566-4EA5-A9AD-9F43886F4E6B}"/>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outlinePr summaryBelow="0" summaryRight="0"/>
  </sheetPr>
  <dimension ref="A1:O144"/>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1084</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14</v>
      </c>
      <c r="C7" s="4" t="s">
        <v>15</v>
      </c>
      <c r="D7" s="4" t="s">
        <v>16</v>
      </c>
      <c r="E7" s="5">
        <v>3243000</v>
      </c>
      <c r="F7" s="6">
        <v>27954.66</v>
      </c>
      <c r="G7" s="7">
        <v>9.4364914999999994E-2</v>
      </c>
      <c r="H7" s="51"/>
    </row>
    <row r="8" spans="1:14" ht="17.100000000000001" customHeight="1" x14ac:dyDescent="0.2">
      <c r="A8" s="3">
        <v>2</v>
      </c>
      <c r="B8" s="4" t="s">
        <v>269</v>
      </c>
      <c r="C8" s="4" t="s">
        <v>270</v>
      </c>
      <c r="D8" s="4" t="s">
        <v>16</v>
      </c>
      <c r="E8" s="5">
        <v>1626000</v>
      </c>
      <c r="F8" s="6">
        <v>23111.151000000002</v>
      </c>
      <c r="G8" s="7">
        <v>7.8014964000000006E-2</v>
      </c>
      <c r="H8" s="51"/>
    </row>
    <row r="9" spans="1:14" ht="17.100000000000001" customHeight="1" x14ac:dyDescent="0.2">
      <c r="A9" s="3">
        <v>3</v>
      </c>
      <c r="B9" s="4" t="s">
        <v>20</v>
      </c>
      <c r="C9" s="4" t="s">
        <v>21</v>
      </c>
      <c r="D9" s="4" t="s">
        <v>22</v>
      </c>
      <c r="E9" s="5">
        <v>908000</v>
      </c>
      <c r="F9" s="6">
        <v>21589.97</v>
      </c>
      <c r="G9" s="7">
        <v>7.2880001999999999E-2</v>
      </c>
      <c r="H9" s="51"/>
    </row>
    <row r="10" spans="1:14" ht="17.100000000000001" customHeight="1" x14ac:dyDescent="0.2">
      <c r="A10" s="3">
        <v>4</v>
      </c>
      <c r="B10" s="4" t="s">
        <v>296</v>
      </c>
      <c r="C10" s="4" t="s">
        <v>297</v>
      </c>
      <c r="D10" s="4" t="s">
        <v>223</v>
      </c>
      <c r="E10" s="5">
        <v>1366000</v>
      </c>
      <c r="F10" s="6">
        <v>19307.726999999999</v>
      </c>
      <c r="G10" s="7">
        <v>6.5175968000000001E-2</v>
      </c>
      <c r="H10" s="51"/>
    </row>
    <row r="11" spans="1:14" ht="29.1" customHeight="1" x14ac:dyDescent="0.2">
      <c r="A11" s="3">
        <v>5</v>
      </c>
      <c r="B11" s="4" t="s">
        <v>298</v>
      </c>
      <c r="C11" s="4" t="s">
        <v>299</v>
      </c>
      <c r="D11" s="4" t="s">
        <v>97</v>
      </c>
      <c r="E11" s="5">
        <v>778000</v>
      </c>
      <c r="F11" s="6">
        <v>17798.695</v>
      </c>
      <c r="G11" s="7">
        <v>6.0082016000000002E-2</v>
      </c>
      <c r="H11" s="51"/>
    </row>
    <row r="12" spans="1:14" ht="17.100000000000001" customHeight="1" x14ac:dyDescent="0.2">
      <c r="A12" s="3">
        <v>6</v>
      </c>
      <c r="B12" s="4" t="s">
        <v>11</v>
      </c>
      <c r="C12" s="4" t="s">
        <v>12</v>
      </c>
      <c r="D12" s="4" t="s">
        <v>13</v>
      </c>
      <c r="E12" s="5">
        <v>800306</v>
      </c>
      <c r="F12" s="6">
        <v>14787.253962000001</v>
      </c>
      <c r="G12" s="7">
        <v>4.9916469999999998E-2</v>
      </c>
      <c r="H12" s="51"/>
    </row>
    <row r="13" spans="1:14" ht="29.1" customHeight="1" x14ac:dyDescent="0.2">
      <c r="A13" s="3">
        <v>7</v>
      </c>
      <c r="B13" s="4" t="s">
        <v>304</v>
      </c>
      <c r="C13" s="4" t="s">
        <v>305</v>
      </c>
      <c r="D13" s="4" t="s">
        <v>203</v>
      </c>
      <c r="E13" s="5">
        <v>1388000</v>
      </c>
      <c r="F13" s="6">
        <v>13167.262000000001</v>
      </c>
      <c r="G13" s="7">
        <v>4.4447958000000003E-2</v>
      </c>
      <c r="H13" s="51"/>
    </row>
    <row r="14" spans="1:14" ht="17.100000000000001" customHeight="1" x14ac:dyDescent="0.2">
      <c r="A14" s="3">
        <v>8</v>
      </c>
      <c r="B14" s="4" t="s">
        <v>41</v>
      </c>
      <c r="C14" s="4" t="s">
        <v>42</v>
      </c>
      <c r="D14" s="4" t="s">
        <v>16</v>
      </c>
      <c r="E14" s="5">
        <v>2379541</v>
      </c>
      <c r="F14" s="6">
        <v>12625.844546</v>
      </c>
      <c r="G14" s="7">
        <v>4.2620327E-2</v>
      </c>
      <c r="H14" s="51"/>
    </row>
    <row r="15" spans="1:14" ht="17.100000000000001" customHeight="1" x14ac:dyDescent="0.2">
      <c r="A15" s="3">
        <v>9</v>
      </c>
      <c r="B15" s="4" t="s">
        <v>17</v>
      </c>
      <c r="C15" s="4" t="s">
        <v>18</v>
      </c>
      <c r="D15" s="4" t="s">
        <v>19</v>
      </c>
      <c r="E15" s="5">
        <v>1507000</v>
      </c>
      <c r="F15" s="6">
        <v>12054.493</v>
      </c>
      <c r="G15" s="7">
        <v>4.0691649000000003E-2</v>
      </c>
      <c r="H15" s="51"/>
      <c r="J15" s="157" t="s">
        <v>1116</v>
      </c>
    </row>
    <row r="16" spans="1:14" ht="17.100000000000001" customHeight="1" x14ac:dyDescent="0.2">
      <c r="A16" s="3">
        <v>10</v>
      </c>
      <c r="B16" s="4" t="s">
        <v>195</v>
      </c>
      <c r="C16" s="4" t="s">
        <v>196</v>
      </c>
      <c r="D16" s="4" t="s">
        <v>16</v>
      </c>
      <c r="E16" s="5">
        <v>1494828</v>
      </c>
      <c r="F16" s="6">
        <v>10960.078896000001</v>
      </c>
      <c r="G16" s="7">
        <v>3.6997298999999997E-2</v>
      </c>
      <c r="H16" s="51"/>
    </row>
    <row r="17" spans="1:10" ht="17.100000000000001" customHeight="1" x14ac:dyDescent="0.2">
      <c r="A17" s="3">
        <v>11</v>
      </c>
      <c r="B17" s="4" t="s">
        <v>306</v>
      </c>
      <c r="C17" s="4" t="s">
        <v>307</v>
      </c>
      <c r="D17" s="4" t="s">
        <v>223</v>
      </c>
      <c r="E17" s="5">
        <v>280401</v>
      </c>
      <c r="F17" s="6">
        <v>8424.7882454999999</v>
      </c>
      <c r="G17" s="7">
        <v>2.8439065999999999E-2</v>
      </c>
      <c r="H17" s="51"/>
    </row>
    <row r="18" spans="1:10" ht="17.100000000000001" customHeight="1" x14ac:dyDescent="0.2">
      <c r="A18" s="3">
        <v>12</v>
      </c>
      <c r="B18" s="4" t="s">
        <v>67</v>
      </c>
      <c r="C18" s="4" t="s">
        <v>68</v>
      </c>
      <c r="D18" s="4" t="s">
        <v>69</v>
      </c>
      <c r="E18" s="5">
        <v>95000</v>
      </c>
      <c r="F18" s="6">
        <v>8386.7425000000003</v>
      </c>
      <c r="G18" s="7">
        <v>2.8310637E-2</v>
      </c>
      <c r="H18" s="51"/>
    </row>
    <row r="19" spans="1:10" ht="53.1" customHeight="1" x14ac:dyDescent="0.2">
      <c r="A19" s="3">
        <v>13</v>
      </c>
      <c r="B19" s="4" t="s">
        <v>43</v>
      </c>
      <c r="C19" s="4" t="s">
        <v>44</v>
      </c>
      <c r="D19" s="4" t="s">
        <v>45</v>
      </c>
      <c r="E19" s="5">
        <v>4651000</v>
      </c>
      <c r="F19" s="6">
        <v>7099.7515000000003</v>
      </c>
      <c r="G19" s="7">
        <v>2.3966217000000001E-2</v>
      </c>
      <c r="H19" s="51"/>
    </row>
    <row r="20" spans="1:10" ht="17.100000000000001" customHeight="1" x14ac:dyDescent="0.2">
      <c r="A20" s="3">
        <v>14</v>
      </c>
      <c r="B20" s="4" t="s">
        <v>261</v>
      </c>
      <c r="C20" s="4" t="s">
        <v>262</v>
      </c>
      <c r="D20" s="4" t="s">
        <v>97</v>
      </c>
      <c r="E20" s="5">
        <v>398980</v>
      </c>
      <c r="F20" s="6">
        <v>6696.2808299999997</v>
      </c>
      <c r="G20" s="7">
        <v>2.2604244999999999E-2</v>
      </c>
      <c r="H20" s="51"/>
    </row>
    <row r="21" spans="1:10" ht="29.1" customHeight="1" x14ac:dyDescent="0.2">
      <c r="A21" s="3">
        <v>15</v>
      </c>
      <c r="B21" s="4" t="s">
        <v>488</v>
      </c>
      <c r="C21" s="4" t="s">
        <v>489</v>
      </c>
      <c r="D21" s="4" t="s">
        <v>203</v>
      </c>
      <c r="E21" s="5">
        <v>584570</v>
      </c>
      <c r="F21" s="6">
        <v>6517.6632149999996</v>
      </c>
      <c r="G21" s="7">
        <v>2.2001295000000001E-2</v>
      </c>
      <c r="H21" s="51"/>
    </row>
    <row r="22" spans="1:10" ht="17.100000000000001" customHeight="1" x14ac:dyDescent="0.2">
      <c r="A22" s="3">
        <v>16</v>
      </c>
      <c r="B22" s="4" t="s">
        <v>606</v>
      </c>
      <c r="C22" s="4" t="s">
        <v>607</v>
      </c>
      <c r="D22" s="4" t="s">
        <v>181</v>
      </c>
      <c r="E22" s="5">
        <v>649734</v>
      </c>
      <c r="F22" s="6">
        <v>5472.7094820000002</v>
      </c>
      <c r="G22" s="7">
        <v>1.8473905999999998E-2</v>
      </c>
      <c r="H22" s="51"/>
    </row>
    <row r="23" spans="1:10" ht="29.1" customHeight="1" x14ac:dyDescent="0.2">
      <c r="A23" s="3">
        <v>17</v>
      </c>
      <c r="B23" s="4" t="s">
        <v>95</v>
      </c>
      <c r="C23" s="4" t="s">
        <v>96</v>
      </c>
      <c r="D23" s="4" t="s">
        <v>97</v>
      </c>
      <c r="E23" s="5">
        <v>639055</v>
      </c>
      <c r="F23" s="6">
        <v>4679.1607100000001</v>
      </c>
      <c r="G23" s="7">
        <v>1.5795170000000001E-2</v>
      </c>
      <c r="H23" s="51"/>
    </row>
    <row r="24" spans="1:10" ht="17.100000000000001" customHeight="1" x14ac:dyDescent="0.2">
      <c r="A24" s="3">
        <v>18</v>
      </c>
      <c r="B24" s="4" t="s">
        <v>338</v>
      </c>
      <c r="C24" s="4" t="s">
        <v>339</v>
      </c>
      <c r="D24" s="4" t="s">
        <v>16</v>
      </c>
      <c r="E24" s="5">
        <v>392000</v>
      </c>
      <c r="F24" s="6">
        <v>4645.9840000000004</v>
      </c>
      <c r="G24" s="7">
        <v>1.5683177E-2</v>
      </c>
      <c r="H24" s="51"/>
    </row>
    <row r="25" spans="1:10" ht="17.100000000000001" customHeight="1" x14ac:dyDescent="0.2">
      <c r="A25" s="3">
        <v>19</v>
      </c>
      <c r="B25" s="4" t="s">
        <v>300</v>
      </c>
      <c r="C25" s="4" t="s">
        <v>301</v>
      </c>
      <c r="D25" s="4" t="s">
        <v>235</v>
      </c>
      <c r="E25" s="5">
        <v>365000</v>
      </c>
      <c r="F25" s="6">
        <v>4564.1424999999999</v>
      </c>
      <c r="G25" s="7">
        <v>1.5406909999999999E-2</v>
      </c>
      <c r="H25" s="51"/>
    </row>
    <row r="26" spans="1:10" ht="17.100000000000001" customHeight="1" x14ac:dyDescent="0.2">
      <c r="A26" s="3">
        <v>20</v>
      </c>
      <c r="B26" s="4" t="s">
        <v>179</v>
      </c>
      <c r="C26" s="4" t="s">
        <v>180</v>
      </c>
      <c r="D26" s="4" t="s">
        <v>181</v>
      </c>
      <c r="E26" s="5">
        <v>400000</v>
      </c>
      <c r="F26" s="6">
        <v>4176.8</v>
      </c>
      <c r="G26" s="7">
        <v>1.409938E-2</v>
      </c>
      <c r="H26" s="51"/>
      <c r="J26" s="157" t="s">
        <v>1117</v>
      </c>
    </row>
    <row r="27" spans="1:10" ht="17.100000000000001" customHeight="1" x14ac:dyDescent="0.2">
      <c r="A27" s="3">
        <v>21</v>
      </c>
      <c r="B27" s="4" t="s">
        <v>336</v>
      </c>
      <c r="C27" s="4" t="s">
        <v>337</v>
      </c>
      <c r="D27" s="4" t="s">
        <v>16</v>
      </c>
      <c r="E27" s="5">
        <v>213122</v>
      </c>
      <c r="F27" s="6">
        <v>3877.1154240000001</v>
      </c>
      <c r="G27" s="7">
        <v>1.3087751999999999E-2</v>
      </c>
      <c r="H27" s="51"/>
    </row>
    <row r="28" spans="1:10" ht="29.1" customHeight="1" x14ac:dyDescent="0.2">
      <c r="A28" s="3">
        <v>22</v>
      </c>
      <c r="B28" s="4" t="s">
        <v>236</v>
      </c>
      <c r="C28" s="4" t="s">
        <v>237</v>
      </c>
      <c r="D28" s="4" t="s">
        <v>203</v>
      </c>
      <c r="E28" s="5">
        <v>160000</v>
      </c>
      <c r="F28" s="6">
        <v>3348.56</v>
      </c>
      <c r="G28" s="7">
        <v>1.1303539E-2</v>
      </c>
      <c r="H28" s="51"/>
    </row>
    <row r="29" spans="1:10" ht="17.100000000000001" customHeight="1" x14ac:dyDescent="0.2">
      <c r="A29" s="3">
        <v>23</v>
      </c>
      <c r="B29" s="4" t="s">
        <v>524</v>
      </c>
      <c r="C29" s="38" t="s">
        <v>1014</v>
      </c>
      <c r="D29" s="4" t="s">
        <v>69</v>
      </c>
      <c r="E29" s="5">
        <v>1702000</v>
      </c>
      <c r="F29" s="6">
        <v>3329.9630000000002</v>
      </c>
      <c r="G29" s="7">
        <v>1.1240762E-2</v>
      </c>
      <c r="H29" s="51"/>
    </row>
    <row r="30" spans="1:10" ht="17.100000000000001" customHeight="1" x14ac:dyDescent="0.2">
      <c r="A30" s="3">
        <v>24</v>
      </c>
      <c r="B30" s="4" t="s">
        <v>26</v>
      </c>
      <c r="C30" s="4" t="s">
        <v>27</v>
      </c>
      <c r="D30" s="4" t="s">
        <v>28</v>
      </c>
      <c r="E30" s="5">
        <v>2077000</v>
      </c>
      <c r="F30" s="6">
        <v>3315.9304999999999</v>
      </c>
      <c r="G30" s="7">
        <v>1.1193392999999999E-2</v>
      </c>
      <c r="H30" s="51"/>
    </row>
    <row r="31" spans="1:10" ht="29.1" customHeight="1" x14ac:dyDescent="0.2">
      <c r="A31" s="3">
        <v>25</v>
      </c>
      <c r="B31" s="4" t="s">
        <v>23</v>
      </c>
      <c r="C31" s="4" t="s">
        <v>24</v>
      </c>
      <c r="D31" s="4" t="s">
        <v>25</v>
      </c>
      <c r="E31" s="5">
        <v>45000</v>
      </c>
      <c r="F31" s="6">
        <v>2814.7950000000001</v>
      </c>
      <c r="G31" s="7">
        <v>9.5017390000000004E-3</v>
      </c>
      <c r="H31" s="51"/>
    </row>
    <row r="32" spans="1:10" ht="17.100000000000001" customHeight="1" x14ac:dyDescent="0.2">
      <c r="A32" s="3">
        <v>26</v>
      </c>
      <c r="B32" s="4" t="s">
        <v>109</v>
      </c>
      <c r="C32" s="4" t="s">
        <v>110</v>
      </c>
      <c r="D32" s="4" t="s">
        <v>72</v>
      </c>
      <c r="E32" s="5">
        <v>594760</v>
      </c>
      <c r="F32" s="6">
        <v>2758.1995000000002</v>
      </c>
      <c r="G32" s="7">
        <v>9.3106930000000001E-3</v>
      </c>
      <c r="H32" s="51"/>
    </row>
    <row r="33" spans="1:8" ht="17.100000000000001" customHeight="1" x14ac:dyDescent="0.2">
      <c r="A33" s="3">
        <v>27</v>
      </c>
      <c r="B33" s="4" t="s">
        <v>323</v>
      </c>
      <c r="C33" s="4" t="s">
        <v>324</v>
      </c>
      <c r="D33" s="4" t="s">
        <v>223</v>
      </c>
      <c r="E33" s="5">
        <v>285965</v>
      </c>
      <c r="F33" s="6">
        <v>2666.1946775000001</v>
      </c>
      <c r="G33" s="7">
        <v>9.0001179999999997E-3</v>
      </c>
      <c r="H33" s="51"/>
    </row>
    <row r="34" spans="1:8" ht="29.1" customHeight="1" x14ac:dyDescent="0.2">
      <c r="A34" s="3">
        <v>28</v>
      </c>
      <c r="B34" s="4" t="s">
        <v>86</v>
      </c>
      <c r="C34" s="4" t="s">
        <v>87</v>
      </c>
      <c r="D34" s="4" t="s">
        <v>25</v>
      </c>
      <c r="E34" s="5">
        <v>511927</v>
      </c>
      <c r="F34" s="6">
        <v>2639.4956120000002</v>
      </c>
      <c r="G34" s="7">
        <v>8.9099910000000008E-3</v>
      </c>
      <c r="H34" s="51"/>
    </row>
    <row r="35" spans="1:8" ht="29.1" customHeight="1" x14ac:dyDescent="0.2">
      <c r="A35" s="3">
        <v>29</v>
      </c>
      <c r="B35" s="4" t="s">
        <v>365</v>
      </c>
      <c r="C35" s="4" t="s">
        <v>366</v>
      </c>
      <c r="D35" s="4" t="s">
        <v>367</v>
      </c>
      <c r="E35" s="5">
        <v>305000</v>
      </c>
      <c r="F35" s="6">
        <v>2448.6925000000001</v>
      </c>
      <c r="G35" s="7">
        <v>8.2659080000000006E-3</v>
      </c>
      <c r="H35" s="51"/>
    </row>
    <row r="36" spans="1:8" ht="29.1" customHeight="1" x14ac:dyDescent="0.2">
      <c r="A36" s="3">
        <v>30</v>
      </c>
      <c r="B36" s="4" t="s">
        <v>714</v>
      </c>
      <c r="C36" s="4" t="s">
        <v>715</v>
      </c>
      <c r="D36" s="4" t="s">
        <v>284</v>
      </c>
      <c r="E36" s="5">
        <v>16757</v>
      </c>
      <c r="F36" s="6">
        <v>2326.7345854999999</v>
      </c>
      <c r="G36" s="7">
        <v>7.8542219999999992E-3</v>
      </c>
      <c r="H36" s="51"/>
    </row>
    <row r="37" spans="1:8" ht="17.100000000000001" customHeight="1" x14ac:dyDescent="0.2">
      <c r="A37" s="3">
        <v>31</v>
      </c>
      <c r="B37" s="4" t="s">
        <v>325</v>
      </c>
      <c r="C37" s="4" t="s">
        <v>326</v>
      </c>
      <c r="D37" s="4" t="s">
        <v>223</v>
      </c>
      <c r="E37" s="5">
        <v>571413</v>
      </c>
      <c r="F37" s="6">
        <v>2252.7957525000002</v>
      </c>
      <c r="G37" s="7">
        <v>7.6046309999999997E-3</v>
      </c>
      <c r="H37" s="51"/>
    </row>
    <row r="38" spans="1:8" ht="17.100000000000001" customHeight="1" x14ac:dyDescent="0.2">
      <c r="A38" s="3">
        <v>32</v>
      </c>
      <c r="B38" s="4" t="s">
        <v>308</v>
      </c>
      <c r="C38" s="4" t="s">
        <v>309</v>
      </c>
      <c r="D38" s="4" t="s">
        <v>310</v>
      </c>
      <c r="E38" s="5">
        <v>81167</v>
      </c>
      <c r="F38" s="6">
        <v>2188.6275715000002</v>
      </c>
      <c r="G38" s="7">
        <v>7.3880220000000002E-3</v>
      </c>
      <c r="H38" s="51"/>
    </row>
    <row r="39" spans="1:8" ht="29.1" customHeight="1" x14ac:dyDescent="0.2">
      <c r="A39" s="3">
        <v>33</v>
      </c>
      <c r="B39" s="4" t="s">
        <v>185</v>
      </c>
      <c r="C39" s="4" t="s">
        <v>186</v>
      </c>
      <c r="D39" s="4" t="s">
        <v>104</v>
      </c>
      <c r="E39" s="5">
        <v>526000</v>
      </c>
      <c r="F39" s="6">
        <v>2166.5940000000001</v>
      </c>
      <c r="G39" s="7">
        <v>7.3136449999999997E-3</v>
      </c>
      <c r="H39" s="51"/>
    </row>
    <row r="40" spans="1:8" ht="17.100000000000001" customHeight="1" x14ac:dyDescent="0.2">
      <c r="A40" s="3">
        <v>34</v>
      </c>
      <c r="B40" s="4" t="s">
        <v>115</v>
      </c>
      <c r="C40" s="4" t="s">
        <v>116</v>
      </c>
      <c r="D40" s="4" t="s">
        <v>117</v>
      </c>
      <c r="E40" s="5">
        <v>518576</v>
      </c>
      <c r="F40" s="6">
        <v>2025.2985679999999</v>
      </c>
      <c r="G40" s="7">
        <v>6.8366820000000002E-3</v>
      </c>
      <c r="H40" s="51"/>
    </row>
    <row r="41" spans="1:8" ht="17.100000000000001" customHeight="1" x14ac:dyDescent="0.2">
      <c r="A41" s="3">
        <v>35</v>
      </c>
      <c r="B41" s="4" t="s">
        <v>374</v>
      </c>
      <c r="C41" s="4" t="s">
        <v>375</v>
      </c>
      <c r="D41" s="4" t="s">
        <v>104</v>
      </c>
      <c r="E41" s="5">
        <v>71000</v>
      </c>
      <c r="F41" s="6">
        <v>1850.9345000000001</v>
      </c>
      <c r="G41" s="7">
        <v>6.2480920000000002E-3</v>
      </c>
      <c r="H41" s="51"/>
    </row>
    <row r="42" spans="1:8" ht="29.1" customHeight="1" x14ac:dyDescent="0.2">
      <c r="A42" s="3">
        <v>36</v>
      </c>
      <c r="B42" s="4" t="s">
        <v>610</v>
      </c>
      <c r="C42" s="4" t="s">
        <v>611</v>
      </c>
      <c r="D42" s="4" t="s">
        <v>235</v>
      </c>
      <c r="E42" s="5">
        <v>153000</v>
      </c>
      <c r="F42" s="6">
        <v>1761.2594999999999</v>
      </c>
      <c r="G42" s="7">
        <v>5.9453809999999996E-3</v>
      </c>
      <c r="H42" s="51"/>
    </row>
    <row r="43" spans="1:8" ht="17.100000000000001" customHeight="1" x14ac:dyDescent="0.2">
      <c r="A43" s="3">
        <v>37</v>
      </c>
      <c r="B43" s="4" t="s">
        <v>355</v>
      </c>
      <c r="C43" s="4" t="s">
        <v>356</v>
      </c>
      <c r="D43" s="4" t="s">
        <v>189</v>
      </c>
      <c r="E43" s="5">
        <v>40000</v>
      </c>
      <c r="F43" s="6">
        <v>1754.62</v>
      </c>
      <c r="G43" s="7">
        <v>5.9229679999999998E-3</v>
      </c>
      <c r="H43" s="51"/>
    </row>
    <row r="44" spans="1:8" ht="17.100000000000001" customHeight="1" x14ac:dyDescent="0.2">
      <c r="A44" s="3">
        <v>38</v>
      </c>
      <c r="B44" s="4" t="s">
        <v>559</v>
      </c>
      <c r="C44" s="4" t="s">
        <v>560</v>
      </c>
      <c r="D44" s="4" t="s">
        <v>104</v>
      </c>
      <c r="E44" s="5">
        <v>50000</v>
      </c>
      <c r="F44" s="6">
        <v>1671.2249999999999</v>
      </c>
      <c r="G44" s="7">
        <v>5.6414569999999999E-3</v>
      </c>
      <c r="H44" s="51"/>
    </row>
    <row r="45" spans="1:8" ht="17.100000000000001" customHeight="1" x14ac:dyDescent="0.2">
      <c r="A45" s="3">
        <v>39</v>
      </c>
      <c r="B45" s="4" t="s">
        <v>206</v>
      </c>
      <c r="C45" s="4" t="s">
        <v>207</v>
      </c>
      <c r="D45" s="4" t="s">
        <v>208</v>
      </c>
      <c r="E45" s="5">
        <v>36866</v>
      </c>
      <c r="F45" s="6">
        <v>1615.984244</v>
      </c>
      <c r="G45" s="7">
        <v>5.4549840000000004E-3</v>
      </c>
      <c r="H45" s="51"/>
    </row>
    <row r="46" spans="1:8" ht="17.100000000000001" customHeight="1" x14ac:dyDescent="0.2">
      <c r="A46" s="3">
        <v>40</v>
      </c>
      <c r="B46" s="4" t="s">
        <v>347</v>
      </c>
      <c r="C46" s="4" t="s">
        <v>348</v>
      </c>
      <c r="D46" s="4" t="s">
        <v>16</v>
      </c>
      <c r="E46" s="5">
        <v>700000</v>
      </c>
      <c r="F46" s="6">
        <v>1601.25</v>
      </c>
      <c r="G46" s="7">
        <v>5.4052459999999998E-3</v>
      </c>
      <c r="H46" s="51"/>
    </row>
    <row r="47" spans="1:8" ht="17.100000000000001" customHeight="1" x14ac:dyDescent="0.2">
      <c r="A47" s="3">
        <v>41</v>
      </c>
      <c r="B47" s="4" t="s">
        <v>344</v>
      </c>
      <c r="C47" s="38" t="s">
        <v>969</v>
      </c>
      <c r="D47" s="4" t="s">
        <v>19</v>
      </c>
      <c r="E47" s="5">
        <v>312079</v>
      </c>
      <c r="F47" s="6">
        <v>1254.7136195</v>
      </c>
      <c r="G47" s="7">
        <v>4.2354640000000004E-3</v>
      </c>
      <c r="H47" s="51"/>
    </row>
    <row r="48" spans="1:8" ht="29.1" customHeight="1" x14ac:dyDescent="0.2">
      <c r="A48" s="3">
        <v>42</v>
      </c>
      <c r="B48" s="4" t="s">
        <v>193</v>
      </c>
      <c r="C48" s="4" t="s">
        <v>194</v>
      </c>
      <c r="D48" s="4" t="s">
        <v>184</v>
      </c>
      <c r="E48" s="5">
        <v>45821</v>
      </c>
      <c r="F48" s="6">
        <v>1147.1058244999999</v>
      </c>
      <c r="G48" s="7">
        <v>3.8722180000000002E-3</v>
      </c>
      <c r="H48" s="51"/>
    </row>
    <row r="49" spans="1:8" ht="17.100000000000001" customHeight="1" x14ac:dyDescent="0.2">
      <c r="A49" s="3">
        <v>43</v>
      </c>
      <c r="B49" s="4" t="s">
        <v>612</v>
      </c>
      <c r="C49" s="4" t="s">
        <v>613</v>
      </c>
      <c r="D49" s="4" t="s">
        <v>235</v>
      </c>
      <c r="E49" s="5">
        <v>195000</v>
      </c>
      <c r="F49" s="6">
        <v>1034.3775000000001</v>
      </c>
      <c r="G49" s="7">
        <v>3.4916880000000002E-3</v>
      </c>
      <c r="H49" s="51"/>
    </row>
    <row r="50" spans="1:8" ht="17.100000000000001" customHeight="1" x14ac:dyDescent="0.2">
      <c r="A50" s="3">
        <v>44</v>
      </c>
      <c r="B50" s="4" t="s">
        <v>349</v>
      </c>
      <c r="C50" s="4" t="s">
        <v>350</v>
      </c>
      <c r="D50" s="4" t="s">
        <v>97</v>
      </c>
      <c r="E50" s="5">
        <v>13542</v>
      </c>
      <c r="F50" s="6">
        <v>993.40726500000005</v>
      </c>
      <c r="G50" s="7">
        <v>3.3533870000000002E-3</v>
      </c>
      <c r="H50" s="51"/>
    </row>
    <row r="51" spans="1:8" ht="17.100000000000001" customHeight="1" x14ac:dyDescent="0.2">
      <c r="A51" s="3">
        <v>45</v>
      </c>
      <c r="B51" s="4" t="s">
        <v>665</v>
      </c>
      <c r="C51" s="4" t="s">
        <v>666</v>
      </c>
      <c r="D51" s="4" t="s">
        <v>104</v>
      </c>
      <c r="E51" s="5">
        <v>50000</v>
      </c>
      <c r="F51" s="6">
        <v>674.27499999999998</v>
      </c>
      <c r="G51" s="7">
        <v>2.2761109999999999E-3</v>
      </c>
      <c r="H51" s="51"/>
    </row>
    <row r="52" spans="1:8" ht="17.100000000000001" customHeight="1" x14ac:dyDescent="0.2">
      <c r="A52" s="3">
        <v>46</v>
      </c>
      <c r="B52" s="4" t="s">
        <v>39</v>
      </c>
      <c r="C52" s="4" t="s">
        <v>40</v>
      </c>
      <c r="D52" s="4" t="s">
        <v>31</v>
      </c>
      <c r="E52" s="5">
        <v>26000</v>
      </c>
      <c r="F52" s="6">
        <v>665.79499999999996</v>
      </c>
      <c r="G52" s="7">
        <v>2.247485E-3</v>
      </c>
      <c r="H52" s="51"/>
    </row>
    <row r="53" spans="1:8" ht="17.100000000000001" customHeight="1" x14ac:dyDescent="0.2">
      <c r="A53" s="3">
        <v>47</v>
      </c>
      <c r="B53" s="4" t="s">
        <v>516</v>
      </c>
      <c r="C53" s="4" t="s">
        <v>517</v>
      </c>
      <c r="D53" s="4" t="s">
        <v>223</v>
      </c>
      <c r="E53" s="5">
        <v>46374</v>
      </c>
      <c r="F53" s="6">
        <v>648.86500799999999</v>
      </c>
      <c r="G53" s="7">
        <v>2.1903360000000002E-3</v>
      </c>
      <c r="H53" s="51"/>
    </row>
    <row r="54" spans="1:8" ht="29.1" customHeight="1" x14ac:dyDescent="0.2">
      <c r="A54" s="3">
        <v>48</v>
      </c>
      <c r="B54" s="4" t="s">
        <v>353</v>
      </c>
      <c r="C54" s="4" t="s">
        <v>354</v>
      </c>
      <c r="D54" s="4" t="s">
        <v>203</v>
      </c>
      <c r="E54" s="5">
        <v>13721</v>
      </c>
      <c r="F54" s="6">
        <v>508.39049199999999</v>
      </c>
      <c r="G54" s="7">
        <v>1.716144E-3</v>
      </c>
      <c r="H54" s="51"/>
    </row>
    <row r="55" spans="1:8" ht="17.100000000000001" customHeight="1" x14ac:dyDescent="0.2">
      <c r="A55" s="3">
        <v>49</v>
      </c>
      <c r="B55" s="4" t="s">
        <v>359</v>
      </c>
      <c r="C55" s="4" t="s">
        <v>360</v>
      </c>
      <c r="D55" s="4" t="s">
        <v>69</v>
      </c>
      <c r="E55" s="5">
        <v>58791</v>
      </c>
      <c r="F55" s="6">
        <v>237.86838599999999</v>
      </c>
      <c r="G55" s="7">
        <v>8.0295799999999999E-4</v>
      </c>
      <c r="H55" s="51"/>
    </row>
    <row r="56" spans="1:8" ht="14.1" customHeight="1" x14ac:dyDescent="0.2">
      <c r="A56" s="1"/>
      <c r="B56" s="1"/>
      <c r="C56" s="2" t="s">
        <v>129</v>
      </c>
      <c r="D56" s="1"/>
      <c r="E56" s="1" t="s">
        <v>130</v>
      </c>
      <c r="F56" s="9">
        <v>289600.22641649982</v>
      </c>
      <c r="G56" s="10">
        <v>0.97758658700000001</v>
      </c>
      <c r="H56" s="51"/>
    </row>
    <row r="57" spans="1:8" ht="14.1" customHeight="1" x14ac:dyDescent="0.2">
      <c r="A57" s="1"/>
      <c r="B57" s="1"/>
      <c r="C57" s="11"/>
      <c r="D57" s="1"/>
      <c r="E57" s="1"/>
      <c r="F57" s="12"/>
      <c r="G57" s="12"/>
      <c r="H57" s="51"/>
    </row>
    <row r="58" spans="1:8" ht="14.1" customHeight="1" x14ac:dyDescent="0.2">
      <c r="A58" s="1"/>
      <c r="B58" s="1"/>
      <c r="C58" s="2" t="s">
        <v>131</v>
      </c>
      <c r="D58" s="1"/>
      <c r="E58" s="1"/>
      <c r="F58" s="1"/>
      <c r="G58" s="1"/>
      <c r="H58" s="51"/>
    </row>
    <row r="59" spans="1:8" ht="14.1" customHeight="1" x14ac:dyDescent="0.2">
      <c r="A59" s="1"/>
      <c r="B59" s="1"/>
      <c r="C59" s="2" t="s">
        <v>129</v>
      </c>
      <c r="D59" s="1"/>
      <c r="E59" s="1" t="s">
        <v>130</v>
      </c>
      <c r="F59" s="13">
        <v>0</v>
      </c>
      <c r="G59" s="14">
        <v>0</v>
      </c>
      <c r="H59" s="51"/>
    </row>
    <row r="60" spans="1:8" ht="14.1" customHeight="1" x14ac:dyDescent="0.2">
      <c r="A60" s="1"/>
      <c r="B60" s="1"/>
      <c r="C60" s="11"/>
      <c r="D60" s="1"/>
      <c r="E60" s="1"/>
      <c r="F60" s="12"/>
      <c r="G60" s="12"/>
      <c r="H60" s="51"/>
    </row>
    <row r="61" spans="1:8" ht="14.1" customHeight="1" x14ac:dyDescent="0.2">
      <c r="A61" s="1"/>
      <c r="B61" s="1"/>
      <c r="C61" s="2" t="s">
        <v>132</v>
      </c>
      <c r="D61" s="1"/>
      <c r="E61" s="1"/>
      <c r="F61" s="1"/>
      <c r="G61" s="1"/>
      <c r="H61" s="51"/>
    </row>
    <row r="62" spans="1:8" ht="14.1" customHeight="1" x14ac:dyDescent="0.2">
      <c r="A62" s="1"/>
      <c r="B62" s="1"/>
      <c r="C62" s="2" t="s">
        <v>129</v>
      </c>
      <c r="D62" s="1"/>
      <c r="E62" s="1" t="s">
        <v>130</v>
      </c>
      <c r="F62" s="13">
        <v>0</v>
      </c>
      <c r="G62" s="14">
        <v>0</v>
      </c>
      <c r="H62" s="51"/>
    </row>
    <row r="63" spans="1:8" ht="14.1" customHeight="1" x14ac:dyDescent="0.2">
      <c r="A63" s="1"/>
      <c r="B63" s="1"/>
      <c r="C63" s="11"/>
      <c r="D63" s="1"/>
      <c r="E63" s="1"/>
      <c r="F63" s="12"/>
      <c r="G63" s="12"/>
      <c r="H63" s="51"/>
    </row>
    <row r="64" spans="1:8" ht="14.1" customHeight="1" x14ac:dyDescent="0.2">
      <c r="A64" s="1"/>
      <c r="B64" s="1"/>
      <c r="C64" s="2" t="s">
        <v>133</v>
      </c>
      <c r="D64" s="1"/>
      <c r="E64" s="1"/>
      <c r="F64" s="1"/>
      <c r="G64" s="1"/>
      <c r="H64" s="51"/>
    </row>
    <row r="65" spans="1:8" ht="14.1" customHeight="1" x14ac:dyDescent="0.2">
      <c r="A65" s="1"/>
      <c r="B65" s="1"/>
      <c r="C65" s="2" t="s">
        <v>129</v>
      </c>
      <c r="D65" s="1"/>
      <c r="E65" s="1" t="s">
        <v>130</v>
      </c>
      <c r="F65" s="9">
        <v>0</v>
      </c>
      <c r="G65" s="10">
        <v>0</v>
      </c>
      <c r="H65" s="51"/>
    </row>
    <row r="66" spans="1:8" ht="14.1" customHeight="1" x14ac:dyDescent="0.2">
      <c r="A66" s="1"/>
      <c r="B66" s="1"/>
      <c r="C66" s="11"/>
      <c r="D66" s="1"/>
      <c r="E66" s="1"/>
      <c r="F66" s="12"/>
      <c r="G66" s="12"/>
      <c r="H66" s="51"/>
    </row>
    <row r="67" spans="1:8" ht="14.1" customHeight="1" x14ac:dyDescent="0.2">
      <c r="A67" s="1"/>
      <c r="B67" s="1"/>
      <c r="C67" s="2" t="s">
        <v>134</v>
      </c>
      <c r="D67" s="1"/>
      <c r="E67" s="1"/>
      <c r="F67" s="12"/>
      <c r="G67" s="12"/>
      <c r="H67" s="51"/>
    </row>
    <row r="68" spans="1:8" ht="25.5" x14ac:dyDescent="0.2">
      <c r="A68" s="49">
        <v>1</v>
      </c>
      <c r="B68" s="38" t="s">
        <v>965</v>
      </c>
      <c r="C68" s="38" t="s">
        <v>966</v>
      </c>
      <c r="D68" s="38" t="s">
        <v>97</v>
      </c>
      <c r="E68" s="50">
        <v>90000</v>
      </c>
      <c r="F68" s="51">
        <v>357.21</v>
      </c>
      <c r="G68" s="52">
        <v>1.2058100000000001E-3</v>
      </c>
      <c r="H68" s="51"/>
    </row>
    <row r="69" spans="1:8" ht="14.1" customHeight="1" x14ac:dyDescent="0.2">
      <c r="A69" s="1"/>
      <c r="B69" s="1"/>
      <c r="C69" s="2" t="s">
        <v>129</v>
      </c>
      <c r="D69" s="1"/>
      <c r="E69" s="1" t="s">
        <v>130</v>
      </c>
      <c r="F69" s="13">
        <v>357.21</v>
      </c>
      <c r="G69" s="14">
        <v>1.2058100000000001E-3</v>
      </c>
      <c r="H69" s="51"/>
    </row>
    <row r="70" spans="1:8" ht="14.1" customHeight="1" x14ac:dyDescent="0.2">
      <c r="A70" s="1"/>
      <c r="B70" s="1"/>
      <c r="C70" s="11"/>
      <c r="D70" s="1"/>
      <c r="E70" s="1"/>
      <c r="F70" s="12"/>
      <c r="G70" s="12"/>
      <c r="H70" s="51"/>
    </row>
    <row r="71" spans="1:8" ht="14.1" customHeight="1" x14ac:dyDescent="0.2">
      <c r="A71" s="1"/>
      <c r="B71" s="1"/>
      <c r="C71" s="2" t="s">
        <v>135</v>
      </c>
      <c r="D71" s="1"/>
      <c r="E71" s="1"/>
      <c r="F71" s="12"/>
      <c r="G71" s="12"/>
      <c r="H71" s="51"/>
    </row>
    <row r="72" spans="1:8" ht="14.1" customHeight="1" x14ac:dyDescent="0.2">
      <c r="A72" s="1"/>
      <c r="B72" s="1"/>
      <c r="C72" s="2" t="s">
        <v>129</v>
      </c>
      <c r="D72" s="1"/>
      <c r="E72" s="1" t="s">
        <v>130</v>
      </c>
      <c r="F72" s="13">
        <v>0</v>
      </c>
      <c r="G72" s="14">
        <v>0</v>
      </c>
      <c r="H72" s="51"/>
    </row>
    <row r="73" spans="1:8" ht="14.1" customHeight="1" x14ac:dyDescent="0.2">
      <c r="A73" s="1"/>
      <c r="B73" s="1"/>
      <c r="C73" s="11"/>
      <c r="D73" s="1"/>
      <c r="E73" s="1"/>
      <c r="F73" s="12"/>
      <c r="G73" s="12"/>
      <c r="H73" s="51"/>
    </row>
    <row r="74" spans="1:8" ht="18" customHeight="1" x14ac:dyDescent="0.2">
      <c r="A74" s="1"/>
      <c r="B74" s="1"/>
      <c r="C74" s="2" t="s">
        <v>136</v>
      </c>
      <c r="D74" s="1"/>
      <c r="E74" s="1"/>
      <c r="F74" s="9">
        <v>289957.43641649984</v>
      </c>
      <c r="G74" s="10">
        <v>0.97879239699999998</v>
      </c>
      <c r="H74" s="51"/>
    </row>
    <row r="75" spans="1:8" ht="14.1" customHeight="1" x14ac:dyDescent="0.2">
      <c r="A75" s="1"/>
      <c r="B75" s="1"/>
      <c r="C75" s="11"/>
      <c r="D75" s="1"/>
      <c r="E75" s="1"/>
      <c r="F75" s="12"/>
      <c r="G75" s="12"/>
      <c r="H75" s="51"/>
    </row>
    <row r="76" spans="1:8" ht="14.1" customHeight="1" x14ac:dyDescent="0.2">
      <c r="A76" s="1"/>
      <c r="B76" s="1"/>
      <c r="C76" s="2" t="s">
        <v>137</v>
      </c>
      <c r="D76" s="1"/>
      <c r="E76" s="1"/>
      <c r="F76" s="12"/>
      <c r="G76" s="12"/>
      <c r="H76" s="51"/>
    </row>
    <row r="77" spans="1:8" ht="24" customHeight="1" x14ac:dyDescent="0.2">
      <c r="A77" s="1"/>
      <c r="B77" s="1"/>
      <c r="C77" s="2" t="s">
        <v>10</v>
      </c>
      <c r="D77" s="1"/>
      <c r="E77" s="1"/>
      <c r="F77" s="12"/>
      <c r="G77" s="12"/>
      <c r="H77" s="51"/>
    </row>
    <row r="78" spans="1:8" ht="29.1" customHeight="1" x14ac:dyDescent="0.2">
      <c r="A78" s="3">
        <v>1</v>
      </c>
      <c r="B78" s="4" t="s">
        <v>599</v>
      </c>
      <c r="C78" s="4" t="s">
        <v>600</v>
      </c>
      <c r="D78" s="4" t="s">
        <v>601</v>
      </c>
      <c r="E78" s="5">
        <v>28980</v>
      </c>
      <c r="F78" s="6">
        <v>8.1497556000000007</v>
      </c>
      <c r="G78" s="8" t="s">
        <v>128</v>
      </c>
      <c r="H78" s="51">
        <v>7.4649999999999999</v>
      </c>
    </row>
    <row r="79" spans="1:8" ht="14.1" customHeight="1" x14ac:dyDescent="0.2">
      <c r="A79" s="1"/>
      <c r="B79" s="1"/>
      <c r="C79" s="2" t="s">
        <v>129</v>
      </c>
      <c r="D79" s="1"/>
      <c r="E79" s="1" t="s">
        <v>130</v>
      </c>
      <c r="F79" s="9">
        <v>8.1497556000000007</v>
      </c>
      <c r="G79" s="10">
        <v>2.7511000000000001E-5</v>
      </c>
      <c r="H79" s="51"/>
    </row>
    <row r="80" spans="1:8" ht="14.1" customHeight="1" x14ac:dyDescent="0.2">
      <c r="A80" s="1"/>
      <c r="B80" s="1"/>
      <c r="C80" s="11"/>
      <c r="D80" s="1"/>
      <c r="E80" s="1"/>
      <c r="F80" s="12"/>
      <c r="G80" s="12"/>
      <c r="H80" s="51"/>
    </row>
    <row r="81" spans="1:8" ht="14.1" customHeight="1" x14ac:dyDescent="0.2">
      <c r="A81" s="1"/>
      <c r="B81" s="1"/>
      <c r="C81" s="2" t="s">
        <v>138</v>
      </c>
      <c r="D81" s="1"/>
      <c r="E81" s="1"/>
      <c r="F81" s="1"/>
      <c r="G81" s="1"/>
      <c r="H81" s="51"/>
    </row>
    <row r="82" spans="1:8" ht="14.1" customHeight="1" x14ac:dyDescent="0.2">
      <c r="A82" s="1"/>
      <c r="B82" s="1"/>
      <c r="C82" s="2" t="s">
        <v>129</v>
      </c>
      <c r="D82" s="1"/>
      <c r="E82" s="1" t="s">
        <v>130</v>
      </c>
      <c r="F82" s="13">
        <v>0</v>
      </c>
      <c r="G82" s="14">
        <v>0</v>
      </c>
      <c r="H82" s="51"/>
    </row>
    <row r="83" spans="1:8" ht="14.1" customHeight="1" x14ac:dyDescent="0.2">
      <c r="A83" s="1"/>
      <c r="B83" s="1"/>
      <c r="C83" s="11"/>
      <c r="D83" s="1"/>
      <c r="E83" s="1"/>
      <c r="F83" s="12"/>
      <c r="G83" s="12"/>
      <c r="H83" s="51"/>
    </row>
    <row r="84" spans="1:8" ht="14.1" customHeight="1" x14ac:dyDescent="0.2">
      <c r="A84" s="1"/>
      <c r="B84" s="1"/>
      <c r="C84" s="2" t="s">
        <v>139</v>
      </c>
      <c r="D84" s="1"/>
      <c r="E84" s="1"/>
      <c r="F84" s="1"/>
      <c r="G84" s="1"/>
      <c r="H84" s="51"/>
    </row>
    <row r="85" spans="1:8" ht="14.1" customHeight="1" x14ac:dyDescent="0.2">
      <c r="A85" s="1"/>
      <c r="B85" s="1"/>
      <c r="C85" s="2" t="s">
        <v>129</v>
      </c>
      <c r="D85" s="1"/>
      <c r="E85" s="1" t="s">
        <v>130</v>
      </c>
      <c r="F85" s="13">
        <v>0</v>
      </c>
      <c r="G85" s="14">
        <v>0</v>
      </c>
      <c r="H85" s="51"/>
    </row>
    <row r="86" spans="1:8" ht="14.1" customHeight="1" x14ac:dyDescent="0.2">
      <c r="A86" s="1"/>
      <c r="B86" s="1"/>
      <c r="C86" s="11"/>
      <c r="D86" s="1"/>
      <c r="E86" s="1"/>
      <c r="F86" s="12"/>
      <c r="G86" s="12"/>
      <c r="H86" s="51"/>
    </row>
    <row r="87" spans="1:8" ht="14.1" customHeight="1" x14ac:dyDescent="0.2">
      <c r="A87" s="1"/>
      <c r="B87" s="1"/>
      <c r="C87" s="2" t="s">
        <v>140</v>
      </c>
      <c r="D87" s="1"/>
      <c r="E87" s="1"/>
      <c r="F87" s="12"/>
      <c r="G87" s="12"/>
      <c r="H87" s="51"/>
    </row>
    <row r="88" spans="1:8" ht="14.1" customHeight="1" x14ac:dyDescent="0.2">
      <c r="A88" s="1"/>
      <c r="B88" s="1"/>
      <c r="C88" s="2" t="s">
        <v>129</v>
      </c>
      <c r="D88" s="1"/>
      <c r="E88" s="1" t="s">
        <v>130</v>
      </c>
      <c r="F88" s="13">
        <v>0</v>
      </c>
      <c r="G88" s="14">
        <v>0</v>
      </c>
      <c r="H88" s="51"/>
    </row>
    <row r="89" spans="1:8" ht="14.1" customHeight="1" x14ac:dyDescent="0.2">
      <c r="A89" s="1"/>
      <c r="B89" s="1"/>
      <c r="C89" s="11"/>
      <c r="D89" s="1"/>
      <c r="E89" s="1"/>
      <c r="F89" s="12"/>
      <c r="G89" s="12"/>
      <c r="H89" s="51"/>
    </row>
    <row r="90" spans="1:8" ht="14.1" customHeight="1" x14ac:dyDescent="0.2">
      <c r="A90" s="1"/>
      <c r="B90" s="1"/>
      <c r="C90" s="2" t="s">
        <v>141</v>
      </c>
      <c r="D90" s="1"/>
      <c r="E90" s="1"/>
      <c r="F90" s="9">
        <v>8.1497556000000007</v>
      </c>
      <c r="G90" s="10">
        <v>2.7511000000000001E-5</v>
      </c>
      <c r="H90" s="51"/>
    </row>
    <row r="91" spans="1:8" ht="14.1" customHeight="1" x14ac:dyDescent="0.2">
      <c r="A91" s="1"/>
      <c r="B91" s="1"/>
      <c r="C91" s="11"/>
      <c r="D91" s="1"/>
      <c r="E91" s="1"/>
      <c r="F91" s="12"/>
      <c r="G91" s="12"/>
      <c r="H91" s="51"/>
    </row>
    <row r="92" spans="1:8" ht="14.1" customHeight="1" x14ac:dyDescent="0.2">
      <c r="A92" s="1"/>
      <c r="B92" s="1"/>
      <c r="C92" s="2" t="s">
        <v>142</v>
      </c>
      <c r="D92" s="1"/>
      <c r="E92" s="1"/>
      <c r="F92" s="12"/>
      <c r="G92" s="12"/>
      <c r="H92" s="51"/>
    </row>
    <row r="93" spans="1:8" ht="14.1" customHeight="1" x14ac:dyDescent="0.2">
      <c r="A93" s="1"/>
      <c r="B93" s="1"/>
      <c r="C93" s="2" t="s">
        <v>143</v>
      </c>
      <c r="D93" s="1"/>
      <c r="E93" s="1"/>
      <c r="F93" s="12"/>
      <c r="G93" s="12"/>
      <c r="H93" s="51"/>
    </row>
    <row r="94" spans="1:8" ht="14.1" customHeight="1" x14ac:dyDescent="0.2">
      <c r="A94" s="1"/>
      <c r="B94" s="1"/>
      <c r="C94" s="2" t="s">
        <v>129</v>
      </c>
      <c r="D94" s="1"/>
      <c r="E94" s="1" t="s">
        <v>130</v>
      </c>
      <c r="F94" s="13">
        <v>0</v>
      </c>
      <c r="G94" s="14">
        <v>0</v>
      </c>
      <c r="H94" s="51"/>
    </row>
    <row r="95" spans="1:8" ht="14.1" customHeight="1" x14ac:dyDescent="0.2">
      <c r="A95" s="1"/>
      <c r="B95" s="1"/>
      <c r="C95" s="11"/>
      <c r="D95" s="1"/>
      <c r="E95" s="1"/>
      <c r="F95" s="12"/>
      <c r="G95" s="12"/>
      <c r="H95" s="51"/>
    </row>
    <row r="96" spans="1:8" ht="14.1" customHeight="1" x14ac:dyDescent="0.2">
      <c r="A96" s="1"/>
      <c r="B96" s="1"/>
      <c r="C96" s="2" t="s">
        <v>144</v>
      </c>
      <c r="D96" s="1"/>
      <c r="E96" s="1"/>
      <c r="F96" s="12"/>
      <c r="G96" s="12"/>
      <c r="H96" s="51"/>
    </row>
    <row r="97" spans="1:8" ht="14.1" customHeight="1" x14ac:dyDescent="0.2">
      <c r="A97" s="1"/>
      <c r="B97" s="1"/>
      <c r="C97" s="2" t="s">
        <v>129</v>
      </c>
      <c r="D97" s="1"/>
      <c r="E97" s="1" t="s">
        <v>130</v>
      </c>
      <c r="F97" s="13">
        <v>0</v>
      </c>
      <c r="G97" s="14">
        <v>0</v>
      </c>
      <c r="H97" s="51"/>
    </row>
    <row r="98" spans="1:8" ht="14.1" customHeight="1" x14ac:dyDescent="0.2">
      <c r="A98" s="1"/>
      <c r="B98" s="1"/>
      <c r="C98" s="11"/>
      <c r="D98" s="1"/>
      <c r="E98" s="1"/>
      <c r="F98" s="12"/>
      <c r="G98" s="12"/>
      <c r="H98" s="51"/>
    </row>
    <row r="99" spans="1:8" ht="14.1" customHeight="1" x14ac:dyDescent="0.2">
      <c r="A99" s="1"/>
      <c r="B99" s="1"/>
      <c r="C99" s="2" t="s">
        <v>145</v>
      </c>
      <c r="D99" s="1"/>
      <c r="E99" s="1"/>
      <c r="F99" s="12"/>
      <c r="G99" s="12"/>
      <c r="H99" s="51"/>
    </row>
    <row r="100" spans="1:8" ht="14.1" customHeight="1" x14ac:dyDescent="0.2">
      <c r="A100" s="1"/>
      <c r="B100" s="1"/>
      <c r="C100" s="2" t="s">
        <v>129</v>
      </c>
      <c r="D100" s="1"/>
      <c r="E100" s="1" t="s">
        <v>130</v>
      </c>
      <c r="F100" s="13">
        <v>0</v>
      </c>
      <c r="G100" s="14">
        <v>0</v>
      </c>
      <c r="H100" s="51"/>
    </row>
    <row r="101" spans="1:8" ht="14.1" customHeight="1" x14ac:dyDescent="0.2">
      <c r="A101" s="1"/>
      <c r="B101" s="1"/>
      <c r="C101" s="11"/>
      <c r="D101" s="1"/>
      <c r="E101" s="1"/>
      <c r="F101" s="12"/>
      <c r="G101" s="12"/>
      <c r="H101" s="51"/>
    </row>
    <row r="102" spans="1:8" ht="14.1" customHeight="1" x14ac:dyDescent="0.2">
      <c r="A102" s="1"/>
      <c r="B102" s="1"/>
      <c r="C102" s="2" t="s">
        <v>146</v>
      </c>
      <c r="D102" s="1"/>
      <c r="E102" s="1"/>
      <c r="F102" s="12"/>
      <c r="G102" s="12"/>
      <c r="H102" s="51"/>
    </row>
    <row r="103" spans="1:8" ht="17.100000000000001" customHeight="1" x14ac:dyDescent="0.2">
      <c r="A103" s="3">
        <v>1</v>
      </c>
      <c r="B103" s="4"/>
      <c r="C103" s="4" t="s">
        <v>147</v>
      </c>
      <c r="D103" s="4"/>
      <c r="E103" s="8"/>
      <c r="F103" s="6">
        <v>5498.6062869999996</v>
      </c>
      <c r="G103" s="7">
        <v>1.8561324000000001E-2</v>
      </c>
      <c r="H103" s="51">
        <v>6.1245112103248278</v>
      </c>
    </row>
    <row r="104" spans="1:8" ht="14.1" customHeight="1" x14ac:dyDescent="0.2">
      <c r="A104" s="1"/>
      <c r="B104" s="1"/>
      <c r="C104" s="2" t="s">
        <v>129</v>
      </c>
      <c r="D104" s="1"/>
      <c r="E104" s="1" t="s">
        <v>130</v>
      </c>
      <c r="F104" s="9">
        <v>5498.6062869999996</v>
      </c>
      <c r="G104" s="10">
        <v>1.8561324000000001E-2</v>
      </c>
      <c r="H104" s="51"/>
    </row>
    <row r="105" spans="1:8" ht="14.1" customHeight="1" x14ac:dyDescent="0.2">
      <c r="A105" s="1"/>
      <c r="B105" s="1"/>
      <c r="C105" s="11"/>
      <c r="D105" s="1"/>
      <c r="E105" s="1"/>
      <c r="F105" s="12"/>
      <c r="G105" s="12"/>
      <c r="H105" s="51"/>
    </row>
    <row r="106" spans="1:8" ht="14.1" customHeight="1" x14ac:dyDescent="0.2">
      <c r="A106" s="1"/>
      <c r="B106" s="1"/>
      <c r="C106" s="2" t="s">
        <v>148</v>
      </c>
      <c r="D106" s="1"/>
      <c r="E106" s="1"/>
      <c r="F106" s="9">
        <v>5498.6062869999996</v>
      </c>
      <c r="G106" s="10">
        <v>1.8561324000000001E-2</v>
      </c>
      <c r="H106" s="51"/>
    </row>
    <row r="107" spans="1:8" ht="14.1" customHeight="1" x14ac:dyDescent="0.2">
      <c r="A107" s="1"/>
      <c r="B107" s="1"/>
      <c r="C107" s="12"/>
      <c r="D107" s="1"/>
      <c r="E107" s="1"/>
      <c r="F107" s="1"/>
      <c r="G107" s="1"/>
      <c r="H107" s="51"/>
    </row>
    <row r="108" spans="1:8" ht="14.1" customHeight="1" x14ac:dyDescent="0.2">
      <c r="A108" s="1"/>
      <c r="B108" s="1"/>
      <c r="C108" s="2" t="s">
        <v>149</v>
      </c>
      <c r="D108" s="1"/>
      <c r="E108" s="1"/>
      <c r="F108" s="1"/>
      <c r="G108" s="1"/>
      <c r="H108" s="51"/>
    </row>
    <row r="109" spans="1:8" ht="14.1" customHeight="1" x14ac:dyDescent="0.2">
      <c r="A109" s="1"/>
      <c r="B109" s="1"/>
      <c r="C109" s="2" t="s">
        <v>150</v>
      </c>
      <c r="D109" s="1"/>
      <c r="E109" s="1"/>
      <c r="F109" s="1"/>
      <c r="G109" s="1"/>
      <c r="H109" s="51"/>
    </row>
    <row r="110" spans="1:8" ht="14.1" customHeight="1" x14ac:dyDescent="0.2">
      <c r="A110" s="1"/>
      <c r="B110" s="1"/>
      <c r="C110" s="2" t="s">
        <v>129</v>
      </c>
      <c r="D110" s="1"/>
      <c r="E110" s="1" t="s">
        <v>130</v>
      </c>
      <c r="F110" s="13">
        <v>0</v>
      </c>
      <c r="G110" s="14">
        <v>0</v>
      </c>
      <c r="H110" s="51"/>
    </row>
    <row r="111" spans="1:8" ht="14.1" customHeight="1" x14ac:dyDescent="0.2">
      <c r="A111" s="1"/>
      <c r="B111" s="1"/>
      <c r="C111" s="11"/>
      <c r="D111" s="1"/>
      <c r="E111" s="1"/>
      <c r="F111" s="12"/>
      <c r="G111" s="12"/>
      <c r="H111" s="51"/>
    </row>
    <row r="112" spans="1:8" ht="14.1" customHeight="1" x14ac:dyDescent="0.2">
      <c r="A112" s="1"/>
      <c r="B112" s="1"/>
      <c r="C112" s="2" t="s">
        <v>151</v>
      </c>
      <c r="D112" s="1"/>
      <c r="E112" s="1"/>
      <c r="F112" s="1"/>
      <c r="G112" s="1"/>
      <c r="H112" s="51"/>
    </row>
    <row r="113" spans="1:15" ht="14.1" customHeight="1" x14ac:dyDescent="0.2">
      <c r="A113" s="1"/>
      <c r="B113" s="1"/>
      <c r="C113" s="2" t="s">
        <v>152</v>
      </c>
      <c r="D113" s="1"/>
      <c r="E113" s="1"/>
      <c r="F113" s="1"/>
      <c r="G113" s="1"/>
      <c r="H113" s="51"/>
    </row>
    <row r="114" spans="1:15" ht="14.1" customHeight="1" x14ac:dyDescent="0.2">
      <c r="A114" s="1"/>
      <c r="B114" s="1"/>
      <c r="C114" s="2" t="s">
        <v>129</v>
      </c>
      <c r="D114" s="1"/>
      <c r="E114" s="1" t="s">
        <v>130</v>
      </c>
      <c r="F114" s="13">
        <v>0</v>
      </c>
      <c r="G114" s="14">
        <v>0</v>
      </c>
      <c r="H114" s="51"/>
    </row>
    <row r="115" spans="1:15" ht="14.1" customHeight="1" x14ac:dyDescent="0.2">
      <c r="A115" s="1"/>
      <c r="B115" s="1"/>
      <c r="C115" s="11"/>
      <c r="D115" s="1"/>
      <c r="E115" s="1"/>
      <c r="F115" s="12"/>
      <c r="G115" s="12"/>
      <c r="H115" s="51"/>
    </row>
    <row r="116" spans="1:15" ht="14.1" customHeight="1" x14ac:dyDescent="0.2">
      <c r="A116" s="1"/>
      <c r="B116" s="1"/>
      <c r="C116" s="11"/>
      <c r="D116" s="1"/>
      <c r="E116" s="1"/>
      <c r="F116" s="12"/>
      <c r="G116" s="12"/>
      <c r="H116" s="51"/>
    </row>
    <row r="117" spans="1:15" ht="24" customHeight="1" x14ac:dyDescent="0.2">
      <c r="A117" s="1"/>
      <c r="B117" s="1"/>
      <c r="C117" s="2" t="s">
        <v>153</v>
      </c>
      <c r="D117" s="1"/>
      <c r="E117" s="1"/>
      <c r="F117" s="12"/>
      <c r="G117" s="12"/>
      <c r="H117" s="51"/>
    </row>
    <row r="118" spans="1:15" ht="14.1" customHeight="1" x14ac:dyDescent="0.2">
      <c r="A118" s="1"/>
      <c r="B118" s="1"/>
      <c r="C118" s="2" t="s">
        <v>129</v>
      </c>
      <c r="D118" s="1"/>
      <c r="E118" s="1" t="s">
        <v>130</v>
      </c>
      <c r="F118" s="13">
        <v>0</v>
      </c>
      <c r="G118" s="14">
        <v>0</v>
      </c>
      <c r="H118" s="51"/>
    </row>
    <row r="119" spans="1:15" ht="14.1" customHeight="1" x14ac:dyDescent="0.2">
      <c r="A119" s="1"/>
      <c r="B119" s="1"/>
      <c r="C119" s="11"/>
      <c r="D119" s="1"/>
      <c r="E119" s="1"/>
      <c r="F119" s="12"/>
      <c r="G119" s="12"/>
      <c r="H119" s="51"/>
    </row>
    <row r="120" spans="1:15" ht="14.1" customHeight="1" x14ac:dyDescent="0.2">
      <c r="A120" s="1"/>
      <c r="B120" s="4"/>
      <c r="C120" s="4"/>
      <c r="D120" s="2"/>
      <c r="E120" s="1"/>
      <c r="F120" s="4"/>
      <c r="G120" s="8"/>
      <c r="H120" s="51"/>
    </row>
    <row r="121" spans="1:15" ht="18" customHeight="1" x14ac:dyDescent="0.2">
      <c r="A121" s="8"/>
      <c r="B121" s="4"/>
      <c r="C121" s="38" t="s">
        <v>1015</v>
      </c>
      <c r="D121" s="4"/>
      <c r="E121" s="8"/>
      <c r="F121" s="6">
        <v>775.78250023999999</v>
      </c>
      <c r="G121" s="7">
        <v>2.618764E-3</v>
      </c>
      <c r="H121" s="51"/>
    </row>
    <row r="122" spans="1:15" ht="14.1" customHeight="1" x14ac:dyDescent="0.2">
      <c r="A122" s="11"/>
      <c r="B122" s="11"/>
      <c r="C122" s="2" t="s">
        <v>155</v>
      </c>
      <c r="D122" s="15"/>
      <c r="E122" s="15"/>
      <c r="F122" s="9">
        <v>296239.97495933983</v>
      </c>
      <c r="G122" s="10">
        <v>0.99997248500000002</v>
      </c>
      <c r="H122" s="51"/>
    </row>
    <row r="123" spans="1:15" ht="14.1" customHeight="1" x14ac:dyDescent="0.2">
      <c r="A123" s="16"/>
      <c r="B123" s="16"/>
      <c r="C123" s="16"/>
      <c r="D123" s="17"/>
      <c r="E123" s="17"/>
      <c r="F123" s="17"/>
      <c r="G123" s="17"/>
    </row>
    <row r="124" spans="1:15" ht="17.100000000000001" customHeight="1" x14ac:dyDescent="0.2">
      <c r="A124" s="18"/>
      <c r="B124" s="327" t="s">
        <v>602</v>
      </c>
      <c r="C124" s="327"/>
      <c r="D124" s="327"/>
      <c r="E124" s="327"/>
      <c r="F124" s="327"/>
      <c r="G124" s="20"/>
    </row>
    <row r="125" spans="1:15" s="41" customFormat="1" ht="17.100000000000001" customHeight="1" x14ac:dyDescent="0.2">
      <c r="A125" s="39"/>
      <c r="B125" s="345" t="s">
        <v>762</v>
      </c>
      <c r="C125" s="345"/>
      <c r="D125" s="345"/>
      <c r="E125" s="345"/>
      <c r="F125" s="345"/>
      <c r="G125" s="40"/>
      <c r="H125"/>
      <c r="I125"/>
      <c r="O125"/>
    </row>
    <row r="126" spans="1:15" ht="17.100000000000001" customHeight="1" x14ac:dyDescent="0.2">
      <c r="A126" s="18"/>
      <c r="B126" s="327" t="s">
        <v>156</v>
      </c>
      <c r="C126" s="327"/>
      <c r="D126" s="327"/>
      <c r="E126" s="327"/>
      <c r="F126" s="327"/>
      <c r="G126" s="20"/>
      <c r="I126" s="41"/>
    </row>
    <row r="127" spans="1:15" ht="14.1" customHeight="1" x14ac:dyDescent="0.2">
      <c r="A127" s="18"/>
      <c r="B127" s="18"/>
      <c r="C127" s="18"/>
      <c r="D127" s="20"/>
      <c r="E127" s="20"/>
      <c r="F127" s="20"/>
      <c r="G127" s="20"/>
    </row>
    <row r="128" spans="1:15" ht="14.1" customHeight="1" x14ac:dyDescent="0.2">
      <c r="A128" s="18"/>
      <c r="B128" s="325" t="s">
        <v>157</v>
      </c>
      <c r="C128" s="326"/>
      <c r="D128" s="12" t="s">
        <v>130</v>
      </c>
      <c r="E128" s="21"/>
      <c r="F128" s="20"/>
      <c r="G128" s="20"/>
    </row>
    <row r="129" spans="1:7" ht="29.1" customHeight="1" x14ac:dyDescent="0.2">
      <c r="A129" s="18"/>
      <c r="B129" s="318" t="s">
        <v>158</v>
      </c>
      <c r="C129" s="319"/>
      <c r="D129" s="2" t="s">
        <v>159</v>
      </c>
      <c r="E129" s="21"/>
      <c r="F129" s="20"/>
      <c r="G129" s="20"/>
    </row>
    <row r="130" spans="1:7" ht="17.100000000000001" customHeight="1" x14ac:dyDescent="0.2">
      <c r="A130" s="18"/>
      <c r="B130" s="318" t="s">
        <v>160</v>
      </c>
      <c r="C130" s="319"/>
      <c r="D130" s="2" t="s">
        <v>159</v>
      </c>
      <c r="E130" s="21"/>
      <c r="F130" s="20"/>
      <c r="G130" s="20"/>
    </row>
    <row r="131" spans="1:7" ht="17.100000000000001" customHeight="1" x14ac:dyDescent="0.2">
      <c r="A131" s="18"/>
      <c r="B131" s="318" t="s">
        <v>161</v>
      </c>
      <c r="C131" s="319"/>
      <c r="D131" s="12" t="s">
        <v>130</v>
      </c>
      <c r="E131" s="21"/>
      <c r="F131" s="20"/>
      <c r="G131" s="20"/>
    </row>
    <row r="132" spans="1:7" ht="24" customHeight="1" x14ac:dyDescent="0.2">
      <c r="A132" s="22"/>
      <c r="B132" s="23" t="s">
        <v>130</v>
      </c>
      <c r="C132" s="23" t="s">
        <v>162</v>
      </c>
      <c r="D132" s="23" t="s">
        <v>163</v>
      </c>
      <c r="E132" s="22"/>
      <c r="F132" s="22"/>
      <c r="G132" s="22"/>
    </row>
    <row r="133" spans="1:7" ht="18" customHeight="1" x14ac:dyDescent="0.2">
      <c r="A133" s="22"/>
      <c r="B133" s="23" t="s">
        <v>164</v>
      </c>
      <c r="C133" s="23" t="s">
        <v>165</v>
      </c>
      <c r="D133" s="23" t="s">
        <v>166</v>
      </c>
      <c r="E133" s="22"/>
      <c r="F133" s="22"/>
      <c r="G133" s="22"/>
    </row>
    <row r="134" spans="1:7" ht="17.100000000000001" customHeight="1" x14ac:dyDescent="0.2">
      <c r="A134" s="22"/>
      <c r="B134" s="4" t="s">
        <v>167</v>
      </c>
      <c r="C134" s="24">
        <v>15.5059</v>
      </c>
      <c r="D134" s="24">
        <v>15.087999999999999</v>
      </c>
      <c r="E134" s="22"/>
      <c r="F134" s="19"/>
      <c r="G134" s="25"/>
    </row>
    <row r="135" spans="1:7" ht="17.100000000000001" customHeight="1" x14ac:dyDescent="0.2">
      <c r="A135" s="22"/>
      <c r="B135" s="4" t="s">
        <v>1067</v>
      </c>
      <c r="C135" s="24">
        <v>14.445600000000001</v>
      </c>
      <c r="D135" s="24">
        <v>14.0562</v>
      </c>
      <c r="E135" s="22"/>
      <c r="F135" s="19"/>
      <c r="G135" s="25"/>
    </row>
    <row r="136" spans="1:7" ht="17.100000000000001" customHeight="1" x14ac:dyDescent="0.2">
      <c r="A136" s="22"/>
      <c r="B136" s="4" t="s">
        <v>168</v>
      </c>
      <c r="C136" s="24">
        <v>14.9962</v>
      </c>
      <c r="D136" s="24">
        <v>14.575699999999999</v>
      </c>
      <c r="E136" s="22"/>
      <c r="F136" s="19"/>
      <c r="G136" s="25"/>
    </row>
    <row r="137" spans="1:7" ht="17.100000000000001" customHeight="1" x14ac:dyDescent="0.2">
      <c r="A137" s="22"/>
      <c r="B137" s="4" t="s">
        <v>1068</v>
      </c>
      <c r="C137" s="24">
        <v>13.972300000000001</v>
      </c>
      <c r="D137" s="24">
        <v>13.580299999999999</v>
      </c>
      <c r="E137" s="22"/>
      <c r="F137" s="19"/>
      <c r="G137" s="25"/>
    </row>
    <row r="138" spans="1:7" ht="14.1" customHeight="1" x14ac:dyDescent="0.2">
      <c r="A138" s="22"/>
      <c r="B138" s="22"/>
      <c r="C138" s="22"/>
      <c r="D138" s="22"/>
      <c r="E138" s="22"/>
      <c r="F138" s="22"/>
      <c r="G138" s="22"/>
    </row>
    <row r="139" spans="1:7" ht="17.100000000000001" customHeight="1" x14ac:dyDescent="0.2">
      <c r="A139" s="22"/>
      <c r="B139" s="318" t="s">
        <v>1069</v>
      </c>
      <c r="C139" s="319"/>
      <c r="D139" s="2" t="s">
        <v>159</v>
      </c>
      <c r="E139" s="22"/>
      <c r="F139" s="22"/>
      <c r="G139" s="22"/>
    </row>
    <row r="140" spans="1:7" ht="18" customHeight="1" x14ac:dyDescent="0.2">
      <c r="A140" s="22"/>
      <c r="B140" s="26"/>
      <c r="C140" s="26"/>
      <c r="D140" s="27"/>
      <c r="E140" s="22"/>
      <c r="F140" s="22"/>
      <c r="G140" s="22"/>
    </row>
    <row r="141" spans="1:7" ht="29.1" customHeight="1" x14ac:dyDescent="0.2">
      <c r="A141" s="22"/>
      <c r="B141" s="318" t="s">
        <v>169</v>
      </c>
      <c r="C141" s="319"/>
      <c r="D141" s="2" t="s">
        <v>159</v>
      </c>
      <c r="E141" s="22"/>
      <c r="F141" s="22"/>
      <c r="G141" s="22"/>
    </row>
    <row r="142" spans="1:7" ht="29.1" customHeight="1" x14ac:dyDescent="0.2">
      <c r="A142" s="22"/>
      <c r="B142" s="318" t="s">
        <v>170</v>
      </c>
      <c r="C142" s="319"/>
      <c r="D142" s="2" t="s">
        <v>159</v>
      </c>
      <c r="E142" s="22"/>
      <c r="F142" s="22"/>
      <c r="G142" s="22"/>
    </row>
    <row r="143" spans="1:7" ht="17.100000000000001" customHeight="1" x14ac:dyDescent="0.2">
      <c r="A143" s="22"/>
      <c r="B143" s="318" t="s">
        <v>171</v>
      </c>
      <c r="C143" s="319"/>
      <c r="D143" s="28">
        <v>0.55470864201602965</v>
      </c>
      <c r="E143" s="22"/>
      <c r="F143" s="19"/>
      <c r="G143" s="25"/>
    </row>
    <row r="144" spans="1:7" ht="17.100000000000001" customHeight="1" x14ac:dyDescent="0.2">
      <c r="A144" s="22"/>
      <c r="B144" s="318" t="s">
        <v>172</v>
      </c>
      <c r="C144" s="319"/>
      <c r="D144" s="2" t="s">
        <v>159</v>
      </c>
      <c r="E144" s="22"/>
      <c r="F144" s="22"/>
      <c r="G144" s="22"/>
    </row>
  </sheetData>
  <mergeCells count="16">
    <mergeCell ref="A1:H1"/>
    <mergeCell ref="A2:H2"/>
    <mergeCell ref="A3:H3"/>
    <mergeCell ref="J2:N2"/>
    <mergeCell ref="B143:C143"/>
    <mergeCell ref="B128:C128"/>
    <mergeCell ref="B124:F124"/>
    <mergeCell ref="B126:F126"/>
    <mergeCell ref="B125:F125"/>
    <mergeCell ref="B144:C144"/>
    <mergeCell ref="B129:C129"/>
    <mergeCell ref="B130:C130"/>
    <mergeCell ref="B131:C131"/>
    <mergeCell ref="B139:C139"/>
    <mergeCell ref="B141:C141"/>
    <mergeCell ref="B142:C142"/>
  </mergeCells>
  <hyperlinks>
    <hyperlink ref="I1" location="Index!B36" display="Index" xr:uid="{DB3B191A-7B51-4A97-A499-163C998F947D}"/>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outlinePr summaryBelow="0" summaryRight="0"/>
  </sheetPr>
  <dimension ref="A1:O217"/>
  <sheetViews>
    <sheetView showGridLines="0" workbookViewId="0">
      <selection sqref="A1:H1"/>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 min="9" max="9" width="9.5703125" bestFit="1" customWidth="1"/>
    <col min="10" max="10" width="16.7109375" bestFit="1" customWidth="1"/>
    <col min="15" max="15" width="9.140625" style="123"/>
  </cols>
  <sheetData>
    <row r="1" spans="1:14" ht="18" customHeight="1" x14ac:dyDescent="0.2">
      <c r="A1" s="320" t="s">
        <v>0</v>
      </c>
      <c r="B1" s="320"/>
      <c r="C1" s="320"/>
      <c r="D1" s="320"/>
      <c r="E1" s="320"/>
      <c r="F1" s="320"/>
      <c r="G1" s="320"/>
      <c r="H1" s="320"/>
      <c r="I1" s="159" t="s">
        <v>1088</v>
      </c>
      <c r="J1" s="41"/>
      <c r="K1" s="41"/>
      <c r="L1" s="41"/>
      <c r="M1" s="41"/>
      <c r="N1" s="41"/>
    </row>
    <row r="2" spans="1:14" ht="17.100000000000001" customHeight="1" x14ac:dyDescent="0.2">
      <c r="A2" s="321" t="s">
        <v>757</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c r="J3" s="41"/>
      <c r="K3" s="41"/>
      <c r="L3" s="41"/>
      <c r="M3" s="41"/>
      <c r="N3" s="41"/>
    </row>
    <row r="4" spans="1:14" s="113" customFormat="1" ht="30" x14ac:dyDescent="0.2">
      <c r="A4" s="114" t="s">
        <v>2</v>
      </c>
      <c r="B4" s="114" t="s">
        <v>3</v>
      </c>
      <c r="C4" s="114" t="s">
        <v>4</v>
      </c>
      <c r="D4" s="114" t="s">
        <v>5</v>
      </c>
      <c r="E4" s="114" t="s">
        <v>6</v>
      </c>
      <c r="F4" s="114" t="s">
        <v>7</v>
      </c>
      <c r="G4" s="114" t="s">
        <v>8</v>
      </c>
      <c r="H4" s="101" t="s">
        <v>972</v>
      </c>
      <c r="J4" s="160"/>
      <c r="K4" s="160"/>
      <c r="L4" s="160"/>
      <c r="M4" s="160"/>
      <c r="N4" s="160"/>
    </row>
    <row r="5" spans="1:14" ht="14.1" customHeight="1" x14ac:dyDescent="0.2">
      <c r="A5" s="1"/>
      <c r="B5" s="1"/>
      <c r="C5" s="2" t="s">
        <v>9</v>
      </c>
      <c r="D5" s="1"/>
      <c r="E5" s="1"/>
      <c r="F5" s="1"/>
      <c r="G5" s="1"/>
      <c r="H5" s="51"/>
      <c r="J5" s="41"/>
      <c r="K5" s="41"/>
      <c r="L5" s="41"/>
      <c r="M5" s="41"/>
      <c r="N5" s="41"/>
    </row>
    <row r="6" spans="1:14" ht="24" customHeight="1" x14ac:dyDescent="0.2">
      <c r="A6" s="1"/>
      <c r="B6" s="1"/>
      <c r="C6" s="2" t="s">
        <v>10</v>
      </c>
      <c r="D6" s="1"/>
      <c r="E6" s="1"/>
      <c r="F6" s="1"/>
      <c r="G6" s="1"/>
      <c r="H6" s="51"/>
      <c r="J6" s="41"/>
      <c r="K6" s="41"/>
      <c r="L6" s="41"/>
      <c r="M6" s="41"/>
      <c r="N6" s="41"/>
    </row>
    <row r="7" spans="1:14" ht="17.100000000000001" customHeight="1" x14ac:dyDescent="0.2">
      <c r="A7" s="3">
        <v>1</v>
      </c>
      <c r="B7" s="4" t="s">
        <v>20</v>
      </c>
      <c r="C7" s="4" t="s">
        <v>21</v>
      </c>
      <c r="D7" s="4" t="s">
        <v>22</v>
      </c>
      <c r="E7" s="5">
        <v>474000</v>
      </c>
      <c r="F7" s="6">
        <v>11270.535</v>
      </c>
      <c r="G7" s="7">
        <v>6.5083318000000001E-2</v>
      </c>
      <c r="H7" s="51"/>
      <c r="J7" s="41"/>
      <c r="K7" s="41"/>
      <c r="L7" s="41"/>
      <c r="M7" s="41"/>
      <c r="N7" s="41"/>
    </row>
    <row r="8" spans="1:14" ht="17.100000000000001" customHeight="1" x14ac:dyDescent="0.2">
      <c r="A8" s="3">
        <v>2</v>
      </c>
      <c r="B8" s="4" t="s">
        <v>14</v>
      </c>
      <c r="C8" s="4" t="s">
        <v>15</v>
      </c>
      <c r="D8" s="4" t="s">
        <v>16</v>
      </c>
      <c r="E8" s="5">
        <v>1103000</v>
      </c>
      <c r="F8" s="6">
        <v>9507.86</v>
      </c>
      <c r="G8" s="7">
        <v>5.4904499000000002E-2</v>
      </c>
      <c r="H8" s="51"/>
      <c r="J8" s="41"/>
      <c r="K8" s="41"/>
      <c r="L8" s="41"/>
      <c r="M8" s="41"/>
      <c r="N8" s="41"/>
    </row>
    <row r="9" spans="1:14" ht="29.1" customHeight="1" x14ac:dyDescent="0.2">
      <c r="A9" s="3">
        <v>3</v>
      </c>
      <c r="B9" s="4" t="s">
        <v>298</v>
      </c>
      <c r="C9" s="4" t="s">
        <v>299</v>
      </c>
      <c r="D9" s="4" t="s">
        <v>97</v>
      </c>
      <c r="E9" s="5">
        <v>296000</v>
      </c>
      <c r="F9" s="6">
        <v>6771.74</v>
      </c>
      <c r="G9" s="7">
        <v>3.9104382E-2</v>
      </c>
      <c r="H9" s="51"/>
      <c r="J9" s="41"/>
      <c r="K9" s="41"/>
      <c r="L9" s="41"/>
      <c r="M9" s="41"/>
      <c r="N9" s="41"/>
    </row>
    <row r="10" spans="1:14" ht="17.100000000000001" customHeight="1" x14ac:dyDescent="0.2">
      <c r="A10" s="3">
        <v>4</v>
      </c>
      <c r="B10" s="4" t="s">
        <v>269</v>
      </c>
      <c r="C10" s="4" t="s">
        <v>270</v>
      </c>
      <c r="D10" s="4" t="s">
        <v>16</v>
      </c>
      <c r="E10" s="5">
        <v>466000</v>
      </c>
      <c r="F10" s="6">
        <v>6623.491</v>
      </c>
      <c r="G10" s="7">
        <v>3.8248297000000001E-2</v>
      </c>
      <c r="H10" s="51"/>
      <c r="J10" s="41"/>
      <c r="K10" s="41"/>
      <c r="L10" s="41"/>
      <c r="M10" s="41"/>
      <c r="N10" s="41"/>
    </row>
    <row r="11" spans="1:14" ht="17.100000000000001" customHeight="1" x14ac:dyDescent="0.2">
      <c r="A11" s="3">
        <v>5</v>
      </c>
      <c r="B11" s="4" t="s">
        <v>41</v>
      </c>
      <c r="C11" s="4" t="s">
        <v>42</v>
      </c>
      <c r="D11" s="4" t="s">
        <v>16</v>
      </c>
      <c r="E11" s="5">
        <v>1049000</v>
      </c>
      <c r="F11" s="6">
        <v>5565.9939999999997</v>
      </c>
      <c r="G11" s="7">
        <v>3.2141628999999998E-2</v>
      </c>
      <c r="H11" s="51"/>
      <c r="J11" s="41"/>
      <c r="K11" s="41"/>
      <c r="L11" s="41"/>
      <c r="M11" s="41"/>
      <c r="N11" s="41"/>
    </row>
    <row r="12" spans="1:14" ht="17.100000000000001" customHeight="1" x14ac:dyDescent="0.2">
      <c r="A12" s="3">
        <v>6</v>
      </c>
      <c r="B12" s="4" t="s">
        <v>296</v>
      </c>
      <c r="C12" s="4" t="s">
        <v>297</v>
      </c>
      <c r="D12" s="4" t="s">
        <v>223</v>
      </c>
      <c r="E12" s="5">
        <v>366000</v>
      </c>
      <c r="F12" s="6">
        <v>5173.2269999999999</v>
      </c>
      <c r="G12" s="7">
        <v>2.9873540000000001E-2</v>
      </c>
      <c r="H12" s="51"/>
      <c r="J12" s="41"/>
      <c r="K12" s="41"/>
      <c r="L12" s="41"/>
      <c r="M12" s="41"/>
      <c r="N12" s="41"/>
    </row>
    <row r="13" spans="1:14" ht="17.100000000000001" customHeight="1" x14ac:dyDescent="0.2">
      <c r="A13" s="3">
        <v>7</v>
      </c>
      <c r="B13" s="4" t="s">
        <v>67</v>
      </c>
      <c r="C13" s="4" t="s">
        <v>68</v>
      </c>
      <c r="D13" s="4" t="s">
        <v>69</v>
      </c>
      <c r="E13" s="5">
        <v>52000</v>
      </c>
      <c r="F13" s="6">
        <v>4590.6379999999999</v>
      </c>
      <c r="G13" s="7">
        <v>2.6509296000000002E-2</v>
      </c>
      <c r="H13" s="51"/>
      <c r="J13" s="157" t="s">
        <v>1107</v>
      </c>
      <c r="K13" s="41"/>
      <c r="L13" s="41"/>
      <c r="M13" s="41"/>
      <c r="N13" s="41"/>
    </row>
    <row r="14" spans="1:14" ht="17.100000000000001" customHeight="1" x14ac:dyDescent="0.2">
      <c r="A14" s="3">
        <v>8</v>
      </c>
      <c r="B14" s="4" t="s">
        <v>195</v>
      </c>
      <c r="C14" s="4" t="s">
        <v>196</v>
      </c>
      <c r="D14" s="4" t="s">
        <v>16</v>
      </c>
      <c r="E14" s="5">
        <v>532000</v>
      </c>
      <c r="F14" s="6">
        <v>3900.6239999999998</v>
      </c>
      <c r="G14" s="7">
        <v>2.2524711999999999E-2</v>
      </c>
      <c r="H14" s="51"/>
      <c r="J14" s="41"/>
      <c r="K14" s="41"/>
      <c r="L14" s="41"/>
      <c r="M14" s="41"/>
      <c r="N14" s="41"/>
    </row>
    <row r="15" spans="1:14" ht="53.1" customHeight="1" x14ac:dyDescent="0.2">
      <c r="A15" s="3">
        <v>9</v>
      </c>
      <c r="B15" s="4" t="s">
        <v>43</v>
      </c>
      <c r="C15" s="4" t="s">
        <v>44</v>
      </c>
      <c r="D15" s="4" t="s">
        <v>45</v>
      </c>
      <c r="E15" s="5">
        <v>2362000</v>
      </c>
      <c r="F15" s="6">
        <v>3605.5929999999998</v>
      </c>
      <c r="G15" s="7">
        <v>2.0821012999999999E-2</v>
      </c>
      <c r="H15" s="51"/>
      <c r="J15" s="41"/>
      <c r="K15" s="41"/>
      <c r="L15" s="41"/>
      <c r="M15" s="41"/>
      <c r="N15" s="41"/>
    </row>
    <row r="16" spans="1:14" ht="17.100000000000001" customHeight="1" x14ac:dyDescent="0.2">
      <c r="A16" s="3">
        <v>10</v>
      </c>
      <c r="B16" s="4" t="s">
        <v>84</v>
      </c>
      <c r="C16" s="4" t="s">
        <v>85</v>
      </c>
      <c r="D16" s="4" t="s">
        <v>36</v>
      </c>
      <c r="E16" s="5">
        <v>1499779</v>
      </c>
      <c r="F16" s="6">
        <v>3522.9808710000002</v>
      </c>
      <c r="G16" s="7">
        <v>2.0343956999999999E-2</v>
      </c>
      <c r="H16" s="51"/>
      <c r="J16" s="41"/>
      <c r="K16" s="41"/>
      <c r="L16" s="41"/>
      <c r="M16" s="41"/>
      <c r="N16" s="41"/>
    </row>
    <row r="17" spans="1:14" ht="17.100000000000001" customHeight="1" x14ac:dyDescent="0.2">
      <c r="A17" s="3">
        <v>11</v>
      </c>
      <c r="B17" s="4" t="s">
        <v>306</v>
      </c>
      <c r="C17" s="4" t="s">
        <v>307</v>
      </c>
      <c r="D17" s="4" t="s">
        <v>223</v>
      </c>
      <c r="E17" s="5">
        <v>101000</v>
      </c>
      <c r="F17" s="6">
        <v>3034.5954999999999</v>
      </c>
      <c r="G17" s="7">
        <v>1.7523706E-2</v>
      </c>
      <c r="H17" s="51"/>
      <c r="J17" s="41"/>
      <c r="K17" s="41"/>
      <c r="L17" s="41"/>
      <c r="M17" s="41"/>
      <c r="N17" s="41"/>
    </row>
    <row r="18" spans="1:14" ht="17.100000000000001" customHeight="1" x14ac:dyDescent="0.2">
      <c r="A18" s="3">
        <v>12</v>
      </c>
      <c r="B18" s="4" t="s">
        <v>11</v>
      </c>
      <c r="C18" s="4" t="s">
        <v>12</v>
      </c>
      <c r="D18" s="4" t="s">
        <v>13</v>
      </c>
      <c r="E18" s="5">
        <v>162000</v>
      </c>
      <c r="F18" s="6">
        <v>2993.2739999999999</v>
      </c>
      <c r="G18" s="7">
        <v>1.7285089E-2</v>
      </c>
      <c r="H18" s="51"/>
      <c r="J18" s="41"/>
      <c r="K18" s="41"/>
      <c r="L18" s="41"/>
      <c r="M18" s="41"/>
      <c r="N18" s="41"/>
    </row>
    <row r="19" spans="1:14" ht="17.100000000000001" customHeight="1" x14ac:dyDescent="0.2">
      <c r="A19" s="3">
        <v>13</v>
      </c>
      <c r="B19" s="4" t="s">
        <v>391</v>
      </c>
      <c r="C19" s="4" t="s">
        <v>392</v>
      </c>
      <c r="D19" s="4" t="s">
        <v>97</v>
      </c>
      <c r="E19" s="5">
        <v>604000</v>
      </c>
      <c r="F19" s="6">
        <v>2897.9920000000002</v>
      </c>
      <c r="G19" s="7">
        <v>1.6734869999999999E-2</v>
      </c>
      <c r="H19" s="51"/>
      <c r="J19" s="41"/>
      <c r="K19" s="41"/>
      <c r="L19" s="41"/>
      <c r="M19" s="41"/>
      <c r="N19" s="41"/>
    </row>
    <row r="20" spans="1:14" ht="29.1" customHeight="1" x14ac:dyDescent="0.2">
      <c r="A20" s="3">
        <v>14</v>
      </c>
      <c r="B20" s="4" t="s">
        <v>23</v>
      </c>
      <c r="C20" s="4" t="s">
        <v>24</v>
      </c>
      <c r="D20" s="4" t="s">
        <v>25</v>
      </c>
      <c r="E20" s="5">
        <v>45000</v>
      </c>
      <c r="F20" s="6">
        <v>2814.7950000000001</v>
      </c>
      <c r="G20" s="7">
        <v>1.6254437E-2</v>
      </c>
      <c r="H20" s="51"/>
      <c r="J20" s="41"/>
      <c r="K20" s="41"/>
      <c r="L20" s="41"/>
      <c r="M20" s="41"/>
      <c r="N20" s="41"/>
    </row>
    <row r="21" spans="1:14" ht="17.100000000000001" customHeight="1" x14ac:dyDescent="0.2">
      <c r="A21" s="3">
        <v>15</v>
      </c>
      <c r="B21" s="4" t="s">
        <v>338</v>
      </c>
      <c r="C21" s="4" t="s">
        <v>339</v>
      </c>
      <c r="D21" s="4" t="s">
        <v>16</v>
      </c>
      <c r="E21" s="5">
        <v>202000</v>
      </c>
      <c r="F21" s="6">
        <v>2394.1039999999998</v>
      </c>
      <c r="G21" s="7">
        <v>1.3825096E-2</v>
      </c>
      <c r="H21" s="51"/>
      <c r="J21" s="157" t="s">
        <v>1121</v>
      </c>
      <c r="K21" s="41"/>
      <c r="L21" s="41"/>
      <c r="M21" s="41"/>
      <c r="N21" s="41"/>
    </row>
    <row r="22" spans="1:14" ht="17.100000000000001" customHeight="1" x14ac:dyDescent="0.2">
      <c r="A22" s="3">
        <v>16</v>
      </c>
      <c r="B22" s="4" t="s">
        <v>321</v>
      </c>
      <c r="C22" s="4" t="s">
        <v>322</v>
      </c>
      <c r="D22" s="4" t="s">
        <v>310</v>
      </c>
      <c r="E22" s="5">
        <v>710000</v>
      </c>
      <c r="F22" s="6">
        <v>2358.62</v>
      </c>
      <c r="G22" s="7">
        <v>1.3620189E-2</v>
      </c>
      <c r="H22" s="51"/>
      <c r="J22" s="41"/>
      <c r="K22" s="41"/>
      <c r="L22" s="41"/>
      <c r="M22" s="41"/>
      <c r="N22" s="41"/>
    </row>
    <row r="23" spans="1:14" ht="17.100000000000001" customHeight="1" x14ac:dyDescent="0.2">
      <c r="A23" s="3">
        <v>17</v>
      </c>
      <c r="B23" s="4" t="s">
        <v>510</v>
      </c>
      <c r="C23" s="4" t="s">
        <v>511</v>
      </c>
      <c r="D23" s="4" t="s">
        <v>315</v>
      </c>
      <c r="E23" s="5">
        <v>50000</v>
      </c>
      <c r="F23" s="6">
        <v>1985.05</v>
      </c>
      <c r="G23" s="7">
        <v>1.1462955E-2</v>
      </c>
      <c r="H23" s="51"/>
      <c r="J23" s="41"/>
      <c r="K23" s="41"/>
      <c r="L23" s="41"/>
      <c r="M23" s="41"/>
      <c r="N23" s="41"/>
    </row>
    <row r="24" spans="1:14" ht="29.1" customHeight="1" x14ac:dyDescent="0.2">
      <c r="A24" s="3">
        <v>18</v>
      </c>
      <c r="B24" s="4" t="s">
        <v>304</v>
      </c>
      <c r="C24" s="4" t="s">
        <v>305</v>
      </c>
      <c r="D24" s="4" t="s">
        <v>203</v>
      </c>
      <c r="E24" s="5">
        <v>197398</v>
      </c>
      <c r="F24" s="6">
        <v>1872.616127</v>
      </c>
      <c r="G24" s="7">
        <v>1.0813690000000001E-2</v>
      </c>
      <c r="H24" s="51"/>
      <c r="J24" s="41"/>
      <c r="K24" s="41"/>
      <c r="L24" s="41"/>
      <c r="M24" s="41"/>
      <c r="N24" s="41"/>
    </row>
    <row r="25" spans="1:14" ht="17.100000000000001" customHeight="1" x14ac:dyDescent="0.2">
      <c r="A25" s="3">
        <v>19</v>
      </c>
      <c r="B25" s="4" t="s">
        <v>238</v>
      </c>
      <c r="C25" s="4" t="s">
        <v>239</v>
      </c>
      <c r="D25" s="4" t="s">
        <v>104</v>
      </c>
      <c r="E25" s="5">
        <v>201000</v>
      </c>
      <c r="F25" s="6">
        <v>1821.9645</v>
      </c>
      <c r="G25" s="7">
        <v>1.0521195000000001E-2</v>
      </c>
      <c r="H25" s="51"/>
      <c r="J25" s="41"/>
      <c r="K25" s="41"/>
      <c r="L25" s="41"/>
      <c r="M25" s="41"/>
      <c r="N25" s="41"/>
    </row>
    <row r="26" spans="1:14" ht="17.100000000000001" customHeight="1" x14ac:dyDescent="0.2">
      <c r="A26" s="3">
        <v>20</v>
      </c>
      <c r="B26" s="4" t="s">
        <v>525</v>
      </c>
      <c r="C26" s="4" t="s">
        <v>526</v>
      </c>
      <c r="D26" s="4" t="s">
        <v>104</v>
      </c>
      <c r="E26" s="5">
        <v>107009</v>
      </c>
      <c r="F26" s="6">
        <v>1805.4558480000001</v>
      </c>
      <c r="G26" s="7">
        <v>1.0425863E-2</v>
      </c>
      <c r="H26" s="51"/>
      <c r="J26" s="41"/>
      <c r="K26" s="41"/>
      <c r="L26" s="41"/>
      <c r="M26" s="41"/>
      <c r="N26" s="41"/>
    </row>
    <row r="27" spans="1:14" ht="17.100000000000001" customHeight="1" x14ac:dyDescent="0.2">
      <c r="A27" s="3">
        <v>21</v>
      </c>
      <c r="B27" s="4" t="s">
        <v>359</v>
      </c>
      <c r="C27" s="4" t="s">
        <v>360</v>
      </c>
      <c r="D27" s="4" t="s">
        <v>69</v>
      </c>
      <c r="E27" s="5">
        <v>426000</v>
      </c>
      <c r="F27" s="6">
        <v>1723.596</v>
      </c>
      <c r="G27" s="7">
        <v>9.9531519999999998E-3</v>
      </c>
      <c r="H27" s="51"/>
      <c r="J27" s="41"/>
      <c r="K27" s="41"/>
      <c r="L27" s="41"/>
      <c r="M27" s="41"/>
      <c r="N27" s="41"/>
    </row>
    <row r="28" spans="1:14" ht="29.1" customHeight="1" x14ac:dyDescent="0.2">
      <c r="A28" s="3">
        <v>22</v>
      </c>
      <c r="B28" s="4" t="s">
        <v>95</v>
      </c>
      <c r="C28" s="4" t="s">
        <v>96</v>
      </c>
      <c r="D28" s="4" t="s">
        <v>97</v>
      </c>
      <c r="E28" s="5">
        <v>233000</v>
      </c>
      <c r="F28" s="6">
        <v>1706.0260000000001</v>
      </c>
      <c r="G28" s="7">
        <v>9.8516909999999992E-3</v>
      </c>
      <c r="H28" s="51"/>
      <c r="J28" s="41"/>
      <c r="K28" s="41"/>
      <c r="L28" s="41"/>
      <c r="M28" s="41"/>
      <c r="N28" s="41"/>
    </row>
    <row r="29" spans="1:14" ht="17.100000000000001" customHeight="1" x14ac:dyDescent="0.2">
      <c r="A29" s="3">
        <v>23</v>
      </c>
      <c r="B29" s="4" t="s">
        <v>606</v>
      </c>
      <c r="C29" s="4" t="s">
        <v>607</v>
      </c>
      <c r="D29" s="4" t="s">
        <v>181</v>
      </c>
      <c r="E29" s="5">
        <v>194000</v>
      </c>
      <c r="F29" s="6">
        <v>1634.0619999999999</v>
      </c>
      <c r="G29" s="7">
        <v>9.4361250000000001E-3</v>
      </c>
      <c r="H29" s="51"/>
    </row>
    <row r="30" spans="1:14" ht="17.100000000000001" customHeight="1" x14ac:dyDescent="0.2">
      <c r="A30" s="3">
        <v>24</v>
      </c>
      <c r="B30" s="4" t="s">
        <v>308</v>
      </c>
      <c r="C30" s="4" t="s">
        <v>309</v>
      </c>
      <c r="D30" s="4" t="s">
        <v>310</v>
      </c>
      <c r="E30" s="5">
        <v>60000</v>
      </c>
      <c r="F30" s="6">
        <v>1617.87</v>
      </c>
      <c r="G30" s="7">
        <v>9.3426220000000001E-3</v>
      </c>
      <c r="H30" s="51"/>
    </row>
    <row r="31" spans="1:14" ht="17.100000000000001" customHeight="1" x14ac:dyDescent="0.2">
      <c r="A31" s="3">
        <v>25</v>
      </c>
      <c r="B31" s="4" t="s">
        <v>347</v>
      </c>
      <c r="C31" s="4" t="s">
        <v>348</v>
      </c>
      <c r="D31" s="4" t="s">
        <v>16</v>
      </c>
      <c r="E31" s="5">
        <v>667000</v>
      </c>
      <c r="F31" s="6">
        <v>1525.7625</v>
      </c>
      <c r="G31" s="7">
        <v>8.8107340000000006E-3</v>
      </c>
      <c r="H31" s="51"/>
    </row>
    <row r="32" spans="1:14" ht="17.100000000000001" customHeight="1" x14ac:dyDescent="0.2">
      <c r="A32" s="3">
        <v>26</v>
      </c>
      <c r="B32" s="4" t="s">
        <v>17</v>
      </c>
      <c r="C32" s="4" t="s">
        <v>18</v>
      </c>
      <c r="D32" s="4" t="s">
        <v>19</v>
      </c>
      <c r="E32" s="5">
        <v>170000</v>
      </c>
      <c r="F32" s="6">
        <v>1359.83</v>
      </c>
      <c r="G32" s="7">
        <v>7.8525330000000001E-3</v>
      </c>
      <c r="H32" s="51"/>
    </row>
    <row r="33" spans="1:8" ht="17.100000000000001" customHeight="1" x14ac:dyDescent="0.2">
      <c r="A33" s="3">
        <v>27</v>
      </c>
      <c r="B33" s="4" t="s">
        <v>233</v>
      </c>
      <c r="C33" s="4" t="s">
        <v>234</v>
      </c>
      <c r="D33" s="4" t="s">
        <v>235</v>
      </c>
      <c r="E33" s="5">
        <v>166000</v>
      </c>
      <c r="F33" s="6">
        <v>1265.9159999999999</v>
      </c>
      <c r="G33" s="7">
        <v>7.3102130000000003E-3</v>
      </c>
      <c r="H33" s="51"/>
    </row>
    <row r="34" spans="1:8" ht="17.100000000000001" customHeight="1" x14ac:dyDescent="0.2">
      <c r="A34" s="3">
        <v>28</v>
      </c>
      <c r="B34" s="4" t="s">
        <v>123</v>
      </c>
      <c r="C34" s="4" t="s">
        <v>124</v>
      </c>
      <c r="D34" s="4" t="s">
        <v>104</v>
      </c>
      <c r="E34" s="5">
        <v>46153</v>
      </c>
      <c r="F34" s="6">
        <v>1090.918461</v>
      </c>
      <c r="G34" s="7">
        <v>6.2996650000000003E-3</v>
      </c>
      <c r="H34" s="51"/>
    </row>
    <row r="35" spans="1:8" ht="17.100000000000001" customHeight="1" x14ac:dyDescent="0.2">
      <c r="A35" s="3">
        <v>29</v>
      </c>
      <c r="B35" s="4" t="s">
        <v>559</v>
      </c>
      <c r="C35" s="4" t="s">
        <v>560</v>
      </c>
      <c r="D35" s="4" t="s">
        <v>104</v>
      </c>
      <c r="E35" s="5">
        <v>31000</v>
      </c>
      <c r="F35" s="6">
        <v>1036.1595</v>
      </c>
      <c r="G35" s="7">
        <v>5.9834509999999999E-3</v>
      </c>
      <c r="H35" s="51"/>
    </row>
    <row r="36" spans="1:8" ht="17.100000000000001" customHeight="1" x14ac:dyDescent="0.2">
      <c r="A36" s="3">
        <v>30</v>
      </c>
      <c r="B36" s="4" t="s">
        <v>26</v>
      </c>
      <c r="C36" s="4" t="s">
        <v>27</v>
      </c>
      <c r="D36" s="4" t="s">
        <v>28</v>
      </c>
      <c r="E36" s="5">
        <v>630000</v>
      </c>
      <c r="F36" s="6">
        <v>1005.795</v>
      </c>
      <c r="G36" s="7">
        <v>5.8081069999999999E-3</v>
      </c>
      <c r="H36" s="51"/>
    </row>
    <row r="37" spans="1:8" ht="29.1" customHeight="1" x14ac:dyDescent="0.2">
      <c r="A37" s="3">
        <v>31</v>
      </c>
      <c r="B37" s="4" t="s">
        <v>185</v>
      </c>
      <c r="C37" s="4" t="s">
        <v>186</v>
      </c>
      <c r="D37" s="4" t="s">
        <v>104</v>
      </c>
      <c r="E37" s="5">
        <v>244000</v>
      </c>
      <c r="F37" s="6">
        <v>1005.0359999999999</v>
      </c>
      <c r="G37" s="7">
        <v>5.8037239999999997E-3</v>
      </c>
      <c r="H37" s="51"/>
    </row>
    <row r="38" spans="1:8" ht="17.100000000000001" customHeight="1" x14ac:dyDescent="0.2">
      <c r="A38" s="3">
        <v>32</v>
      </c>
      <c r="B38" s="4" t="s">
        <v>682</v>
      </c>
      <c r="C38" s="4" t="s">
        <v>683</v>
      </c>
      <c r="D38" s="4" t="s">
        <v>51</v>
      </c>
      <c r="E38" s="5">
        <v>52000</v>
      </c>
      <c r="F38" s="6">
        <v>964.75599999999997</v>
      </c>
      <c r="G38" s="7">
        <v>5.5711220000000004E-3</v>
      </c>
      <c r="H38" s="51"/>
    </row>
    <row r="39" spans="1:8" ht="17.100000000000001" customHeight="1" x14ac:dyDescent="0.2">
      <c r="A39" s="3">
        <v>33</v>
      </c>
      <c r="B39" s="4" t="s">
        <v>107</v>
      </c>
      <c r="C39" s="4" t="s">
        <v>108</v>
      </c>
      <c r="D39" s="4" t="s">
        <v>92</v>
      </c>
      <c r="E39" s="5">
        <v>101000</v>
      </c>
      <c r="F39" s="6">
        <v>926.97799999999995</v>
      </c>
      <c r="G39" s="7">
        <v>5.3529670000000001E-3</v>
      </c>
      <c r="H39" s="51"/>
    </row>
    <row r="40" spans="1:8" ht="17.100000000000001" customHeight="1" x14ac:dyDescent="0.2">
      <c r="A40" s="3">
        <v>34</v>
      </c>
      <c r="B40" s="4" t="s">
        <v>199</v>
      </c>
      <c r="C40" s="4" t="s">
        <v>200</v>
      </c>
      <c r="D40" s="4" t="s">
        <v>16</v>
      </c>
      <c r="E40" s="5">
        <v>670000</v>
      </c>
      <c r="F40" s="6">
        <v>887.08</v>
      </c>
      <c r="G40" s="7">
        <v>5.1225699999999999E-3</v>
      </c>
      <c r="H40" s="51"/>
    </row>
    <row r="41" spans="1:8" ht="17.100000000000001" customHeight="1" x14ac:dyDescent="0.2">
      <c r="A41" s="3">
        <v>35</v>
      </c>
      <c r="B41" s="4" t="s">
        <v>349</v>
      </c>
      <c r="C41" s="4" t="s">
        <v>350</v>
      </c>
      <c r="D41" s="4" t="s">
        <v>97</v>
      </c>
      <c r="E41" s="5">
        <v>12000</v>
      </c>
      <c r="F41" s="6">
        <v>880.29</v>
      </c>
      <c r="G41" s="7">
        <v>5.0833609999999998E-3</v>
      </c>
      <c r="H41" s="51"/>
    </row>
    <row r="42" spans="1:8" ht="17.100000000000001" customHeight="1" x14ac:dyDescent="0.2">
      <c r="A42" s="3">
        <v>36</v>
      </c>
      <c r="B42" s="4" t="s">
        <v>246</v>
      </c>
      <c r="C42" s="4" t="s">
        <v>247</v>
      </c>
      <c r="D42" s="4" t="s">
        <v>248</v>
      </c>
      <c r="E42" s="5">
        <v>140000</v>
      </c>
      <c r="F42" s="6">
        <v>871.78</v>
      </c>
      <c r="G42" s="7">
        <v>5.034218E-3</v>
      </c>
      <c r="H42" s="51"/>
    </row>
    <row r="43" spans="1:8" ht="17.100000000000001" customHeight="1" x14ac:dyDescent="0.2">
      <c r="A43" s="3">
        <v>37</v>
      </c>
      <c r="B43" s="4" t="s">
        <v>39</v>
      </c>
      <c r="C43" s="4" t="s">
        <v>40</v>
      </c>
      <c r="D43" s="4" t="s">
        <v>31</v>
      </c>
      <c r="E43" s="5">
        <v>34000</v>
      </c>
      <c r="F43" s="6">
        <v>870.65499999999997</v>
      </c>
      <c r="G43" s="7">
        <v>5.0277220000000001E-3</v>
      </c>
      <c r="H43" s="51"/>
    </row>
    <row r="44" spans="1:8" ht="29.1" customHeight="1" x14ac:dyDescent="0.2">
      <c r="A44" s="3">
        <v>38</v>
      </c>
      <c r="B44" s="4" t="s">
        <v>610</v>
      </c>
      <c r="C44" s="4" t="s">
        <v>611</v>
      </c>
      <c r="D44" s="4" t="s">
        <v>235</v>
      </c>
      <c r="E44" s="5">
        <v>75000</v>
      </c>
      <c r="F44" s="6">
        <v>863.36249999999995</v>
      </c>
      <c r="G44" s="7">
        <v>4.9856099999999997E-3</v>
      </c>
      <c r="H44" s="51"/>
    </row>
    <row r="45" spans="1:8" ht="17.100000000000001" customHeight="1" x14ac:dyDescent="0.2">
      <c r="A45" s="3">
        <v>39</v>
      </c>
      <c r="B45" s="4" t="s">
        <v>61</v>
      </c>
      <c r="C45" s="4" t="s">
        <v>62</v>
      </c>
      <c r="D45" s="4" t="s">
        <v>28</v>
      </c>
      <c r="E45" s="5">
        <v>400000</v>
      </c>
      <c r="F45" s="6">
        <v>848.8</v>
      </c>
      <c r="G45" s="7">
        <v>4.9015170000000002E-3</v>
      </c>
      <c r="H45" s="51"/>
    </row>
    <row r="46" spans="1:8" ht="53.1" customHeight="1" x14ac:dyDescent="0.2">
      <c r="A46" s="3">
        <v>40</v>
      </c>
      <c r="B46" s="4" t="s">
        <v>93</v>
      </c>
      <c r="C46" s="4" t="s">
        <v>94</v>
      </c>
      <c r="D46" s="4" t="s">
        <v>45</v>
      </c>
      <c r="E46" s="5">
        <v>57086</v>
      </c>
      <c r="F46" s="6">
        <v>846.47120800000005</v>
      </c>
      <c r="G46" s="7">
        <v>4.8880690000000001E-3</v>
      </c>
      <c r="H46" s="51"/>
    </row>
    <row r="47" spans="1:8" ht="17.100000000000001" customHeight="1" x14ac:dyDescent="0.2">
      <c r="A47" s="3">
        <v>41</v>
      </c>
      <c r="B47" s="4" t="s">
        <v>261</v>
      </c>
      <c r="C47" s="4" t="s">
        <v>262</v>
      </c>
      <c r="D47" s="4" t="s">
        <v>97</v>
      </c>
      <c r="E47" s="5">
        <v>50000</v>
      </c>
      <c r="F47" s="6">
        <v>839.17499999999995</v>
      </c>
      <c r="G47" s="7">
        <v>4.8459360000000003E-3</v>
      </c>
      <c r="H47" s="51"/>
    </row>
    <row r="48" spans="1:8" ht="17.100000000000001" customHeight="1" x14ac:dyDescent="0.2">
      <c r="A48" s="3">
        <v>42</v>
      </c>
      <c r="B48" s="4" t="s">
        <v>355</v>
      </c>
      <c r="C48" s="4" t="s">
        <v>356</v>
      </c>
      <c r="D48" s="4" t="s">
        <v>189</v>
      </c>
      <c r="E48" s="5">
        <v>19000</v>
      </c>
      <c r="F48" s="6">
        <v>833.44449999999995</v>
      </c>
      <c r="G48" s="7">
        <v>4.8128449999999996E-3</v>
      </c>
      <c r="H48" s="51"/>
    </row>
    <row r="49" spans="1:8" ht="17.100000000000001" customHeight="1" x14ac:dyDescent="0.2">
      <c r="A49" s="3">
        <v>43</v>
      </c>
      <c r="B49" s="4" t="s">
        <v>357</v>
      </c>
      <c r="C49" s="4" t="s">
        <v>358</v>
      </c>
      <c r="D49" s="4" t="s">
        <v>51</v>
      </c>
      <c r="E49" s="5">
        <v>42000</v>
      </c>
      <c r="F49" s="6">
        <v>775.90800000000002</v>
      </c>
      <c r="G49" s="7">
        <v>4.4805920000000003E-3</v>
      </c>
      <c r="H49" s="51"/>
    </row>
    <row r="50" spans="1:8" ht="17.100000000000001" customHeight="1" x14ac:dyDescent="0.2">
      <c r="A50" s="3">
        <v>44</v>
      </c>
      <c r="B50" s="4" t="s">
        <v>109</v>
      </c>
      <c r="C50" s="4" t="s">
        <v>110</v>
      </c>
      <c r="D50" s="4" t="s">
        <v>72</v>
      </c>
      <c r="E50" s="5">
        <v>164372</v>
      </c>
      <c r="F50" s="6">
        <v>762.27515000000005</v>
      </c>
      <c r="G50" s="7">
        <v>4.4018670000000003E-3</v>
      </c>
      <c r="H50" s="51"/>
    </row>
    <row r="51" spans="1:8" ht="17.100000000000001" customHeight="1" x14ac:dyDescent="0.2">
      <c r="A51" s="3">
        <v>45</v>
      </c>
      <c r="B51" s="4" t="s">
        <v>265</v>
      </c>
      <c r="C51" s="4" t="s">
        <v>266</v>
      </c>
      <c r="D51" s="4" t="s">
        <v>208</v>
      </c>
      <c r="E51" s="5">
        <v>276298</v>
      </c>
      <c r="F51" s="6">
        <v>729.97931600000004</v>
      </c>
      <c r="G51" s="7">
        <v>4.2153700000000004E-3</v>
      </c>
      <c r="H51" s="51"/>
    </row>
    <row r="52" spans="1:8" ht="17.100000000000001" customHeight="1" x14ac:dyDescent="0.2">
      <c r="A52" s="3">
        <v>46</v>
      </c>
      <c r="B52" s="4" t="s">
        <v>190</v>
      </c>
      <c r="C52" s="4" t="s">
        <v>191</v>
      </c>
      <c r="D52" s="4" t="s">
        <v>192</v>
      </c>
      <c r="E52" s="5">
        <v>1300</v>
      </c>
      <c r="F52" s="6">
        <v>658.65994999999998</v>
      </c>
      <c r="G52" s="7">
        <v>3.8035260000000002E-3</v>
      </c>
      <c r="H52" s="51"/>
    </row>
    <row r="53" spans="1:8" ht="17.100000000000001" customHeight="1" x14ac:dyDescent="0.2">
      <c r="A53" s="3">
        <v>47</v>
      </c>
      <c r="B53" s="4" t="s">
        <v>374</v>
      </c>
      <c r="C53" s="4" t="s">
        <v>375</v>
      </c>
      <c r="D53" s="4" t="s">
        <v>104</v>
      </c>
      <c r="E53" s="5">
        <v>25000</v>
      </c>
      <c r="F53" s="6">
        <v>651.73749999999995</v>
      </c>
      <c r="G53" s="7">
        <v>3.763551E-3</v>
      </c>
      <c r="H53" s="51"/>
    </row>
    <row r="54" spans="1:8" ht="17.100000000000001" customHeight="1" x14ac:dyDescent="0.2">
      <c r="A54" s="3">
        <v>48</v>
      </c>
      <c r="B54" s="4" t="s">
        <v>49</v>
      </c>
      <c r="C54" s="4" t="s">
        <v>50</v>
      </c>
      <c r="D54" s="4" t="s">
        <v>51</v>
      </c>
      <c r="E54" s="5">
        <v>80000</v>
      </c>
      <c r="F54" s="6">
        <v>569.32000000000005</v>
      </c>
      <c r="G54" s="7">
        <v>3.2876200000000002E-3</v>
      </c>
      <c r="H54" s="51"/>
    </row>
    <row r="55" spans="1:8" ht="29.1" customHeight="1" x14ac:dyDescent="0.2">
      <c r="A55" s="3">
        <v>49</v>
      </c>
      <c r="B55" s="4" t="s">
        <v>193</v>
      </c>
      <c r="C55" s="4" t="s">
        <v>194</v>
      </c>
      <c r="D55" s="4" t="s">
        <v>184</v>
      </c>
      <c r="E55" s="5">
        <v>22000</v>
      </c>
      <c r="F55" s="6">
        <v>550.75900000000001</v>
      </c>
      <c r="G55" s="7">
        <v>3.1804369999999999E-3</v>
      </c>
      <c r="H55" s="51"/>
    </row>
    <row r="56" spans="1:8" ht="17.100000000000001" customHeight="1" x14ac:dyDescent="0.2">
      <c r="A56" s="3">
        <v>50</v>
      </c>
      <c r="B56" s="4" t="s">
        <v>547</v>
      </c>
      <c r="C56" s="4" t="s">
        <v>548</v>
      </c>
      <c r="D56" s="4" t="s">
        <v>104</v>
      </c>
      <c r="E56" s="5">
        <v>67978</v>
      </c>
      <c r="F56" s="6">
        <v>452.42757899999998</v>
      </c>
      <c r="G56" s="7">
        <v>2.6126080000000002E-3</v>
      </c>
      <c r="H56" s="51"/>
    </row>
    <row r="57" spans="1:8" ht="17.100000000000001" customHeight="1" x14ac:dyDescent="0.2">
      <c r="A57" s="3">
        <v>51</v>
      </c>
      <c r="B57" s="4" t="s">
        <v>543</v>
      </c>
      <c r="C57" s="4" t="s">
        <v>544</v>
      </c>
      <c r="D57" s="4" t="s">
        <v>315</v>
      </c>
      <c r="E57" s="5">
        <v>44425</v>
      </c>
      <c r="F57" s="6">
        <v>324.39134999999999</v>
      </c>
      <c r="G57" s="7">
        <v>1.873244E-3</v>
      </c>
      <c r="H57" s="51"/>
    </row>
    <row r="58" spans="1:8" ht="17.100000000000001" customHeight="1" x14ac:dyDescent="0.2">
      <c r="A58" s="3">
        <v>52</v>
      </c>
      <c r="B58" s="4" t="s">
        <v>522</v>
      </c>
      <c r="C58" s="4" t="s">
        <v>523</v>
      </c>
      <c r="D58" s="4" t="s">
        <v>104</v>
      </c>
      <c r="E58" s="5">
        <v>14610</v>
      </c>
      <c r="F58" s="6">
        <v>39.870690000000003</v>
      </c>
      <c r="G58" s="7">
        <v>2.30239E-4</v>
      </c>
      <c r="H58" s="51"/>
    </row>
    <row r="59" spans="1:8" ht="14.1" customHeight="1" x14ac:dyDescent="0.2">
      <c r="A59" s="1"/>
      <c r="B59" s="1"/>
      <c r="C59" s="2" t="s">
        <v>129</v>
      </c>
      <c r="D59" s="1"/>
      <c r="E59" s="1" t="s">
        <v>130</v>
      </c>
      <c r="F59" s="9">
        <v>114630.24205</v>
      </c>
      <c r="G59" s="10">
        <v>0.66194874100000001</v>
      </c>
      <c r="H59" s="51"/>
    </row>
    <row r="60" spans="1:8" ht="14.1" customHeight="1" x14ac:dyDescent="0.2">
      <c r="A60" s="1"/>
      <c r="B60" s="1"/>
      <c r="C60" s="11"/>
      <c r="D60" s="1"/>
      <c r="E60" s="1"/>
      <c r="F60" s="12"/>
      <c r="G60" s="12"/>
      <c r="H60" s="51"/>
    </row>
    <row r="61" spans="1:8" ht="14.1" customHeight="1" x14ac:dyDescent="0.2">
      <c r="A61" s="1"/>
      <c r="B61" s="1"/>
      <c r="C61" s="2" t="s">
        <v>131</v>
      </c>
      <c r="D61" s="1"/>
      <c r="E61" s="1"/>
      <c r="F61" s="1"/>
      <c r="G61" s="1"/>
      <c r="H61" s="51"/>
    </row>
    <row r="62" spans="1:8" ht="14.1" customHeight="1" x14ac:dyDescent="0.2">
      <c r="A62" s="1"/>
      <c r="B62" s="1"/>
      <c r="C62" s="2" t="s">
        <v>129</v>
      </c>
      <c r="D62" s="1"/>
      <c r="E62" s="1" t="s">
        <v>130</v>
      </c>
      <c r="F62" s="13">
        <v>0</v>
      </c>
      <c r="G62" s="14">
        <v>0</v>
      </c>
      <c r="H62" s="51"/>
    </row>
    <row r="63" spans="1:8" ht="14.1" customHeight="1" x14ac:dyDescent="0.2">
      <c r="A63" s="1"/>
      <c r="B63" s="1"/>
      <c r="C63" s="11"/>
      <c r="D63" s="1"/>
      <c r="E63" s="1"/>
      <c r="F63" s="12"/>
      <c r="G63" s="12"/>
      <c r="H63" s="51"/>
    </row>
    <row r="64" spans="1:8" ht="14.1" customHeight="1" x14ac:dyDescent="0.2">
      <c r="A64" s="1"/>
      <c r="B64" s="1"/>
      <c r="C64" s="2" t="s">
        <v>132</v>
      </c>
      <c r="D64" s="1"/>
      <c r="E64" s="1"/>
      <c r="F64" s="1"/>
      <c r="G64" s="1"/>
      <c r="H64" s="51"/>
    </row>
    <row r="65" spans="1:8" ht="14.1" customHeight="1" x14ac:dyDescent="0.2">
      <c r="A65" s="1"/>
      <c r="B65" s="1"/>
      <c r="C65" s="2" t="s">
        <v>129</v>
      </c>
      <c r="D65" s="1"/>
      <c r="E65" s="1" t="s">
        <v>130</v>
      </c>
      <c r="F65" s="13">
        <v>0</v>
      </c>
      <c r="G65" s="14">
        <v>0</v>
      </c>
      <c r="H65" s="51"/>
    </row>
    <row r="66" spans="1:8" ht="14.1" customHeight="1" x14ac:dyDescent="0.2">
      <c r="A66" s="1"/>
      <c r="B66" s="1"/>
      <c r="C66" s="11"/>
      <c r="D66" s="1"/>
      <c r="E66" s="1"/>
      <c r="F66" s="12"/>
      <c r="G66" s="12"/>
      <c r="H66" s="51"/>
    </row>
    <row r="67" spans="1:8" ht="14.1" customHeight="1" x14ac:dyDescent="0.2">
      <c r="A67" s="1"/>
      <c r="B67" s="1"/>
      <c r="C67" s="2" t="s">
        <v>133</v>
      </c>
      <c r="D67" s="1"/>
      <c r="E67" s="1"/>
      <c r="F67" s="1"/>
      <c r="G67" s="1"/>
      <c r="H67" s="51"/>
    </row>
    <row r="68" spans="1:8" ht="14.1" customHeight="1" x14ac:dyDescent="0.2">
      <c r="A68" s="1"/>
      <c r="B68" s="1"/>
      <c r="C68" s="2" t="s">
        <v>129</v>
      </c>
      <c r="D68" s="1"/>
      <c r="E68" s="1" t="s">
        <v>130</v>
      </c>
      <c r="F68" s="13">
        <v>0</v>
      </c>
      <c r="G68" s="14">
        <v>0</v>
      </c>
      <c r="H68" s="51"/>
    </row>
    <row r="69" spans="1:8" ht="14.1" customHeight="1" x14ac:dyDescent="0.2">
      <c r="A69" s="1"/>
      <c r="B69" s="1"/>
      <c r="C69" s="11"/>
      <c r="D69" s="1"/>
      <c r="E69" s="1"/>
      <c r="F69" s="12"/>
      <c r="G69" s="12"/>
      <c r="H69" s="51"/>
    </row>
    <row r="70" spans="1:8" ht="14.1" customHeight="1" x14ac:dyDescent="0.2">
      <c r="A70" s="1"/>
      <c r="B70" s="1"/>
      <c r="C70" s="2" t="s">
        <v>134</v>
      </c>
      <c r="D70" s="1"/>
      <c r="E70" s="1"/>
      <c r="F70" s="12"/>
      <c r="G70" s="12"/>
      <c r="H70" s="51"/>
    </row>
    <row r="71" spans="1:8" ht="14.1" customHeight="1" x14ac:dyDescent="0.2">
      <c r="A71" s="1"/>
      <c r="B71" s="1"/>
      <c r="C71" s="2" t="s">
        <v>129</v>
      </c>
      <c r="D71" s="1"/>
      <c r="E71" s="1" t="s">
        <v>130</v>
      </c>
      <c r="F71" s="13">
        <v>0</v>
      </c>
      <c r="G71" s="14">
        <v>0</v>
      </c>
      <c r="H71" s="51"/>
    </row>
    <row r="72" spans="1:8" ht="14.1" customHeight="1" x14ac:dyDescent="0.2">
      <c r="A72" s="1"/>
      <c r="B72" s="1"/>
      <c r="C72" s="11"/>
      <c r="D72" s="1"/>
      <c r="E72" s="1"/>
      <c r="F72" s="12"/>
      <c r="G72" s="12"/>
      <c r="H72" s="51"/>
    </row>
    <row r="73" spans="1:8" ht="14.1" customHeight="1" x14ac:dyDescent="0.2">
      <c r="A73" s="1"/>
      <c r="B73" s="1"/>
      <c r="C73" s="2" t="s">
        <v>135</v>
      </c>
      <c r="D73" s="1"/>
      <c r="E73" s="1"/>
      <c r="F73" s="12"/>
      <c r="G73" s="12"/>
      <c r="H73" s="51"/>
    </row>
    <row r="74" spans="1:8" ht="14.1" customHeight="1" x14ac:dyDescent="0.2">
      <c r="A74" s="1"/>
      <c r="B74" s="1"/>
      <c r="C74" s="2" t="s">
        <v>129</v>
      </c>
      <c r="D74" s="1"/>
      <c r="E74" s="1" t="s">
        <v>130</v>
      </c>
      <c r="F74" s="13">
        <v>0</v>
      </c>
      <c r="G74" s="14">
        <v>0</v>
      </c>
      <c r="H74" s="51"/>
    </row>
    <row r="75" spans="1:8" ht="14.1" customHeight="1" x14ac:dyDescent="0.2">
      <c r="A75" s="1"/>
      <c r="B75" s="1"/>
      <c r="C75" s="11"/>
      <c r="D75" s="1"/>
      <c r="E75" s="1"/>
      <c r="F75" s="12"/>
      <c r="G75" s="12"/>
      <c r="H75" s="51"/>
    </row>
    <row r="76" spans="1:8" ht="18" customHeight="1" x14ac:dyDescent="0.2">
      <c r="A76" s="1"/>
      <c r="B76" s="1"/>
      <c r="C76" s="2" t="s">
        <v>136</v>
      </c>
      <c r="D76" s="1"/>
      <c r="E76" s="1"/>
      <c r="F76" s="9">
        <v>114630.24205</v>
      </c>
      <c r="G76" s="10">
        <v>0.66194874100000001</v>
      </c>
      <c r="H76" s="51"/>
    </row>
    <row r="77" spans="1:8" ht="14.1" customHeight="1" x14ac:dyDescent="0.2">
      <c r="A77" s="1"/>
      <c r="B77" s="1"/>
      <c r="C77" s="11"/>
      <c r="D77" s="1"/>
      <c r="E77" s="1"/>
      <c r="F77" s="12"/>
      <c r="G77" s="12"/>
      <c r="H77" s="51"/>
    </row>
    <row r="78" spans="1:8" ht="14.1" customHeight="1" x14ac:dyDescent="0.2">
      <c r="A78" s="1"/>
      <c r="B78" s="1"/>
      <c r="C78" s="2" t="s">
        <v>137</v>
      </c>
      <c r="D78" s="1"/>
      <c r="E78" s="1"/>
      <c r="F78" s="12"/>
      <c r="G78" s="12"/>
      <c r="H78" s="51"/>
    </row>
    <row r="79" spans="1:8" ht="24" customHeight="1" x14ac:dyDescent="0.2">
      <c r="A79" s="1"/>
      <c r="B79" s="1"/>
      <c r="C79" s="2" t="s">
        <v>10</v>
      </c>
      <c r="D79" s="1"/>
      <c r="E79" s="1"/>
      <c r="F79" s="12"/>
      <c r="G79" s="12"/>
      <c r="H79" s="51"/>
    </row>
    <row r="80" spans="1:8" ht="14.1" customHeight="1" x14ac:dyDescent="0.2">
      <c r="A80" s="1"/>
      <c r="B80" s="1"/>
      <c r="C80" s="2" t="s">
        <v>129</v>
      </c>
      <c r="D80" s="1"/>
      <c r="E80" s="1" t="s">
        <v>130</v>
      </c>
      <c r="F80" s="13">
        <v>0</v>
      </c>
      <c r="G80" s="14">
        <v>0</v>
      </c>
      <c r="H80" s="51"/>
    </row>
    <row r="81" spans="1:9" ht="14.1" customHeight="1" x14ac:dyDescent="0.2">
      <c r="A81" s="1"/>
      <c r="B81" s="1"/>
      <c r="C81" s="11"/>
      <c r="D81" s="1"/>
      <c r="E81" s="1"/>
      <c r="F81" s="12"/>
      <c r="G81" s="12"/>
      <c r="H81" s="51"/>
    </row>
    <row r="82" spans="1:9" ht="14.1" customHeight="1" x14ac:dyDescent="0.2">
      <c r="A82" s="1"/>
      <c r="B82" s="1"/>
      <c r="C82" s="2" t="s">
        <v>138</v>
      </c>
      <c r="D82" s="1"/>
      <c r="E82" s="1"/>
      <c r="F82" s="1"/>
      <c r="G82" s="1"/>
      <c r="H82" s="51"/>
    </row>
    <row r="83" spans="1:9" ht="14.1" customHeight="1" x14ac:dyDescent="0.2">
      <c r="A83" s="1"/>
      <c r="B83" s="1"/>
      <c r="C83" s="2" t="s">
        <v>129</v>
      </c>
      <c r="D83" s="1"/>
      <c r="E83" s="1" t="s">
        <v>130</v>
      </c>
      <c r="F83" s="13">
        <v>0</v>
      </c>
      <c r="G83" s="14">
        <v>0</v>
      </c>
      <c r="H83" s="51"/>
    </row>
    <row r="84" spans="1:9" ht="14.1" customHeight="1" x14ac:dyDescent="0.2">
      <c r="A84" s="1"/>
      <c r="B84" s="1"/>
      <c r="C84" s="11"/>
      <c r="D84" s="1"/>
      <c r="E84" s="1"/>
      <c r="F84" s="12"/>
      <c r="G84" s="12"/>
      <c r="H84" s="51"/>
    </row>
    <row r="85" spans="1:9" ht="14.1" customHeight="1" x14ac:dyDescent="0.2">
      <c r="A85" s="1"/>
      <c r="B85" s="1"/>
      <c r="C85" s="2" t="s">
        <v>139</v>
      </c>
      <c r="D85" s="1"/>
      <c r="E85" s="1"/>
      <c r="F85" s="1"/>
      <c r="G85" s="1"/>
      <c r="H85" s="51"/>
    </row>
    <row r="86" spans="1:9" ht="14.1" customHeight="1" x14ac:dyDescent="0.2">
      <c r="A86" s="1"/>
      <c r="B86" s="1"/>
      <c r="C86" s="2" t="s">
        <v>129</v>
      </c>
      <c r="D86" s="1"/>
      <c r="E86" s="1" t="s">
        <v>130</v>
      </c>
      <c r="F86" s="13">
        <v>0</v>
      </c>
      <c r="G86" s="14">
        <v>0</v>
      </c>
      <c r="H86" s="51"/>
    </row>
    <row r="87" spans="1:9" ht="14.1" customHeight="1" x14ac:dyDescent="0.2">
      <c r="A87" s="1"/>
      <c r="B87" s="1"/>
      <c r="C87" s="11"/>
      <c r="D87" s="1"/>
      <c r="E87" s="1"/>
      <c r="F87" s="12"/>
      <c r="G87" s="12"/>
      <c r="H87" s="51"/>
    </row>
    <row r="88" spans="1:9" ht="14.1" customHeight="1" x14ac:dyDescent="0.2">
      <c r="A88" s="1"/>
      <c r="B88" s="1"/>
      <c r="C88" s="2" t="s">
        <v>140</v>
      </c>
      <c r="D88" s="1"/>
      <c r="E88" s="1"/>
      <c r="F88" s="12"/>
      <c r="G88" s="12"/>
      <c r="H88" s="51"/>
      <c r="I88" s="161"/>
    </row>
    <row r="89" spans="1:9" ht="14.1" customHeight="1" x14ac:dyDescent="0.2">
      <c r="A89" s="1"/>
      <c r="B89" s="1"/>
      <c r="C89" s="2" t="s">
        <v>129</v>
      </c>
      <c r="D89" s="1"/>
      <c r="E89" s="1" t="s">
        <v>130</v>
      </c>
      <c r="F89" s="13">
        <v>0</v>
      </c>
      <c r="G89" s="14">
        <v>0</v>
      </c>
      <c r="H89" s="51"/>
    </row>
    <row r="90" spans="1:9" ht="14.1" customHeight="1" x14ac:dyDescent="0.2">
      <c r="A90" s="1"/>
      <c r="B90" s="1"/>
      <c r="C90" s="11"/>
      <c r="D90" s="1"/>
      <c r="E90" s="1"/>
      <c r="F90" s="12"/>
      <c r="G90" s="12"/>
      <c r="H90" s="51"/>
    </row>
    <row r="91" spans="1:9" ht="14.1" customHeight="1" x14ac:dyDescent="0.2">
      <c r="A91" s="1"/>
      <c r="B91" s="1"/>
      <c r="C91" s="2" t="s">
        <v>141</v>
      </c>
      <c r="D91" s="1"/>
      <c r="E91" s="1"/>
      <c r="F91" s="9">
        <v>0</v>
      </c>
      <c r="G91" s="10">
        <v>0</v>
      </c>
      <c r="H91" s="51"/>
      <c r="I91" s="161"/>
    </row>
    <row r="92" spans="1:9" ht="14.1" customHeight="1" x14ac:dyDescent="0.2">
      <c r="A92" s="1"/>
      <c r="B92" s="1"/>
      <c r="C92" s="11"/>
      <c r="D92" s="1"/>
      <c r="E92" s="1"/>
      <c r="F92" s="12"/>
      <c r="G92" s="12"/>
      <c r="H92" s="51"/>
    </row>
    <row r="93" spans="1:9" ht="14.1" customHeight="1" x14ac:dyDescent="0.2">
      <c r="A93" s="1"/>
      <c r="B93" s="1"/>
      <c r="C93" s="2" t="s">
        <v>142</v>
      </c>
      <c r="D93" s="1"/>
      <c r="E93" s="1"/>
      <c r="F93" s="12"/>
      <c r="G93" s="12"/>
      <c r="H93" s="51"/>
    </row>
    <row r="94" spans="1:9" ht="14.1" customHeight="1" x14ac:dyDescent="0.2">
      <c r="A94" s="1"/>
      <c r="B94" s="1"/>
      <c r="C94" s="2" t="s">
        <v>143</v>
      </c>
      <c r="D94" s="1"/>
      <c r="E94" s="1"/>
      <c r="F94" s="12"/>
      <c r="G94" s="12"/>
      <c r="H94" s="51"/>
    </row>
    <row r="95" spans="1:9" ht="14.1" customHeight="1" x14ac:dyDescent="0.2">
      <c r="A95" s="1"/>
      <c r="B95" s="1"/>
      <c r="C95" s="2" t="s">
        <v>129</v>
      </c>
      <c r="D95" s="1"/>
      <c r="E95" s="1" t="s">
        <v>130</v>
      </c>
      <c r="F95" s="13">
        <v>0</v>
      </c>
      <c r="G95" s="14">
        <v>0</v>
      </c>
      <c r="H95" s="51"/>
    </row>
    <row r="96" spans="1:9" ht="14.1" customHeight="1" x14ac:dyDescent="0.2">
      <c r="A96" s="1"/>
      <c r="B96" s="1"/>
      <c r="C96" s="11"/>
      <c r="D96" s="1"/>
      <c r="E96" s="1"/>
      <c r="F96" s="12"/>
      <c r="G96" s="12"/>
      <c r="H96" s="51"/>
    </row>
    <row r="97" spans="1:8" ht="14.1" customHeight="1" x14ac:dyDescent="0.2">
      <c r="A97" s="1"/>
      <c r="B97" s="1"/>
      <c r="C97" s="2" t="s">
        <v>144</v>
      </c>
      <c r="D97" s="1"/>
      <c r="E97" s="1"/>
      <c r="F97" s="12"/>
      <c r="G97" s="12"/>
      <c r="H97" s="51"/>
    </row>
    <row r="98" spans="1:8" ht="14.1" customHeight="1" x14ac:dyDescent="0.2">
      <c r="A98" s="1"/>
      <c r="B98" s="1"/>
      <c r="C98" s="2" t="s">
        <v>129</v>
      </c>
      <c r="D98" s="1"/>
      <c r="E98" s="1" t="s">
        <v>130</v>
      </c>
      <c r="F98" s="13">
        <v>0</v>
      </c>
      <c r="G98" s="14">
        <v>0</v>
      </c>
      <c r="H98" s="51"/>
    </row>
    <row r="99" spans="1:8" ht="14.1" customHeight="1" x14ac:dyDescent="0.2">
      <c r="A99" s="1"/>
      <c r="B99" s="1"/>
      <c r="C99" s="11"/>
      <c r="D99" s="1"/>
      <c r="E99" s="1"/>
      <c r="F99" s="12"/>
      <c r="G99" s="12"/>
      <c r="H99" s="51"/>
    </row>
    <row r="100" spans="1:8" ht="14.1" customHeight="1" x14ac:dyDescent="0.2">
      <c r="A100" s="1"/>
      <c r="B100" s="1"/>
      <c r="C100" s="2" t="s">
        <v>145</v>
      </c>
      <c r="D100" s="1"/>
      <c r="E100" s="1"/>
      <c r="F100" s="12"/>
      <c r="G100" s="12"/>
      <c r="H100" s="51"/>
    </row>
    <row r="101" spans="1:8" ht="14.1" customHeight="1" x14ac:dyDescent="0.2">
      <c r="A101" s="1"/>
      <c r="B101" s="1"/>
      <c r="C101" s="2" t="s">
        <v>129</v>
      </c>
      <c r="D101" s="1"/>
      <c r="E101" s="1" t="s">
        <v>130</v>
      </c>
      <c r="F101" s="13">
        <v>0</v>
      </c>
      <c r="G101" s="14">
        <v>0</v>
      </c>
      <c r="H101" s="51"/>
    </row>
    <row r="102" spans="1:8" ht="14.1" customHeight="1" x14ac:dyDescent="0.2">
      <c r="A102" s="1"/>
      <c r="B102" s="1"/>
      <c r="C102" s="11"/>
      <c r="D102" s="1"/>
      <c r="E102" s="1"/>
      <c r="F102" s="12"/>
      <c r="G102" s="12"/>
      <c r="H102" s="51"/>
    </row>
    <row r="103" spans="1:8" ht="14.1" customHeight="1" x14ac:dyDescent="0.2">
      <c r="A103" s="1"/>
      <c r="B103" s="1"/>
      <c r="C103" s="2" t="s">
        <v>146</v>
      </c>
      <c r="D103" s="1"/>
      <c r="E103" s="1"/>
      <c r="F103" s="12"/>
      <c r="G103" s="12"/>
      <c r="H103" s="51"/>
    </row>
    <row r="104" spans="1:8" ht="17.100000000000001" customHeight="1" x14ac:dyDescent="0.2">
      <c r="A104" s="3">
        <v>1</v>
      </c>
      <c r="B104" s="4"/>
      <c r="C104" s="4" t="s">
        <v>147</v>
      </c>
      <c r="D104" s="4"/>
      <c r="E104" s="8"/>
      <c r="F104" s="6">
        <v>68718.443903099993</v>
      </c>
      <c r="G104" s="7">
        <v>0.39682449199999997</v>
      </c>
      <c r="H104" s="51">
        <v>6.1245112103248278</v>
      </c>
    </row>
    <row r="105" spans="1:8" ht="14.1" customHeight="1" x14ac:dyDescent="0.2">
      <c r="A105" s="1"/>
      <c r="B105" s="1"/>
      <c r="C105" s="2" t="s">
        <v>129</v>
      </c>
      <c r="D105" s="1"/>
      <c r="E105" s="1" t="s">
        <v>130</v>
      </c>
      <c r="F105" s="9">
        <v>68718.443903099993</v>
      </c>
      <c r="G105" s="10">
        <v>0.39682449199999997</v>
      </c>
      <c r="H105" s="51"/>
    </row>
    <row r="106" spans="1:8" ht="14.1" customHeight="1" x14ac:dyDescent="0.2">
      <c r="A106" s="1"/>
      <c r="B106" s="1"/>
      <c r="C106" s="11"/>
      <c r="D106" s="1"/>
      <c r="E106" s="1"/>
      <c r="F106" s="12"/>
      <c r="G106" s="12"/>
      <c r="H106" s="51"/>
    </row>
    <row r="107" spans="1:8" ht="14.1" customHeight="1" x14ac:dyDescent="0.2">
      <c r="A107" s="1"/>
      <c r="B107" s="1"/>
      <c r="C107" s="2" t="s">
        <v>148</v>
      </c>
      <c r="D107" s="1"/>
      <c r="E107" s="1"/>
      <c r="F107" s="9">
        <v>68718.443903099993</v>
      </c>
      <c r="G107" s="10">
        <v>0.39682449199999997</v>
      </c>
      <c r="H107" s="51"/>
    </row>
    <row r="108" spans="1:8" ht="14.1" customHeight="1" x14ac:dyDescent="0.2">
      <c r="A108" s="1"/>
      <c r="B108" s="1"/>
      <c r="C108" s="12"/>
      <c r="D108" s="1"/>
      <c r="E108" s="1"/>
      <c r="F108" s="1"/>
      <c r="G108" s="1"/>
      <c r="H108" s="51"/>
    </row>
    <row r="109" spans="1:8" ht="14.1" customHeight="1" x14ac:dyDescent="0.2">
      <c r="A109" s="1"/>
      <c r="B109" s="1"/>
      <c r="C109" s="2" t="s">
        <v>149</v>
      </c>
      <c r="D109" s="1"/>
      <c r="E109" s="1"/>
      <c r="F109" s="1"/>
      <c r="G109" s="1"/>
      <c r="H109" s="51"/>
    </row>
    <row r="110" spans="1:8" ht="14.1" customHeight="1" x14ac:dyDescent="0.2">
      <c r="A110" s="1"/>
      <c r="B110" s="1"/>
      <c r="C110" s="2" t="s">
        <v>150</v>
      </c>
      <c r="D110" s="1"/>
      <c r="E110" s="1"/>
      <c r="F110" s="1"/>
      <c r="G110" s="1"/>
      <c r="H110" s="51"/>
    </row>
    <row r="111" spans="1:8" ht="14.1" customHeight="1" x14ac:dyDescent="0.2">
      <c r="A111" s="1"/>
      <c r="B111" s="1"/>
      <c r="C111" s="2" t="s">
        <v>129</v>
      </c>
      <c r="D111" s="1"/>
      <c r="E111" s="1" t="s">
        <v>130</v>
      </c>
      <c r="F111" s="13">
        <v>0</v>
      </c>
      <c r="G111" s="14">
        <v>0</v>
      </c>
      <c r="H111" s="51"/>
    </row>
    <row r="112" spans="1:8" ht="14.1" customHeight="1" x14ac:dyDescent="0.2">
      <c r="A112" s="1"/>
      <c r="B112" s="1"/>
      <c r="C112" s="11"/>
      <c r="D112" s="1"/>
      <c r="E112" s="1"/>
      <c r="F112" s="12"/>
      <c r="G112" s="12"/>
      <c r="H112" s="51"/>
    </row>
    <row r="113" spans="1:8" ht="14.1" customHeight="1" x14ac:dyDescent="0.2">
      <c r="A113" s="1"/>
      <c r="B113" s="1"/>
      <c r="C113" s="2" t="s">
        <v>151</v>
      </c>
      <c r="D113" s="1"/>
      <c r="E113" s="1"/>
      <c r="F113" s="1"/>
      <c r="G113" s="1"/>
      <c r="H113" s="51"/>
    </row>
    <row r="114" spans="1:8" ht="14.1" customHeight="1" x14ac:dyDescent="0.2">
      <c r="A114" s="1"/>
      <c r="B114" s="1"/>
      <c r="C114" s="2" t="s">
        <v>152</v>
      </c>
      <c r="D114" s="1"/>
      <c r="E114" s="1"/>
      <c r="F114" s="1"/>
      <c r="G114" s="1"/>
      <c r="H114" s="51"/>
    </row>
    <row r="115" spans="1:8" ht="14.1" customHeight="1" x14ac:dyDescent="0.2">
      <c r="A115" s="1"/>
      <c r="B115" s="1"/>
      <c r="C115" s="2" t="s">
        <v>129</v>
      </c>
      <c r="D115" s="1"/>
      <c r="E115" s="1" t="s">
        <v>130</v>
      </c>
      <c r="F115" s="13">
        <v>0</v>
      </c>
      <c r="G115" s="14">
        <v>0</v>
      </c>
      <c r="H115" s="51"/>
    </row>
    <row r="116" spans="1:8" ht="14.1" customHeight="1" x14ac:dyDescent="0.2">
      <c r="A116" s="1"/>
      <c r="B116" s="1"/>
      <c r="C116" s="11"/>
      <c r="D116" s="1"/>
      <c r="E116" s="1"/>
      <c r="F116" s="12"/>
      <c r="G116" s="12"/>
      <c r="H116" s="51"/>
    </row>
    <row r="117" spans="1:8" ht="14.1" customHeight="1" x14ac:dyDescent="0.2">
      <c r="A117" s="1"/>
      <c r="B117" s="1"/>
      <c r="C117" s="11"/>
      <c r="D117" s="1"/>
      <c r="E117" s="1"/>
      <c r="F117" s="12"/>
      <c r="G117" s="12"/>
      <c r="H117" s="51"/>
    </row>
    <row r="118" spans="1:8" ht="24" customHeight="1" x14ac:dyDescent="0.2">
      <c r="A118" s="1"/>
      <c r="B118" s="1"/>
      <c r="C118" s="2" t="s">
        <v>153</v>
      </c>
      <c r="D118" s="1"/>
      <c r="E118" s="1"/>
      <c r="F118" s="12"/>
      <c r="G118" s="12"/>
      <c r="H118" s="51"/>
    </row>
    <row r="119" spans="1:8" ht="14.1" customHeight="1" x14ac:dyDescent="0.2">
      <c r="A119" s="1"/>
      <c r="B119" s="1"/>
      <c r="C119" s="2" t="s">
        <v>129</v>
      </c>
      <c r="D119" s="1"/>
      <c r="E119" s="1" t="s">
        <v>130</v>
      </c>
      <c r="F119" s="13">
        <v>0</v>
      </c>
      <c r="G119" s="14">
        <v>0</v>
      </c>
      <c r="H119" s="51"/>
    </row>
    <row r="120" spans="1:8" ht="14.1" customHeight="1" x14ac:dyDescent="0.2">
      <c r="A120" s="1"/>
      <c r="B120" s="1"/>
      <c r="C120" s="11"/>
      <c r="D120" s="1"/>
      <c r="E120" s="1"/>
      <c r="F120" s="12"/>
      <c r="G120" s="12"/>
      <c r="H120" s="51"/>
    </row>
    <row r="121" spans="1:8" ht="14.1" customHeight="1" x14ac:dyDescent="0.2">
      <c r="A121" s="1"/>
      <c r="B121" s="4"/>
      <c r="C121" s="4"/>
      <c r="D121" s="2"/>
      <c r="E121" s="1"/>
      <c r="F121" s="4"/>
      <c r="G121" s="8"/>
      <c r="H121" s="51"/>
    </row>
    <row r="122" spans="1:8" ht="18" customHeight="1" x14ac:dyDescent="0.2">
      <c r="A122" s="8"/>
      <c r="B122" s="4"/>
      <c r="C122" s="4" t="s">
        <v>154</v>
      </c>
      <c r="D122" s="4"/>
      <c r="E122" s="8"/>
      <c r="F122" s="6">
        <v>-10177.81240259</v>
      </c>
      <c r="G122" s="7">
        <v>-5.8773235E-2</v>
      </c>
      <c r="H122" s="51"/>
    </row>
    <row r="123" spans="1:8" ht="14.1" customHeight="1" x14ac:dyDescent="0.2">
      <c r="A123" s="11"/>
      <c r="B123" s="11"/>
      <c r="C123" s="2" t="s">
        <v>155</v>
      </c>
      <c r="D123" s="15"/>
      <c r="E123" s="15"/>
      <c r="F123" s="9">
        <v>173170.87355050998</v>
      </c>
      <c r="G123" s="10">
        <v>0.99999999800000006</v>
      </c>
      <c r="H123" s="51"/>
    </row>
    <row r="124" spans="1:8" ht="14.1" customHeight="1" x14ac:dyDescent="0.2">
      <c r="A124" s="16"/>
      <c r="B124" s="16"/>
      <c r="C124" s="16"/>
      <c r="D124" s="17"/>
      <c r="E124" s="17"/>
      <c r="F124" s="17"/>
      <c r="G124" s="17"/>
    </row>
    <row r="125" spans="1:8" ht="14.1" customHeight="1" x14ac:dyDescent="0.2">
      <c r="A125" s="18"/>
      <c r="B125" s="327" t="s">
        <v>130</v>
      </c>
      <c r="C125" s="327"/>
      <c r="D125" s="327"/>
      <c r="E125" s="327"/>
      <c r="F125" s="327"/>
      <c r="G125" s="20"/>
    </row>
    <row r="126" spans="1:8" ht="14.1" customHeight="1" x14ac:dyDescent="0.2">
      <c r="A126" s="18"/>
      <c r="B126" s="327" t="s">
        <v>130</v>
      </c>
      <c r="C126" s="327"/>
      <c r="D126" s="327"/>
      <c r="E126" s="327"/>
      <c r="F126" s="327"/>
      <c r="G126" s="20"/>
    </row>
    <row r="127" spans="1:8" ht="14.1" customHeight="1" x14ac:dyDescent="0.2">
      <c r="A127" s="18"/>
      <c r="B127" s="18"/>
      <c r="C127" s="18"/>
      <c r="D127" s="20"/>
      <c r="E127" s="20"/>
      <c r="F127" s="20"/>
      <c r="G127" s="20"/>
    </row>
    <row r="128" spans="1:8" ht="14.1" customHeight="1" x14ac:dyDescent="0.2">
      <c r="A128" s="18"/>
      <c r="B128" s="325" t="s">
        <v>157</v>
      </c>
      <c r="C128" s="326"/>
      <c r="D128" s="12" t="s">
        <v>130</v>
      </c>
      <c r="E128" s="21"/>
      <c r="F128" s="20"/>
      <c r="G128" s="20"/>
    </row>
    <row r="129" spans="1:7" ht="29.1" customHeight="1" x14ac:dyDescent="0.2">
      <c r="A129" s="18"/>
      <c r="B129" s="318" t="s">
        <v>158</v>
      </c>
      <c r="C129" s="319"/>
      <c r="D129" s="2" t="s">
        <v>159</v>
      </c>
      <c r="E129" s="21"/>
      <c r="F129" s="20"/>
      <c r="G129" s="20"/>
    </row>
    <row r="130" spans="1:7" ht="17.100000000000001" customHeight="1" x14ac:dyDescent="0.2">
      <c r="A130" s="18"/>
      <c r="B130" s="318" t="s">
        <v>160</v>
      </c>
      <c r="C130" s="319"/>
      <c r="D130" s="2" t="s">
        <v>159</v>
      </c>
      <c r="E130" s="21"/>
      <c r="F130" s="20"/>
      <c r="G130" s="20"/>
    </row>
    <row r="131" spans="1:7" ht="17.100000000000001" customHeight="1" x14ac:dyDescent="0.2">
      <c r="A131" s="18"/>
      <c r="B131" s="318" t="s">
        <v>161</v>
      </c>
      <c r="C131" s="319"/>
      <c r="D131" s="12" t="s">
        <v>130</v>
      </c>
      <c r="E131" s="21"/>
      <c r="F131" s="20"/>
      <c r="G131" s="20"/>
    </row>
    <row r="132" spans="1:7" ht="26.25" customHeight="1" x14ac:dyDescent="0.2">
      <c r="A132" s="22"/>
      <c r="B132" s="23" t="s">
        <v>130</v>
      </c>
      <c r="C132" s="23" t="s">
        <v>162</v>
      </c>
      <c r="D132" s="23" t="s">
        <v>163</v>
      </c>
      <c r="E132" s="22"/>
      <c r="F132" s="22"/>
      <c r="G132" s="22"/>
    </row>
    <row r="133" spans="1:7" ht="18" customHeight="1" x14ac:dyDescent="0.2">
      <c r="A133" s="22"/>
      <c r="B133" s="23" t="s">
        <v>164</v>
      </c>
      <c r="C133" s="100">
        <v>44810</v>
      </c>
      <c r="D133" s="23" t="s">
        <v>166</v>
      </c>
      <c r="E133" s="22"/>
      <c r="F133" s="22"/>
      <c r="G133" s="22"/>
    </row>
    <row r="134" spans="1:7" ht="17.100000000000001" customHeight="1" x14ac:dyDescent="0.2">
      <c r="A134" s="22"/>
      <c r="B134" s="4" t="s">
        <v>167</v>
      </c>
      <c r="C134" s="24">
        <v>10</v>
      </c>
      <c r="D134" s="24">
        <v>9.7086000000000006</v>
      </c>
      <c r="E134" s="22"/>
      <c r="F134" s="19"/>
      <c r="G134" s="25"/>
    </row>
    <row r="135" spans="1:7" ht="17.100000000000001" customHeight="1" x14ac:dyDescent="0.2">
      <c r="A135" s="22"/>
      <c r="B135" s="4" t="s">
        <v>1067</v>
      </c>
      <c r="C135" s="24">
        <v>10</v>
      </c>
      <c r="D135" s="24">
        <v>9.7087000000000003</v>
      </c>
      <c r="E135" s="22"/>
      <c r="F135" s="19"/>
      <c r="G135" s="25"/>
    </row>
    <row r="136" spans="1:7" ht="17.100000000000001" customHeight="1" x14ac:dyDescent="0.2">
      <c r="A136" s="22"/>
      <c r="B136" s="4" t="s">
        <v>168</v>
      </c>
      <c r="C136" s="24">
        <v>10</v>
      </c>
      <c r="D136" s="24">
        <v>9.6965000000000003</v>
      </c>
      <c r="E136" s="22"/>
      <c r="F136" s="19"/>
      <c r="G136" s="25"/>
    </row>
    <row r="137" spans="1:7" ht="17.100000000000001" customHeight="1" x14ac:dyDescent="0.2">
      <c r="A137" s="22"/>
      <c r="B137" s="4" t="s">
        <v>1068</v>
      </c>
      <c r="C137" s="24">
        <v>10</v>
      </c>
      <c r="D137" s="24">
        <v>9.6965000000000003</v>
      </c>
      <c r="E137" s="22"/>
      <c r="F137" s="19"/>
      <c r="G137" s="25"/>
    </row>
    <row r="138" spans="1:7" ht="14.1" customHeight="1" x14ac:dyDescent="0.2">
      <c r="A138" s="22"/>
      <c r="B138" s="22"/>
      <c r="C138" s="22"/>
      <c r="D138" s="22"/>
      <c r="E138" s="22"/>
      <c r="F138" s="22"/>
      <c r="G138" s="22"/>
    </row>
    <row r="139" spans="1:7" ht="17.100000000000001" customHeight="1" x14ac:dyDescent="0.2">
      <c r="A139" s="22"/>
      <c r="B139" s="318" t="s">
        <v>1069</v>
      </c>
      <c r="C139" s="319"/>
      <c r="D139" s="2" t="s">
        <v>159</v>
      </c>
      <c r="E139" s="22"/>
      <c r="F139" s="22"/>
      <c r="G139" s="22"/>
    </row>
    <row r="140" spans="1:7" ht="18" customHeight="1" x14ac:dyDescent="0.2">
      <c r="A140" s="22"/>
      <c r="B140" s="26"/>
      <c r="C140" s="26"/>
      <c r="D140" s="27"/>
      <c r="E140" s="22"/>
      <c r="F140" s="22"/>
      <c r="G140" s="22"/>
    </row>
    <row r="141" spans="1:7" ht="29.1" customHeight="1" x14ac:dyDescent="0.2">
      <c r="A141" s="22"/>
      <c r="B141" s="318" t="s">
        <v>169</v>
      </c>
      <c r="C141" s="319"/>
      <c r="D141" s="2" t="s">
        <v>159</v>
      </c>
      <c r="E141" s="22"/>
      <c r="F141" s="22"/>
      <c r="G141" s="22"/>
    </row>
    <row r="142" spans="1:7" ht="29.1" customHeight="1" x14ac:dyDescent="0.2">
      <c r="A142" s="22"/>
      <c r="B142" s="318" t="s">
        <v>170</v>
      </c>
      <c r="C142" s="319"/>
      <c r="D142" s="2" t="s">
        <v>159</v>
      </c>
      <c r="E142" s="22"/>
      <c r="F142" s="22"/>
      <c r="G142" s="22"/>
    </row>
    <row r="143" spans="1:7" ht="17.100000000000001" customHeight="1" x14ac:dyDescent="0.2">
      <c r="A143" s="22"/>
      <c r="B143" s="318" t="s">
        <v>171</v>
      </c>
      <c r="C143" s="319"/>
      <c r="D143" s="28">
        <v>0.42817103540583223</v>
      </c>
      <c r="E143" s="22"/>
      <c r="F143" s="19"/>
      <c r="G143" s="25"/>
    </row>
    <row r="144" spans="1:7" ht="17.100000000000001" customHeight="1" x14ac:dyDescent="0.2">
      <c r="A144" s="22"/>
      <c r="B144" s="318" t="s">
        <v>172</v>
      </c>
      <c r="C144" s="319"/>
      <c r="D144" s="2" t="s">
        <v>159</v>
      </c>
      <c r="E144" s="22"/>
      <c r="F144" s="22"/>
      <c r="G144" s="22"/>
    </row>
    <row r="178" spans="15:15" x14ac:dyDescent="0.2">
      <c r="O178" s="41"/>
    </row>
    <row r="205" spans="9:9" x14ac:dyDescent="0.2">
      <c r="I205" s="41"/>
    </row>
    <row r="206" spans="9:9" x14ac:dyDescent="0.2">
      <c r="I206" s="41"/>
    </row>
    <row r="207" spans="9:9" x14ac:dyDescent="0.2">
      <c r="I207" s="41"/>
    </row>
    <row r="208" spans="9:9" x14ac:dyDescent="0.2">
      <c r="I208" s="41"/>
    </row>
    <row r="210" spans="9:9" x14ac:dyDescent="0.2">
      <c r="I210" s="161"/>
    </row>
    <row r="211" spans="9:9" x14ac:dyDescent="0.2">
      <c r="I211" s="41"/>
    </row>
    <row r="212" spans="9:9" x14ac:dyDescent="0.2">
      <c r="I212" s="41"/>
    </row>
    <row r="213" spans="9:9" x14ac:dyDescent="0.2">
      <c r="I213" s="41"/>
    </row>
    <row r="214" spans="9:9" x14ac:dyDescent="0.2">
      <c r="I214" s="41"/>
    </row>
    <row r="215" spans="9:9" ht="15" x14ac:dyDescent="0.2">
      <c r="I215" s="162"/>
    </row>
    <row r="216" spans="9:9" ht="15" x14ac:dyDescent="0.25">
      <c r="I216" s="163"/>
    </row>
    <row r="217" spans="9:9" x14ac:dyDescent="0.2">
      <c r="I217" s="41"/>
    </row>
  </sheetData>
  <mergeCells count="15">
    <mergeCell ref="A1:H1"/>
    <mergeCell ref="A2:H2"/>
    <mergeCell ref="A3:H3"/>
    <mergeCell ref="J2:N2"/>
    <mergeCell ref="B143:C143"/>
    <mergeCell ref="B128:C128"/>
    <mergeCell ref="B125:F125"/>
    <mergeCell ref="B126:F126"/>
    <mergeCell ref="B144:C144"/>
    <mergeCell ref="B129:C129"/>
    <mergeCell ref="B130:C130"/>
    <mergeCell ref="B131:C131"/>
    <mergeCell ref="B139:C139"/>
    <mergeCell ref="B141:C141"/>
    <mergeCell ref="B142:C142"/>
  </mergeCells>
  <hyperlinks>
    <hyperlink ref="I1" location="Index!B37" display="Index" xr:uid="{8EC14B38-8F4D-4DCA-A052-2741ACDC0A0A}"/>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outlinePr summaryBelow="0" summaryRight="0"/>
  </sheetPr>
  <dimension ref="A1:N119"/>
  <sheetViews>
    <sheetView showGridLines="0" topLeftCell="D1" workbookViewId="0">
      <selection activeCell="J12" sqref="J12"/>
    </sheetView>
  </sheetViews>
  <sheetFormatPr defaultRowHeight="12.75" x14ac:dyDescent="0.2"/>
  <cols>
    <col min="1" max="1" width="6.85546875" customWidth="1"/>
    <col min="2" max="2" width="20.5703125" customWidth="1"/>
    <col min="3" max="3" width="34.28515625" customWidth="1"/>
    <col min="4" max="4" width="17.85546875" customWidth="1"/>
    <col min="5" max="6" width="19.140625" customWidth="1"/>
    <col min="7" max="7" width="16.42578125" customWidth="1"/>
  </cols>
  <sheetData>
    <row r="1" spans="1:14" ht="18" customHeight="1" x14ac:dyDescent="0.2">
      <c r="A1" s="320" t="s">
        <v>0</v>
      </c>
      <c r="B1" s="320"/>
      <c r="C1" s="320"/>
      <c r="D1" s="320"/>
      <c r="E1" s="320"/>
      <c r="F1" s="320"/>
      <c r="G1" s="320"/>
      <c r="H1" s="320"/>
      <c r="I1" s="159" t="s">
        <v>1088</v>
      </c>
    </row>
    <row r="2" spans="1:14" ht="17.100000000000001" customHeight="1" x14ac:dyDescent="0.2">
      <c r="A2" s="321" t="s">
        <v>758</v>
      </c>
      <c r="B2" s="322"/>
      <c r="C2" s="322"/>
      <c r="D2" s="322"/>
      <c r="E2" s="322"/>
      <c r="F2" s="322"/>
      <c r="G2" s="322"/>
      <c r="H2" s="323"/>
      <c r="J2" s="324" t="s">
        <v>1089</v>
      </c>
      <c r="K2" s="324"/>
      <c r="L2" s="324"/>
      <c r="M2" s="324"/>
      <c r="N2" s="324"/>
    </row>
    <row r="3" spans="1:14" ht="21" customHeight="1" x14ac:dyDescent="0.2">
      <c r="A3" s="320" t="s">
        <v>986</v>
      </c>
      <c r="B3" s="320"/>
      <c r="C3" s="320"/>
      <c r="D3" s="320"/>
      <c r="E3" s="320"/>
      <c r="F3" s="320"/>
      <c r="G3" s="320"/>
      <c r="H3" s="320"/>
    </row>
    <row r="4" spans="1:14" s="113" customFormat="1" ht="30" x14ac:dyDescent="0.2">
      <c r="A4" s="114" t="s">
        <v>2</v>
      </c>
      <c r="B4" s="114" t="s">
        <v>3</v>
      </c>
      <c r="C4" s="114" t="s">
        <v>4</v>
      </c>
      <c r="D4" s="114" t="s">
        <v>5</v>
      </c>
      <c r="E4" s="114" t="s">
        <v>6</v>
      </c>
      <c r="F4" s="114" t="s">
        <v>7</v>
      </c>
      <c r="G4" s="114" t="s">
        <v>8</v>
      </c>
      <c r="H4" s="101" t="s">
        <v>972</v>
      </c>
    </row>
    <row r="5" spans="1:14" ht="14.1" customHeight="1" x14ac:dyDescent="0.2">
      <c r="A5" s="1"/>
      <c r="B5" s="1"/>
      <c r="C5" s="2" t="s">
        <v>9</v>
      </c>
      <c r="D5" s="1"/>
      <c r="E5" s="1"/>
      <c r="F5" s="1"/>
      <c r="G5" s="1"/>
      <c r="H5" s="51"/>
    </row>
    <row r="6" spans="1:14" ht="24" customHeight="1" x14ac:dyDescent="0.2">
      <c r="A6" s="1"/>
      <c r="B6" s="1"/>
      <c r="C6" s="2" t="s">
        <v>10</v>
      </c>
      <c r="D6" s="1"/>
      <c r="E6" s="1"/>
      <c r="F6" s="1"/>
      <c r="G6" s="1"/>
      <c r="H6" s="51"/>
    </row>
    <row r="7" spans="1:14" ht="17.100000000000001" customHeight="1" x14ac:dyDescent="0.2">
      <c r="A7" s="3">
        <v>1</v>
      </c>
      <c r="B7" s="4" t="s">
        <v>14</v>
      </c>
      <c r="C7" s="4" t="s">
        <v>15</v>
      </c>
      <c r="D7" s="4" t="s">
        <v>16</v>
      </c>
      <c r="E7" s="5">
        <v>1315747</v>
      </c>
      <c r="F7" s="6">
        <v>11341.73914</v>
      </c>
      <c r="G7" s="7">
        <v>0.19442883499999999</v>
      </c>
      <c r="H7" s="51"/>
    </row>
    <row r="8" spans="1:14" ht="17.100000000000001" customHeight="1" x14ac:dyDescent="0.2">
      <c r="A8" s="3">
        <v>2</v>
      </c>
      <c r="B8" s="4" t="s">
        <v>269</v>
      </c>
      <c r="C8" s="4" t="s">
        <v>270</v>
      </c>
      <c r="D8" s="4" t="s">
        <v>16</v>
      </c>
      <c r="E8" s="5">
        <v>753477</v>
      </c>
      <c r="F8" s="6">
        <v>10709.5453395</v>
      </c>
      <c r="G8" s="7">
        <v>0.183591281</v>
      </c>
      <c r="H8" s="51"/>
    </row>
    <row r="9" spans="1:14" ht="17.100000000000001" customHeight="1" x14ac:dyDescent="0.2">
      <c r="A9" s="3">
        <v>3</v>
      </c>
      <c r="B9" s="4" t="s">
        <v>41</v>
      </c>
      <c r="C9" s="4" t="s">
        <v>42</v>
      </c>
      <c r="D9" s="4" t="s">
        <v>16</v>
      </c>
      <c r="E9" s="5">
        <v>1064198</v>
      </c>
      <c r="F9" s="6">
        <v>5646.6345879999999</v>
      </c>
      <c r="G9" s="7">
        <v>9.6798963000000002E-2</v>
      </c>
      <c r="H9" s="51"/>
    </row>
    <row r="10" spans="1:14" ht="17.100000000000001" customHeight="1" x14ac:dyDescent="0.2">
      <c r="A10" s="3">
        <v>4</v>
      </c>
      <c r="B10" s="4" t="s">
        <v>195</v>
      </c>
      <c r="C10" s="4" t="s">
        <v>196</v>
      </c>
      <c r="D10" s="4" t="s">
        <v>16</v>
      </c>
      <c r="E10" s="5">
        <v>687183</v>
      </c>
      <c r="F10" s="6">
        <v>5038.4257559999996</v>
      </c>
      <c r="G10" s="7">
        <v>8.6372578000000005E-2</v>
      </c>
      <c r="H10" s="51"/>
    </row>
    <row r="11" spans="1:14" ht="29.1" customHeight="1" x14ac:dyDescent="0.2">
      <c r="A11" s="3">
        <v>5</v>
      </c>
      <c r="B11" s="4" t="s">
        <v>298</v>
      </c>
      <c r="C11" s="4" t="s">
        <v>299</v>
      </c>
      <c r="D11" s="4" t="s">
        <v>97</v>
      </c>
      <c r="E11" s="5">
        <v>153814</v>
      </c>
      <c r="F11" s="6">
        <v>3518.8797850000001</v>
      </c>
      <c r="G11" s="7">
        <v>6.0323349999999998E-2</v>
      </c>
      <c r="H11" s="51"/>
    </row>
    <row r="12" spans="1:14" ht="17.100000000000001" customHeight="1" x14ac:dyDescent="0.2">
      <c r="A12" s="3">
        <v>6</v>
      </c>
      <c r="B12" s="4" t="s">
        <v>347</v>
      </c>
      <c r="C12" s="4" t="s">
        <v>348</v>
      </c>
      <c r="D12" s="4" t="s">
        <v>16</v>
      </c>
      <c r="E12" s="5">
        <v>862471</v>
      </c>
      <c r="F12" s="6">
        <v>1972.9024125000001</v>
      </c>
      <c r="G12" s="7">
        <v>3.3821014000000003E-2</v>
      </c>
      <c r="H12" s="51"/>
      <c r="J12" s="157" t="s">
        <v>1118</v>
      </c>
    </row>
    <row r="13" spans="1:14" ht="17.100000000000001" customHeight="1" x14ac:dyDescent="0.2">
      <c r="A13" s="3">
        <v>7</v>
      </c>
      <c r="B13" s="4" t="s">
        <v>300</v>
      </c>
      <c r="C13" s="4" t="s">
        <v>301</v>
      </c>
      <c r="D13" s="4" t="s">
        <v>235</v>
      </c>
      <c r="E13" s="5">
        <v>115413</v>
      </c>
      <c r="F13" s="6">
        <v>1443.1818585000001</v>
      </c>
      <c r="G13" s="7">
        <v>2.4740135999999999E-2</v>
      </c>
      <c r="H13" s="51"/>
    </row>
    <row r="14" spans="1:14" ht="17.100000000000001" customHeight="1" x14ac:dyDescent="0.2">
      <c r="A14" s="3">
        <v>8</v>
      </c>
      <c r="B14" s="4" t="s">
        <v>199</v>
      </c>
      <c r="C14" s="4" t="s">
        <v>200</v>
      </c>
      <c r="D14" s="4" t="s">
        <v>16</v>
      </c>
      <c r="E14" s="5">
        <v>1015342</v>
      </c>
      <c r="F14" s="6">
        <v>1344.3128079999999</v>
      </c>
      <c r="G14" s="7">
        <v>2.3045245999999998E-2</v>
      </c>
      <c r="H14" s="51"/>
    </row>
    <row r="15" spans="1:14" ht="17.100000000000001" customHeight="1" x14ac:dyDescent="0.2">
      <c r="A15" s="3">
        <v>9</v>
      </c>
      <c r="B15" s="4" t="s">
        <v>285</v>
      </c>
      <c r="C15" s="4" t="s">
        <v>286</v>
      </c>
      <c r="D15" s="4" t="s">
        <v>97</v>
      </c>
      <c r="E15" s="5">
        <v>76093</v>
      </c>
      <c r="F15" s="6">
        <v>1330.2958725000001</v>
      </c>
      <c r="G15" s="7">
        <v>2.2804957000000001E-2</v>
      </c>
      <c r="H15" s="51"/>
    </row>
    <row r="16" spans="1:14" ht="29.1" customHeight="1" x14ac:dyDescent="0.2">
      <c r="A16" s="3">
        <v>10</v>
      </c>
      <c r="B16" s="4" t="s">
        <v>95</v>
      </c>
      <c r="C16" s="4" t="s">
        <v>96</v>
      </c>
      <c r="D16" s="4" t="s">
        <v>97</v>
      </c>
      <c r="E16" s="5">
        <v>175507</v>
      </c>
      <c r="F16" s="6">
        <v>1285.0622539999999</v>
      </c>
      <c r="G16" s="7">
        <v>2.2029528E-2</v>
      </c>
      <c r="H16" s="51"/>
    </row>
    <row r="17" spans="1:8" ht="17.100000000000001" customHeight="1" x14ac:dyDescent="0.2">
      <c r="A17" s="3">
        <v>11</v>
      </c>
      <c r="B17" s="4" t="s">
        <v>338</v>
      </c>
      <c r="C17" s="4" t="s">
        <v>339</v>
      </c>
      <c r="D17" s="4" t="s">
        <v>16</v>
      </c>
      <c r="E17" s="5">
        <v>101554</v>
      </c>
      <c r="F17" s="6">
        <v>1203.6180079999999</v>
      </c>
      <c r="G17" s="7">
        <v>2.0633347999999999E-2</v>
      </c>
      <c r="H17" s="51"/>
    </row>
    <row r="18" spans="1:8" ht="17.100000000000001" customHeight="1" x14ac:dyDescent="0.2">
      <c r="A18" s="3">
        <v>12</v>
      </c>
      <c r="B18" s="4" t="s">
        <v>313</v>
      </c>
      <c r="C18" s="4" t="s">
        <v>314</v>
      </c>
      <c r="D18" s="4" t="s">
        <v>315</v>
      </c>
      <c r="E18" s="5">
        <v>80558</v>
      </c>
      <c r="F18" s="6">
        <v>1097.1999599999999</v>
      </c>
      <c r="G18" s="7">
        <v>1.8809046999999999E-2</v>
      </c>
      <c r="H18" s="51"/>
    </row>
    <row r="19" spans="1:8" ht="17.100000000000001" customHeight="1" x14ac:dyDescent="0.2">
      <c r="A19" s="3">
        <v>13</v>
      </c>
      <c r="B19" s="4" t="s">
        <v>393</v>
      </c>
      <c r="C19" s="4" t="s">
        <v>394</v>
      </c>
      <c r="D19" s="4" t="s">
        <v>97</v>
      </c>
      <c r="E19" s="5">
        <v>116497</v>
      </c>
      <c r="F19" s="6">
        <v>1017.6595435</v>
      </c>
      <c r="G19" s="7">
        <v>1.7445504000000001E-2</v>
      </c>
      <c r="H19" s="51"/>
    </row>
    <row r="20" spans="1:8" ht="17.100000000000001" customHeight="1" x14ac:dyDescent="0.2">
      <c r="A20" s="3">
        <v>14</v>
      </c>
      <c r="B20" s="4" t="s">
        <v>454</v>
      </c>
      <c r="C20" s="4" t="s">
        <v>455</v>
      </c>
      <c r="D20" s="4" t="s">
        <v>16</v>
      </c>
      <c r="E20" s="5">
        <v>424848</v>
      </c>
      <c r="F20" s="6">
        <v>945.92407200000002</v>
      </c>
      <c r="G20" s="7">
        <v>1.6215759999999999E-2</v>
      </c>
      <c r="H20" s="51"/>
    </row>
    <row r="21" spans="1:8" ht="17.100000000000001" customHeight="1" x14ac:dyDescent="0.2">
      <c r="A21" s="3">
        <v>15</v>
      </c>
      <c r="B21" s="4" t="s">
        <v>204</v>
      </c>
      <c r="C21" s="4" t="s">
        <v>205</v>
      </c>
      <c r="D21" s="4" t="s">
        <v>16</v>
      </c>
      <c r="E21" s="5">
        <v>122192</v>
      </c>
      <c r="F21" s="6">
        <v>756.61286399999995</v>
      </c>
      <c r="G21" s="7">
        <v>1.2970440999999999E-2</v>
      </c>
      <c r="H21" s="51"/>
    </row>
    <row r="22" spans="1:8" ht="17.100000000000001" customHeight="1" x14ac:dyDescent="0.2">
      <c r="A22" s="3">
        <v>16</v>
      </c>
      <c r="B22" s="4" t="s">
        <v>612</v>
      </c>
      <c r="C22" s="4" t="s">
        <v>613</v>
      </c>
      <c r="D22" s="4" t="s">
        <v>235</v>
      </c>
      <c r="E22" s="5">
        <v>139505</v>
      </c>
      <c r="F22" s="6">
        <v>740.00427249999996</v>
      </c>
      <c r="G22" s="7">
        <v>1.2685724000000001E-2</v>
      </c>
      <c r="H22" s="51"/>
    </row>
    <row r="23" spans="1:8" ht="17.100000000000001" customHeight="1" x14ac:dyDescent="0.2">
      <c r="A23" s="3">
        <v>17</v>
      </c>
      <c r="B23" s="4" t="s">
        <v>240</v>
      </c>
      <c r="C23" s="4" t="s">
        <v>241</v>
      </c>
      <c r="D23" s="4" t="s">
        <v>97</v>
      </c>
      <c r="E23" s="5">
        <v>100000</v>
      </c>
      <c r="F23" s="6">
        <v>653.6</v>
      </c>
      <c r="G23" s="7">
        <v>1.1204515E-2</v>
      </c>
      <c r="H23" s="51"/>
    </row>
    <row r="24" spans="1:8" ht="17.100000000000001" customHeight="1" x14ac:dyDescent="0.2">
      <c r="A24" s="3">
        <v>18</v>
      </c>
      <c r="B24" s="4" t="s">
        <v>252</v>
      </c>
      <c r="C24" s="4" t="s">
        <v>253</v>
      </c>
      <c r="D24" s="4" t="s">
        <v>97</v>
      </c>
      <c r="E24" s="5">
        <v>154488</v>
      </c>
      <c r="F24" s="6">
        <v>639.34858799999995</v>
      </c>
      <c r="G24" s="7">
        <v>1.0960206E-2</v>
      </c>
      <c r="H24" s="51"/>
    </row>
    <row r="25" spans="1:8" ht="17.100000000000001" customHeight="1" x14ac:dyDescent="0.2">
      <c r="A25" s="3">
        <v>19</v>
      </c>
      <c r="B25" s="4" t="s">
        <v>379</v>
      </c>
      <c r="C25" s="4" t="s">
        <v>380</v>
      </c>
      <c r="D25" s="4" t="s">
        <v>97</v>
      </c>
      <c r="E25" s="5">
        <v>614686</v>
      </c>
      <c r="F25" s="6">
        <v>609.46116900000004</v>
      </c>
      <c r="G25" s="7">
        <v>1.0447853E-2</v>
      </c>
      <c r="H25" s="51"/>
    </row>
    <row r="26" spans="1:8" ht="17.100000000000001" customHeight="1" x14ac:dyDescent="0.2">
      <c r="A26" s="3">
        <v>20</v>
      </c>
      <c r="B26" s="4" t="s">
        <v>261</v>
      </c>
      <c r="C26" s="4" t="s">
        <v>262</v>
      </c>
      <c r="D26" s="4" t="s">
        <v>97</v>
      </c>
      <c r="E26" s="5">
        <v>34645</v>
      </c>
      <c r="F26" s="6">
        <v>581.46435750000001</v>
      </c>
      <c r="G26" s="7">
        <v>9.96791E-3</v>
      </c>
      <c r="H26" s="51"/>
    </row>
    <row r="27" spans="1:8" ht="17.100000000000001" customHeight="1" x14ac:dyDescent="0.2">
      <c r="A27" s="3">
        <v>21</v>
      </c>
      <c r="B27" s="4" t="s">
        <v>726</v>
      </c>
      <c r="C27" s="4" t="s">
        <v>727</v>
      </c>
      <c r="D27" s="4" t="s">
        <v>16</v>
      </c>
      <c r="E27" s="5">
        <v>216081</v>
      </c>
      <c r="F27" s="6">
        <v>576.07194600000003</v>
      </c>
      <c r="G27" s="7">
        <v>9.8754689999999996E-3</v>
      </c>
      <c r="H27" s="51"/>
    </row>
    <row r="28" spans="1:8" ht="17.100000000000001" customHeight="1" x14ac:dyDescent="0.2">
      <c r="A28" s="3">
        <v>22</v>
      </c>
      <c r="B28" s="4" t="s">
        <v>395</v>
      </c>
      <c r="C28" s="4" t="s">
        <v>396</v>
      </c>
      <c r="D28" s="4" t="s">
        <v>315</v>
      </c>
      <c r="E28" s="5">
        <v>44319</v>
      </c>
      <c r="F28" s="6">
        <v>540.1378125</v>
      </c>
      <c r="G28" s="7">
        <v>9.2594589999999994E-3</v>
      </c>
      <c r="H28" s="51"/>
    </row>
    <row r="29" spans="1:8" ht="17.100000000000001" customHeight="1" x14ac:dyDescent="0.2">
      <c r="A29" s="3">
        <v>23</v>
      </c>
      <c r="B29" s="4" t="s">
        <v>349</v>
      </c>
      <c r="C29" s="4" t="s">
        <v>350</v>
      </c>
      <c r="D29" s="4" t="s">
        <v>97</v>
      </c>
      <c r="E29" s="5">
        <v>6330</v>
      </c>
      <c r="F29" s="6">
        <v>464.35297500000001</v>
      </c>
      <c r="G29" s="7">
        <v>7.9602969999999999E-3</v>
      </c>
      <c r="H29" s="51"/>
    </row>
    <row r="30" spans="1:8" ht="17.100000000000001" customHeight="1" x14ac:dyDescent="0.2">
      <c r="A30" s="3">
        <v>24</v>
      </c>
      <c r="B30" s="4" t="s">
        <v>336</v>
      </c>
      <c r="C30" s="4" t="s">
        <v>337</v>
      </c>
      <c r="D30" s="4" t="s">
        <v>16</v>
      </c>
      <c r="E30" s="5">
        <v>25198</v>
      </c>
      <c r="F30" s="6">
        <v>458.402016</v>
      </c>
      <c r="G30" s="7">
        <v>7.8582809999999999E-3</v>
      </c>
      <c r="H30" s="51"/>
    </row>
    <row r="31" spans="1:8" ht="29.1" customHeight="1" x14ac:dyDescent="0.2">
      <c r="A31" s="3">
        <v>25</v>
      </c>
      <c r="B31" s="4" t="s">
        <v>610</v>
      </c>
      <c r="C31" s="4" t="s">
        <v>611</v>
      </c>
      <c r="D31" s="4" t="s">
        <v>235</v>
      </c>
      <c r="E31" s="5">
        <v>32775</v>
      </c>
      <c r="F31" s="6">
        <v>377.28941250000003</v>
      </c>
      <c r="G31" s="7">
        <v>6.4677859999999997E-3</v>
      </c>
      <c r="H31" s="51"/>
    </row>
    <row r="32" spans="1:8" ht="14.1" customHeight="1" x14ac:dyDescent="0.2">
      <c r="A32" s="1"/>
      <c r="B32" s="1"/>
      <c r="C32" s="2" t="s">
        <v>129</v>
      </c>
      <c r="D32" s="1"/>
      <c r="E32" s="1" t="s">
        <v>130</v>
      </c>
      <c r="F32" s="9">
        <v>54292.126810499998</v>
      </c>
      <c r="G32" s="10">
        <v>0.93071748799999998</v>
      </c>
      <c r="H32" s="51"/>
    </row>
    <row r="33" spans="1:8" ht="14.1" customHeight="1" x14ac:dyDescent="0.2">
      <c r="A33" s="1"/>
      <c r="B33" s="1"/>
      <c r="C33" s="11"/>
      <c r="D33" s="1"/>
      <c r="E33" s="1"/>
      <c r="F33" s="12"/>
      <c r="G33" s="12"/>
      <c r="H33" s="51"/>
    </row>
    <row r="34" spans="1:8" ht="14.1" customHeight="1" x14ac:dyDescent="0.2">
      <c r="A34" s="1"/>
      <c r="B34" s="1"/>
      <c r="C34" s="2" t="s">
        <v>131</v>
      </c>
      <c r="D34" s="1"/>
      <c r="E34" s="1"/>
      <c r="F34" s="1"/>
      <c r="G34" s="1"/>
      <c r="H34" s="51"/>
    </row>
    <row r="35" spans="1:8" ht="14.1" customHeight="1" x14ac:dyDescent="0.2">
      <c r="A35" s="1"/>
      <c r="B35" s="1"/>
      <c r="C35" s="2" t="s">
        <v>129</v>
      </c>
      <c r="D35" s="1"/>
      <c r="E35" s="1" t="s">
        <v>130</v>
      </c>
      <c r="F35" s="13">
        <v>0</v>
      </c>
      <c r="G35" s="14">
        <v>0</v>
      </c>
      <c r="H35" s="51"/>
    </row>
    <row r="36" spans="1:8" ht="14.1" customHeight="1" x14ac:dyDescent="0.2">
      <c r="A36" s="1"/>
      <c r="B36" s="1"/>
      <c r="C36" s="11"/>
      <c r="D36" s="1"/>
      <c r="E36" s="1"/>
      <c r="F36" s="12"/>
      <c r="G36" s="12"/>
      <c r="H36" s="51"/>
    </row>
    <row r="37" spans="1:8" ht="14.1" customHeight="1" x14ac:dyDescent="0.2">
      <c r="A37" s="1"/>
      <c r="B37" s="1"/>
      <c r="C37" s="2" t="s">
        <v>132</v>
      </c>
      <c r="D37" s="1"/>
      <c r="E37" s="1"/>
      <c r="F37" s="1"/>
      <c r="G37" s="1"/>
      <c r="H37" s="51"/>
    </row>
    <row r="38" spans="1:8" ht="14.1" customHeight="1" x14ac:dyDescent="0.2">
      <c r="A38" s="1"/>
      <c r="B38" s="1"/>
      <c r="C38" s="2" t="s">
        <v>129</v>
      </c>
      <c r="D38" s="1"/>
      <c r="E38" s="1" t="s">
        <v>130</v>
      </c>
      <c r="F38" s="13">
        <v>0</v>
      </c>
      <c r="G38" s="14">
        <v>0</v>
      </c>
      <c r="H38" s="51"/>
    </row>
    <row r="39" spans="1:8" ht="14.1" customHeight="1" x14ac:dyDescent="0.2">
      <c r="A39" s="1"/>
      <c r="B39" s="1"/>
      <c r="C39" s="11"/>
      <c r="D39" s="1"/>
      <c r="E39" s="1"/>
      <c r="F39" s="12"/>
      <c r="G39" s="12"/>
      <c r="H39" s="51"/>
    </row>
    <row r="40" spans="1:8" ht="14.1" customHeight="1" x14ac:dyDescent="0.2">
      <c r="A40" s="1"/>
      <c r="B40" s="1"/>
      <c r="C40" s="2" t="s">
        <v>133</v>
      </c>
      <c r="D40" s="1"/>
      <c r="E40" s="1"/>
      <c r="F40" s="1"/>
      <c r="G40" s="1"/>
      <c r="H40" s="51"/>
    </row>
    <row r="41" spans="1:8" ht="14.1" customHeight="1" x14ac:dyDescent="0.2">
      <c r="A41" s="1"/>
      <c r="B41" s="1"/>
      <c r="C41" s="2" t="s">
        <v>129</v>
      </c>
      <c r="D41" s="1"/>
      <c r="E41" s="1" t="s">
        <v>130</v>
      </c>
      <c r="F41" s="13">
        <v>0</v>
      </c>
      <c r="G41" s="14">
        <v>0</v>
      </c>
      <c r="H41" s="51"/>
    </row>
    <row r="42" spans="1:8" ht="14.1" customHeight="1" x14ac:dyDescent="0.2">
      <c r="A42" s="1"/>
      <c r="B42" s="1"/>
      <c r="C42" s="11"/>
      <c r="D42" s="1"/>
      <c r="E42" s="1"/>
      <c r="F42" s="12"/>
      <c r="G42" s="12"/>
      <c r="H42" s="51"/>
    </row>
    <row r="43" spans="1:8" ht="14.1" customHeight="1" x14ac:dyDescent="0.2">
      <c r="A43" s="1"/>
      <c r="B43" s="1"/>
      <c r="C43" s="2" t="s">
        <v>134</v>
      </c>
      <c r="D43" s="1"/>
      <c r="E43" s="1"/>
      <c r="F43" s="12"/>
      <c r="G43" s="12"/>
      <c r="H43" s="51"/>
    </row>
    <row r="44" spans="1:8" ht="14.1" customHeight="1" x14ac:dyDescent="0.2">
      <c r="A44" s="1"/>
      <c r="B44" s="1"/>
      <c r="C44" s="2" t="s">
        <v>129</v>
      </c>
      <c r="D44" s="1"/>
      <c r="E44" s="1" t="s">
        <v>130</v>
      </c>
      <c r="F44" s="13">
        <v>0</v>
      </c>
      <c r="G44" s="14">
        <v>0</v>
      </c>
      <c r="H44" s="51"/>
    </row>
    <row r="45" spans="1:8" ht="14.1" customHeight="1" x14ac:dyDescent="0.2">
      <c r="A45" s="1"/>
      <c r="B45" s="1"/>
      <c r="C45" s="11"/>
      <c r="D45" s="1"/>
      <c r="E45" s="1"/>
      <c r="F45" s="12"/>
      <c r="G45" s="12"/>
      <c r="H45" s="51"/>
    </row>
    <row r="46" spans="1:8" ht="14.1" customHeight="1" x14ac:dyDescent="0.2">
      <c r="A46" s="1"/>
      <c r="B46" s="1"/>
      <c r="C46" s="2" t="s">
        <v>135</v>
      </c>
      <c r="D46" s="1"/>
      <c r="E46" s="1"/>
      <c r="F46" s="12"/>
      <c r="G46" s="12"/>
      <c r="H46" s="51"/>
    </row>
    <row r="47" spans="1:8" ht="14.1" customHeight="1" x14ac:dyDescent="0.2">
      <c r="A47" s="1"/>
      <c r="B47" s="1"/>
      <c r="C47" s="2" t="s">
        <v>129</v>
      </c>
      <c r="D47" s="1"/>
      <c r="E47" s="1" t="s">
        <v>130</v>
      </c>
      <c r="F47" s="13">
        <v>0</v>
      </c>
      <c r="G47" s="14">
        <v>0</v>
      </c>
      <c r="H47" s="51"/>
    </row>
    <row r="48" spans="1:8" ht="14.1" customHeight="1" x14ac:dyDescent="0.2">
      <c r="A48" s="1"/>
      <c r="B48" s="1"/>
      <c r="C48" s="11"/>
      <c r="D48" s="1"/>
      <c r="E48" s="1"/>
      <c r="F48" s="12"/>
      <c r="G48" s="12"/>
      <c r="H48" s="51"/>
    </row>
    <row r="49" spans="1:8" ht="18" customHeight="1" x14ac:dyDescent="0.2">
      <c r="A49" s="1"/>
      <c r="B49" s="1"/>
      <c r="C49" s="2" t="s">
        <v>136</v>
      </c>
      <c r="D49" s="1"/>
      <c r="E49" s="1"/>
      <c r="F49" s="9">
        <v>54292.126810499998</v>
      </c>
      <c r="G49" s="10">
        <v>0.93071748799999998</v>
      </c>
      <c r="H49" s="51"/>
    </row>
    <row r="50" spans="1:8" ht="14.1" customHeight="1" x14ac:dyDescent="0.2">
      <c r="A50" s="1"/>
      <c r="B50" s="1"/>
      <c r="C50" s="11"/>
      <c r="D50" s="1"/>
      <c r="E50" s="1"/>
      <c r="F50" s="12"/>
      <c r="G50" s="12"/>
      <c r="H50" s="51"/>
    </row>
    <row r="51" spans="1:8" ht="14.1" customHeight="1" x14ac:dyDescent="0.2">
      <c r="A51" s="1"/>
      <c r="B51" s="1"/>
      <c r="C51" s="2" t="s">
        <v>137</v>
      </c>
      <c r="D51" s="1"/>
      <c r="E51" s="1"/>
      <c r="F51" s="12"/>
      <c r="G51" s="12"/>
      <c r="H51" s="51"/>
    </row>
    <row r="52" spans="1:8" ht="24" customHeight="1" x14ac:dyDescent="0.2">
      <c r="A52" s="1"/>
      <c r="B52" s="1"/>
      <c r="C52" s="2" t="s">
        <v>10</v>
      </c>
      <c r="D52" s="1"/>
      <c r="E52" s="1"/>
      <c r="F52" s="12"/>
      <c r="G52" s="12"/>
      <c r="H52" s="51"/>
    </row>
    <row r="53" spans="1:8" ht="14.1" customHeight="1" x14ac:dyDescent="0.2">
      <c r="A53" s="1"/>
      <c r="B53" s="1"/>
      <c r="C53" s="2" t="s">
        <v>129</v>
      </c>
      <c r="D53" s="1"/>
      <c r="E53" s="1" t="s">
        <v>130</v>
      </c>
      <c r="F53" s="13">
        <v>0</v>
      </c>
      <c r="G53" s="14">
        <v>0</v>
      </c>
      <c r="H53" s="51"/>
    </row>
    <row r="54" spans="1:8" ht="14.1" customHeight="1" x14ac:dyDescent="0.2">
      <c r="A54" s="1"/>
      <c r="B54" s="1"/>
      <c r="C54" s="11"/>
      <c r="D54" s="1"/>
      <c r="E54" s="1"/>
      <c r="F54" s="12"/>
      <c r="G54" s="12"/>
      <c r="H54" s="51"/>
    </row>
    <row r="55" spans="1:8" ht="14.1" customHeight="1" x14ac:dyDescent="0.2">
      <c r="A55" s="1"/>
      <c r="B55" s="1"/>
      <c r="C55" s="2" t="s">
        <v>138</v>
      </c>
      <c r="D55" s="1"/>
      <c r="E55" s="1"/>
      <c r="F55" s="1"/>
      <c r="G55" s="1"/>
      <c r="H55" s="51"/>
    </row>
    <row r="56" spans="1:8" ht="14.1" customHeight="1" x14ac:dyDescent="0.2">
      <c r="A56" s="1"/>
      <c r="B56" s="1"/>
      <c r="C56" s="2" t="s">
        <v>129</v>
      </c>
      <c r="D56" s="1"/>
      <c r="E56" s="1" t="s">
        <v>130</v>
      </c>
      <c r="F56" s="13">
        <v>0</v>
      </c>
      <c r="G56" s="14">
        <v>0</v>
      </c>
      <c r="H56" s="51"/>
    </row>
    <row r="57" spans="1:8" ht="14.1" customHeight="1" x14ac:dyDescent="0.2">
      <c r="A57" s="1"/>
      <c r="B57" s="1"/>
      <c r="C57" s="11"/>
      <c r="D57" s="1"/>
      <c r="E57" s="1"/>
      <c r="F57" s="12"/>
      <c r="G57" s="12"/>
      <c r="H57" s="51"/>
    </row>
    <row r="58" spans="1:8" ht="14.1" customHeight="1" x14ac:dyDescent="0.2">
      <c r="A58" s="1"/>
      <c r="B58" s="1"/>
      <c r="C58" s="2" t="s">
        <v>139</v>
      </c>
      <c r="D58" s="1"/>
      <c r="E58" s="1"/>
      <c r="F58" s="1"/>
      <c r="G58" s="1"/>
      <c r="H58" s="51"/>
    </row>
    <row r="59" spans="1:8" ht="14.1" customHeight="1" x14ac:dyDescent="0.2">
      <c r="A59" s="1"/>
      <c r="B59" s="1"/>
      <c r="C59" s="2" t="s">
        <v>129</v>
      </c>
      <c r="D59" s="1"/>
      <c r="E59" s="1" t="s">
        <v>130</v>
      </c>
      <c r="F59" s="13">
        <v>0</v>
      </c>
      <c r="G59" s="14">
        <v>0</v>
      </c>
      <c r="H59" s="51"/>
    </row>
    <row r="60" spans="1:8" ht="14.1" customHeight="1" x14ac:dyDescent="0.2">
      <c r="A60" s="1"/>
      <c r="B60" s="1"/>
      <c r="C60" s="11"/>
      <c r="D60" s="1"/>
      <c r="E60" s="1"/>
      <c r="F60" s="12"/>
      <c r="G60" s="12"/>
      <c r="H60" s="51"/>
    </row>
    <row r="61" spans="1:8" ht="14.1" customHeight="1" x14ac:dyDescent="0.2">
      <c r="A61" s="1"/>
      <c r="B61" s="1"/>
      <c r="C61" s="2" t="s">
        <v>140</v>
      </c>
      <c r="D61" s="1"/>
      <c r="E61" s="1"/>
      <c r="F61" s="12"/>
      <c r="G61" s="12"/>
      <c r="H61" s="51"/>
    </row>
    <row r="62" spans="1:8" ht="14.1" customHeight="1" x14ac:dyDescent="0.2">
      <c r="A62" s="1"/>
      <c r="B62" s="1"/>
      <c r="C62" s="2" t="s">
        <v>129</v>
      </c>
      <c r="D62" s="1"/>
      <c r="E62" s="1" t="s">
        <v>130</v>
      </c>
      <c r="F62" s="13">
        <v>0</v>
      </c>
      <c r="G62" s="14">
        <v>0</v>
      </c>
      <c r="H62" s="51"/>
    </row>
    <row r="63" spans="1:8" ht="14.1" customHeight="1" x14ac:dyDescent="0.2">
      <c r="A63" s="1"/>
      <c r="B63" s="1"/>
      <c r="C63" s="11"/>
      <c r="D63" s="1"/>
      <c r="E63" s="1"/>
      <c r="F63" s="12"/>
      <c r="G63" s="12"/>
      <c r="H63" s="51"/>
    </row>
    <row r="64" spans="1:8" ht="14.1" customHeight="1" x14ac:dyDescent="0.2">
      <c r="A64" s="1"/>
      <c r="B64" s="1"/>
      <c r="C64" s="2" t="s">
        <v>141</v>
      </c>
      <c r="D64" s="1"/>
      <c r="E64" s="1"/>
      <c r="F64" s="9">
        <v>0</v>
      </c>
      <c r="G64" s="10">
        <v>0</v>
      </c>
      <c r="H64" s="51"/>
    </row>
    <row r="65" spans="1:8" ht="14.1" customHeight="1" x14ac:dyDescent="0.2">
      <c r="A65" s="1"/>
      <c r="B65" s="1"/>
      <c r="C65" s="11"/>
      <c r="D65" s="1"/>
      <c r="E65" s="1"/>
      <c r="F65" s="12"/>
      <c r="G65" s="12"/>
      <c r="H65" s="51"/>
    </row>
    <row r="66" spans="1:8" ht="14.1" customHeight="1" x14ac:dyDescent="0.2">
      <c r="A66" s="1"/>
      <c r="B66" s="1"/>
      <c r="C66" s="2" t="s">
        <v>142</v>
      </c>
      <c r="D66" s="1"/>
      <c r="E66" s="1"/>
      <c r="F66" s="12"/>
      <c r="G66" s="12"/>
      <c r="H66" s="51"/>
    </row>
    <row r="67" spans="1:8" ht="14.1" customHeight="1" x14ac:dyDescent="0.2">
      <c r="A67" s="1"/>
      <c r="B67" s="1"/>
      <c r="C67" s="2" t="s">
        <v>143</v>
      </c>
      <c r="D67" s="1"/>
      <c r="E67" s="1"/>
      <c r="F67" s="12"/>
      <c r="G67" s="12"/>
      <c r="H67" s="51"/>
    </row>
    <row r="68" spans="1:8" ht="14.1" customHeight="1" x14ac:dyDescent="0.2">
      <c r="A68" s="1"/>
      <c r="B68" s="1"/>
      <c r="C68" s="2" t="s">
        <v>129</v>
      </c>
      <c r="D68" s="1"/>
      <c r="E68" s="1" t="s">
        <v>130</v>
      </c>
      <c r="F68" s="13">
        <v>0</v>
      </c>
      <c r="G68" s="14">
        <v>0</v>
      </c>
      <c r="H68" s="51"/>
    </row>
    <row r="69" spans="1:8" ht="14.1" customHeight="1" x14ac:dyDescent="0.2">
      <c r="A69" s="1"/>
      <c r="B69" s="1"/>
      <c r="C69" s="11"/>
      <c r="D69" s="1"/>
      <c r="E69" s="1"/>
      <c r="F69" s="12"/>
      <c r="G69" s="12"/>
      <c r="H69" s="51"/>
    </row>
    <row r="70" spans="1:8" ht="14.1" customHeight="1" x14ac:dyDescent="0.2">
      <c r="A70" s="1"/>
      <c r="B70" s="1"/>
      <c r="C70" s="2" t="s">
        <v>144</v>
      </c>
      <c r="D70" s="1"/>
      <c r="E70" s="1"/>
      <c r="F70" s="12"/>
      <c r="G70" s="12"/>
      <c r="H70" s="51"/>
    </row>
    <row r="71" spans="1:8" ht="14.1" customHeight="1" x14ac:dyDescent="0.2">
      <c r="A71" s="1"/>
      <c r="B71" s="1"/>
      <c r="C71" s="2" t="s">
        <v>129</v>
      </c>
      <c r="D71" s="1"/>
      <c r="E71" s="1" t="s">
        <v>130</v>
      </c>
      <c r="F71" s="13">
        <v>0</v>
      </c>
      <c r="G71" s="14">
        <v>0</v>
      </c>
      <c r="H71" s="51"/>
    </row>
    <row r="72" spans="1:8" ht="14.1" customHeight="1" x14ac:dyDescent="0.2">
      <c r="A72" s="1"/>
      <c r="B72" s="1"/>
      <c r="C72" s="11"/>
      <c r="D72" s="1"/>
      <c r="E72" s="1"/>
      <c r="F72" s="12"/>
      <c r="G72" s="12"/>
      <c r="H72" s="51"/>
    </row>
    <row r="73" spans="1:8" ht="14.1" customHeight="1" x14ac:dyDescent="0.2">
      <c r="A73" s="1"/>
      <c r="B73" s="1"/>
      <c r="C73" s="2" t="s">
        <v>145</v>
      </c>
      <c r="D73" s="1"/>
      <c r="E73" s="1"/>
      <c r="F73" s="12"/>
      <c r="G73" s="12"/>
      <c r="H73" s="51"/>
    </row>
    <row r="74" spans="1:8" ht="14.1" customHeight="1" x14ac:dyDescent="0.2">
      <c r="A74" s="1"/>
      <c r="B74" s="1"/>
      <c r="C74" s="2" t="s">
        <v>129</v>
      </c>
      <c r="D74" s="1"/>
      <c r="E74" s="1" t="s">
        <v>130</v>
      </c>
      <c r="F74" s="13">
        <v>0</v>
      </c>
      <c r="G74" s="14">
        <v>0</v>
      </c>
      <c r="H74" s="51"/>
    </row>
    <row r="75" spans="1:8" ht="14.1" customHeight="1" x14ac:dyDescent="0.2">
      <c r="A75" s="1"/>
      <c r="B75" s="1"/>
      <c r="C75" s="11"/>
      <c r="D75" s="1"/>
      <c r="E75" s="1"/>
      <c r="F75" s="12"/>
      <c r="G75" s="12"/>
      <c r="H75" s="51"/>
    </row>
    <row r="76" spans="1:8" ht="14.1" customHeight="1" x14ac:dyDescent="0.2">
      <c r="A76" s="1"/>
      <c r="B76" s="1"/>
      <c r="C76" s="2" t="s">
        <v>146</v>
      </c>
      <c r="D76" s="1"/>
      <c r="E76" s="1"/>
      <c r="F76" s="12"/>
      <c r="G76" s="12"/>
      <c r="H76" s="51"/>
    </row>
    <row r="77" spans="1:8" ht="17.100000000000001" customHeight="1" x14ac:dyDescent="0.2">
      <c r="A77" s="3">
        <v>1</v>
      </c>
      <c r="B77" s="4"/>
      <c r="C77" s="4" t="s">
        <v>147</v>
      </c>
      <c r="D77" s="4"/>
      <c r="E77" s="8"/>
      <c r="F77" s="6">
        <v>3222.0040933999999</v>
      </c>
      <c r="G77" s="7">
        <v>5.5234077999999999E-2</v>
      </c>
      <c r="H77" s="51">
        <v>6.1245112103248278</v>
      </c>
    </row>
    <row r="78" spans="1:8" ht="14.1" customHeight="1" x14ac:dyDescent="0.2">
      <c r="A78" s="1"/>
      <c r="B78" s="1"/>
      <c r="C78" s="2" t="s">
        <v>129</v>
      </c>
      <c r="D78" s="1"/>
      <c r="E78" s="1" t="s">
        <v>130</v>
      </c>
      <c r="F78" s="9">
        <v>3222.0040933999999</v>
      </c>
      <c r="G78" s="10">
        <v>5.5234077999999999E-2</v>
      </c>
      <c r="H78" s="51"/>
    </row>
    <row r="79" spans="1:8" ht="14.1" customHeight="1" x14ac:dyDescent="0.2">
      <c r="A79" s="1"/>
      <c r="B79" s="1"/>
      <c r="C79" s="11"/>
      <c r="D79" s="1"/>
      <c r="E79" s="1"/>
      <c r="F79" s="12"/>
      <c r="G79" s="12"/>
      <c r="H79" s="51"/>
    </row>
    <row r="80" spans="1:8" ht="14.1" customHeight="1" x14ac:dyDescent="0.2">
      <c r="A80" s="1"/>
      <c r="B80" s="1"/>
      <c r="C80" s="2" t="s">
        <v>148</v>
      </c>
      <c r="D80" s="1"/>
      <c r="E80" s="1"/>
      <c r="F80" s="9">
        <v>3222.0040933999999</v>
      </c>
      <c r="G80" s="10">
        <v>5.5234077999999999E-2</v>
      </c>
      <c r="H80" s="51"/>
    </row>
    <row r="81" spans="1:8" ht="14.1" customHeight="1" x14ac:dyDescent="0.2">
      <c r="A81" s="1"/>
      <c r="B81" s="1"/>
      <c r="C81" s="12"/>
      <c r="D81" s="1"/>
      <c r="E81" s="1"/>
      <c r="F81" s="1"/>
      <c r="G81" s="1"/>
      <c r="H81" s="51"/>
    </row>
    <row r="82" spans="1:8" ht="14.1" customHeight="1" x14ac:dyDescent="0.2">
      <c r="A82" s="1"/>
      <c r="B82" s="1"/>
      <c r="C82" s="2" t="s">
        <v>149</v>
      </c>
      <c r="D82" s="1"/>
      <c r="E82" s="1"/>
      <c r="F82" s="1"/>
      <c r="G82" s="1"/>
      <c r="H82" s="51"/>
    </row>
    <row r="83" spans="1:8" ht="14.1" customHeight="1" x14ac:dyDescent="0.2">
      <c r="A83" s="1"/>
      <c r="B83" s="1"/>
      <c r="C83" s="2" t="s">
        <v>150</v>
      </c>
      <c r="D83" s="1"/>
      <c r="E83" s="1"/>
      <c r="F83" s="1"/>
      <c r="G83" s="1"/>
      <c r="H83" s="51"/>
    </row>
    <row r="84" spans="1:8" ht="14.1" customHeight="1" x14ac:dyDescent="0.2">
      <c r="A84" s="1"/>
      <c r="B84" s="1"/>
      <c r="C84" s="2" t="s">
        <v>129</v>
      </c>
      <c r="D84" s="1"/>
      <c r="E84" s="1" t="s">
        <v>130</v>
      </c>
      <c r="F84" s="13">
        <v>0</v>
      </c>
      <c r="G84" s="14">
        <v>0</v>
      </c>
      <c r="H84" s="51"/>
    </row>
    <row r="85" spans="1:8" ht="14.1" customHeight="1" x14ac:dyDescent="0.2">
      <c r="A85" s="1"/>
      <c r="B85" s="1"/>
      <c r="C85" s="11"/>
      <c r="D85" s="1"/>
      <c r="E85" s="1"/>
      <c r="F85" s="12"/>
      <c r="G85" s="12"/>
      <c r="H85" s="51"/>
    </row>
    <row r="86" spans="1:8" ht="14.1" customHeight="1" x14ac:dyDescent="0.2">
      <c r="A86" s="1"/>
      <c r="B86" s="1"/>
      <c r="C86" s="2" t="s">
        <v>151</v>
      </c>
      <c r="D86" s="1"/>
      <c r="E86" s="1"/>
      <c r="F86" s="1"/>
      <c r="G86" s="1"/>
      <c r="H86" s="51"/>
    </row>
    <row r="87" spans="1:8" ht="14.1" customHeight="1" x14ac:dyDescent="0.2">
      <c r="A87" s="1"/>
      <c r="B87" s="1"/>
      <c r="C87" s="2" t="s">
        <v>152</v>
      </c>
      <c r="D87" s="1"/>
      <c r="E87" s="1"/>
      <c r="F87" s="1"/>
      <c r="G87" s="1"/>
      <c r="H87" s="51"/>
    </row>
    <row r="88" spans="1:8" ht="14.1" customHeight="1" x14ac:dyDescent="0.2">
      <c r="A88" s="1"/>
      <c r="B88" s="1"/>
      <c r="C88" s="2" t="s">
        <v>129</v>
      </c>
      <c r="D88" s="1"/>
      <c r="E88" s="1" t="s">
        <v>130</v>
      </c>
      <c r="F88" s="13">
        <v>0</v>
      </c>
      <c r="G88" s="14">
        <v>0</v>
      </c>
      <c r="H88" s="51"/>
    </row>
    <row r="89" spans="1:8" ht="14.1" customHeight="1" x14ac:dyDescent="0.2">
      <c r="A89" s="1"/>
      <c r="B89" s="1"/>
      <c r="C89" s="11"/>
      <c r="D89" s="1"/>
      <c r="E89" s="1"/>
      <c r="F89" s="12"/>
      <c r="G89" s="12"/>
      <c r="H89" s="51"/>
    </row>
    <row r="90" spans="1:8" ht="14.1" customHeight="1" x14ac:dyDescent="0.2">
      <c r="A90" s="1"/>
      <c r="B90" s="1"/>
      <c r="C90" s="11"/>
      <c r="D90" s="1"/>
      <c r="E90" s="1"/>
      <c r="F90" s="12"/>
      <c r="G90" s="12"/>
      <c r="H90" s="51"/>
    </row>
    <row r="91" spans="1:8" ht="24" customHeight="1" x14ac:dyDescent="0.2">
      <c r="A91" s="1"/>
      <c r="B91" s="1"/>
      <c r="C91" s="2" t="s">
        <v>153</v>
      </c>
      <c r="D91" s="1"/>
      <c r="E91" s="1"/>
      <c r="F91" s="12"/>
      <c r="G91" s="12"/>
      <c r="H91" s="51"/>
    </row>
    <row r="92" spans="1:8" ht="14.1" customHeight="1" x14ac:dyDescent="0.2">
      <c r="A92" s="1"/>
      <c r="B92" s="1"/>
      <c r="C92" s="2" t="s">
        <v>129</v>
      </c>
      <c r="D92" s="1"/>
      <c r="E92" s="1" t="s">
        <v>130</v>
      </c>
      <c r="F92" s="13">
        <v>0</v>
      </c>
      <c r="G92" s="14">
        <v>0</v>
      </c>
      <c r="H92" s="51"/>
    </row>
    <row r="93" spans="1:8" ht="14.1" customHeight="1" x14ac:dyDescent="0.2">
      <c r="A93" s="1"/>
      <c r="B93" s="1"/>
      <c r="C93" s="11"/>
      <c r="D93" s="1"/>
      <c r="E93" s="1"/>
      <c r="F93" s="12"/>
      <c r="G93" s="12"/>
      <c r="H93" s="51"/>
    </row>
    <row r="94" spans="1:8" ht="14.1" customHeight="1" x14ac:dyDescent="0.2">
      <c r="A94" s="1"/>
      <c r="B94" s="4"/>
      <c r="C94" s="4"/>
      <c r="D94" s="2"/>
      <c r="E94" s="1"/>
      <c r="F94" s="4"/>
      <c r="G94" s="8"/>
      <c r="H94" s="51"/>
    </row>
    <row r="95" spans="1:8" ht="18" customHeight="1" x14ac:dyDescent="0.2">
      <c r="A95" s="8"/>
      <c r="B95" s="4"/>
      <c r="C95" s="4" t="s">
        <v>154</v>
      </c>
      <c r="D95" s="4"/>
      <c r="E95" s="8"/>
      <c r="F95" s="6">
        <v>819.49615798000002</v>
      </c>
      <c r="G95" s="7">
        <v>1.4048435E-2</v>
      </c>
      <c r="H95" s="51"/>
    </row>
    <row r="96" spans="1:8" ht="14.1" customHeight="1" x14ac:dyDescent="0.2">
      <c r="A96" s="11"/>
      <c r="B96" s="11"/>
      <c r="C96" s="2" t="s">
        <v>155</v>
      </c>
      <c r="D96" s="15"/>
      <c r="E96" s="15"/>
      <c r="F96" s="9">
        <v>58333.627061879997</v>
      </c>
      <c r="G96" s="10">
        <v>1.0000000010000001</v>
      </c>
      <c r="H96" s="51"/>
    </row>
    <row r="97" spans="1:7" ht="14.1" customHeight="1" x14ac:dyDescent="0.2">
      <c r="A97" s="16"/>
      <c r="B97" s="16"/>
      <c r="C97" s="16"/>
      <c r="D97" s="17"/>
      <c r="E97" s="17"/>
      <c r="F97" s="17"/>
      <c r="G97" s="17"/>
    </row>
    <row r="98" spans="1:7" ht="14.1" customHeight="1" x14ac:dyDescent="0.2">
      <c r="A98" s="18"/>
      <c r="B98" s="327" t="s">
        <v>130</v>
      </c>
      <c r="C98" s="327"/>
      <c r="D98" s="327"/>
      <c r="E98" s="327"/>
      <c r="F98" s="327"/>
      <c r="G98" s="20"/>
    </row>
    <row r="99" spans="1:7" ht="14.1" customHeight="1" x14ac:dyDescent="0.2">
      <c r="A99" s="18"/>
      <c r="B99" s="327" t="s">
        <v>130</v>
      </c>
      <c r="C99" s="327"/>
      <c r="D99" s="327"/>
      <c r="E99" s="327"/>
      <c r="F99" s="327"/>
      <c r="G99" s="20"/>
    </row>
    <row r="100" spans="1:7" ht="14.1" customHeight="1" x14ac:dyDescent="0.2">
      <c r="A100" s="18"/>
      <c r="B100" s="18"/>
      <c r="C100" s="18"/>
      <c r="D100" s="20"/>
      <c r="E100" s="20"/>
      <c r="F100" s="20"/>
      <c r="G100" s="20"/>
    </row>
    <row r="101" spans="1:7" ht="14.1" customHeight="1" x14ac:dyDescent="0.2">
      <c r="A101" s="18"/>
      <c r="B101" s="325" t="s">
        <v>157</v>
      </c>
      <c r="C101" s="326"/>
      <c r="D101" s="12" t="s">
        <v>130</v>
      </c>
      <c r="E101" s="21"/>
      <c r="F101" s="20"/>
      <c r="G101" s="20"/>
    </row>
    <row r="102" spans="1:7" ht="29.1" customHeight="1" x14ac:dyDescent="0.2">
      <c r="A102" s="18"/>
      <c r="B102" s="318" t="s">
        <v>158</v>
      </c>
      <c r="C102" s="319"/>
      <c r="D102" s="2" t="s">
        <v>159</v>
      </c>
      <c r="E102" s="21"/>
      <c r="F102" s="20"/>
      <c r="G102" s="20"/>
    </row>
    <row r="103" spans="1:7" ht="17.100000000000001" customHeight="1" x14ac:dyDescent="0.2">
      <c r="A103" s="18"/>
      <c r="B103" s="318" t="s">
        <v>160</v>
      </c>
      <c r="C103" s="319"/>
      <c r="D103" s="2" t="s">
        <v>159</v>
      </c>
      <c r="E103" s="21"/>
      <c r="F103" s="20"/>
      <c r="G103" s="20"/>
    </row>
    <row r="104" spans="1:7" ht="17.100000000000001" customHeight="1" x14ac:dyDescent="0.2">
      <c r="A104" s="18"/>
      <c r="B104" s="318" t="s">
        <v>161</v>
      </c>
      <c r="C104" s="319"/>
      <c r="D104" s="12" t="s">
        <v>130</v>
      </c>
      <c r="E104" s="21"/>
      <c r="F104" s="20"/>
      <c r="G104" s="20"/>
    </row>
    <row r="105" spans="1:7" ht="24" customHeight="1" x14ac:dyDescent="0.2">
      <c r="A105" s="22"/>
      <c r="B105" s="23" t="s">
        <v>130</v>
      </c>
      <c r="C105" s="23" t="s">
        <v>162</v>
      </c>
      <c r="D105" s="23" t="s">
        <v>163</v>
      </c>
      <c r="E105" s="22"/>
      <c r="F105" s="22"/>
      <c r="G105" s="22"/>
    </row>
    <row r="106" spans="1:7" ht="18" customHeight="1" x14ac:dyDescent="0.2">
      <c r="A106" s="22"/>
      <c r="B106" s="23" t="s">
        <v>164</v>
      </c>
      <c r="C106" s="23" t="s">
        <v>165</v>
      </c>
      <c r="D106" s="23" t="s">
        <v>166</v>
      </c>
      <c r="E106" s="22"/>
      <c r="F106" s="22"/>
      <c r="G106" s="22"/>
    </row>
    <row r="107" spans="1:7" ht="17.100000000000001" customHeight="1" x14ac:dyDescent="0.2">
      <c r="A107" s="22"/>
      <c r="B107" s="4" t="s">
        <v>167</v>
      </c>
      <c r="C107" s="24">
        <v>67.357200000000006</v>
      </c>
      <c r="D107" s="24">
        <v>65.503699999999995</v>
      </c>
      <c r="E107" s="22"/>
      <c r="F107" s="19"/>
      <c r="G107" s="25"/>
    </row>
    <row r="108" spans="1:7" ht="17.100000000000001" customHeight="1" x14ac:dyDescent="0.2">
      <c r="A108" s="22"/>
      <c r="B108" s="4" t="s">
        <v>1067</v>
      </c>
      <c r="C108" s="24">
        <v>26.453700000000001</v>
      </c>
      <c r="D108" s="24">
        <v>25.7258</v>
      </c>
      <c r="E108" s="22"/>
      <c r="F108" s="19"/>
      <c r="G108" s="25"/>
    </row>
    <row r="109" spans="1:7" ht="29.1" customHeight="1" x14ac:dyDescent="0.2">
      <c r="A109" s="22"/>
      <c r="B109" s="4" t="s">
        <v>759</v>
      </c>
      <c r="C109" s="24">
        <v>69.255399999999995</v>
      </c>
      <c r="D109" s="24">
        <v>67.349599999999995</v>
      </c>
      <c r="E109" s="22"/>
      <c r="F109" s="19"/>
      <c r="G109" s="25"/>
    </row>
    <row r="110" spans="1:7" ht="29.1" customHeight="1" x14ac:dyDescent="0.2">
      <c r="A110" s="22"/>
      <c r="B110" s="4" t="s">
        <v>1076</v>
      </c>
      <c r="C110" s="24">
        <v>26.917999999999999</v>
      </c>
      <c r="D110" s="24">
        <v>26.1768</v>
      </c>
      <c r="E110" s="22"/>
      <c r="F110" s="19"/>
      <c r="G110" s="25"/>
    </row>
    <row r="111" spans="1:7" ht="17.100000000000001" customHeight="1" x14ac:dyDescent="0.2">
      <c r="A111" s="22"/>
      <c r="B111" s="4" t="s">
        <v>168</v>
      </c>
      <c r="C111" s="24">
        <v>62.189599999999999</v>
      </c>
      <c r="D111" s="24">
        <v>60.407299999999999</v>
      </c>
      <c r="E111" s="22"/>
      <c r="F111" s="19"/>
      <c r="G111" s="25"/>
    </row>
    <row r="112" spans="1:7" ht="17.100000000000001" customHeight="1" x14ac:dyDescent="0.2">
      <c r="A112" s="22"/>
      <c r="B112" s="4" t="s">
        <v>1068</v>
      </c>
      <c r="C112" s="24">
        <v>24.027200000000001</v>
      </c>
      <c r="D112" s="24">
        <v>23.3386</v>
      </c>
      <c r="E112" s="22"/>
      <c r="F112" s="19"/>
      <c r="G112" s="25"/>
    </row>
    <row r="113" spans="1:7" ht="14.1" customHeight="1" x14ac:dyDescent="0.2">
      <c r="A113" s="22"/>
      <c r="B113" s="22"/>
      <c r="C113" s="22"/>
      <c r="D113" s="22"/>
      <c r="E113" s="22"/>
      <c r="F113" s="22"/>
      <c r="G113" s="22"/>
    </row>
    <row r="114" spans="1:7" ht="17.100000000000001" customHeight="1" x14ac:dyDescent="0.2">
      <c r="A114" s="22"/>
      <c r="B114" s="318" t="s">
        <v>1069</v>
      </c>
      <c r="C114" s="319"/>
      <c r="D114" s="2" t="s">
        <v>159</v>
      </c>
      <c r="E114" s="22"/>
      <c r="F114" s="22"/>
      <c r="G114" s="22"/>
    </row>
    <row r="115" spans="1:7" ht="18" customHeight="1" x14ac:dyDescent="0.2">
      <c r="A115" s="22"/>
      <c r="B115" s="26"/>
      <c r="C115" s="26"/>
      <c r="D115" s="27"/>
      <c r="E115" s="22"/>
      <c r="F115" s="22"/>
      <c r="G115" s="22"/>
    </row>
    <row r="116" spans="1:7" ht="29.1" customHeight="1" x14ac:dyDescent="0.2">
      <c r="A116" s="22"/>
      <c r="B116" s="318" t="s">
        <v>169</v>
      </c>
      <c r="C116" s="319"/>
      <c r="D116" s="2" t="s">
        <v>159</v>
      </c>
      <c r="E116" s="22"/>
      <c r="F116" s="22"/>
      <c r="G116" s="22"/>
    </row>
    <row r="117" spans="1:7" ht="29.1" customHeight="1" x14ac:dyDescent="0.2">
      <c r="A117" s="22"/>
      <c r="B117" s="318" t="s">
        <v>170</v>
      </c>
      <c r="C117" s="319"/>
      <c r="D117" s="2" t="s">
        <v>159</v>
      </c>
      <c r="E117" s="22"/>
      <c r="F117" s="22"/>
      <c r="G117" s="22"/>
    </row>
    <row r="118" spans="1:7" ht="17.100000000000001" customHeight="1" x14ac:dyDescent="0.2">
      <c r="A118" s="22"/>
      <c r="B118" s="318" t="s">
        <v>171</v>
      </c>
      <c r="C118" s="319"/>
      <c r="D118" s="28">
        <v>0.61114057770237606</v>
      </c>
      <c r="E118" s="22"/>
      <c r="F118" s="19"/>
      <c r="G118" s="25"/>
    </row>
    <row r="119" spans="1:7" ht="17.100000000000001" customHeight="1" x14ac:dyDescent="0.2">
      <c r="A119" s="22"/>
      <c r="B119" s="318" t="s">
        <v>172</v>
      </c>
      <c r="C119" s="319"/>
      <c r="D119" s="2" t="s">
        <v>159</v>
      </c>
      <c r="E119" s="22"/>
      <c r="F119" s="22"/>
      <c r="G119" s="22"/>
    </row>
  </sheetData>
  <mergeCells count="15">
    <mergeCell ref="A1:H1"/>
    <mergeCell ref="A2:H2"/>
    <mergeCell ref="A3:H3"/>
    <mergeCell ref="J2:N2"/>
    <mergeCell ref="B118:C118"/>
    <mergeCell ref="B101:C101"/>
    <mergeCell ref="B98:F98"/>
    <mergeCell ref="B99:F99"/>
    <mergeCell ref="B119:C119"/>
    <mergeCell ref="B102:C102"/>
    <mergeCell ref="B103:C103"/>
    <mergeCell ref="B104:C104"/>
    <mergeCell ref="B114:C114"/>
    <mergeCell ref="B116:C116"/>
    <mergeCell ref="B117:C117"/>
  </mergeCells>
  <hyperlinks>
    <hyperlink ref="I1" location="Index!B38" display="Index" xr:uid="{3F24D0ED-54FD-4701-B94F-BEF975C87EE4}"/>
  </hyperlinks>
  <pageMargins left="5.000000074505806E-2" right="5.000000074505806E-2" top="0.30000001192092896" bottom="0.20000000298023224" header="0" footer="0"/>
  <pageSetup paperSize="9" orientation="landscape" horizontalDpi="0" verticalDpi="0"/>
  <headerFooter alignWithMargins="0"/>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ED703-F2CD-492B-9180-CFBF2935423B}">
  <dimension ref="A1:O61"/>
  <sheetViews>
    <sheetView workbookViewId="0">
      <selection sqref="A1:H1"/>
    </sheetView>
  </sheetViews>
  <sheetFormatPr defaultRowHeight="15" x14ac:dyDescent="0.25"/>
  <cols>
    <col min="1" max="1" width="5.42578125" style="171" bestFit="1" customWidth="1"/>
    <col min="2" max="2" width="19.7109375" style="171" bestFit="1" customWidth="1"/>
    <col min="3" max="3" width="40.28515625" style="171" bestFit="1" customWidth="1"/>
    <col min="4" max="4" width="15.28515625" style="171" bestFit="1" customWidth="1"/>
    <col min="5" max="5" width="12.42578125" style="171" bestFit="1" customWidth="1"/>
    <col min="6" max="6" width="10.140625" style="171" bestFit="1" customWidth="1"/>
    <col min="7" max="7" width="8.5703125" style="171" bestFit="1" customWidth="1"/>
    <col min="8" max="8" width="8.42578125" style="171" bestFit="1" customWidth="1"/>
    <col min="9" max="10" width="9.140625" style="172"/>
    <col min="11" max="11" width="10.5703125" style="172" bestFit="1" customWidth="1"/>
    <col min="12" max="14" width="9.140625" style="172"/>
    <col min="15" max="15" width="9.140625" style="170"/>
    <col min="16" max="16384" width="9.140625" style="171"/>
  </cols>
  <sheetData>
    <row r="1" spans="1:15" x14ac:dyDescent="0.25">
      <c r="A1" s="357" t="s">
        <v>0</v>
      </c>
      <c r="B1" s="357"/>
      <c r="C1" s="357"/>
      <c r="D1" s="357"/>
      <c r="E1" s="357"/>
      <c r="F1" s="357"/>
      <c r="G1" s="357"/>
      <c r="H1" s="357"/>
      <c r="I1" s="168" t="s">
        <v>1088</v>
      </c>
      <c r="J1" s="169"/>
      <c r="K1" s="169"/>
      <c r="L1" s="169"/>
      <c r="M1" s="169"/>
      <c r="N1" s="169"/>
    </row>
    <row r="2" spans="1:15" x14ac:dyDescent="0.25">
      <c r="A2" s="358" t="s">
        <v>1016</v>
      </c>
      <c r="B2" s="358"/>
      <c r="C2" s="358"/>
      <c r="D2" s="358"/>
      <c r="E2" s="358"/>
      <c r="F2" s="358"/>
      <c r="G2" s="358"/>
      <c r="H2" s="358"/>
      <c r="J2" s="324" t="s">
        <v>1089</v>
      </c>
      <c r="K2" s="324"/>
      <c r="L2" s="324"/>
      <c r="M2" s="324"/>
      <c r="N2" s="324"/>
    </row>
    <row r="3" spans="1:15" ht="15" customHeight="1" x14ac:dyDescent="0.25">
      <c r="A3" s="359" t="s">
        <v>1017</v>
      </c>
      <c r="B3" s="359"/>
      <c r="C3" s="359"/>
      <c r="D3" s="359"/>
      <c r="E3" s="359"/>
      <c r="F3" s="359"/>
      <c r="G3" s="359"/>
      <c r="H3" s="359"/>
      <c r="J3" s="169"/>
      <c r="K3" s="169"/>
      <c r="L3" s="169"/>
      <c r="M3" s="169"/>
      <c r="N3" s="169"/>
    </row>
    <row r="4" spans="1:15" ht="30" x14ac:dyDescent="0.2">
      <c r="A4" s="173" t="s">
        <v>1018</v>
      </c>
      <c r="B4" s="173" t="s">
        <v>1019</v>
      </c>
      <c r="C4" s="173" t="s">
        <v>1020</v>
      </c>
      <c r="D4" s="173" t="s">
        <v>1021</v>
      </c>
      <c r="E4" s="173" t="s">
        <v>6</v>
      </c>
      <c r="F4" s="173" t="s">
        <v>7</v>
      </c>
      <c r="G4" s="173" t="s">
        <v>8</v>
      </c>
      <c r="H4" s="174" t="s">
        <v>972</v>
      </c>
      <c r="I4" s="175"/>
      <c r="J4" s="176"/>
      <c r="K4" s="176"/>
      <c r="L4" s="176"/>
      <c r="M4" s="176"/>
      <c r="N4" s="176"/>
      <c r="O4" s="177"/>
    </row>
    <row r="5" spans="1:15" ht="25.5" x14ac:dyDescent="0.25">
      <c r="A5" s="178"/>
      <c r="B5" s="178"/>
      <c r="C5" s="179" t="s">
        <v>1022</v>
      </c>
      <c r="D5" s="178"/>
      <c r="E5" s="178"/>
      <c r="F5" s="180"/>
      <c r="G5" s="180"/>
      <c r="H5" s="181"/>
      <c r="J5" s="169"/>
      <c r="K5" s="169"/>
      <c r="L5" s="169"/>
      <c r="M5" s="169"/>
      <c r="N5" s="169"/>
    </row>
    <row r="6" spans="1:15" ht="25.5" x14ac:dyDescent="0.25">
      <c r="A6" s="178">
        <v>1</v>
      </c>
      <c r="B6" s="178" t="s">
        <v>1023</v>
      </c>
      <c r="C6" s="182" t="s">
        <v>1039</v>
      </c>
      <c r="D6" s="178" t="s">
        <v>1024</v>
      </c>
      <c r="E6" s="183">
        <v>13085595.022</v>
      </c>
      <c r="F6" s="150">
        <v>10170.0258675</v>
      </c>
      <c r="G6" s="184">
        <v>0.97355019000000009</v>
      </c>
      <c r="H6" s="181"/>
      <c r="I6" s="171"/>
      <c r="J6" s="169"/>
      <c r="K6" s="185"/>
      <c r="L6" s="169"/>
      <c r="M6" s="169"/>
      <c r="N6" s="169"/>
    </row>
    <row r="7" spans="1:15" x14ac:dyDescent="0.25">
      <c r="A7" s="186"/>
      <c r="B7" s="181"/>
      <c r="C7" s="181"/>
      <c r="D7" s="181"/>
      <c r="E7" s="181"/>
      <c r="F7" s="181"/>
      <c r="G7" s="181"/>
      <c r="H7" s="187"/>
      <c r="J7" s="169"/>
      <c r="K7" s="169"/>
      <c r="L7" s="169"/>
      <c r="M7" s="169"/>
      <c r="N7" s="169"/>
    </row>
    <row r="8" spans="1:15" ht="25.5" x14ac:dyDescent="0.25">
      <c r="A8" s="188"/>
      <c r="B8" s="188"/>
      <c r="C8" s="189" t="s">
        <v>1025</v>
      </c>
      <c r="D8" s="189"/>
      <c r="E8" s="190"/>
      <c r="F8" s="122">
        <v>10170.0258675</v>
      </c>
      <c r="G8" s="191">
        <v>0.97355019000000009</v>
      </c>
      <c r="H8" s="192"/>
      <c r="J8" s="169"/>
      <c r="K8" s="169"/>
      <c r="L8" s="169"/>
      <c r="M8" s="169"/>
      <c r="N8" s="169"/>
    </row>
    <row r="9" spans="1:15" x14ac:dyDescent="0.25">
      <c r="A9" s="188"/>
      <c r="B9" s="188"/>
      <c r="C9" s="188"/>
      <c r="D9" s="188"/>
      <c r="E9" s="188"/>
      <c r="F9" s="151"/>
      <c r="G9" s="188"/>
      <c r="H9" s="181"/>
      <c r="J9" s="169"/>
      <c r="K9" s="169"/>
      <c r="L9" s="169"/>
      <c r="M9" s="169"/>
      <c r="N9" s="169"/>
    </row>
    <row r="10" spans="1:15" x14ac:dyDescent="0.25">
      <c r="A10" s="178"/>
      <c r="B10" s="178"/>
      <c r="C10" s="193" t="s">
        <v>1026</v>
      </c>
      <c r="D10" s="193"/>
      <c r="E10" s="193"/>
      <c r="F10" s="152"/>
      <c r="G10" s="188"/>
      <c r="H10" s="181"/>
      <c r="J10" s="169"/>
      <c r="K10" s="169"/>
      <c r="L10" s="169"/>
      <c r="M10" s="169"/>
      <c r="N10" s="169"/>
    </row>
    <row r="11" spans="1:15" x14ac:dyDescent="0.25">
      <c r="A11" s="178"/>
      <c r="B11" s="178"/>
      <c r="C11" s="194" t="s">
        <v>1027</v>
      </c>
      <c r="D11" s="193"/>
      <c r="E11" s="193"/>
      <c r="F11" s="152"/>
      <c r="G11" s="188"/>
      <c r="H11" s="181"/>
      <c r="J11" s="169"/>
      <c r="K11" s="169"/>
      <c r="L11" s="169"/>
      <c r="M11" s="169"/>
      <c r="N11" s="169"/>
    </row>
    <row r="12" spans="1:15" x14ac:dyDescent="0.25">
      <c r="A12" s="188"/>
      <c r="B12" s="188"/>
      <c r="C12" s="195" t="s">
        <v>147</v>
      </c>
      <c r="D12" s="193"/>
      <c r="E12" s="193"/>
      <c r="F12" s="153">
        <v>320.14860919099993</v>
      </c>
      <c r="G12" s="154">
        <v>3.0646995727135869E-2</v>
      </c>
      <c r="H12" s="196">
        <v>6.12</v>
      </c>
      <c r="J12" s="169"/>
      <c r="K12" s="169"/>
      <c r="L12" s="169"/>
      <c r="M12" s="169"/>
      <c r="N12" s="169"/>
    </row>
    <row r="13" spans="1:15" x14ac:dyDescent="0.25">
      <c r="A13" s="188"/>
      <c r="B13" s="188"/>
      <c r="C13" s="195"/>
      <c r="D13" s="193"/>
      <c r="E13" s="193"/>
      <c r="F13" s="153"/>
      <c r="G13" s="197"/>
      <c r="H13" s="181"/>
      <c r="J13" s="198" t="s">
        <v>1119</v>
      </c>
      <c r="K13" s="169"/>
      <c r="L13" s="169"/>
      <c r="M13" s="169"/>
      <c r="N13" s="169"/>
    </row>
    <row r="14" spans="1:15" x14ac:dyDescent="0.25">
      <c r="A14" s="188"/>
      <c r="B14" s="188"/>
      <c r="C14" s="199" t="s">
        <v>148</v>
      </c>
      <c r="D14" s="188"/>
      <c r="E14" s="188"/>
      <c r="F14" s="155">
        <v>320.14860919099993</v>
      </c>
      <c r="G14" s="191">
        <v>3.0646995727135869E-2</v>
      </c>
      <c r="H14" s="181"/>
      <c r="J14" s="169"/>
      <c r="K14" s="169"/>
      <c r="L14" s="169"/>
      <c r="M14" s="169"/>
      <c r="N14" s="169"/>
    </row>
    <row r="15" spans="1:15" x14ac:dyDescent="0.25">
      <c r="A15" s="188"/>
      <c r="B15" s="188"/>
      <c r="C15" s="188"/>
      <c r="D15" s="188"/>
      <c r="E15" s="188"/>
      <c r="F15" s="151"/>
      <c r="G15" s="188"/>
      <c r="H15" s="181"/>
      <c r="J15" s="169"/>
      <c r="K15" s="169"/>
      <c r="L15" s="169"/>
      <c r="M15" s="169"/>
      <c r="N15" s="169"/>
    </row>
    <row r="16" spans="1:15" x14ac:dyDescent="0.25">
      <c r="A16" s="188"/>
      <c r="B16" s="188"/>
      <c r="C16" s="195" t="s">
        <v>1028</v>
      </c>
      <c r="D16" s="193"/>
      <c r="E16" s="193"/>
      <c r="F16" s="153">
        <v>-43.845184207373677</v>
      </c>
      <c r="G16" s="154">
        <v>-4.1971857271358749E-3</v>
      </c>
      <c r="H16" s="200"/>
      <c r="J16" s="169"/>
      <c r="K16" s="169"/>
      <c r="L16" s="169"/>
      <c r="M16" s="169"/>
      <c r="N16" s="169"/>
    </row>
    <row r="17" spans="1:14" x14ac:dyDescent="0.25">
      <c r="A17" s="188"/>
      <c r="B17" s="188"/>
      <c r="C17" s="188"/>
      <c r="D17" s="188"/>
      <c r="E17" s="188"/>
      <c r="F17" s="151"/>
      <c r="G17" s="188"/>
      <c r="H17" s="181"/>
      <c r="J17" s="169"/>
      <c r="K17" s="169"/>
      <c r="L17" s="169"/>
      <c r="M17" s="169"/>
      <c r="N17" s="169"/>
    </row>
    <row r="18" spans="1:14" x14ac:dyDescent="0.25">
      <c r="A18" s="188"/>
      <c r="B18" s="188"/>
      <c r="C18" s="199" t="s">
        <v>155</v>
      </c>
      <c r="D18" s="188"/>
      <c r="E18" s="188"/>
      <c r="F18" s="155">
        <v>10446.329292483626</v>
      </c>
      <c r="G18" s="201">
        <v>1</v>
      </c>
      <c r="H18" s="202"/>
      <c r="J18" s="169"/>
      <c r="K18" s="169"/>
      <c r="L18" s="169"/>
      <c r="M18" s="169"/>
      <c r="N18" s="169"/>
    </row>
    <row r="19" spans="1:14" x14ac:dyDescent="0.25">
      <c r="F19" s="203"/>
      <c r="H19" s="204"/>
      <c r="J19" s="169"/>
      <c r="K19" s="169"/>
      <c r="L19" s="169"/>
      <c r="M19" s="169"/>
      <c r="N19" s="169"/>
    </row>
    <row r="20" spans="1:14" x14ac:dyDescent="0.25">
      <c r="B20" s="205" t="s">
        <v>157</v>
      </c>
      <c r="C20" s="206"/>
      <c r="D20" s="206"/>
      <c r="E20" s="206"/>
      <c r="F20" s="207"/>
      <c r="G20" s="206"/>
      <c r="J20" s="169"/>
      <c r="K20" s="169"/>
      <c r="L20" s="169"/>
      <c r="M20" s="169"/>
      <c r="N20" s="169"/>
    </row>
    <row r="21" spans="1:14" x14ac:dyDescent="0.25">
      <c r="B21" s="206" t="s">
        <v>1029</v>
      </c>
      <c r="C21" s="206"/>
      <c r="D21" s="206"/>
      <c r="E21" s="206"/>
      <c r="F21" s="208"/>
      <c r="G21" s="208"/>
      <c r="J21" s="169"/>
      <c r="K21" s="169"/>
      <c r="L21" s="169"/>
      <c r="M21" s="169"/>
      <c r="N21" s="169"/>
    </row>
    <row r="22" spans="1:14" x14ac:dyDescent="0.25">
      <c r="B22" s="355" t="s">
        <v>1030</v>
      </c>
      <c r="C22" s="355"/>
      <c r="D22" s="206"/>
      <c r="E22" s="206"/>
      <c r="F22" s="209"/>
      <c r="G22" s="209"/>
      <c r="J22" s="169"/>
      <c r="K22" s="169"/>
      <c r="L22" s="169"/>
      <c r="M22" s="169"/>
      <c r="N22" s="169"/>
    </row>
    <row r="23" spans="1:14" x14ac:dyDescent="0.25">
      <c r="B23" s="360" t="s">
        <v>161</v>
      </c>
      <c r="C23" s="361"/>
      <c r="D23" s="362"/>
      <c r="E23" s="210"/>
      <c r="F23" s="206" t="s">
        <v>1031</v>
      </c>
      <c r="G23" s="206"/>
      <c r="J23" s="169"/>
      <c r="K23" s="169"/>
      <c r="L23" s="169"/>
      <c r="M23" s="169"/>
      <c r="N23" s="169"/>
    </row>
    <row r="24" spans="1:14" x14ac:dyDescent="0.25">
      <c r="B24" s="211"/>
      <c r="C24" s="226" t="s">
        <v>162</v>
      </c>
      <c r="D24" s="226" t="s">
        <v>163</v>
      </c>
      <c r="E24" s="212"/>
      <c r="F24" s="212"/>
      <c r="G24" s="206"/>
      <c r="J24" s="169"/>
      <c r="K24" s="169"/>
      <c r="L24" s="169"/>
      <c r="M24" s="169"/>
      <c r="N24" s="169"/>
    </row>
    <row r="25" spans="1:14" x14ac:dyDescent="0.25">
      <c r="B25" s="213" t="s">
        <v>1032</v>
      </c>
      <c r="C25" s="227">
        <v>44804</v>
      </c>
      <c r="D25" s="227">
        <v>44834</v>
      </c>
      <c r="E25" s="214"/>
      <c r="F25" s="214"/>
      <c r="G25" s="215"/>
      <c r="J25" s="169"/>
      <c r="K25" s="169"/>
      <c r="L25" s="169"/>
      <c r="M25" s="169"/>
      <c r="N25" s="169"/>
    </row>
    <row r="26" spans="1:14" x14ac:dyDescent="0.25">
      <c r="B26" s="216" t="s">
        <v>167</v>
      </c>
      <c r="C26" s="217">
        <v>23.114999999999998</v>
      </c>
      <c r="D26" s="228">
        <v>21.1432</v>
      </c>
      <c r="E26" s="218"/>
      <c r="F26" s="219"/>
      <c r="G26" s="215"/>
      <c r="J26" s="169"/>
      <c r="K26" s="169"/>
      <c r="L26" s="169"/>
      <c r="M26" s="169"/>
      <c r="N26" s="169"/>
    </row>
    <row r="27" spans="1:14" x14ac:dyDescent="0.25">
      <c r="B27" s="65" t="s">
        <v>1033</v>
      </c>
      <c r="C27" s="217">
        <v>20.559899999999999</v>
      </c>
      <c r="D27" s="217">
        <v>18.805800000000001</v>
      </c>
      <c r="E27" s="218"/>
      <c r="F27" s="219"/>
      <c r="G27" s="215"/>
      <c r="J27" s="169"/>
      <c r="K27" s="169"/>
      <c r="L27" s="169"/>
      <c r="M27" s="169"/>
      <c r="N27" s="169"/>
    </row>
    <row r="28" spans="1:14" x14ac:dyDescent="0.25">
      <c r="B28" s="216" t="s">
        <v>168</v>
      </c>
      <c r="C28" s="217">
        <v>21.707599999999999</v>
      </c>
      <c r="D28" s="217">
        <v>19.8367</v>
      </c>
      <c r="E28" s="218"/>
      <c r="F28" s="219"/>
      <c r="G28" s="219"/>
      <c r="J28" s="169"/>
      <c r="K28" s="169"/>
      <c r="L28" s="169"/>
      <c r="M28" s="169"/>
      <c r="N28" s="169"/>
    </row>
    <row r="29" spans="1:14" x14ac:dyDescent="0.25">
      <c r="B29" s="220" t="s">
        <v>1034</v>
      </c>
      <c r="C29" s="217">
        <v>18.601600000000001</v>
      </c>
      <c r="D29" s="217">
        <v>16.9983</v>
      </c>
      <c r="E29" s="218"/>
      <c r="F29" s="219"/>
      <c r="G29" s="219"/>
      <c r="J29" s="169"/>
      <c r="K29" s="169"/>
      <c r="L29" s="169"/>
      <c r="M29" s="169"/>
      <c r="N29" s="169"/>
    </row>
    <row r="30" spans="1:14" ht="15" customHeight="1" x14ac:dyDescent="0.25">
      <c r="B30" s="221"/>
      <c r="C30" s="222"/>
      <c r="D30" s="222"/>
      <c r="E30" s="222"/>
      <c r="F30" s="222"/>
      <c r="G30" s="206"/>
      <c r="J30" s="169"/>
      <c r="K30" s="169"/>
      <c r="L30" s="169"/>
      <c r="M30" s="169"/>
      <c r="N30" s="169"/>
    </row>
    <row r="31" spans="1:14" x14ac:dyDescent="0.25">
      <c r="B31" s="355" t="s">
        <v>1035</v>
      </c>
      <c r="C31" s="355"/>
      <c r="D31" s="355"/>
      <c r="E31" s="223"/>
      <c r="F31" s="223"/>
      <c r="G31" s="215"/>
      <c r="J31" s="169"/>
      <c r="K31" s="169"/>
      <c r="L31" s="169"/>
      <c r="M31" s="169"/>
      <c r="N31" s="169"/>
    </row>
    <row r="32" spans="1:14" x14ac:dyDescent="0.25">
      <c r="B32" s="355" t="s">
        <v>1036</v>
      </c>
      <c r="C32" s="355"/>
      <c r="D32" s="355"/>
      <c r="E32" s="206"/>
      <c r="F32" s="206"/>
      <c r="G32" s="206"/>
      <c r="J32" s="169"/>
      <c r="K32" s="169"/>
      <c r="L32" s="169"/>
      <c r="M32" s="169"/>
      <c r="N32" s="169"/>
    </row>
    <row r="33" spans="2:14" ht="15" customHeight="1" x14ac:dyDescent="0.25">
      <c r="B33" s="224" t="s">
        <v>1037</v>
      </c>
      <c r="C33" s="224"/>
      <c r="D33" s="224"/>
      <c r="E33" s="225"/>
      <c r="F33" s="225"/>
      <c r="G33" s="206"/>
      <c r="J33" s="169"/>
      <c r="K33" s="169"/>
      <c r="L33" s="169"/>
      <c r="M33" s="169"/>
      <c r="N33" s="169"/>
    </row>
    <row r="34" spans="2:14" x14ac:dyDescent="0.25">
      <c r="B34" s="356" t="s">
        <v>1038</v>
      </c>
      <c r="C34" s="356"/>
      <c r="D34" s="356"/>
      <c r="E34" s="215"/>
      <c r="F34" s="215"/>
      <c r="G34" s="215"/>
      <c r="J34" s="169"/>
      <c r="K34" s="169"/>
      <c r="L34" s="169"/>
      <c r="M34" s="169"/>
      <c r="N34" s="169"/>
    </row>
    <row r="35" spans="2:14" x14ac:dyDescent="0.25">
      <c r="J35" s="169"/>
      <c r="K35" s="169"/>
      <c r="L35" s="169"/>
      <c r="M35" s="169"/>
      <c r="N35" s="169"/>
    </row>
    <row r="36" spans="2:14" x14ac:dyDescent="0.25">
      <c r="J36" s="169"/>
      <c r="K36" s="169"/>
      <c r="L36" s="169"/>
      <c r="M36" s="169"/>
      <c r="N36" s="169"/>
    </row>
    <row r="37" spans="2:14" x14ac:dyDescent="0.25">
      <c r="J37" s="169"/>
      <c r="K37" s="169"/>
      <c r="L37" s="169"/>
      <c r="M37" s="169"/>
      <c r="N37" s="169"/>
    </row>
    <row r="38" spans="2:14" x14ac:dyDescent="0.25">
      <c r="J38" s="169"/>
      <c r="K38" s="169"/>
      <c r="L38" s="169"/>
      <c r="M38" s="169"/>
      <c r="N38" s="169"/>
    </row>
    <row r="39" spans="2:14" x14ac:dyDescent="0.25">
      <c r="J39" s="169"/>
      <c r="K39" s="169"/>
      <c r="L39" s="169"/>
      <c r="M39" s="169"/>
      <c r="N39" s="169"/>
    </row>
    <row r="40" spans="2:14" x14ac:dyDescent="0.25">
      <c r="J40" s="169"/>
      <c r="K40" s="169"/>
      <c r="L40" s="169"/>
      <c r="M40" s="169"/>
      <c r="N40" s="169"/>
    </row>
    <row r="41" spans="2:14" x14ac:dyDescent="0.25">
      <c r="J41" s="169"/>
      <c r="K41" s="169"/>
      <c r="L41" s="169"/>
      <c r="M41" s="169"/>
      <c r="N41" s="169"/>
    </row>
    <row r="42" spans="2:14" x14ac:dyDescent="0.25">
      <c r="J42" s="169"/>
      <c r="K42" s="169"/>
      <c r="L42" s="169"/>
      <c r="M42" s="169"/>
      <c r="N42" s="169"/>
    </row>
    <row r="43" spans="2:14" x14ac:dyDescent="0.25">
      <c r="J43" s="169"/>
      <c r="K43" s="169"/>
      <c r="L43" s="169"/>
      <c r="M43" s="169"/>
      <c r="N43" s="169"/>
    </row>
    <row r="44" spans="2:14" x14ac:dyDescent="0.25">
      <c r="J44" s="169"/>
      <c r="K44" s="169"/>
      <c r="L44" s="169"/>
      <c r="M44" s="169"/>
      <c r="N44" s="169"/>
    </row>
    <row r="45" spans="2:14" x14ac:dyDescent="0.25">
      <c r="J45" s="169"/>
      <c r="K45" s="169"/>
      <c r="L45" s="169"/>
      <c r="M45" s="169"/>
      <c r="N45" s="169"/>
    </row>
    <row r="46" spans="2:14" x14ac:dyDescent="0.25">
      <c r="J46" s="169"/>
      <c r="K46" s="169"/>
      <c r="L46" s="169"/>
      <c r="M46" s="169"/>
      <c r="N46" s="169"/>
    </row>
    <row r="47" spans="2:14" x14ac:dyDescent="0.25">
      <c r="J47" s="169"/>
      <c r="K47" s="169"/>
      <c r="L47" s="169"/>
      <c r="M47" s="169"/>
      <c r="N47" s="169"/>
    </row>
    <row r="48" spans="2:14" x14ac:dyDescent="0.25">
      <c r="J48" s="169"/>
      <c r="K48" s="169"/>
      <c r="L48" s="169"/>
      <c r="M48" s="169"/>
      <c r="N48" s="169"/>
    </row>
    <row r="49" spans="10:14" x14ac:dyDescent="0.25">
      <c r="J49" s="169"/>
      <c r="K49" s="169"/>
      <c r="L49" s="169"/>
      <c r="M49" s="169"/>
      <c r="N49" s="169"/>
    </row>
    <row r="50" spans="10:14" x14ac:dyDescent="0.25">
      <c r="J50" s="169"/>
      <c r="K50" s="169"/>
      <c r="L50" s="169"/>
      <c r="M50" s="169"/>
      <c r="N50" s="169"/>
    </row>
    <row r="51" spans="10:14" x14ac:dyDescent="0.25">
      <c r="J51" s="169"/>
      <c r="K51" s="169"/>
      <c r="L51" s="169"/>
      <c r="M51" s="169"/>
      <c r="N51" s="169"/>
    </row>
    <row r="52" spans="10:14" x14ac:dyDescent="0.25">
      <c r="J52" s="169"/>
      <c r="K52" s="169"/>
      <c r="L52" s="169"/>
      <c r="M52" s="169"/>
      <c r="N52" s="169"/>
    </row>
    <row r="53" spans="10:14" x14ac:dyDescent="0.25">
      <c r="J53" s="169"/>
      <c r="K53" s="169"/>
      <c r="L53" s="169"/>
      <c r="M53" s="169"/>
      <c r="N53" s="169"/>
    </row>
    <row r="54" spans="10:14" x14ac:dyDescent="0.25">
      <c r="J54" s="169"/>
      <c r="K54" s="169"/>
      <c r="L54" s="169"/>
      <c r="M54" s="169"/>
      <c r="N54" s="169"/>
    </row>
    <row r="55" spans="10:14" x14ac:dyDescent="0.25">
      <c r="J55" s="169"/>
      <c r="K55" s="169"/>
      <c r="L55" s="169"/>
      <c r="M55" s="169"/>
      <c r="N55" s="169"/>
    </row>
    <row r="56" spans="10:14" x14ac:dyDescent="0.25">
      <c r="J56" s="169"/>
      <c r="K56" s="169"/>
      <c r="L56" s="169"/>
      <c r="M56" s="169"/>
      <c r="N56" s="169"/>
    </row>
    <row r="57" spans="10:14" x14ac:dyDescent="0.25">
      <c r="J57" s="169"/>
      <c r="K57" s="169"/>
      <c r="L57" s="169"/>
      <c r="M57" s="169"/>
      <c r="N57" s="169"/>
    </row>
    <row r="58" spans="10:14" x14ac:dyDescent="0.25">
      <c r="J58" s="169"/>
      <c r="K58" s="169"/>
      <c r="L58" s="169"/>
      <c r="M58" s="169"/>
      <c r="N58" s="169"/>
    </row>
    <row r="59" spans="10:14" x14ac:dyDescent="0.25">
      <c r="J59" s="169"/>
      <c r="K59" s="169"/>
      <c r="L59" s="169"/>
      <c r="M59" s="169"/>
      <c r="N59" s="169"/>
    </row>
    <row r="60" spans="10:14" x14ac:dyDescent="0.25">
      <c r="J60" s="169"/>
      <c r="K60" s="169"/>
      <c r="L60" s="169"/>
      <c r="M60" s="169"/>
      <c r="N60" s="169"/>
    </row>
    <row r="61" spans="10:14" x14ac:dyDescent="0.25">
      <c r="J61" s="169"/>
      <c r="K61" s="169"/>
      <c r="L61" s="169"/>
      <c r="M61" s="169"/>
      <c r="N61" s="169"/>
    </row>
  </sheetData>
  <mergeCells count="9">
    <mergeCell ref="J2:N2"/>
    <mergeCell ref="B32:D32"/>
    <mergeCell ref="B34:D34"/>
    <mergeCell ref="A1:H1"/>
    <mergeCell ref="A2:H2"/>
    <mergeCell ref="A3:H3"/>
    <mergeCell ref="B22:C22"/>
    <mergeCell ref="B23:D23"/>
    <mergeCell ref="B31:D31"/>
  </mergeCells>
  <hyperlinks>
    <hyperlink ref="I1" location="Index!B38" display="Index" xr:uid="{DCE76420-AAF8-4F43-9F30-2F3191820AF0}"/>
  </hyperlinks>
  <pageMargins left="0.7" right="0.7" top="0.75" bottom="0.75" header="0.3" footer="0.3"/>
  <pageSetup orientation="portrait"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4099D-2EC1-4C4C-BB1B-5A2DC9855DF4}">
  <sheetPr>
    <pageSetUpPr fitToPage="1"/>
  </sheetPr>
  <dimension ref="B1:L178"/>
  <sheetViews>
    <sheetView zoomScaleNormal="100" workbookViewId="0">
      <selection activeCell="B119" sqref="B119"/>
    </sheetView>
  </sheetViews>
  <sheetFormatPr defaultRowHeight="12.75" x14ac:dyDescent="0.2"/>
  <cols>
    <col min="1" max="1" width="5.28515625" style="234" customWidth="1"/>
    <col min="2" max="2" width="41.140625" style="234" customWidth="1"/>
    <col min="3" max="3" width="54.7109375" style="234" customWidth="1"/>
    <col min="4" max="4" width="17.28515625" style="234" bestFit="1" customWidth="1"/>
    <col min="5" max="5" width="20.140625" style="234" bestFit="1" customWidth="1"/>
    <col min="6" max="6" width="16.5703125" style="234" customWidth="1"/>
    <col min="7" max="7" width="18.7109375" style="234" bestFit="1" customWidth="1"/>
    <col min="8" max="8" width="17.5703125" style="234" customWidth="1"/>
    <col min="9" max="9" width="15.5703125" style="234" bestFit="1" customWidth="1"/>
    <col min="10" max="10" width="13.5703125" style="234" customWidth="1"/>
    <col min="11" max="11" width="20.5703125" style="234" customWidth="1"/>
    <col min="12" max="12" width="12.42578125" style="234" bestFit="1" customWidth="1"/>
    <col min="13" max="256" width="9.140625" style="234"/>
    <col min="257" max="257" width="23" style="234" customWidth="1"/>
    <col min="258" max="258" width="41.140625" style="234" customWidth="1"/>
    <col min="259" max="259" width="54.7109375" style="234" customWidth="1"/>
    <col min="260" max="260" width="17.28515625" style="234" bestFit="1" customWidth="1"/>
    <col min="261" max="261" width="20.140625" style="234" bestFit="1" customWidth="1"/>
    <col min="262" max="262" width="16.5703125" style="234" customWidth="1"/>
    <col min="263" max="263" width="18.7109375" style="234" bestFit="1" customWidth="1"/>
    <col min="264" max="264" width="17.5703125" style="234" customWidth="1"/>
    <col min="265" max="265" width="15.5703125" style="234" bestFit="1" customWidth="1"/>
    <col min="266" max="266" width="13.5703125" style="234" customWidth="1"/>
    <col min="267" max="267" width="20.5703125" style="234" customWidth="1"/>
    <col min="268" max="268" width="12.42578125" style="234" bestFit="1" customWidth="1"/>
    <col min="269" max="512" width="9.140625" style="234"/>
    <col min="513" max="513" width="23" style="234" customWidth="1"/>
    <col min="514" max="514" width="41.140625" style="234" customWidth="1"/>
    <col min="515" max="515" width="54.7109375" style="234" customWidth="1"/>
    <col min="516" max="516" width="17.28515625" style="234" bestFit="1" customWidth="1"/>
    <col min="517" max="517" width="20.140625" style="234" bestFit="1" customWidth="1"/>
    <col min="518" max="518" width="16.5703125" style="234" customWidth="1"/>
    <col min="519" max="519" width="18.7109375" style="234" bestFit="1" customWidth="1"/>
    <col min="520" max="520" width="17.5703125" style="234" customWidth="1"/>
    <col min="521" max="521" width="15.5703125" style="234" bestFit="1" customWidth="1"/>
    <col min="522" max="522" width="13.5703125" style="234" customWidth="1"/>
    <col min="523" max="523" width="20.5703125" style="234" customWidth="1"/>
    <col min="524" max="524" width="12.42578125" style="234" bestFit="1" customWidth="1"/>
    <col min="525" max="768" width="9.140625" style="234"/>
    <col min="769" max="769" width="23" style="234" customWidth="1"/>
    <col min="770" max="770" width="41.140625" style="234" customWidth="1"/>
    <col min="771" max="771" width="54.7109375" style="234" customWidth="1"/>
    <col min="772" max="772" width="17.28515625" style="234" bestFit="1" customWidth="1"/>
    <col min="773" max="773" width="20.140625" style="234" bestFit="1" customWidth="1"/>
    <col min="774" max="774" width="16.5703125" style="234" customWidth="1"/>
    <col min="775" max="775" width="18.7109375" style="234" bestFit="1" customWidth="1"/>
    <col min="776" max="776" width="17.5703125" style="234" customWidth="1"/>
    <col min="777" max="777" width="15.5703125" style="234" bestFit="1" customWidth="1"/>
    <col min="778" max="778" width="13.5703125" style="234" customWidth="1"/>
    <col min="779" max="779" width="20.5703125" style="234" customWidth="1"/>
    <col min="780" max="780" width="12.42578125" style="234" bestFit="1" customWidth="1"/>
    <col min="781" max="1024" width="9.140625" style="234"/>
    <col min="1025" max="1025" width="23" style="234" customWidth="1"/>
    <col min="1026" max="1026" width="41.140625" style="234" customWidth="1"/>
    <col min="1027" max="1027" width="54.7109375" style="234" customWidth="1"/>
    <col min="1028" max="1028" width="17.28515625" style="234" bestFit="1" customWidth="1"/>
    <col min="1029" max="1029" width="20.140625" style="234" bestFit="1" customWidth="1"/>
    <col min="1030" max="1030" width="16.5703125" style="234" customWidth="1"/>
    <col min="1031" max="1031" width="18.7109375" style="234" bestFit="1" customWidth="1"/>
    <col min="1032" max="1032" width="17.5703125" style="234" customWidth="1"/>
    <col min="1033" max="1033" width="15.5703125" style="234" bestFit="1" customWidth="1"/>
    <col min="1034" max="1034" width="13.5703125" style="234" customWidth="1"/>
    <col min="1035" max="1035" width="20.5703125" style="234" customWidth="1"/>
    <col min="1036" max="1036" width="12.42578125" style="234" bestFit="1" customWidth="1"/>
    <col min="1037" max="1280" width="9.140625" style="234"/>
    <col min="1281" max="1281" width="23" style="234" customWidth="1"/>
    <col min="1282" max="1282" width="41.140625" style="234" customWidth="1"/>
    <col min="1283" max="1283" width="54.7109375" style="234" customWidth="1"/>
    <col min="1284" max="1284" width="17.28515625" style="234" bestFit="1" customWidth="1"/>
    <col min="1285" max="1285" width="20.140625" style="234" bestFit="1" customWidth="1"/>
    <col min="1286" max="1286" width="16.5703125" style="234" customWidth="1"/>
    <col min="1287" max="1287" width="18.7109375" style="234" bestFit="1" customWidth="1"/>
    <col min="1288" max="1288" width="17.5703125" style="234" customWidth="1"/>
    <col min="1289" max="1289" width="15.5703125" style="234" bestFit="1" customWidth="1"/>
    <col min="1290" max="1290" width="13.5703125" style="234" customWidth="1"/>
    <col min="1291" max="1291" width="20.5703125" style="234" customWidth="1"/>
    <col min="1292" max="1292" width="12.42578125" style="234" bestFit="1" customWidth="1"/>
    <col min="1293" max="1536" width="9.140625" style="234"/>
    <col min="1537" max="1537" width="23" style="234" customWidth="1"/>
    <col min="1538" max="1538" width="41.140625" style="234" customWidth="1"/>
    <col min="1539" max="1539" width="54.7109375" style="234" customWidth="1"/>
    <col min="1540" max="1540" width="17.28515625" style="234" bestFit="1" customWidth="1"/>
    <col min="1541" max="1541" width="20.140625" style="234" bestFit="1" customWidth="1"/>
    <col min="1542" max="1542" width="16.5703125" style="234" customWidth="1"/>
    <col min="1543" max="1543" width="18.7109375" style="234" bestFit="1" customWidth="1"/>
    <col min="1544" max="1544" width="17.5703125" style="234" customWidth="1"/>
    <col min="1545" max="1545" width="15.5703125" style="234" bestFit="1" customWidth="1"/>
    <col min="1546" max="1546" width="13.5703125" style="234" customWidth="1"/>
    <col min="1547" max="1547" width="20.5703125" style="234" customWidth="1"/>
    <col min="1548" max="1548" width="12.42578125" style="234" bestFit="1" customWidth="1"/>
    <col min="1549" max="1792" width="9.140625" style="234"/>
    <col min="1793" max="1793" width="23" style="234" customWidth="1"/>
    <col min="1794" max="1794" width="41.140625" style="234" customWidth="1"/>
    <col min="1795" max="1795" width="54.7109375" style="234" customWidth="1"/>
    <col min="1796" max="1796" width="17.28515625" style="234" bestFit="1" customWidth="1"/>
    <col min="1797" max="1797" width="20.140625" style="234" bestFit="1" customWidth="1"/>
    <col min="1798" max="1798" width="16.5703125" style="234" customWidth="1"/>
    <col min="1799" max="1799" width="18.7109375" style="234" bestFit="1" customWidth="1"/>
    <col min="1800" max="1800" width="17.5703125" style="234" customWidth="1"/>
    <col min="1801" max="1801" width="15.5703125" style="234" bestFit="1" customWidth="1"/>
    <col min="1802" max="1802" width="13.5703125" style="234" customWidth="1"/>
    <col min="1803" max="1803" width="20.5703125" style="234" customWidth="1"/>
    <col min="1804" max="1804" width="12.42578125" style="234" bestFit="1" customWidth="1"/>
    <col min="1805" max="2048" width="9.140625" style="234"/>
    <col min="2049" max="2049" width="23" style="234" customWidth="1"/>
    <col min="2050" max="2050" width="41.140625" style="234" customWidth="1"/>
    <col min="2051" max="2051" width="54.7109375" style="234" customWidth="1"/>
    <col min="2052" max="2052" width="17.28515625" style="234" bestFit="1" customWidth="1"/>
    <col min="2053" max="2053" width="20.140625" style="234" bestFit="1" customWidth="1"/>
    <col min="2054" max="2054" width="16.5703125" style="234" customWidth="1"/>
    <col min="2055" max="2055" width="18.7109375" style="234" bestFit="1" customWidth="1"/>
    <col min="2056" max="2056" width="17.5703125" style="234" customWidth="1"/>
    <col min="2057" max="2057" width="15.5703125" style="234" bestFit="1" customWidth="1"/>
    <col min="2058" max="2058" width="13.5703125" style="234" customWidth="1"/>
    <col min="2059" max="2059" width="20.5703125" style="234" customWidth="1"/>
    <col min="2060" max="2060" width="12.42578125" style="234" bestFit="1" customWidth="1"/>
    <col min="2061" max="2304" width="9.140625" style="234"/>
    <col min="2305" max="2305" width="23" style="234" customWidth="1"/>
    <col min="2306" max="2306" width="41.140625" style="234" customWidth="1"/>
    <col min="2307" max="2307" width="54.7109375" style="234" customWidth="1"/>
    <col min="2308" max="2308" width="17.28515625" style="234" bestFit="1" customWidth="1"/>
    <col min="2309" max="2309" width="20.140625" style="234" bestFit="1" customWidth="1"/>
    <col min="2310" max="2310" width="16.5703125" style="234" customWidth="1"/>
    <col min="2311" max="2311" width="18.7109375" style="234" bestFit="1" customWidth="1"/>
    <col min="2312" max="2312" width="17.5703125" style="234" customWidth="1"/>
    <col min="2313" max="2313" width="15.5703125" style="234" bestFit="1" customWidth="1"/>
    <col min="2314" max="2314" width="13.5703125" style="234" customWidth="1"/>
    <col min="2315" max="2315" width="20.5703125" style="234" customWidth="1"/>
    <col min="2316" max="2316" width="12.42578125" style="234" bestFit="1" customWidth="1"/>
    <col min="2317" max="2560" width="9.140625" style="234"/>
    <col min="2561" max="2561" width="23" style="234" customWidth="1"/>
    <col min="2562" max="2562" width="41.140625" style="234" customWidth="1"/>
    <col min="2563" max="2563" width="54.7109375" style="234" customWidth="1"/>
    <col min="2564" max="2564" width="17.28515625" style="234" bestFit="1" customWidth="1"/>
    <col min="2565" max="2565" width="20.140625" style="234" bestFit="1" customWidth="1"/>
    <col min="2566" max="2566" width="16.5703125" style="234" customWidth="1"/>
    <col min="2567" max="2567" width="18.7109375" style="234" bestFit="1" customWidth="1"/>
    <col min="2568" max="2568" width="17.5703125" style="234" customWidth="1"/>
    <col min="2569" max="2569" width="15.5703125" style="234" bestFit="1" customWidth="1"/>
    <col min="2570" max="2570" width="13.5703125" style="234" customWidth="1"/>
    <col min="2571" max="2571" width="20.5703125" style="234" customWidth="1"/>
    <col min="2572" max="2572" width="12.42578125" style="234" bestFit="1" customWidth="1"/>
    <col min="2573" max="2816" width="9.140625" style="234"/>
    <col min="2817" max="2817" width="23" style="234" customWidth="1"/>
    <col min="2818" max="2818" width="41.140625" style="234" customWidth="1"/>
    <col min="2819" max="2819" width="54.7109375" style="234" customWidth="1"/>
    <col min="2820" max="2820" width="17.28515625" style="234" bestFit="1" customWidth="1"/>
    <col min="2821" max="2821" width="20.140625" style="234" bestFit="1" customWidth="1"/>
    <col min="2822" max="2822" width="16.5703125" style="234" customWidth="1"/>
    <col min="2823" max="2823" width="18.7109375" style="234" bestFit="1" customWidth="1"/>
    <col min="2824" max="2824" width="17.5703125" style="234" customWidth="1"/>
    <col min="2825" max="2825" width="15.5703125" style="234" bestFit="1" customWidth="1"/>
    <col min="2826" max="2826" width="13.5703125" style="234" customWidth="1"/>
    <col min="2827" max="2827" width="20.5703125" style="234" customWidth="1"/>
    <col min="2828" max="2828" width="12.42578125" style="234" bestFit="1" customWidth="1"/>
    <col min="2829" max="3072" width="9.140625" style="234"/>
    <col min="3073" max="3073" width="23" style="234" customWidth="1"/>
    <col min="3074" max="3074" width="41.140625" style="234" customWidth="1"/>
    <col min="3075" max="3075" width="54.7109375" style="234" customWidth="1"/>
    <col min="3076" max="3076" width="17.28515625" style="234" bestFit="1" customWidth="1"/>
    <col min="3077" max="3077" width="20.140625" style="234" bestFit="1" customWidth="1"/>
    <col min="3078" max="3078" width="16.5703125" style="234" customWidth="1"/>
    <col min="3079" max="3079" width="18.7109375" style="234" bestFit="1" customWidth="1"/>
    <col min="3080" max="3080" width="17.5703125" style="234" customWidth="1"/>
    <col min="3081" max="3081" width="15.5703125" style="234" bestFit="1" customWidth="1"/>
    <col min="3082" max="3082" width="13.5703125" style="234" customWidth="1"/>
    <col min="3083" max="3083" width="20.5703125" style="234" customWidth="1"/>
    <col min="3084" max="3084" width="12.42578125" style="234" bestFit="1" customWidth="1"/>
    <col min="3085" max="3328" width="9.140625" style="234"/>
    <col min="3329" max="3329" width="23" style="234" customWidth="1"/>
    <col min="3330" max="3330" width="41.140625" style="234" customWidth="1"/>
    <col min="3331" max="3331" width="54.7109375" style="234" customWidth="1"/>
    <col min="3332" max="3332" width="17.28515625" style="234" bestFit="1" customWidth="1"/>
    <col min="3333" max="3333" width="20.140625" style="234" bestFit="1" customWidth="1"/>
    <col min="3334" max="3334" width="16.5703125" style="234" customWidth="1"/>
    <col min="3335" max="3335" width="18.7109375" style="234" bestFit="1" customWidth="1"/>
    <col min="3336" max="3336" width="17.5703125" style="234" customWidth="1"/>
    <col min="3337" max="3337" width="15.5703125" style="234" bestFit="1" customWidth="1"/>
    <col min="3338" max="3338" width="13.5703125" style="234" customWidth="1"/>
    <col min="3339" max="3339" width="20.5703125" style="234" customWidth="1"/>
    <col min="3340" max="3340" width="12.42578125" style="234" bestFit="1" customWidth="1"/>
    <col min="3341" max="3584" width="9.140625" style="234"/>
    <col min="3585" max="3585" width="23" style="234" customWidth="1"/>
    <col min="3586" max="3586" width="41.140625" style="234" customWidth="1"/>
    <col min="3587" max="3587" width="54.7109375" style="234" customWidth="1"/>
    <col min="3588" max="3588" width="17.28515625" style="234" bestFit="1" customWidth="1"/>
    <col min="3589" max="3589" width="20.140625" style="234" bestFit="1" customWidth="1"/>
    <col min="3590" max="3590" width="16.5703125" style="234" customWidth="1"/>
    <col min="3591" max="3591" width="18.7109375" style="234" bestFit="1" customWidth="1"/>
    <col min="3592" max="3592" width="17.5703125" style="234" customWidth="1"/>
    <col min="3593" max="3593" width="15.5703125" style="234" bestFit="1" customWidth="1"/>
    <col min="3594" max="3594" width="13.5703125" style="234" customWidth="1"/>
    <col min="3595" max="3595" width="20.5703125" style="234" customWidth="1"/>
    <col min="3596" max="3596" width="12.42578125" style="234" bestFit="1" customWidth="1"/>
    <col min="3597" max="3840" width="9.140625" style="234"/>
    <col min="3841" max="3841" width="23" style="234" customWidth="1"/>
    <col min="3842" max="3842" width="41.140625" style="234" customWidth="1"/>
    <col min="3843" max="3843" width="54.7109375" style="234" customWidth="1"/>
    <col min="3844" max="3844" width="17.28515625" style="234" bestFit="1" customWidth="1"/>
    <col min="3845" max="3845" width="20.140625" style="234" bestFit="1" customWidth="1"/>
    <col min="3846" max="3846" width="16.5703125" style="234" customWidth="1"/>
    <col min="3847" max="3847" width="18.7109375" style="234" bestFit="1" customWidth="1"/>
    <col min="3848" max="3848" width="17.5703125" style="234" customWidth="1"/>
    <col min="3849" max="3849" width="15.5703125" style="234" bestFit="1" customWidth="1"/>
    <col min="3850" max="3850" width="13.5703125" style="234" customWidth="1"/>
    <col min="3851" max="3851" width="20.5703125" style="234" customWidth="1"/>
    <col min="3852" max="3852" width="12.42578125" style="234" bestFit="1" customWidth="1"/>
    <col min="3853" max="4096" width="9.140625" style="234"/>
    <col min="4097" max="4097" width="23" style="234" customWidth="1"/>
    <col min="4098" max="4098" width="41.140625" style="234" customWidth="1"/>
    <col min="4099" max="4099" width="54.7109375" style="234" customWidth="1"/>
    <col min="4100" max="4100" width="17.28515625" style="234" bestFit="1" customWidth="1"/>
    <col min="4101" max="4101" width="20.140625" style="234" bestFit="1" customWidth="1"/>
    <col min="4102" max="4102" width="16.5703125" style="234" customWidth="1"/>
    <col min="4103" max="4103" width="18.7109375" style="234" bestFit="1" customWidth="1"/>
    <col min="4104" max="4104" width="17.5703125" style="234" customWidth="1"/>
    <col min="4105" max="4105" width="15.5703125" style="234" bestFit="1" customWidth="1"/>
    <col min="4106" max="4106" width="13.5703125" style="234" customWidth="1"/>
    <col min="4107" max="4107" width="20.5703125" style="234" customWidth="1"/>
    <col min="4108" max="4108" width="12.42578125" style="234" bestFit="1" customWidth="1"/>
    <col min="4109" max="4352" width="9.140625" style="234"/>
    <col min="4353" max="4353" width="23" style="234" customWidth="1"/>
    <col min="4354" max="4354" width="41.140625" style="234" customWidth="1"/>
    <col min="4355" max="4355" width="54.7109375" style="234" customWidth="1"/>
    <col min="4356" max="4356" width="17.28515625" style="234" bestFit="1" customWidth="1"/>
    <col min="4357" max="4357" width="20.140625" style="234" bestFit="1" customWidth="1"/>
    <col min="4358" max="4358" width="16.5703125" style="234" customWidth="1"/>
    <col min="4359" max="4359" width="18.7109375" style="234" bestFit="1" customWidth="1"/>
    <col min="4360" max="4360" width="17.5703125" style="234" customWidth="1"/>
    <col min="4361" max="4361" width="15.5703125" style="234" bestFit="1" customWidth="1"/>
    <col min="4362" max="4362" width="13.5703125" style="234" customWidth="1"/>
    <col min="4363" max="4363" width="20.5703125" style="234" customWidth="1"/>
    <col min="4364" max="4364" width="12.42578125" style="234" bestFit="1" customWidth="1"/>
    <col min="4365" max="4608" width="9.140625" style="234"/>
    <col min="4609" max="4609" width="23" style="234" customWidth="1"/>
    <col min="4610" max="4610" width="41.140625" style="234" customWidth="1"/>
    <col min="4611" max="4611" width="54.7109375" style="234" customWidth="1"/>
    <col min="4612" max="4612" width="17.28515625" style="234" bestFit="1" customWidth="1"/>
    <col min="4613" max="4613" width="20.140625" style="234" bestFit="1" customWidth="1"/>
    <col min="4614" max="4614" width="16.5703125" style="234" customWidth="1"/>
    <col min="4615" max="4615" width="18.7109375" style="234" bestFit="1" customWidth="1"/>
    <col min="4616" max="4616" width="17.5703125" style="234" customWidth="1"/>
    <col min="4617" max="4617" width="15.5703125" style="234" bestFit="1" customWidth="1"/>
    <col min="4618" max="4618" width="13.5703125" style="234" customWidth="1"/>
    <col min="4619" max="4619" width="20.5703125" style="234" customWidth="1"/>
    <col min="4620" max="4620" width="12.42578125" style="234" bestFit="1" customWidth="1"/>
    <col min="4621" max="4864" width="9.140625" style="234"/>
    <col min="4865" max="4865" width="23" style="234" customWidth="1"/>
    <col min="4866" max="4866" width="41.140625" style="234" customWidth="1"/>
    <col min="4867" max="4867" width="54.7109375" style="234" customWidth="1"/>
    <col min="4868" max="4868" width="17.28515625" style="234" bestFit="1" customWidth="1"/>
    <col min="4869" max="4869" width="20.140625" style="234" bestFit="1" customWidth="1"/>
    <col min="4870" max="4870" width="16.5703125" style="234" customWidth="1"/>
    <col min="4871" max="4871" width="18.7109375" style="234" bestFit="1" customWidth="1"/>
    <col min="4872" max="4872" width="17.5703125" style="234" customWidth="1"/>
    <col min="4873" max="4873" width="15.5703125" style="234" bestFit="1" customWidth="1"/>
    <col min="4874" max="4874" width="13.5703125" style="234" customWidth="1"/>
    <col min="4875" max="4875" width="20.5703125" style="234" customWidth="1"/>
    <col min="4876" max="4876" width="12.42578125" style="234" bestFit="1" customWidth="1"/>
    <col min="4877" max="5120" width="9.140625" style="234"/>
    <col min="5121" max="5121" width="23" style="234" customWidth="1"/>
    <col min="5122" max="5122" width="41.140625" style="234" customWidth="1"/>
    <col min="5123" max="5123" width="54.7109375" style="234" customWidth="1"/>
    <col min="5124" max="5124" width="17.28515625" style="234" bestFit="1" customWidth="1"/>
    <col min="5125" max="5125" width="20.140625" style="234" bestFit="1" customWidth="1"/>
    <col min="5126" max="5126" width="16.5703125" style="234" customWidth="1"/>
    <col min="5127" max="5127" width="18.7109375" style="234" bestFit="1" customWidth="1"/>
    <col min="5128" max="5128" width="17.5703125" style="234" customWidth="1"/>
    <col min="5129" max="5129" width="15.5703125" style="234" bestFit="1" customWidth="1"/>
    <col min="5130" max="5130" width="13.5703125" style="234" customWidth="1"/>
    <col min="5131" max="5131" width="20.5703125" style="234" customWidth="1"/>
    <col min="5132" max="5132" width="12.42578125" style="234" bestFit="1" customWidth="1"/>
    <col min="5133" max="5376" width="9.140625" style="234"/>
    <col min="5377" max="5377" width="23" style="234" customWidth="1"/>
    <col min="5378" max="5378" width="41.140625" style="234" customWidth="1"/>
    <col min="5379" max="5379" width="54.7109375" style="234" customWidth="1"/>
    <col min="5380" max="5380" width="17.28515625" style="234" bestFit="1" customWidth="1"/>
    <col min="5381" max="5381" width="20.140625" style="234" bestFit="1" customWidth="1"/>
    <col min="5382" max="5382" width="16.5703125" style="234" customWidth="1"/>
    <col min="5383" max="5383" width="18.7109375" style="234" bestFit="1" customWidth="1"/>
    <col min="5384" max="5384" width="17.5703125" style="234" customWidth="1"/>
    <col min="5385" max="5385" width="15.5703125" style="234" bestFit="1" customWidth="1"/>
    <col min="5386" max="5386" width="13.5703125" style="234" customWidth="1"/>
    <col min="5387" max="5387" width="20.5703125" style="234" customWidth="1"/>
    <col min="5388" max="5388" width="12.42578125" style="234" bestFit="1" customWidth="1"/>
    <col min="5389" max="5632" width="9.140625" style="234"/>
    <col min="5633" max="5633" width="23" style="234" customWidth="1"/>
    <col min="5634" max="5634" width="41.140625" style="234" customWidth="1"/>
    <col min="5635" max="5635" width="54.7109375" style="234" customWidth="1"/>
    <col min="5636" max="5636" width="17.28515625" style="234" bestFit="1" customWidth="1"/>
    <col min="5637" max="5637" width="20.140625" style="234" bestFit="1" customWidth="1"/>
    <col min="5638" max="5638" width="16.5703125" style="234" customWidth="1"/>
    <col min="5639" max="5639" width="18.7109375" style="234" bestFit="1" customWidth="1"/>
    <col min="5640" max="5640" width="17.5703125" style="234" customWidth="1"/>
    <col min="5641" max="5641" width="15.5703125" style="234" bestFit="1" customWidth="1"/>
    <col min="5642" max="5642" width="13.5703125" style="234" customWidth="1"/>
    <col min="5643" max="5643" width="20.5703125" style="234" customWidth="1"/>
    <col min="5644" max="5644" width="12.42578125" style="234" bestFit="1" customWidth="1"/>
    <col min="5645" max="5888" width="9.140625" style="234"/>
    <col min="5889" max="5889" width="23" style="234" customWidth="1"/>
    <col min="5890" max="5890" width="41.140625" style="234" customWidth="1"/>
    <col min="5891" max="5891" width="54.7109375" style="234" customWidth="1"/>
    <col min="5892" max="5892" width="17.28515625" style="234" bestFit="1" customWidth="1"/>
    <col min="5893" max="5893" width="20.140625" style="234" bestFit="1" customWidth="1"/>
    <col min="5894" max="5894" width="16.5703125" style="234" customWidth="1"/>
    <col min="5895" max="5895" width="18.7109375" style="234" bestFit="1" customWidth="1"/>
    <col min="5896" max="5896" width="17.5703125" style="234" customWidth="1"/>
    <col min="5897" max="5897" width="15.5703125" style="234" bestFit="1" customWidth="1"/>
    <col min="5898" max="5898" width="13.5703125" style="234" customWidth="1"/>
    <col min="5899" max="5899" width="20.5703125" style="234" customWidth="1"/>
    <col min="5900" max="5900" width="12.42578125" style="234" bestFit="1" customWidth="1"/>
    <col min="5901" max="6144" width="9.140625" style="234"/>
    <col min="6145" max="6145" width="23" style="234" customWidth="1"/>
    <col min="6146" max="6146" width="41.140625" style="234" customWidth="1"/>
    <col min="6147" max="6147" width="54.7109375" style="234" customWidth="1"/>
    <col min="6148" max="6148" width="17.28515625" style="234" bestFit="1" customWidth="1"/>
    <col min="6149" max="6149" width="20.140625" style="234" bestFit="1" customWidth="1"/>
    <col min="6150" max="6150" width="16.5703125" style="234" customWidth="1"/>
    <col min="6151" max="6151" width="18.7109375" style="234" bestFit="1" customWidth="1"/>
    <col min="6152" max="6152" width="17.5703125" style="234" customWidth="1"/>
    <col min="6153" max="6153" width="15.5703125" style="234" bestFit="1" customWidth="1"/>
    <col min="6154" max="6154" width="13.5703125" style="234" customWidth="1"/>
    <col min="6155" max="6155" width="20.5703125" style="234" customWidth="1"/>
    <col min="6156" max="6156" width="12.42578125" style="234" bestFit="1" customWidth="1"/>
    <col min="6157" max="6400" width="9.140625" style="234"/>
    <col min="6401" max="6401" width="23" style="234" customWidth="1"/>
    <col min="6402" max="6402" width="41.140625" style="234" customWidth="1"/>
    <col min="6403" max="6403" width="54.7109375" style="234" customWidth="1"/>
    <col min="6404" max="6404" width="17.28515625" style="234" bestFit="1" customWidth="1"/>
    <col min="6405" max="6405" width="20.140625" style="234" bestFit="1" customWidth="1"/>
    <col min="6406" max="6406" width="16.5703125" style="234" customWidth="1"/>
    <col min="6407" max="6407" width="18.7109375" style="234" bestFit="1" customWidth="1"/>
    <col min="6408" max="6408" width="17.5703125" style="234" customWidth="1"/>
    <col min="6409" max="6409" width="15.5703125" style="234" bestFit="1" customWidth="1"/>
    <col min="6410" max="6410" width="13.5703125" style="234" customWidth="1"/>
    <col min="6411" max="6411" width="20.5703125" style="234" customWidth="1"/>
    <col min="6412" max="6412" width="12.42578125" style="234" bestFit="1" customWidth="1"/>
    <col min="6413" max="6656" width="9.140625" style="234"/>
    <col min="6657" max="6657" width="23" style="234" customWidth="1"/>
    <col min="6658" max="6658" width="41.140625" style="234" customWidth="1"/>
    <col min="6659" max="6659" width="54.7109375" style="234" customWidth="1"/>
    <col min="6660" max="6660" width="17.28515625" style="234" bestFit="1" customWidth="1"/>
    <col min="6661" max="6661" width="20.140625" style="234" bestFit="1" customWidth="1"/>
    <col min="6662" max="6662" width="16.5703125" style="234" customWidth="1"/>
    <col min="6663" max="6663" width="18.7109375" style="234" bestFit="1" customWidth="1"/>
    <col min="6664" max="6664" width="17.5703125" style="234" customWidth="1"/>
    <col min="6665" max="6665" width="15.5703125" style="234" bestFit="1" customWidth="1"/>
    <col min="6666" max="6666" width="13.5703125" style="234" customWidth="1"/>
    <col min="6667" max="6667" width="20.5703125" style="234" customWidth="1"/>
    <col min="6668" max="6668" width="12.42578125" style="234" bestFit="1" customWidth="1"/>
    <col min="6669" max="6912" width="9.140625" style="234"/>
    <col min="6913" max="6913" width="23" style="234" customWidth="1"/>
    <col min="6914" max="6914" width="41.140625" style="234" customWidth="1"/>
    <col min="6915" max="6915" width="54.7109375" style="234" customWidth="1"/>
    <col min="6916" max="6916" width="17.28515625" style="234" bestFit="1" customWidth="1"/>
    <col min="6917" max="6917" width="20.140625" style="234" bestFit="1" customWidth="1"/>
    <col min="6918" max="6918" width="16.5703125" style="234" customWidth="1"/>
    <col min="6919" max="6919" width="18.7109375" style="234" bestFit="1" customWidth="1"/>
    <col min="6920" max="6920" width="17.5703125" style="234" customWidth="1"/>
    <col min="6921" max="6921" width="15.5703125" style="234" bestFit="1" customWidth="1"/>
    <col min="6922" max="6922" width="13.5703125" style="234" customWidth="1"/>
    <col min="6923" max="6923" width="20.5703125" style="234" customWidth="1"/>
    <col min="6924" max="6924" width="12.42578125" style="234" bestFit="1" customWidth="1"/>
    <col min="6925" max="7168" width="9.140625" style="234"/>
    <col min="7169" max="7169" width="23" style="234" customWidth="1"/>
    <col min="7170" max="7170" width="41.140625" style="234" customWidth="1"/>
    <col min="7171" max="7171" width="54.7109375" style="234" customWidth="1"/>
    <col min="7172" max="7172" width="17.28515625" style="234" bestFit="1" customWidth="1"/>
    <col min="7173" max="7173" width="20.140625" style="234" bestFit="1" customWidth="1"/>
    <col min="7174" max="7174" width="16.5703125" style="234" customWidth="1"/>
    <col min="7175" max="7175" width="18.7109375" style="234" bestFit="1" customWidth="1"/>
    <col min="7176" max="7176" width="17.5703125" style="234" customWidth="1"/>
    <col min="7177" max="7177" width="15.5703125" style="234" bestFit="1" customWidth="1"/>
    <col min="7178" max="7178" width="13.5703125" style="234" customWidth="1"/>
    <col min="7179" max="7179" width="20.5703125" style="234" customWidth="1"/>
    <col min="7180" max="7180" width="12.42578125" style="234" bestFit="1" customWidth="1"/>
    <col min="7181" max="7424" width="9.140625" style="234"/>
    <col min="7425" max="7425" width="23" style="234" customWidth="1"/>
    <col min="7426" max="7426" width="41.140625" style="234" customWidth="1"/>
    <col min="7427" max="7427" width="54.7109375" style="234" customWidth="1"/>
    <col min="7428" max="7428" width="17.28515625" style="234" bestFit="1" customWidth="1"/>
    <col min="7429" max="7429" width="20.140625" style="234" bestFit="1" customWidth="1"/>
    <col min="7430" max="7430" width="16.5703125" style="234" customWidth="1"/>
    <col min="7431" max="7431" width="18.7109375" style="234" bestFit="1" customWidth="1"/>
    <col min="7432" max="7432" width="17.5703125" style="234" customWidth="1"/>
    <col min="7433" max="7433" width="15.5703125" style="234" bestFit="1" customWidth="1"/>
    <col min="7434" max="7434" width="13.5703125" style="234" customWidth="1"/>
    <col min="7435" max="7435" width="20.5703125" style="234" customWidth="1"/>
    <col min="7436" max="7436" width="12.42578125" style="234" bestFit="1" customWidth="1"/>
    <col min="7437" max="7680" width="9.140625" style="234"/>
    <col min="7681" max="7681" width="23" style="234" customWidth="1"/>
    <col min="7682" max="7682" width="41.140625" style="234" customWidth="1"/>
    <col min="7683" max="7683" width="54.7109375" style="234" customWidth="1"/>
    <col min="7684" max="7684" width="17.28515625" style="234" bestFit="1" customWidth="1"/>
    <col min="7685" max="7685" width="20.140625" style="234" bestFit="1" customWidth="1"/>
    <col min="7686" max="7686" width="16.5703125" style="234" customWidth="1"/>
    <col min="7687" max="7687" width="18.7109375" style="234" bestFit="1" customWidth="1"/>
    <col min="7688" max="7688" width="17.5703125" style="234" customWidth="1"/>
    <col min="7689" max="7689" width="15.5703125" style="234" bestFit="1" customWidth="1"/>
    <col min="7690" max="7690" width="13.5703125" style="234" customWidth="1"/>
    <col min="7691" max="7691" width="20.5703125" style="234" customWidth="1"/>
    <col min="7692" max="7692" width="12.42578125" style="234" bestFit="1" customWidth="1"/>
    <col min="7693" max="7936" width="9.140625" style="234"/>
    <col min="7937" max="7937" width="23" style="234" customWidth="1"/>
    <col min="7938" max="7938" width="41.140625" style="234" customWidth="1"/>
    <col min="7939" max="7939" width="54.7109375" style="234" customWidth="1"/>
    <col min="7940" max="7940" width="17.28515625" style="234" bestFit="1" customWidth="1"/>
    <col min="7941" max="7941" width="20.140625" style="234" bestFit="1" customWidth="1"/>
    <col min="7942" max="7942" width="16.5703125" style="234" customWidth="1"/>
    <col min="7943" max="7943" width="18.7109375" style="234" bestFit="1" customWidth="1"/>
    <col min="7944" max="7944" width="17.5703125" style="234" customWidth="1"/>
    <col min="7945" max="7945" width="15.5703125" style="234" bestFit="1" customWidth="1"/>
    <col min="7946" max="7946" width="13.5703125" style="234" customWidth="1"/>
    <col min="7947" max="7947" width="20.5703125" style="234" customWidth="1"/>
    <col min="7948" max="7948" width="12.42578125" style="234" bestFit="1" customWidth="1"/>
    <col min="7949" max="8192" width="9.140625" style="234"/>
    <col min="8193" max="8193" width="23" style="234" customWidth="1"/>
    <col min="8194" max="8194" width="41.140625" style="234" customWidth="1"/>
    <col min="8195" max="8195" width="54.7109375" style="234" customWidth="1"/>
    <col min="8196" max="8196" width="17.28515625" style="234" bestFit="1" customWidth="1"/>
    <col min="8197" max="8197" width="20.140625" style="234" bestFit="1" customWidth="1"/>
    <col min="8198" max="8198" width="16.5703125" style="234" customWidth="1"/>
    <col min="8199" max="8199" width="18.7109375" style="234" bestFit="1" customWidth="1"/>
    <col min="8200" max="8200" width="17.5703125" style="234" customWidth="1"/>
    <col min="8201" max="8201" width="15.5703125" style="234" bestFit="1" customWidth="1"/>
    <col min="8202" max="8202" width="13.5703125" style="234" customWidth="1"/>
    <col min="8203" max="8203" width="20.5703125" style="234" customWidth="1"/>
    <col min="8204" max="8204" width="12.42578125" style="234" bestFit="1" customWidth="1"/>
    <col min="8205" max="8448" width="9.140625" style="234"/>
    <col min="8449" max="8449" width="23" style="234" customWidth="1"/>
    <col min="8450" max="8450" width="41.140625" style="234" customWidth="1"/>
    <col min="8451" max="8451" width="54.7109375" style="234" customWidth="1"/>
    <col min="8452" max="8452" width="17.28515625" style="234" bestFit="1" customWidth="1"/>
    <col min="8453" max="8453" width="20.140625" style="234" bestFit="1" customWidth="1"/>
    <col min="8454" max="8454" width="16.5703125" style="234" customWidth="1"/>
    <col min="8455" max="8455" width="18.7109375" style="234" bestFit="1" customWidth="1"/>
    <col min="8456" max="8456" width="17.5703125" style="234" customWidth="1"/>
    <col min="8457" max="8457" width="15.5703125" style="234" bestFit="1" customWidth="1"/>
    <col min="8458" max="8458" width="13.5703125" style="234" customWidth="1"/>
    <col min="8459" max="8459" width="20.5703125" style="234" customWidth="1"/>
    <col min="8460" max="8460" width="12.42578125" style="234" bestFit="1" customWidth="1"/>
    <col min="8461" max="8704" width="9.140625" style="234"/>
    <col min="8705" max="8705" width="23" style="234" customWidth="1"/>
    <col min="8706" max="8706" width="41.140625" style="234" customWidth="1"/>
    <col min="8707" max="8707" width="54.7109375" style="234" customWidth="1"/>
    <col min="8708" max="8708" width="17.28515625" style="234" bestFit="1" customWidth="1"/>
    <col min="8709" max="8709" width="20.140625" style="234" bestFit="1" customWidth="1"/>
    <col min="8710" max="8710" width="16.5703125" style="234" customWidth="1"/>
    <col min="8711" max="8711" width="18.7109375" style="234" bestFit="1" customWidth="1"/>
    <col min="8712" max="8712" width="17.5703125" style="234" customWidth="1"/>
    <col min="8713" max="8713" width="15.5703125" style="234" bestFit="1" customWidth="1"/>
    <col min="8714" max="8714" width="13.5703125" style="234" customWidth="1"/>
    <col min="8715" max="8715" width="20.5703125" style="234" customWidth="1"/>
    <col min="8716" max="8716" width="12.42578125" style="234" bestFit="1" customWidth="1"/>
    <col min="8717" max="8960" width="9.140625" style="234"/>
    <col min="8961" max="8961" width="23" style="234" customWidth="1"/>
    <col min="8962" max="8962" width="41.140625" style="234" customWidth="1"/>
    <col min="8963" max="8963" width="54.7109375" style="234" customWidth="1"/>
    <col min="8964" max="8964" width="17.28515625" style="234" bestFit="1" customWidth="1"/>
    <col min="8965" max="8965" width="20.140625" style="234" bestFit="1" customWidth="1"/>
    <col min="8966" max="8966" width="16.5703125" style="234" customWidth="1"/>
    <col min="8967" max="8967" width="18.7109375" style="234" bestFit="1" customWidth="1"/>
    <col min="8968" max="8968" width="17.5703125" style="234" customWidth="1"/>
    <col min="8969" max="8969" width="15.5703125" style="234" bestFit="1" customWidth="1"/>
    <col min="8970" max="8970" width="13.5703125" style="234" customWidth="1"/>
    <col min="8971" max="8971" width="20.5703125" style="234" customWidth="1"/>
    <col min="8972" max="8972" width="12.42578125" style="234" bestFit="1" customWidth="1"/>
    <col min="8973" max="9216" width="9.140625" style="234"/>
    <col min="9217" max="9217" width="23" style="234" customWidth="1"/>
    <col min="9218" max="9218" width="41.140625" style="234" customWidth="1"/>
    <col min="9219" max="9219" width="54.7109375" style="234" customWidth="1"/>
    <col min="9220" max="9220" width="17.28515625" style="234" bestFit="1" customWidth="1"/>
    <col min="9221" max="9221" width="20.140625" style="234" bestFit="1" customWidth="1"/>
    <col min="9222" max="9222" width="16.5703125" style="234" customWidth="1"/>
    <col min="9223" max="9223" width="18.7109375" style="234" bestFit="1" customWidth="1"/>
    <col min="9224" max="9224" width="17.5703125" style="234" customWidth="1"/>
    <col min="9225" max="9225" width="15.5703125" style="234" bestFit="1" customWidth="1"/>
    <col min="9226" max="9226" width="13.5703125" style="234" customWidth="1"/>
    <col min="9227" max="9227" width="20.5703125" style="234" customWidth="1"/>
    <col min="9228" max="9228" width="12.42578125" style="234" bestFit="1" customWidth="1"/>
    <col min="9229" max="9472" width="9.140625" style="234"/>
    <col min="9473" max="9473" width="23" style="234" customWidth="1"/>
    <col min="9474" max="9474" width="41.140625" style="234" customWidth="1"/>
    <col min="9475" max="9475" width="54.7109375" style="234" customWidth="1"/>
    <col min="9476" max="9476" width="17.28515625" style="234" bestFit="1" customWidth="1"/>
    <col min="9477" max="9477" width="20.140625" style="234" bestFit="1" customWidth="1"/>
    <col min="9478" max="9478" width="16.5703125" style="234" customWidth="1"/>
    <col min="9479" max="9479" width="18.7109375" style="234" bestFit="1" customWidth="1"/>
    <col min="9480" max="9480" width="17.5703125" style="234" customWidth="1"/>
    <col min="9481" max="9481" width="15.5703125" style="234" bestFit="1" customWidth="1"/>
    <col min="9482" max="9482" width="13.5703125" style="234" customWidth="1"/>
    <col min="9483" max="9483" width="20.5703125" style="234" customWidth="1"/>
    <col min="9484" max="9484" width="12.42578125" style="234" bestFit="1" customWidth="1"/>
    <col min="9485" max="9728" width="9.140625" style="234"/>
    <col min="9729" max="9729" width="23" style="234" customWidth="1"/>
    <col min="9730" max="9730" width="41.140625" style="234" customWidth="1"/>
    <col min="9731" max="9731" width="54.7109375" style="234" customWidth="1"/>
    <col min="9732" max="9732" width="17.28515625" style="234" bestFit="1" customWidth="1"/>
    <col min="9733" max="9733" width="20.140625" style="234" bestFit="1" customWidth="1"/>
    <col min="9734" max="9734" width="16.5703125" style="234" customWidth="1"/>
    <col min="9735" max="9735" width="18.7109375" style="234" bestFit="1" customWidth="1"/>
    <col min="9736" max="9736" width="17.5703125" style="234" customWidth="1"/>
    <col min="9737" max="9737" width="15.5703125" style="234" bestFit="1" customWidth="1"/>
    <col min="9738" max="9738" width="13.5703125" style="234" customWidth="1"/>
    <col min="9739" max="9739" width="20.5703125" style="234" customWidth="1"/>
    <col min="9740" max="9740" width="12.42578125" style="234" bestFit="1" customWidth="1"/>
    <col min="9741" max="9984" width="9.140625" style="234"/>
    <col min="9985" max="9985" width="23" style="234" customWidth="1"/>
    <col min="9986" max="9986" width="41.140625" style="234" customWidth="1"/>
    <col min="9987" max="9987" width="54.7109375" style="234" customWidth="1"/>
    <col min="9988" max="9988" width="17.28515625" style="234" bestFit="1" customWidth="1"/>
    <col min="9989" max="9989" width="20.140625" style="234" bestFit="1" customWidth="1"/>
    <col min="9990" max="9990" width="16.5703125" style="234" customWidth="1"/>
    <col min="9991" max="9991" width="18.7109375" style="234" bestFit="1" customWidth="1"/>
    <col min="9992" max="9992" width="17.5703125" style="234" customWidth="1"/>
    <col min="9993" max="9993" width="15.5703125" style="234" bestFit="1" customWidth="1"/>
    <col min="9994" max="9994" width="13.5703125" style="234" customWidth="1"/>
    <col min="9995" max="9995" width="20.5703125" style="234" customWidth="1"/>
    <col min="9996" max="9996" width="12.42578125" style="234" bestFit="1" customWidth="1"/>
    <col min="9997" max="10240" width="9.140625" style="234"/>
    <col min="10241" max="10241" width="23" style="234" customWidth="1"/>
    <col min="10242" max="10242" width="41.140625" style="234" customWidth="1"/>
    <col min="10243" max="10243" width="54.7109375" style="234" customWidth="1"/>
    <col min="10244" max="10244" width="17.28515625" style="234" bestFit="1" customWidth="1"/>
    <col min="10245" max="10245" width="20.140625" style="234" bestFit="1" customWidth="1"/>
    <col min="10246" max="10246" width="16.5703125" style="234" customWidth="1"/>
    <col min="10247" max="10247" width="18.7109375" style="234" bestFit="1" customWidth="1"/>
    <col min="10248" max="10248" width="17.5703125" style="234" customWidth="1"/>
    <col min="10249" max="10249" width="15.5703125" style="234" bestFit="1" customWidth="1"/>
    <col min="10250" max="10250" width="13.5703125" style="234" customWidth="1"/>
    <col min="10251" max="10251" width="20.5703125" style="234" customWidth="1"/>
    <col min="10252" max="10252" width="12.42578125" style="234" bestFit="1" customWidth="1"/>
    <col min="10253" max="10496" width="9.140625" style="234"/>
    <col min="10497" max="10497" width="23" style="234" customWidth="1"/>
    <col min="10498" max="10498" width="41.140625" style="234" customWidth="1"/>
    <col min="10499" max="10499" width="54.7109375" style="234" customWidth="1"/>
    <col min="10500" max="10500" width="17.28515625" style="234" bestFit="1" customWidth="1"/>
    <col min="10501" max="10501" width="20.140625" style="234" bestFit="1" customWidth="1"/>
    <col min="10502" max="10502" width="16.5703125" style="234" customWidth="1"/>
    <col min="10503" max="10503" width="18.7109375" style="234" bestFit="1" customWidth="1"/>
    <col min="10504" max="10504" width="17.5703125" style="234" customWidth="1"/>
    <col min="10505" max="10505" width="15.5703125" style="234" bestFit="1" customWidth="1"/>
    <col min="10506" max="10506" width="13.5703125" style="234" customWidth="1"/>
    <col min="10507" max="10507" width="20.5703125" style="234" customWidth="1"/>
    <col min="10508" max="10508" width="12.42578125" style="234" bestFit="1" customWidth="1"/>
    <col min="10509" max="10752" width="9.140625" style="234"/>
    <col min="10753" max="10753" width="23" style="234" customWidth="1"/>
    <col min="10754" max="10754" width="41.140625" style="234" customWidth="1"/>
    <col min="10755" max="10755" width="54.7109375" style="234" customWidth="1"/>
    <col min="10756" max="10756" width="17.28515625" style="234" bestFit="1" customWidth="1"/>
    <col min="10757" max="10757" width="20.140625" style="234" bestFit="1" customWidth="1"/>
    <col min="10758" max="10758" width="16.5703125" style="234" customWidth="1"/>
    <col min="10759" max="10759" width="18.7109375" style="234" bestFit="1" customWidth="1"/>
    <col min="10760" max="10760" width="17.5703125" style="234" customWidth="1"/>
    <col min="10761" max="10761" width="15.5703125" style="234" bestFit="1" customWidth="1"/>
    <col min="10762" max="10762" width="13.5703125" style="234" customWidth="1"/>
    <col min="10763" max="10763" width="20.5703125" style="234" customWidth="1"/>
    <col min="10764" max="10764" width="12.42578125" style="234" bestFit="1" customWidth="1"/>
    <col min="10765" max="11008" width="9.140625" style="234"/>
    <col min="11009" max="11009" width="23" style="234" customWidth="1"/>
    <col min="11010" max="11010" width="41.140625" style="234" customWidth="1"/>
    <col min="11011" max="11011" width="54.7109375" style="234" customWidth="1"/>
    <col min="11012" max="11012" width="17.28515625" style="234" bestFit="1" customWidth="1"/>
    <col min="11013" max="11013" width="20.140625" style="234" bestFit="1" customWidth="1"/>
    <col min="11014" max="11014" width="16.5703125" style="234" customWidth="1"/>
    <col min="11015" max="11015" width="18.7109375" style="234" bestFit="1" customWidth="1"/>
    <col min="11016" max="11016" width="17.5703125" style="234" customWidth="1"/>
    <col min="11017" max="11017" width="15.5703125" style="234" bestFit="1" customWidth="1"/>
    <col min="11018" max="11018" width="13.5703125" style="234" customWidth="1"/>
    <col min="11019" max="11019" width="20.5703125" style="234" customWidth="1"/>
    <col min="11020" max="11020" width="12.42578125" style="234" bestFit="1" customWidth="1"/>
    <col min="11021" max="11264" width="9.140625" style="234"/>
    <col min="11265" max="11265" width="23" style="234" customWidth="1"/>
    <col min="11266" max="11266" width="41.140625" style="234" customWidth="1"/>
    <col min="11267" max="11267" width="54.7109375" style="234" customWidth="1"/>
    <col min="11268" max="11268" width="17.28515625" style="234" bestFit="1" customWidth="1"/>
    <col min="11269" max="11269" width="20.140625" style="234" bestFit="1" customWidth="1"/>
    <col min="11270" max="11270" width="16.5703125" style="234" customWidth="1"/>
    <col min="11271" max="11271" width="18.7109375" style="234" bestFit="1" customWidth="1"/>
    <col min="11272" max="11272" width="17.5703125" style="234" customWidth="1"/>
    <col min="11273" max="11273" width="15.5703125" style="234" bestFit="1" customWidth="1"/>
    <col min="11274" max="11274" width="13.5703125" style="234" customWidth="1"/>
    <col min="11275" max="11275" width="20.5703125" style="234" customWidth="1"/>
    <col min="11276" max="11276" width="12.42578125" style="234" bestFit="1" customWidth="1"/>
    <col min="11277" max="11520" width="9.140625" style="234"/>
    <col min="11521" max="11521" width="23" style="234" customWidth="1"/>
    <col min="11522" max="11522" width="41.140625" style="234" customWidth="1"/>
    <col min="11523" max="11523" width="54.7109375" style="234" customWidth="1"/>
    <col min="11524" max="11524" width="17.28515625" style="234" bestFit="1" customWidth="1"/>
    <col min="11525" max="11525" width="20.140625" style="234" bestFit="1" customWidth="1"/>
    <col min="11526" max="11526" width="16.5703125" style="234" customWidth="1"/>
    <col min="11527" max="11527" width="18.7109375" style="234" bestFit="1" customWidth="1"/>
    <col min="11528" max="11528" width="17.5703125" style="234" customWidth="1"/>
    <col min="11529" max="11529" width="15.5703125" style="234" bestFit="1" customWidth="1"/>
    <col min="11530" max="11530" width="13.5703125" style="234" customWidth="1"/>
    <col min="11531" max="11531" width="20.5703125" style="234" customWidth="1"/>
    <col min="11532" max="11532" width="12.42578125" style="234" bestFit="1" customWidth="1"/>
    <col min="11533" max="11776" width="9.140625" style="234"/>
    <col min="11777" max="11777" width="23" style="234" customWidth="1"/>
    <col min="11778" max="11778" width="41.140625" style="234" customWidth="1"/>
    <col min="11779" max="11779" width="54.7109375" style="234" customWidth="1"/>
    <col min="11780" max="11780" width="17.28515625" style="234" bestFit="1" customWidth="1"/>
    <col min="11781" max="11781" width="20.140625" style="234" bestFit="1" customWidth="1"/>
    <col min="11782" max="11782" width="16.5703125" style="234" customWidth="1"/>
    <col min="11783" max="11783" width="18.7109375" style="234" bestFit="1" customWidth="1"/>
    <col min="11784" max="11784" width="17.5703125" style="234" customWidth="1"/>
    <col min="11785" max="11785" width="15.5703125" style="234" bestFit="1" customWidth="1"/>
    <col min="11786" max="11786" width="13.5703125" style="234" customWidth="1"/>
    <col min="11787" max="11787" width="20.5703125" style="234" customWidth="1"/>
    <col min="11788" max="11788" width="12.42578125" style="234" bestFit="1" customWidth="1"/>
    <col min="11789" max="12032" width="9.140625" style="234"/>
    <col min="12033" max="12033" width="23" style="234" customWidth="1"/>
    <col min="12034" max="12034" width="41.140625" style="234" customWidth="1"/>
    <col min="12035" max="12035" width="54.7109375" style="234" customWidth="1"/>
    <col min="12036" max="12036" width="17.28515625" style="234" bestFit="1" customWidth="1"/>
    <col min="12037" max="12037" width="20.140625" style="234" bestFit="1" customWidth="1"/>
    <col min="12038" max="12038" width="16.5703125" style="234" customWidth="1"/>
    <col min="12039" max="12039" width="18.7109375" style="234" bestFit="1" customWidth="1"/>
    <col min="12040" max="12040" width="17.5703125" style="234" customWidth="1"/>
    <col min="12041" max="12041" width="15.5703125" style="234" bestFit="1" customWidth="1"/>
    <col min="12042" max="12042" width="13.5703125" style="234" customWidth="1"/>
    <col min="12043" max="12043" width="20.5703125" style="234" customWidth="1"/>
    <col min="12044" max="12044" width="12.42578125" style="234" bestFit="1" customWidth="1"/>
    <col min="12045" max="12288" width="9.140625" style="234"/>
    <col min="12289" max="12289" width="23" style="234" customWidth="1"/>
    <col min="12290" max="12290" width="41.140625" style="234" customWidth="1"/>
    <col min="12291" max="12291" width="54.7109375" style="234" customWidth="1"/>
    <col min="12292" max="12292" width="17.28515625" style="234" bestFit="1" customWidth="1"/>
    <col min="12293" max="12293" width="20.140625" style="234" bestFit="1" customWidth="1"/>
    <col min="12294" max="12294" width="16.5703125" style="234" customWidth="1"/>
    <col min="12295" max="12295" width="18.7109375" style="234" bestFit="1" customWidth="1"/>
    <col min="12296" max="12296" width="17.5703125" style="234" customWidth="1"/>
    <col min="12297" max="12297" width="15.5703125" style="234" bestFit="1" customWidth="1"/>
    <col min="12298" max="12298" width="13.5703125" style="234" customWidth="1"/>
    <col min="12299" max="12299" width="20.5703125" style="234" customWidth="1"/>
    <col min="12300" max="12300" width="12.42578125" style="234" bestFit="1" customWidth="1"/>
    <col min="12301" max="12544" width="9.140625" style="234"/>
    <col min="12545" max="12545" width="23" style="234" customWidth="1"/>
    <col min="12546" max="12546" width="41.140625" style="234" customWidth="1"/>
    <col min="12547" max="12547" width="54.7109375" style="234" customWidth="1"/>
    <col min="12548" max="12548" width="17.28515625" style="234" bestFit="1" customWidth="1"/>
    <col min="12549" max="12549" width="20.140625" style="234" bestFit="1" customWidth="1"/>
    <col min="12550" max="12550" width="16.5703125" style="234" customWidth="1"/>
    <col min="12551" max="12551" width="18.7109375" style="234" bestFit="1" customWidth="1"/>
    <col min="12552" max="12552" width="17.5703125" style="234" customWidth="1"/>
    <col min="12553" max="12553" width="15.5703125" style="234" bestFit="1" customWidth="1"/>
    <col min="12554" max="12554" width="13.5703125" style="234" customWidth="1"/>
    <col min="12555" max="12555" width="20.5703125" style="234" customWidth="1"/>
    <col min="12556" max="12556" width="12.42578125" style="234" bestFit="1" customWidth="1"/>
    <col min="12557" max="12800" width="9.140625" style="234"/>
    <col min="12801" max="12801" width="23" style="234" customWidth="1"/>
    <col min="12802" max="12802" width="41.140625" style="234" customWidth="1"/>
    <col min="12803" max="12803" width="54.7109375" style="234" customWidth="1"/>
    <col min="12804" max="12804" width="17.28515625" style="234" bestFit="1" customWidth="1"/>
    <col min="12805" max="12805" width="20.140625" style="234" bestFit="1" customWidth="1"/>
    <col min="12806" max="12806" width="16.5703125" style="234" customWidth="1"/>
    <col min="12807" max="12807" width="18.7109375" style="234" bestFit="1" customWidth="1"/>
    <col min="12808" max="12808" width="17.5703125" style="234" customWidth="1"/>
    <col min="12809" max="12809" width="15.5703125" style="234" bestFit="1" customWidth="1"/>
    <col min="12810" max="12810" width="13.5703125" style="234" customWidth="1"/>
    <col min="12811" max="12811" width="20.5703125" style="234" customWidth="1"/>
    <col min="12812" max="12812" width="12.42578125" style="234" bestFit="1" customWidth="1"/>
    <col min="12813" max="13056" width="9.140625" style="234"/>
    <col min="13057" max="13057" width="23" style="234" customWidth="1"/>
    <col min="13058" max="13058" width="41.140625" style="234" customWidth="1"/>
    <col min="13059" max="13059" width="54.7109375" style="234" customWidth="1"/>
    <col min="13060" max="13060" width="17.28515625" style="234" bestFit="1" customWidth="1"/>
    <col min="13061" max="13061" width="20.140625" style="234" bestFit="1" customWidth="1"/>
    <col min="13062" max="13062" width="16.5703125" style="234" customWidth="1"/>
    <col min="13063" max="13063" width="18.7109375" style="234" bestFit="1" customWidth="1"/>
    <col min="13064" max="13064" width="17.5703125" style="234" customWidth="1"/>
    <col min="13065" max="13065" width="15.5703125" style="234" bestFit="1" customWidth="1"/>
    <col min="13066" max="13066" width="13.5703125" style="234" customWidth="1"/>
    <col min="13067" max="13067" width="20.5703125" style="234" customWidth="1"/>
    <col min="13068" max="13068" width="12.42578125" style="234" bestFit="1" customWidth="1"/>
    <col min="13069" max="13312" width="9.140625" style="234"/>
    <col min="13313" max="13313" width="23" style="234" customWidth="1"/>
    <col min="13314" max="13314" width="41.140625" style="234" customWidth="1"/>
    <col min="13315" max="13315" width="54.7109375" style="234" customWidth="1"/>
    <col min="13316" max="13316" width="17.28515625" style="234" bestFit="1" customWidth="1"/>
    <col min="13317" max="13317" width="20.140625" style="234" bestFit="1" customWidth="1"/>
    <col min="13318" max="13318" width="16.5703125" style="234" customWidth="1"/>
    <col min="13319" max="13319" width="18.7109375" style="234" bestFit="1" customWidth="1"/>
    <col min="13320" max="13320" width="17.5703125" style="234" customWidth="1"/>
    <col min="13321" max="13321" width="15.5703125" style="234" bestFit="1" customWidth="1"/>
    <col min="13322" max="13322" width="13.5703125" style="234" customWidth="1"/>
    <col min="13323" max="13323" width="20.5703125" style="234" customWidth="1"/>
    <col min="13324" max="13324" width="12.42578125" style="234" bestFit="1" customWidth="1"/>
    <col min="13325" max="13568" width="9.140625" style="234"/>
    <col min="13569" max="13569" width="23" style="234" customWidth="1"/>
    <col min="13570" max="13570" width="41.140625" style="234" customWidth="1"/>
    <col min="13571" max="13571" width="54.7109375" style="234" customWidth="1"/>
    <col min="13572" max="13572" width="17.28515625" style="234" bestFit="1" customWidth="1"/>
    <col min="13573" max="13573" width="20.140625" style="234" bestFit="1" customWidth="1"/>
    <col min="13574" max="13574" width="16.5703125" style="234" customWidth="1"/>
    <col min="13575" max="13575" width="18.7109375" style="234" bestFit="1" customWidth="1"/>
    <col min="13576" max="13576" width="17.5703125" style="234" customWidth="1"/>
    <col min="13577" max="13577" width="15.5703125" style="234" bestFit="1" customWidth="1"/>
    <col min="13578" max="13578" width="13.5703125" style="234" customWidth="1"/>
    <col min="13579" max="13579" width="20.5703125" style="234" customWidth="1"/>
    <col min="13580" max="13580" width="12.42578125" style="234" bestFit="1" customWidth="1"/>
    <col min="13581" max="13824" width="9.140625" style="234"/>
    <col min="13825" max="13825" width="23" style="234" customWidth="1"/>
    <col min="13826" max="13826" width="41.140625" style="234" customWidth="1"/>
    <col min="13827" max="13827" width="54.7109375" style="234" customWidth="1"/>
    <col min="13828" max="13828" width="17.28515625" style="234" bestFit="1" customWidth="1"/>
    <col min="13829" max="13829" width="20.140625" style="234" bestFit="1" customWidth="1"/>
    <col min="13830" max="13830" width="16.5703125" style="234" customWidth="1"/>
    <col min="13831" max="13831" width="18.7109375" style="234" bestFit="1" customWidth="1"/>
    <col min="13832" max="13832" width="17.5703125" style="234" customWidth="1"/>
    <col min="13833" max="13833" width="15.5703125" style="234" bestFit="1" customWidth="1"/>
    <col min="13834" max="13834" width="13.5703125" style="234" customWidth="1"/>
    <col min="13835" max="13835" width="20.5703125" style="234" customWidth="1"/>
    <col min="13836" max="13836" width="12.42578125" style="234" bestFit="1" customWidth="1"/>
    <col min="13837" max="14080" width="9.140625" style="234"/>
    <col min="14081" max="14081" width="23" style="234" customWidth="1"/>
    <col min="14082" max="14082" width="41.140625" style="234" customWidth="1"/>
    <col min="14083" max="14083" width="54.7109375" style="234" customWidth="1"/>
    <col min="14084" max="14084" width="17.28515625" style="234" bestFit="1" customWidth="1"/>
    <col min="14085" max="14085" width="20.140625" style="234" bestFit="1" customWidth="1"/>
    <col min="14086" max="14086" width="16.5703125" style="234" customWidth="1"/>
    <col min="14087" max="14087" width="18.7109375" style="234" bestFit="1" customWidth="1"/>
    <col min="14088" max="14088" width="17.5703125" style="234" customWidth="1"/>
    <col min="14089" max="14089" width="15.5703125" style="234" bestFit="1" customWidth="1"/>
    <col min="14090" max="14090" width="13.5703125" style="234" customWidth="1"/>
    <col min="14091" max="14091" width="20.5703125" style="234" customWidth="1"/>
    <col min="14092" max="14092" width="12.42578125" style="234" bestFit="1" customWidth="1"/>
    <col min="14093" max="14336" width="9.140625" style="234"/>
    <col min="14337" max="14337" width="23" style="234" customWidth="1"/>
    <col min="14338" max="14338" width="41.140625" style="234" customWidth="1"/>
    <col min="14339" max="14339" width="54.7109375" style="234" customWidth="1"/>
    <col min="14340" max="14340" width="17.28515625" style="234" bestFit="1" customWidth="1"/>
    <col min="14341" max="14341" width="20.140625" style="234" bestFit="1" customWidth="1"/>
    <col min="14342" max="14342" width="16.5703125" style="234" customWidth="1"/>
    <col min="14343" max="14343" width="18.7109375" style="234" bestFit="1" customWidth="1"/>
    <col min="14344" max="14344" width="17.5703125" style="234" customWidth="1"/>
    <col min="14345" max="14345" width="15.5703125" style="234" bestFit="1" customWidth="1"/>
    <col min="14346" max="14346" width="13.5703125" style="234" customWidth="1"/>
    <col min="14347" max="14347" width="20.5703125" style="234" customWidth="1"/>
    <col min="14348" max="14348" width="12.42578125" style="234" bestFit="1" customWidth="1"/>
    <col min="14349" max="14592" width="9.140625" style="234"/>
    <col min="14593" max="14593" width="23" style="234" customWidth="1"/>
    <col min="14594" max="14594" width="41.140625" style="234" customWidth="1"/>
    <col min="14595" max="14595" width="54.7109375" style="234" customWidth="1"/>
    <col min="14596" max="14596" width="17.28515625" style="234" bestFit="1" customWidth="1"/>
    <col min="14597" max="14597" width="20.140625" style="234" bestFit="1" customWidth="1"/>
    <col min="14598" max="14598" width="16.5703125" style="234" customWidth="1"/>
    <col min="14599" max="14599" width="18.7109375" style="234" bestFit="1" customWidth="1"/>
    <col min="14600" max="14600" width="17.5703125" style="234" customWidth="1"/>
    <col min="14601" max="14601" width="15.5703125" style="234" bestFit="1" customWidth="1"/>
    <col min="14602" max="14602" width="13.5703125" style="234" customWidth="1"/>
    <col min="14603" max="14603" width="20.5703125" style="234" customWidth="1"/>
    <col min="14604" max="14604" width="12.42578125" style="234" bestFit="1" customWidth="1"/>
    <col min="14605" max="14848" width="9.140625" style="234"/>
    <col min="14849" max="14849" width="23" style="234" customWidth="1"/>
    <col min="14850" max="14850" width="41.140625" style="234" customWidth="1"/>
    <col min="14851" max="14851" width="54.7109375" style="234" customWidth="1"/>
    <col min="14852" max="14852" width="17.28515625" style="234" bestFit="1" customWidth="1"/>
    <col min="14853" max="14853" width="20.140625" style="234" bestFit="1" customWidth="1"/>
    <col min="14854" max="14854" width="16.5703125" style="234" customWidth="1"/>
    <col min="14855" max="14855" width="18.7109375" style="234" bestFit="1" customWidth="1"/>
    <col min="14856" max="14856" width="17.5703125" style="234" customWidth="1"/>
    <col min="14857" max="14857" width="15.5703125" style="234" bestFit="1" customWidth="1"/>
    <col min="14858" max="14858" width="13.5703125" style="234" customWidth="1"/>
    <col min="14859" max="14859" width="20.5703125" style="234" customWidth="1"/>
    <col min="14860" max="14860" width="12.42578125" style="234" bestFit="1" customWidth="1"/>
    <col min="14861" max="15104" width="9.140625" style="234"/>
    <col min="15105" max="15105" width="23" style="234" customWidth="1"/>
    <col min="15106" max="15106" width="41.140625" style="234" customWidth="1"/>
    <col min="15107" max="15107" width="54.7109375" style="234" customWidth="1"/>
    <col min="15108" max="15108" width="17.28515625" style="234" bestFit="1" customWidth="1"/>
    <col min="15109" max="15109" width="20.140625" style="234" bestFit="1" customWidth="1"/>
    <col min="15110" max="15110" width="16.5703125" style="234" customWidth="1"/>
    <col min="15111" max="15111" width="18.7109375" style="234" bestFit="1" customWidth="1"/>
    <col min="15112" max="15112" width="17.5703125" style="234" customWidth="1"/>
    <col min="15113" max="15113" width="15.5703125" style="234" bestFit="1" customWidth="1"/>
    <col min="15114" max="15114" width="13.5703125" style="234" customWidth="1"/>
    <col min="15115" max="15115" width="20.5703125" style="234" customWidth="1"/>
    <col min="15116" max="15116" width="12.42578125" style="234" bestFit="1" customWidth="1"/>
    <col min="15117" max="15360" width="9.140625" style="234"/>
    <col min="15361" max="15361" width="23" style="234" customWidth="1"/>
    <col min="15362" max="15362" width="41.140625" style="234" customWidth="1"/>
    <col min="15363" max="15363" width="54.7109375" style="234" customWidth="1"/>
    <col min="15364" max="15364" width="17.28515625" style="234" bestFit="1" customWidth="1"/>
    <col min="15365" max="15365" width="20.140625" style="234" bestFit="1" customWidth="1"/>
    <col min="15366" max="15366" width="16.5703125" style="234" customWidth="1"/>
    <col min="15367" max="15367" width="18.7109375" style="234" bestFit="1" customWidth="1"/>
    <col min="15368" max="15368" width="17.5703125" style="234" customWidth="1"/>
    <col min="15369" max="15369" width="15.5703125" style="234" bestFit="1" customWidth="1"/>
    <col min="15370" max="15370" width="13.5703125" style="234" customWidth="1"/>
    <col min="15371" max="15371" width="20.5703125" style="234" customWidth="1"/>
    <col min="15372" max="15372" width="12.42578125" style="234" bestFit="1" customWidth="1"/>
    <col min="15373" max="15616" width="9.140625" style="234"/>
    <col min="15617" max="15617" width="23" style="234" customWidth="1"/>
    <col min="15618" max="15618" width="41.140625" style="234" customWidth="1"/>
    <col min="15619" max="15619" width="54.7109375" style="234" customWidth="1"/>
    <col min="15620" max="15620" width="17.28515625" style="234" bestFit="1" customWidth="1"/>
    <col min="15621" max="15621" width="20.140625" style="234" bestFit="1" customWidth="1"/>
    <col min="15622" max="15622" width="16.5703125" style="234" customWidth="1"/>
    <col min="15623" max="15623" width="18.7109375" style="234" bestFit="1" customWidth="1"/>
    <col min="15624" max="15624" width="17.5703125" style="234" customWidth="1"/>
    <col min="15625" max="15625" width="15.5703125" style="234" bestFit="1" customWidth="1"/>
    <col min="15626" max="15626" width="13.5703125" style="234" customWidth="1"/>
    <col min="15627" max="15627" width="20.5703125" style="234" customWidth="1"/>
    <col min="15628" max="15628" width="12.42578125" style="234" bestFit="1" customWidth="1"/>
    <col min="15629" max="15872" width="9.140625" style="234"/>
    <col min="15873" max="15873" width="23" style="234" customWidth="1"/>
    <col min="15874" max="15874" width="41.140625" style="234" customWidth="1"/>
    <col min="15875" max="15875" width="54.7109375" style="234" customWidth="1"/>
    <col min="15876" max="15876" width="17.28515625" style="234" bestFit="1" customWidth="1"/>
    <col min="15877" max="15877" width="20.140625" style="234" bestFit="1" customWidth="1"/>
    <col min="15878" max="15878" width="16.5703125" style="234" customWidth="1"/>
    <col min="15879" max="15879" width="18.7109375" style="234" bestFit="1" customWidth="1"/>
    <col min="15880" max="15880" width="17.5703125" style="234" customWidth="1"/>
    <col min="15881" max="15881" width="15.5703125" style="234" bestFit="1" customWidth="1"/>
    <col min="15882" max="15882" width="13.5703125" style="234" customWidth="1"/>
    <col min="15883" max="15883" width="20.5703125" style="234" customWidth="1"/>
    <col min="15884" max="15884" width="12.42578125" style="234" bestFit="1" customWidth="1"/>
    <col min="15885" max="16128" width="9.140625" style="234"/>
    <col min="16129" max="16129" width="23" style="234" customWidth="1"/>
    <col min="16130" max="16130" width="41.140625" style="234" customWidth="1"/>
    <col min="16131" max="16131" width="54.7109375" style="234" customWidth="1"/>
    <col min="16132" max="16132" width="17.28515625" style="234" bestFit="1" customWidth="1"/>
    <col min="16133" max="16133" width="20.140625" style="234" bestFit="1" customWidth="1"/>
    <col min="16134" max="16134" width="16.5703125" style="234" customWidth="1"/>
    <col min="16135" max="16135" width="18.7109375" style="234" bestFit="1" customWidth="1"/>
    <col min="16136" max="16136" width="17.5703125" style="234" customWidth="1"/>
    <col min="16137" max="16137" width="15.5703125" style="234" bestFit="1" customWidth="1"/>
    <col min="16138" max="16138" width="13.5703125" style="234" customWidth="1"/>
    <col min="16139" max="16139" width="20.5703125" style="234" customWidth="1"/>
    <col min="16140" max="16140" width="12.42578125" style="234" bestFit="1" customWidth="1"/>
    <col min="16141" max="16384" width="9.140625" style="234"/>
  </cols>
  <sheetData>
    <row r="1" spans="2:7" x14ac:dyDescent="0.2">
      <c r="G1" s="235" t="s">
        <v>990</v>
      </c>
    </row>
    <row r="2" spans="2:7" x14ac:dyDescent="0.2">
      <c r="B2" s="363" t="s">
        <v>1122</v>
      </c>
      <c r="C2" s="363"/>
      <c r="D2" s="363"/>
      <c r="E2" s="363"/>
      <c r="F2" s="363"/>
      <c r="G2" s="363"/>
    </row>
    <row r="3" spans="2:7" x14ac:dyDescent="0.2">
      <c r="B3" s="363" t="s">
        <v>1123</v>
      </c>
      <c r="C3" s="363"/>
      <c r="D3" s="363"/>
      <c r="E3" s="363"/>
      <c r="F3" s="363"/>
      <c r="G3" s="363"/>
    </row>
    <row r="4" spans="2:7" x14ac:dyDescent="0.2">
      <c r="B4" s="235"/>
      <c r="C4" s="235"/>
      <c r="D4" s="235"/>
      <c r="E4" s="235"/>
      <c r="F4" s="235"/>
      <c r="G4" s="235"/>
    </row>
    <row r="5" spans="2:7" x14ac:dyDescent="0.2">
      <c r="B5" s="363" t="s">
        <v>1124</v>
      </c>
      <c r="C5" s="363"/>
      <c r="D5" s="363"/>
      <c r="E5" s="363"/>
      <c r="F5" s="363"/>
      <c r="G5" s="363"/>
    </row>
    <row r="6" spans="2:7" x14ac:dyDescent="0.2">
      <c r="B6" s="235" t="s">
        <v>1125</v>
      </c>
    </row>
    <row r="8" spans="2:7" ht="25.5" x14ac:dyDescent="0.2">
      <c r="B8" s="236" t="s">
        <v>1126</v>
      </c>
      <c r="C8" s="236" t="s">
        <v>1127</v>
      </c>
      <c r="D8" s="236" t="s">
        <v>1128</v>
      </c>
      <c r="E8" s="237" t="s">
        <v>1129</v>
      </c>
      <c r="F8" s="237" t="s">
        <v>1130</v>
      </c>
      <c r="G8" s="237" t="s">
        <v>1131</v>
      </c>
    </row>
    <row r="9" spans="2:7" x14ac:dyDescent="0.2">
      <c r="B9" s="238" t="s">
        <v>1132</v>
      </c>
      <c r="C9" s="238" t="s">
        <v>950</v>
      </c>
      <c r="D9" s="239" t="s">
        <v>1133</v>
      </c>
      <c r="E9" s="240">
        <v>931.77</v>
      </c>
      <c r="F9" s="241">
        <v>825.65</v>
      </c>
      <c r="G9" s="242">
        <v>157.88262399999999</v>
      </c>
    </row>
    <row r="10" spans="2:7" x14ac:dyDescent="0.2">
      <c r="B10" s="238" t="s">
        <v>1132</v>
      </c>
      <c r="C10" s="238" t="s">
        <v>921</v>
      </c>
      <c r="D10" s="239" t="s">
        <v>1133</v>
      </c>
      <c r="E10" s="240">
        <v>508.55</v>
      </c>
      <c r="F10" s="241">
        <v>518.54999999999995</v>
      </c>
      <c r="G10" s="242">
        <v>27.945999000000004</v>
      </c>
    </row>
    <row r="11" spans="2:7" x14ac:dyDescent="0.2">
      <c r="B11" s="238" t="s">
        <v>1132</v>
      </c>
      <c r="C11" s="238" t="s">
        <v>932</v>
      </c>
      <c r="D11" s="239" t="s">
        <v>1133</v>
      </c>
      <c r="E11" s="240">
        <v>3489</v>
      </c>
      <c r="F11" s="241">
        <v>3354.2</v>
      </c>
      <c r="G11" s="242">
        <v>43.93459</v>
      </c>
    </row>
    <row r="12" spans="2:7" x14ac:dyDescent="0.2">
      <c r="B12" s="238" t="s">
        <v>1132</v>
      </c>
      <c r="C12" s="243" t="s">
        <v>955</v>
      </c>
      <c r="D12" s="239" t="s">
        <v>1133</v>
      </c>
      <c r="E12" s="240">
        <v>524.97</v>
      </c>
      <c r="F12" s="241">
        <v>513.20000000000005</v>
      </c>
      <c r="G12" s="242">
        <v>18.77722</v>
      </c>
    </row>
    <row r="13" spans="2:7" x14ac:dyDescent="0.2">
      <c r="B13" s="238" t="s">
        <v>1132</v>
      </c>
      <c r="C13" s="244" t="s">
        <v>934</v>
      </c>
      <c r="D13" s="239" t="s">
        <v>1133</v>
      </c>
      <c r="E13" s="240">
        <v>775</v>
      </c>
      <c r="F13" s="241">
        <v>735.45</v>
      </c>
      <c r="G13" s="242">
        <v>82.709621999999996</v>
      </c>
    </row>
    <row r="14" spans="2:7" x14ac:dyDescent="0.2">
      <c r="B14" s="238" t="s">
        <v>1132</v>
      </c>
      <c r="C14" s="244" t="s">
        <v>940</v>
      </c>
      <c r="D14" s="239" t="s">
        <v>1133</v>
      </c>
      <c r="E14" s="240">
        <v>7289.79</v>
      </c>
      <c r="F14" s="241">
        <v>7365.5</v>
      </c>
      <c r="G14" s="242">
        <v>106.80103</v>
      </c>
    </row>
    <row r="15" spans="2:7" x14ac:dyDescent="0.2">
      <c r="B15" s="238" t="s">
        <v>1132</v>
      </c>
      <c r="C15" s="244" t="s">
        <v>953</v>
      </c>
      <c r="D15" s="239" t="s">
        <v>1133</v>
      </c>
      <c r="E15" s="240">
        <v>73.05</v>
      </c>
      <c r="F15" s="241">
        <v>75.099999999999994</v>
      </c>
      <c r="G15" s="242">
        <v>1.7650373000000001</v>
      </c>
    </row>
    <row r="16" spans="2:7" x14ac:dyDescent="0.2">
      <c r="B16" s="238" t="s">
        <v>1132</v>
      </c>
      <c r="C16" s="244" t="s">
        <v>944</v>
      </c>
      <c r="D16" s="239" t="s">
        <v>1133</v>
      </c>
      <c r="E16" s="240">
        <v>1462.04</v>
      </c>
      <c r="F16" s="241">
        <v>1425.8</v>
      </c>
      <c r="G16" s="242">
        <v>80.424336999999994</v>
      </c>
    </row>
    <row r="17" spans="2:7" x14ac:dyDescent="0.2">
      <c r="B17" s="238" t="s">
        <v>1132</v>
      </c>
      <c r="C17" s="244" t="s">
        <v>956</v>
      </c>
      <c r="D17" s="239" t="s">
        <v>1133</v>
      </c>
      <c r="E17" s="240">
        <v>2665.7</v>
      </c>
      <c r="F17" s="241">
        <v>2557.25</v>
      </c>
      <c r="G17" s="242">
        <v>16.099913000000001</v>
      </c>
    </row>
    <row r="18" spans="2:7" x14ac:dyDescent="0.2">
      <c r="B18" s="238" t="s">
        <v>1132</v>
      </c>
      <c r="C18" s="244" t="s">
        <v>943</v>
      </c>
      <c r="D18" s="239" t="s">
        <v>1133</v>
      </c>
      <c r="E18" s="240">
        <v>895.38</v>
      </c>
      <c r="F18" s="241">
        <v>866.5</v>
      </c>
      <c r="G18" s="242">
        <v>54.191834399999998</v>
      </c>
    </row>
    <row r="19" spans="2:7" x14ac:dyDescent="0.2">
      <c r="B19" s="238" t="s">
        <v>1132</v>
      </c>
      <c r="C19" s="244" t="s">
        <v>948</v>
      </c>
      <c r="D19" s="239" t="s">
        <v>1133</v>
      </c>
      <c r="E19" s="240">
        <v>1853.99</v>
      </c>
      <c r="F19" s="241">
        <v>1855.95</v>
      </c>
      <c r="G19" s="242">
        <v>29.7980144</v>
      </c>
    </row>
    <row r="20" spans="2:7" x14ac:dyDescent="0.2">
      <c r="B20" s="238" t="s">
        <v>1132</v>
      </c>
      <c r="C20" s="244" t="s">
        <v>959</v>
      </c>
      <c r="D20" s="239" t="s">
        <v>1133</v>
      </c>
      <c r="E20" s="240">
        <v>9369.08</v>
      </c>
      <c r="F20" s="241">
        <v>8854.5</v>
      </c>
      <c r="G20" s="242">
        <v>77.070097500000003</v>
      </c>
    </row>
    <row r="21" spans="2:7" x14ac:dyDescent="0.2">
      <c r="B21" s="238" t="s">
        <v>1132</v>
      </c>
      <c r="C21" s="244" t="s">
        <v>957</v>
      </c>
      <c r="D21" s="239" t="s">
        <v>1133</v>
      </c>
      <c r="E21" s="240">
        <v>2734.82</v>
      </c>
      <c r="F21" s="241">
        <v>2781.55</v>
      </c>
      <c r="G21" s="242">
        <v>20.398354600000001</v>
      </c>
    </row>
    <row r="22" spans="2:7" x14ac:dyDescent="0.2">
      <c r="B22" s="238" t="s">
        <v>1132</v>
      </c>
      <c r="C22" s="244" t="s">
        <v>949</v>
      </c>
      <c r="D22" s="239" t="s">
        <v>1133</v>
      </c>
      <c r="E22" s="240">
        <v>911.28</v>
      </c>
      <c r="F22" s="241">
        <v>951.1</v>
      </c>
      <c r="G22" s="242">
        <v>33.529009500000001</v>
      </c>
    </row>
    <row r="23" spans="2:7" x14ac:dyDescent="0.2">
      <c r="B23" s="238" t="s">
        <v>1132</v>
      </c>
      <c r="C23" s="244" t="s">
        <v>923</v>
      </c>
      <c r="D23" s="239" t="s">
        <v>1133</v>
      </c>
      <c r="E23" s="240">
        <v>429.1</v>
      </c>
      <c r="F23" s="241">
        <v>403.65</v>
      </c>
      <c r="G23" s="242">
        <v>44.878091600000005</v>
      </c>
    </row>
    <row r="24" spans="2:7" x14ac:dyDescent="0.2">
      <c r="B24" s="238" t="s">
        <v>1132</v>
      </c>
      <c r="C24" s="244" t="s">
        <v>935</v>
      </c>
      <c r="D24" s="239" t="s">
        <v>1133</v>
      </c>
      <c r="E24" s="240">
        <v>104.8</v>
      </c>
      <c r="F24" s="241">
        <v>99.65</v>
      </c>
      <c r="G24" s="242">
        <v>2.6824188000000002</v>
      </c>
    </row>
    <row r="25" spans="2:7" x14ac:dyDescent="0.2">
      <c r="B25" s="245" t="s">
        <v>1132</v>
      </c>
      <c r="C25" s="246" t="s">
        <v>958</v>
      </c>
      <c r="D25" s="239" t="s">
        <v>1133</v>
      </c>
      <c r="E25" s="240">
        <v>400.15</v>
      </c>
      <c r="F25" s="247">
        <v>395.95</v>
      </c>
      <c r="G25" s="242">
        <v>19.234345000000001</v>
      </c>
    </row>
    <row r="26" spans="2:7" x14ac:dyDescent="0.2">
      <c r="B26" s="238" t="s">
        <v>1132</v>
      </c>
      <c r="C26" s="248" t="s">
        <v>960</v>
      </c>
      <c r="D26" s="239" t="s">
        <v>1133</v>
      </c>
      <c r="E26" s="240">
        <v>268.08</v>
      </c>
      <c r="F26" s="247">
        <v>259.85000000000002</v>
      </c>
      <c r="G26" s="242">
        <v>209.78055000000001</v>
      </c>
    </row>
    <row r="27" spans="2:7" x14ac:dyDescent="0.2">
      <c r="B27" s="238" t="s">
        <v>1132</v>
      </c>
      <c r="C27" s="248" t="s">
        <v>954</v>
      </c>
      <c r="D27" s="239" t="s">
        <v>1133</v>
      </c>
      <c r="E27" s="240">
        <v>363.67</v>
      </c>
      <c r="F27" s="247">
        <v>389.05</v>
      </c>
      <c r="G27" s="242">
        <v>8.498168999999999</v>
      </c>
    </row>
    <row r="28" spans="2:7" x14ac:dyDescent="0.2">
      <c r="B28" s="238"/>
      <c r="C28" s="249"/>
      <c r="D28" s="239"/>
      <c r="E28" s="250"/>
      <c r="F28" s="250"/>
      <c r="G28" s="242"/>
    </row>
    <row r="29" spans="2:7" x14ac:dyDescent="0.2">
      <c r="B29" s="238" t="s">
        <v>861</v>
      </c>
      <c r="C29" s="244" t="s">
        <v>950</v>
      </c>
      <c r="D29" s="239" t="s">
        <v>1133</v>
      </c>
      <c r="E29" s="250">
        <v>831.59</v>
      </c>
      <c r="F29" s="241">
        <v>825.65</v>
      </c>
      <c r="G29" s="242">
        <v>473.64787200000001</v>
      </c>
    </row>
    <row r="30" spans="2:7" x14ac:dyDescent="0.2">
      <c r="B30" s="238" t="s">
        <v>861</v>
      </c>
      <c r="C30" s="244" t="s">
        <v>934</v>
      </c>
      <c r="D30" s="239" t="s">
        <v>1133</v>
      </c>
      <c r="E30" s="250">
        <v>760.47</v>
      </c>
      <c r="F30" s="241">
        <v>735.45</v>
      </c>
      <c r="G30" s="242">
        <v>63.120500999999997</v>
      </c>
    </row>
    <row r="31" spans="2:7" x14ac:dyDescent="0.2">
      <c r="B31" s="238" t="s">
        <v>861</v>
      </c>
      <c r="C31" s="244" t="s">
        <v>940</v>
      </c>
      <c r="D31" s="239" t="s">
        <v>1133</v>
      </c>
      <c r="E31" s="250">
        <v>7419.29</v>
      </c>
      <c r="F31" s="241">
        <v>7365.5</v>
      </c>
      <c r="G31" s="242">
        <v>14.952144199999999</v>
      </c>
    </row>
    <row r="32" spans="2:7" x14ac:dyDescent="0.2">
      <c r="B32" s="238" t="s">
        <v>861</v>
      </c>
      <c r="C32" s="244" t="s">
        <v>945</v>
      </c>
      <c r="D32" s="239" t="s">
        <v>1133</v>
      </c>
      <c r="E32" s="250">
        <v>364.07</v>
      </c>
      <c r="F32" s="241">
        <v>358.9</v>
      </c>
      <c r="G32" s="242">
        <v>10.6123136</v>
      </c>
    </row>
    <row r="33" spans="2:8" x14ac:dyDescent="0.2">
      <c r="B33" s="238" t="s">
        <v>861</v>
      </c>
      <c r="C33" s="244" t="s">
        <v>936</v>
      </c>
      <c r="D33" s="239" t="s">
        <v>1133</v>
      </c>
      <c r="E33" s="250">
        <v>2315.75</v>
      </c>
      <c r="F33" s="241">
        <v>2299.6</v>
      </c>
      <c r="G33" s="242">
        <v>386.48307599999993</v>
      </c>
    </row>
    <row r="34" spans="2:8" x14ac:dyDescent="0.2">
      <c r="B34" s="238" t="s">
        <v>861</v>
      </c>
      <c r="C34" s="244" t="s">
        <v>944</v>
      </c>
      <c r="D34" s="239" t="s">
        <v>1133</v>
      </c>
      <c r="E34" s="250">
        <v>1444.4</v>
      </c>
      <c r="F34" s="241">
        <v>1425.8</v>
      </c>
      <c r="G34" s="242">
        <v>599.022648</v>
      </c>
    </row>
    <row r="35" spans="2:8" x14ac:dyDescent="0.2">
      <c r="B35" s="238" t="s">
        <v>861</v>
      </c>
      <c r="C35" s="244" t="s">
        <v>926</v>
      </c>
      <c r="D35" s="239" t="s">
        <v>1133</v>
      </c>
      <c r="E35" s="250">
        <v>535.28</v>
      </c>
      <c r="F35" s="241">
        <v>532</v>
      </c>
      <c r="G35" s="242">
        <v>152.97282000000001</v>
      </c>
    </row>
    <row r="36" spans="2:8" x14ac:dyDescent="0.2">
      <c r="B36" s="238" t="s">
        <v>861</v>
      </c>
      <c r="C36" s="244" t="s">
        <v>951</v>
      </c>
      <c r="D36" s="239" t="s">
        <v>1133</v>
      </c>
      <c r="E36" s="250">
        <v>388.66</v>
      </c>
      <c r="F36" s="241">
        <v>392.3</v>
      </c>
      <c r="G36" s="242">
        <v>420.16906140000003</v>
      </c>
    </row>
    <row r="37" spans="2:8" x14ac:dyDescent="0.2">
      <c r="B37" s="238" t="s">
        <v>861</v>
      </c>
      <c r="C37" s="244" t="s">
        <v>941</v>
      </c>
      <c r="D37" s="239" t="s">
        <v>1133</v>
      </c>
      <c r="E37" s="250">
        <v>2699.23</v>
      </c>
      <c r="F37" s="241">
        <v>2696.9</v>
      </c>
      <c r="G37" s="242">
        <v>81.739966500000008</v>
      </c>
    </row>
    <row r="38" spans="2:8" x14ac:dyDescent="0.2">
      <c r="B38" s="238" t="s">
        <v>861</v>
      </c>
      <c r="C38" s="244" t="s">
        <v>943</v>
      </c>
      <c r="D38" s="239" t="s">
        <v>1133</v>
      </c>
      <c r="E38" s="250">
        <v>867.5</v>
      </c>
      <c r="F38" s="241">
        <v>866.5</v>
      </c>
      <c r="G38" s="242">
        <v>225.79930999999999</v>
      </c>
    </row>
    <row r="39" spans="2:8" x14ac:dyDescent="0.2">
      <c r="B39" s="238" t="s">
        <v>861</v>
      </c>
      <c r="C39" s="244" t="s">
        <v>939</v>
      </c>
      <c r="D39" s="239" t="s">
        <v>1133</v>
      </c>
      <c r="E39" s="250">
        <v>1389</v>
      </c>
      <c r="F39" s="241">
        <v>1401.4</v>
      </c>
      <c r="G39" s="242">
        <v>376.94539500000002</v>
      </c>
    </row>
    <row r="40" spans="2:8" x14ac:dyDescent="0.2">
      <c r="B40" s="238" t="s">
        <v>861</v>
      </c>
      <c r="C40" s="244" t="s">
        <v>948</v>
      </c>
      <c r="D40" s="239" t="s">
        <v>1133</v>
      </c>
      <c r="E40" s="250">
        <v>1844.19</v>
      </c>
      <c r="F40" s="241">
        <v>1855.95</v>
      </c>
      <c r="G40" s="242">
        <v>24.4769404</v>
      </c>
      <c r="H40" s="251"/>
    </row>
    <row r="41" spans="2:8" ht="18" customHeight="1" x14ac:dyDescent="0.2">
      <c r="B41" s="238" t="s">
        <v>861</v>
      </c>
      <c r="C41" s="244" t="s">
        <v>946</v>
      </c>
      <c r="D41" s="239" t="s">
        <v>1133</v>
      </c>
      <c r="E41" s="250">
        <v>769.71</v>
      </c>
      <c r="F41" s="241">
        <v>766.2</v>
      </c>
      <c r="G41" s="242">
        <v>19.345486999999999</v>
      </c>
      <c r="H41" s="251"/>
    </row>
    <row r="42" spans="2:8" x14ac:dyDescent="0.2">
      <c r="B42" s="238" t="s">
        <v>861</v>
      </c>
      <c r="C42" s="244" t="s">
        <v>938</v>
      </c>
      <c r="D42" s="239" t="s">
        <v>1133</v>
      </c>
      <c r="E42" s="250">
        <v>870.02</v>
      </c>
      <c r="F42" s="241">
        <v>847.2</v>
      </c>
      <c r="G42" s="242">
        <v>189.60919999999999</v>
      </c>
      <c r="H42" s="251"/>
    </row>
    <row r="43" spans="2:8" x14ac:dyDescent="0.2">
      <c r="B43" s="238" t="s">
        <v>861</v>
      </c>
      <c r="C43" s="244" t="s">
        <v>952</v>
      </c>
      <c r="D43" s="239" t="s">
        <v>1133</v>
      </c>
      <c r="E43" s="250">
        <v>17276</v>
      </c>
      <c r="F43" s="241">
        <v>17103.2</v>
      </c>
      <c r="G43" s="242">
        <v>637.43525999999997</v>
      </c>
      <c r="H43" s="251"/>
    </row>
    <row r="44" spans="2:8" x14ac:dyDescent="0.2">
      <c r="B44" s="238" t="s">
        <v>861</v>
      </c>
      <c r="C44" s="244" t="s">
        <v>949</v>
      </c>
      <c r="D44" s="239" t="s">
        <v>1133</v>
      </c>
      <c r="E44" s="250">
        <v>918.44</v>
      </c>
      <c r="F44" s="241">
        <v>951.1</v>
      </c>
      <c r="G44" s="242">
        <v>47.898584999999997</v>
      </c>
      <c r="H44" s="251"/>
    </row>
    <row r="45" spans="2:8" x14ac:dyDescent="0.2">
      <c r="B45" s="238" t="s">
        <v>861</v>
      </c>
      <c r="C45" s="244" t="s">
        <v>923</v>
      </c>
      <c r="D45" s="239" t="s">
        <v>1133</v>
      </c>
      <c r="E45" s="250">
        <v>414.73</v>
      </c>
      <c r="F45" s="241">
        <v>403.65</v>
      </c>
      <c r="G45" s="242">
        <v>61.900816000000006</v>
      </c>
      <c r="H45" s="251"/>
    </row>
    <row r="46" spans="2:8" x14ac:dyDescent="0.2">
      <c r="B46" s="238" t="s">
        <v>861</v>
      </c>
      <c r="C46" s="244" t="s">
        <v>942</v>
      </c>
      <c r="D46" s="239" t="s">
        <v>1133</v>
      </c>
      <c r="E46" s="250">
        <v>1039.04</v>
      </c>
      <c r="F46" s="241">
        <v>1011.5</v>
      </c>
      <c r="G46" s="242">
        <v>406.56842999999998</v>
      </c>
      <c r="H46" s="251"/>
    </row>
    <row r="47" spans="2:8" x14ac:dyDescent="0.2">
      <c r="B47" s="238" t="s">
        <v>861</v>
      </c>
      <c r="C47" s="244" t="s">
        <v>947</v>
      </c>
      <c r="D47" s="239" t="s">
        <v>1133</v>
      </c>
      <c r="E47" s="250">
        <v>274.17</v>
      </c>
      <c r="F47" s="241">
        <v>271.55</v>
      </c>
      <c r="G47" s="252">
        <v>32.341889799999997</v>
      </c>
      <c r="H47" s="251"/>
    </row>
    <row r="48" spans="2:8" x14ac:dyDescent="0.2">
      <c r="B48" s="238"/>
      <c r="C48" s="253"/>
      <c r="D48" s="239"/>
      <c r="E48" s="241"/>
      <c r="F48" s="241"/>
      <c r="G48" s="252"/>
      <c r="H48" s="254"/>
    </row>
    <row r="49" spans="2:8" x14ac:dyDescent="0.2">
      <c r="B49" s="238" t="s">
        <v>603</v>
      </c>
      <c r="C49" s="255" t="s">
        <v>921</v>
      </c>
      <c r="D49" s="239" t="s">
        <v>1133</v>
      </c>
      <c r="E49" s="250">
        <v>511.35</v>
      </c>
      <c r="F49" s="241">
        <v>518.54999999999995</v>
      </c>
      <c r="G49" s="252">
        <v>23.288332499999999</v>
      </c>
      <c r="H49" s="254"/>
    </row>
    <row r="50" spans="2:8" x14ac:dyDescent="0.2">
      <c r="B50" s="238" t="s">
        <v>603</v>
      </c>
      <c r="C50" s="255" t="s">
        <v>937</v>
      </c>
      <c r="D50" s="239" t="s">
        <v>1133</v>
      </c>
      <c r="E50" s="250">
        <v>156.61000000000001</v>
      </c>
      <c r="F50" s="241">
        <v>153.65</v>
      </c>
      <c r="G50" s="252">
        <v>108.67505</v>
      </c>
      <c r="H50" s="254"/>
    </row>
    <row r="51" spans="2:8" x14ac:dyDescent="0.2">
      <c r="B51" s="238" t="s">
        <v>603</v>
      </c>
      <c r="C51" s="255" t="s">
        <v>932</v>
      </c>
      <c r="D51" s="239" t="s">
        <v>1133</v>
      </c>
      <c r="E51" s="250">
        <v>3480.1</v>
      </c>
      <c r="F51" s="241">
        <v>3354.2</v>
      </c>
      <c r="G51" s="252">
        <v>41.424042</v>
      </c>
      <c r="H51" s="254"/>
    </row>
    <row r="52" spans="2:8" x14ac:dyDescent="0.2">
      <c r="B52" s="238" t="s">
        <v>603</v>
      </c>
      <c r="C52" s="255" t="s">
        <v>934</v>
      </c>
      <c r="D52" s="239" t="s">
        <v>1133</v>
      </c>
      <c r="E52" s="250">
        <v>775.21</v>
      </c>
      <c r="F52" s="241">
        <v>735.45</v>
      </c>
      <c r="G52" s="252">
        <v>63.120500999999997</v>
      </c>
      <c r="H52" s="254"/>
    </row>
    <row r="53" spans="2:8" x14ac:dyDescent="0.2">
      <c r="B53" s="238" t="s">
        <v>603</v>
      </c>
      <c r="C53" s="255" t="s">
        <v>931</v>
      </c>
      <c r="D53" s="239" t="s">
        <v>1133</v>
      </c>
      <c r="E53" s="250">
        <v>1645.09</v>
      </c>
      <c r="F53" s="241">
        <v>1683.5</v>
      </c>
      <c r="G53" s="242">
        <v>58.075499999999998</v>
      </c>
    </row>
    <row r="54" spans="2:8" x14ac:dyDescent="0.2">
      <c r="B54" s="238" t="s">
        <v>603</v>
      </c>
      <c r="C54" s="255" t="s">
        <v>940</v>
      </c>
      <c r="D54" s="239" t="s">
        <v>1133</v>
      </c>
      <c r="E54" s="250">
        <v>7569.15</v>
      </c>
      <c r="F54" s="241">
        <v>7365.5</v>
      </c>
      <c r="G54" s="242">
        <v>224.282163</v>
      </c>
    </row>
    <row r="55" spans="2:8" x14ac:dyDescent="0.2">
      <c r="B55" s="238" t="s">
        <v>603</v>
      </c>
      <c r="C55" s="255" t="s">
        <v>927</v>
      </c>
      <c r="D55" s="239" t="s">
        <v>1133</v>
      </c>
      <c r="E55" s="250">
        <v>134.22999999999999</v>
      </c>
      <c r="F55" s="241">
        <v>133.15</v>
      </c>
      <c r="G55" s="242">
        <v>64.028681199999994</v>
      </c>
    </row>
    <row r="56" spans="2:8" x14ac:dyDescent="0.2">
      <c r="B56" s="238" t="s">
        <v>603</v>
      </c>
      <c r="C56" s="255" t="s">
        <v>922</v>
      </c>
      <c r="D56" s="239" t="s">
        <v>1133</v>
      </c>
      <c r="E56" s="250">
        <v>3688.75</v>
      </c>
      <c r="F56" s="241">
        <v>3715.35</v>
      </c>
      <c r="G56" s="242">
        <v>11.872034899999999</v>
      </c>
    </row>
    <row r="57" spans="2:8" x14ac:dyDescent="0.2">
      <c r="B57" s="238" t="s">
        <v>603</v>
      </c>
      <c r="C57" s="255" t="s">
        <v>936</v>
      </c>
      <c r="D57" s="239" t="s">
        <v>1133</v>
      </c>
      <c r="E57" s="250">
        <v>2366.9299999999998</v>
      </c>
      <c r="F57" s="241">
        <v>2299.6</v>
      </c>
      <c r="G57" s="242">
        <v>83.708315999999996</v>
      </c>
    </row>
    <row r="58" spans="2:8" x14ac:dyDescent="0.2">
      <c r="B58" s="238" t="s">
        <v>603</v>
      </c>
      <c r="C58" s="255" t="s">
        <v>944</v>
      </c>
      <c r="D58" s="239" t="s">
        <v>1133</v>
      </c>
      <c r="E58" s="250">
        <v>1458.36</v>
      </c>
      <c r="F58" s="241">
        <v>1425.8</v>
      </c>
      <c r="G58" s="242">
        <v>393.80192600000004</v>
      </c>
    </row>
    <row r="59" spans="2:8" x14ac:dyDescent="0.2">
      <c r="B59" s="238" t="s">
        <v>603</v>
      </c>
      <c r="C59" s="255" t="s">
        <v>926</v>
      </c>
      <c r="D59" s="239" t="s">
        <v>1133</v>
      </c>
      <c r="E59" s="250">
        <v>543.16999999999996</v>
      </c>
      <c r="F59" s="241">
        <v>532</v>
      </c>
      <c r="G59" s="242">
        <v>31.37904</v>
      </c>
    </row>
    <row r="60" spans="2:8" x14ac:dyDescent="0.2">
      <c r="B60" s="238" t="s">
        <v>603</v>
      </c>
      <c r="C60" s="255" t="s">
        <v>941</v>
      </c>
      <c r="D60" s="239" t="s">
        <v>1133</v>
      </c>
      <c r="E60" s="250">
        <v>2684.97</v>
      </c>
      <c r="F60" s="241">
        <v>2696.9</v>
      </c>
      <c r="G60" s="242">
        <v>203.63289900000001</v>
      </c>
    </row>
    <row r="61" spans="2:8" x14ac:dyDescent="0.2">
      <c r="B61" s="238" t="s">
        <v>603</v>
      </c>
      <c r="C61" s="255" t="s">
        <v>920</v>
      </c>
      <c r="D61" s="239" t="s">
        <v>1133</v>
      </c>
      <c r="E61" s="250">
        <v>223.8</v>
      </c>
      <c r="F61" s="241">
        <v>217.6</v>
      </c>
      <c r="G61" s="242">
        <v>8.1341280000000005</v>
      </c>
    </row>
    <row r="62" spans="2:8" x14ac:dyDescent="0.2">
      <c r="B62" s="238" t="s">
        <v>603</v>
      </c>
      <c r="C62" s="255" t="s">
        <v>943</v>
      </c>
      <c r="D62" s="239" t="s">
        <v>1133</v>
      </c>
      <c r="E62" s="250">
        <v>882.05</v>
      </c>
      <c r="F62" s="241">
        <v>866.5</v>
      </c>
      <c r="G62" s="242">
        <v>322.89301330000001</v>
      </c>
    </row>
    <row r="63" spans="2:8" x14ac:dyDescent="0.2">
      <c r="B63" s="238" t="s">
        <v>603</v>
      </c>
      <c r="C63" s="255" t="s">
        <v>939</v>
      </c>
      <c r="D63" s="239" t="s">
        <v>1133</v>
      </c>
      <c r="E63" s="250">
        <v>1381.62</v>
      </c>
      <c r="F63" s="241">
        <v>1401.4</v>
      </c>
      <c r="G63" s="242">
        <v>168.65391899999997</v>
      </c>
    </row>
    <row r="64" spans="2:8" x14ac:dyDescent="0.2">
      <c r="B64" s="238" t="s">
        <v>603</v>
      </c>
      <c r="C64" s="255" t="s">
        <v>925</v>
      </c>
      <c r="D64" s="239" t="s">
        <v>1133</v>
      </c>
      <c r="E64" s="250">
        <v>1272.42</v>
      </c>
      <c r="F64" s="241">
        <v>1273.7</v>
      </c>
      <c r="G64" s="242">
        <v>32.263518000000005</v>
      </c>
    </row>
    <row r="65" spans="2:7" x14ac:dyDescent="0.2">
      <c r="B65" s="238" t="s">
        <v>603</v>
      </c>
      <c r="C65" s="255" t="s">
        <v>930</v>
      </c>
      <c r="D65" s="239" t="s">
        <v>1133</v>
      </c>
      <c r="E65" s="250">
        <v>184.9</v>
      </c>
      <c r="F65" s="241">
        <v>185.85</v>
      </c>
      <c r="G65" s="242">
        <v>52.025739999999999</v>
      </c>
    </row>
    <row r="66" spans="2:7" x14ac:dyDescent="0.2">
      <c r="B66" s="238" t="s">
        <v>603</v>
      </c>
      <c r="C66" s="244" t="s">
        <v>938</v>
      </c>
      <c r="D66" s="239" t="s">
        <v>1133</v>
      </c>
      <c r="E66" s="250">
        <v>879.03</v>
      </c>
      <c r="F66" s="241">
        <v>847.2</v>
      </c>
      <c r="G66" s="242">
        <v>68.948800000000006</v>
      </c>
    </row>
    <row r="67" spans="2:7" x14ac:dyDescent="0.2">
      <c r="B67" s="238" t="s">
        <v>603</v>
      </c>
      <c r="C67" s="255" t="s">
        <v>924</v>
      </c>
      <c r="D67" s="239" t="s">
        <v>1133</v>
      </c>
      <c r="E67" s="250">
        <v>538.16999999999996</v>
      </c>
      <c r="F67" s="241">
        <v>533.6</v>
      </c>
      <c r="G67" s="242">
        <v>33.659280000000003</v>
      </c>
    </row>
    <row r="68" spans="2:7" x14ac:dyDescent="0.2">
      <c r="B68" s="238" t="s">
        <v>603</v>
      </c>
      <c r="C68" s="255" t="s">
        <v>928</v>
      </c>
      <c r="D68" s="239" t="s">
        <v>1133</v>
      </c>
      <c r="E68" s="250">
        <v>796.54</v>
      </c>
      <c r="F68" s="241">
        <v>805.9</v>
      </c>
      <c r="G68" s="242">
        <v>47.048364000000007</v>
      </c>
    </row>
    <row r="69" spans="2:7" x14ac:dyDescent="0.2">
      <c r="B69" s="238" t="s">
        <v>603</v>
      </c>
      <c r="C69" s="255" t="s">
        <v>923</v>
      </c>
      <c r="D69" s="239" t="s">
        <v>1133</v>
      </c>
      <c r="E69" s="250">
        <v>427.7</v>
      </c>
      <c r="F69" s="241">
        <v>403.65</v>
      </c>
      <c r="G69" s="242">
        <v>21.665285600000001</v>
      </c>
    </row>
    <row r="70" spans="2:7" x14ac:dyDescent="0.2">
      <c r="B70" s="238" t="s">
        <v>603</v>
      </c>
      <c r="C70" s="255" t="s">
        <v>935</v>
      </c>
      <c r="D70" s="239" t="s">
        <v>1133</v>
      </c>
      <c r="E70" s="250">
        <v>104.93</v>
      </c>
      <c r="F70" s="241">
        <v>99.65</v>
      </c>
      <c r="G70" s="242">
        <v>92.543448599999991</v>
      </c>
    </row>
    <row r="71" spans="2:7" x14ac:dyDescent="0.2">
      <c r="B71" s="238" t="s">
        <v>603</v>
      </c>
      <c r="C71" s="255" t="s">
        <v>933</v>
      </c>
      <c r="D71" s="239" t="s">
        <v>1133</v>
      </c>
      <c r="E71" s="250">
        <v>3042.49</v>
      </c>
      <c r="F71" s="241">
        <v>3008.85</v>
      </c>
      <c r="G71" s="242">
        <v>50.223573799999997</v>
      </c>
    </row>
    <row r="72" spans="2:7" x14ac:dyDescent="0.2">
      <c r="B72" s="238" t="s">
        <v>603</v>
      </c>
      <c r="C72" s="255" t="s">
        <v>942</v>
      </c>
      <c r="D72" s="239" t="s">
        <v>1133</v>
      </c>
      <c r="E72" s="250">
        <v>1043.1400000000001</v>
      </c>
      <c r="F72" s="241">
        <v>1011.5</v>
      </c>
      <c r="G72" s="242">
        <v>293.63275499999997</v>
      </c>
    </row>
    <row r="73" spans="2:7" x14ac:dyDescent="0.2">
      <c r="B73" s="238" t="s">
        <v>603</v>
      </c>
      <c r="C73" s="255" t="s">
        <v>929</v>
      </c>
      <c r="D73" s="239" t="s">
        <v>1133</v>
      </c>
      <c r="E73" s="250">
        <v>2720.89</v>
      </c>
      <c r="F73" s="241">
        <v>2611.5500000000002</v>
      </c>
      <c r="G73" s="242">
        <v>38.254522100000003</v>
      </c>
    </row>
    <row r="74" spans="2:7" x14ac:dyDescent="0.2">
      <c r="B74" s="245"/>
      <c r="C74" s="256"/>
      <c r="D74" s="257"/>
      <c r="E74" s="258"/>
      <c r="F74" s="259"/>
      <c r="G74" s="260"/>
    </row>
    <row r="75" spans="2:7" x14ac:dyDescent="0.2">
      <c r="B75" s="238"/>
      <c r="C75" s="261"/>
      <c r="D75" s="239"/>
      <c r="E75" s="262"/>
      <c r="F75" s="263"/>
      <c r="G75" s="242"/>
    </row>
    <row r="76" spans="2:7" hidden="1" x14ac:dyDescent="0.2">
      <c r="B76" s="238"/>
      <c r="C76" s="264"/>
      <c r="D76" s="239"/>
      <c r="E76" s="263"/>
      <c r="F76" s="263"/>
      <c r="G76" s="242"/>
    </row>
    <row r="78" spans="2:7" x14ac:dyDescent="0.2">
      <c r="B78" s="235" t="s">
        <v>1134</v>
      </c>
      <c r="E78" s="265"/>
      <c r="F78" s="265"/>
      <c r="G78" s="265"/>
    </row>
    <row r="80" spans="2:7" x14ac:dyDescent="0.2">
      <c r="B80" s="266" t="s">
        <v>1126</v>
      </c>
      <c r="C80" s="266" t="s">
        <v>1135</v>
      </c>
    </row>
    <row r="81" spans="2:12" x14ac:dyDescent="0.2">
      <c r="B81" s="238" t="s">
        <v>1132</v>
      </c>
      <c r="C81" s="267">
        <v>0.65710000000000002</v>
      </c>
    </row>
    <row r="82" spans="2:12" x14ac:dyDescent="0.2">
      <c r="B82" s="238" t="s">
        <v>861</v>
      </c>
      <c r="C82" s="268">
        <v>0.13569999999999999</v>
      </c>
    </row>
    <row r="83" spans="2:12" x14ac:dyDescent="0.2">
      <c r="B83" s="269" t="s">
        <v>603</v>
      </c>
      <c r="C83" s="268">
        <v>0.29809999999999998</v>
      </c>
    </row>
    <row r="85" spans="2:12" x14ac:dyDescent="0.2">
      <c r="B85" s="235" t="s">
        <v>1136</v>
      </c>
    </row>
    <row r="86" spans="2:12" x14ac:dyDescent="0.2">
      <c r="B86" s="235"/>
    </row>
    <row r="87" spans="2:12" ht="63.75" x14ac:dyDescent="0.2">
      <c r="B87" s="236" t="s">
        <v>1126</v>
      </c>
      <c r="C87" s="237" t="s">
        <v>1137</v>
      </c>
      <c r="D87" s="237" t="s">
        <v>1138</v>
      </c>
      <c r="E87" s="237" t="s">
        <v>1139</v>
      </c>
      <c r="F87" s="237" t="s">
        <v>1140</v>
      </c>
      <c r="G87" s="237" t="s">
        <v>1141</v>
      </c>
    </row>
    <row r="88" spans="2:12" ht="15" customHeight="1" x14ac:dyDescent="0.2">
      <c r="B88" s="238" t="s">
        <v>1132</v>
      </c>
      <c r="C88" s="270">
        <v>3733</v>
      </c>
      <c r="D88" s="270">
        <v>3701</v>
      </c>
      <c r="E88" s="252">
        <v>27051.151899999997</v>
      </c>
      <c r="F88" s="252">
        <v>26671.915000000001</v>
      </c>
      <c r="G88" s="271">
        <v>-379.23689999999624</v>
      </c>
      <c r="H88" s="272"/>
      <c r="I88" s="273"/>
      <c r="J88" s="274"/>
      <c r="K88" s="274"/>
      <c r="L88" s="274"/>
    </row>
    <row r="89" spans="2:12" ht="15" customHeight="1" x14ac:dyDescent="0.2">
      <c r="B89" s="238" t="s">
        <v>861</v>
      </c>
      <c r="C89" s="275">
        <v>25676</v>
      </c>
      <c r="D89" s="275">
        <v>25461</v>
      </c>
      <c r="E89" s="276">
        <v>163203.03783000002</v>
      </c>
      <c r="F89" s="276">
        <v>164648.0863</v>
      </c>
      <c r="G89" s="271">
        <v>1445.0484699999797</v>
      </c>
      <c r="H89" s="272"/>
      <c r="I89" s="273"/>
      <c r="J89" s="274"/>
      <c r="K89" s="274"/>
      <c r="L89" s="274"/>
    </row>
    <row r="90" spans="2:12" ht="15" customHeight="1" x14ac:dyDescent="0.2">
      <c r="B90" s="269" t="s">
        <v>603</v>
      </c>
      <c r="C90" s="270">
        <v>10020</v>
      </c>
      <c r="D90" s="270">
        <v>9964</v>
      </c>
      <c r="E90" s="252">
        <v>67378.262300000002</v>
      </c>
      <c r="F90" s="252">
        <v>67193.311199999996</v>
      </c>
      <c r="G90" s="271">
        <v>-184.95110000000568</v>
      </c>
      <c r="H90" s="272"/>
      <c r="I90" s="273"/>
      <c r="J90" s="274"/>
      <c r="K90" s="274"/>
      <c r="L90" s="274"/>
    </row>
    <row r="91" spans="2:12" x14ac:dyDescent="0.2">
      <c r="B91" s="277" t="s">
        <v>756</v>
      </c>
      <c r="C91" s="270">
        <v>500</v>
      </c>
      <c r="D91" s="270">
        <v>500</v>
      </c>
      <c r="E91" s="252">
        <v>2417.11</v>
      </c>
      <c r="F91" s="252">
        <v>2635.38</v>
      </c>
      <c r="G91" s="271">
        <v>218.26999999999998</v>
      </c>
      <c r="H91" s="272"/>
      <c r="I91" s="273"/>
      <c r="J91" s="274"/>
      <c r="K91" s="274"/>
      <c r="L91" s="274"/>
    </row>
    <row r="92" spans="2:12" x14ac:dyDescent="0.2">
      <c r="B92" s="238" t="s">
        <v>836</v>
      </c>
      <c r="C92" s="275">
        <v>435</v>
      </c>
      <c r="D92" s="275">
        <v>435</v>
      </c>
      <c r="E92" s="278">
        <v>2210.1902</v>
      </c>
      <c r="F92" s="276">
        <v>2206.4429</v>
      </c>
      <c r="G92" s="271">
        <v>-3.7472999999999956</v>
      </c>
      <c r="H92" s="272"/>
      <c r="I92" s="273"/>
      <c r="J92" s="274"/>
      <c r="K92" s="274"/>
      <c r="L92" s="274"/>
    </row>
    <row r="93" spans="2:12" x14ac:dyDescent="0.2">
      <c r="B93" s="238" t="s">
        <v>913</v>
      </c>
      <c r="C93" s="275">
        <v>150</v>
      </c>
      <c r="D93" s="275">
        <v>150</v>
      </c>
      <c r="E93" s="278">
        <v>1326.8625</v>
      </c>
      <c r="F93" s="276">
        <v>1183.7657519499999</v>
      </c>
      <c r="G93" s="271">
        <v>-143.09674805000009</v>
      </c>
      <c r="H93" s="272"/>
      <c r="I93" s="273"/>
      <c r="J93" s="274"/>
      <c r="K93" s="274"/>
      <c r="L93" s="274"/>
    </row>
    <row r="94" spans="2:12" x14ac:dyDescent="0.2">
      <c r="B94" s="269" t="s">
        <v>758</v>
      </c>
      <c r="C94" s="275">
        <v>350</v>
      </c>
      <c r="D94" s="275">
        <v>350</v>
      </c>
      <c r="E94" s="276">
        <v>2779.0425</v>
      </c>
      <c r="F94" s="276">
        <v>2612.8422924500001</v>
      </c>
      <c r="G94" s="271">
        <v>-166.20020754999996</v>
      </c>
      <c r="H94" s="272"/>
      <c r="I94" s="273"/>
      <c r="J94" s="274"/>
    </row>
    <row r="95" spans="2:12" x14ac:dyDescent="0.2">
      <c r="H95" s="272"/>
      <c r="I95" s="273"/>
      <c r="J95" s="274"/>
    </row>
    <row r="96" spans="2:12" ht="15" customHeight="1" x14ac:dyDescent="0.2">
      <c r="E96" s="274"/>
      <c r="F96" s="274"/>
      <c r="H96" s="272"/>
      <c r="I96" s="273"/>
      <c r="J96" s="274"/>
    </row>
    <row r="97" spans="2:12" x14ac:dyDescent="0.2">
      <c r="B97" s="235" t="s">
        <v>1142</v>
      </c>
      <c r="F97" s="274"/>
      <c r="G97" s="273"/>
      <c r="H97" s="272"/>
      <c r="I97" s="273"/>
      <c r="L97" s="272"/>
    </row>
    <row r="98" spans="2:12" x14ac:dyDescent="0.2">
      <c r="H98" s="279"/>
      <c r="L98" s="273"/>
    </row>
    <row r="99" spans="2:12" ht="25.5" x14ac:dyDescent="0.2">
      <c r="B99" s="236" t="s">
        <v>1126</v>
      </c>
      <c r="C99" s="236" t="s">
        <v>1127</v>
      </c>
      <c r="D99" s="236" t="s">
        <v>1128</v>
      </c>
      <c r="E99" s="237" t="s">
        <v>1129</v>
      </c>
      <c r="F99" s="237" t="s">
        <v>1130</v>
      </c>
      <c r="G99" s="237" t="s">
        <v>1143</v>
      </c>
    </row>
    <row r="100" spans="2:12" x14ac:dyDescent="0.2">
      <c r="B100" s="238"/>
      <c r="C100" s="238"/>
      <c r="D100" s="239" t="s">
        <v>1144</v>
      </c>
      <c r="E100" s="241"/>
      <c r="F100" s="241"/>
      <c r="G100" s="242"/>
    </row>
    <row r="101" spans="2:12" x14ac:dyDescent="0.2">
      <c r="D101" s="280"/>
      <c r="E101" s="281"/>
      <c r="F101" s="281"/>
      <c r="G101" s="281"/>
      <c r="I101" s="273"/>
    </row>
    <row r="102" spans="2:12" x14ac:dyDescent="0.2">
      <c r="C102" s="282"/>
      <c r="D102" s="283"/>
      <c r="E102" s="284"/>
      <c r="F102" s="285"/>
      <c r="G102" s="285"/>
      <c r="I102" s="273"/>
    </row>
    <row r="103" spans="2:12" x14ac:dyDescent="0.2">
      <c r="B103" s="235" t="s">
        <v>1145</v>
      </c>
      <c r="I103" s="273"/>
    </row>
    <row r="104" spans="2:12" x14ac:dyDescent="0.2">
      <c r="I104" s="273"/>
      <c r="L104" s="274"/>
    </row>
    <row r="105" spans="2:12" x14ac:dyDescent="0.2">
      <c r="B105" s="266" t="s">
        <v>1126</v>
      </c>
      <c r="C105" s="266" t="s">
        <v>1135</v>
      </c>
    </row>
    <row r="106" spans="2:12" x14ac:dyDescent="0.2">
      <c r="B106" s="238"/>
      <c r="C106" s="267"/>
    </row>
    <row r="107" spans="2:12" x14ac:dyDescent="0.2">
      <c r="B107" s="286"/>
      <c r="C107" s="287"/>
    </row>
    <row r="108" spans="2:12" x14ac:dyDescent="0.2">
      <c r="B108" s="235" t="s">
        <v>1146</v>
      </c>
    </row>
    <row r="109" spans="2:12" x14ac:dyDescent="0.2">
      <c r="B109" s="235"/>
    </row>
    <row r="110" spans="2:12" ht="63.75" x14ac:dyDescent="0.2">
      <c r="B110" s="236" t="s">
        <v>1126</v>
      </c>
      <c r="C110" s="237" t="s">
        <v>1137</v>
      </c>
      <c r="D110" s="237" t="s">
        <v>1138</v>
      </c>
      <c r="E110" s="237" t="s">
        <v>1139</v>
      </c>
      <c r="F110" s="237" t="s">
        <v>1147</v>
      </c>
      <c r="G110" s="237" t="s">
        <v>1148</v>
      </c>
    </row>
    <row r="111" spans="2:12" x14ac:dyDescent="0.2">
      <c r="B111" s="238" t="s">
        <v>861</v>
      </c>
      <c r="C111" s="275">
        <v>656</v>
      </c>
      <c r="D111" s="275">
        <v>656</v>
      </c>
      <c r="E111" s="276">
        <v>5196.4602999999997</v>
      </c>
      <c r="F111" s="276">
        <v>5506.8815999999997</v>
      </c>
      <c r="G111" s="288">
        <v>310.42129999999997</v>
      </c>
      <c r="H111" s="272"/>
      <c r="I111" s="273"/>
    </row>
    <row r="112" spans="2:12" x14ac:dyDescent="0.2">
      <c r="B112" s="269" t="s">
        <v>176</v>
      </c>
      <c r="C112" s="289">
        <v>2829</v>
      </c>
      <c r="D112" s="289">
        <v>2829</v>
      </c>
      <c r="E112" s="290">
        <v>18574.505500000003</v>
      </c>
      <c r="F112" s="290">
        <v>20302.295699999999</v>
      </c>
      <c r="G112" s="288">
        <v>1727.7901999999958</v>
      </c>
      <c r="H112" s="291"/>
      <c r="I112" s="273"/>
    </row>
    <row r="113" spans="2:9" x14ac:dyDescent="0.2">
      <c r="B113" s="269" t="s">
        <v>911</v>
      </c>
      <c r="C113" s="289">
        <v>25</v>
      </c>
      <c r="D113" s="289">
        <v>25</v>
      </c>
      <c r="E113" s="290">
        <v>286.49090000000001</v>
      </c>
      <c r="F113" s="290">
        <v>294.68299999999999</v>
      </c>
      <c r="G113" s="288">
        <v>8.1920999999999822</v>
      </c>
      <c r="I113" s="273"/>
    </row>
    <row r="114" spans="2:9" x14ac:dyDescent="0.2">
      <c r="B114" s="238" t="s">
        <v>757</v>
      </c>
      <c r="C114" s="275">
        <v>8368</v>
      </c>
      <c r="D114" s="275">
        <v>8368</v>
      </c>
      <c r="E114" s="278">
        <v>75631.650500000003</v>
      </c>
      <c r="F114" s="276">
        <v>72687.448900000003</v>
      </c>
      <c r="G114" s="271">
        <v>-2944.2016000000003</v>
      </c>
      <c r="I114" s="273"/>
    </row>
    <row r="115" spans="2:9" x14ac:dyDescent="0.2">
      <c r="B115" s="238" t="s">
        <v>913</v>
      </c>
      <c r="C115" s="292">
        <v>95</v>
      </c>
      <c r="D115" s="292">
        <v>95</v>
      </c>
      <c r="E115" s="290">
        <v>311.71100000000001</v>
      </c>
      <c r="F115" s="290">
        <v>267.23</v>
      </c>
      <c r="G115" s="288">
        <v>-44.480999999999995</v>
      </c>
      <c r="H115" s="293"/>
      <c r="I115" s="273"/>
    </row>
    <row r="116" spans="2:9" x14ac:dyDescent="0.2">
      <c r="B116" s="238" t="s">
        <v>836</v>
      </c>
      <c r="C116" s="292">
        <v>1001</v>
      </c>
      <c r="D116" s="292">
        <v>1001</v>
      </c>
      <c r="E116" s="290">
        <v>6963.8786</v>
      </c>
      <c r="F116" s="290">
        <v>7171.8040000000001</v>
      </c>
      <c r="G116" s="288">
        <v>207.92540000000008</v>
      </c>
      <c r="H116" s="293"/>
      <c r="I116" s="273"/>
    </row>
    <row r="117" spans="2:9" x14ac:dyDescent="0.2">
      <c r="B117" s="295"/>
      <c r="C117" s="296"/>
      <c r="D117" s="296"/>
      <c r="E117" s="297"/>
      <c r="F117" s="297"/>
      <c r="G117" s="297"/>
      <c r="H117" s="273"/>
    </row>
    <row r="118" spans="2:9" x14ac:dyDescent="0.2">
      <c r="B118" s="235" t="s">
        <v>1149</v>
      </c>
      <c r="D118" s="298"/>
    </row>
    <row r="120" spans="2:9" ht="25.5" x14ac:dyDescent="0.2">
      <c r="B120" s="237" t="s">
        <v>1126</v>
      </c>
      <c r="C120" s="237" t="s">
        <v>1127</v>
      </c>
      <c r="D120" s="237" t="s">
        <v>1150</v>
      </c>
      <c r="E120" s="237" t="s">
        <v>1151</v>
      </c>
      <c r="F120" s="237" t="s">
        <v>1152</v>
      </c>
      <c r="G120" s="237" t="s">
        <v>1153</v>
      </c>
    </row>
    <row r="121" spans="2:9" x14ac:dyDescent="0.2">
      <c r="B121" s="299" t="s">
        <v>837</v>
      </c>
      <c r="C121" s="299" t="s">
        <v>837</v>
      </c>
      <c r="D121" s="299" t="s">
        <v>837</v>
      </c>
      <c r="E121" s="299" t="s">
        <v>837</v>
      </c>
      <c r="F121" s="299" t="s">
        <v>837</v>
      </c>
      <c r="G121" s="299" t="s">
        <v>837</v>
      </c>
    </row>
    <row r="122" spans="2:9" x14ac:dyDescent="0.2">
      <c r="D122" s="298"/>
      <c r="E122" s="298"/>
      <c r="F122" s="300"/>
      <c r="G122" s="300"/>
    </row>
    <row r="123" spans="2:9" x14ac:dyDescent="0.2">
      <c r="D123" s="298"/>
      <c r="E123" s="298"/>
      <c r="F123" s="300"/>
      <c r="G123" s="300"/>
    </row>
    <row r="124" spans="2:9" x14ac:dyDescent="0.2">
      <c r="B124" s="235" t="s">
        <v>1154</v>
      </c>
      <c r="G124" s="234" t="s">
        <v>1031</v>
      </c>
    </row>
    <row r="125" spans="2:9" x14ac:dyDescent="0.2">
      <c r="B125" s="235"/>
    </row>
    <row r="126" spans="2:9" x14ac:dyDescent="0.2">
      <c r="B126" s="266" t="s">
        <v>1126</v>
      </c>
      <c r="C126" s="266" t="s">
        <v>1135</v>
      </c>
    </row>
    <row r="127" spans="2:9" x14ac:dyDescent="0.2">
      <c r="B127" s="299" t="s">
        <v>837</v>
      </c>
      <c r="C127" s="299" t="s">
        <v>837</v>
      </c>
    </row>
    <row r="128" spans="2:9" x14ac:dyDescent="0.2">
      <c r="C128" s="301"/>
      <c r="D128" s="287"/>
    </row>
    <row r="129" spans="2:7" x14ac:dyDescent="0.2">
      <c r="B129" s="235" t="s">
        <v>1155</v>
      </c>
    </row>
    <row r="131" spans="2:7" ht="38.25" x14ac:dyDescent="0.2">
      <c r="B131" s="236" t="s">
        <v>1126</v>
      </c>
      <c r="C131" s="237" t="s">
        <v>1156</v>
      </c>
      <c r="D131" s="237" t="s">
        <v>1157</v>
      </c>
      <c r="E131" s="237" t="s">
        <v>1158</v>
      </c>
      <c r="F131" s="237" t="s">
        <v>1159</v>
      </c>
    </row>
    <row r="132" spans="2:7" x14ac:dyDescent="0.2">
      <c r="B132" s="302"/>
      <c r="C132" s="299"/>
      <c r="D132" s="303"/>
      <c r="E132" s="288"/>
      <c r="F132" s="288">
        <v>0</v>
      </c>
    </row>
    <row r="133" spans="2:7" x14ac:dyDescent="0.2">
      <c r="B133" s="304"/>
      <c r="C133" s="305"/>
      <c r="D133" s="306"/>
      <c r="E133" s="306"/>
      <c r="F133" s="307"/>
    </row>
    <row r="134" spans="2:7" x14ac:dyDescent="0.2">
      <c r="B134" s="304"/>
      <c r="C134" s="305"/>
      <c r="D134" s="306"/>
      <c r="E134" s="306"/>
      <c r="F134" s="307"/>
    </row>
    <row r="136" spans="2:7" x14ac:dyDescent="0.2">
      <c r="B136" s="235" t="s">
        <v>1160</v>
      </c>
    </row>
    <row r="138" spans="2:7" ht="25.5" x14ac:dyDescent="0.2">
      <c r="B138" s="237" t="s">
        <v>1126</v>
      </c>
      <c r="C138" s="237" t="s">
        <v>1127</v>
      </c>
      <c r="D138" s="237" t="s">
        <v>1150</v>
      </c>
      <c r="E138" s="237" t="s">
        <v>1151</v>
      </c>
      <c r="F138" s="237" t="s">
        <v>1152</v>
      </c>
      <c r="G138" s="237" t="s">
        <v>1153</v>
      </c>
    </row>
    <row r="139" spans="2:7" x14ac:dyDescent="0.2">
      <c r="B139" s="238" t="s">
        <v>837</v>
      </c>
      <c r="C139" s="238" t="s">
        <v>837</v>
      </c>
      <c r="D139" s="238" t="s">
        <v>837</v>
      </c>
      <c r="E139" s="238" t="s">
        <v>837</v>
      </c>
      <c r="F139" s="238" t="s">
        <v>837</v>
      </c>
      <c r="G139" s="238" t="s">
        <v>837</v>
      </c>
    </row>
    <row r="140" spans="2:7" x14ac:dyDescent="0.2">
      <c r="C140" s="282"/>
      <c r="D140" s="308"/>
      <c r="E140" s="309"/>
      <c r="F140" s="300"/>
      <c r="G140" s="300"/>
    </row>
    <row r="141" spans="2:7" x14ac:dyDescent="0.2">
      <c r="B141" s="235" t="s">
        <v>1161</v>
      </c>
    </row>
    <row r="142" spans="2:7" x14ac:dyDescent="0.2">
      <c r="B142" s="235"/>
    </row>
    <row r="143" spans="2:7" x14ac:dyDescent="0.2">
      <c r="B143" s="266" t="s">
        <v>1126</v>
      </c>
      <c r="C143" s="266" t="s">
        <v>1135</v>
      </c>
    </row>
    <row r="144" spans="2:7" x14ac:dyDescent="0.2">
      <c r="B144" s="238" t="s">
        <v>837</v>
      </c>
      <c r="C144" s="238" t="s">
        <v>837</v>
      </c>
    </row>
    <row r="145" spans="2:7" x14ac:dyDescent="0.2">
      <c r="B145" s="286"/>
      <c r="C145" s="287"/>
    </row>
    <row r="146" spans="2:7" x14ac:dyDescent="0.2">
      <c r="B146" s="235" t="s">
        <v>1162</v>
      </c>
    </row>
    <row r="148" spans="2:7" ht="38.25" x14ac:dyDescent="0.2">
      <c r="B148" s="236" t="s">
        <v>1126</v>
      </c>
      <c r="C148" s="237" t="s">
        <v>1156</v>
      </c>
      <c r="D148" s="237" t="s">
        <v>1163</v>
      </c>
      <c r="E148" s="237" t="s">
        <v>1164</v>
      </c>
      <c r="F148" s="237" t="s">
        <v>1159</v>
      </c>
    </row>
    <row r="149" spans="2:7" x14ac:dyDescent="0.2">
      <c r="B149" s="238"/>
      <c r="C149" s="299"/>
      <c r="D149" s="303"/>
      <c r="E149" s="299"/>
      <c r="F149" s="299"/>
    </row>
    <row r="150" spans="2:7" x14ac:dyDescent="0.2">
      <c r="G150" s="310"/>
    </row>
    <row r="151" spans="2:7" x14ac:dyDescent="0.2">
      <c r="F151" s="311"/>
      <c r="G151" s="274"/>
    </row>
    <row r="152" spans="2:7" x14ac:dyDescent="0.2">
      <c r="B152" s="235" t="s">
        <v>1165</v>
      </c>
    </row>
    <row r="153" spans="2:7" x14ac:dyDescent="0.2">
      <c r="B153" s="235"/>
    </row>
    <row r="154" spans="2:7" x14ac:dyDescent="0.2">
      <c r="E154" s="274"/>
    </row>
    <row r="155" spans="2:7" x14ac:dyDescent="0.2">
      <c r="B155" s="235" t="s">
        <v>1166</v>
      </c>
      <c r="E155" s="274"/>
    </row>
    <row r="156" spans="2:7" x14ac:dyDescent="0.2">
      <c r="E156" s="274"/>
    </row>
    <row r="157" spans="2:7" ht="25.5" x14ac:dyDescent="0.2">
      <c r="B157" s="236" t="s">
        <v>1126</v>
      </c>
      <c r="C157" s="237" t="s">
        <v>1127</v>
      </c>
      <c r="D157" s="237" t="s">
        <v>1128</v>
      </c>
      <c r="E157" s="237" t="s">
        <v>1167</v>
      </c>
      <c r="F157" s="237" t="s">
        <v>1168</v>
      </c>
      <c r="G157" s="237" t="s">
        <v>1169</v>
      </c>
    </row>
    <row r="158" spans="2:7" x14ac:dyDescent="0.2">
      <c r="B158" s="269" t="s">
        <v>837</v>
      </c>
      <c r="C158" s="294" t="s">
        <v>837</v>
      </c>
      <c r="D158" s="312" t="s">
        <v>837</v>
      </c>
      <c r="E158" s="313" t="s">
        <v>837</v>
      </c>
      <c r="F158" s="313" t="s">
        <v>837</v>
      </c>
      <c r="G158" s="313" t="s">
        <v>837</v>
      </c>
    </row>
    <row r="159" spans="2:7" x14ac:dyDescent="0.2">
      <c r="E159" s="274"/>
    </row>
    <row r="160" spans="2:7" x14ac:dyDescent="0.2">
      <c r="B160" s="235" t="s">
        <v>1170</v>
      </c>
      <c r="E160" s="274"/>
    </row>
    <row r="161" spans="2:10" x14ac:dyDescent="0.2">
      <c r="B161" s="235"/>
      <c r="E161" s="274"/>
    </row>
    <row r="162" spans="2:10" x14ac:dyDescent="0.2">
      <c r="B162" s="266" t="s">
        <v>1126</v>
      </c>
      <c r="C162" s="266" t="s">
        <v>1135</v>
      </c>
      <c r="E162" s="274"/>
    </row>
    <row r="163" spans="2:10" x14ac:dyDescent="0.2">
      <c r="B163" s="299" t="s">
        <v>837</v>
      </c>
      <c r="C163" s="289" t="s">
        <v>837</v>
      </c>
      <c r="E163" s="274"/>
    </row>
    <row r="164" spans="2:10" x14ac:dyDescent="0.2">
      <c r="E164" s="274"/>
    </row>
    <row r="165" spans="2:10" x14ac:dyDescent="0.2">
      <c r="B165" s="235" t="s">
        <v>1171</v>
      </c>
      <c r="E165" s="274"/>
    </row>
    <row r="166" spans="2:10" x14ac:dyDescent="0.2">
      <c r="E166" s="274"/>
    </row>
    <row r="167" spans="2:10" ht="63.75" x14ac:dyDescent="0.2">
      <c r="B167" s="236" t="s">
        <v>1126</v>
      </c>
      <c r="C167" s="237" t="s">
        <v>1137</v>
      </c>
      <c r="D167" s="237" t="s">
        <v>1138</v>
      </c>
      <c r="E167" s="237" t="s">
        <v>1139</v>
      </c>
      <c r="F167" s="237" t="s">
        <v>1140</v>
      </c>
      <c r="G167" s="237" t="s">
        <v>1141</v>
      </c>
    </row>
    <row r="168" spans="2:10" x14ac:dyDescent="0.2">
      <c r="B168" s="289"/>
      <c r="C168" s="289"/>
      <c r="D168" s="270"/>
      <c r="E168" s="314"/>
      <c r="F168" s="315"/>
      <c r="G168" s="316"/>
      <c r="I168" s="273"/>
      <c r="J168" s="274"/>
    </row>
    <row r="169" spans="2:10" x14ac:dyDescent="0.2">
      <c r="E169" s="274"/>
    </row>
    <row r="170" spans="2:10" x14ac:dyDescent="0.2">
      <c r="E170" s="274"/>
    </row>
    <row r="171" spans="2:10" x14ac:dyDescent="0.2">
      <c r="B171" s="235" t="s">
        <v>1172</v>
      </c>
      <c r="E171" s="274"/>
    </row>
    <row r="172" spans="2:10" x14ac:dyDescent="0.2">
      <c r="E172" s="274"/>
    </row>
    <row r="173" spans="2:10" ht="63.75" x14ac:dyDescent="0.2">
      <c r="B173" s="236" t="s">
        <v>1126</v>
      </c>
      <c r="C173" s="237" t="s">
        <v>1137</v>
      </c>
      <c r="D173" s="237" t="s">
        <v>1138</v>
      </c>
      <c r="E173" s="237" t="s">
        <v>1139</v>
      </c>
      <c r="F173" s="237" t="s">
        <v>1140</v>
      </c>
      <c r="G173" s="237" t="s">
        <v>1141</v>
      </c>
    </row>
    <row r="174" spans="2:10" x14ac:dyDescent="0.2">
      <c r="B174" s="239"/>
      <c r="C174" s="299"/>
      <c r="D174" s="299"/>
      <c r="E174" s="317"/>
      <c r="F174" s="317"/>
      <c r="G174" s="317"/>
    </row>
    <row r="175" spans="2:10" x14ac:dyDescent="0.2">
      <c r="E175" s="274"/>
    </row>
    <row r="176" spans="2:10" x14ac:dyDescent="0.2">
      <c r="E176" s="274"/>
    </row>
    <row r="177" spans="2:5" x14ac:dyDescent="0.2">
      <c r="E177" s="274"/>
    </row>
    <row r="178" spans="2:5" x14ac:dyDescent="0.2">
      <c r="B178" s="234" t="s">
        <v>1173</v>
      </c>
    </row>
  </sheetData>
  <mergeCells count="3">
    <mergeCell ref="B2:G2"/>
    <mergeCell ref="B3:G3"/>
    <mergeCell ref="B5:G5"/>
  </mergeCells>
  <printOptions horizontalCentered="1"/>
  <pageMargins left="0.17" right="0.15748031496062992" top="0.43307086614173229" bottom="0.47244094488188981" header="0.31496062992125984" footer="0.31496062992125984"/>
  <pageSetup paperSize="9" scale="48" fitToHeight="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40</vt:i4>
      </vt:variant>
    </vt:vector>
  </HeadingPairs>
  <TitlesOfParts>
    <vt:vector size="40" baseType="lpstr">
      <vt:lpstr>Index</vt:lpstr>
      <vt:lpstr>CAPEXG</vt:lpstr>
      <vt:lpstr>MICAP17</vt:lpstr>
      <vt:lpstr>MIDCAP</vt:lpstr>
      <vt:lpstr>MULTI1</vt:lpstr>
      <vt:lpstr>MULTI2</vt:lpstr>
      <vt:lpstr>MULTIP</vt:lpstr>
      <vt:lpstr>SESCAP1</vt:lpstr>
      <vt:lpstr>SESCAP2</vt:lpstr>
      <vt:lpstr>SESCAP3</vt:lpstr>
      <vt:lpstr>SESCAP4</vt:lpstr>
      <vt:lpstr>SESCAP5</vt:lpstr>
      <vt:lpstr>SESCAP6</vt:lpstr>
      <vt:lpstr>SESCAP7</vt:lpstr>
      <vt:lpstr>SLTADV3</vt:lpstr>
      <vt:lpstr>SLTADV4</vt:lpstr>
      <vt:lpstr>SLTAX1</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SUNFCF</vt:lpstr>
      <vt:lpstr>SUNFOP</vt:lpstr>
      <vt:lpstr>GLOB</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Boopathi V - Sundaram Fund Services</dc:creator>
  <cp:lastModifiedBy>Bharathi B - Sundaram Mutual</cp:lastModifiedBy>
  <dcterms:created xsi:type="dcterms:W3CDTF">2022-10-02T09:56:15Z</dcterms:created>
  <dcterms:modified xsi:type="dcterms:W3CDTF">2023-02-09T10:55:11Z</dcterms:modified>
</cp:coreProperties>
</file>