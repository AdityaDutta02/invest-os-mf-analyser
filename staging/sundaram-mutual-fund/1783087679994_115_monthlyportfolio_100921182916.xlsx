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view\2021-22\5. Aug 2021\"/>
    </mc:Choice>
  </mc:AlternateContent>
  <xr:revisionPtr revIDLastSave="0" documentId="13_ncr:1_{BC1D6896-100F-48C6-8758-EC8F72C451FC}" xr6:coauthVersionLast="47" xr6:coauthVersionMax="47" xr10:uidLastSave="{00000000-0000-0000-0000-000000000000}"/>
  <bookViews>
    <workbookView xWindow="-120" yWindow="-120" windowWidth="20730" windowHeight="11160" tabRatio="925" xr2:uid="{00000000-000D-0000-FFFF-FFFF00000000}"/>
  </bookViews>
  <sheets>
    <sheet name="Index" sheetId="39" r:id="rId1"/>
    <sheet name="CAPEXG" sheetId="1" r:id="rId2"/>
    <sheet name="MICAP14" sheetId="2" r:id="rId3"/>
    <sheet name="MICAP15" sheetId="3" r:id="rId4"/>
    <sheet name="MICAP16" sheetId="4" r:id="rId5"/>
    <sheet name="MICAP17" sheetId="5" r:id="rId6"/>
    <sheet name="MIDCAP" sheetId="6" r:id="rId7"/>
    <sheet name="MULTI1" sheetId="7" r:id="rId8"/>
    <sheet name="MULTI2" sheetId="8" r:id="rId9"/>
    <sheet name="MULTIP" sheetId="9" r:id="rId10"/>
    <sheet name="SESCAP1" sheetId="10" r:id="rId11"/>
    <sheet name="SESCAP2" sheetId="11" r:id="rId12"/>
    <sheet name="SESCAP3" sheetId="12" r:id="rId13"/>
    <sheet name="SESCAP4" sheetId="13" r:id="rId14"/>
    <sheet name="SESCAP5" sheetId="14" r:id="rId15"/>
    <sheet name="SESCAP6" sheetId="15" r:id="rId16"/>
    <sheet name="SESCAP7" sheetId="16" r:id="rId17"/>
    <sheet name="SFOCUS" sheetId="17" r:id="rId18"/>
    <sheet name="SLTADV3" sheetId="18" r:id="rId19"/>
    <sheet name="SLTADV4" sheetId="19" r:id="rId20"/>
    <sheet name="SLTAX1" sheetId="20" r:id="rId21"/>
    <sheet name="SLTAX2" sheetId="21" r:id="rId22"/>
    <sheet name="SLTAX3" sheetId="22" r:id="rId23"/>
    <sheet name="SLTAX4" sheetId="23" r:id="rId24"/>
    <sheet name="SLTAX5" sheetId="24" r:id="rId25"/>
    <sheet name="SLTAX6" sheetId="25" r:id="rId26"/>
    <sheet name="SMILE" sheetId="26" r:id="rId27"/>
    <sheet name="SRURAL" sheetId="27" r:id="rId28"/>
    <sheet name="SSFUND" sheetId="28" r:id="rId29"/>
    <sheet name="SSN100" sheetId="29" r:id="rId30"/>
    <sheet name="STAX" sheetId="30" r:id="rId31"/>
    <sheet name="SUNARF" sheetId="31" r:id="rId32"/>
    <sheet name="SUNBAF" sheetId="42" r:id="rId33"/>
    <sheet name="SUNBAL" sheetId="43" r:id="rId34"/>
    <sheet name="SUNBCF" sheetId="32" r:id="rId35"/>
    <sheet name="SUNEQF" sheetId="33" r:id="rId36"/>
    <sheet name="SUNESF" sheetId="34" r:id="rId37"/>
    <sheet name="SUNFOP" sheetId="35" r:id="rId38"/>
    <sheet name="SUNVALF10" sheetId="36" r:id="rId39"/>
    <sheet name="SUNVALF7" sheetId="37" r:id="rId40"/>
    <sheet name="SUNVALF9" sheetId="38" r:id="rId41"/>
    <sheet name="GLOB" sheetId="41" r:id="rId42"/>
    <sheet name="Annexure A" sheetId="44" r:id="rId43"/>
  </sheets>
  <definedNames>
    <definedName name="_xlnm._FilterDatabase" localSheetId="1" hidden="1">CAPEXG!$A$4:$H$134</definedName>
    <definedName name="_xlnm._FilterDatabase" localSheetId="0" hidden="1">Index!$A$1:$C$42</definedName>
    <definedName name="_xlnm._FilterDatabase" localSheetId="2" hidden="1">MICAP14!$A$4:$H$167</definedName>
    <definedName name="_xlnm._FilterDatabase" localSheetId="3" hidden="1">MICAP15!#REF!</definedName>
    <definedName name="_xlnm._FilterDatabase" localSheetId="4" hidden="1">MICAP16!$A$4:$H$167</definedName>
    <definedName name="_xlnm._FilterDatabase" localSheetId="5" hidden="1">MICAP17!$A$4:$H$168</definedName>
    <definedName name="_xlnm._FilterDatabase" localSheetId="6" hidden="1">MIDCAP!$A$4:$H$163</definedName>
    <definedName name="_xlnm._FilterDatabase" localSheetId="7" hidden="1">MULTI1!$A$4:$H$163</definedName>
    <definedName name="_xlnm._FilterDatabase" localSheetId="8" hidden="1">MULTI2!$A$4:$H$163</definedName>
    <definedName name="_xlnm._FilterDatabase" localSheetId="9" hidden="1">MULTIP!$A$4:$H$163</definedName>
    <definedName name="_xlnm._FilterDatabase" localSheetId="10" hidden="1">SESCAP1!$A$4:$H$168</definedName>
    <definedName name="_xlnm._FilterDatabase" localSheetId="11" hidden="1">SESCAP2!$A$4:$H$169</definedName>
    <definedName name="_xlnm._FilterDatabase" localSheetId="12" hidden="1">SESCAP3!$A$4:$H$168</definedName>
    <definedName name="_xlnm._FilterDatabase" localSheetId="13" hidden="1">SESCAP4!$A$4:$H$168</definedName>
    <definedName name="_xlnm._FilterDatabase" localSheetId="14" hidden="1">SESCAP5!$A$4:$H$167</definedName>
    <definedName name="_xlnm._FilterDatabase" localSheetId="15" hidden="1">SESCAP6!$A$4:$H$166</definedName>
    <definedName name="_xlnm._FilterDatabase" localSheetId="16" hidden="1">SESCAP7!$A$4:$H$145</definedName>
    <definedName name="_xlnm._FilterDatabase" localSheetId="17" hidden="1">SFOCUS!$A$4:$H$163</definedName>
    <definedName name="_xlnm._FilterDatabase" localSheetId="18" hidden="1">SLTADV3!$A$4:$H$163</definedName>
    <definedName name="_xlnm._FilterDatabase" localSheetId="19" hidden="1">SLTADV4!$A$4:$H$163</definedName>
    <definedName name="_xlnm._FilterDatabase" localSheetId="20" hidden="1">SLTAX1!$A$4:$H$163</definedName>
    <definedName name="_xlnm._FilterDatabase" localSheetId="21" hidden="1">SLTAX2!$A$4:$H$163</definedName>
    <definedName name="_xlnm._FilterDatabase" localSheetId="22" hidden="1">SLTAX3!$A$4:$H$163</definedName>
    <definedName name="_xlnm._FilterDatabase" localSheetId="23" hidden="1">SLTAX4!$A$4:$H$163</definedName>
    <definedName name="_xlnm._FilterDatabase" localSheetId="24" hidden="1">SLTAX5!$A$4:$H$163</definedName>
    <definedName name="_xlnm._FilterDatabase" localSheetId="25" hidden="1">SLTAX6!$A$4:$H$163</definedName>
    <definedName name="_xlnm._FilterDatabase" localSheetId="26" hidden="1">SMILE!$A$6:$H$151</definedName>
    <definedName name="_xlnm._FilterDatabase" localSheetId="27" hidden="1">SRURAL!$A$4:$H$163</definedName>
    <definedName name="_xlnm._FilterDatabase" localSheetId="28" hidden="1">SSFUND!$A$4:$H$163</definedName>
    <definedName name="_xlnm._FilterDatabase" localSheetId="29" hidden="1">'SSN100'!$A$4:$H$197</definedName>
    <definedName name="_xlnm._FilterDatabase" localSheetId="30" hidden="1">STAX!$A$4:$H$163</definedName>
    <definedName name="_xlnm._FilterDatabase" localSheetId="31" hidden="1">SUNARF!$A$4:$H$163</definedName>
    <definedName name="_xlnm._FilterDatabase" localSheetId="32" hidden="1">SUNBAF!$A$4:$H$208</definedName>
    <definedName name="_xlnm._FilterDatabase" localSheetId="33" hidden="1">SUNBAL!$A$4:$I$174</definedName>
    <definedName name="_xlnm._FilterDatabase" localSheetId="34" hidden="1">SUNBCF!$A$4:$H$163</definedName>
    <definedName name="_xlnm._FilterDatabase" localSheetId="35" hidden="1">SUNEQF!$A$6:$H$149</definedName>
    <definedName name="_xlnm._FilterDatabase" localSheetId="36" hidden="1">SUNESF!$A$6:$H$163</definedName>
    <definedName name="_xlnm._FilterDatabase" localSheetId="37" hidden="1">SUNFOP!$A$6:$H$145</definedName>
    <definedName name="_xlnm._FilterDatabase" localSheetId="38" hidden="1">SUNVALF10!$A$6:$H$163</definedName>
    <definedName name="_xlnm._FilterDatabase" localSheetId="39" hidden="1">SUNVALF7!$A$6:$H$163</definedName>
    <definedName name="_xlnm._FilterDatabase" localSheetId="40" hidden="1">SUNVALF9!$A$6:$H$163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4" i="44" l="1"/>
  <c r="G157" i="44"/>
  <c r="G156" i="44"/>
  <c r="G155" i="44"/>
  <c r="G154" i="44"/>
  <c r="G153" i="44"/>
  <c r="G152" i="44"/>
  <c r="G151" i="44"/>
  <c r="G150" i="44"/>
  <c r="G149" i="44"/>
  <c r="G148" i="44"/>
  <c r="G147" i="44"/>
  <c r="G146" i="44"/>
  <c r="G145" i="44"/>
  <c r="G144" i="44"/>
  <c r="G143" i="44"/>
  <c r="G142" i="44"/>
  <c r="G141" i="44"/>
  <c r="G110" i="44"/>
  <c r="G109" i="44"/>
  <c r="G108" i="44"/>
  <c r="G107" i="44"/>
  <c r="G106" i="44"/>
  <c r="G105" i="44"/>
  <c r="G104" i="44"/>
  <c r="G103" i="44"/>
  <c r="G102" i="44"/>
  <c r="G101" i="44"/>
  <c r="G100" i="44"/>
  <c r="G99" i="44"/>
  <c r="G98" i="44"/>
  <c r="G97" i="44"/>
  <c r="G96" i="44"/>
  <c r="G95" i="44"/>
  <c r="G94" i="44"/>
  <c r="B94" i="44"/>
  <c r="G93" i="44"/>
  <c r="B93" i="44"/>
  <c r="G98" i="43" l="1"/>
  <c r="F98" i="43"/>
  <c r="F132" i="6" l="1"/>
  <c r="F14" i="41" l="1"/>
  <c r="F16" i="41" s="1"/>
  <c r="G16" i="41" s="1"/>
  <c r="G18" i="41" s="1"/>
  <c r="G12" i="41"/>
  <c r="G14" i="41" s="1"/>
  <c r="G11" i="41"/>
  <c r="F8" i="41"/>
  <c r="G6" i="41"/>
  <c r="G8" i="41" s="1"/>
</calcChain>
</file>

<file path=xl/sharedStrings.xml><?xml version="1.0" encoding="utf-8"?>
<sst xmlns="http://schemas.openxmlformats.org/spreadsheetml/2006/main" count="11840" uniqueCount="1071">
  <si>
    <t>SUNDARAM MUTUAL FUND</t>
  </si>
  <si>
    <t>Sundaram Infrastructure Advantage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</si>
  <si>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</si>
  <si>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</si>
  <si>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</si>
  <si>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</si>
  <si>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</si>
  <si>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</si>
  <si>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</si>
  <si>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</si>
  <si>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</si>
  <si>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INE018A01030</t>
  </si>
  <si>
    <t>Larsen &amp; Toubro Ltd</t>
  </si>
  <si>
    <t>Construction Project</t>
  </si>
  <si>
    <t>INE002A01018</t>
  </si>
  <si>
    <t>Reliance Industries Ltd</t>
  </si>
  <si>
    <t>Petroleum Products</t>
  </si>
  <si>
    <t>INE397D01024</t>
  </si>
  <si>
    <t>Bharti Airtel Ltd</t>
  </si>
  <si>
    <t>Telecom - Services</t>
  </si>
  <si>
    <t>INE331A01037</t>
  </si>
  <si>
    <t>The Ramco Cements Ltd</t>
  </si>
  <si>
    <t>INE090A01021</t>
  </si>
  <si>
    <t>ICICI Bank Ltd</t>
  </si>
  <si>
    <t>Banks</t>
  </si>
  <si>
    <t>INE536A01023</t>
  </si>
  <si>
    <t>Grindwell Norton Ltd</t>
  </si>
  <si>
    <t>Industrial Products</t>
  </si>
  <si>
    <t>INE455K01017</t>
  </si>
  <si>
    <t>Polycab India Ltd</t>
  </si>
  <si>
    <t>INE823G01014</t>
  </si>
  <si>
    <t>INE481G01011</t>
  </si>
  <si>
    <t>INE284A01012</t>
  </si>
  <si>
    <t>ESAB India Ltd</t>
  </si>
  <si>
    <t>INE671A01010</t>
  </si>
  <si>
    <t>Honeywell Automation India Ltd</t>
  </si>
  <si>
    <t>Industrial Capital Goods</t>
  </si>
  <si>
    <t>INE999A01015</t>
  </si>
  <si>
    <t>KSB Ltd</t>
  </si>
  <si>
    <t>INE245A01021</t>
  </si>
  <si>
    <t>Tata Power Company Ltd</t>
  </si>
  <si>
    <t>Power</t>
  </si>
  <si>
    <t>INE029A01011</t>
  </si>
  <si>
    <t>Bharat Petroleum Corporation Ltd</t>
  </si>
  <si>
    <t>INE766P01016</t>
  </si>
  <si>
    <t>Mahindra Logistics Ltd</t>
  </si>
  <si>
    <t>Transportation</t>
  </si>
  <si>
    <t>INE114A01011</t>
  </si>
  <si>
    <t>Steel Authority of India Ltd</t>
  </si>
  <si>
    <t>Ferrous Metals</t>
  </si>
  <si>
    <t>INE531A01024</t>
  </si>
  <si>
    <t>Kansai Nerolac Paints Ltd</t>
  </si>
  <si>
    <t>Consumer Non Durables</t>
  </si>
  <si>
    <t>INE371P01015</t>
  </si>
  <si>
    <t>Amber Enterprises India Ltd</t>
  </si>
  <si>
    <t>Consumer Durables</t>
  </si>
  <si>
    <t>INE074A01025</t>
  </si>
  <si>
    <t>Praj Industries Ltd</t>
  </si>
  <si>
    <t>INE129A01019</t>
  </si>
  <si>
    <t>GAIL (India) Ltd</t>
  </si>
  <si>
    <t>Gas</t>
  </si>
  <si>
    <t>INE541A01023</t>
  </si>
  <si>
    <t>GMM Pfaudler Ltd</t>
  </si>
  <si>
    <t>INE08ZM01014</t>
  </si>
  <si>
    <t>Green Panel Industries Ltd</t>
  </si>
  <si>
    <t>INE858B01029</t>
  </si>
  <si>
    <t>ISGEC Heavy  Engineering Ltd</t>
  </si>
  <si>
    <t>INE264T01014</t>
  </si>
  <si>
    <t>Capacite Infraprojects Ltd</t>
  </si>
  <si>
    <t>Construction</t>
  </si>
  <si>
    <t>INE298A01020</t>
  </si>
  <si>
    <t>Cummins India Ltd</t>
  </si>
  <si>
    <t>INE213A01029</t>
  </si>
  <si>
    <t>Oil &amp; Natural Gas Corporation Ltd</t>
  </si>
  <si>
    <t>Oil</t>
  </si>
  <si>
    <t>INE868B01028</t>
  </si>
  <si>
    <t>NCC Ltd</t>
  </si>
  <si>
    <t>INE791I01019</t>
  </si>
  <si>
    <t>Brigade Enterprises Ltd</t>
  </si>
  <si>
    <t>INE896L01010</t>
  </si>
  <si>
    <t>Indostar Capital Finance Ltd</t>
  </si>
  <si>
    <t>Finance</t>
  </si>
  <si>
    <t>INE208A01029</t>
  </si>
  <si>
    <t>Ashok Leyland Ltd</t>
  </si>
  <si>
    <t>Auto</t>
  </si>
  <si>
    <t>INE386C01029</t>
  </si>
  <si>
    <t>Astra Microwave Products Ltd</t>
  </si>
  <si>
    <t>INE347G01014</t>
  </si>
  <si>
    <t>Petronet LNG Ltd</t>
  </si>
  <si>
    <t>INE742F01042</t>
  </si>
  <si>
    <t>Adani Ports and Special Economic Zone Ltd</t>
  </si>
  <si>
    <t>INE513A01014</t>
  </si>
  <si>
    <t>Schaeffler India Ltd</t>
  </si>
  <si>
    <t>INE811K01011</t>
  </si>
  <si>
    <t>Prestige Estates Projects Ltd</t>
  </si>
  <si>
    <t>INE324L01013</t>
  </si>
  <si>
    <t>R.P.P. Infra Projects Ltd</t>
  </si>
  <si>
    <t>INE203G01027</t>
  </si>
  <si>
    <t>Indraprastha Gas Ltd</t>
  </si>
  <si>
    <t>INE246F01010</t>
  </si>
  <si>
    <t>Gujarat State Petronet Ltd</t>
  </si>
  <si>
    <t>INE00R701025</t>
  </si>
  <si>
    <t>INE551A01022</t>
  </si>
  <si>
    <t>Engineering Services</t>
  </si>
  <si>
    <t>#</t>
  </si>
  <si>
    <t>Sub Total</t>
  </si>
  <si>
    <t/>
  </si>
  <si>
    <t>(b) Overseas Security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</si>
  <si>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</si>
  <si>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</si>
  <si>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</si>
  <si>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</si>
  <si>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</si>
  <si>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</si>
  <si>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</si>
  <si>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</si>
  <si>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</si>
  <si>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</si>
  <si>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</si>
  <si>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</si>
  <si>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</si>
  <si>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</si>
  <si>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</si>
  <si>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</si>
  <si>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</si>
  <si>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</si>
  <si>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</si>
  <si>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</si>
  <si>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</si>
  <si>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</si>
  <si>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</si>
  <si>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</si>
  <si>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</si>
  <si>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</si>
  <si>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</si>
  <si>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</si>
  <si>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b) Total value and percentage of illiquid equity shares</t>
  </si>
  <si>
    <t>c) NAV  per  unit (Rupees per unit)</t>
  </si>
  <si>
    <t>At the 
beginning</t>
  </si>
  <si>
    <t>At the end</t>
  </si>
  <si>
    <t>Option</t>
  </si>
  <si>
    <t>31/07/2021</t>
  </si>
  <si>
    <t>31/08/2021</t>
  </si>
  <si>
    <t>Direct Plan - Growth</t>
  </si>
  <si>
    <t>Regular Plan - Growth</t>
  </si>
  <si>
    <t xml:space="preserve"> 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</si>
  <si>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</si>
  <si>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</si>
  <si>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</si>
  <si>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</si>
  <si>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Sundaram Select Micro Cap Series XIV</t>
  </si>
  <si>
    <t>INE048G01026</t>
  </si>
  <si>
    <t>Navin Fluorine International Ltd</t>
  </si>
  <si>
    <t>Chemicals</t>
  </si>
  <si>
    <t>INE988K01017</t>
  </si>
  <si>
    <t>Equitas Holdings Ltd</t>
  </si>
  <si>
    <t>INE02A801020</t>
  </si>
  <si>
    <t>Rossari Biotech Ltd</t>
  </si>
  <si>
    <t>INE878B01027</t>
  </si>
  <si>
    <t>KEI Industries Ltd</t>
  </si>
  <si>
    <t>INE732I01013</t>
  </si>
  <si>
    <t>Angel Broking ltd</t>
  </si>
  <si>
    <t>INE227C01017</t>
  </si>
  <si>
    <t>MM Forgings Ltd</t>
  </si>
  <si>
    <t>INE04I401011</t>
  </si>
  <si>
    <t>KPIT Technologies Ltd</t>
  </si>
  <si>
    <t>Software</t>
  </si>
  <si>
    <t>INE262H01013</t>
  </si>
  <si>
    <t>Persistent Systems Ltd</t>
  </si>
  <si>
    <t>INE934S01014</t>
  </si>
  <si>
    <t>GNA Axles Ltd</t>
  </si>
  <si>
    <t>Auto Ancillaries</t>
  </si>
  <si>
    <t>INE599M01018</t>
  </si>
  <si>
    <t>Just Dial Ltd</t>
  </si>
  <si>
    <t>INE348B01021</t>
  </si>
  <si>
    <t>Century Plyboards (India) Ltd</t>
  </si>
  <si>
    <t>INE578A01017</t>
  </si>
  <si>
    <t>INE075I01017</t>
  </si>
  <si>
    <t>Healthcare Global Enterprises Ltd</t>
  </si>
  <si>
    <t>Healthcare Services</t>
  </si>
  <si>
    <t>INE974X01010</t>
  </si>
  <si>
    <t>Tube Investments of India Ltd</t>
  </si>
  <si>
    <t>INE296E01026</t>
  </si>
  <si>
    <t>Rajapalayam Mills Ltd</t>
  </si>
  <si>
    <t>Textiles - Cotton</t>
  </si>
  <si>
    <t>INE873D01024</t>
  </si>
  <si>
    <t>Indoco Remedies Ltd</t>
  </si>
  <si>
    <t>Pharmaceuticals</t>
  </si>
  <si>
    <t>INE00WC01019</t>
  </si>
  <si>
    <t>Affle (India) Ltd</t>
  </si>
  <si>
    <t>INE220B01022</t>
  </si>
  <si>
    <t>Kalpataru Power Transmission Ltd</t>
  </si>
  <si>
    <t>INE481N01025</t>
  </si>
  <si>
    <t>Home First Finance Company Ltd</t>
  </si>
  <si>
    <t>INE00IN01015</t>
  </si>
  <si>
    <t>Stove Kraft Ltd</t>
  </si>
  <si>
    <t>INE312H01016</t>
  </si>
  <si>
    <t>INOX Leisure Ltd</t>
  </si>
  <si>
    <t>INE136B01020</t>
  </si>
  <si>
    <t>Cyient Ltd</t>
  </si>
  <si>
    <t>INE884B01025</t>
  </si>
  <si>
    <t>Kirloskar Ferrous Ind Ltd</t>
  </si>
  <si>
    <t>INE978A01027</t>
  </si>
  <si>
    <t>Heritage Foods Ltd</t>
  </si>
  <si>
    <t>INE325A01013</t>
  </si>
  <si>
    <t>Timken India Ltd</t>
  </si>
  <si>
    <t>INE947Q01028</t>
  </si>
  <si>
    <t>Laurus Labs Ltd</t>
  </si>
  <si>
    <t>INE615P01015</t>
  </si>
  <si>
    <t>Quess Corp Ltd</t>
  </si>
  <si>
    <t>INE049A01027</t>
  </si>
  <si>
    <t>Himatsingka Seide Ltd</t>
  </si>
  <si>
    <t>Textile Products</t>
  </si>
  <si>
    <t>INE477A01020</t>
  </si>
  <si>
    <t>Can Fin Homes Ltd</t>
  </si>
  <si>
    <t>INE442H01029</t>
  </si>
  <si>
    <t>Ashoka Buildcon Ltd</t>
  </si>
  <si>
    <t>INE782A01015</t>
  </si>
  <si>
    <t>Johnson Controls-Hitachi AirConditioning India Ltd</t>
  </si>
  <si>
    <t>INE429E01023</t>
  </si>
  <si>
    <t>Safari Industries (India) Ltd</t>
  </si>
  <si>
    <t>INE067A01029</t>
  </si>
  <si>
    <t>CG Power and Industrial Solutions Ltd</t>
  </si>
  <si>
    <t>INE211B01039</t>
  </si>
  <si>
    <t>The Phoenix Mills Ltd</t>
  </si>
  <si>
    <t>INE419U01012</t>
  </si>
  <si>
    <t>Happiest Minds Technologies Limited</t>
  </si>
  <si>
    <t>INE285J01028</t>
  </si>
  <si>
    <t>SIS Ltd</t>
  </si>
  <si>
    <t>Commercial Services</t>
  </si>
  <si>
    <t>INE421D01022</t>
  </si>
  <si>
    <t>CCL Products (India) Ltd</t>
  </si>
  <si>
    <t>INE834I01025</t>
  </si>
  <si>
    <t>Khadim India Ltd</t>
  </si>
  <si>
    <t>INE572A01028</t>
  </si>
  <si>
    <t>JB Chemicals &amp; Pharmaceuticals Ltd</t>
  </si>
  <si>
    <t>INE864I01014</t>
  </si>
  <si>
    <t>MTAR Technologies Ltd</t>
  </si>
  <si>
    <t>INE060A01024</t>
  </si>
  <si>
    <t>Navneet Education Ltd</t>
  </si>
  <si>
    <t>INE126A01031</t>
  </si>
  <si>
    <t>EID Parry India Ltd</t>
  </si>
  <si>
    <t>Fertilisers</t>
  </si>
  <si>
    <t>INE092B01025</t>
  </si>
  <si>
    <t>India Nippon Electricals Ltd</t>
  </si>
  <si>
    <t>INE043D01016</t>
  </si>
  <si>
    <t>IDFC Ltd</t>
  </si>
  <si>
    <t>INE274F01020</t>
  </si>
  <si>
    <t>Westlife Development Ltd</t>
  </si>
  <si>
    <t>INE03QK01018</t>
  </si>
  <si>
    <t>Suven Pharmaceuticals Ltd</t>
  </si>
  <si>
    <t>INE383A01012</t>
  </si>
  <si>
    <t>The India Cements Ltd</t>
  </si>
  <si>
    <t>INE056C01010</t>
  </si>
  <si>
    <t>Tata Metaliks Ltd</t>
  </si>
  <si>
    <t>INE290S01011</t>
  </si>
  <si>
    <t>CarTrade Tech Ltd</t>
  </si>
  <si>
    <t>INE872J01023</t>
  </si>
  <si>
    <t>Devyani international limited</t>
  </si>
  <si>
    <t>INE628A01036</t>
  </si>
  <si>
    <t>UPL Ltd</t>
  </si>
  <si>
    <t>Pesticides</t>
  </si>
  <si>
    <t>INE384A01010</t>
  </si>
  <si>
    <t>Rane Holdings Ltd</t>
  </si>
  <si>
    <t>INE113A01013</t>
  </si>
  <si>
    <t>Gujarat Narmada Valley Fertilizers &amp; Chemicals Ltd</t>
  </si>
  <si>
    <t>INE877F01012</t>
  </si>
  <si>
    <t>PTC India Ltd</t>
  </si>
  <si>
    <t>INE503A01015</t>
  </si>
  <si>
    <t>DCB Bank Ltd</t>
  </si>
  <si>
    <t>INE435A01028</t>
  </si>
  <si>
    <t>International Paper APPM Ltd</t>
  </si>
  <si>
    <t>Paper</t>
  </si>
  <si>
    <t>INE199A01012</t>
  </si>
  <si>
    <t>Procter &amp; Gamble Health Ltd</t>
  </si>
  <si>
    <t>INE586B01026</t>
  </si>
  <si>
    <t>Taj GVK Hotels &amp; Resorts Ltd</t>
  </si>
  <si>
    <t>INE0H5O01029</t>
  </si>
  <si>
    <t>Windlas Biotech Ltd</t>
  </si>
  <si>
    <t>INE745G01035</t>
  </si>
  <si>
    <t>Multi Commodity Exchange of India Ltd</t>
  </si>
  <si>
    <t>INE022I01019</t>
  </si>
  <si>
    <t>Asian Granito India Ltd</t>
  </si>
  <si>
    <t>INE246B01019</t>
  </si>
  <si>
    <t>Ramco Systems Ltd</t>
  </si>
  <si>
    <t>INE565V01010</t>
  </si>
  <si>
    <t>Valiant Organics Ltd</t>
  </si>
  <si>
    <t>INE07O001018</t>
  </si>
  <si>
    <t>Easy Trip Planners Ltd</t>
  </si>
  <si>
    <t>Sundaram Select Micro Cap Series XV</t>
  </si>
  <si>
    <t>INE386A01015</t>
  </si>
  <si>
    <t>Vesuvius India Ltd</t>
  </si>
  <si>
    <t>Sundaram Select Micro Cap Series XVI</t>
  </si>
  <si>
    <t>INE201P01022</t>
  </si>
  <si>
    <t>GR Infraprojects Ltd</t>
  </si>
  <si>
    <t>Sundaram Select Micro Cap Series XVII</t>
  </si>
  <si>
    <t>INE045A01017</t>
  </si>
  <si>
    <t>Ador Welding Ltd</t>
  </si>
  <si>
    <t>INE750A01020</t>
  </si>
  <si>
    <t>Oriental Hotels Ltd</t>
  </si>
  <si>
    <t>Sundaram Mid Cap Fund</t>
  </si>
  <si>
    <t>INE018I01017</t>
  </si>
  <si>
    <t>MindTree Ltd</t>
  </si>
  <si>
    <t>INE437A01024</t>
  </si>
  <si>
    <t>Apollo Hospitals Enterprise Ltd</t>
  </si>
  <si>
    <t>INE180A01020</t>
  </si>
  <si>
    <t>Max Financial Services Ltd</t>
  </si>
  <si>
    <t>INE121A01024</t>
  </si>
  <si>
    <t>Cholamandalam Investment and Finance Company Ltd</t>
  </si>
  <si>
    <t>INE797F01012</t>
  </si>
  <si>
    <t>Jubilant Foodworks Ltd</t>
  </si>
  <si>
    <t>INE647A01010</t>
  </si>
  <si>
    <t>SRF Ltd</t>
  </si>
  <si>
    <t>INE949L01017</t>
  </si>
  <si>
    <t>AU Small Finance Bank Ltd</t>
  </si>
  <si>
    <t>INE603J01030</t>
  </si>
  <si>
    <t>PI Industries Ltd</t>
  </si>
  <si>
    <t>INE571A01020</t>
  </si>
  <si>
    <t>IPCA Laboratories Ltd</t>
  </si>
  <si>
    <t>INE548C01032</t>
  </si>
  <si>
    <t>Emami Ltd</t>
  </si>
  <si>
    <t>INE200M01013</t>
  </si>
  <si>
    <t>Varun Beverages Ltd</t>
  </si>
  <si>
    <t>INE226A01021</t>
  </si>
  <si>
    <t>Voltas Ltd</t>
  </si>
  <si>
    <t>INE987B01026</t>
  </si>
  <si>
    <t>Natco Pharma Ltd</t>
  </si>
  <si>
    <t>INE299U01018</t>
  </si>
  <si>
    <t>Crompton Greaves Consumer Electricals Ltd</t>
  </si>
  <si>
    <t>INE849A01020</t>
  </si>
  <si>
    <t>Trent Ltd</t>
  </si>
  <si>
    <t>Retailing</t>
  </si>
  <si>
    <t>INE761H01022</t>
  </si>
  <si>
    <t>Page Industries Ltd</t>
  </si>
  <si>
    <t>INE068V01023</t>
  </si>
  <si>
    <t>Gland Pharma Ltd</t>
  </si>
  <si>
    <t>INE263A01024</t>
  </si>
  <si>
    <t>Bharat Electronics Ltd</t>
  </si>
  <si>
    <t>INE171A01029</t>
  </si>
  <si>
    <t>The Federal Bank  Ltd</t>
  </si>
  <si>
    <t>INE721A01013</t>
  </si>
  <si>
    <t>Shriram Transport Finance Company Ltd</t>
  </si>
  <si>
    <t>INE105A01035</t>
  </si>
  <si>
    <t>Sundaram Clayton Ltd</t>
  </si>
  <si>
    <t>INE749A01030</t>
  </si>
  <si>
    <t>Jindal Steel &amp; Power Ltd</t>
  </si>
  <si>
    <t>INE883A01011</t>
  </si>
  <si>
    <t>MRF Ltd</t>
  </si>
  <si>
    <t>INE763G01038</t>
  </si>
  <si>
    <t>ICICI Securities Ltd</t>
  </si>
  <si>
    <t>INE111A01025</t>
  </si>
  <si>
    <t>Container Corporation of India Ltd</t>
  </si>
  <si>
    <t>INE465A01025</t>
  </si>
  <si>
    <t>Bharat Forge Ltd</t>
  </si>
  <si>
    <t>INE238A01034</t>
  </si>
  <si>
    <t>Axis Bank Ltd</t>
  </si>
  <si>
    <t>INE028A01039</t>
  </si>
  <si>
    <t>Bank of Baroda</t>
  </si>
  <si>
    <t>INE491A01021</t>
  </si>
  <si>
    <t>City Union Bank Ltd</t>
  </si>
  <si>
    <t>INE769A01020</t>
  </si>
  <si>
    <t>Aarti Industries Ltd</t>
  </si>
  <si>
    <t>INE010V01017</t>
  </si>
  <si>
    <t>L&amp;T Technology Services Ltd</t>
  </si>
  <si>
    <t>INE860A01027</t>
  </si>
  <si>
    <t>HCL Technologies Ltd</t>
  </si>
  <si>
    <t>INE935N01020</t>
  </si>
  <si>
    <t>Dixon Technologies (India) Ltd</t>
  </si>
  <si>
    <t>INE169A01031</t>
  </si>
  <si>
    <t>Coromandel International Ltd</t>
  </si>
  <si>
    <t>INE335Y01012</t>
  </si>
  <si>
    <t>Indian Railway Catering &amp; Tourism Corporation Ltd</t>
  </si>
  <si>
    <t>INE303R01014</t>
  </si>
  <si>
    <t>Kalyan Jewellers India Ltd</t>
  </si>
  <si>
    <t>INE758T01015</t>
  </si>
  <si>
    <t>Zomato Ltd</t>
  </si>
  <si>
    <t>INE716A01013</t>
  </si>
  <si>
    <t>Whirlpool of India Ltd</t>
  </si>
  <si>
    <t>INE115A01026</t>
  </si>
  <si>
    <t>LIC Housing Finance Ltd</t>
  </si>
  <si>
    <t>INE356A01018</t>
  </si>
  <si>
    <t>MphasiS Ltd</t>
  </si>
  <si>
    <t>INE998I01010</t>
  </si>
  <si>
    <t>Mahindra Holidays &amp; Resorts India Ltd</t>
  </si>
  <si>
    <t>INE192A01025</t>
  </si>
  <si>
    <t>TATA Consumer Products Ltd</t>
  </si>
  <si>
    <t>INE216P01012</t>
  </si>
  <si>
    <t>Aavas Financiers Ltd</t>
  </si>
  <si>
    <t>INE918I01018</t>
  </si>
  <si>
    <t>Bajaj Finserv Ltd</t>
  </si>
  <si>
    <t>INE484J01027</t>
  </si>
  <si>
    <t>Godrej Properties Ltd</t>
  </si>
  <si>
    <t>INE405E01023</t>
  </si>
  <si>
    <t>Minda Industries Ltd</t>
  </si>
  <si>
    <t>INE647O01011</t>
  </si>
  <si>
    <t>Aditya Birla Fashion and Retail Ltd</t>
  </si>
  <si>
    <t>Institutional Plan - Growth</t>
  </si>
  <si>
    <t>Sundaram Multi Cap Fund Series I</t>
  </si>
  <si>
    <t>INE040A01034</t>
  </si>
  <si>
    <t>HDFC Bank Ltd</t>
  </si>
  <si>
    <t>INE009A01021</t>
  </si>
  <si>
    <t>Infosys Ltd</t>
  </si>
  <si>
    <t>INE001A01036</t>
  </si>
  <si>
    <t>Housing Development Finance Corporation Ltd</t>
  </si>
  <si>
    <t>INE062A01020</t>
  </si>
  <si>
    <t>State Bank of India</t>
  </si>
  <si>
    <t>INE123W01016</t>
  </si>
  <si>
    <t>SBI Life Insurance Company Ltd</t>
  </si>
  <si>
    <t>INE030A01027</t>
  </si>
  <si>
    <t>Hindustan UniLever Ltd</t>
  </si>
  <si>
    <t>INE488A01050</t>
  </si>
  <si>
    <t>Chemplast Sanmar Ltd</t>
  </si>
  <si>
    <t>INE075A01022</t>
  </si>
  <si>
    <t>Wipro Ltd</t>
  </si>
  <si>
    <t>INE467B01029</t>
  </si>
  <si>
    <t>Tata Consultancy Services Ltd</t>
  </si>
  <si>
    <t>INE044A01036</t>
  </si>
  <si>
    <t>Sun Pharmaceutical Industries Ltd</t>
  </si>
  <si>
    <t>INE081A01012</t>
  </si>
  <si>
    <t>Tata Steel Ltd</t>
  </si>
  <si>
    <t>INE101A01026</t>
  </si>
  <si>
    <t>Mahindra &amp; Mahindra Ltd</t>
  </si>
  <si>
    <t>INE361B01024</t>
  </si>
  <si>
    <t>Divi's Laboratories Ltd</t>
  </si>
  <si>
    <t>INE669C01036</t>
  </si>
  <si>
    <t>Tech Mahindra Ltd</t>
  </si>
  <si>
    <t>INE038A01020</t>
  </si>
  <si>
    <t>Hindalco Industries Ltd</t>
  </si>
  <si>
    <t>Non - Ferrous Metals</t>
  </si>
  <si>
    <t>INE154A01025</t>
  </si>
  <si>
    <t>ITC Ltd</t>
  </si>
  <si>
    <t>INE073K01018</t>
  </si>
  <si>
    <t>Sona BLW Precision Forgings Ltd</t>
  </si>
  <si>
    <t>INE237A01028</t>
  </si>
  <si>
    <t>Kotak Mahindra Bank Ltd</t>
  </si>
  <si>
    <t>INE765G01017</t>
  </si>
  <si>
    <t>ICICI Lombard General Insurance Company Ltd</t>
  </si>
  <si>
    <t>Sundaram Multi Cap Fund -Series II</t>
  </si>
  <si>
    <t>Sundaram Large and Mid Cap Fund</t>
  </si>
  <si>
    <t>INE006I01046</t>
  </si>
  <si>
    <t>Astral Ltd</t>
  </si>
  <si>
    <t>INE149A01033</t>
  </si>
  <si>
    <t>Cholamandalam Financial Holdings Ltd</t>
  </si>
  <si>
    <t>INE059A01026</t>
  </si>
  <si>
    <t>Cipla Ltd</t>
  </si>
  <si>
    <t>INE775A01035</t>
  </si>
  <si>
    <t>Motherson Sumi Systems Ltd</t>
  </si>
  <si>
    <t>Sundaram Emerging Small Cap Series I</t>
  </si>
  <si>
    <t>INE142Z01019</t>
  </si>
  <si>
    <t>Orient Electric Ltd</t>
  </si>
  <si>
    <t>INE717A01029</t>
  </si>
  <si>
    <t>Kennametal India Ltd</t>
  </si>
  <si>
    <t>INE120A01034</t>
  </si>
  <si>
    <t>Carborundum Universal Ltd</t>
  </si>
  <si>
    <t>INE688A01022</t>
  </si>
  <si>
    <t>Transport Corporation of India Ltd</t>
  </si>
  <si>
    <t>INE778U01029</t>
  </si>
  <si>
    <t>TCNS Clothing Co. Ltd</t>
  </si>
  <si>
    <t>INE472A01039</t>
  </si>
  <si>
    <t>Blue Star Ltd</t>
  </si>
  <si>
    <t>INE741K01010</t>
  </si>
  <si>
    <t>Creditaccess Grameen Ltd</t>
  </si>
  <si>
    <t>INE489L01022</t>
  </si>
  <si>
    <t>IIFL Securities Ltd</t>
  </si>
  <si>
    <t>Sundaram Emerging Small Cap Series II</t>
  </si>
  <si>
    <t>Sundaram Emerging Small Cap Series III</t>
  </si>
  <si>
    <t>INE475B01022</t>
  </si>
  <si>
    <t>Hikal Ltd</t>
  </si>
  <si>
    <t>Sundaram Emerging Small Cap Series IV</t>
  </si>
  <si>
    <t>Sundaram Emerging Small Cap Series V</t>
  </si>
  <si>
    <t>Sundaram Emerging Small Cap Series VI</t>
  </si>
  <si>
    <t>Sundaram Emerging Small Cap Series VII</t>
  </si>
  <si>
    <t>INE287B01021</t>
  </si>
  <si>
    <t>Subros Ltd</t>
  </si>
  <si>
    <t>INE058A01010</t>
  </si>
  <si>
    <t>Sanofi India Ltd</t>
  </si>
  <si>
    <t>INE172A01027</t>
  </si>
  <si>
    <t>Castrol India Ltd</t>
  </si>
  <si>
    <t>INE854D01024</t>
  </si>
  <si>
    <t>United Spirits Ltd</t>
  </si>
  <si>
    <t>INE182A01018</t>
  </si>
  <si>
    <t>Pfizer Ltd</t>
  </si>
  <si>
    <t>INE179A01014</t>
  </si>
  <si>
    <t>Procter &amp; Gamble Hygiene and Health Care Ltd</t>
  </si>
  <si>
    <t>INE686A01026</t>
  </si>
  <si>
    <t>INE517F01014</t>
  </si>
  <si>
    <t>Gujarat Pipavav Port Ltd</t>
  </si>
  <si>
    <t>Sundaram Select Focus</t>
  </si>
  <si>
    <t>INE016A01026</t>
  </si>
  <si>
    <t>Dabur India Ltd</t>
  </si>
  <si>
    <t>Sundaram Long Term Tax Advantage Fund Series III</t>
  </si>
  <si>
    <t>Sundaram Long Term Tax Advantage Fund Series IV</t>
  </si>
  <si>
    <t>Sundaram Long Term Tax Advantage Fund Series-I</t>
  </si>
  <si>
    <t>INE340A01012</t>
  </si>
  <si>
    <t>Birla Corporation Ltd</t>
  </si>
  <si>
    <t>INE280A01028</t>
  </si>
  <si>
    <t>Titan Company Ltd</t>
  </si>
  <si>
    <t>INE155A01022</t>
  </si>
  <si>
    <t>Tata Motors Ltd</t>
  </si>
  <si>
    <t>INE089A01023</t>
  </si>
  <si>
    <t>Dr. Reddy's Laboratories Ltd</t>
  </si>
  <si>
    <t>Sundaram Long Term Tax Advantage Fund Series-II</t>
  </si>
  <si>
    <t>Sundaram Long Term Micro Cap Tax Advantage Fund Series III</t>
  </si>
  <si>
    <t>Sundaram Long Term Micro Cap Tax Advantage Fund Series IV</t>
  </si>
  <si>
    <t>Sundaram Long Term Micro Cap Tax Advantage Fund Series V</t>
  </si>
  <si>
    <t>Sundaram Long Term Micro Cap Tax Advantage Fund Series VI</t>
  </si>
  <si>
    <t>Sundaram Small Cap Fund</t>
  </si>
  <si>
    <t>INE098F01031</t>
  </si>
  <si>
    <t>Amrutanjan Health Care Ltd</t>
  </si>
  <si>
    <t>INE679A01013</t>
  </si>
  <si>
    <t>CSB Bank Ltd</t>
  </si>
  <si>
    <t>INE836A01035</t>
  </si>
  <si>
    <t>Birlasoft Ltd</t>
  </si>
  <si>
    <t>INE119A01028</t>
  </si>
  <si>
    <t>Balrampur Chini Mills Ltd</t>
  </si>
  <si>
    <t>INE389H01022</t>
  </si>
  <si>
    <t>KEC International Ltd</t>
  </si>
  <si>
    <t>INE217B01036</t>
  </si>
  <si>
    <t>Kajaria Ceramics Ltd</t>
  </si>
  <si>
    <t>INE085A01013</t>
  </si>
  <si>
    <t>Chambal Fertilizers &amp; Chemicals Ltd</t>
  </si>
  <si>
    <t>INE136S01016</t>
  </si>
  <si>
    <t>Neogen Chemicals Ltd</t>
  </si>
  <si>
    <t>INE743M01012</t>
  </si>
  <si>
    <t>RHI Magnesita India Ltd</t>
  </si>
  <si>
    <t>INE177F01017</t>
  </si>
  <si>
    <t>Kovai Medical Center &amp; Hospital Ltd</t>
  </si>
  <si>
    <t>INE295F01017</t>
  </si>
  <si>
    <t>Butterfly Gandhimathi Appliances Ltd</t>
  </si>
  <si>
    <t>INE930P01018</t>
  </si>
  <si>
    <t>Anupam Rasayan India Ltd</t>
  </si>
  <si>
    <t>INE702C01027</t>
  </si>
  <si>
    <t>APL Apollo Tubes Ltd</t>
  </si>
  <si>
    <t>INE970X01018</t>
  </si>
  <si>
    <t>Lemon Tree Hotels Ltd</t>
  </si>
  <si>
    <t>INE596I01012</t>
  </si>
  <si>
    <t>Computer Age Management Services Ltd</t>
  </si>
  <si>
    <t>INE355A01028</t>
  </si>
  <si>
    <t>Somany Ceramics Ltd</t>
  </si>
  <si>
    <t>INE146L01010</t>
  </si>
  <si>
    <t>Kirloskar Oil Engines Ltd</t>
  </si>
  <si>
    <t>INE562A01011</t>
  </si>
  <si>
    <t>Indian Bank</t>
  </si>
  <si>
    <t>INE094J01016</t>
  </si>
  <si>
    <t>UTI Asset Management Co Ltd</t>
  </si>
  <si>
    <t>INE418L01021</t>
  </si>
  <si>
    <t>Nazara Technologies Ltd</t>
  </si>
  <si>
    <t>INE00LO01017</t>
  </si>
  <si>
    <t>Craftsman Automation Ltd</t>
  </si>
  <si>
    <t>Sundaram Rural and Consumption Fund</t>
  </si>
  <si>
    <t>INE021A01026</t>
  </si>
  <si>
    <t>Asian Paints Ltd</t>
  </si>
  <si>
    <t>INE690A01010</t>
  </si>
  <si>
    <t>TTK Prestige Ltd</t>
  </si>
  <si>
    <t>INE296A01024</t>
  </si>
  <si>
    <t>Bajaj Finance Ltd</t>
  </si>
  <si>
    <t>INE585B01010</t>
  </si>
  <si>
    <t>Maruti Suzuki India Ltd</t>
  </si>
  <si>
    <t>INE544R01013</t>
  </si>
  <si>
    <t>Greenlam Industries Ltd</t>
  </si>
  <si>
    <t>INE239A01016</t>
  </si>
  <si>
    <t>Nestle India Ltd</t>
  </si>
  <si>
    <t>INE176A01028</t>
  </si>
  <si>
    <t>Bata India Ltd</t>
  </si>
  <si>
    <t>INE951I01027</t>
  </si>
  <si>
    <t>V-Guard Industries Ltd</t>
  </si>
  <si>
    <t>INE054A01027</t>
  </si>
  <si>
    <t>VIP Industries Ltd</t>
  </si>
  <si>
    <t>INE917I01010</t>
  </si>
  <si>
    <t>Bajaj Auto Ltd</t>
  </si>
  <si>
    <t>Sundaram Services Fund</t>
  </si>
  <si>
    <t>INE07T201019</t>
  </si>
  <si>
    <t>Burger King India Ltd</t>
  </si>
  <si>
    <t>INE670A01012</t>
  </si>
  <si>
    <t>Tata Elxsi Ltd</t>
  </si>
  <si>
    <t>INE933S01016</t>
  </si>
  <si>
    <t>Indiamart Intermesh Ltd</t>
  </si>
  <si>
    <t>INE663F01024</t>
  </si>
  <si>
    <t>Info Edge (India) Ltd</t>
  </si>
  <si>
    <t>INE795G01014</t>
  </si>
  <si>
    <t>HDFC Life Insurance Company Ltd</t>
  </si>
  <si>
    <t>INE192R01011</t>
  </si>
  <si>
    <t>Avenue Supermarts Ltd</t>
  </si>
  <si>
    <t>INE112L01020</t>
  </si>
  <si>
    <t>Metropolis Healthcare Ltd</t>
  </si>
  <si>
    <t>MU0295S00016</t>
  </si>
  <si>
    <t>Make My Trip Ltd (USD)</t>
  </si>
  <si>
    <t>Sundaram Smart NIFTY 100 Equal Weight Fund</t>
  </si>
  <si>
    <t>INE931S01010</t>
  </si>
  <si>
    <t>Adani Transmission Ltd</t>
  </si>
  <si>
    <t>INE214T01019</t>
  </si>
  <si>
    <t>Larsen &amp; Toubro Infotech Ltd</t>
  </si>
  <si>
    <t>INE176B01034</t>
  </si>
  <si>
    <t>Havells India Ltd</t>
  </si>
  <si>
    <t>INE102D01028</t>
  </si>
  <si>
    <t>Godrej Consumer Products Ltd</t>
  </si>
  <si>
    <t>INE540L01014</t>
  </si>
  <si>
    <t>Alkem Laboratories Ltd</t>
  </si>
  <si>
    <t>INE079A01024</t>
  </si>
  <si>
    <t>INE118A01012</t>
  </si>
  <si>
    <t>Bajaj Holdings &amp; Investment Ltd</t>
  </si>
  <si>
    <t>INE012A01025</t>
  </si>
  <si>
    <t>ACC Ltd</t>
  </si>
  <si>
    <t>INE018E01016</t>
  </si>
  <si>
    <t>SBI Cards and Payment Services Ltd</t>
  </si>
  <si>
    <t>INE358A01014</t>
  </si>
  <si>
    <t>Abbott India Ltd</t>
  </si>
  <si>
    <t>INE205A01025</t>
  </si>
  <si>
    <t>Vedanta Ltd</t>
  </si>
  <si>
    <t>INE003A01024</t>
  </si>
  <si>
    <t>Siemens Ltd</t>
  </si>
  <si>
    <t>INE646L01027</t>
  </si>
  <si>
    <t>Interglobe Aviation Ltd</t>
  </si>
  <si>
    <t>INE216A01030</t>
  </si>
  <si>
    <t>Britannia Industries Ltd</t>
  </si>
  <si>
    <t>INE271C01023</t>
  </si>
  <si>
    <t>DLF Ltd</t>
  </si>
  <si>
    <t>INE685A01028</t>
  </si>
  <si>
    <t>Torrent Pharmaceuticals Ltd</t>
  </si>
  <si>
    <t>INE140A01024</t>
  </si>
  <si>
    <t>Piramal Enterprises Ltd</t>
  </si>
  <si>
    <t>INE318A01026</t>
  </si>
  <si>
    <t>Pidilite Industries Ltd</t>
  </si>
  <si>
    <t>INE726G01019</t>
  </si>
  <si>
    <t>ICICI Prudential Life Insurance Company Ltd</t>
  </si>
  <si>
    <t>INE686F01025</t>
  </si>
  <si>
    <t>United Breweries Ltd</t>
  </si>
  <si>
    <t>INE196A01026</t>
  </si>
  <si>
    <t>Marico Ltd</t>
  </si>
  <si>
    <t>INE423A01024</t>
  </si>
  <si>
    <t>Adani Enterprises</t>
  </si>
  <si>
    <t>INE127D01025</t>
  </si>
  <si>
    <t>HDFC Asset Management Company Ltd</t>
  </si>
  <si>
    <t>INE414G01012</t>
  </si>
  <si>
    <t>Muthoot Finance Ltd</t>
  </si>
  <si>
    <t>INE463A01038</t>
  </si>
  <si>
    <t>Berger Paints (I) Ltd</t>
  </si>
  <si>
    <t>INE259A01022</t>
  </si>
  <si>
    <t>Colgate Palmolive (India) Ltd</t>
  </si>
  <si>
    <t>INE752E01010</t>
  </si>
  <si>
    <t>Power Grid Corporation of India Ltd</t>
  </si>
  <si>
    <t>INE019A01038</t>
  </si>
  <si>
    <t>JSW Steel Ltd</t>
  </si>
  <si>
    <t>INE242A01010</t>
  </si>
  <si>
    <t>Indian Oil Corporation Ltd</t>
  </si>
  <si>
    <t>INE733E01010</t>
  </si>
  <si>
    <t>NTPC Ltd</t>
  </si>
  <si>
    <t>INE047A01021</t>
  </si>
  <si>
    <t>Grasim Industries Ltd</t>
  </si>
  <si>
    <t>INE066A01021</t>
  </si>
  <si>
    <t>Eicher Motors Ltd</t>
  </si>
  <si>
    <t>INE070A01015</t>
  </si>
  <si>
    <t>INE522F01014</t>
  </si>
  <si>
    <t>Coal India Ltd</t>
  </si>
  <si>
    <t>Minerals/Mining</t>
  </si>
  <si>
    <t>INE095A01012</t>
  </si>
  <si>
    <t>IndusInd Bank Ltd</t>
  </si>
  <si>
    <t>INE158A01026</t>
  </si>
  <si>
    <t>Hero MotoCorp Ltd</t>
  </si>
  <si>
    <t>INE364U01010</t>
  </si>
  <si>
    <t>Adani Green Energy Ltd</t>
  </si>
  <si>
    <t>INE376G01013</t>
  </si>
  <si>
    <t>Biocon Ltd</t>
  </si>
  <si>
    <t>INE323A01026</t>
  </si>
  <si>
    <t>Bosch Ltd</t>
  </si>
  <si>
    <t>INE094A01015</t>
  </si>
  <si>
    <t>Hindustan Petroleum Corporation Ltd</t>
  </si>
  <si>
    <t>INE010B01027</t>
  </si>
  <si>
    <t>Cadila Healthcare Ltd</t>
  </si>
  <si>
    <t>INE121J01017</t>
  </si>
  <si>
    <t>Indus Towers Ltd (Prev Bharti Infratel Ltd)</t>
  </si>
  <si>
    <t>INE160A01022</t>
  </si>
  <si>
    <t>Punjab National Bank</t>
  </si>
  <si>
    <t>INE584A01023</t>
  </si>
  <si>
    <t>NMDC Ltd</t>
  </si>
  <si>
    <t>INE545U01014</t>
  </si>
  <si>
    <t>Bandhan Bank Ltd</t>
  </si>
  <si>
    <t>INE326A01037</t>
  </si>
  <si>
    <t>Lupin Ltd</t>
  </si>
  <si>
    <t>INE528G01035</t>
  </si>
  <si>
    <t>Yes Bank Ltd</t>
  </si>
  <si>
    <t>INE406A01037</t>
  </si>
  <si>
    <t>Aurobindo Pharma Ltd</t>
  </si>
  <si>
    <t>INE216A08027</t>
  </si>
  <si>
    <t>Britannia Industries Ltd - 5.5% - 03/06/2024</t>
  </si>
  <si>
    <t xml:space="preserve"> CRISIL AAA </t>
  </si>
  <si>
    <t>Sundaram Diversified Equity</t>
  </si>
  <si>
    <t>Sundaram Arbitrage Fund</t>
  </si>
  <si>
    <t>INE476A01014</t>
  </si>
  <si>
    <t>Canara Bank</t>
  </si>
  <si>
    <t>Stock Future</t>
  </si>
  <si>
    <t>INF903J01QF2</t>
  </si>
  <si>
    <t>Margin Money For Derivatives</t>
  </si>
  <si>
    <t>Sundaram Bluechip Fund</t>
  </si>
  <si>
    <t>Sundaram Equity Fund</t>
  </si>
  <si>
    <t>INE944F01028</t>
  </si>
  <si>
    <t>Radico Khaitan Ltd</t>
  </si>
  <si>
    <t>INE093I01010</t>
  </si>
  <si>
    <t>Oberoi Realty Ltd</t>
  </si>
  <si>
    <t>INE470A01017</t>
  </si>
  <si>
    <t>3M India Ltd</t>
  </si>
  <si>
    <t>INE269B01029</t>
  </si>
  <si>
    <t>Lakshmi Machine Works Ltd</t>
  </si>
  <si>
    <t>INE342J01019</t>
  </si>
  <si>
    <t>Wabco India Ltd</t>
  </si>
  <si>
    <t>Sundaram Equity Savings Fund</t>
  </si>
  <si>
    <t>INE424H01027</t>
  </si>
  <si>
    <t>SUN TV Network Ltd</t>
  </si>
  <si>
    <t>Index Future</t>
  </si>
  <si>
    <t>INE020B08BF0</t>
  </si>
  <si>
    <t>REC Ltd - 8.45% - 22/03/2022**</t>
  </si>
  <si>
    <t>INE001A07RS3</t>
  </si>
  <si>
    <t>Housing Development Finance Corporation Ltd - 8.58% - 18/03/2022**</t>
  </si>
  <si>
    <t>INE020B08AT3</t>
  </si>
  <si>
    <t>REC Ltd - 7.99% - 23/02/2023**</t>
  </si>
  <si>
    <t>IN0020180488</t>
  </si>
  <si>
    <t>Sovereign</t>
  </si>
  <si>
    <t>** Thinly traded / Non Traded Securities</t>
  </si>
  <si>
    <t>Sundaram Financial Services Opportunities Fund</t>
  </si>
  <si>
    <t>INE674K01013</t>
  </si>
  <si>
    <t>Aditya Birla Capital Ltd</t>
  </si>
  <si>
    <t>INE780C01023</t>
  </si>
  <si>
    <t>JM Financial Ltd</t>
  </si>
  <si>
    <t>INE774D01024</t>
  </si>
  <si>
    <t>Mahindra &amp; Mahindra Financial Services Ltd</t>
  </si>
  <si>
    <t>Sundaram Value Fund Series X</t>
  </si>
  <si>
    <t>INE825A01012</t>
  </si>
  <si>
    <t>Vardhman Textiles Ltd</t>
  </si>
  <si>
    <t>INE008A01015</t>
  </si>
  <si>
    <t>IDBI Bank Ltd</t>
  </si>
  <si>
    <t>Sundaram Value Fund Series VII</t>
  </si>
  <si>
    <t>INE026A01025</t>
  </si>
  <si>
    <t>Gujarat State Fertilizers &amp; Chemicals Ltd</t>
  </si>
  <si>
    <t>Sundaram Value Fund Series IX</t>
  </si>
  <si>
    <t>S.NO.</t>
  </si>
  <si>
    <t>ACRONYM</t>
  </si>
  <si>
    <t>SCHEME NAME</t>
  </si>
  <si>
    <t>CAPEXG</t>
  </si>
  <si>
    <t>MICAP14</t>
  </si>
  <si>
    <t>MICAP15</t>
  </si>
  <si>
    <t>MICAP16</t>
  </si>
  <si>
    <t>MICAP17</t>
  </si>
  <si>
    <t>MIDCAP</t>
  </si>
  <si>
    <t>MULTI1</t>
  </si>
  <si>
    <t>MULTI2</t>
  </si>
  <si>
    <t>Sundaram Multi Cap Fund Series II</t>
  </si>
  <si>
    <t>MULTIP</t>
  </si>
  <si>
    <t>Sundaram Large And Mid Cap Fund</t>
  </si>
  <si>
    <t>SESCAP1</t>
  </si>
  <si>
    <t>SESCAP2</t>
  </si>
  <si>
    <t>SESCAP3</t>
  </si>
  <si>
    <t>SESCAP4</t>
  </si>
  <si>
    <t>SESCAP5</t>
  </si>
  <si>
    <t>SESCAP6</t>
  </si>
  <si>
    <t>SESCAP7</t>
  </si>
  <si>
    <t>SFOCUS</t>
  </si>
  <si>
    <t>SLTADV3</t>
  </si>
  <si>
    <t>Sundaram Long Term Advantage Fund Series III</t>
  </si>
  <si>
    <t>SLTADV4</t>
  </si>
  <si>
    <t>Sundaram Long Term Advantage Fund Series IV</t>
  </si>
  <si>
    <t>SLTAX1</t>
  </si>
  <si>
    <t>Sundaram Long Term Tax Advantage Fund Series I</t>
  </si>
  <si>
    <t>SLTAX2</t>
  </si>
  <si>
    <t>Sundaram Long Term Tax Advantage Fund Series II</t>
  </si>
  <si>
    <t>SLTAX3</t>
  </si>
  <si>
    <t>SLTAX4</t>
  </si>
  <si>
    <t>SLTAX5</t>
  </si>
  <si>
    <t>SLTAX6</t>
  </si>
  <si>
    <t>SMILE</t>
  </si>
  <si>
    <t>SRURAL</t>
  </si>
  <si>
    <t>Sundaram Rural And Consumption Fund</t>
  </si>
  <si>
    <t>SSFUND</t>
  </si>
  <si>
    <t>Sundaram Service Fund</t>
  </si>
  <si>
    <t>SSN100</t>
  </si>
  <si>
    <t>Sundaram Smart Nifty 100 Equity Weight Fund</t>
  </si>
  <si>
    <t>STAX</t>
  </si>
  <si>
    <t>SUNARF</t>
  </si>
  <si>
    <t>SUNBAF</t>
  </si>
  <si>
    <t>Sundaram Balanced Advantage Fund</t>
  </si>
  <si>
    <t>SUNBAL</t>
  </si>
  <si>
    <t>Sundaram Equity Hybrid Fund</t>
  </si>
  <si>
    <t>SUNBCF</t>
  </si>
  <si>
    <t>SUNEQF</t>
  </si>
  <si>
    <t>SUNESF</t>
  </si>
  <si>
    <t>SUNFOP</t>
  </si>
  <si>
    <t>SUNVALF10</t>
  </si>
  <si>
    <t>SUNVALF7</t>
  </si>
  <si>
    <t>SUNVALF9</t>
  </si>
  <si>
    <t>GLOB</t>
  </si>
  <si>
    <t>Sundaram Global Brand Fund</t>
  </si>
  <si>
    <t>ISIN</t>
  </si>
  <si>
    <t>NAME OF THE SECURITY</t>
  </si>
  <si>
    <t>VALUE OF THE SECURITY CONSIDERED UNDER NET RECEIVABLES</t>
  </si>
  <si>
    <t>% TO AUM</t>
  </si>
  <si>
    <t>INE528G08394</t>
  </si>
  <si>
    <t>9%-YES BANK LTD-NCD-Call opt-18/10/2022-Perpetual Bond $</t>
  </si>
  <si>
    <t>TOTAL AMOUNT INCLUDING INTEREST DUE TO THE SCHEME</t>
  </si>
  <si>
    <t>TOTAL AMOUNT DUE</t>
  </si>
  <si>
    <t>PRINCIPAL (Rs. in Lacs)</t>
  </si>
  <si>
    <t>Interest Accrued till 05 Mar 2020
(Rs. in Lacs)</t>
  </si>
  <si>
    <t>Interest not accrued upto 31/05/2021 from the default date (Rs. in Lacs)</t>
  </si>
  <si>
    <t>Total 
(Rs. in Lacs)</t>
  </si>
  <si>
    <t>$ Yes Bank Limited Reconstruction Scheme 2020” was notified in the Official Gazette on March 13, 2020. Based on that, the Basel III Additional Tier I Bonds (ISIN - INE528G08394) were written down in the scheme along with the Interest accrued.</t>
  </si>
  <si>
    <t>SUNDARAM GLOBAL BRAND FUND</t>
  </si>
  <si>
    <t>Monthly Portfolio Statement for the period ended 31 Aug 2021</t>
  </si>
  <si>
    <t>ISIN CODE</t>
  </si>
  <si>
    <t>Name of the Instrument</t>
  </si>
  <si>
    <t>Industry/ Rating</t>
  </si>
  <si>
    <t>YTM (%)</t>
  </si>
  <si>
    <t>A) Investments in Foreign Securities - Units of Mutual Funds</t>
  </si>
  <si>
    <t>SG9999013908</t>
  </si>
  <si>
    <t>SUNDARAM GLOBAL BRAND FUND -MASTER CLASS (Singapore)</t>
  </si>
  <si>
    <t>Mutual Funds</t>
  </si>
  <si>
    <t>Total for Investments in Foreign Securities - Units of Mutual Funds</t>
  </si>
  <si>
    <t>B) Money Market Investments</t>
  </si>
  <si>
    <t>Reverse Repo</t>
  </si>
  <si>
    <t>Cash and Other Net Curent Assets</t>
  </si>
  <si>
    <t>a) Total securities below investment grade or default  - Nil</t>
  </si>
  <si>
    <t>b) Total value and percentage of illiquid equity shares - Nil</t>
  </si>
  <si>
    <t>Options</t>
  </si>
  <si>
    <t>Direct Plan - IDCW ^^</t>
  </si>
  <si>
    <t>Regular Plan - IDCW ^^</t>
  </si>
  <si>
    <t>^^ IDCW means Income distribution cum capital withdrawal (Payout/Reinvestment/Transfer)</t>
  </si>
  <si>
    <t>d) IDCW declared during the period (Rupees per unit) - Nil</t>
  </si>
  <si>
    <t>e) Total outstanding exposure in derivative instrumentsat the end of the period - Nil</t>
  </si>
  <si>
    <t>f) Total investments in foreign securities /ADR'S/GDR'S  at the end of the period - Rs. 8,682.66 lacs</t>
  </si>
  <si>
    <t>g) Repo in Corporate Debt - Nil</t>
  </si>
  <si>
    <t>INE092A01019</t>
  </si>
  <si>
    <t>Tata Chemicals Ltd</t>
  </si>
  <si>
    <t>INE257A01026</t>
  </si>
  <si>
    <t>Bharat Heavy Electricals Ltd</t>
  </si>
  <si>
    <t>INE042A01014</t>
  </si>
  <si>
    <t>Escorts</t>
  </si>
  <si>
    <t>INE001A07RU9</t>
  </si>
  <si>
    <t>Housing Development Finance Corporation Ltd - 8.05% - 20/06/2022**</t>
  </si>
  <si>
    <t>INE094A08085</t>
  </si>
  <si>
    <t>Hindustan Petroleum Corporation Ltd - 4.79% - 23/10/2023</t>
  </si>
  <si>
    <t>INE261F08CA0</t>
  </si>
  <si>
    <t>National Bank for Agricultural &amp; Rural Development - 6.4% - 31/07/2023**</t>
  </si>
  <si>
    <t>INE020B08CN2</t>
  </si>
  <si>
    <t>REC Ltd - 6.8% - 30/06/2023**</t>
  </si>
  <si>
    <t>INE115A07OH1</t>
  </si>
  <si>
    <t>LIC Housing Finance Ltd - 7.6% - 22/11/2022**</t>
  </si>
  <si>
    <t>INE001A07SH4</t>
  </si>
  <si>
    <t>Housing Development Finance Corporation Ltd - 6.99% - 13/02/2023</t>
  </si>
  <si>
    <t>INE261F08BW6</t>
  </si>
  <si>
    <t>National Bank for Agricultural &amp; Rural Development - 6.72% - 14/04/2023**</t>
  </si>
  <si>
    <t>INE020B08DC3</t>
  </si>
  <si>
    <t>REC Ltd - 5.69% - 30/09/2023**</t>
  </si>
  <si>
    <t>INE001A07SQ5</t>
  </si>
  <si>
    <t>Housing Development Finance Corporation Ltd - 4.95% - 09/09/2022**</t>
  </si>
  <si>
    <t>INE115A07CY1</t>
  </si>
  <si>
    <t>LIC Housing Finance Ltd - 9.3% - 14/09/2022**</t>
  </si>
  <si>
    <t>INE134E08KJ6</t>
  </si>
  <si>
    <t>Power Finance Corporation Ltd - 7.04% - 14/04/2023**</t>
  </si>
  <si>
    <t>INE020B08CD3</t>
  </si>
  <si>
    <t>REC Ltd - 7.09% - 13/12/2022**</t>
  </si>
  <si>
    <t>INE053F07BZ2</t>
  </si>
  <si>
    <t>Indian Railway Finance Corporation Ltd - 6.59% - 14/04/2023**</t>
  </si>
  <si>
    <t>INE134E08IN2</t>
  </si>
  <si>
    <t>Power Finance Corporation Ltd - 7.27% - 22/12/2021**</t>
  </si>
  <si>
    <t>INE115A14DA5</t>
  </si>
  <si>
    <t>LIC Housing Finance Ltd - 14/02/2022**</t>
  </si>
  <si>
    <t xml:space="preserve"> CRISIL A1+ </t>
  </si>
  <si>
    <t>Cash and Other Net Current Assets^</t>
  </si>
  <si>
    <t>**Non Traded Securities</t>
  </si>
  <si>
    <t>^ Net current assets includes interest accrued on fixed income securities</t>
  </si>
  <si>
    <t>i) Repo in corporate debt</t>
  </si>
  <si>
    <t>INE001A07SD3</t>
  </si>
  <si>
    <t>Housing Development Finance Corporation Ltd - 7.21% - 30/12/2022**</t>
  </si>
  <si>
    <t>INE134E08KO6</t>
  </si>
  <si>
    <t>Power Finance Corporation Ltd - 6.83% - 24/04/2023**</t>
  </si>
  <si>
    <t>INE062A08157</t>
  </si>
  <si>
    <t xml:space="preserve"> CRISIL AA+ </t>
  </si>
  <si>
    <t>INE020B08DR1</t>
  </si>
  <si>
    <t>REC Ltd - 5.74% - 20/06/2024**</t>
  </si>
  <si>
    <t>INE261F08CS2</t>
  </si>
  <si>
    <t>National Bank for Agricultural &amp; Rural Development - 4.6% - 29/07/2022**</t>
  </si>
  <si>
    <t>INE040A08377</t>
  </si>
  <si>
    <t>INE514E08FL5</t>
  </si>
  <si>
    <t>INE062A08140</t>
  </si>
  <si>
    <t>INE028A08158</t>
  </si>
  <si>
    <t xml:space="preserve"> IND AAA </t>
  </si>
  <si>
    <t>INE557F08FG1</t>
  </si>
  <si>
    <t>National Housing Bank  - 7.05% - 18/12/2024**</t>
  </si>
  <si>
    <t>INE028A08117</t>
  </si>
  <si>
    <t>INE115A07PE5</t>
  </si>
  <si>
    <t>LIC Housing Finance Ltd - 4.545% - 28/03/2022**</t>
  </si>
  <si>
    <t xml:space="preserve"> CARE AAA </t>
  </si>
  <si>
    <t>INE134E08KD9</t>
  </si>
  <si>
    <t>Power Finance Corporation Ltd - 8.1% - 04/06/2024**</t>
  </si>
  <si>
    <t>INE261F08BK1</t>
  </si>
  <si>
    <t>National Bank for Agricultural &amp; Rural Development - 7.69% - 29/05/2024**</t>
  </si>
  <si>
    <t>INE115A07OJ7</t>
  </si>
  <si>
    <t>LIC Housing Finance Ltd - 7.445% - 13/01/2023</t>
  </si>
  <si>
    <t>INE090A08TW2</t>
  </si>
  <si>
    <t>INE238A08443</t>
  </si>
  <si>
    <t>INE020B08641</t>
  </si>
  <si>
    <t>REC Ltd - 9.75% - 11/11/2021**</t>
  </si>
  <si>
    <t>INE001A07SC5</t>
  </si>
  <si>
    <t>Housing Development Finance Corporation Ltd - 6.99% - 25/11/2021**</t>
  </si>
  <si>
    <t>INE528G08246</t>
  </si>
  <si>
    <t>INE134E08LK2</t>
  </si>
  <si>
    <t>Power Finance Corporation Ltd - 6.09% - 27/08/2026**</t>
  </si>
  <si>
    <t>INE895D07487</t>
  </si>
  <si>
    <t>Tata Sons Pvt Ltd - 9.3% - 19/06/2024**</t>
  </si>
  <si>
    <t>INE053F08122</t>
  </si>
  <si>
    <t>Indian Railway Finance Corporation Ltd - 6.92% - 31/08/2031**</t>
  </si>
  <si>
    <t>IN0020130012</t>
  </si>
  <si>
    <t>IN0020210012</t>
  </si>
  <si>
    <t>Individual &amp; HUF</t>
  </si>
  <si>
    <t>Others</t>
  </si>
  <si>
    <t>Page Industries Ltd Sep 2021</t>
  </si>
  <si>
    <t>Dabur India Limited Sep 2021</t>
  </si>
  <si>
    <t>Tata Steel Limited Sep 2021</t>
  </si>
  <si>
    <t>Motherson Sumi Systems Limited Sep 2021</t>
  </si>
  <si>
    <t>Ashok Leyland Ltd Sep 2021</t>
  </si>
  <si>
    <t>Canara Bank Sep 2021</t>
  </si>
  <si>
    <t>Bharat Forge Ltd Sep 2021</t>
  </si>
  <si>
    <t>Bharti Airtel Ltd Sep 2021</t>
  </si>
  <si>
    <t>Vedanta Limited Sep 2021</t>
  </si>
  <si>
    <t>Bharat Petroleum Corporation Ltd Sep 2021</t>
  </si>
  <si>
    <t>Adani Ports &amp; SEZ Ltd Sep 2021</t>
  </si>
  <si>
    <t>HDFC Bank Limited Sep 2021</t>
  </si>
  <si>
    <t>Bajaj Finserv Limited Sep 2021</t>
  </si>
  <si>
    <t>HDFC Life Insurance Company Ltd Sep 2021</t>
  </si>
  <si>
    <t>State Bank of India Sep 2021</t>
  </si>
  <si>
    <t>Shriram Transport Finance Company Limited Sep 2021</t>
  </si>
  <si>
    <t>ITC Ltd Sep 2021</t>
  </si>
  <si>
    <t>LIC Housing Finance Ltd Sep 2021</t>
  </si>
  <si>
    <t>Apollo Hospitals Enterprise Limited Sep 2021</t>
  </si>
  <si>
    <t>Indraprastha Gas Ltd Sep 2021</t>
  </si>
  <si>
    <t>Jindal Steel &amp; Power Ltd Sep 2021</t>
  </si>
  <si>
    <t>Hindustan Unilever Ltd Sep 2021</t>
  </si>
  <si>
    <t>ICICI Bank Ltd Sep 2021</t>
  </si>
  <si>
    <t>Reliance Industries Ltd Sep 2021</t>
  </si>
  <si>
    <t>Axis Bank Ltd Sep 2021</t>
  </si>
  <si>
    <t>Escorts Limited Sep 2021</t>
  </si>
  <si>
    <t>Bharat Heavy Electricals Limited Sep 2021</t>
  </si>
  <si>
    <t>Tata Chemicals Limited Sep 2021</t>
  </si>
  <si>
    <t>Tata Motors Ltd Sep 2021</t>
  </si>
  <si>
    <t>Grasim Industries Limited Sep 2021</t>
  </si>
  <si>
    <t>Punjab National Bank Sep 2021</t>
  </si>
  <si>
    <t>Titan Company Limited Sep 2021</t>
  </si>
  <si>
    <t>Bajaj Auto Ltd Sep 2021</t>
  </si>
  <si>
    <t>Dr.Reddys Laboratories Ltd Sep 2021</t>
  </si>
  <si>
    <t>TATA Consultancy Services Ltd Sep 2021</t>
  </si>
  <si>
    <t>Pidilite Industries Ltd Sep 2021</t>
  </si>
  <si>
    <t>Housing Development Fin Corp Ltd Sep 2021</t>
  </si>
  <si>
    <t>Marico Ltd Sep 2021</t>
  </si>
  <si>
    <t>Tech Mahindra Ltd Sep 2021</t>
  </si>
  <si>
    <t>United Spirits Ltd Sep 2021</t>
  </si>
  <si>
    <t>Nifty Sep 2021</t>
  </si>
  <si>
    <t>Sun TV Network Limited Sep 2021</t>
  </si>
  <si>
    <t>Federal Bank Sep 2021</t>
  </si>
  <si>
    <t>TATA Consumer Products Ltd Sep 2021</t>
  </si>
  <si>
    <t>INE0GGX23010</t>
  </si>
  <si>
    <t>Power Grid Infrastructure Investment Trust(InvIT)</t>
  </si>
  <si>
    <t>INE041025011</t>
  </si>
  <si>
    <t>Embassy Office Parks(REIT)</t>
  </si>
  <si>
    <t>INE001A13049</t>
  </si>
  <si>
    <t>Housing Development Finance
Corporation Ltd</t>
  </si>
  <si>
    <t>As Per Annexure-A</t>
  </si>
  <si>
    <t>j) Portfolio Turnover Ratio</t>
  </si>
  <si>
    <t>g) Average Maturity - only for Debt portion (years)</t>
  </si>
  <si>
    <t>h) Macaulay Duration - only for Debt portion (years)</t>
  </si>
  <si>
    <t>i) Portfolio Turnover Ratio</t>
  </si>
  <si>
    <t>j) Repo in corporate debt</t>
  </si>
  <si>
    <t>b) Total value and percentage of illiquid equity shares @</t>
  </si>
  <si>
    <t>0.00 / #</t>
  </si>
  <si>
    <t>Hindustan Dorr-Oliver Ltd @</t>
  </si>
  <si>
    <t>Cash and Other Net Current Assets ^</t>
  </si>
  <si>
    <t xml:space="preserve">Sundaram Money Fund - Direct Growth@@ </t>
  </si>
  <si>
    <t xml:space="preserve"> @@ Placed as margin for derivatives</t>
  </si>
  <si>
    <t xml:space="preserve"> ICRA AAA </t>
  </si>
  <si>
    <t xml:space="preserve"> ICRA AA+ </t>
  </si>
  <si>
    <t xml:space="preserve"> ICRA BBB </t>
  </si>
  <si>
    <t>Monthly Portfolio Statement for the month ended 31 August 2021</t>
  </si>
  <si>
    <t>% to AUM as on 31.08.2021</t>
  </si>
  <si>
    <t>State Bank of India - 8.15% - Call Dt 02/08/2022** (Perpetual Bond under Basel III)</t>
  </si>
  <si>
    <t>HDFC Bank Ltd - 8.85% - Call Dt 12/05/2022** (Perpetual Bond under Basel III)</t>
  </si>
  <si>
    <t>Export Import Bank of India - 8.6% - Call Dt 31/03/2022** (Perpetual Bond under Basel III)</t>
  </si>
  <si>
    <t>State Bank of India - 8.39% - Call Dt 25/10/2021** (Perpetual Bond under Basel III)</t>
  </si>
  <si>
    <t>Bank of Baroda - 8.55% - Call Dt 14-Feb-2024 (Tier II Bond under Basel III)**</t>
  </si>
  <si>
    <t>Bank of Baroda - 8.65% - Call Dt 11/08/2022**  (Perpetual Bond under Basel III)</t>
  </si>
  <si>
    <t>ICICI Bank Ltd - 9.2% - Call Dt 17/03/2022** (Perpetual Bond under Basel III)</t>
  </si>
  <si>
    <t>Axis Bank Ltd - 8.75% - Call Dt 28/06/2022** (Perpetual Bond under Basel III)</t>
  </si>
  <si>
    <t>Yield to call date %</t>
  </si>
  <si>
    <t>Direct Plan - IDCW^^</t>
  </si>
  <si>
    <t>Regular Plan - IDCW^^</t>
  </si>
  <si>
    <t>d) IDCW^^ declared during the period (Rupees per unit)</t>
  </si>
  <si>
    <t>Institutional Plan - IDCW^^</t>
  </si>
  <si>
    <t>Cement &amp; Cement Products</t>
  </si>
  <si>
    <t>Ultratech Cement &amp; Cement Products Ltd</t>
  </si>
  <si>
    <t>Dalmia Cement &amp; Cement Products (Bharat) Ltd.</t>
  </si>
  <si>
    <t>HeidelbergCement &amp; Cement Products India Ltd</t>
  </si>
  <si>
    <t>ITD Cement &amp; Cement Productsation India Ltd</t>
  </si>
  <si>
    <t>Ambuja Cement &amp; Cement Productss Ltd</t>
  </si>
  <si>
    <t>J K Cements Ltd</t>
  </si>
  <si>
    <t>Shree Cements Ltd</t>
  </si>
  <si>
    <t>Aerospace &amp; Defense</t>
  </si>
  <si>
    <t>Leisure Services</t>
  </si>
  <si>
    <t>Insurance</t>
  </si>
  <si>
    <t>Capital Markets</t>
  </si>
  <si>
    <t>Entertainment</t>
  </si>
  <si>
    <t>Other Services</t>
  </si>
  <si>
    <t>Printing &amp; Publication</t>
  </si>
  <si>
    <t>5.63% Central Government Securities 12/04/2026</t>
  </si>
  <si>
    <t>7.32% Central Government Securities 28/01/2024</t>
  </si>
  <si>
    <t>7.16% Central Government Securities 20/05/2023</t>
  </si>
  <si>
    <t>Rs. 611.76 Lacs</t>
  </si>
  <si>
    <t>Exposure to securities classified as below investment grade or default as on Aug 31, 2021:-</t>
  </si>
  <si>
    <t>Refer below</t>
  </si>
  <si>
    <t>Yes Bank Ltd - 9.9% - 31/10/2022** (Tier II bond under Basel II)</t>
  </si>
  <si>
    <t>Annexure-A</t>
  </si>
  <si>
    <t>DERIVATIVES DISCLOSURE</t>
  </si>
  <si>
    <t>Disclosure regarding Derivative positions pursuant to SEBI Circular no CIR/IMD/DF/11/2010 dated August18,2010</t>
  </si>
  <si>
    <t>DETAILS OF INVESTMENTS IN DERIVATIVE INSTRUMENTS</t>
  </si>
  <si>
    <t>A. Hedging Positions through Futures as on August 31,2021 :</t>
  </si>
  <si>
    <t>Scheme Name</t>
  </si>
  <si>
    <t>Underlying</t>
  </si>
  <si>
    <t>Long/Short</t>
  </si>
  <si>
    <t>Futures Price When Purchased</t>
  </si>
  <si>
    <t>Current Price of the contract</t>
  </si>
  <si>
    <t>Margin maintained in       (Rs in Lakhs)*</t>
  </si>
  <si>
    <t>Short</t>
  </si>
  <si>
    <t xml:space="preserve">Total percentage of existing assets hedged through futures as a percentage of net assets </t>
  </si>
  <si>
    <t>%</t>
  </si>
  <si>
    <t>For the period ended August 31,2021 following were the hedging transactions through futures which have been squared off/ expired</t>
  </si>
  <si>
    <t>Total Number of contracts where futures were Bought</t>
  </si>
  <si>
    <t>Total Number of contracts where futures were Sold</t>
  </si>
  <si>
    <t>Gross Notional value of contracts where futures were bought                      (Rs. in Lakhs)</t>
  </si>
  <si>
    <t>Gross Notional value of contracts where futures were sold        (Rs. in Lakhs)</t>
  </si>
  <si>
    <t>Net Profit / (Loss) value on all contracts combined       (Rs. in lakhs)</t>
  </si>
  <si>
    <t>Sundaram Select Micro Cap Series IX</t>
  </si>
  <si>
    <t>Sundaram Select Micro Cap Series VIII</t>
  </si>
  <si>
    <t>Sundaram Select Micro Cap Series XII</t>
  </si>
  <si>
    <t>Sundaram Select Micro Cap Series XI</t>
  </si>
  <si>
    <t>Sundaram Select Micro Cap Series X</t>
  </si>
  <si>
    <t>B. Other than hedging positions through futures as on August 31,2021:</t>
  </si>
  <si>
    <t>Margin maintained in       (Rs. in Lakhs) *</t>
  </si>
  <si>
    <t>-</t>
  </si>
  <si>
    <t>Total percentage of existing assets due to non-hedging positions as a percentage of net assets</t>
  </si>
  <si>
    <t>For the period ended August 31,2021 following were the non-hedging transactions through futures which have been squared off / expired</t>
  </si>
  <si>
    <t>Gross Notional value of contracts where futures were sold      ( Rs. in Lakhs)</t>
  </si>
  <si>
    <t>Net Profit / (Loss) value on all contracts combined      (Rs. in lakhs)</t>
  </si>
  <si>
    <t>C. Hedging Positions through Put Options as on August 31,2021:</t>
  </si>
  <si>
    <t>Call/Put</t>
  </si>
  <si>
    <t>Number of Contracts</t>
  </si>
  <si>
    <t>Option Price when purchased</t>
  </si>
  <si>
    <t>Current Option Price</t>
  </si>
  <si>
    <t>Total % of existing assets hedged through Put Options</t>
  </si>
  <si>
    <t>For the period ended  August 31,2021, the following hedging transactions through options which have been already exercised/expired</t>
  </si>
  <si>
    <t>Total Number of contracts entered into</t>
  </si>
  <si>
    <t>Gross Notional value of contracts bought                      (Rs. in Lakhs)</t>
  </si>
  <si>
    <t>Gross Notional value of contracts  sold  (Rs. in Lakhs)</t>
  </si>
  <si>
    <t>Net Profit/(Loss) on all contracts 
(Rs. in Lakhs)</t>
  </si>
  <si>
    <t>D. Other than Hedging Positions through options as on August 31,2021:</t>
  </si>
  <si>
    <t xml:space="preserve">Total Exposure through Options other than hedging as a percentage of net assets </t>
  </si>
  <si>
    <t>For the period ended August 31,2021, the following non hedging transactions through options which have been already exercised/expired</t>
  </si>
  <si>
    <t>Gross Notional value of contracts  bought(Rs. in Lakhs)</t>
  </si>
  <si>
    <t>Gross Notional value of contracts  sold (Rs. in Lakhs)</t>
  </si>
  <si>
    <t>E. Hedging Positions through Swaps as on August 31,2021- Nil</t>
  </si>
  <si>
    <t>F. Hedging Positions through Interest Rate Futures as on August 31,2021:</t>
  </si>
  <si>
    <t xml:space="preserve">Futures Price
When Purchased </t>
  </si>
  <si>
    <t>Current Price of
the contract</t>
  </si>
  <si>
    <t>Margin maintained
in (Rs. in Lakhs)</t>
  </si>
  <si>
    <t>Total percentage of existing assets hedged through Interest Rate Futures a Percentage of net assets</t>
  </si>
  <si>
    <t>For the period ended August 31,2021 following were the hedging transactions through Interest Rate Futures which have been squared off/ expired</t>
  </si>
  <si>
    <t>For the period ended August 31,2021 following were the Non Hedging transactions through Interest Rate Futures which have been squared off/ expired</t>
  </si>
  <si>
    <t>* Note: Margin maintained denotes security specific margin.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</si>
</sst>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 * #,##0.00_ ;_ * \-#,##0.00_ ;_ * &quot;-&quot;??_ ;_ @_ "/>
    <numFmt numFmtId="164" formatCode="[$-1014009]General"/>
    <numFmt numFmtId="165" formatCode="[$-1014009]###0;\(###0\)"/>
    <numFmt numFmtId="166" formatCode="[$-1014009]###0.00;\(###0.00\)"/>
    <numFmt numFmtId="167" formatCode="[$-1014009]###0.00%;\(###0.00%\)"/>
    <numFmt numFmtId="168" formatCode="[$-1014009]#,##0.00;\-#,##0.00"/>
    <numFmt numFmtId="169" formatCode="[$-1014009]#,##0.00%"/>
    <numFmt numFmtId="170" formatCode="[$-1014009]#,##0.0000;\-#,##0.0000"/>
    <numFmt numFmtId="171" formatCode="_(* #,##0.00_);_(* \(#,##0.00\);_(* &quot;-&quot;??_);_(@_)"/>
    <numFmt numFmtId="172" formatCode="0.000"/>
    <numFmt numFmtId="173" formatCode="#,##0.000"/>
    <numFmt numFmtId="174" formatCode="0.00000"/>
    <numFmt numFmtId="175" formatCode="dd\/mm\/yyyy"/>
    <numFmt numFmtId="176" formatCode="0.0000"/>
    <numFmt numFmtId="177" formatCode="[$-1014009]#.0000"/>
    <numFmt numFmtId="178" formatCode="[$-1014009]#,##0.00;\(#,##0.00\)"/>
    <numFmt numFmtId="179" formatCode="[$-1014009]#,##0.000000;\-#,##0.000000"/>
    <numFmt numFmtId="180" formatCode="0.000000000"/>
    <numFmt numFmtId="181" formatCode="_(* #,##0.0000_);_(* \(#,##0.0000\);_(* &quot;-&quot;??_);_(@_)"/>
    <numFmt numFmtId="182" formatCode="#,##0.0000;\(#,##0.0000\)"/>
    <numFmt numFmtId="183" formatCode="_(* #,##0.000_);_(* \(#,##0.000\);_(* &quot;-&quot;??_);_(@_)"/>
    <numFmt numFmtId="184" formatCode="_(* #,##0_);_(* \(#,##0\);_(* &quot;-&quot;??_);_(@_)"/>
  </numFmts>
  <fonts count="2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b/>
      <sz val="9"/>
      <color indexed="8"/>
      <name val="Calibri"/>
      <family val="2"/>
    </font>
    <font>
      <b/>
      <sz val="10"/>
      <name val="Arial"/>
      <family val="2"/>
    </font>
    <font>
      <sz val="10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>
      <alignment wrapText="1"/>
    </xf>
    <xf numFmtId="0" fontId="1" fillId="0" borderId="0"/>
    <xf numFmtId="171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0" fontId="13" fillId="0" borderId="0"/>
    <xf numFmtId="43" fontId="1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>
      <alignment wrapText="1"/>
    </xf>
    <xf numFmtId="43" fontId="24" fillId="0" borderId="0" applyFont="0" applyFill="0" applyBorder="0" applyAlignment="0" applyProtection="0"/>
  </cellStyleXfs>
  <cellXfs count="299">
    <xf numFmtId="0" fontId="0" fillId="0" borderId="0" xfId="0">
      <alignment wrapText="1"/>
    </xf>
    <xf numFmtId="0" fontId="3" fillId="2" borderId="4" xfId="0" applyFont="1" applyFill="1" applyBorder="1" applyAlignment="1">
      <alignment horizontal="right" vertical="top" wrapText="1" readingOrder="1"/>
    </xf>
    <xf numFmtId="0" fontId="4" fillId="2" borderId="4" xfId="0" applyFont="1" applyFill="1" applyBorder="1" applyAlignment="1">
      <alignment horizontal="left" vertical="center" wrapText="1" readingOrder="1"/>
    </xf>
    <xf numFmtId="164" fontId="3" fillId="2" borderId="4" xfId="0" applyNumberFormat="1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left" vertical="center" wrapText="1" readingOrder="1"/>
    </xf>
    <xf numFmtId="165" fontId="3" fillId="2" borderId="4" xfId="0" applyNumberFormat="1" applyFont="1" applyFill="1" applyBorder="1" applyAlignment="1">
      <alignment horizontal="right" vertical="center" wrapText="1" readingOrder="1"/>
    </xf>
    <xf numFmtId="166" fontId="3" fillId="2" borderId="4" xfId="0" applyNumberFormat="1" applyFont="1" applyFill="1" applyBorder="1" applyAlignment="1">
      <alignment horizontal="right" vertical="center" wrapText="1" readingOrder="1"/>
    </xf>
    <xf numFmtId="167" fontId="3" fillId="2" borderId="4" xfId="0" applyNumberFormat="1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right" vertical="center" wrapText="1" readingOrder="1"/>
    </xf>
    <xf numFmtId="166" fontId="4" fillId="2" borderId="4" xfId="0" applyNumberFormat="1" applyFont="1" applyFill="1" applyBorder="1" applyAlignment="1">
      <alignment horizontal="right" vertical="center" wrapText="1" readingOrder="1"/>
    </xf>
    <xf numFmtId="167" fontId="4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left" vertical="center" wrapText="1" readingOrder="1"/>
    </xf>
    <xf numFmtId="0" fontId="5" fillId="2" borderId="4" xfId="0" applyFont="1" applyFill="1" applyBorder="1" applyAlignment="1">
      <alignment horizontal="right" vertical="center" wrapText="1" readingOrder="1"/>
    </xf>
    <xf numFmtId="168" fontId="4" fillId="2" borderId="4" xfId="0" applyNumberFormat="1" applyFont="1" applyFill="1" applyBorder="1" applyAlignment="1">
      <alignment horizontal="right" vertical="center" wrapText="1" readingOrder="1"/>
    </xf>
    <xf numFmtId="169" fontId="4" fillId="2" borderId="4" xfId="0" applyNumberFormat="1" applyFont="1" applyFill="1" applyBorder="1" applyAlignment="1">
      <alignment horizontal="right" vertical="center" wrapText="1" readingOrder="1"/>
    </xf>
    <xf numFmtId="0" fontId="4" fillId="2" borderId="4" xfId="0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left" vertical="center" wrapText="1" readingOrder="1"/>
    </xf>
    <xf numFmtId="0" fontId="5" fillId="2" borderId="5" xfId="0" applyFont="1" applyFill="1" applyBorder="1" applyAlignment="1">
      <alignment horizontal="right" vertical="center" wrapText="1" readingOrder="1"/>
    </xf>
    <xf numFmtId="0" fontId="5" fillId="2" borderId="0" xfId="0" applyFont="1" applyFill="1" applyBorder="1" applyAlignment="1">
      <alignment horizontal="left" vertical="center" wrapText="1" readingOrder="1"/>
    </xf>
    <xf numFmtId="0" fontId="3" fillId="2" borderId="0" xfId="0" applyFont="1" applyFill="1" applyBorder="1" applyAlignment="1">
      <alignment horizontal="left" vertical="center" wrapText="1" readingOrder="1"/>
    </xf>
    <xf numFmtId="0" fontId="5" fillId="2" borderId="0" xfId="0" applyFont="1" applyFill="1" applyBorder="1" applyAlignment="1">
      <alignment horizontal="right" vertical="center" wrapText="1" readingOrder="1"/>
    </xf>
    <xf numFmtId="0" fontId="5" fillId="2" borderId="6" xfId="0" applyFont="1" applyFill="1" applyBorder="1" applyAlignment="1">
      <alignment horizontal="right" vertical="center" wrapText="1" readingOrder="1"/>
    </xf>
    <xf numFmtId="0" fontId="3" fillId="2" borderId="0" xfId="0" applyFont="1" applyFill="1" applyBorder="1" applyAlignment="1">
      <alignment horizontal="right" vertical="top" wrapText="1" readingOrder="1"/>
    </xf>
    <xf numFmtId="0" fontId="4" fillId="2" borderId="4" xfId="0" applyFont="1" applyFill="1" applyBorder="1" applyAlignment="1">
      <alignment horizontal="right" vertical="top" wrapText="1" readingOrder="1"/>
    </xf>
    <xf numFmtId="170" fontId="3" fillId="2" borderId="4" xfId="0" applyNumberFormat="1" applyFont="1" applyFill="1" applyBorder="1" applyAlignment="1">
      <alignment horizontal="right" vertical="center" wrapText="1" readingOrder="1"/>
    </xf>
    <xf numFmtId="0" fontId="3" fillId="2" borderId="0" xfId="0" applyFont="1" applyFill="1" applyBorder="1" applyAlignment="1">
      <alignment horizontal="right" vertical="center" wrapText="1" readingOrder="1"/>
    </xf>
    <xf numFmtId="0" fontId="3" fillId="2" borderId="5" xfId="0" applyFont="1" applyFill="1" applyBorder="1" applyAlignment="1">
      <alignment horizontal="right" vertical="top" wrapText="1" readingOrder="1"/>
    </xf>
    <xf numFmtId="169" fontId="4" fillId="2" borderId="4" xfId="0" applyNumberFormat="1" applyFont="1" applyFill="1" applyBorder="1" applyAlignment="1">
      <alignment horizontal="left" vertical="center" wrapText="1" readingOrder="1"/>
    </xf>
    <xf numFmtId="0" fontId="7" fillId="0" borderId="7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10" fillId="0" borderId="7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7" xfId="1" applyFont="1" applyBorder="1" applyAlignment="1">
      <alignment vertical="center"/>
    </xf>
    <xf numFmtId="0" fontId="11" fillId="0" borderId="11" xfId="1" applyFont="1" applyBorder="1"/>
    <xf numFmtId="0" fontId="11" fillId="0" borderId="20" xfId="1" applyFont="1" applyBorder="1" applyAlignment="1">
      <alignment horizontal="left" vertical="center"/>
    </xf>
    <xf numFmtId="2" fontId="11" fillId="0" borderId="21" xfId="1" applyNumberFormat="1" applyFont="1" applyBorder="1" applyAlignment="1">
      <alignment horizontal="right" vertical="center" wrapText="1"/>
    </xf>
    <xf numFmtId="171" fontId="11" fillId="0" borderId="21" xfId="2" applyFont="1" applyBorder="1" applyAlignment="1">
      <alignment horizontal="right" vertical="center" wrapText="1"/>
    </xf>
    <xf numFmtId="4" fontId="11" fillId="0" borderId="21" xfId="1" applyNumberFormat="1" applyFont="1" applyBorder="1" applyAlignment="1">
      <alignment horizontal="right"/>
    </xf>
    <xf numFmtId="10" fontId="11" fillId="0" borderId="22" xfId="3" applyNumberFormat="1" applyFont="1" applyBorder="1" applyAlignment="1">
      <alignment wrapText="1"/>
    </xf>
    <xf numFmtId="0" fontId="1" fillId="0" borderId="0" xfId="4"/>
    <xf numFmtId="0" fontId="14" fillId="0" borderId="7" xfId="5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 readingOrder="1"/>
    </xf>
    <xf numFmtId="0" fontId="15" fillId="0" borderId="7" xfId="1" applyFont="1" applyBorder="1" applyProtection="1">
      <protection locked="0"/>
    </xf>
    <xf numFmtId="0" fontId="16" fillId="0" borderId="7" xfId="1" applyFont="1" applyBorder="1" applyAlignment="1" applyProtection="1">
      <alignment wrapText="1"/>
      <protection locked="0"/>
    </xf>
    <xf numFmtId="0" fontId="15" fillId="0" borderId="7" xfId="1" applyFont="1" applyBorder="1" applyAlignment="1">
      <alignment horizontal="right"/>
    </xf>
    <xf numFmtId="0" fontId="1" fillId="0" borderId="7" xfId="4" applyBorder="1"/>
    <xf numFmtId="0" fontId="15" fillId="0" borderId="7" xfId="1" applyFont="1" applyBorder="1" applyAlignment="1" applyProtection="1">
      <alignment wrapText="1"/>
      <protection locked="0"/>
    </xf>
    <xf numFmtId="172" fontId="15" fillId="0" borderId="7" xfId="1" applyNumberFormat="1" applyFont="1" applyBorder="1" applyProtection="1">
      <protection locked="0"/>
    </xf>
    <xf numFmtId="43" fontId="15" fillId="0" borderId="7" xfId="6" applyFont="1" applyFill="1" applyBorder="1" applyAlignment="1">
      <alignment horizontal="right"/>
    </xf>
    <xf numFmtId="2" fontId="15" fillId="0" borderId="7" xfId="1" applyNumberFormat="1" applyFont="1" applyBorder="1" applyAlignment="1">
      <alignment horizontal="right"/>
    </xf>
    <xf numFmtId="43" fontId="1" fillId="0" borderId="0" xfId="4" applyNumberFormat="1"/>
    <xf numFmtId="172" fontId="1" fillId="0" borderId="0" xfId="4" applyNumberFormat="1"/>
    <xf numFmtId="0" fontId="15" fillId="0" borderId="7" xfId="1" applyFont="1" applyBorder="1" applyAlignment="1">
      <alignment horizontal="center"/>
    </xf>
    <xf numFmtId="173" fontId="1" fillId="0" borderId="7" xfId="4" applyNumberFormat="1" applyBorder="1"/>
    <xf numFmtId="0" fontId="15" fillId="0" borderId="7" xfId="1" applyFont="1" applyBorder="1"/>
    <xf numFmtId="0" fontId="16" fillId="0" borderId="7" xfId="5" applyFont="1" applyBorder="1" applyAlignment="1">
      <alignment vertical="center" wrapText="1"/>
    </xf>
    <xf numFmtId="172" fontId="16" fillId="0" borderId="7" xfId="5" applyNumberFormat="1" applyFont="1" applyBorder="1" applyAlignment="1">
      <alignment vertical="center" wrapText="1"/>
    </xf>
    <xf numFmtId="171" fontId="16" fillId="0" borderId="7" xfId="7" applyFont="1" applyFill="1" applyBorder="1" applyAlignment="1">
      <alignment vertical="center" wrapText="1"/>
    </xf>
    <xf numFmtId="43" fontId="16" fillId="0" borderId="7" xfId="6" applyFont="1" applyBorder="1" applyAlignment="1">
      <alignment horizontal="right" vertical="center"/>
    </xf>
    <xf numFmtId="10" fontId="1" fillId="0" borderId="7" xfId="4" applyNumberFormat="1" applyBorder="1"/>
    <xf numFmtId="171" fontId="15" fillId="0" borderId="7" xfId="7" applyFont="1" applyFill="1" applyBorder="1" applyAlignment="1">
      <alignment horizontal="right"/>
    </xf>
    <xf numFmtId="0" fontId="16" fillId="0" borderId="7" xfId="1" applyFont="1" applyBorder="1" applyProtection="1">
      <protection locked="0"/>
    </xf>
    <xf numFmtId="171" fontId="15" fillId="0" borderId="7" xfId="7" applyFont="1" applyFill="1" applyBorder="1" applyAlignment="1" applyProtection="1">
      <alignment horizontal="right"/>
      <protection locked="0"/>
    </xf>
    <xf numFmtId="0" fontId="15" fillId="0" borderId="7" xfId="4" applyFont="1" applyBorder="1"/>
    <xf numFmtId="171" fontId="15" fillId="0" borderId="7" xfId="7" applyFont="1" applyFill="1" applyBorder="1"/>
    <xf numFmtId="43" fontId="11" fillId="0" borderId="7" xfId="4" applyNumberFormat="1" applyFont="1" applyBorder="1"/>
    <xf numFmtId="0" fontId="16" fillId="0" borderId="7" xfId="1" applyFont="1" applyBorder="1"/>
    <xf numFmtId="171" fontId="16" fillId="0" borderId="7" xfId="7" applyFont="1" applyFill="1" applyBorder="1" applyAlignment="1">
      <alignment horizontal="right"/>
    </xf>
    <xf numFmtId="43" fontId="1" fillId="0" borderId="7" xfId="4" applyNumberFormat="1" applyBorder="1"/>
    <xf numFmtId="2" fontId="16" fillId="0" borderId="7" xfId="1" applyNumberFormat="1" applyFont="1" applyBorder="1" applyAlignment="1">
      <alignment horizontal="right"/>
    </xf>
    <xf numFmtId="4" fontId="17" fillId="0" borderId="7" xfId="1" applyNumberFormat="1" applyFont="1" applyBorder="1"/>
    <xf numFmtId="4" fontId="1" fillId="0" borderId="0" xfId="4" applyNumberFormat="1"/>
    <xf numFmtId="174" fontId="1" fillId="0" borderId="0" xfId="4" applyNumberFormat="1"/>
    <xf numFmtId="0" fontId="18" fillId="0" borderId="0" xfId="8" applyFont="1" applyAlignment="1">
      <alignment horizontal="left" vertical="center" wrapText="1"/>
    </xf>
    <xf numFmtId="0" fontId="19" fillId="0" borderId="0" xfId="8" applyFont="1" applyAlignment="1">
      <alignment vertical="center"/>
    </xf>
    <xf numFmtId="43" fontId="19" fillId="0" borderId="0" xfId="8" applyNumberFormat="1" applyFont="1" applyAlignment="1">
      <alignment vertical="center"/>
    </xf>
    <xf numFmtId="4" fontId="20" fillId="0" borderId="0" xfId="4" applyNumberFormat="1" applyFont="1"/>
    <xf numFmtId="2" fontId="19" fillId="0" borderId="0" xfId="8" applyNumberFormat="1" applyFont="1" applyAlignment="1">
      <alignment vertical="center"/>
    </xf>
    <xf numFmtId="0" fontId="15" fillId="0" borderId="0" xfId="9" applyFont="1" applyAlignment="1">
      <alignment vertical="center"/>
    </xf>
    <xf numFmtId="0" fontId="19" fillId="0" borderId="0" xfId="8" applyFont="1" applyAlignment="1">
      <alignment horizontal="left" vertical="center"/>
    </xf>
    <xf numFmtId="0" fontId="19" fillId="0" borderId="7" xfId="8" applyFont="1" applyBorder="1" applyAlignment="1">
      <alignment vertical="center"/>
    </xf>
    <xf numFmtId="0" fontId="16" fillId="0" borderId="7" xfId="9" applyFont="1" applyBorder="1" applyAlignment="1">
      <alignment horizontal="center" vertical="center"/>
    </xf>
    <xf numFmtId="0" fontId="18" fillId="0" borderId="0" xfId="8" applyFont="1" applyAlignment="1">
      <alignment vertical="center"/>
    </xf>
    <xf numFmtId="0" fontId="16" fillId="0" borderId="7" xfId="9" applyFont="1" applyBorder="1" applyAlignment="1">
      <alignment vertical="center"/>
    </xf>
    <xf numFmtId="175" fontId="18" fillId="0" borderId="7" xfId="8" applyNumberFormat="1" applyFont="1" applyBorder="1" applyAlignment="1">
      <alignment horizontal="center"/>
    </xf>
    <xf numFmtId="14" fontId="18" fillId="0" borderId="0" xfId="8" applyNumberFormat="1" applyFont="1" applyAlignment="1">
      <alignment horizontal="center"/>
    </xf>
    <xf numFmtId="0" fontId="11" fillId="0" borderId="0" xfId="4" applyFont="1"/>
    <xf numFmtId="0" fontId="19" fillId="0" borderId="7" xfId="8" applyFont="1" applyBorder="1" applyAlignment="1">
      <alignment horizontal="left" vertical="center"/>
    </xf>
    <xf numFmtId="176" fontId="11" fillId="0" borderId="7" xfId="4" applyNumberFormat="1" applyFont="1" applyBorder="1"/>
    <xf numFmtId="176" fontId="11" fillId="0" borderId="0" xfId="4" applyNumberFormat="1" applyFont="1"/>
    <xf numFmtId="0" fontId="3" fillId="0" borderId="4" xfId="1" applyFont="1" applyBorder="1" applyAlignment="1">
      <alignment horizontal="left" vertical="center" wrapText="1" readingOrder="1"/>
    </xf>
    <xf numFmtId="0" fontId="3" fillId="0" borderId="0" xfId="1" applyFont="1" applyAlignment="1">
      <alignment vertical="center" readingOrder="1"/>
    </xf>
    <xf numFmtId="0" fontId="3" fillId="0" borderId="0" xfId="1" applyFont="1" applyAlignment="1">
      <alignment vertical="center" wrapText="1" readingOrder="1"/>
    </xf>
    <xf numFmtId="0" fontId="15" fillId="0" borderId="0" xfId="8" applyFont="1" applyAlignment="1">
      <alignment horizontal="center" vertical="center"/>
    </xf>
    <xf numFmtId="0" fontId="19" fillId="0" borderId="0" xfId="8" quotePrefix="1" applyFont="1" applyAlignment="1">
      <alignment vertical="center"/>
    </xf>
    <xf numFmtId="0" fontId="15" fillId="0" borderId="0" xfId="4" applyFont="1" applyAlignment="1">
      <alignment vertical="center" wrapText="1"/>
    </xf>
    <xf numFmtId="0" fontId="13" fillId="0" borderId="0" xfId="10">
      <alignment wrapText="1"/>
    </xf>
    <xf numFmtId="0" fontId="3" fillId="2" borderId="4" xfId="10" applyFont="1" applyFill="1" applyBorder="1" applyAlignment="1">
      <alignment horizontal="right" vertical="top" wrapText="1" readingOrder="1"/>
    </xf>
    <xf numFmtId="0" fontId="4" fillId="2" borderId="4" xfId="10" applyFont="1" applyFill="1" applyBorder="1" applyAlignment="1">
      <alignment horizontal="left" vertical="center" wrapText="1" readingOrder="1"/>
    </xf>
    <xf numFmtId="164" fontId="3" fillId="2" borderId="4" xfId="10" applyNumberFormat="1" applyFont="1" applyFill="1" applyBorder="1" applyAlignment="1">
      <alignment horizontal="right" vertical="center" wrapText="1" readingOrder="1"/>
    </xf>
    <xf numFmtId="0" fontId="3" fillId="2" borderId="4" xfId="10" applyFont="1" applyFill="1" applyBorder="1" applyAlignment="1">
      <alignment horizontal="left" vertical="center" wrapText="1" readingOrder="1"/>
    </xf>
    <xf numFmtId="165" fontId="3" fillId="2" borderId="4" xfId="10" applyNumberFormat="1" applyFont="1" applyFill="1" applyBorder="1" applyAlignment="1">
      <alignment horizontal="right" vertical="center" wrapText="1" readingOrder="1"/>
    </xf>
    <xf numFmtId="166" fontId="3" fillId="2" borderId="4" xfId="10" applyNumberFormat="1" applyFont="1" applyFill="1" applyBorder="1" applyAlignment="1">
      <alignment horizontal="right" vertical="center" wrapText="1" readingOrder="1"/>
    </xf>
    <xf numFmtId="167" fontId="3" fillId="2" borderId="4" xfId="10" applyNumberFormat="1" applyFont="1" applyFill="1" applyBorder="1" applyAlignment="1">
      <alignment horizontal="right" vertical="center" wrapText="1" readingOrder="1"/>
    </xf>
    <xf numFmtId="166" fontId="4" fillId="2" borderId="4" xfId="10" applyNumberFormat="1" applyFont="1" applyFill="1" applyBorder="1" applyAlignment="1">
      <alignment horizontal="right" vertical="center" wrapText="1" readingOrder="1"/>
    </xf>
    <xf numFmtId="167" fontId="4" fillId="2" borderId="4" xfId="10" applyNumberFormat="1" applyFont="1" applyFill="1" applyBorder="1" applyAlignment="1">
      <alignment horizontal="right" vertical="center" wrapText="1" readingOrder="1"/>
    </xf>
    <xf numFmtId="0" fontId="5" fillId="2" borderId="4" xfId="10" applyFont="1" applyFill="1" applyBorder="1" applyAlignment="1">
      <alignment horizontal="left" vertical="center" wrapText="1" readingOrder="1"/>
    </xf>
    <xf numFmtId="0" fontId="5" fillId="2" borderId="4" xfId="10" applyFont="1" applyFill="1" applyBorder="1" applyAlignment="1">
      <alignment horizontal="right" vertical="center" wrapText="1" readingOrder="1"/>
    </xf>
    <xf numFmtId="168" fontId="4" fillId="2" borderId="4" xfId="10" applyNumberFormat="1" applyFont="1" applyFill="1" applyBorder="1" applyAlignment="1">
      <alignment horizontal="right" vertical="center" wrapText="1" readingOrder="1"/>
    </xf>
    <xf numFmtId="169" fontId="4" fillId="2" borderId="4" xfId="10" applyNumberFormat="1" applyFont="1" applyFill="1" applyBorder="1" applyAlignment="1">
      <alignment horizontal="right" vertical="center" wrapText="1" readingOrder="1"/>
    </xf>
    <xf numFmtId="0" fontId="3" fillId="2" borderId="4" xfId="10" applyFont="1" applyFill="1" applyBorder="1" applyAlignment="1">
      <alignment horizontal="right" vertical="center" wrapText="1" readingOrder="1"/>
    </xf>
    <xf numFmtId="0" fontId="5" fillId="2" borderId="5" xfId="10" applyFont="1" applyFill="1" applyBorder="1" applyAlignment="1">
      <alignment horizontal="left" vertical="center" wrapText="1" readingOrder="1"/>
    </xf>
    <xf numFmtId="0" fontId="5" fillId="2" borderId="5" xfId="10" applyFont="1" applyFill="1" applyBorder="1" applyAlignment="1">
      <alignment horizontal="right" vertical="center" wrapText="1" readingOrder="1"/>
    </xf>
    <xf numFmtId="0" fontId="5" fillId="2" borderId="0" xfId="10" applyFont="1" applyFill="1" applyAlignment="1">
      <alignment horizontal="left" vertical="center" wrapText="1" readingOrder="1"/>
    </xf>
    <xf numFmtId="0" fontId="5" fillId="2" borderId="0" xfId="10" applyFont="1" applyFill="1" applyAlignment="1">
      <alignment horizontal="right" vertical="center" wrapText="1" readingOrder="1"/>
    </xf>
    <xf numFmtId="0" fontId="5" fillId="2" borderId="6" xfId="10" applyFont="1" applyFill="1" applyBorder="1" applyAlignment="1">
      <alignment horizontal="right" vertical="center" wrapText="1" readingOrder="1"/>
    </xf>
    <xf numFmtId="0" fontId="3" fillId="2" borderId="0" xfId="10" applyFont="1" applyFill="1" applyAlignment="1">
      <alignment horizontal="right" vertical="top" wrapText="1" readingOrder="1"/>
    </xf>
    <xf numFmtId="0" fontId="4" fillId="2" borderId="4" xfId="10" applyFont="1" applyFill="1" applyBorder="1" applyAlignment="1">
      <alignment horizontal="right" vertical="top" wrapText="1" readingOrder="1"/>
    </xf>
    <xf numFmtId="0" fontId="4" fillId="2" borderId="4" xfId="10" applyFont="1" applyFill="1" applyBorder="1" applyAlignment="1">
      <alignment horizontal="left" vertical="top" wrapText="1" readingOrder="1"/>
    </xf>
    <xf numFmtId="177" fontId="3" fillId="2" borderId="4" xfId="10" applyNumberFormat="1" applyFont="1" applyFill="1" applyBorder="1" applyAlignment="1">
      <alignment horizontal="right" vertical="center" wrapText="1" readingOrder="1"/>
    </xf>
    <xf numFmtId="0" fontId="3" fillId="2" borderId="0" xfId="10" applyFont="1" applyFill="1" applyAlignment="1">
      <alignment horizontal="left" vertical="center" wrapText="1" readingOrder="1"/>
    </xf>
    <xf numFmtId="0" fontId="3" fillId="2" borderId="0" xfId="10" applyFont="1" applyFill="1" applyAlignment="1">
      <alignment horizontal="right" vertical="center" wrapText="1" readingOrder="1"/>
    </xf>
    <xf numFmtId="0" fontId="13" fillId="2" borderId="0" xfId="10" applyFill="1" applyAlignment="1">
      <alignment horizontal="center" vertical="top" readingOrder="1"/>
    </xf>
    <xf numFmtId="0" fontId="3" fillId="2" borderId="6" xfId="10" applyFont="1" applyFill="1" applyBorder="1" applyAlignment="1">
      <alignment horizontal="right" vertical="top" wrapText="1" readingOrder="1"/>
    </xf>
    <xf numFmtId="178" fontId="4" fillId="2" borderId="4" xfId="10" applyNumberFormat="1" applyFont="1" applyFill="1" applyBorder="1" applyAlignment="1">
      <alignment horizontal="left" vertical="center" wrapText="1" readingOrder="1"/>
    </xf>
    <xf numFmtId="0" fontId="21" fillId="2" borderId="4" xfId="10" applyFont="1" applyFill="1" applyBorder="1" applyAlignment="1">
      <alignment horizontal="left" vertical="center" wrapText="1" readingOrder="1"/>
    </xf>
    <xf numFmtId="0" fontId="21" fillId="2" borderId="4" xfId="10" applyFont="1" applyFill="1" applyBorder="1" applyAlignment="1">
      <alignment horizontal="right" vertical="center" wrapText="1" readingOrder="1"/>
    </xf>
    <xf numFmtId="179" fontId="3" fillId="2" borderId="4" xfId="10" applyNumberFormat="1" applyFont="1" applyFill="1" applyBorder="1" applyAlignment="1">
      <alignment horizontal="right" vertical="center" wrapText="1" readingOrder="1"/>
    </xf>
    <xf numFmtId="0" fontId="3" fillId="2" borderId="5" xfId="10" applyFont="1" applyFill="1" applyBorder="1" applyAlignment="1">
      <alignment horizontal="left" vertical="center" wrapText="1" readingOrder="1"/>
    </xf>
    <xf numFmtId="0" fontId="4" fillId="2" borderId="5" xfId="10" applyFont="1" applyFill="1" applyBorder="1" applyAlignment="1">
      <alignment horizontal="left" vertical="center" wrapText="1" readingOrder="1"/>
    </xf>
    <xf numFmtId="0" fontId="13" fillId="0" borderId="0" xfId="0" applyFont="1">
      <alignment wrapText="1"/>
    </xf>
    <xf numFmtId="0" fontId="22" fillId="0" borderId="0" xfId="0" applyFont="1">
      <alignment wrapText="1"/>
    </xf>
    <xf numFmtId="164" fontId="3" fillId="0" borderId="4" xfId="0" applyNumberFormat="1" applyFont="1" applyBorder="1" applyAlignment="1">
      <alignment horizontal="righ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165" fontId="3" fillId="0" borderId="4" xfId="0" applyNumberFormat="1" applyFont="1" applyBorder="1" applyAlignment="1">
      <alignment horizontal="right" vertical="center" wrapText="1" readingOrder="1"/>
    </xf>
    <xf numFmtId="166" fontId="3" fillId="0" borderId="4" xfId="0" applyNumberFormat="1" applyFont="1" applyBorder="1" applyAlignment="1">
      <alignment horizontal="right" vertical="center" wrapText="1" readingOrder="1"/>
    </xf>
    <xf numFmtId="167" fontId="3" fillId="0" borderId="4" xfId="10" applyNumberFormat="1" applyFont="1" applyBorder="1" applyAlignment="1">
      <alignment horizontal="right" vertical="center" wrapText="1" readingOrder="1"/>
    </xf>
    <xf numFmtId="0" fontId="10" fillId="0" borderId="0" xfId="0" applyFont="1" applyAlignment="1">
      <alignment vertical="center" wrapText="1"/>
    </xf>
    <xf numFmtId="0" fontId="3" fillId="2" borderId="0" xfId="0" applyFont="1" applyFill="1" applyAlignment="1">
      <alignment horizontal="right" vertical="top" wrapText="1" readingOrder="1"/>
    </xf>
    <xf numFmtId="178" fontId="4" fillId="2" borderId="4" xfId="10" applyNumberFormat="1" applyFont="1" applyFill="1" applyBorder="1" applyAlignment="1">
      <alignment horizontal="left" vertical="top" wrapText="1" readingOrder="1"/>
    </xf>
    <xf numFmtId="0" fontId="3" fillId="2" borderId="0" xfId="0" applyFont="1" applyFill="1" applyAlignment="1">
      <alignment horizontal="left" vertical="center" wrapText="1" readingOrder="1"/>
    </xf>
    <xf numFmtId="0" fontId="3" fillId="2" borderId="0" xfId="0" applyFont="1" applyFill="1" applyAlignment="1">
      <alignment horizontal="righ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4" fillId="2" borderId="4" xfId="0" applyFont="1" applyFill="1" applyBorder="1" applyAlignment="1">
      <alignment horizontal="left" vertical="top" readingOrder="1"/>
    </xf>
    <xf numFmtId="0" fontId="5" fillId="2" borderId="0" xfId="0" applyFont="1" applyFill="1" applyAlignment="1">
      <alignment horizontal="right" vertical="center" wrapText="1" readingOrder="1"/>
    </xf>
    <xf numFmtId="0" fontId="8" fillId="0" borderId="19" xfId="4" applyFont="1" applyBorder="1" applyAlignment="1">
      <alignment horizontal="center" vertical="center" wrapText="1" readingOrder="1"/>
    </xf>
    <xf numFmtId="2" fontId="23" fillId="0" borderId="7" xfId="4" applyNumberFormat="1" applyFont="1" applyBorder="1" applyAlignment="1">
      <alignment vertical="center"/>
    </xf>
    <xf numFmtId="0" fontId="8" fillId="0" borderId="29" xfId="0" applyFont="1" applyBorder="1" applyAlignment="1">
      <alignment horizontal="center" vertical="center" wrapText="1" readingOrder="1"/>
    </xf>
    <xf numFmtId="0" fontId="3" fillId="0" borderId="4" xfId="10" applyFont="1" applyFill="1" applyBorder="1" applyAlignment="1">
      <alignment horizontal="left" vertical="center" wrapText="1" readingOrder="1"/>
    </xf>
    <xf numFmtId="165" fontId="3" fillId="0" borderId="4" xfId="10" applyNumberFormat="1" applyFont="1" applyFill="1" applyBorder="1" applyAlignment="1">
      <alignment horizontal="right" vertical="center" wrapText="1" readingOrder="1"/>
    </xf>
    <xf numFmtId="166" fontId="3" fillId="0" borderId="4" xfId="10" applyNumberFormat="1" applyFont="1" applyFill="1" applyBorder="1" applyAlignment="1">
      <alignment horizontal="right" vertical="center" wrapText="1" readingOrder="1"/>
    </xf>
    <xf numFmtId="167" fontId="3" fillId="0" borderId="4" xfId="10" applyNumberFormat="1" applyFont="1" applyFill="1" applyBorder="1" applyAlignment="1">
      <alignment horizontal="right" vertical="center" wrapText="1" readingOrder="1"/>
    </xf>
    <xf numFmtId="43" fontId="11" fillId="0" borderId="7" xfId="4" applyNumberFormat="1" applyFont="1" applyFill="1" applyBorder="1"/>
    <xf numFmtId="166" fontId="3" fillId="0" borderId="4" xfId="0" applyNumberFormat="1" applyFont="1" applyFill="1" applyBorder="1" applyAlignment="1">
      <alignment horizontal="right" vertical="center" wrapText="1" readingOrder="1"/>
    </xf>
    <xf numFmtId="0" fontId="13" fillId="0" borderId="0" xfId="10" applyFill="1">
      <alignment wrapText="1"/>
    </xf>
    <xf numFmtId="0" fontId="3" fillId="0" borderId="4" xfId="0" applyFont="1" applyFill="1" applyBorder="1" applyAlignment="1">
      <alignment horizontal="left" vertical="center" wrapText="1" readingOrder="1"/>
    </xf>
    <xf numFmtId="0" fontId="0" fillId="0" borderId="0" xfId="0" applyAlignment="1"/>
    <xf numFmtId="0" fontId="2" fillId="2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2" fillId="2" borderId="4" xfId="10" applyFont="1" applyFill="1" applyBorder="1" applyAlignment="1">
      <alignment horizontal="center" vertical="center" wrapText="1" readingOrder="1"/>
    </xf>
    <xf numFmtId="0" fontId="13" fillId="0" borderId="0" xfId="10" applyAlignment="1">
      <alignment horizontal="center" vertical="center" wrapText="1"/>
    </xf>
    <xf numFmtId="0" fontId="11" fillId="0" borderId="7" xfId="1" applyFont="1" applyBorder="1" applyAlignment="1">
      <alignment wrapText="1"/>
    </xf>
    <xf numFmtId="0" fontId="11" fillId="0" borderId="21" xfId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2" borderId="3" xfId="0" applyFont="1" applyFill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4" fillId="2" borderId="3" xfId="0" applyFont="1" applyFill="1" applyBorder="1" applyAlignment="1">
      <alignment horizontal="left" vertical="center" wrapText="1" readingOrder="1"/>
    </xf>
    <xf numFmtId="0" fontId="3" fillId="2" borderId="0" xfId="0" applyFont="1" applyFill="1" applyBorder="1" applyAlignment="1">
      <alignment horizontal="left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14" xfId="0" applyFont="1" applyFill="1" applyBorder="1" applyAlignment="1">
      <alignment horizontal="center" vertical="center" wrapText="1" readingOrder="1"/>
    </xf>
    <xf numFmtId="0" fontId="2" fillId="2" borderId="15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left" vertical="top" wrapText="1" readingOrder="1"/>
    </xf>
    <xf numFmtId="0" fontId="3" fillId="2" borderId="3" xfId="0" applyFont="1" applyFill="1" applyBorder="1" applyAlignment="1">
      <alignment horizontal="left" vertical="top" wrapText="1" readingOrder="1"/>
    </xf>
    <xf numFmtId="0" fontId="3" fillId="2" borderId="0" xfId="10" applyFont="1" applyFill="1" applyAlignment="1">
      <alignment horizontal="left" vertical="center" wrapText="1" readingOrder="1"/>
    </xf>
    <xf numFmtId="0" fontId="3" fillId="2" borderId="0" xfId="0" applyFont="1" applyFill="1" applyAlignment="1">
      <alignment horizontal="left" vertical="center" wrapText="1" readingOrder="1"/>
    </xf>
    <xf numFmtId="0" fontId="3" fillId="2" borderId="1" xfId="10" applyFont="1" applyFill="1" applyBorder="1" applyAlignment="1">
      <alignment horizontal="left" vertical="center" wrapText="1" readingOrder="1"/>
    </xf>
    <xf numFmtId="0" fontId="3" fillId="2" borderId="3" xfId="10" applyFont="1" applyFill="1" applyBorder="1" applyAlignment="1">
      <alignment horizontal="left" vertical="center" wrapText="1" readingOrder="1"/>
    </xf>
    <xf numFmtId="0" fontId="4" fillId="2" borderId="1" xfId="10" applyFont="1" applyFill="1" applyBorder="1" applyAlignment="1">
      <alignment horizontal="left" vertical="center" wrapText="1" readingOrder="1"/>
    </xf>
    <xf numFmtId="0" fontId="4" fillId="2" borderId="2" xfId="10" applyFont="1" applyFill="1" applyBorder="1" applyAlignment="1">
      <alignment horizontal="left" vertical="center" wrapText="1" readingOrder="1"/>
    </xf>
    <xf numFmtId="0" fontId="4" fillId="2" borderId="3" xfId="10" applyFont="1" applyFill="1" applyBorder="1" applyAlignment="1">
      <alignment horizontal="left" vertical="center" wrapText="1" readingOrder="1"/>
    </xf>
    <xf numFmtId="0" fontId="11" fillId="0" borderId="26" xfId="1" applyFont="1" applyBorder="1" applyAlignment="1">
      <alignment horizontal="left" vertical="center" wrapText="1"/>
    </xf>
    <xf numFmtId="0" fontId="11" fillId="0" borderId="27" xfId="1" applyFont="1" applyBorder="1" applyAlignment="1">
      <alignment horizontal="left" vertical="center" wrapText="1"/>
    </xf>
    <xf numFmtId="0" fontId="11" fillId="0" borderId="28" xfId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 readingOrder="1"/>
    </xf>
    <xf numFmtId="0" fontId="3" fillId="0" borderId="3" xfId="0" applyFont="1" applyBorder="1" applyAlignment="1">
      <alignment horizontal="left" vertical="top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19" fillId="0" borderId="0" xfId="8" applyFont="1" applyAlignment="1">
      <alignment horizontal="left" vertical="center"/>
    </xf>
    <xf numFmtId="0" fontId="11" fillId="0" borderId="0" xfId="4" applyFont="1" applyAlignment="1">
      <alignment horizontal="left"/>
    </xf>
    <xf numFmtId="0" fontId="6" fillId="0" borderId="7" xfId="4" applyFont="1" applyBorder="1" applyAlignment="1">
      <alignment horizontal="center"/>
    </xf>
    <xf numFmtId="0" fontId="14" fillId="0" borderId="7" xfId="5" applyFont="1" applyBorder="1" applyAlignment="1">
      <alignment horizontal="center" vertical="center"/>
    </xf>
    <xf numFmtId="0" fontId="8" fillId="3" borderId="7" xfId="5" applyFont="1" applyFill="1" applyBorder="1" applyAlignment="1">
      <alignment horizontal="center" vertical="center" wrapText="1"/>
    </xf>
    <xf numFmtId="0" fontId="19" fillId="0" borderId="0" xfId="8" applyFont="1" applyAlignment="1">
      <alignment horizontal="left"/>
    </xf>
    <xf numFmtId="0" fontId="16" fillId="2" borderId="7" xfId="0" applyFont="1" applyFill="1" applyBorder="1" applyAlignment="1">
      <alignment horizontal="left" vertical="top" readingOrder="1"/>
    </xf>
    <xf numFmtId="43" fontId="11" fillId="0" borderId="7" xfId="11" applyFont="1" applyBorder="1" applyAlignment="1">
      <alignment horizontal="center"/>
    </xf>
    <xf numFmtId="43" fontId="11" fillId="0" borderId="12" xfId="11" applyFont="1" applyBorder="1" applyAlignment="1">
      <alignment horizontal="center"/>
    </xf>
    <xf numFmtId="0" fontId="25" fillId="0" borderId="8" xfId="1" applyFont="1" applyBorder="1" applyAlignment="1">
      <alignment horizontal="center"/>
    </xf>
    <xf numFmtId="0" fontId="25" fillId="0" borderId="9" xfId="1" applyFont="1" applyBorder="1" applyAlignment="1">
      <alignment horizontal="center"/>
    </xf>
    <xf numFmtId="0" fontId="25" fillId="0" borderId="9" xfId="1" applyFont="1" applyBorder="1" applyAlignment="1">
      <alignment horizontal="center" wrapText="1"/>
    </xf>
    <xf numFmtId="0" fontId="25" fillId="0" borderId="9" xfId="1" applyFont="1" applyBorder="1" applyAlignment="1">
      <alignment horizontal="center"/>
    </xf>
    <xf numFmtId="0" fontId="25" fillId="0" borderId="10" xfId="1" applyFont="1" applyBorder="1" applyAlignment="1">
      <alignment horizontal="center"/>
    </xf>
    <xf numFmtId="0" fontId="11" fillId="0" borderId="7" xfId="1" applyFont="1" applyBorder="1"/>
    <xf numFmtId="0" fontId="11" fillId="0" borderId="13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25" fillId="0" borderId="17" xfId="1" applyFont="1" applyBorder="1" applyAlignment="1">
      <alignment horizontal="center"/>
    </xf>
    <xf numFmtId="0" fontId="25" fillId="0" borderId="14" xfId="1" applyFont="1" applyBorder="1" applyAlignment="1">
      <alignment horizontal="center"/>
    </xf>
    <xf numFmtId="0" fontId="25" fillId="0" borderId="16" xfId="1" applyFont="1" applyBorder="1" applyAlignment="1">
      <alignment horizontal="center"/>
    </xf>
    <xf numFmtId="0" fontId="25" fillId="0" borderId="18" xfId="1" applyFont="1" applyBorder="1" applyAlignment="1">
      <alignment horizontal="center" vertical="center"/>
    </xf>
    <xf numFmtId="0" fontId="25" fillId="0" borderId="19" xfId="1" applyFont="1" applyBorder="1" applyAlignment="1">
      <alignment horizontal="center" vertical="center"/>
    </xf>
    <xf numFmtId="0" fontId="25" fillId="0" borderId="13" xfId="1" applyFont="1" applyBorder="1" applyAlignment="1">
      <alignment horizontal="center" vertical="center"/>
    </xf>
    <xf numFmtId="0" fontId="25" fillId="0" borderId="14" xfId="1" applyFont="1" applyBorder="1" applyAlignment="1">
      <alignment horizontal="center" vertical="center"/>
    </xf>
    <xf numFmtId="0" fontId="11" fillId="0" borderId="12" xfId="1" applyFont="1" applyBorder="1"/>
    <xf numFmtId="0" fontId="25" fillId="0" borderId="11" xfId="1" applyFont="1" applyBorder="1" applyAlignment="1">
      <alignment horizontal="center" vertical="center"/>
    </xf>
    <xf numFmtId="0" fontId="25" fillId="0" borderId="7" xfId="1" applyFont="1" applyBorder="1" applyAlignment="1">
      <alignment horizontal="center" vertical="center"/>
    </xf>
    <xf numFmtId="0" fontId="25" fillId="0" borderId="7" xfId="1" applyFont="1" applyBorder="1" applyAlignment="1">
      <alignment horizontal="center" vertical="center" wrapText="1"/>
    </xf>
    <xf numFmtId="0" fontId="25" fillId="0" borderId="12" xfId="1" applyFont="1" applyBorder="1" applyAlignment="1">
      <alignment horizontal="center" vertical="center" wrapText="1"/>
    </xf>
    <xf numFmtId="0" fontId="11" fillId="0" borderId="23" xfId="1" applyFont="1" applyBorder="1"/>
    <xf numFmtId="0" fontId="11" fillId="0" borderId="24" xfId="1" applyFont="1" applyBorder="1"/>
    <xf numFmtId="4" fontId="11" fillId="0" borderId="24" xfId="1" applyNumberFormat="1" applyFont="1" applyBorder="1"/>
    <xf numFmtId="2" fontId="11" fillId="0" borderId="24" xfId="1" applyNumberFormat="1" applyFont="1" applyBorder="1"/>
    <xf numFmtId="10" fontId="11" fillId="0" borderId="25" xfId="3" applyNumberFormat="1" applyFont="1" applyBorder="1"/>
    <xf numFmtId="0" fontId="15" fillId="0" borderId="0" xfId="0" applyFont="1" applyAlignment="1"/>
    <xf numFmtId="0" fontId="16" fillId="0" borderId="0" xfId="0" applyFont="1" applyAlignment="1"/>
    <xf numFmtId="0" fontId="16" fillId="0" borderId="0" xfId="0" applyFont="1" applyAlignment="1">
      <alignment horizontal="center"/>
    </xf>
    <xf numFmtId="0" fontId="16" fillId="0" borderId="7" xfId="0" applyFont="1" applyBorder="1" applyAlignment="1">
      <alignment horizontal="center" vertical="top"/>
    </xf>
    <xf numFmtId="0" fontId="16" fillId="0" borderId="7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left" vertical="center" readingOrder="1"/>
    </xf>
    <xf numFmtId="0" fontId="15" fillId="0" borderId="7" xfId="0" applyFont="1" applyBorder="1" applyAlignment="1">
      <alignment horizontal="center" vertical="top"/>
    </xf>
    <xf numFmtId="178" fontId="3" fillId="2" borderId="4" xfId="0" applyNumberFormat="1" applyFont="1" applyFill="1" applyBorder="1" applyAlignment="1">
      <alignment horizontal="right" vertical="center" readingOrder="1"/>
    </xf>
    <xf numFmtId="2" fontId="15" fillId="0" borderId="7" xfId="0" applyNumberFormat="1" applyFont="1" applyBorder="1" applyAlignment="1">
      <alignment horizontal="right" vertical="top" wrapText="1"/>
    </xf>
    <xf numFmtId="0" fontId="15" fillId="0" borderId="30" xfId="0" applyFont="1" applyBorder="1" applyAlignment="1">
      <alignment horizontal="left" vertical="top"/>
    </xf>
    <xf numFmtId="0" fontId="3" fillId="2" borderId="31" xfId="0" applyFont="1" applyFill="1" applyBorder="1" applyAlignment="1">
      <alignment horizontal="left" vertical="center" readingOrder="1"/>
    </xf>
    <xf numFmtId="0" fontId="3" fillId="2" borderId="7" xfId="0" applyFont="1" applyFill="1" applyBorder="1" applyAlignment="1">
      <alignment horizontal="left" vertical="center" readingOrder="1"/>
    </xf>
    <xf numFmtId="0" fontId="3" fillId="2" borderId="13" xfId="0" applyFont="1" applyFill="1" applyBorder="1" applyAlignment="1">
      <alignment horizontal="left" vertical="center" readingOrder="1"/>
    </xf>
    <xf numFmtId="0" fontId="26" fillId="0" borderId="13" xfId="5" applyFont="1" applyBorder="1" applyAlignment="1">
      <alignment vertical="center" wrapText="1"/>
    </xf>
    <xf numFmtId="2" fontId="15" fillId="0" borderId="32" xfId="0" applyNumberFormat="1" applyFont="1" applyBorder="1" applyAlignment="1">
      <alignment horizontal="right" vertical="top" wrapText="1"/>
    </xf>
    <xf numFmtId="4" fontId="15" fillId="0" borderId="7" xfId="0" applyNumberFormat="1" applyFont="1" applyBorder="1" applyAlignment="1"/>
    <xf numFmtId="0" fontId="15" fillId="0" borderId="32" xfId="0" applyFont="1" applyBorder="1" applyAlignment="1"/>
    <xf numFmtId="2" fontId="15" fillId="0" borderId="0" xfId="0" applyNumberFormat="1" applyFont="1" applyAlignment="1">
      <alignment horizontal="right" vertical="top" wrapText="1"/>
    </xf>
    <xf numFmtId="0" fontId="15" fillId="0" borderId="33" xfId="0" applyFont="1" applyBorder="1" applyAlignment="1">
      <alignment horizontal="center"/>
    </xf>
    <xf numFmtId="0" fontId="15" fillId="0" borderId="33" xfId="0" applyFont="1" applyBorder="1" applyAlignment="1" applyProtection="1">
      <alignment horizontal="center"/>
      <protection locked="0"/>
    </xf>
    <xf numFmtId="171" fontId="15" fillId="0" borderId="33" xfId="2" applyFont="1" applyFill="1" applyBorder="1" applyAlignment="1" applyProtection="1">
      <alignment horizontal="center"/>
      <protection locked="0"/>
    </xf>
    <xf numFmtId="0" fontId="16" fillId="0" borderId="7" xfId="0" applyFont="1" applyBorder="1" applyAlignment="1">
      <alignment horizontal="center"/>
    </xf>
    <xf numFmtId="2" fontId="15" fillId="0" borderId="7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7" xfId="0" applyFont="1" applyBorder="1" applyAlignment="1"/>
    <xf numFmtId="37" fontId="15" fillId="0" borderId="7" xfId="2" applyNumberFormat="1" applyFont="1" applyFill="1" applyBorder="1" applyAlignment="1">
      <alignment horizontal="center"/>
    </xf>
    <xf numFmtId="171" fontId="15" fillId="0" borderId="7" xfId="2" applyFont="1" applyFill="1" applyBorder="1"/>
    <xf numFmtId="171" fontId="15" fillId="0" borderId="0" xfId="2" applyFont="1" applyFill="1" applyBorder="1"/>
    <xf numFmtId="171" fontId="15" fillId="0" borderId="0" xfId="0" applyNumberFormat="1" applyFont="1" applyAlignment="1"/>
    <xf numFmtId="4" fontId="15" fillId="0" borderId="0" xfId="0" applyNumberFormat="1" applyFont="1" applyAlignment="1"/>
    <xf numFmtId="0" fontId="15" fillId="0" borderId="7" xfId="0" applyFont="1" applyBorder="1" applyAlignment="1">
      <alignment vertical="top" wrapText="1"/>
    </xf>
    <xf numFmtId="0" fontId="15" fillId="0" borderId="7" xfId="2" applyNumberFormat="1" applyFont="1" applyFill="1" applyBorder="1" applyAlignment="1">
      <alignment horizontal="center"/>
    </xf>
    <xf numFmtId="4" fontId="15" fillId="0" borderId="7" xfId="2" applyNumberFormat="1" applyFont="1" applyFill="1" applyBorder="1"/>
    <xf numFmtId="4" fontId="15" fillId="0" borderId="0" xfId="2" applyNumberFormat="1" applyFont="1" applyFill="1" applyBorder="1"/>
    <xf numFmtId="180" fontId="15" fillId="0" borderId="0" xfId="0" applyNumberFormat="1" applyFont="1" applyAlignment="1"/>
    <xf numFmtId="2" fontId="15" fillId="0" borderId="0" xfId="0" applyNumberFormat="1" applyFont="1" applyAlignment="1">
      <alignment vertical="top" wrapText="1"/>
    </xf>
    <xf numFmtId="171" fontId="15" fillId="0" borderId="0" xfId="2" applyFont="1" applyFill="1" applyBorder="1" applyAlignment="1"/>
    <xf numFmtId="0" fontId="15" fillId="0" borderId="0" xfId="0" applyFont="1" applyAlignment="1" applyProtection="1">
      <alignment horizontal="left"/>
      <protection locked="0"/>
    </xf>
    <xf numFmtId="0" fontId="15" fillId="0" borderId="0" xfId="0" applyFont="1" applyAlignment="1">
      <alignment horizontal="center" vertical="top"/>
    </xf>
    <xf numFmtId="171" fontId="15" fillId="0" borderId="0" xfId="2" applyFont="1" applyFill="1" applyBorder="1" applyAlignment="1" applyProtection="1">
      <alignment horizontal="left"/>
      <protection locked="0"/>
    </xf>
    <xf numFmtId="4" fontId="15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left" vertical="top"/>
    </xf>
    <xf numFmtId="10" fontId="15" fillId="0" borderId="0" xfId="0" applyNumberFormat="1" applyFont="1" applyAlignment="1">
      <alignment horizontal="center"/>
    </xf>
    <xf numFmtId="171" fontId="15" fillId="0" borderId="7" xfId="2" applyFont="1" applyFill="1" applyBorder="1" applyAlignment="1">
      <alignment horizontal="center" vertical="top" wrapText="1"/>
    </xf>
    <xf numFmtId="2" fontId="15" fillId="0" borderId="7" xfId="0" applyNumberFormat="1" applyFont="1" applyBorder="1" applyAlignment="1">
      <alignment horizontal="right"/>
    </xf>
    <xf numFmtId="1" fontId="15" fillId="0" borderId="7" xfId="0" applyNumberFormat="1" applyFont="1" applyBorder="1" applyAlignment="1">
      <alignment horizontal="center"/>
    </xf>
    <xf numFmtId="171" fontId="16" fillId="0" borderId="0" xfId="2" applyFont="1" applyFill="1" applyBorder="1"/>
    <xf numFmtId="181" fontId="15" fillId="0" borderId="0" xfId="0" applyNumberFormat="1" applyFont="1" applyAlignment="1"/>
    <xf numFmtId="171" fontId="16" fillId="0" borderId="0" xfId="0" applyNumberFormat="1" applyFont="1" applyAlignment="1"/>
    <xf numFmtId="43" fontId="15" fillId="0" borderId="0" xfId="0" applyNumberFormat="1" applyFont="1" applyAlignment="1"/>
    <xf numFmtId="0" fontId="15" fillId="0" borderId="7" xfId="0" applyFont="1" applyBorder="1" applyAlignment="1">
      <alignment horizontal="left"/>
    </xf>
    <xf numFmtId="0" fontId="16" fillId="0" borderId="0" xfId="0" applyFont="1" applyAlignment="1">
      <alignment vertical="top" wrapText="1"/>
    </xf>
    <xf numFmtId="0" fontId="15" fillId="0" borderId="0" xfId="0" applyFont="1" applyAlignment="1">
      <alignment horizontal="center"/>
    </xf>
    <xf numFmtId="2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 vertical="top" wrapText="1"/>
    </xf>
    <xf numFmtId="0" fontId="15" fillId="0" borderId="7" xfId="0" applyFont="1" applyBorder="1" applyAlignment="1">
      <alignment horizontal="center" vertical="top" wrapText="1"/>
    </xf>
    <xf numFmtId="182" fontId="15" fillId="0" borderId="0" xfId="0" applyNumberFormat="1" applyFont="1" applyAlignment="1">
      <alignment horizontal="right" vertical="top" wrapText="1"/>
    </xf>
    <xf numFmtId="2" fontId="15" fillId="0" borderId="0" xfId="0" applyNumberFormat="1" applyFont="1" applyAlignment="1">
      <alignment horizontal="center"/>
    </xf>
    <xf numFmtId="2" fontId="15" fillId="0" borderId="7" xfId="0" applyNumberFormat="1" applyFont="1" applyBorder="1" applyAlignment="1">
      <alignment horizontal="center" vertical="top" wrapText="1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 vertical="top"/>
    </xf>
    <xf numFmtId="2" fontId="15" fillId="0" borderId="0" xfId="0" applyNumberFormat="1" applyFont="1" applyAlignment="1">
      <alignment horizontal="right" vertical="top"/>
    </xf>
    <xf numFmtId="183" fontId="15" fillId="0" borderId="0" xfId="2" applyNumberFormat="1" applyFont="1" applyFill="1" applyBorder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184" fontId="15" fillId="0" borderId="0" xfId="2" applyNumberFormat="1" applyFont="1" applyFill="1" applyBorder="1" applyAlignment="1">
      <alignment horizontal="right" vertical="top" wrapText="1"/>
    </xf>
    <xf numFmtId="2" fontId="15" fillId="0" borderId="0" xfId="0" applyNumberFormat="1" applyFont="1" applyAlignment="1"/>
    <xf numFmtId="2" fontId="15" fillId="0" borderId="7" xfId="0" applyNumberFormat="1" applyFont="1" applyBorder="1" applyAlignment="1">
      <alignment vertical="top" wrapText="1"/>
    </xf>
    <xf numFmtId="171" fontId="15" fillId="0" borderId="7" xfId="2" applyFont="1" applyFill="1" applyBorder="1" applyAlignment="1"/>
    <xf numFmtId="4" fontId="15" fillId="0" borderId="7" xfId="0" applyNumberFormat="1" applyFont="1" applyBorder="1" applyAlignment="1">
      <alignment horizontal="center"/>
    </xf>
    <xf numFmtId="4" fontId="15" fillId="0" borderId="7" xfId="2" applyNumberFormat="1" applyFont="1" applyFill="1" applyBorder="1" applyAlignment="1">
      <alignment horizontal="center"/>
    </xf>
    <xf numFmtId="4" fontId="16" fillId="0" borderId="7" xfId="0" applyNumberFormat="1" applyFont="1" applyBorder="1" applyAlignment="1">
      <alignment horizontal="center" vertical="top" wrapText="1"/>
    </xf>
    <xf numFmtId="4" fontId="15" fillId="0" borderId="7" xfId="0" applyNumberFormat="1" applyFont="1" applyBorder="1" applyAlignment="1">
      <alignment horizontal="center" vertical="top" wrapText="1"/>
    </xf>
  </cellXfs>
  <cellStyles count="12">
    <cellStyle name="Comma" xfId="11" builtinId="3"/>
    <cellStyle name="Comma 10" xfId="7" xr:uid="{31058A13-73BD-4417-93C4-1C31F84D2B44}"/>
    <cellStyle name="Comma 2" xfId="6" xr:uid="{9D2F78F5-9CCD-4F0B-A10B-4C7E81DD6D7E}"/>
    <cellStyle name="Comma 2 2" xfId="2" xr:uid="{9480843E-1E1C-4EBE-AE98-D6D2605C034D}"/>
    <cellStyle name="Normal" xfId="0" builtinId="0"/>
    <cellStyle name="Normal 2" xfId="10" xr:uid="{CF6DC894-56A0-4384-B6F2-4E5E0751B6C8}"/>
    <cellStyle name="Normal 2 2 3" xfId="1" xr:uid="{69BC3BC6-34A9-4FF3-8885-6B54E06ED7DD}"/>
    <cellStyle name="Normal 4" xfId="4" xr:uid="{9DCFABCC-FA41-46EA-B72B-6E94B657ED8C}"/>
    <cellStyle name="Normal_Bonsaverportfolio 2 2" xfId="5" xr:uid="{CB4CF084-BDA6-4836-8B20-E087E43C42F9}"/>
    <cellStyle name="Normal_Halfyearly_Debtholdings_30092011 2" xfId="8" xr:uid="{F1DD1E58-928B-48E7-96C0-937E0C7F3E93}"/>
    <cellStyle name="Normal_Holdingotherschemes new" xfId="9" xr:uid="{FDDA861C-80E9-4898-B07B-E90CEED41C20}"/>
    <cellStyle name="Percent 2" xfId="3" xr:uid="{EB1F974B-D455-4BE5-AE16-50831150DE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E7DB2-4B81-4F16-A07D-E261C4B7A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A2B7EC-C598-4B46-B46F-2C0C56256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032C0E-031C-4A8A-8AC3-AC0BB015B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4672D2-E047-4CF2-BC56-DCF69CBCA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FC3CD1-3CC8-405C-B131-7715D7235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71DB09-BE81-4CD8-9594-1CFBD7D8D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0"/>
          <a:ext cx="3283942" cy="20097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E68CA1-BA7D-416B-83A0-0A082FF57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01647-B496-4574-9CEF-EE2B2CC1F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4D2A8-DDCF-438C-B7B5-767C7E67B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6E5A97-CFEA-432C-B390-B02FBB6FF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26119D-55F5-4370-A872-787906244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3FCD31-531E-4EEC-BF85-BC778C917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C5842A-C97B-4852-958D-C94408B2A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D1AB4B-9AA6-4553-B5C4-1A26F6CCA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8F6544-332B-442B-A291-9BF5A5219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1F0C94-3AFE-4875-A763-9F76E66B6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A288AC-3CC6-464B-A9E1-89801C7AB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27914E-EA69-448A-8ED9-AAEF81F3D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02C592-EB0E-438D-8346-CA47E5CB7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E1309A-4BB7-4C14-949D-688CB7442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BAC87F-E951-49C5-A88D-E9D5E28A3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E13EBE-08CB-4581-ABAA-00A626623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0685B8-1811-4AD8-874F-CBF062E0D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33F4EC-15C8-4BB5-ACAC-1CD236B13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1D0E3E-7E6F-4C72-B851-30FC625C1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7C8504-8A94-4163-9DD4-7E95EB832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C2A5C4-D623-41AC-8131-5F8C4F05A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F3152C-0A82-482D-ABAD-5E5685847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42727-D26F-4843-B8C8-0F84763EB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F4047B-0B8D-4AE1-A313-2D562124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131167</xdr:colOff>
      <xdr:row>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4A6271-66A6-4EA0-BE71-4056D407F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0"/>
          <a:ext cx="3179167" cy="20193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276225</xdr:colOff>
      <xdr:row>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0623F7-635B-4E75-BDCB-0190A3AB6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0"/>
          <a:ext cx="3324225" cy="204787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15</xdr:col>
      <xdr:colOff>57151</xdr:colOff>
      <xdr:row>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FBD681-9579-4EEE-AD34-391FE1FCD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82300" y="0"/>
          <a:ext cx="3105151" cy="20002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DDE10C-A6A8-4947-94D9-B9F8FC413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6BE2F0-B8D0-4D5D-BE7E-182F93A2D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226417</xdr:colOff>
      <xdr:row>7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8C7290-B484-491C-B36D-EE98856EF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72725" y="0"/>
          <a:ext cx="3274417" cy="20955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E2C3B9-160F-4BE1-8722-FF9A39AAC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1078D9-4357-4F2C-9183-3E95A7ACE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90E080-CAF5-4D47-A9D9-A81BB088C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60B257-1E26-493A-9912-DF578B5A2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9525</xdr:rowOff>
    </xdr:from>
    <xdr:to>
      <xdr:col>14</xdr:col>
      <xdr:colOff>140692</xdr:colOff>
      <xdr:row>7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15A6FC-CB43-4859-BD8A-986D3D1A8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9525"/>
          <a:ext cx="3283942" cy="2009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EB0F-625B-4CD0-9CE0-3858273C397D}">
  <dimension ref="A1:C42"/>
  <sheetViews>
    <sheetView tabSelected="1" workbookViewId="0">
      <pane ySplit="1" topLeftCell="A2" activePane="bottomLeft" state="frozen"/>
      <selection sqref="A1:G1"/>
      <selection pane="bottomLeft"/>
    </sheetView>
  </sheetViews>
  <sheetFormatPr defaultColWidth="8.85546875" defaultRowHeight="15" x14ac:dyDescent="0.2"/>
  <cols>
    <col min="1" max="1" width="6" style="30" bestFit="1" customWidth="1"/>
    <col min="2" max="2" width="11.140625" style="33" bestFit="1" customWidth="1"/>
    <col min="3" max="3" width="56.42578125" style="33" bestFit="1" customWidth="1"/>
    <col min="4" max="16384" width="8.85546875" style="33"/>
  </cols>
  <sheetData>
    <row r="1" spans="1:3" s="30" customFormat="1" x14ac:dyDescent="0.2">
      <c r="A1" s="28" t="s">
        <v>734</v>
      </c>
      <c r="B1" s="29" t="s">
        <v>735</v>
      </c>
      <c r="C1" s="29" t="s">
        <v>736</v>
      </c>
    </row>
    <row r="2" spans="1:3" x14ac:dyDescent="0.2">
      <c r="A2" s="31">
        <v>1</v>
      </c>
      <c r="B2" s="32" t="s">
        <v>737</v>
      </c>
      <c r="C2" s="32" t="s">
        <v>1</v>
      </c>
    </row>
    <row r="3" spans="1:3" x14ac:dyDescent="0.2">
      <c r="A3" s="31">
        <v>2</v>
      </c>
      <c r="B3" s="32" t="s">
        <v>738</v>
      </c>
      <c r="C3" s="32" t="s">
        <v>150</v>
      </c>
    </row>
    <row r="4" spans="1:3" x14ac:dyDescent="0.2">
      <c r="A4" s="31">
        <v>3</v>
      </c>
      <c r="B4" s="32" t="s">
        <v>739</v>
      </c>
      <c r="C4" s="34" t="s">
        <v>289</v>
      </c>
    </row>
    <row r="5" spans="1:3" x14ac:dyDescent="0.2">
      <c r="A5" s="31">
        <v>4</v>
      </c>
      <c r="B5" s="32" t="s">
        <v>740</v>
      </c>
      <c r="C5" s="34" t="s">
        <v>292</v>
      </c>
    </row>
    <row r="6" spans="1:3" x14ac:dyDescent="0.2">
      <c r="A6" s="31">
        <v>5</v>
      </c>
      <c r="B6" s="32" t="s">
        <v>741</v>
      </c>
      <c r="C6" s="34" t="s">
        <v>295</v>
      </c>
    </row>
    <row r="7" spans="1:3" x14ac:dyDescent="0.2">
      <c r="A7" s="31">
        <v>6</v>
      </c>
      <c r="B7" s="32" t="s">
        <v>742</v>
      </c>
      <c r="C7" s="32" t="s">
        <v>300</v>
      </c>
    </row>
    <row r="8" spans="1:3" x14ac:dyDescent="0.2">
      <c r="A8" s="31">
        <v>7</v>
      </c>
      <c r="B8" s="32" t="s">
        <v>743</v>
      </c>
      <c r="C8" s="32" t="s">
        <v>397</v>
      </c>
    </row>
    <row r="9" spans="1:3" x14ac:dyDescent="0.2">
      <c r="A9" s="31">
        <v>8</v>
      </c>
      <c r="B9" s="32" t="s">
        <v>744</v>
      </c>
      <c r="C9" s="32" t="s">
        <v>745</v>
      </c>
    </row>
    <row r="10" spans="1:3" x14ac:dyDescent="0.2">
      <c r="A10" s="31">
        <v>9</v>
      </c>
      <c r="B10" s="32" t="s">
        <v>746</v>
      </c>
      <c r="C10" s="32" t="s">
        <v>747</v>
      </c>
    </row>
    <row r="11" spans="1:3" x14ac:dyDescent="0.2">
      <c r="A11" s="31">
        <v>10</v>
      </c>
      <c r="B11" s="32" t="s">
        <v>748</v>
      </c>
      <c r="C11" s="32" t="s">
        <v>447</v>
      </c>
    </row>
    <row r="12" spans="1:3" x14ac:dyDescent="0.2">
      <c r="A12" s="31">
        <v>11</v>
      </c>
      <c r="B12" s="32" t="s">
        <v>749</v>
      </c>
      <c r="C12" s="32" t="s">
        <v>464</v>
      </c>
    </row>
    <row r="13" spans="1:3" x14ac:dyDescent="0.2">
      <c r="A13" s="31">
        <v>12</v>
      </c>
      <c r="B13" s="32" t="s">
        <v>750</v>
      </c>
      <c r="C13" s="32" t="s">
        <v>465</v>
      </c>
    </row>
    <row r="14" spans="1:3" x14ac:dyDescent="0.2">
      <c r="A14" s="31">
        <v>13</v>
      </c>
      <c r="B14" s="32" t="s">
        <v>751</v>
      </c>
      <c r="C14" s="32" t="s">
        <v>468</v>
      </c>
    </row>
    <row r="15" spans="1:3" x14ac:dyDescent="0.2">
      <c r="A15" s="31">
        <v>14</v>
      </c>
      <c r="B15" s="32" t="s">
        <v>752</v>
      </c>
      <c r="C15" s="32" t="s">
        <v>469</v>
      </c>
    </row>
    <row r="16" spans="1:3" x14ac:dyDescent="0.2">
      <c r="A16" s="31">
        <v>15</v>
      </c>
      <c r="B16" s="34" t="s">
        <v>753</v>
      </c>
      <c r="C16" s="34" t="s">
        <v>470</v>
      </c>
    </row>
    <row r="17" spans="1:3" x14ac:dyDescent="0.2">
      <c r="A17" s="31">
        <v>16</v>
      </c>
      <c r="B17" s="34" t="s">
        <v>754</v>
      </c>
      <c r="C17" s="34" t="s">
        <v>471</v>
      </c>
    </row>
    <row r="18" spans="1:3" x14ac:dyDescent="0.2">
      <c r="A18" s="31">
        <v>17</v>
      </c>
      <c r="B18" s="34" t="s">
        <v>755</v>
      </c>
      <c r="C18" s="34" t="s">
        <v>487</v>
      </c>
    </row>
    <row r="19" spans="1:3" x14ac:dyDescent="0.2">
      <c r="A19" s="31">
        <v>18</v>
      </c>
      <c r="B19" s="34" t="s">
        <v>756</v>
      </c>
      <c r="C19" s="34" t="s">
        <v>757</v>
      </c>
    </row>
    <row r="20" spans="1:3" x14ac:dyDescent="0.2">
      <c r="A20" s="31">
        <v>19</v>
      </c>
      <c r="B20" s="34" t="s">
        <v>758</v>
      </c>
      <c r="C20" s="34" t="s">
        <v>759</v>
      </c>
    </row>
    <row r="21" spans="1:3" x14ac:dyDescent="0.2">
      <c r="A21" s="31">
        <v>20</v>
      </c>
      <c r="B21" s="34" t="s">
        <v>760</v>
      </c>
      <c r="C21" s="34" t="s">
        <v>761</v>
      </c>
    </row>
    <row r="22" spans="1:3" x14ac:dyDescent="0.2">
      <c r="A22" s="31">
        <v>21</v>
      </c>
      <c r="B22" s="34" t="s">
        <v>762</v>
      </c>
      <c r="C22" s="34" t="s">
        <v>763</v>
      </c>
    </row>
    <row r="23" spans="1:3" x14ac:dyDescent="0.2">
      <c r="A23" s="31">
        <v>22</v>
      </c>
      <c r="B23" s="34" t="s">
        <v>764</v>
      </c>
      <c r="C23" s="34" t="s">
        <v>502</v>
      </c>
    </row>
    <row r="24" spans="1:3" x14ac:dyDescent="0.2">
      <c r="A24" s="31">
        <v>23</v>
      </c>
      <c r="B24" s="34" t="s">
        <v>765</v>
      </c>
      <c r="C24" s="34" t="s">
        <v>503</v>
      </c>
    </row>
    <row r="25" spans="1:3" x14ac:dyDescent="0.2">
      <c r="A25" s="31">
        <v>24</v>
      </c>
      <c r="B25" s="34" t="s">
        <v>766</v>
      </c>
      <c r="C25" s="34" t="s">
        <v>504</v>
      </c>
    </row>
    <row r="26" spans="1:3" x14ac:dyDescent="0.2">
      <c r="A26" s="31">
        <v>25</v>
      </c>
      <c r="B26" s="34" t="s">
        <v>767</v>
      </c>
      <c r="C26" s="34" t="s">
        <v>505</v>
      </c>
    </row>
    <row r="27" spans="1:3" x14ac:dyDescent="0.2">
      <c r="A27" s="31">
        <v>26</v>
      </c>
      <c r="B27" s="34" t="s">
        <v>768</v>
      </c>
      <c r="C27" s="34" t="s">
        <v>506</v>
      </c>
    </row>
    <row r="28" spans="1:3" x14ac:dyDescent="0.2">
      <c r="A28" s="31">
        <v>27</v>
      </c>
      <c r="B28" s="34" t="s">
        <v>769</v>
      </c>
      <c r="C28" s="34" t="s">
        <v>770</v>
      </c>
    </row>
    <row r="29" spans="1:3" x14ac:dyDescent="0.2">
      <c r="A29" s="31">
        <v>28</v>
      </c>
      <c r="B29" s="34" t="s">
        <v>771</v>
      </c>
      <c r="C29" s="34" t="s">
        <v>772</v>
      </c>
    </row>
    <row r="30" spans="1:3" x14ac:dyDescent="0.2">
      <c r="A30" s="31">
        <v>29</v>
      </c>
      <c r="B30" s="34" t="s">
        <v>773</v>
      </c>
      <c r="C30" s="34" t="s">
        <v>774</v>
      </c>
    </row>
    <row r="31" spans="1:3" x14ac:dyDescent="0.2">
      <c r="A31" s="31">
        <v>30</v>
      </c>
      <c r="B31" s="34" t="s">
        <v>775</v>
      </c>
      <c r="C31" s="34" t="s">
        <v>686</v>
      </c>
    </row>
    <row r="32" spans="1:3" x14ac:dyDescent="0.2">
      <c r="A32" s="31">
        <v>31</v>
      </c>
      <c r="B32" s="34" t="s">
        <v>776</v>
      </c>
      <c r="C32" s="34" t="s">
        <v>687</v>
      </c>
    </row>
    <row r="33" spans="1:3" x14ac:dyDescent="0.2">
      <c r="A33" s="31">
        <v>32</v>
      </c>
      <c r="B33" s="34" t="s">
        <v>777</v>
      </c>
      <c r="C33" s="34" t="s">
        <v>778</v>
      </c>
    </row>
    <row r="34" spans="1:3" x14ac:dyDescent="0.2">
      <c r="A34" s="31">
        <v>33</v>
      </c>
      <c r="B34" s="34" t="s">
        <v>779</v>
      </c>
      <c r="C34" s="34" t="s">
        <v>780</v>
      </c>
    </row>
    <row r="35" spans="1:3" x14ac:dyDescent="0.2">
      <c r="A35" s="31">
        <v>34</v>
      </c>
      <c r="B35" s="34" t="s">
        <v>781</v>
      </c>
      <c r="C35" s="34" t="s">
        <v>693</v>
      </c>
    </row>
    <row r="36" spans="1:3" x14ac:dyDescent="0.2">
      <c r="A36" s="31">
        <v>35</v>
      </c>
      <c r="B36" s="34" t="s">
        <v>782</v>
      </c>
      <c r="C36" s="34" t="s">
        <v>694</v>
      </c>
    </row>
    <row r="37" spans="1:3" x14ac:dyDescent="0.2">
      <c r="A37" s="31">
        <v>36</v>
      </c>
      <c r="B37" s="34" t="s">
        <v>783</v>
      </c>
      <c r="C37" s="34" t="s">
        <v>705</v>
      </c>
    </row>
    <row r="38" spans="1:3" x14ac:dyDescent="0.2">
      <c r="A38" s="31">
        <v>37</v>
      </c>
      <c r="B38" s="34" t="s">
        <v>784</v>
      </c>
      <c r="C38" s="34" t="s">
        <v>718</v>
      </c>
    </row>
    <row r="39" spans="1:3" x14ac:dyDescent="0.2">
      <c r="A39" s="31">
        <v>38</v>
      </c>
      <c r="B39" s="34" t="s">
        <v>785</v>
      </c>
      <c r="C39" s="34" t="s">
        <v>725</v>
      </c>
    </row>
    <row r="40" spans="1:3" x14ac:dyDescent="0.2">
      <c r="A40" s="31">
        <v>39</v>
      </c>
      <c r="B40" s="34" t="s">
        <v>786</v>
      </c>
      <c r="C40" s="34" t="s">
        <v>730</v>
      </c>
    </row>
    <row r="41" spans="1:3" x14ac:dyDescent="0.2">
      <c r="A41" s="31">
        <v>40</v>
      </c>
      <c r="B41" s="34" t="s">
        <v>787</v>
      </c>
      <c r="C41" s="34" t="s">
        <v>733</v>
      </c>
    </row>
    <row r="42" spans="1:3" x14ac:dyDescent="0.2">
      <c r="A42" s="31">
        <v>41</v>
      </c>
      <c r="B42" s="34" t="s">
        <v>788</v>
      </c>
      <c r="C42" s="34" t="s">
        <v>789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5" x14ac:dyDescent="0.2">
      <c r="A2" s="172" t="s">
        <v>1</v>
      </c>
      <c r="B2" s="173"/>
      <c r="C2" s="173"/>
      <c r="D2" s="173"/>
      <c r="E2" s="173"/>
      <c r="F2" s="173"/>
      <c r="G2" s="173"/>
      <c r="H2" s="174"/>
    </row>
    <row r="3" spans="1:8" ht="15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11</v>
      </c>
      <c r="C7" s="4" t="s">
        <v>12</v>
      </c>
      <c r="D7" s="4" t="s">
        <v>13</v>
      </c>
      <c r="E7" s="5">
        <v>351301</v>
      </c>
      <c r="F7" s="6">
        <v>5874.4553219999998</v>
      </c>
      <c r="G7" s="7">
        <v>9.6591387000000001E-2</v>
      </c>
      <c r="H7" s="67"/>
    </row>
    <row r="8" spans="1:8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216047</v>
      </c>
      <c r="F8" s="6">
        <v>4878.6653305</v>
      </c>
      <c r="G8" s="7">
        <v>8.0217998999999998E-2</v>
      </c>
      <c r="H8" s="67"/>
    </row>
    <row r="9" spans="1:8" x14ac:dyDescent="0.2">
      <c r="A9" s="3">
        <v>3</v>
      </c>
      <c r="B9" s="4" t="s">
        <v>17</v>
      </c>
      <c r="C9" s="4" t="s">
        <v>18</v>
      </c>
      <c r="D9" s="4" t="s">
        <v>19</v>
      </c>
      <c r="E9" s="5">
        <v>551604</v>
      </c>
      <c r="F9" s="6">
        <v>3662.9263620000002</v>
      </c>
      <c r="G9" s="7">
        <v>6.0228074999999999E-2</v>
      </c>
      <c r="H9" s="67"/>
    </row>
    <row r="10" spans="1:8" ht="25.5" x14ac:dyDescent="0.2">
      <c r="A10" s="3">
        <v>4</v>
      </c>
      <c r="B10" s="4" t="s">
        <v>20</v>
      </c>
      <c r="C10" s="4" t="s">
        <v>21</v>
      </c>
      <c r="D10" s="4" t="s">
        <v>992</v>
      </c>
      <c r="E10" s="5">
        <v>362486</v>
      </c>
      <c r="F10" s="6">
        <v>3656.7587680000001</v>
      </c>
      <c r="G10" s="7">
        <v>6.0126664000000003E-2</v>
      </c>
      <c r="H10" s="67"/>
    </row>
    <row r="11" spans="1:8" x14ac:dyDescent="0.2">
      <c r="A11" s="3">
        <v>5</v>
      </c>
      <c r="B11" s="4" t="s">
        <v>22</v>
      </c>
      <c r="C11" s="4" t="s">
        <v>23</v>
      </c>
      <c r="D11" s="4" t="s">
        <v>24</v>
      </c>
      <c r="E11" s="5">
        <v>498729</v>
      </c>
      <c r="F11" s="6">
        <v>3586.1108745000001</v>
      </c>
      <c r="G11" s="7">
        <v>5.8965028000000003E-2</v>
      </c>
      <c r="H11" s="67"/>
    </row>
    <row r="12" spans="1:8" x14ac:dyDescent="0.2">
      <c r="A12" s="3">
        <v>6</v>
      </c>
      <c r="B12" s="4" t="s">
        <v>25</v>
      </c>
      <c r="C12" s="4" t="s">
        <v>26</v>
      </c>
      <c r="D12" s="4" t="s">
        <v>27</v>
      </c>
      <c r="E12" s="5">
        <v>232062</v>
      </c>
      <c r="F12" s="6">
        <v>2995.8043889999999</v>
      </c>
      <c r="G12" s="7">
        <v>4.9258848000000001E-2</v>
      </c>
      <c r="H12" s="67"/>
    </row>
    <row r="13" spans="1:8" x14ac:dyDescent="0.2">
      <c r="A13" s="3">
        <v>7</v>
      </c>
      <c r="B13" s="4" t="s">
        <v>28</v>
      </c>
      <c r="C13" s="4" t="s">
        <v>29</v>
      </c>
      <c r="D13" s="4" t="s">
        <v>27</v>
      </c>
      <c r="E13" s="5">
        <v>118332</v>
      </c>
      <c r="F13" s="6">
        <v>2446.5140999999999</v>
      </c>
      <c r="G13" s="7">
        <v>4.0227080999999998E-2</v>
      </c>
      <c r="H13" s="67"/>
    </row>
    <row r="14" spans="1:8" ht="25.5" x14ac:dyDescent="0.2">
      <c r="A14" s="3">
        <v>8</v>
      </c>
      <c r="B14" s="4" t="s">
        <v>30</v>
      </c>
      <c r="C14" s="4" t="s">
        <v>998</v>
      </c>
      <c r="D14" s="4" t="s">
        <v>992</v>
      </c>
      <c r="E14" s="5">
        <v>70820</v>
      </c>
      <c r="F14" s="6">
        <v>2316.80548</v>
      </c>
      <c r="G14" s="7">
        <v>3.8094333000000001E-2</v>
      </c>
      <c r="H14" s="67"/>
    </row>
    <row r="15" spans="1:8" ht="25.5" x14ac:dyDescent="0.2">
      <c r="A15" s="3">
        <v>9</v>
      </c>
      <c r="B15" s="4" t="s">
        <v>31</v>
      </c>
      <c r="C15" s="4" t="s">
        <v>993</v>
      </c>
      <c r="D15" s="4" t="s">
        <v>992</v>
      </c>
      <c r="E15" s="5">
        <v>28500</v>
      </c>
      <c r="F15" s="6">
        <v>2232.2482500000001</v>
      </c>
      <c r="G15" s="7">
        <v>3.6703990999999998E-2</v>
      </c>
      <c r="H15" s="67"/>
    </row>
    <row r="16" spans="1:8" x14ac:dyDescent="0.2">
      <c r="A16" s="3">
        <v>10</v>
      </c>
      <c r="B16" s="4" t="s">
        <v>32</v>
      </c>
      <c r="C16" s="4" t="s">
        <v>33</v>
      </c>
      <c r="D16" s="4" t="s">
        <v>27</v>
      </c>
      <c r="E16" s="5">
        <v>87472</v>
      </c>
      <c r="F16" s="6">
        <v>1929.8510000000001</v>
      </c>
      <c r="G16" s="7">
        <v>3.1731790000000003E-2</v>
      </c>
      <c r="H16" s="67"/>
    </row>
    <row r="17" spans="1:8" ht="25.5" x14ac:dyDescent="0.2">
      <c r="A17" s="3">
        <v>11</v>
      </c>
      <c r="B17" s="4" t="s">
        <v>34</v>
      </c>
      <c r="C17" s="4" t="s">
        <v>35</v>
      </c>
      <c r="D17" s="4" t="s">
        <v>36</v>
      </c>
      <c r="E17" s="5">
        <v>4685</v>
      </c>
      <c r="F17" s="6">
        <v>1855.4895650000001</v>
      </c>
      <c r="G17" s="7">
        <v>3.0509094E-2</v>
      </c>
      <c r="H17" s="67"/>
    </row>
    <row r="18" spans="1:8" x14ac:dyDescent="0.2">
      <c r="A18" s="3">
        <v>12</v>
      </c>
      <c r="B18" s="4" t="s">
        <v>37</v>
      </c>
      <c r="C18" s="4" t="s">
        <v>38</v>
      </c>
      <c r="D18" s="4" t="s">
        <v>27</v>
      </c>
      <c r="E18" s="5">
        <v>152664</v>
      </c>
      <c r="F18" s="6">
        <v>1818.151908</v>
      </c>
      <c r="G18" s="7">
        <v>2.9895166000000001E-2</v>
      </c>
      <c r="H18" s="67"/>
    </row>
    <row r="19" spans="1:8" x14ac:dyDescent="0.2">
      <c r="A19" s="3">
        <v>13</v>
      </c>
      <c r="B19" s="4" t="s">
        <v>39</v>
      </c>
      <c r="C19" s="4" t="s">
        <v>40</v>
      </c>
      <c r="D19" s="4" t="s">
        <v>41</v>
      </c>
      <c r="E19" s="5">
        <v>1356087</v>
      </c>
      <c r="F19" s="6">
        <v>1750.0302735</v>
      </c>
      <c r="G19" s="7">
        <v>2.8775068000000001E-2</v>
      </c>
      <c r="H19" s="67"/>
    </row>
    <row r="20" spans="1:8" x14ac:dyDescent="0.2">
      <c r="A20" s="3">
        <v>14</v>
      </c>
      <c r="B20" s="4" t="s">
        <v>42</v>
      </c>
      <c r="C20" s="4" t="s">
        <v>43</v>
      </c>
      <c r="D20" s="4" t="s">
        <v>16</v>
      </c>
      <c r="E20" s="5">
        <v>340747</v>
      </c>
      <c r="F20" s="6">
        <v>1607.1332255</v>
      </c>
      <c r="G20" s="7">
        <v>2.6425467000000001E-2</v>
      </c>
      <c r="H20" s="67"/>
    </row>
    <row r="21" spans="1:8" x14ac:dyDescent="0.2">
      <c r="A21" s="3">
        <v>15</v>
      </c>
      <c r="B21" s="4" t="s">
        <v>44</v>
      </c>
      <c r="C21" s="4" t="s">
        <v>45</v>
      </c>
      <c r="D21" s="4" t="s">
        <v>46</v>
      </c>
      <c r="E21" s="5">
        <v>208993</v>
      </c>
      <c r="F21" s="6">
        <v>1601.3043660000001</v>
      </c>
      <c r="G21" s="7">
        <v>2.6329625999999998E-2</v>
      </c>
      <c r="H21" s="67"/>
    </row>
    <row r="22" spans="1:8" x14ac:dyDescent="0.2">
      <c r="A22" s="3">
        <v>16</v>
      </c>
      <c r="B22" s="4" t="s">
        <v>47</v>
      </c>
      <c r="C22" s="4" t="s">
        <v>48</v>
      </c>
      <c r="D22" s="4" t="s">
        <v>49</v>
      </c>
      <c r="E22" s="5">
        <v>1000000</v>
      </c>
      <c r="F22" s="6">
        <v>1216</v>
      </c>
      <c r="G22" s="7">
        <v>1.9994215999999999E-2</v>
      </c>
      <c r="H22" s="67"/>
    </row>
    <row r="23" spans="1:8" ht="25.5" x14ac:dyDescent="0.2">
      <c r="A23" s="3">
        <v>17</v>
      </c>
      <c r="B23" s="4" t="s">
        <v>50</v>
      </c>
      <c r="C23" s="4" t="s">
        <v>51</v>
      </c>
      <c r="D23" s="4" t="s">
        <v>52</v>
      </c>
      <c r="E23" s="5">
        <v>187344</v>
      </c>
      <c r="F23" s="6">
        <v>1160.689752</v>
      </c>
      <c r="G23" s="7">
        <v>1.9084771E-2</v>
      </c>
      <c r="H23" s="67"/>
    </row>
    <row r="24" spans="1:8" x14ac:dyDescent="0.2">
      <c r="A24" s="3">
        <v>18</v>
      </c>
      <c r="B24" s="4" t="s">
        <v>53</v>
      </c>
      <c r="C24" s="4" t="s">
        <v>54</v>
      </c>
      <c r="D24" s="4" t="s">
        <v>55</v>
      </c>
      <c r="E24" s="5">
        <v>39548</v>
      </c>
      <c r="F24" s="6">
        <v>1144.8750520000001</v>
      </c>
      <c r="G24" s="7">
        <v>1.8824736000000002E-2</v>
      </c>
      <c r="H24" s="67"/>
    </row>
    <row r="25" spans="1:8" ht="25.5" x14ac:dyDescent="0.2">
      <c r="A25" s="3">
        <v>19</v>
      </c>
      <c r="B25" s="4" t="s">
        <v>56</v>
      </c>
      <c r="C25" s="4" t="s">
        <v>57</v>
      </c>
      <c r="D25" s="4" t="s">
        <v>36</v>
      </c>
      <c r="E25" s="5">
        <v>315302</v>
      </c>
      <c r="F25" s="6">
        <v>1048.063848</v>
      </c>
      <c r="G25" s="7">
        <v>1.7232906999999999E-2</v>
      </c>
      <c r="H25" s="67"/>
    </row>
    <row r="26" spans="1:8" x14ac:dyDescent="0.2">
      <c r="A26" s="3">
        <v>20</v>
      </c>
      <c r="B26" s="4" t="s">
        <v>58</v>
      </c>
      <c r="C26" s="4" t="s">
        <v>59</v>
      </c>
      <c r="D26" s="4" t="s">
        <v>60</v>
      </c>
      <c r="E26" s="5">
        <v>716249</v>
      </c>
      <c r="F26" s="6">
        <v>1046.7979135</v>
      </c>
      <c r="G26" s="7">
        <v>1.7212090999999999E-2</v>
      </c>
      <c r="H26" s="67"/>
    </row>
    <row r="27" spans="1:8" ht="25.5" x14ac:dyDescent="0.2">
      <c r="A27" s="3">
        <v>21</v>
      </c>
      <c r="B27" s="4" t="s">
        <v>61</v>
      </c>
      <c r="C27" s="4" t="s">
        <v>62</v>
      </c>
      <c r="D27" s="4" t="s">
        <v>36</v>
      </c>
      <c r="E27" s="5">
        <v>23847</v>
      </c>
      <c r="F27" s="6">
        <v>1009.658133</v>
      </c>
      <c r="G27" s="7">
        <v>1.6601417E-2</v>
      </c>
      <c r="H27" s="67"/>
    </row>
    <row r="28" spans="1:8" x14ac:dyDescent="0.2">
      <c r="A28" s="3">
        <v>22</v>
      </c>
      <c r="B28" s="4" t="s">
        <v>63</v>
      </c>
      <c r="C28" s="4" t="s">
        <v>64</v>
      </c>
      <c r="D28" s="4" t="s">
        <v>55</v>
      </c>
      <c r="E28" s="5">
        <v>380216</v>
      </c>
      <c r="F28" s="6">
        <v>984.75944000000004</v>
      </c>
      <c r="G28" s="7">
        <v>1.6192017E-2</v>
      </c>
      <c r="H28" s="67"/>
    </row>
    <row r="29" spans="1:8" ht="25.5" x14ac:dyDescent="0.2">
      <c r="A29" s="3">
        <v>23</v>
      </c>
      <c r="B29" s="4" t="s">
        <v>65</v>
      </c>
      <c r="C29" s="4" t="s">
        <v>66</v>
      </c>
      <c r="D29" s="4" t="s">
        <v>36</v>
      </c>
      <c r="E29" s="5">
        <v>135211</v>
      </c>
      <c r="F29" s="6">
        <v>984.53889649999996</v>
      </c>
      <c r="G29" s="7">
        <v>1.6188391E-2</v>
      </c>
      <c r="H29" s="67"/>
    </row>
    <row r="30" spans="1:8" x14ac:dyDescent="0.2">
      <c r="A30" s="3">
        <v>24</v>
      </c>
      <c r="B30" s="4" t="s">
        <v>67</v>
      </c>
      <c r="C30" s="4" t="s">
        <v>68</v>
      </c>
      <c r="D30" s="4" t="s">
        <v>69</v>
      </c>
      <c r="E30" s="5">
        <v>637568</v>
      </c>
      <c r="F30" s="6">
        <v>950.93267200000003</v>
      </c>
      <c r="G30" s="7">
        <v>1.5635817E-2</v>
      </c>
      <c r="H30" s="67"/>
    </row>
    <row r="31" spans="1:8" x14ac:dyDescent="0.2">
      <c r="A31" s="3">
        <v>25</v>
      </c>
      <c r="B31" s="4" t="s">
        <v>70</v>
      </c>
      <c r="C31" s="4" t="s">
        <v>71</v>
      </c>
      <c r="D31" s="4" t="s">
        <v>27</v>
      </c>
      <c r="E31" s="5">
        <v>94317</v>
      </c>
      <c r="F31" s="6">
        <v>942.36830550000002</v>
      </c>
      <c r="G31" s="7">
        <v>1.5494996E-2</v>
      </c>
      <c r="H31" s="67"/>
    </row>
    <row r="32" spans="1:8" x14ac:dyDescent="0.2">
      <c r="A32" s="3">
        <v>26</v>
      </c>
      <c r="B32" s="4" t="s">
        <v>72</v>
      </c>
      <c r="C32" s="4" t="s">
        <v>73</v>
      </c>
      <c r="D32" s="4" t="s">
        <v>74</v>
      </c>
      <c r="E32" s="5">
        <v>716100</v>
      </c>
      <c r="F32" s="6">
        <v>863.25855000000001</v>
      </c>
      <c r="G32" s="7">
        <v>1.4194225E-2</v>
      </c>
      <c r="H32" s="67"/>
    </row>
    <row r="33" spans="1:8" x14ac:dyDescent="0.2">
      <c r="A33" s="3">
        <v>27</v>
      </c>
      <c r="B33" s="4" t="s">
        <v>75</v>
      </c>
      <c r="C33" s="4" t="s">
        <v>76</v>
      </c>
      <c r="D33" s="4" t="s">
        <v>13</v>
      </c>
      <c r="E33" s="5">
        <v>978673</v>
      </c>
      <c r="F33" s="6">
        <v>775.59835250000003</v>
      </c>
      <c r="G33" s="7">
        <v>1.2752862E-2</v>
      </c>
      <c r="H33" s="67"/>
    </row>
    <row r="34" spans="1:8" x14ac:dyDescent="0.2">
      <c r="A34" s="3">
        <v>28</v>
      </c>
      <c r="B34" s="4" t="s">
        <v>77</v>
      </c>
      <c r="C34" s="4" t="s">
        <v>78</v>
      </c>
      <c r="D34" s="4" t="s">
        <v>69</v>
      </c>
      <c r="E34" s="5">
        <v>222845</v>
      </c>
      <c r="F34" s="6">
        <v>745.30510249999998</v>
      </c>
      <c r="G34" s="7">
        <v>1.2254762000000001E-2</v>
      </c>
      <c r="H34" s="67"/>
    </row>
    <row r="35" spans="1:8" x14ac:dyDescent="0.2">
      <c r="A35" s="3">
        <v>29</v>
      </c>
      <c r="B35" s="4" t="s">
        <v>79</v>
      </c>
      <c r="C35" s="4" t="s">
        <v>80</v>
      </c>
      <c r="D35" s="4" t="s">
        <v>81</v>
      </c>
      <c r="E35" s="5">
        <v>240000</v>
      </c>
      <c r="F35" s="6">
        <v>699.96</v>
      </c>
      <c r="G35" s="7">
        <v>1.1509170000000001E-2</v>
      </c>
      <c r="H35" s="67"/>
    </row>
    <row r="36" spans="1:8" x14ac:dyDescent="0.2">
      <c r="A36" s="3">
        <v>30</v>
      </c>
      <c r="B36" s="4" t="s">
        <v>82</v>
      </c>
      <c r="C36" s="4" t="s">
        <v>83</v>
      </c>
      <c r="D36" s="4" t="s">
        <v>84</v>
      </c>
      <c r="E36" s="5">
        <v>494783</v>
      </c>
      <c r="F36" s="6">
        <v>607.34613249999995</v>
      </c>
      <c r="G36" s="7">
        <v>9.9863569999999995E-3</v>
      </c>
      <c r="H36" s="67"/>
    </row>
    <row r="37" spans="1:8" x14ac:dyDescent="0.2">
      <c r="A37" s="3">
        <v>31</v>
      </c>
      <c r="B37" s="4" t="s">
        <v>85</v>
      </c>
      <c r="C37" s="4" t="s">
        <v>86</v>
      </c>
      <c r="D37" s="4" t="s">
        <v>1000</v>
      </c>
      <c r="E37" s="5">
        <v>312037</v>
      </c>
      <c r="F37" s="6">
        <v>475.54438800000003</v>
      </c>
      <c r="G37" s="7">
        <v>7.8191920000000009E-3</v>
      </c>
      <c r="H37" s="67"/>
    </row>
    <row r="38" spans="1:8" x14ac:dyDescent="0.2">
      <c r="A38" s="3">
        <v>32</v>
      </c>
      <c r="B38" s="4" t="s">
        <v>87</v>
      </c>
      <c r="C38" s="4" t="s">
        <v>88</v>
      </c>
      <c r="D38" s="4" t="s">
        <v>60</v>
      </c>
      <c r="E38" s="5">
        <v>199331</v>
      </c>
      <c r="F38" s="6">
        <v>453.67735599999997</v>
      </c>
      <c r="G38" s="7">
        <v>7.4596410000000004E-3</v>
      </c>
      <c r="H38" s="67"/>
    </row>
    <row r="39" spans="1:8" ht="25.5" x14ac:dyDescent="0.2">
      <c r="A39" s="3">
        <v>33</v>
      </c>
      <c r="B39" s="4" t="s">
        <v>89</v>
      </c>
      <c r="C39" s="4" t="s">
        <v>90</v>
      </c>
      <c r="D39" s="4" t="s">
        <v>46</v>
      </c>
      <c r="E39" s="5">
        <v>57455</v>
      </c>
      <c r="F39" s="6">
        <v>429.935765</v>
      </c>
      <c r="G39" s="7">
        <v>7.0692669999999997E-3</v>
      </c>
      <c r="H39" s="67"/>
    </row>
    <row r="40" spans="1:8" x14ac:dyDescent="0.2">
      <c r="A40" s="3">
        <v>34</v>
      </c>
      <c r="B40" s="4" t="s">
        <v>91</v>
      </c>
      <c r="C40" s="4" t="s">
        <v>92</v>
      </c>
      <c r="D40" s="4" t="s">
        <v>27</v>
      </c>
      <c r="E40" s="5">
        <v>5649</v>
      </c>
      <c r="F40" s="6">
        <v>409.58639399999998</v>
      </c>
      <c r="G40" s="7">
        <v>6.7346699999999999E-3</v>
      </c>
      <c r="H40" s="67"/>
    </row>
    <row r="41" spans="1:8" x14ac:dyDescent="0.2">
      <c r="A41" s="3">
        <v>35</v>
      </c>
      <c r="B41" s="4" t="s">
        <v>93</v>
      </c>
      <c r="C41" s="4" t="s">
        <v>94</v>
      </c>
      <c r="D41" s="4" t="s">
        <v>69</v>
      </c>
      <c r="E41" s="5">
        <v>83965</v>
      </c>
      <c r="F41" s="6">
        <v>296.10257250000001</v>
      </c>
      <c r="G41" s="7">
        <v>4.8687000000000001E-3</v>
      </c>
      <c r="H41" s="67"/>
    </row>
    <row r="42" spans="1:8" x14ac:dyDescent="0.2">
      <c r="A42" s="3">
        <v>36</v>
      </c>
      <c r="B42" s="4" t="s">
        <v>95</v>
      </c>
      <c r="C42" s="4" t="s">
        <v>96</v>
      </c>
      <c r="D42" s="4" t="s">
        <v>69</v>
      </c>
      <c r="E42" s="5">
        <v>397500</v>
      </c>
      <c r="F42" s="6">
        <v>291.76499999999999</v>
      </c>
      <c r="G42" s="7">
        <v>4.7973790000000001E-3</v>
      </c>
      <c r="H42" s="67"/>
    </row>
    <row r="43" spans="1:8" x14ac:dyDescent="0.2">
      <c r="A43" s="3">
        <v>37</v>
      </c>
      <c r="B43" s="4" t="s">
        <v>97</v>
      </c>
      <c r="C43" s="4" t="s">
        <v>98</v>
      </c>
      <c r="D43" s="4" t="s">
        <v>60</v>
      </c>
      <c r="E43" s="5">
        <v>29000</v>
      </c>
      <c r="F43" s="6">
        <v>158.29650000000001</v>
      </c>
      <c r="G43" s="7">
        <v>2.6028079999999999E-3</v>
      </c>
      <c r="H43" s="67"/>
    </row>
    <row r="44" spans="1:8" x14ac:dyDescent="0.2">
      <c r="A44" s="3">
        <v>38</v>
      </c>
      <c r="B44" s="4" t="s">
        <v>99</v>
      </c>
      <c r="C44" s="4" t="s">
        <v>100</v>
      </c>
      <c r="D44" s="4" t="s">
        <v>60</v>
      </c>
      <c r="E44" s="5">
        <v>45000</v>
      </c>
      <c r="F44" s="6">
        <v>157.79249999999999</v>
      </c>
      <c r="G44" s="7">
        <v>2.5945209999999998E-3</v>
      </c>
      <c r="H44" s="67"/>
    </row>
    <row r="45" spans="1:8" ht="25.5" x14ac:dyDescent="0.2">
      <c r="A45" s="3">
        <v>39</v>
      </c>
      <c r="B45" s="4" t="s">
        <v>101</v>
      </c>
      <c r="C45" s="4" t="s">
        <v>994</v>
      </c>
      <c r="D45" s="4" t="s">
        <v>992</v>
      </c>
      <c r="E45" s="5">
        <v>6000</v>
      </c>
      <c r="F45" s="6">
        <v>131.988</v>
      </c>
      <c r="G45" s="7">
        <v>2.1702269999999998E-3</v>
      </c>
      <c r="H45" s="67"/>
    </row>
    <row r="46" spans="1:8" x14ac:dyDescent="0.2">
      <c r="A46" s="1"/>
      <c r="B46" s="1"/>
      <c r="C46" s="2" t="s">
        <v>105</v>
      </c>
      <c r="D46" s="1"/>
      <c r="E46" s="1" t="s">
        <v>106</v>
      </c>
      <c r="F46" s="9">
        <v>59197.089850689001</v>
      </c>
      <c r="G46" s="10">
        <v>0.97335475699999996</v>
      </c>
      <c r="H46" s="67"/>
    </row>
    <row r="47" spans="1:8" x14ac:dyDescent="0.2">
      <c r="A47" s="1"/>
      <c r="B47" s="1"/>
      <c r="C47" s="11"/>
      <c r="D47" s="1"/>
      <c r="E47" s="1"/>
      <c r="F47" s="12"/>
      <c r="G47" s="12"/>
      <c r="H47" s="67"/>
    </row>
    <row r="48" spans="1:8" x14ac:dyDescent="0.2">
      <c r="A48" s="1"/>
      <c r="B48" s="1"/>
      <c r="C48" s="2" t="s">
        <v>107</v>
      </c>
      <c r="D48" s="1"/>
      <c r="E48" s="1"/>
      <c r="F48" s="1"/>
      <c r="G48" s="1"/>
      <c r="H48" s="67"/>
    </row>
    <row r="49" spans="1:8" x14ac:dyDescent="0.2">
      <c r="A49" s="1"/>
      <c r="B49" s="1"/>
      <c r="C49" s="2" t="s">
        <v>105</v>
      </c>
      <c r="D49" s="1"/>
      <c r="E49" s="1" t="s">
        <v>106</v>
      </c>
      <c r="F49" s="13">
        <v>0</v>
      </c>
      <c r="G49" s="14">
        <v>0</v>
      </c>
      <c r="H49" s="67"/>
    </row>
    <row r="50" spans="1:8" x14ac:dyDescent="0.2">
      <c r="A50" s="1"/>
      <c r="B50" s="1"/>
      <c r="C50" s="11"/>
      <c r="D50" s="1"/>
      <c r="E50" s="1"/>
      <c r="F50" s="12"/>
      <c r="G50" s="12"/>
      <c r="H50" s="67"/>
    </row>
    <row r="51" spans="1:8" x14ac:dyDescent="0.2">
      <c r="A51" s="1"/>
      <c r="B51" s="1"/>
      <c r="C51" s="2" t="s">
        <v>108</v>
      </c>
      <c r="D51" s="1"/>
      <c r="E51" s="1"/>
      <c r="F51" s="1"/>
      <c r="G51" s="1"/>
      <c r="H51" s="67"/>
    </row>
    <row r="52" spans="1:8" x14ac:dyDescent="0.2">
      <c r="A52" s="3">
        <v>1</v>
      </c>
      <c r="B52" s="4" t="s">
        <v>102</v>
      </c>
      <c r="C52" s="4" t="s">
        <v>970</v>
      </c>
      <c r="D52" s="4" t="s">
        <v>103</v>
      </c>
      <c r="E52" s="5">
        <v>559425</v>
      </c>
      <c r="F52" s="6">
        <v>1.1189000000000001E-5</v>
      </c>
      <c r="G52" s="8" t="s">
        <v>104</v>
      </c>
      <c r="H52" s="67"/>
    </row>
    <row r="53" spans="1:8" x14ac:dyDescent="0.2">
      <c r="A53" s="1"/>
      <c r="B53" s="1"/>
      <c r="C53" s="2" t="s">
        <v>105</v>
      </c>
      <c r="D53" s="1"/>
      <c r="E53" s="1" t="s">
        <v>106</v>
      </c>
      <c r="F53" s="13">
        <v>0</v>
      </c>
      <c r="G53" s="14">
        <v>0</v>
      </c>
      <c r="H53" s="67"/>
    </row>
    <row r="54" spans="1:8" x14ac:dyDescent="0.2">
      <c r="A54" s="1"/>
      <c r="B54" s="1"/>
      <c r="C54" s="11"/>
      <c r="D54" s="1"/>
      <c r="E54" s="1"/>
      <c r="F54" s="12"/>
      <c r="G54" s="12"/>
      <c r="H54" s="67"/>
    </row>
    <row r="55" spans="1:8" x14ac:dyDescent="0.2">
      <c r="A55" s="1"/>
      <c r="B55" s="1"/>
      <c r="C55" s="2" t="s">
        <v>109</v>
      </c>
      <c r="D55" s="1"/>
      <c r="E55" s="1"/>
      <c r="F55" s="1"/>
      <c r="G55" s="1"/>
      <c r="H55" s="67"/>
    </row>
    <row r="56" spans="1:8" x14ac:dyDescent="0.2">
      <c r="A56" s="1"/>
      <c r="B56" s="1"/>
      <c r="C56" s="2" t="s">
        <v>105</v>
      </c>
      <c r="D56" s="1"/>
      <c r="E56" s="1" t="s">
        <v>106</v>
      </c>
      <c r="F56" s="13">
        <v>0</v>
      </c>
      <c r="G56" s="14">
        <v>0</v>
      </c>
      <c r="H56" s="67"/>
    </row>
    <row r="57" spans="1:8" x14ac:dyDescent="0.2">
      <c r="A57" s="1"/>
      <c r="B57" s="1"/>
      <c r="C57" s="11"/>
      <c r="D57" s="1"/>
      <c r="E57" s="1"/>
      <c r="F57" s="12"/>
      <c r="G57" s="12"/>
      <c r="H57" s="67"/>
    </row>
    <row r="58" spans="1:8" x14ac:dyDescent="0.2">
      <c r="A58" s="1"/>
      <c r="B58" s="1"/>
      <c r="C58" s="2" t="s">
        <v>110</v>
      </c>
      <c r="D58" s="1"/>
      <c r="E58" s="1"/>
      <c r="F58" s="12"/>
      <c r="G58" s="12"/>
      <c r="H58" s="67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13">
        <v>0</v>
      </c>
      <c r="G59" s="14">
        <v>0</v>
      </c>
      <c r="H59" s="67"/>
    </row>
    <row r="60" spans="1:8" x14ac:dyDescent="0.2">
      <c r="A60" s="1"/>
      <c r="B60" s="1"/>
      <c r="C60" s="11"/>
      <c r="D60" s="1"/>
      <c r="E60" s="1"/>
      <c r="F60" s="12"/>
      <c r="G60" s="12"/>
      <c r="H60" s="67"/>
    </row>
    <row r="61" spans="1:8" x14ac:dyDescent="0.2">
      <c r="A61" s="1"/>
      <c r="B61" s="1"/>
      <c r="C61" s="2" t="s">
        <v>111</v>
      </c>
      <c r="D61" s="1"/>
      <c r="E61" s="1"/>
      <c r="F61" s="12"/>
      <c r="G61" s="12"/>
      <c r="H61" s="67"/>
    </row>
    <row r="62" spans="1:8" x14ac:dyDescent="0.2">
      <c r="A62" s="1"/>
      <c r="B62" s="1"/>
      <c r="C62" s="2" t="s">
        <v>105</v>
      </c>
      <c r="D62" s="1"/>
      <c r="E62" s="1" t="s">
        <v>106</v>
      </c>
      <c r="F62" s="13">
        <v>0</v>
      </c>
      <c r="G62" s="14">
        <v>0</v>
      </c>
      <c r="H62" s="67"/>
    </row>
    <row r="63" spans="1:8" x14ac:dyDescent="0.2">
      <c r="A63" s="1"/>
      <c r="B63" s="1"/>
      <c r="C63" s="11"/>
      <c r="D63" s="1"/>
      <c r="E63" s="1"/>
      <c r="F63" s="12"/>
      <c r="G63" s="12"/>
      <c r="H63" s="67"/>
    </row>
    <row r="64" spans="1:8" x14ac:dyDescent="0.2">
      <c r="A64" s="1"/>
      <c r="B64" s="1"/>
      <c r="C64" s="2" t="s">
        <v>112</v>
      </c>
      <c r="D64" s="1"/>
      <c r="E64" s="1"/>
      <c r="F64" s="9">
        <v>59197.089850689001</v>
      </c>
      <c r="G64" s="10">
        <v>0.97335475699999996</v>
      </c>
      <c r="H64" s="67"/>
    </row>
    <row r="65" spans="1:8" x14ac:dyDescent="0.2">
      <c r="A65" s="1"/>
      <c r="B65" s="1"/>
      <c r="C65" s="11"/>
      <c r="D65" s="1"/>
      <c r="E65" s="1"/>
      <c r="F65" s="12"/>
      <c r="G65" s="12"/>
      <c r="H65" s="67"/>
    </row>
    <row r="66" spans="1:8" x14ac:dyDescent="0.2">
      <c r="A66" s="1"/>
      <c r="B66" s="1"/>
      <c r="C66" s="2" t="s">
        <v>113</v>
      </c>
      <c r="D66" s="1"/>
      <c r="E66" s="1"/>
      <c r="F66" s="12"/>
      <c r="G66" s="12"/>
      <c r="H66" s="67"/>
    </row>
    <row r="67" spans="1:8" ht="25.5" x14ac:dyDescent="0.2">
      <c r="A67" s="1"/>
      <c r="B67" s="1"/>
      <c r="C67" s="2" t="s">
        <v>10</v>
      </c>
      <c r="D67" s="1"/>
      <c r="E67" s="1"/>
      <c r="F67" s="12"/>
      <c r="G67" s="12"/>
      <c r="H67" s="67"/>
    </row>
    <row r="68" spans="1:8" x14ac:dyDescent="0.2">
      <c r="A68" s="1"/>
      <c r="B68" s="1"/>
      <c r="C68" s="2" t="s">
        <v>105</v>
      </c>
      <c r="D68" s="1"/>
      <c r="E68" s="1" t="s">
        <v>106</v>
      </c>
      <c r="F68" s="13">
        <v>0</v>
      </c>
      <c r="G68" s="14">
        <v>0</v>
      </c>
      <c r="H68" s="67"/>
    </row>
    <row r="69" spans="1:8" x14ac:dyDescent="0.2">
      <c r="A69" s="1"/>
      <c r="B69" s="1"/>
      <c r="C69" s="11"/>
      <c r="D69" s="1"/>
      <c r="E69" s="1"/>
      <c r="F69" s="12"/>
      <c r="G69" s="12"/>
      <c r="H69" s="67"/>
    </row>
    <row r="70" spans="1:8" x14ac:dyDescent="0.2">
      <c r="A70" s="1"/>
      <c r="B70" s="1"/>
      <c r="C70" s="2" t="s">
        <v>114</v>
      </c>
      <c r="D70" s="1"/>
      <c r="E70" s="1"/>
      <c r="F70" s="1"/>
      <c r="G70" s="1"/>
      <c r="H70" s="67"/>
    </row>
    <row r="71" spans="1:8" x14ac:dyDescent="0.2">
      <c r="A71" s="1"/>
      <c r="B71" s="1"/>
      <c r="C71" s="2" t="s">
        <v>105</v>
      </c>
      <c r="D71" s="1"/>
      <c r="E71" s="1" t="s">
        <v>106</v>
      </c>
      <c r="F71" s="13">
        <v>0</v>
      </c>
      <c r="G71" s="14">
        <v>0</v>
      </c>
      <c r="H71" s="67"/>
    </row>
    <row r="72" spans="1:8" x14ac:dyDescent="0.2">
      <c r="A72" s="1"/>
      <c r="B72" s="1"/>
      <c r="C72" s="11"/>
      <c r="D72" s="1"/>
      <c r="E72" s="1"/>
      <c r="F72" s="12"/>
      <c r="G72" s="12"/>
      <c r="H72" s="67"/>
    </row>
    <row r="73" spans="1:8" x14ac:dyDescent="0.2">
      <c r="A73" s="1"/>
      <c r="B73" s="1"/>
      <c r="C73" s="2" t="s">
        <v>115</v>
      </c>
      <c r="D73" s="1"/>
      <c r="E73" s="1"/>
      <c r="F73" s="1"/>
      <c r="G73" s="1"/>
      <c r="H73" s="67"/>
    </row>
    <row r="74" spans="1:8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">
        <v>0</v>
      </c>
      <c r="H74" s="67"/>
    </row>
    <row r="75" spans="1:8" x14ac:dyDescent="0.2">
      <c r="A75" s="1"/>
      <c r="B75" s="1"/>
      <c r="C75" s="11"/>
      <c r="D75" s="1"/>
      <c r="E75" s="1"/>
      <c r="F75" s="12"/>
      <c r="G75" s="12"/>
      <c r="H75" s="67"/>
    </row>
    <row r="76" spans="1:8" x14ac:dyDescent="0.2">
      <c r="A76" s="1"/>
      <c r="B76" s="1"/>
      <c r="C76" s="2" t="s">
        <v>116</v>
      </c>
      <c r="D76" s="1"/>
      <c r="E76" s="1"/>
      <c r="F76" s="12"/>
      <c r="G76" s="12"/>
      <c r="H76" s="67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7"/>
    </row>
    <row r="78" spans="1:8" x14ac:dyDescent="0.2">
      <c r="A78" s="1"/>
      <c r="B78" s="1"/>
      <c r="C78" s="11"/>
      <c r="D78" s="1"/>
      <c r="E78" s="1"/>
      <c r="F78" s="12"/>
      <c r="G78" s="12"/>
      <c r="H78" s="67"/>
    </row>
    <row r="79" spans="1:8" x14ac:dyDescent="0.2">
      <c r="A79" s="1"/>
      <c r="B79" s="1"/>
      <c r="C79" s="2" t="s">
        <v>117</v>
      </c>
      <c r="D79" s="1"/>
      <c r="E79" s="1"/>
      <c r="F79" s="9">
        <v>0</v>
      </c>
      <c r="G79" s="10">
        <v>0</v>
      </c>
      <c r="H79" s="67"/>
    </row>
    <row r="80" spans="1:8" x14ac:dyDescent="0.2">
      <c r="A80" s="1"/>
      <c r="B80" s="1"/>
      <c r="C80" s="11"/>
      <c r="D80" s="1"/>
      <c r="E80" s="1"/>
      <c r="F80" s="12"/>
      <c r="G80" s="12"/>
      <c r="H80" s="67"/>
    </row>
    <row r="81" spans="1:8" x14ac:dyDescent="0.2">
      <c r="A81" s="1"/>
      <c r="B81" s="1"/>
      <c r="C81" s="2" t="s">
        <v>118</v>
      </c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119</v>
      </c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7"/>
    </row>
    <row r="84" spans="1:8" x14ac:dyDescent="0.2">
      <c r="A84" s="1"/>
      <c r="B84" s="1"/>
      <c r="C84" s="11"/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120</v>
      </c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7"/>
    </row>
    <row r="87" spans="1:8" x14ac:dyDescent="0.2">
      <c r="A87" s="1"/>
      <c r="B87" s="1"/>
      <c r="C87" s="11"/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121</v>
      </c>
      <c r="D88" s="1"/>
      <c r="E88" s="1"/>
      <c r="F88" s="12"/>
      <c r="G88" s="12"/>
      <c r="H88" s="67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">
        <v>0</v>
      </c>
      <c r="H89" s="67"/>
    </row>
    <row r="90" spans="1:8" x14ac:dyDescent="0.2">
      <c r="A90" s="1"/>
      <c r="B90" s="1"/>
      <c r="C90" s="11"/>
      <c r="D90" s="1"/>
      <c r="E90" s="1"/>
      <c r="F90" s="12"/>
      <c r="G90" s="12"/>
      <c r="H90" s="67"/>
    </row>
    <row r="91" spans="1:8" x14ac:dyDescent="0.2">
      <c r="A91" s="1"/>
      <c r="B91" s="1"/>
      <c r="C91" s="2" t="s">
        <v>122</v>
      </c>
      <c r="D91" s="1"/>
      <c r="E91" s="1"/>
      <c r="F91" s="12"/>
      <c r="G91" s="12"/>
      <c r="H91" s="67"/>
    </row>
    <row r="92" spans="1:8" x14ac:dyDescent="0.2">
      <c r="A92" s="3">
        <v>1</v>
      </c>
      <c r="B92" s="4"/>
      <c r="C92" s="4" t="s">
        <v>123</v>
      </c>
      <c r="D92" s="4"/>
      <c r="E92" s="8"/>
      <c r="F92" s="6">
        <v>1342.7051878</v>
      </c>
      <c r="G92" s="7">
        <v>2.2077579999999999E-2</v>
      </c>
      <c r="H92" s="67">
        <v>3.1047477660654299</v>
      </c>
    </row>
    <row r="93" spans="1:8" x14ac:dyDescent="0.2">
      <c r="A93" s="1"/>
      <c r="B93" s="1"/>
      <c r="C93" s="2" t="s">
        <v>105</v>
      </c>
      <c r="D93" s="1"/>
      <c r="E93" s="1" t="s">
        <v>106</v>
      </c>
      <c r="F93" s="9">
        <v>1342.7051878</v>
      </c>
      <c r="G93" s="10">
        <v>2.2077579999999999E-2</v>
      </c>
      <c r="H93" s="67"/>
    </row>
    <row r="94" spans="1:8" x14ac:dyDescent="0.2">
      <c r="A94" s="1"/>
      <c r="B94" s="1"/>
      <c r="C94" s="11"/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124</v>
      </c>
      <c r="D95" s="1"/>
      <c r="E95" s="1"/>
      <c r="F95" s="9">
        <v>1342.7051878</v>
      </c>
      <c r="G95" s="10">
        <v>2.2077579999999999E-2</v>
      </c>
      <c r="H95" s="67"/>
    </row>
    <row r="96" spans="1:8" x14ac:dyDescent="0.2">
      <c r="A96" s="1"/>
      <c r="B96" s="1"/>
      <c r="C96" s="12"/>
      <c r="D96" s="1"/>
      <c r="E96" s="1"/>
      <c r="F96" s="1"/>
      <c r="G96" s="1"/>
      <c r="H96" s="67"/>
    </row>
    <row r="97" spans="1:8" x14ac:dyDescent="0.2">
      <c r="A97" s="1"/>
      <c r="B97" s="1"/>
      <c r="C97" s="2" t="s">
        <v>125</v>
      </c>
      <c r="D97" s="1"/>
      <c r="E97" s="1"/>
      <c r="F97" s="1"/>
      <c r="G97" s="1"/>
      <c r="H97" s="67"/>
    </row>
    <row r="98" spans="1:8" x14ac:dyDescent="0.2">
      <c r="A98" s="1"/>
      <c r="B98" s="1"/>
      <c r="C98" s="2" t="s">
        <v>126</v>
      </c>
      <c r="D98" s="1"/>
      <c r="E98" s="1"/>
      <c r="F98" s="1"/>
      <c r="G98" s="1"/>
      <c r="H98" s="67"/>
    </row>
    <row r="99" spans="1:8" x14ac:dyDescent="0.2">
      <c r="A99" s="1"/>
      <c r="B99" s="1"/>
      <c r="C99" s="2" t="s">
        <v>105</v>
      </c>
      <c r="D99" s="1"/>
      <c r="E99" s="1" t="s">
        <v>106</v>
      </c>
      <c r="F99" s="13">
        <v>0</v>
      </c>
      <c r="G99" s="14">
        <v>0</v>
      </c>
      <c r="H99" s="67"/>
    </row>
    <row r="100" spans="1:8" x14ac:dyDescent="0.2">
      <c r="A100" s="1"/>
      <c r="B100" s="1"/>
      <c r="C100" s="11"/>
      <c r="D100" s="1"/>
      <c r="E100" s="1"/>
      <c r="F100" s="12"/>
      <c r="G100" s="12"/>
      <c r="H100" s="67"/>
    </row>
    <row r="101" spans="1:8" x14ac:dyDescent="0.2">
      <c r="A101" s="1"/>
      <c r="B101" s="1"/>
      <c r="C101" s="2" t="s">
        <v>127</v>
      </c>
      <c r="D101" s="1"/>
      <c r="E101" s="1"/>
      <c r="F101" s="1"/>
      <c r="G101" s="1"/>
      <c r="H101" s="67"/>
    </row>
    <row r="102" spans="1:8" x14ac:dyDescent="0.2">
      <c r="A102" s="1"/>
      <c r="B102" s="1"/>
      <c r="C102" s="2" t="s">
        <v>128</v>
      </c>
      <c r="D102" s="1"/>
      <c r="E102" s="1"/>
      <c r="F102" s="1"/>
      <c r="G102" s="1"/>
      <c r="H102" s="67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">
        <v>0</v>
      </c>
      <c r="H103" s="67"/>
    </row>
    <row r="104" spans="1:8" x14ac:dyDescent="0.2">
      <c r="A104" s="1"/>
      <c r="B104" s="1"/>
      <c r="C104" s="11"/>
      <c r="D104" s="1"/>
      <c r="E104" s="1"/>
      <c r="F104" s="12"/>
      <c r="G104" s="12"/>
      <c r="H104" s="67"/>
    </row>
    <row r="105" spans="1:8" x14ac:dyDescent="0.2">
      <c r="A105" s="1"/>
      <c r="B105" s="1"/>
      <c r="C105" s="11"/>
      <c r="D105" s="1"/>
      <c r="E105" s="1"/>
      <c r="F105" s="12"/>
      <c r="G105" s="12"/>
      <c r="H105" s="67"/>
    </row>
    <row r="106" spans="1:8" ht="25.5" x14ac:dyDescent="0.2">
      <c r="A106" s="1"/>
      <c r="B106" s="1"/>
      <c r="C106" s="2" t="s">
        <v>129</v>
      </c>
      <c r="D106" s="1"/>
      <c r="E106" s="1"/>
      <c r="F106" s="12"/>
      <c r="G106" s="12"/>
      <c r="H106" s="67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">
        <v>0</v>
      </c>
      <c r="H107" s="67"/>
    </row>
    <row r="108" spans="1:8" x14ac:dyDescent="0.2">
      <c r="A108" s="1"/>
      <c r="B108" s="1"/>
      <c r="C108" s="11"/>
      <c r="D108" s="1"/>
      <c r="E108" s="1"/>
      <c r="F108" s="12"/>
      <c r="G108" s="12"/>
      <c r="H108" s="67"/>
    </row>
    <row r="109" spans="1:8" x14ac:dyDescent="0.2">
      <c r="A109" s="1"/>
      <c r="B109" s="4"/>
      <c r="C109" s="4"/>
      <c r="D109" s="2"/>
      <c r="E109" s="1"/>
      <c r="F109" s="4"/>
      <c r="G109" s="8"/>
      <c r="H109" s="67"/>
    </row>
    <row r="110" spans="1:8" x14ac:dyDescent="0.2">
      <c r="A110" s="8"/>
      <c r="B110" s="4"/>
      <c r="C110" s="4" t="s">
        <v>130</v>
      </c>
      <c r="D110" s="4"/>
      <c r="E110" s="8"/>
      <c r="F110" s="6">
        <v>277.79436170999998</v>
      </c>
      <c r="G110" s="7">
        <v>4.5676650000000003E-3</v>
      </c>
      <c r="H110" s="67"/>
    </row>
    <row r="111" spans="1:8" x14ac:dyDescent="0.2">
      <c r="A111" s="11"/>
      <c r="B111" s="11"/>
      <c r="C111" s="2" t="s">
        <v>131</v>
      </c>
      <c r="D111" s="15"/>
      <c r="E111" s="15"/>
      <c r="F111" s="9">
        <v>60817.589400199002</v>
      </c>
      <c r="G111" s="10">
        <v>1.0000000019999999</v>
      </c>
      <c r="H111" s="67"/>
    </row>
    <row r="112" spans="1:8" ht="14.1" customHeight="1" x14ac:dyDescent="0.2">
      <c r="A112" s="16"/>
      <c r="B112" s="16"/>
      <c r="C112" s="16"/>
      <c r="D112" s="17"/>
      <c r="E112" s="17"/>
      <c r="F112" s="17"/>
      <c r="G112" s="17"/>
    </row>
    <row r="113" spans="1:7" ht="14.1" customHeight="1" x14ac:dyDescent="0.2">
      <c r="A113" s="18"/>
      <c r="B113" s="170" t="s">
        <v>106</v>
      </c>
      <c r="C113" s="170"/>
      <c r="D113" s="170"/>
      <c r="E113" s="170"/>
      <c r="F113" s="170"/>
      <c r="G113" s="20"/>
    </row>
    <row r="114" spans="1:7" ht="17.100000000000001" customHeight="1" x14ac:dyDescent="0.2">
      <c r="A114" s="18"/>
      <c r="B114" s="170" t="s">
        <v>132</v>
      </c>
      <c r="C114" s="170"/>
      <c r="D114" s="170"/>
      <c r="E114" s="170"/>
      <c r="F114" s="170"/>
      <c r="G114" s="20"/>
    </row>
    <row r="115" spans="1:7" ht="14.1" customHeight="1" x14ac:dyDescent="0.2">
      <c r="A115" s="18"/>
      <c r="B115" s="18"/>
      <c r="C115" s="18"/>
      <c r="D115" s="20"/>
      <c r="E115" s="20"/>
      <c r="F115" s="20"/>
      <c r="G115" s="20"/>
    </row>
    <row r="116" spans="1:7" ht="14.1" customHeight="1" x14ac:dyDescent="0.2">
      <c r="A116" s="18"/>
      <c r="B116" s="168" t="s">
        <v>133</v>
      </c>
      <c r="C116" s="169"/>
      <c r="D116" s="12" t="s">
        <v>106</v>
      </c>
      <c r="E116" s="21"/>
      <c r="F116" s="20"/>
      <c r="G116" s="20"/>
    </row>
    <row r="117" spans="1:7" ht="29.1" customHeight="1" x14ac:dyDescent="0.2">
      <c r="A117" s="18"/>
      <c r="B117" s="165" t="s">
        <v>134</v>
      </c>
      <c r="C117" s="166"/>
      <c r="D117" s="2" t="s">
        <v>135</v>
      </c>
      <c r="E117" s="21"/>
      <c r="F117" s="20"/>
      <c r="G117" s="20"/>
    </row>
    <row r="118" spans="1:7" ht="17.100000000000001" customHeight="1" x14ac:dyDescent="0.2">
      <c r="A118" s="144" t="s">
        <v>106</v>
      </c>
      <c r="B118" s="165" t="s">
        <v>968</v>
      </c>
      <c r="C118" s="166"/>
      <c r="D118" s="145" t="s">
        <v>969</v>
      </c>
      <c r="E118" s="21" t="s">
        <v>106</v>
      </c>
      <c r="F118" s="146" t="s">
        <v>106</v>
      </c>
      <c r="G118" s="146" t="s">
        <v>106</v>
      </c>
    </row>
    <row r="119" spans="1:7" ht="17.100000000000001" customHeight="1" x14ac:dyDescent="0.2">
      <c r="A119" s="18"/>
      <c r="B119" s="165" t="s">
        <v>137</v>
      </c>
      <c r="C119" s="166"/>
      <c r="D119" s="12" t="s">
        <v>106</v>
      </c>
      <c r="E119" s="21"/>
      <c r="F119" s="20"/>
      <c r="G119" s="20"/>
    </row>
    <row r="120" spans="1:7" ht="24" customHeight="1" x14ac:dyDescent="0.2">
      <c r="A120" s="22"/>
      <c r="B120" s="23" t="s">
        <v>106</v>
      </c>
      <c r="C120" s="23" t="s">
        <v>138</v>
      </c>
      <c r="D120" s="23" t="s">
        <v>139</v>
      </c>
      <c r="E120" s="22"/>
      <c r="F120" s="22"/>
      <c r="G120" s="22"/>
    </row>
    <row r="121" spans="1:7" ht="18" customHeight="1" x14ac:dyDescent="0.2">
      <c r="A121" s="22"/>
      <c r="B121" s="23" t="s">
        <v>140</v>
      </c>
      <c r="C121" s="23" t="s">
        <v>141</v>
      </c>
      <c r="D121" s="23" t="s">
        <v>142</v>
      </c>
      <c r="E121" s="22"/>
      <c r="F121" s="22"/>
      <c r="G121" s="22"/>
    </row>
    <row r="122" spans="1:7" ht="17.100000000000001" customHeight="1" x14ac:dyDescent="0.2">
      <c r="A122" s="22"/>
      <c r="B122" s="4" t="s">
        <v>143</v>
      </c>
      <c r="C122" s="24">
        <v>48.660400000000003</v>
      </c>
      <c r="D122" s="24">
        <v>49.5259</v>
      </c>
      <c r="E122" s="22"/>
      <c r="F122" s="19"/>
      <c r="G122" s="25"/>
    </row>
    <row r="123" spans="1:7" ht="17.100000000000001" customHeight="1" x14ac:dyDescent="0.2">
      <c r="A123" s="22"/>
      <c r="B123" s="4" t="s">
        <v>988</v>
      </c>
      <c r="C123" s="24">
        <v>37.542999999999999</v>
      </c>
      <c r="D123" s="24">
        <v>38.210799999999999</v>
      </c>
      <c r="E123" s="22"/>
      <c r="F123" s="19"/>
      <c r="G123" s="25"/>
    </row>
    <row r="124" spans="1:7" ht="17.100000000000001" customHeight="1" x14ac:dyDescent="0.2">
      <c r="A124" s="22"/>
      <c r="B124" s="4" t="s">
        <v>144</v>
      </c>
      <c r="C124" s="24">
        <v>46.543500000000002</v>
      </c>
      <c r="D124" s="24">
        <v>47.351100000000002</v>
      </c>
      <c r="E124" s="22"/>
      <c r="F124" s="19"/>
      <c r="G124" s="25"/>
    </row>
    <row r="125" spans="1:7" ht="17.100000000000001" customHeight="1" x14ac:dyDescent="0.2">
      <c r="A125" s="22"/>
      <c r="B125" s="4" t="s">
        <v>989</v>
      </c>
      <c r="C125" s="24">
        <v>35.728200000000001</v>
      </c>
      <c r="D125" s="24">
        <v>36.348100000000002</v>
      </c>
      <c r="E125" s="22"/>
      <c r="F125" s="19"/>
      <c r="G125" s="25"/>
    </row>
    <row r="126" spans="1:7" ht="14.1" customHeight="1" x14ac:dyDescent="0.2">
      <c r="A126" s="22"/>
      <c r="B126" s="22"/>
      <c r="C126" s="22"/>
      <c r="D126" s="22"/>
      <c r="E126" s="22"/>
      <c r="F126" s="22"/>
      <c r="G126" s="22"/>
    </row>
    <row r="127" spans="1:7" ht="17.100000000000001" customHeight="1" x14ac:dyDescent="0.2">
      <c r="A127" s="22"/>
      <c r="B127" s="165" t="s">
        <v>990</v>
      </c>
      <c r="C127" s="166"/>
      <c r="D127" s="2" t="s">
        <v>135</v>
      </c>
      <c r="E127" s="22"/>
      <c r="F127" s="22"/>
      <c r="G127" s="22"/>
    </row>
    <row r="128" spans="1:7" ht="18" customHeight="1" x14ac:dyDescent="0.2">
      <c r="A128" s="22"/>
      <c r="B128" s="26" t="s">
        <v>145</v>
      </c>
      <c r="C128" s="26" t="s">
        <v>145</v>
      </c>
      <c r="D128" s="26"/>
      <c r="E128" s="22"/>
      <c r="F128" s="22"/>
      <c r="G128" s="22"/>
    </row>
    <row r="129" spans="1:7" s="158" customFormat="1" x14ac:dyDescent="0.2">
      <c r="B129" s="167" t="s">
        <v>822</v>
      </c>
      <c r="C129" s="167"/>
      <c r="D129" s="167"/>
      <c r="E129" s="167"/>
      <c r="F129" s="167"/>
    </row>
    <row r="130" spans="1:7" ht="14.1" customHeight="1" x14ac:dyDescent="0.2">
      <c r="A130" s="22"/>
      <c r="B130" s="19"/>
      <c r="C130" s="19"/>
      <c r="D130" s="22"/>
      <c r="E130" s="22"/>
      <c r="F130" s="22"/>
      <c r="G130" s="22"/>
    </row>
    <row r="131" spans="1:7" ht="29.1" customHeight="1" x14ac:dyDescent="0.2">
      <c r="A131" s="22"/>
      <c r="B131" s="165" t="s">
        <v>146</v>
      </c>
      <c r="C131" s="166"/>
      <c r="D131" s="2" t="s">
        <v>135</v>
      </c>
      <c r="E131" s="22"/>
      <c r="F131" s="22"/>
      <c r="G131" s="22"/>
    </row>
    <row r="132" spans="1:7" ht="29.1" customHeight="1" x14ac:dyDescent="0.2">
      <c r="A132" s="22"/>
      <c r="B132" s="165" t="s">
        <v>147</v>
      </c>
      <c r="C132" s="166"/>
      <c r="D132" s="2" t="s">
        <v>135</v>
      </c>
      <c r="E132" s="22"/>
      <c r="F132" s="22"/>
      <c r="G132" s="22"/>
    </row>
    <row r="133" spans="1:7" ht="17.100000000000001" customHeight="1" x14ac:dyDescent="0.2">
      <c r="A133" s="22"/>
      <c r="B133" s="165" t="s">
        <v>148</v>
      </c>
      <c r="C133" s="166"/>
      <c r="D133" s="27">
        <v>0.39217795250039039</v>
      </c>
      <c r="E133" s="22"/>
      <c r="F133" s="19"/>
      <c r="G133" s="25"/>
    </row>
    <row r="134" spans="1:7" ht="17.100000000000001" customHeight="1" x14ac:dyDescent="0.2">
      <c r="A134" s="22"/>
      <c r="B134" s="165" t="s">
        <v>149</v>
      </c>
      <c r="C134" s="166"/>
      <c r="D134" s="2" t="s">
        <v>135</v>
      </c>
      <c r="E134" s="22"/>
      <c r="F134" s="22"/>
      <c r="G134" s="22"/>
    </row>
  </sheetData>
  <mergeCells count="15">
    <mergeCell ref="B116:C116"/>
    <mergeCell ref="B113:F113"/>
    <mergeCell ref="B114:F114"/>
    <mergeCell ref="A1:H1"/>
    <mergeCell ref="A2:H2"/>
    <mergeCell ref="A3:H3"/>
    <mergeCell ref="B133:C133"/>
    <mergeCell ref="B134:C134"/>
    <mergeCell ref="B117:C117"/>
    <mergeCell ref="B118:C118"/>
    <mergeCell ref="B119:C119"/>
    <mergeCell ref="B127:C127"/>
    <mergeCell ref="B131:C131"/>
    <mergeCell ref="B132:C132"/>
    <mergeCell ref="B129:F129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6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5" x14ac:dyDescent="0.2">
      <c r="A2" s="172" t="s">
        <v>150</v>
      </c>
      <c r="B2" s="173"/>
      <c r="C2" s="173"/>
      <c r="D2" s="173"/>
      <c r="E2" s="173"/>
      <c r="F2" s="173"/>
      <c r="G2" s="173"/>
      <c r="H2" s="174"/>
    </row>
    <row r="3" spans="1:8" ht="15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151</v>
      </c>
      <c r="C7" s="4" t="s">
        <v>152</v>
      </c>
      <c r="D7" s="4" t="s">
        <v>153</v>
      </c>
      <c r="E7" s="5">
        <v>16939</v>
      </c>
      <c r="F7" s="6">
        <v>682.23516400000005</v>
      </c>
      <c r="G7" s="7">
        <v>3.4552399999999997E-2</v>
      </c>
      <c r="H7" s="67"/>
    </row>
    <row r="8" spans="1:8" x14ac:dyDescent="0.2">
      <c r="A8" s="3">
        <v>2</v>
      </c>
      <c r="B8" s="4" t="s">
        <v>25</v>
      </c>
      <c r="C8" s="4" t="s">
        <v>26</v>
      </c>
      <c r="D8" s="4" t="s">
        <v>27</v>
      </c>
      <c r="E8" s="5">
        <v>50189</v>
      </c>
      <c r="F8" s="6">
        <v>647.91489549999994</v>
      </c>
      <c r="G8" s="7">
        <v>3.2814219999999998E-2</v>
      </c>
      <c r="H8" s="67"/>
    </row>
    <row r="9" spans="1:8" x14ac:dyDescent="0.2">
      <c r="A9" s="3">
        <v>3</v>
      </c>
      <c r="B9" s="4" t="s">
        <v>154</v>
      </c>
      <c r="C9" s="4" t="s">
        <v>155</v>
      </c>
      <c r="D9" s="4" t="s">
        <v>81</v>
      </c>
      <c r="E9" s="5">
        <v>428006</v>
      </c>
      <c r="F9" s="6">
        <v>504.61907400000001</v>
      </c>
      <c r="G9" s="7">
        <v>2.5556876999999999E-2</v>
      </c>
      <c r="H9" s="67"/>
    </row>
    <row r="10" spans="1:8" x14ac:dyDescent="0.2">
      <c r="A10" s="3">
        <v>4</v>
      </c>
      <c r="B10" s="4" t="s">
        <v>156</v>
      </c>
      <c r="C10" s="4" t="s">
        <v>157</v>
      </c>
      <c r="D10" s="4" t="s">
        <v>153</v>
      </c>
      <c r="E10" s="5">
        <v>34361</v>
      </c>
      <c r="F10" s="6">
        <v>482.18791299999998</v>
      </c>
      <c r="G10" s="7">
        <v>2.4420831E-2</v>
      </c>
      <c r="H10" s="67"/>
    </row>
    <row r="11" spans="1:8" x14ac:dyDescent="0.2">
      <c r="A11" s="3">
        <v>5</v>
      </c>
      <c r="B11" s="4" t="s">
        <v>158</v>
      </c>
      <c r="C11" s="4" t="s">
        <v>159</v>
      </c>
      <c r="D11" s="4" t="s">
        <v>27</v>
      </c>
      <c r="E11" s="5">
        <v>62322</v>
      </c>
      <c r="F11" s="6">
        <v>474.955962</v>
      </c>
      <c r="G11" s="7">
        <v>2.4054563000000001E-2</v>
      </c>
      <c r="H11" s="67"/>
    </row>
    <row r="12" spans="1:8" x14ac:dyDescent="0.2">
      <c r="A12" s="3">
        <v>6</v>
      </c>
      <c r="B12" s="4" t="s">
        <v>160</v>
      </c>
      <c r="C12" s="4" t="s">
        <v>161</v>
      </c>
      <c r="D12" s="4" t="s">
        <v>1003</v>
      </c>
      <c r="E12" s="5">
        <v>38759</v>
      </c>
      <c r="F12" s="6">
        <v>467.97616599999998</v>
      </c>
      <c r="G12" s="7">
        <v>2.3701065E-2</v>
      </c>
      <c r="H12" s="67"/>
    </row>
    <row r="13" spans="1:8" x14ac:dyDescent="0.2">
      <c r="A13" s="3">
        <v>7</v>
      </c>
      <c r="B13" s="4" t="s">
        <v>162</v>
      </c>
      <c r="C13" s="4" t="s">
        <v>163</v>
      </c>
      <c r="D13" s="4" t="s">
        <v>27</v>
      </c>
      <c r="E13" s="5">
        <v>60020</v>
      </c>
      <c r="F13" s="6">
        <v>458.82288999999997</v>
      </c>
      <c r="G13" s="7">
        <v>2.3237489E-2</v>
      </c>
      <c r="H13" s="67"/>
    </row>
    <row r="14" spans="1:8" x14ac:dyDescent="0.2">
      <c r="A14" s="3">
        <v>8</v>
      </c>
      <c r="B14" s="4" t="s">
        <v>164</v>
      </c>
      <c r="C14" s="4" t="s">
        <v>165</v>
      </c>
      <c r="D14" s="4" t="s">
        <v>166</v>
      </c>
      <c r="E14" s="5">
        <v>129554</v>
      </c>
      <c r="F14" s="6">
        <v>436.337872</v>
      </c>
      <c r="G14" s="7">
        <v>2.2098715000000001E-2</v>
      </c>
      <c r="H14" s="67"/>
    </row>
    <row r="15" spans="1:8" ht="25.5" x14ac:dyDescent="0.2">
      <c r="A15" s="3">
        <v>9</v>
      </c>
      <c r="B15" s="4" t="s">
        <v>30</v>
      </c>
      <c r="C15" s="4" t="s">
        <v>998</v>
      </c>
      <c r="D15" s="4" t="s">
        <v>992</v>
      </c>
      <c r="E15" s="5">
        <v>12014</v>
      </c>
      <c r="F15" s="6">
        <v>393.02599600000002</v>
      </c>
      <c r="G15" s="7">
        <v>1.9905147000000002E-2</v>
      </c>
      <c r="H15" s="67"/>
    </row>
    <row r="16" spans="1:8" x14ac:dyDescent="0.2">
      <c r="A16" s="3">
        <v>10</v>
      </c>
      <c r="B16" s="4" t="s">
        <v>85</v>
      </c>
      <c r="C16" s="4" t="s">
        <v>86</v>
      </c>
      <c r="D16" s="4" t="s">
        <v>1000</v>
      </c>
      <c r="E16" s="5">
        <v>250692</v>
      </c>
      <c r="F16" s="6">
        <v>382.05460799999997</v>
      </c>
      <c r="G16" s="7">
        <v>1.9349491999999999E-2</v>
      </c>
      <c r="H16" s="67"/>
    </row>
    <row r="17" spans="1:8" x14ac:dyDescent="0.2">
      <c r="A17" s="3">
        <v>11</v>
      </c>
      <c r="B17" s="4" t="s">
        <v>167</v>
      </c>
      <c r="C17" s="4" t="s">
        <v>168</v>
      </c>
      <c r="D17" s="4" t="s">
        <v>166</v>
      </c>
      <c r="E17" s="5">
        <v>10880</v>
      </c>
      <c r="F17" s="6">
        <v>361.43903999999998</v>
      </c>
      <c r="G17" s="7">
        <v>1.8305398000000001E-2</v>
      </c>
      <c r="H17" s="67"/>
    </row>
    <row r="18" spans="1:8" x14ac:dyDescent="0.2">
      <c r="A18" s="3">
        <v>12</v>
      </c>
      <c r="B18" s="4" t="s">
        <v>169</v>
      </c>
      <c r="C18" s="4" t="s">
        <v>170</v>
      </c>
      <c r="D18" s="4" t="s">
        <v>171</v>
      </c>
      <c r="E18" s="5">
        <v>49328</v>
      </c>
      <c r="F18" s="6">
        <v>356.64143999999999</v>
      </c>
      <c r="G18" s="7">
        <v>1.8062419999999999E-2</v>
      </c>
      <c r="H18" s="67"/>
    </row>
    <row r="19" spans="1:8" x14ac:dyDescent="0.2">
      <c r="A19" s="3">
        <v>13</v>
      </c>
      <c r="B19" s="4" t="s">
        <v>172</v>
      </c>
      <c r="C19" s="4" t="s">
        <v>173</v>
      </c>
      <c r="D19" s="4" t="s">
        <v>331</v>
      </c>
      <c r="E19" s="5">
        <v>37086</v>
      </c>
      <c r="F19" s="6">
        <v>353.59646700000002</v>
      </c>
      <c r="G19" s="7">
        <v>1.7908204E-2</v>
      </c>
      <c r="H19" s="67"/>
    </row>
    <row r="20" spans="1:8" x14ac:dyDescent="0.2">
      <c r="A20" s="3">
        <v>14</v>
      </c>
      <c r="B20" s="4" t="s">
        <v>174</v>
      </c>
      <c r="C20" s="4" t="s">
        <v>175</v>
      </c>
      <c r="D20" s="4" t="s">
        <v>55</v>
      </c>
      <c r="E20" s="5">
        <v>87154</v>
      </c>
      <c r="F20" s="6">
        <v>350.83842700000002</v>
      </c>
      <c r="G20" s="7">
        <v>1.7768520999999999E-2</v>
      </c>
      <c r="H20" s="67"/>
    </row>
    <row r="21" spans="1:8" x14ac:dyDescent="0.2">
      <c r="A21" s="3">
        <v>15</v>
      </c>
      <c r="B21" s="4" t="s">
        <v>63</v>
      </c>
      <c r="C21" s="4" t="s">
        <v>64</v>
      </c>
      <c r="D21" s="4" t="s">
        <v>55</v>
      </c>
      <c r="E21" s="5">
        <v>130612</v>
      </c>
      <c r="F21" s="6">
        <v>338.28507999999999</v>
      </c>
      <c r="G21" s="7">
        <v>1.7132746000000001E-2</v>
      </c>
      <c r="H21" s="67"/>
    </row>
    <row r="22" spans="1:8" ht="25.5" x14ac:dyDescent="0.2">
      <c r="A22" s="3">
        <v>16</v>
      </c>
      <c r="B22" s="4" t="s">
        <v>176</v>
      </c>
      <c r="C22" s="4" t="s">
        <v>995</v>
      </c>
      <c r="D22" s="4" t="s">
        <v>992</v>
      </c>
      <c r="E22" s="5">
        <v>125135</v>
      </c>
      <c r="F22" s="6">
        <v>331.10721000000001</v>
      </c>
      <c r="G22" s="7">
        <v>1.6769216E-2</v>
      </c>
      <c r="H22" s="67"/>
    </row>
    <row r="23" spans="1:8" x14ac:dyDescent="0.2">
      <c r="A23" s="3">
        <v>17</v>
      </c>
      <c r="B23" s="4" t="s">
        <v>177</v>
      </c>
      <c r="C23" s="4" t="s">
        <v>178</v>
      </c>
      <c r="D23" s="4" t="s">
        <v>179</v>
      </c>
      <c r="E23" s="5">
        <v>137606</v>
      </c>
      <c r="F23" s="6">
        <v>329.56637000000001</v>
      </c>
      <c r="G23" s="7">
        <v>1.6691179E-2</v>
      </c>
      <c r="H23" s="67"/>
    </row>
    <row r="24" spans="1:8" x14ac:dyDescent="0.2">
      <c r="A24" s="3">
        <v>18</v>
      </c>
      <c r="B24" s="4" t="s">
        <v>180</v>
      </c>
      <c r="C24" s="4" t="s">
        <v>181</v>
      </c>
      <c r="D24" s="4" t="s">
        <v>171</v>
      </c>
      <c r="E24" s="5">
        <v>24077</v>
      </c>
      <c r="F24" s="6">
        <v>328.56678049999999</v>
      </c>
      <c r="G24" s="7">
        <v>1.6640553999999998E-2</v>
      </c>
      <c r="H24" s="67"/>
    </row>
    <row r="25" spans="1:8" x14ac:dyDescent="0.2">
      <c r="A25" s="3">
        <v>19</v>
      </c>
      <c r="B25" s="4" t="s">
        <v>182</v>
      </c>
      <c r="C25" s="4" t="s">
        <v>183</v>
      </c>
      <c r="D25" s="4" t="s">
        <v>184</v>
      </c>
      <c r="E25" s="5">
        <v>32673</v>
      </c>
      <c r="F25" s="6">
        <v>322.17211650000002</v>
      </c>
      <c r="G25" s="7">
        <v>1.6316689999999998E-2</v>
      </c>
      <c r="H25" s="67"/>
    </row>
    <row r="26" spans="1:8" x14ac:dyDescent="0.2">
      <c r="A26" s="3">
        <v>20</v>
      </c>
      <c r="B26" s="4" t="s">
        <v>185</v>
      </c>
      <c r="C26" s="4" t="s">
        <v>186</v>
      </c>
      <c r="D26" s="4" t="s">
        <v>187</v>
      </c>
      <c r="E26" s="5">
        <v>66638</v>
      </c>
      <c r="F26" s="6">
        <v>319.69580500000001</v>
      </c>
      <c r="G26" s="7">
        <v>1.6191275000000001E-2</v>
      </c>
      <c r="H26" s="67"/>
    </row>
    <row r="27" spans="1:8" x14ac:dyDescent="0.2">
      <c r="A27" s="3">
        <v>21</v>
      </c>
      <c r="B27" s="4" t="s">
        <v>37</v>
      </c>
      <c r="C27" s="4" t="s">
        <v>38</v>
      </c>
      <c r="D27" s="4" t="s">
        <v>27</v>
      </c>
      <c r="E27" s="5">
        <v>26435</v>
      </c>
      <c r="F27" s="6">
        <v>314.82763249999999</v>
      </c>
      <c r="G27" s="7">
        <v>1.5944722000000001E-2</v>
      </c>
      <c r="H27" s="67"/>
    </row>
    <row r="28" spans="1:8" x14ac:dyDescent="0.2">
      <c r="A28" s="3">
        <v>22</v>
      </c>
      <c r="B28" s="4" t="s">
        <v>188</v>
      </c>
      <c r="C28" s="4" t="s">
        <v>189</v>
      </c>
      <c r="D28" s="4" t="s">
        <v>166</v>
      </c>
      <c r="E28" s="5">
        <v>6366</v>
      </c>
      <c r="F28" s="6">
        <v>302.98340400000001</v>
      </c>
      <c r="G28" s="7">
        <v>1.5344861E-2</v>
      </c>
      <c r="H28" s="67"/>
    </row>
    <row r="29" spans="1:8" x14ac:dyDescent="0.2">
      <c r="A29" s="3">
        <v>23</v>
      </c>
      <c r="B29" s="4" t="s">
        <v>190</v>
      </c>
      <c r="C29" s="4" t="s">
        <v>191</v>
      </c>
      <c r="D29" s="4" t="s">
        <v>41</v>
      </c>
      <c r="E29" s="5">
        <v>73119</v>
      </c>
      <c r="F29" s="6">
        <v>301.03092299999997</v>
      </c>
      <c r="G29" s="7">
        <v>1.5245976E-2</v>
      </c>
      <c r="H29" s="67"/>
    </row>
    <row r="30" spans="1:8" x14ac:dyDescent="0.2">
      <c r="A30" s="3">
        <v>24</v>
      </c>
      <c r="B30" s="4" t="s">
        <v>192</v>
      </c>
      <c r="C30" s="4" t="s">
        <v>193</v>
      </c>
      <c r="D30" s="4" t="s">
        <v>81</v>
      </c>
      <c r="E30" s="5">
        <v>52269</v>
      </c>
      <c r="F30" s="6">
        <v>298.27304850000002</v>
      </c>
      <c r="G30" s="7">
        <v>1.5106301000000001E-2</v>
      </c>
      <c r="H30" s="67"/>
    </row>
    <row r="31" spans="1:8" x14ac:dyDescent="0.2">
      <c r="A31" s="3">
        <v>25</v>
      </c>
      <c r="B31" s="4" t="s">
        <v>194</v>
      </c>
      <c r="C31" s="4" t="s">
        <v>195</v>
      </c>
      <c r="D31" s="4" t="s">
        <v>55</v>
      </c>
      <c r="E31" s="5">
        <v>30856</v>
      </c>
      <c r="F31" s="6">
        <v>297.390128</v>
      </c>
      <c r="G31" s="7">
        <v>1.5061585000000001E-2</v>
      </c>
      <c r="H31" s="67"/>
    </row>
    <row r="32" spans="1:8" x14ac:dyDescent="0.2">
      <c r="A32" s="3">
        <v>26</v>
      </c>
      <c r="B32" s="4" t="s">
        <v>196</v>
      </c>
      <c r="C32" s="4" t="s">
        <v>197</v>
      </c>
      <c r="D32" s="4" t="s">
        <v>1004</v>
      </c>
      <c r="E32" s="5">
        <v>92489</v>
      </c>
      <c r="F32" s="6">
        <v>286.02223249999997</v>
      </c>
      <c r="G32" s="7">
        <v>1.4485848000000001E-2</v>
      </c>
      <c r="H32" s="67"/>
    </row>
    <row r="33" spans="1:8" x14ac:dyDescent="0.2">
      <c r="A33" s="3">
        <v>27</v>
      </c>
      <c r="B33" s="4" t="s">
        <v>198</v>
      </c>
      <c r="C33" s="4" t="s">
        <v>199</v>
      </c>
      <c r="D33" s="4" t="s">
        <v>166</v>
      </c>
      <c r="E33" s="5">
        <v>29067</v>
      </c>
      <c r="F33" s="6">
        <v>284.11539149999999</v>
      </c>
      <c r="G33" s="7">
        <v>1.4389274000000001E-2</v>
      </c>
      <c r="H33" s="67"/>
    </row>
    <row r="34" spans="1:8" x14ac:dyDescent="0.2">
      <c r="A34" s="3">
        <v>28</v>
      </c>
      <c r="B34" s="4" t="s">
        <v>200</v>
      </c>
      <c r="C34" s="4" t="s">
        <v>201</v>
      </c>
      <c r="D34" s="4" t="s">
        <v>49</v>
      </c>
      <c r="E34" s="5">
        <v>116346</v>
      </c>
      <c r="F34" s="6">
        <v>283.36068299999999</v>
      </c>
      <c r="G34" s="7">
        <v>1.4351051E-2</v>
      </c>
      <c r="H34" s="67"/>
    </row>
    <row r="35" spans="1:8" ht="25.5" x14ac:dyDescent="0.2">
      <c r="A35" s="3">
        <v>29</v>
      </c>
      <c r="B35" s="4" t="s">
        <v>202</v>
      </c>
      <c r="C35" s="4" t="s">
        <v>203</v>
      </c>
      <c r="D35" s="4" t="s">
        <v>52</v>
      </c>
      <c r="E35" s="5">
        <v>59268</v>
      </c>
      <c r="F35" s="6">
        <v>276.33704999999998</v>
      </c>
      <c r="G35" s="7">
        <v>1.3995333E-2</v>
      </c>
      <c r="H35" s="67"/>
    </row>
    <row r="36" spans="1:8" x14ac:dyDescent="0.2">
      <c r="A36" s="3">
        <v>30</v>
      </c>
      <c r="B36" s="4" t="s">
        <v>204</v>
      </c>
      <c r="C36" s="4" t="s">
        <v>205</v>
      </c>
      <c r="D36" s="4" t="s">
        <v>27</v>
      </c>
      <c r="E36" s="5">
        <v>16344</v>
      </c>
      <c r="F36" s="6">
        <v>271.41663599999998</v>
      </c>
      <c r="G36" s="7">
        <v>1.3746134E-2</v>
      </c>
      <c r="H36" s="67"/>
    </row>
    <row r="37" spans="1:8" x14ac:dyDescent="0.2">
      <c r="A37" s="3">
        <v>31</v>
      </c>
      <c r="B37" s="4" t="s">
        <v>206</v>
      </c>
      <c r="C37" s="4" t="s">
        <v>207</v>
      </c>
      <c r="D37" s="4" t="s">
        <v>187</v>
      </c>
      <c r="E37" s="5">
        <v>40455</v>
      </c>
      <c r="F37" s="6">
        <v>269.67302999999998</v>
      </c>
      <c r="G37" s="7">
        <v>1.3657828E-2</v>
      </c>
      <c r="H37" s="67"/>
    </row>
    <row r="38" spans="1:8" x14ac:dyDescent="0.2">
      <c r="A38" s="3">
        <v>32</v>
      </c>
      <c r="B38" s="4" t="s">
        <v>208</v>
      </c>
      <c r="C38" s="4" t="s">
        <v>209</v>
      </c>
      <c r="D38" s="4" t="s">
        <v>1005</v>
      </c>
      <c r="E38" s="5">
        <v>31000</v>
      </c>
      <c r="F38" s="6">
        <v>262.52350000000001</v>
      </c>
      <c r="G38" s="7">
        <v>1.3295734E-2</v>
      </c>
      <c r="H38" s="67"/>
    </row>
    <row r="39" spans="1:8" x14ac:dyDescent="0.2">
      <c r="A39" s="3">
        <v>33</v>
      </c>
      <c r="B39" s="4" t="s">
        <v>210</v>
      </c>
      <c r="C39" s="4" t="s">
        <v>211</v>
      </c>
      <c r="D39" s="4" t="s">
        <v>212</v>
      </c>
      <c r="E39" s="5">
        <v>103185</v>
      </c>
      <c r="F39" s="6">
        <v>258.68479500000001</v>
      </c>
      <c r="G39" s="7">
        <v>1.3101319E-2</v>
      </c>
      <c r="H39" s="67"/>
    </row>
    <row r="40" spans="1:8" x14ac:dyDescent="0.2">
      <c r="A40" s="3">
        <v>34</v>
      </c>
      <c r="B40" s="4" t="s">
        <v>213</v>
      </c>
      <c r="C40" s="4" t="s">
        <v>214</v>
      </c>
      <c r="D40" s="4" t="s">
        <v>81</v>
      </c>
      <c r="E40" s="5">
        <v>44944</v>
      </c>
      <c r="F40" s="6">
        <v>256.60776800000002</v>
      </c>
      <c r="G40" s="7">
        <v>1.2996126E-2</v>
      </c>
      <c r="H40" s="67"/>
    </row>
    <row r="41" spans="1:8" x14ac:dyDescent="0.2">
      <c r="A41" s="3">
        <v>35</v>
      </c>
      <c r="B41" s="4" t="s">
        <v>77</v>
      </c>
      <c r="C41" s="4" t="s">
        <v>78</v>
      </c>
      <c r="D41" s="4" t="s">
        <v>69</v>
      </c>
      <c r="E41" s="5">
        <v>74785</v>
      </c>
      <c r="F41" s="6">
        <v>250.11843250000001</v>
      </c>
      <c r="G41" s="7">
        <v>1.2667467999999999E-2</v>
      </c>
      <c r="H41" s="67"/>
    </row>
    <row r="42" spans="1:8" x14ac:dyDescent="0.2">
      <c r="A42" s="3">
        <v>36</v>
      </c>
      <c r="B42" s="4" t="s">
        <v>215</v>
      </c>
      <c r="C42" s="4" t="s">
        <v>216</v>
      </c>
      <c r="D42" s="4" t="s">
        <v>69</v>
      </c>
      <c r="E42" s="5">
        <v>234660</v>
      </c>
      <c r="F42" s="6">
        <v>234.54266999999999</v>
      </c>
      <c r="G42" s="7">
        <v>1.1878619999999999E-2</v>
      </c>
      <c r="H42" s="67"/>
    </row>
    <row r="43" spans="1:8" ht="25.5" x14ac:dyDescent="0.2">
      <c r="A43" s="3">
        <v>37</v>
      </c>
      <c r="B43" s="4" t="s">
        <v>217</v>
      </c>
      <c r="C43" s="4" t="s">
        <v>218</v>
      </c>
      <c r="D43" s="4" t="s">
        <v>55</v>
      </c>
      <c r="E43" s="5">
        <v>10523</v>
      </c>
      <c r="F43" s="6">
        <v>230.84831249999999</v>
      </c>
      <c r="G43" s="7">
        <v>1.1691516000000001E-2</v>
      </c>
      <c r="H43" s="67"/>
    </row>
    <row r="44" spans="1:8" x14ac:dyDescent="0.2">
      <c r="A44" s="3">
        <v>38</v>
      </c>
      <c r="B44" s="4" t="s">
        <v>219</v>
      </c>
      <c r="C44" s="4" t="s">
        <v>220</v>
      </c>
      <c r="D44" s="4" t="s">
        <v>55</v>
      </c>
      <c r="E44" s="5">
        <v>26372</v>
      </c>
      <c r="F44" s="6">
        <v>223.819164</v>
      </c>
      <c r="G44" s="7">
        <v>1.1335517999999999E-2</v>
      </c>
      <c r="H44" s="67"/>
    </row>
    <row r="45" spans="1:8" ht="25.5" x14ac:dyDescent="0.2">
      <c r="A45" s="3">
        <v>39</v>
      </c>
      <c r="B45" s="4" t="s">
        <v>221</v>
      </c>
      <c r="C45" s="4" t="s">
        <v>222</v>
      </c>
      <c r="D45" s="4" t="s">
        <v>36</v>
      </c>
      <c r="E45" s="5">
        <v>260091</v>
      </c>
      <c r="F45" s="6">
        <v>223.41816900000001</v>
      </c>
      <c r="G45" s="7">
        <v>1.1315209999999999E-2</v>
      </c>
      <c r="H45" s="67"/>
    </row>
    <row r="46" spans="1:8" x14ac:dyDescent="0.2">
      <c r="A46" s="3">
        <v>40</v>
      </c>
      <c r="B46" s="4" t="s">
        <v>223</v>
      </c>
      <c r="C46" s="4" t="s">
        <v>224</v>
      </c>
      <c r="D46" s="4" t="s">
        <v>69</v>
      </c>
      <c r="E46" s="5">
        <v>25501</v>
      </c>
      <c r="F46" s="6">
        <v>220.00987749999999</v>
      </c>
      <c r="G46" s="7">
        <v>1.1142594E-2</v>
      </c>
      <c r="H46" s="67"/>
    </row>
    <row r="47" spans="1:8" ht="25.5" x14ac:dyDescent="0.2">
      <c r="A47" s="3">
        <v>41</v>
      </c>
      <c r="B47" s="4" t="s">
        <v>65</v>
      </c>
      <c r="C47" s="4" t="s">
        <v>66</v>
      </c>
      <c r="D47" s="4" t="s">
        <v>36</v>
      </c>
      <c r="E47" s="5">
        <v>28364</v>
      </c>
      <c r="F47" s="6">
        <v>206.532466</v>
      </c>
      <c r="G47" s="7">
        <v>1.0460018E-2</v>
      </c>
      <c r="H47" s="67"/>
    </row>
    <row r="48" spans="1:8" x14ac:dyDescent="0.2">
      <c r="A48" s="3">
        <v>42</v>
      </c>
      <c r="B48" s="4" t="s">
        <v>225</v>
      </c>
      <c r="C48" s="4" t="s">
        <v>226</v>
      </c>
      <c r="D48" s="4" t="s">
        <v>166</v>
      </c>
      <c r="E48" s="5">
        <v>14091</v>
      </c>
      <c r="F48" s="6">
        <v>201.17720700000001</v>
      </c>
      <c r="G48" s="7">
        <v>1.0188796999999999E-2</v>
      </c>
      <c r="H48" s="67"/>
    </row>
    <row r="49" spans="1:8" x14ac:dyDescent="0.2">
      <c r="A49" s="3">
        <v>43</v>
      </c>
      <c r="B49" s="4" t="s">
        <v>227</v>
      </c>
      <c r="C49" s="4" t="s">
        <v>228</v>
      </c>
      <c r="D49" s="4" t="s">
        <v>229</v>
      </c>
      <c r="E49" s="5">
        <v>41913</v>
      </c>
      <c r="F49" s="6">
        <v>200.595618</v>
      </c>
      <c r="G49" s="7">
        <v>1.0159342E-2</v>
      </c>
      <c r="H49" s="67"/>
    </row>
    <row r="50" spans="1:8" ht="25.5" x14ac:dyDescent="0.2">
      <c r="A50" s="3">
        <v>44</v>
      </c>
      <c r="B50" s="4" t="s">
        <v>230</v>
      </c>
      <c r="C50" s="4" t="s">
        <v>231</v>
      </c>
      <c r="D50" s="4" t="s">
        <v>52</v>
      </c>
      <c r="E50" s="5">
        <v>48460</v>
      </c>
      <c r="F50" s="6">
        <v>195.22111000000001</v>
      </c>
      <c r="G50" s="7">
        <v>9.887145E-3</v>
      </c>
      <c r="H50" s="67"/>
    </row>
    <row r="51" spans="1:8" x14ac:dyDescent="0.2">
      <c r="A51" s="3">
        <v>45</v>
      </c>
      <c r="B51" s="4" t="s">
        <v>232</v>
      </c>
      <c r="C51" s="4" t="s">
        <v>233</v>
      </c>
      <c r="D51" s="4" t="s">
        <v>55</v>
      </c>
      <c r="E51" s="5">
        <v>76732</v>
      </c>
      <c r="F51" s="6">
        <v>194.17032599999999</v>
      </c>
      <c r="G51" s="7">
        <v>9.8339269999999993E-3</v>
      </c>
      <c r="H51" s="67"/>
    </row>
    <row r="52" spans="1:8" x14ac:dyDescent="0.2">
      <c r="A52" s="3">
        <v>46</v>
      </c>
      <c r="B52" s="4" t="s">
        <v>234</v>
      </c>
      <c r="C52" s="4" t="s">
        <v>235</v>
      </c>
      <c r="D52" s="4" t="s">
        <v>187</v>
      </c>
      <c r="E52" s="5">
        <v>11356</v>
      </c>
      <c r="F52" s="6">
        <v>193.352934</v>
      </c>
      <c r="G52" s="7">
        <v>9.7925289999999995E-3</v>
      </c>
      <c r="H52" s="67"/>
    </row>
    <row r="53" spans="1:8" x14ac:dyDescent="0.2">
      <c r="A53" s="3">
        <v>47</v>
      </c>
      <c r="B53" s="4" t="s">
        <v>236</v>
      </c>
      <c r="C53" s="4" t="s">
        <v>237</v>
      </c>
      <c r="D53" s="4" t="s">
        <v>1000</v>
      </c>
      <c r="E53" s="5">
        <v>15202</v>
      </c>
      <c r="F53" s="6">
        <v>192.654946</v>
      </c>
      <c r="G53" s="7">
        <v>9.7571789999999995E-3</v>
      </c>
      <c r="H53" s="67"/>
    </row>
    <row r="54" spans="1:8" ht="25.5" x14ac:dyDescent="0.2">
      <c r="A54" s="3">
        <v>48</v>
      </c>
      <c r="B54" s="4" t="s">
        <v>238</v>
      </c>
      <c r="C54" s="4" t="s">
        <v>239</v>
      </c>
      <c r="D54" s="4" t="s">
        <v>1006</v>
      </c>
      <c r="E54" s="5">
        <v>185657</v>
      </c>
      <c r="F54" s="6">
        <v>190.85539600000001</v>
      </c>
      <c r="G54" s="7">
        <v>9.6660389999999995E-3</v>
      </c>
      <c r="H54" s="67"/>
    </row>
    <row r="55" spans="1:8" ht="25.5" x14ac:dyDescent="0.2">
      <c r="A55" s="3">
        <v>49</v>
      </c>
      <c r="B55" s="4" t="s">
        <v>240</v>
      </c>
      <c r="C55" s="4" t="s">
        <v>241</v>
      </c>
      <c r="D55" s="4" t="s">
        <v>52</v>
      </c>
      <c r="E55" s="5">
        <v>46200</v>
      </c>
      <c r="F55" s="6">
        <v>186.5325</v>
      </c>
      <c r="G55" s="7">
        <v>9.4471030000000001E-3</v>
      </c>
      <c r="H55" s="67"/>
    </row>
    <row r="56" spans="1:8" x14ac:dyDescent="0.2">
      <c r="A56" s="3">
        <v>50</v>
      </c>
      <c r="B56" s="4" t="s">
        <v>243</v>
      </c>
      <c r="C56" s="4" t="s">
        <v>244</v>
      </c>
      <c r="D56" s="4" t="s">
        <v>171</v>
      </c>
      <c r="E56" s="5">
        <v>51255</v>
      </c>
      <c r="F56" s="6">
        <v>185.799375</v>
      </c>
      <c r="G56" s="7">
        <v>9.4099730000000003E-3</v>
      </c>
      <c r="H56" s="67"/>
    </row>
    <row r="57" spans="1:8" x14ac:dyDescent="0.2">
      <c r="A57" s="3">
        <v>51</v>
      </c>
      <c r="B57" s="4" t="s">
        <v>245</v>
      </c>
      <c r="C57" s="4" t="s">
        <v>246</v>
      </c>
      <c r="D57" s="4" t="s">
        <v>81</v>
      </c>
      <c r="E57" s="5">
        <v>369714</v>
      </c>
      <c r="F57" s="6">
        <v>185.781285</v>
      </c>
      <c r="G57" s="7">
        <v>9.4090570000000002E-3</v>
      </c>
      <c r="H57" s="67"/>
    </row>
    <row r="58" spans="1:8" x14ac:dyDescent="0.2">
      <c r="A58" s="3">
        <v>52</v>
      </c>
      <c r="B58" s="4" t="s">
        <v>247</v>
      </c>
      <c r="C58" s="4" t="s">
        <v>248</v>
      </c>
      <c r="D58" s="4" t="s">
        <v>1001</v>
      </c>
      <c r="E58" s="5">
        <v>33060</v>
      </c>
      <c r="F58" s="6">
        <v>182.01183</v>
      </c>
      <c r="G58" s="7">
        <v>9.2181490000000001E-3</v>
      </c>
      <c r="H58" s="67"/>
    </row>
    <row r="59" spans="1:8" x14ac:dyDescent="0.2">
      <c r="A59" s="3">
        <v>53</v>
      </c>
      <c r="B59" s="4" t="s">
        <v>249</v>
      </c>
      <c r="C59" s="4" t="s">
        <v>250</v>
      </c>
      <c r="D59" s="4" t="s">
        <v>187</v>
      </c>
      <c r="E59" s="5">
        <v>33629</v>
      </c>
      <c r="F59" s="6">
        <v>180.26825450000001</v>
      </c>
      <c r="G59" s="7">
        <v>9.1298439999999998E-3</v>
      </c>
      <c r="H59" s="67"/>
    </row>
    <row r="60" spans="1:8" ht="25.5" x14ac:dyDescent="0.2">
      <c r="A60" s="3">
        <v>54</v>
      </c>
      <c r="B60" s="4" t="s">
        <v>251</v>
      </c>
      <c r="C60" s="4" t="s">
        <v>252</v>
      </c>
      <c r="D60" s="4" t="s">
        <v>992</v>
      </c>
      <c r="E60" s="5">
        <v>110156</v>
      </c>
      <c r="F60" s="6">
        <v>180.215216</v>
      </c>
      <c r="G60" s="7">
        <v>9.1271579999999998E-3</v>
      </c>
      <c r="H60" s="67"/>
    </row>
    <row r="61" spans="1:8" x14ac:dyDescent="0.2">
      <c r="A61" s="3">
        <v>55</v>
      </c>
      <c r="B61" s="4" t="s">
        <v>53</v>
      </c>
      <c r="C61" s="4" t="s">
        <v>54</v>
      </c>
      <c r="D61" s="4" t="s">
        <v>55</v>
      </c>
      <c r="E61" s="5">
        <v>5800</v>
      </c>
      <c r="F61" s="6">
        <v>167.9042</v>
      </c>
      <c r="G61" s="7">
        <v>8.5036560000000001E-3</v>
      </c>
      <c r="H61" s="67"/>
    </row>
    <row r="62" spans="1:8" x14ac:dyDescent="0.2">
      <c r="A62" s="3">
        <v>56</v>
      </c>
      <c r="B62" s="4" t="s">
        <v>253</v>
      </c>
      <c r="C62" s="4" t="s">
        <v>254</v>
      </c>
      <c r="D62" s="4" t="s">
        <v>49</v>
      </c>
      <c r="E62" s="5">
        <v>15808</v>
      </c>
      <c r="F62" s="6">
        <v>166.61632</v>
      </c>
      <c r="G62" s="7">
        <v>8.4384300000000002E-3</v>
      </c>
      <c r="H62" s="67"/>
    </row>
    <row r="63" spans="1:8" x14ac:dyDescent="0.2">
      <c r="A63" s="3">
        <v>57</v>
      </c>
      <c r="B63" s="4" t="s">
        <v>255</v>
      </c>
      <c r="C63" s="4" t="s">
        <v>256</v>
      </c>
      <c r="D63" s="4" t="s">
        <v>331</v>
      </c>
      <c r="E63" s="5">
        <v>11119</v>
      </c>
      <c r="F63" s="6">
        <v>165.506315</v>
      </c>
      <c r="G63" s="7">
        <v>8.3822129999999995E-3</v>
      </c>
      <c r="H63" s="67"/>
    </row>
    <row r="64" spans="1:8" x14ac:dyDescent="0.2">
      <c r="A64" s="3">
        <v>58</v>
      </c>
      <c r="B64" s="4" t="s">
        <v>257</v>
      </c>
      <c r="C64" s="4" t="s">
        <v>258</v>
      </c>
      <c r="D64" s="4" t="s">
        <v>1001</v>
      </c>
      <c r="E64" s="5">
        <v>128054</v>
      </c>
      <c r="F64" s="6">
        <v>160.19555399999999</v>
      </c>
      <c r="G64" s="7">
        <v>8.1132449999999998E-3</v>
      </c>
      <c r="H64" s="67"/>
    </row>
    <row r="65" spans="1:8" x14ac:dyDescent="0.2">
      <c r="A65" s="3">
        <v>59</v>
      </c>
      <c r="B65" s="4" t="s">
        <v>259</v>
      </c>
      <c r="C65" s="4" t="s">
        <v>260</v>
      </c>
      <c r="D65" s="4" t="s">
        <v>261</v>
      </c>
      <c r="E65" s="5">
        <v>21457</v>
      </c>
      <c r="F65" s="6">
        <v>159.05001250000001</v>
      </c>
      <c r="G65" s="7">
        <v>8.0552279999999993E-3</v>
      </c>
      <c r="H65" s="67"/>
    </row>
    <row r="66" spans="1:8" x14ac:dyDescent="0.2">
      <c r="A66" s="3">
        <v>60</v>
      </c>
      <c r="B66" s="4" t="s">
        <v>262</v>
      </c>
      <c r="C66" s="4" t="s">
        <v>263</v>
      </c>
      <c r="D66" s="4" t="s">
        <v>171</v>
      </c>
      <c r="E66" s="5">
        <v>23266</v>
      </c>
      <c r="F66" s="6">
        <v>157.67368200000001</v>
      </c>
      <c r="G66" s="7">
        <v>7.9855220000000001E-3</v>
      </c>
      <c r="H66" s="67"/>
    </row>
    <row r="67" spans="1:8" ht="25.5" x14ac:dyDescent="0.2">
      <c r="A67" s="3">
        <v>61</v>
      </c>
      <c r="B67" s="4" t="s">
        <v>264</v>
      </c>
      <c r="C67" s="4" t="s">
        <v>265</v>
      </c>
      <c r="D67" s="4" t="s">
        <v>153</v>
      </c>
      <c r="E67" s="5">
        <v>46362</v>
      </c>
      <c r="F67" s="6">
        <v>154.20001199999999</v>
      </c>
      <c r="G67" s="7">
        <v>7.8095949999999999E-3</v>
      </c>
      <c r="H67" s="67"/>
    </row>
    <row r="68" spans="1:8" x14ac:dyDescent="0.2">
      <c r="A68" s="3">
        <v>62</v>
      </c>
      <c r="B68" s="4" t="s">
        <v>266</v>
      </c>
      <c r="C68" s="4" t="s">
        <v>267</v>
      </c>
      <c r="D68" s="4" t="s">
        <v>41</v>
      </c>
      <c r="E68" s="5">
        <v>143614</v>
      </c>
      <c r="F68" s="6">
        <v>148.49687599999999</v>
      </c>
      <c r="G68" s="7">
        <v>7.5207549999999996E-3</v>
      </c>
      <c r="H68" s="67"/>
    </row>
    <row r="69" spans="1:8" x14ac:dyDescent="0.2">
      <c r="A69" s="3">
        <v>63</v>
      </c>
      <c r="B69" s="4" t="s">
        <v>268</v>
      </c>
      <c r="C69" s="4" t="s">
        <v>269</v>
      </c>
      <c r="D69" s="4" t="s">
        <v>24</v>
      </c>
      <c r="E69" s="5">
        <v>139624</v>
      </c>
      <c r="F69" s="6">
        <v>128.66351599999999</v>
      </c>
      <c r="G69" s="7">
        <v>6.516277E-3</v>
      </c>
      <c r="H69" s="67"/>
    </row>
    <row r="70" spans="1:8" x14ac:dyDescent="0.2">
      <c r="A70" s="3">
        <v>64</v>
      </c>
      <c r="B70" s="4" t="s">
        <v>270</v>
      </c>
      <c r="C70" s="4" t="s">
        <v>271</v>
      </c>
      <c r="D70" s="4" t="s">
        <v>272</v>
      </c>
      <c r="E70" s="5">
        <v>56338</v>
      </c>
      <c r="F70" s="6">
        <v>128.02810500000001</v>
      </c>
      <c r="G70" s="7">
        <v>6.484096E-3</v>
      </c>
      <c r="H70" s="67"/>
    </row>
    <row r="71" spans="1:8" x14ac:dyDescent="0.2">
      <c r="A71" s="3">
        <v>65</v>
      </c>
      <c r="B71" s="4" t="s">
        <v>273</v>
      </c>
      <c r="C71" s="4" t="s">
        <v>274</v>
      </c>
      <c r="D71" s="4" t="s">
        <v>187</v>
      </c>
      <c r="E71" s="5">
        <v>2332</v>
      </c>
      <c r="F71" s="6">
        <v>126.846808</v>
      </c>
      <c r="G71" s="7">
        <v>6.4242680000000003E-3</v>
      </c>
      <c r="H71" s="67"/>
    </row>
    <row r="72" spans="1:8" x14ac:dyDescent="0.2">
      <c r="A72" s="3">
        <v>66</v>
      </c>
      <c r="B72" s="4" t="s">
        <v>275</v>
      </c>
      <c r="C72" s="4" t="s">
        <v>276</v>
      </c>
      <c r="D72" s="4" t="s">
        <v>1001</v>
      </c>
      <c r="E72" s="5">
        <v>96898</v>
      </c>
      <c r="F72" s="6">
        <v>118.748499</v>
      </c>
      <c r="G72" s="7">
        <v>6.0141220000000002E-3</v>
      </c>
      <c r="H72" s="67"/>
    </row>
    <row r="73" spans="1:8" x14ac:dyDescent="0.2">
      <c r="A73" s="3">
        <v>67</v>
      </c>
      <c r="B73" s="4" t="s">
        <v>277</v>
      </c>
      <c r="C73" s="4" t="s">
        <v>278</v>
      </c>
      <c r="D73" s="4" t="s">
        <v>187</v>
      </c>
      <c r="E73" s="5">
        <v>27599</v>
      </c>
      <c r="F73" s="6">
        <v>107.884491</v>
      </c>
      <c r="G73" s="7">
        <v>5.4639049999999998E-3</v>
      </c>
      <c r="H73" s="67"/>
    </row>
    <row r="74" spans="1:8" x14ac:dyDescent="0.2">
      <c r="A74" s="3">
        <v>68</v>
      </c>
      <c r="B74" s="4" t="s">
        <v>279</v>
      </c>
      <c r="C74" s="4" t="s">
        <v>280</v>
      </c>
      <c r="D74" s="4" t="s">
        <v>1003</v>
      </c>
      <c r="E74" s="5">
        <v>7069</v>
      </c>
      <c r="F74" s="6">
        <v>107.2756095</v>
      </c>
      <c r="G74" s="7">
        <v>5.4330680000000001E-3</v>
      </c>
      <c r="H74" s="67"/>
    </row>
    <row r="75" spans="1:8" x14ac:dyDescent="0.2">
      <c r="A75" s="3">
        <v>69</v>
      </c>
      <c r="B75" s="4" t="s">
        <v>281</v>
      </c>
      <c r="C75" s="4" t="s">
        <v>282</v>
      </c>
      <c r="D75" s="4" t="s">
        <v>55</v>
      </c>
      <c r="E75" s="5">
        <v>65000</v>
      </c>
      <c r="F75" s="6">
        <v>105.39749999999999</v>
      </c>
      <c r="G75" s="7">
        <v>5.3379489999999998E-3</v>
      </c>
      <c r="H75" s="67"/>
    </row>
    <row r="76" spans="1:8" x14ac:dyDescent="0.2">
      <c r="A76" s="3">
        <v>70</v>
      </c>
      <c r="B76" s="4" t="s">
        <v>283</v>
      </c>
      <c r="C76" s="4" t="s">
        <v>284</v>
      </c>
      <c r="D76" s="4" t="s">
        <v>166</v>
      </c>
      <c r="E76" s="5">
        <v>22041</v>
      </c>
      <c r="F76" s="6">
        <v>99.856750500000004</v>
      </c>
      <c r="G76" s="7">
        <v>5.0573329999999998E-3</v>
      </c>
      <c r="H76" s="67"/>
    </row>
    <row r="77" spans="1:8" x14ac:dyDescent="0.2">
      <c r="A77" s="3">
        <v>71</v>
      </c>
      <c r="B77" s="4" t="s">
        <v>285</v>
      </c>
      <c r="C77" s="4" t="s">
        <v>286</v>
      </c>
      <c r="D77" s="4" t="s">
        <v>153</v>
      </c>
      <c r="E77" s="5">
        <v>6312</v>
      </c>
      <c r="F77" s="6">
        <v>81.011364</v>
      </c>
      <c r="G77" s="7">
        <v>4.1028920000000003E-3</v>
      </c>
      <c r="H77" s="67"/>
    </row>
    <row r="78" spans="1:8" x14ac:dyDescent="0.2">
      <c r="A78" s="3">
        <v>72</v>
      </c>
      <c r="B78" s="4" t="s">
        <v>67</v>
      </c>
      <c r="C78" s="4" t="s">
        <v>68</v>
      </c>
      <c r="D78" s="4" t="s">
        <v>69</v>
      </c>
      <c r="E78" s="5">
        <v>45310</v>
      </c>
      <c r="F78" s="6">
        <v>67.579864999999998</v>
      </c>
      <c r="G78" s="7">
        <v>3.422642E-3</v>
      </c>
      <c r="H78" s="67"/>
    </row>
    <row r="79" spans="1:8" x14ac:dyDescent="0.2">
      <c r="A79" s="3">
        <v>73</v>
      </c>
      <c r="B79" s="4" t="s">
        <v>287</v>
      </c>
      <c r="C79" s="4" t="s">
        <v>288</v>
      </c>
      <c r="D79" s="4" t="s">
        <v>1001</v>
      </c>
      <c r="E79" s="5">
        <v>8184</v>
      </c>
      <c r="F79" s="6">
        <v>36.832092000000003</v>
      </c>
      <c r="G79" s="7">
        <v>1.865394E-3</v>
      </c>
      <c r="H79" s="67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9">
        <v>18730.978158999998</v>
      </c>
      <c r="G80" s="10">
        <v>0.94864687000000003</v>
      </c>
      <c r="H80" s="67"/>
    </row>
    <row r="81" spans="1:8" x14ac:dyDescent="0.2">
      <c r="A81" s="1"/>
      <c r="B81" s="1"/>
      <c r="C81" s="11"/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107</v>
      </c>
      <c r="D82" s="1"/>
      <c r="E82" s="1"/>
      <c r="F82" s="1"/>
      <c r="G82" s="1"/>
      <c r="H82" s="67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7"/>
    </row>
    <row r="84" spans="1:8" x14ac:dyDescent="0.2">
      <c r="A84" s="1"/>
      <c r="B84" s="1"/>
      <c r="C84" s="11"/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108</v>
      </c>
      <c r="D85" s="1"/>
      <c r="E85" s="1"/>
      <c r="F85" s="1"/>
      <c r="G85" s="1"/>
      <c r="H85" s="67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7"/>
    </row>
    <row r="87" spans="1:8" x14ac:dyDescent="0.2">
      <c r="A87" s="1"/>
      <c r="B87" s="1"/>
      <c r="C87" s="11"/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109</v>
      </c>
      <c r="D88" s="1"/>
      <c r="E88" s="1"/>
      <c r="F88" s="1"/>
      <c r="G88" s="1"/>
      <c r="H88" s="67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">
        <v>0</v>
      </c>
      <c r="H89" s="67"/>
    </row>
    <row r="90" spans="1:8" x14ac:dyDescent="0.2">
      <c r="A90" s="1"/>
      <c r="B90" s="1"/>
      <c r="C90" s="11"/>
      <c r="D90" s="1"/>
      <c r="E90" s="1"/>
      <c r="F90" s="12"/>
      <c r="G90" s="12"/>
      <c r="H90" s="67"/>
    </row>
    <row r="91" spans="1:8" x14ac:dyDescent="0.2">
      <c r="A91" s="1"/>
      <c r="B91" s="1"/>
      <c r="C91" s="2" t="s">
        <v>110</v>
      </c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7"/>
    </row>
    <row r="93" spans="1:8" x14ac:dyDescent="0.2">
      <c r="A93" s="1"/>
      <c r="B93" s="1"/>
      <c r="C93" s="11"/>
      <c r="D93" s="1"/>
      <c r="E93" s="1"/>
      <c r="F93" s="12"/>
      <c r="G93" s="12"/>
      <c r="H93" s="67"/>
    </row>
    <row r="94" spans="1:8" x14ac:dyDescent="0.2">
      <c r="A94" s="1"/>
      <c r="B94" s="1"/>
      <c r="C94" s="2" t="s">
        <v>111</v>
      </c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7"/>
    </row>
    <row r="96" spans="1:8" x14ac:dyDescent="0.2">
      <c r="A96" s="1"/>
      <c r="B96" s="1"/>
      <c r="C96" s="11"/>
      <c r="D96" s="1"/>
      <c r="E96" s="1"/>
      <c r="F96" s="12"/>
      <c r="G96" s="12"/>
      <c r="H96" s="67"/>
    </row>
    <row r="97" spans="1:8" x14ac:dyDescent="0.2">
      <c r="A97" s="1"/>
      <c r="B97" s="1"/>
      <c r="C97" s="2" t="s">
        <v>112</v>
      </c>
      <c r="D97" s="1"/>
      <c r="E97" s="1"/>
      <c r="F97" s="9">
        <v>18730.978158999998</v>
      </c>
      <c r="G97" s="10">
        <v>0.94864687000000003</v>
      </c>
      <c r="H97" s="67"/>
    </row>
    <row r="98" spans="1:8" x14ac:dyDescent="0.2">
      <c r="A98" s="1"/>
      <c r="B98" s="1"/>
      <c r="C98" s="11"/>
      <c r="D98" s="1"/>
      <c r="E98" s="1"/>
      <c r="F98" s="12"/>
      <c r="G98" s="12"/>
      <c r="H98" s="67"/>
    </row>
    <row r="99" spans="1:8" x14ac:dyDescent="0.2">
      <c r="A99" s="1"/>
      <c r="B99" s="1"/>
      <c r="C99" s="2" t="s">
        <v>113</v>
      </c>
      <c r="D99" s="1"/>
      <c r="E99" s="1"/>
      <c r="F99" s="12"/>
      <c r="G99" s="12"/>
      <c r="H99" s="67"/>
    </row>
    <row r="100" spans="1:8" ht="25.5" x14ac:dyDescent="0.2">
      <c r="A100" s="1"/>
      <c r="B100" s="1"/>
      <c r="C100" s="2" t="s">
        <v>10</v>
      </c>
      <c r="D100" s="1"/>
      <c r="E100" s="1"/>
      <c r="F100" s="12"/>
      <c r="G100" s="12"/>
      <c r="H100" s="67"/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">
        <v>0</v>
      </c>
      <c r="H101" s="67"/>
    </row>
    <row r="102" spans="1:8" x14ac:dyDescent="0.2">
      <c r="A102" s="1"/>
      <c r="B102" s="1"/>
      <c r="C102" s="11"/>
      <c r="D102" s="1"/>
      <c r="E102" s="1"/>
      <c r="F102" s="12"/>
      <c r="G102" s="12"/>
      <c r="H102" s="67"/>
    </row>
    <row r="103" spans="1:8" x14ac:dyDescent="0.2">
      <c r="A103" s="1"/>
      <c r="B103" s="1"/>
      <c r="C103" s="2" t="s">
        <v>114</v>
      </c>
      <c r="D103" s="1"/>
      <c r="E103" s="1"/>
      <c r="F103" s="1"/>
      <c r="G103" s="1"/>
      <c r="H103" s="67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">
        <v>0</v>
      </c>
      <c r="H104" s="67"/>
    </row>
    <row r="105" spans="1:8" x14ac:dyDescent="0.2">
      <c r="A105" s="1"/>
      <c r="B105" s="1"/>
      <c r="C105" s="11"/>
      <c r="D105" s="1"/>
      <c r="E105" s="1"/>
      <c r="F105" s="12"/>
      <c r="G105" s="12"/>
      <c r="H105" s="67"/>
    </row>
    <row r="106" spans="1:8" x14ac:dyDescent="0.2">
      <c r="A106" s="1"/>
      <c r="B106" s="1"/>
      <c r="C106" s="2" t="s">
        <v>115</v>
      </c>
      <c r="D106" s="1"/>
      <c r="E106" s="1"/>
      <c r="F106" s="1"/>
      <c r="G106" s="1"/>
      <c r="H106" s="67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">
        <v>0</v>
      </c>
      <c r="H107" s="67"/>
    </row>
    <row r="108" spans="1:8" x14ac:dyDescent="0.2">
      <c r="A108" s="1"/>
      <c r="B108" s="1"/>
      <c r="C108" s="11"/>
      <c r="D108" s="1"/>
      <c r="E108" s="1"/>
      <c r="F108" s="12"/>
      <c r="G108" s="12"/>
      <c r="H108" s="67"/>
    </row>
    <row r="109" spans="1:8" x14ac:dyDescent="0.2">
      <c r="A109" s="1"/>
      <c r="B109" s="1"/>
      <c r="C109" s="2" t="s">
        <v>116</v>
      </c>
      <c r="D109" s="1"/>
      <c r="E109" s="1"/>
      <c r="F109" s="12"/>
      <c r="G109" s="12"/>
      <c r="H109" s="67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7"/>
    </row>
    <row r="111" spans="1:8" x14ac:dyDescent="0.2">
      <c r="A111" s="1"/>
      <c r="B111" s="1"/>
      <c r="C111" s="11"/>
      <c r="D111" s="1"/>
      <c r="E111" s="1"/>
      <c r="F111" s="12"/>
      <c r="G111" s="12"/>
      <c r="H111" s="67"/>
    </row>
    <row r="112" spans="1:8" x14ac:dyDescent="0.2">
      <c r="A112" s="1"/>
      <c r="B112" s="1"/>
      <c r="C112" s="2" t="s">
        <v>117</v>
      </c>
      <c r="D112" s="1"/>
      <c r="E112" s="1"/>
      <c r="F112" s="9">
        <v>0</v>
      </c>
      <c r="G112" s="10">
        <v>0</v>
      </c>
      <c r="H112" s="67"/>
    </row>
    <row r="113" spans="1:8" x14ac:dyDescent="0.2">
      <c r="A113" s="1"/>
      <c r="B113" s="1"/>
      <c r="C113" s="11"/>
      <c r="D113" s="1"/>
      <c r="E113" s="1"/>
      <c r="F113" s="12"/>
      <c r="G113" s="12"/>
      <c r="H113" s="67"/>
    </row>
    <row r="114" spans="1:8" x14ac:dyDescent="0.2">
      <c r="A114" s="1"/>
      <c r="B114" s="1"/>
      <c r="C114" s="2" t="s">
        <v>118</v>
      </c>
      <c r="D114" s="1"/>
      <c r="E114" s="1"/>
      <c r="F114" s="12"/>
      <c r="G114" s="12"/>
      <c r="H114" s="67"/>
    </row>
    <row r="115" spans="1:8" x14ac:dyDescent="0.2">
      <c r="A115" s="1"/>
      <c r="B115" s="1"/>
      <c r="C115" s="2" t="s">
        <v>119</v>
      </c>
      <c r="D115" s="1"/>
      <c r="E115" s="1"/>
      <c r="F115" s="12"/>
      <c r="G115" s="12"/>
      <c r="H115" s="67"/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13">
        <v>0</v>
      </c>
      <c r="G116" s="14">
        <v>0</v>
      </c>
      <c r="H116" s="67"/>
    </row>
    <row r="117" spans="1:8" x14ac:dyDescent="0.2">
      <c r="A117" s="1"/>
      <c r="B117" s="1"/>
      <c r="C117" s="11"/>
      <c r="D117" s="1"/>
      <c r="E117" s="1"/>
      <c r="F117" s="12"/>
      <c r="G117" s="12"/>
      <c r="H117" s="67"/>
    </row>
    <row r="118" spans="1:8" x14ac:dyDescent="0.2">
      <c r="A118" s="1"/>
      <c r="B118" s="1"/>
      <c r="C118" s="2" t="s">
        <v>120</v>
      </c>
      <c r="D118" s="1"/>
      <c r="E118" s="1"/>
      <c r="F118" s="12"/>
      <c r="G118" s="12"/>
      <c r="H118" s="67"/>
    </row>
    <row r="119" spans="1:8" x14ac:dyDescent="0.2">
      <c r="A119" s="1"/>
      <c r="B119" s="1"/>
      <c r="C119" s="2" t="s">
        <v>105</v>
      </c>
      <c r="D119" s="1"/>
      <c r="E119" s="1" t="s">
        <v>106</v>
      </c>
      <c r="F119" s="13">
        <v>0</v>
      </c>
      <c r="G119" s="14">
        <v>0</v>
      </c>
      <c r="H119" s="67"/>
    </row>
    <row r="120" spans="1:8" x14ac:dyDescent="0.2">
      <c r="A120" s="1"/>
      <c r="B120" s="1"/>
      <c r="C120" s="11"/>
      <c r="D120" s="1"/>
      <c r="E120" s="1"/>
      <c r="F120" s="12"/>
      <c r="G120" s="12"/>
      <c r="H120" s="67"/>
    </row>
    <row r="121" spans="1:8" x14ac:dyDescent="0.2">
      <c r="A121" s="1"/>
      <c r="B121" s="1"/>
      <c r="C121" s="2" t="s">
        <v>121</v>
      </c>
      <c r="D121" s="1"/>
      <c r="E121" s="1"/>
      <c r="F121" s="12"/>
      <c r="G121" s="12"/>
      <c r="H121" s="67"/>
    </row>
    <row r="122" spans="1:8" x14ac:dyDescent="0.2">
      <c r="A122" s="1"/>
      <c r="B122" s="1"/>
      <c r="C122" s="2" t="s">
        <v>105</v>
      </c>
      <c r="D122" s="1"/>
      <c r="E122" s="1" t="s">
        <v>106</v>
      </c>
      <c r="F122" s="13">
        <v>0</v>
      </c>
      <c r="G122" s="14">
        <v>0</v>
      </c>
      <c r="H122" s="67"/>
    </row>
    <row r="123" spans="1:8" x14ac:dyDescent="0.2">
      <c r="A123" s="1"/>
      <c r="B123" s="1"/>
      <c r="C123" s="11"/>
      <c r="D123" s="1"/>
      <c r="E123" s="1"/>
      <c r="F123" s="12"/>
      <c r="G123" s="12"/>
      <c r="H123" s="67"/>
    </row>
    <row r="124" spans="1:8" x14ac:dyDescent="0.2">
      <c r="A124" s="1"/>
      <c r="B124" s="1"/>
      <c r="C124" s="2" t="s">
        <v>122</v>
      </c>
      <c r="D124" s="1"/>
      <c r="E124" s="1"/>
      <c r="F124" s="12"/>
      <c r="G124" s="12"/>
      <c r="H124" s="67"/>
    </row>
    <row r="125" spans="1:8" x14ac:dyDescent="0.2">
      <c r="A125" s="3">
        <v>1</v>
      </c>
      <c r="B125" s="4"/>
      <c r="C125" s="4" t="s">
        <v>123</v>
      </c>
      <c r="D125" s="4"/>
      <c r="E125" s="8"/>
      <c r="F125" s="6">
        <v>806.34711110000001</v>
      </c>
      <c r="G125" s="7">
        <v>4.0838158999999999E-2</v>
      </c>
      <c r="H125" s="67">
        <v>3.1047477660654299</v>
      </c>
    </row>
    <row r="126" spans="1:8" x14ac:dyDescent="0.2">
      <c r="A126" s="1"/>
      <c r="B126" s="1"/>
      <c r="C126" s="2" t="s">
        <v>105</v>
      </c>
      <c r="D126" s="1"/>
      <c r="E126" s="1" t="s">
        <v>106</v>
      </c>
      <c r="F126" s="9">
        <v>806.34711110000001</v>
      </c>
      <c r="G126" s="10">
        <v>4.0838158999999999E-2</v>
      </c>
      <c r="H126" s="67"/>
    </row>
    <row r="127" spans="1:8" x14ac:dyDescent="0.2">
      <c r="A127" s="1"/>
      <c r="B127" s="1"/>
      <c r="C127" s="11"/>
      <c r="D127" s="1"/>
      <c r="E127" s="1"/>
      <c r="F127" s="12"/>
      <c r="G127" s="12"/>
      <c r="H127" s="67"/>
    </row>
    <row r="128" spans="1:8" x14ac:dyDescent="0.2">
      <c r="A128" s="1"/>
      <c r="B128" s="1"/>
      <c r="C128" s="2" t="s">
        <v>124</v>
      </c>
      <c r="D128" s="1"/>
      <c r="E128" s="1"/>
      <c r="F128" s="9">
        <v>806.34711110000001</v>
      </c>
      <c r="G128" s="10">
        <v>4.0838158999999999E-2</v>
      </c>
      <c r="H128" s="67"/>
    </row>
    <row r="129" spans="1:8" x14ac:dyDescent="0.2">
      <c r="A129" s="1"/>
      <c r="B129" s="1"/>
      <c r="C129" s="12"/>
      <c r="D129" s="1"/>
      <c r="E129" s="1"/>
      <c r="F129" s="1"/>
      <c r="G129" s="1"/>
      <c r="H129" s="67"/>
    </row>
    <row r="130" spans="1:8" x14ac:dyDescent="0.2">
      <c r="A130" s="1"/>
      <c r="B130" s="1"/>
      <c r="C130" s="2" t="s">
        <v>125</v>
      </c>
      <c r="D130" s="1"/>
      <c r="E130" s="1"/>
      <c r="F130" s="1"/>
      <c r="G130" s="1"/>
      <c r="H130" s="67"/>
    </row>
    <row r="131" spans="1:8" x14ac:dyDescent="0.2">
      <c r="A131" s="1"/>
      <c r="B131" s="1"/>
      <c r="C131" s="2" t="s">
        <v>126</v>
      </c>
      <c r="D131" s="1"/>
      <c r="E131" s="1"/>
      <c r="F131" s="1"/>
      <c r="G131" s="1"/>
      <c r="H131" s="67"/>
    </row>
    <row r="132" spans="1:8" x14ac:dyDescent="0.2">
      <c r="A132" s="1"/>
      <c r="B132" s="1"/>
      <c r="C132" s="2" t="s">
        <v>105</v>
      </c>
      <c r="D132" s="1"/>
      <c r="E132" s="1" t="s">
        <v>106</v>
      </c>
      <c r="F132" s="13">
        <v>0</v>
      </c>
      <c r="G132" s="14">
        <v>0</v>
      </c>
      <c r="H132" s="67"/>
    </row>
    <row r="133" spans="1:8" x14ac:dyDescent="0.2">
      <c r="A133" s="1"/>
      <c r="B133" s="1"/>
      <c r="C133" s="11"/>
      <c r="D133" s="1"/>
      <c r="E133" s="1"/>
      <c r="F133" s="12"/>
      <c r="G133" s="12"/>
      <c r="H133" s="67"/>
    </row>
    <row r="134" spans="1:8" x14ac:dyDescent="0.2">
      <c r="A134" s="1"/>
      <c r="B134" s="1"/>
      <c r="C134" s="2" t="s">
        <v>127</v>
      </c>
      <c r="D134" s="1"/>
      <c r="E134" s="1"/>
      <c r="F134" s="1"/>
      <c r="G134" s="1"/>
      <c r="H134" s="67"/>
    </row>
    <row r="135" spans="1:8" x14ac:dyDescent="0.2">
      <c r="A135" s="1"/>
      <c r="B135" s="1"/>
      <c r="C135" s="2" t="s">
        <v>128</v>
      </c>
      <c r="D135" s="1"/>
      <c r="E135" s="1"/>
      <c r="F135" s="1"/>
      <c r="G135" s="1"/>
      <c r="H135" s="67"/>
    </row>
    <row r="136" spans="1:8" x14ac:dyDescent="0.2">
      <c r="A136" s="1"/>
      <c r="B136" s="1"/>
      <c r="C136" s="2" t="s">
        <v>105</v>
      </c>
      <c r="D136" s="1"/>
      <c r="E136" s="1" t="s">
        <v>106</v>
      </c>
      <c r="F136" s="13">
        <v>0</v>
      </c>
      <c r="G136" s="14">
        <v>0</v>
      </c>
      <c r="H136" s="67"/>
    </row>
    <row r="137" spans="1:8" x14ac:dyDescent="0.2">
      <c r="A137" s="1"/>
      <c r="B137" s="1"/>
      <c r="C137" s="11"/>
      <c r="D137" s="1"/>
      <c r="E137" s="1"/>
      <c r="F137" s="12"/>
      <c r="G137" s="12"/>
      <c r="H137" s="67"/>
    </row>
    <row r="138" spans="1:8" x14ac:dyDescent="0.2">
      <c r="A138" s="1"/>
      <c r="B138" s="1"/>
      <c r="C138" s="11"/>
      <c r="D138" s="1"/>
      <c r="E138" s="1"/>
      <c r="F138" s="12"/>
      <c r="G138" s="12"/>
      <c r="H138" s="67"/>
    </row>
    <row r="139" spans="1:8" ht="25.5" x14ac:dyDescent="0.2">
      <c r="A139" s="1"/>
      <c r="B139" s="1"/>
      <c r="C139" s="2" t="s">
        <v>129</v>
      </c>
      <c r="D139" s="1"/>
      <c r="E139" s="1"/>
      <c r="F139" s="6">
        <v>158.55119999999999</v>
      </c>
      <c r="G139" s="7">
        <v>8.029965E-3</v>
      </c>
      <c r="H139" s="67"/>
    </row>
    <row r="140" spans="1:8" x14ac:dyDescent="0.2">
      <c r="A140" s="1"/>
      <c r="B140" s="1"/>
      <c r="C140" s="2" t="s">
        <v>105</v>
      </c>
      <c r="D140" s="1"/>
      <c r="E140" s="1" t="s">
        <v>106</v>
      </c>
      <c r="F140" s="9">
        <v>158.55119999999999</v>
      </c>
      <c r="G140" s="10">
        <v>8.029965E-3</v>
      </c>
      <c r="H140" s="67"/>
    </row>
    <row r="141" spans="1:8" x14ac:dyDescent="0.2">
      <c r="A141" s="1"/>
      <c r="B141" s="1"/>
      <c r="C141" s="11"/>
      <c r="D141" s="1"/>
      <c r="E141" s="1"/>
      <c r="F141" s="12"/>
      <c r="G141" s="12"/>
      <c r="H141" s="67"/>
    </row>
    <row r="142" spans="1:8" x14ac:dyDescent="0.2">
      <c r="A142" s="1"/>
      <c r="B142" s="4"/>
      <c r="C142" s="4"/>
      <c r="D142" s="2"/>
      <c r="E142" s="1"/>
      <c r="F142" s="4"/>
      <c r="G142" s="8"/>
      <c r="H142" s="67"/>
    </row>
    <row r="143" spans="1:8" x14ac:dyDescent="0.2">
      <c r="A143" s="8"/>
      <c r="B143" s="4"/>
      <c r="C143" s="4" t="s">
        <v>130</v>
      </c>
      <c r="D143" s="4"/>
      <c r="E143" s="8"/>
      <c r="F143" s="6">
        <v>49.066305020000001</v>
      </c>
      <c r="G143" s="7">
        <v>2.4850060000000001E-3</v>
      </c>
      <c r="H143" s="67"/>
    </row>
    <row r="144" spans="1:8" x14ac:dyDescent="0.2">
      <c r="A144" s="11"/>
      <c r="B144" s="11"/>
      <c r="C144" s="2" t="s">
        <v>131</v>
      </c>
      <c r="D144" s="15"/>
      <c r="E144" s="15"/>
      <c r="F144" s="9">
        <v>19744.942775119998</v>
      </c>
      <c r="G144" s="10">
        <v>1</v>
      </c>
      <c r="H144" s="67"/>
    </row>
    <row r="145" spans="1:7" ht="14.1" customHeight="1" x14ac:dyDescent="0.2">
      <c r="A145" s="16"/>
      <c r="B145" s="16"/>
      <c r="C145" s="16"/>
      <c r="D145" s="17"/>
      <c r="E145" s="17"/>
      <c r="F145" s="17"/>
      <c r="G145" s="17"/>
    </row>
    <row r="146" spans="1:7" ht="14.1" customHeight="1" x14ac:dyDescent="0.2">
      <c r="A146" s="18"/>
      <c r="B146" s="170" t="s">
        <v>106</v>
      </c>
      <c r="C146" s="170"/>
      <c r="D146" s="170"/>
      <c r="E146" s="170"/>
      <c r="F146" s="170"/>
      <c r="G146" s="20"/>
    </row>
    <row r="147" spans="1:7" ht="14.1" customHeight="1" x14ac:dyDescent="0.2">
      <c r="A147" s="18"/>
      <c r="B147" s="170" t="s">
        <v>106</v>
      </c>
      <c r="C147" s="170"/>
      <c r="D147" s="170"/>
      <c r="E147" s="170"/>
      <c r="F147" s="170"/>
      <c r="G147" s="20"/>
    </row>
    <row r="148" spans="1:7" ht="14.1" customHeight="1" x14ac:dyDescent="0.2">
      <c r="A148" s="18"/>
      <c r="B148" s="18"/>
      <c r="C148" s="18"/>
      <c r="D148" s="20"/>
      <c r="E148" s="20"/>
      <c r="F148" s="20"/>
      <c r="G148" s="20"/>
    </row>
    <row r="149" spans="1:7" ht="14.1" customHeight="1" x14ac:dyDescent="0.2">
      <c r="A149" s="18"/>
      <c r="B149" s="168" t="s">
        <v>133</v>
      </c>
      <c r="C149" s="169"/>
      <c r="D149" s="12" t="s">
        <v>106</v>
      </c>
      <c r="E149" s="21"/>
      <c r="F149" s="20"/>
      <c r="G149" s="20"/>
    </row>
    <row r="150" spans="1:7" ht="29.1" customHeight="1" x14ac:dyDescent="0.2">
      <c r="A150" s="18"/>
      <c r="B150" s="165" t="s">
        <v>134</v>
      </c>
      <c r="C150" s="166"/>
      <c r="D150" s="2" t="s">
        <v>135</v>
      </c>
      <c r="E150" s="21"/>
      <c r="F150" s="20"/>
      <c r="G150" s="20"/>
    </row>
    <row r="151" spans="1:7" ht="17.100000000000001" customHeight="1" x14ac:dyDescent="0.2">
      <c r="A151" s="18"/>
      <c r="B151" s="165" t="s">
        <v>136</v>
      </c>
      <c r="C151" s="166"/>
      <c r="D151" s="2" t="s">
        <v>135</v>
      </c>
      <c r="E151" s="21"/>
      <c r="F151" s="20"/>
      <c r="G151" s="20"/>
    </row>
    <row r="152" spans="1:7" ht="17.100000000000001" customHeight="1" x14ac:dyDescent="0.2">
      <c r="A152" s="18"/>
      <c r="B152" s="165" t="s">
        <v>137</v>
      </c>
      <c r="C152" s="166"/>
      <c r="D152" s="12" t="s">
        <v>106</v>
      </c>
      <c r="E152" s="21"/>
      <c r="F152" s="20"/>
      <c r="G152" s="20"/>
    </row>
    <row r="153" spans="1:7" ht="24" customHeight="1" x14ac:dyDescent="0.2">
      <c r="A153" s="22"/>
      <c r="B153" s="23" t="s">
        <v>106</v>
      </c>
      <c r="C153" s="23" t="s">
        <v>138</v>
      </c>
      <c r="D153" s="23" t="s">
        <v>139</v>
      </c>
      <c r="E153" s="22"/>
      <c r="F153" s="22"/>
      <c r="G153" s="22"/>
    </row>
    <row r="154" spans="1:7" ht="18" customHeight="1" x14ac:dyDescent="0.2">
      <c r="A154" s="22"/>
      <c r="B154" s="23" t="s">
        <v>140</v>
      </c>
      <c r="C154" s="23" t="s">
        <v>141</v>
      </c>
      <c r="D154" s="23" t="s">
        <v>142</v>
      </c>
      <c r="E154" s="22"/>
      <c r="F154" s="22"/>
      <c r="G154" s="22"/>
    </row>
    <row r="155" spans="1:7" ht="17.100000000000001" customHeight="1" x14ac:dyDescent="0.2">
      <c r="A155" s="22"/>
      <c r="B155" s="4" t="s">
        <v>143</v>
      </c>
      <c r="C155" s="24">
        <v>15.3818</v>
      </c>
      <c r="D155" s="24">
        <v>15.2677</v>
      </c>
      <c r="E155" s="22"/>
      <c r="F155" s="19"/>
      <c r="G155" s="25"/>
    </row>
    <row r="156" spans="1:7" ht="17.100000000000001" customHeight="1" x14ac:dyDescent="0.2">
      <c r="A156" s="22"/>
      <c r="B156" s="4" t="s">
        <v>988</v>
      </c>
      <c r="C156" s="24">
        <v>15.3818</v>
      </c>
      <c r="D156" s="24">
        <v>15.2677</v>
      </c>
      <c r="E156" s="22"/>
      <c r="F156" s="19"/>
      <c r="G156" s="25"/>
    </row>
    <row r="157" spans="1:7" ht="17.100000000000001" customHeight="1" x14ac:dyDescent="0.2">
      <c r="A157" s="22"/>
      <c r="B157" s="4" t="s">
        <v>144</v>
      </c>
      <c r="C157" s="24">
        <v>14.9803</v>
      </c>
      <c r="D157" s="24">
        <v>14.8614</v>
      </c>
      <c r="E157" s="22"/>
      <c r="F157" s="19"/>
      <c r="G157" s="25"/>
    </row>
    <row r="158" spans="1:7" ht="17.100000000000001" customHeight="1" x14ac:dyDescent="0.2">
      <c r="A158" s="22"/>
      <c r="B158" s="4" t="s">
        <v>989</v>
      </c>
      <c r="C158" s="24">
        <v>14.9803</v>
      </c>
      <c r="D158" s="24">
        <v>14.8614</v>
      </c>
      <c r="E158" s="22"/>
      <c r="F158" s="19"/>
      <c r="G158" s="25"/>
    </row>
    <row r="159" spans="1:7" ht="14.1" customHeight="1" x14ac:dyDescent="0.2">
      <c r="A159" s="22"/>
      <c r="B159" s="22"/>
      <c r="C159" s="22"/>
      <c r="D159" s="22"/>
      <c r="E159" s="22"/>
      <c r="F159" s="22"/>
      <c r="G159" s="22"/>
    </row>
    <row r="160" spans="1:7" ht="17.100000000000001" customHeight="1" x14ac:dyDescent="0.2">
      <c r="A160" s="22"/>
      <c r="B160" s="165" t="s">
        <v>990</v>
      </c>
      <c r="C160" s="166"/>
      <c r="D160" s="2" t="s">
        <v>135</v>
      </c>
      <c r="E160" s="22"/>
      <c r="F160" s="22"/>
      <c r="G160" s="22"/>
    </row>
    <row r="161" spans="1:7" ht="18" customHeight="1" x14ac:dyDescent="0.2">
      <c r="A161" s="22"/>
      <c r="B161" s="26" t="s">
        <v>145</v>
      </c>
      <c r="C161" s="26" t="s">
        <v>145</v>
      </c>
      <c r="D161" s="26"/>
      <c r="E161" s="22"/>
      <c r="F161" s="22"/>
      <c r="G161" s="22"/>
    </row>
    <row r="162" spans="1:7" s="158" customFormat="1" x14ac:dyDescent="0.2">
      <c r="B162" s="167" t="s">
        <v>822</v>
      </c>
      <c r="C162" s="167"/>
      <c r="D162" s="167"/>
      <c r="E162" s="167"/>
      <c r="F162" s="167"/>
    </row>
    <row r="163" spans="1:7" ht="14.1" customHeight="1" x14ac:dyDescent="0.2">
      <c r="A163" s="22"/>
      <c r="B163" s="19"/>
      <c r="C163" s="19"/>
      <c r="D163" s="22"/>
      <c r="E163" s="22"/>
      <c r="F163" s="22"/>
      <c r="G163" s="22"/>
    </row>
    <row r="164" spans="1:7" ht="29.1" customHeight="1" x14ac:dyDescent="0.2">
      <c r="A164" s="22"/>
      <c r="B164" s="165" t="s">
        <v>146</v>
      </c>
      <c r="C164" s="166"/>
      <c r="D164" s="2" t="s">
        <v>135</v>
      </c>
      <c r="E164" s="22"/>
      <c r="F164" s="22"/>
      <c r="G164" s="22"/>
    </row>
    <row r="165" spans="1:7" ht="29.1" customHeight="1" x14ac:dyDescent="0.2">
      <c r="A165" s="22"/>
      <c r="B165" s="165" t="s">
        <v>147</v>
      </c>
      <c r="C165" s="166"/>
      <c r="D165" s="2" t="s">
        <v>135</v>
      </c>
      <c r="E165" s="22"/>
      <c r="F165" s="22"/>
      <c r="G165" s="22"/>
    </row>
    <row r="166" spans="1:7" ht="17.100000000000001" customHeight="1" x14ac:dyDescent="0.2">
      <c r="A166" s="22"/>
      <c r="B166" s="165" t="s">
        <v>148</v>
      </c>
      <c r="C166" s="166"/>
      <c r="D166" s="27">
        <v>0.50908916820538963</v>
      </c>
      <c r="E166" s="22"/>
      <c r="F166" s="19"/>
      <c r="G166" s="25"/>
    </row>
    <row r="167" spans="1:7" ht="17.100000000000001" customHeight="1" x14ac:dyDescent="0.2">
      <c r="A167" s="22"/>
      <c r="B167" s="165" t="s">
        <v>149</v>
      </c>
      <c r="C167" s="166"/>
      <c r="D167" s="2" t="s">
        <v>135</v>
      </c>
      <c r="E167" s="22"/>
      <c r="F167" s="22"/>
      <c r="G167" s="22"/>
    </row>
  </sheetData>
  <mergeCells count="15">
    <mergeCell ref="B149:C149"/>
    <mergeCell ref="B146:F146"/>
    <mergeCell ref="B147:F147"/>
    <mergeCell ref="A1:H1"/>
    <mergeCell ref="A2:H2"/>
    <mergeCell ref="A3:H3"/>
    <mergeCell ref="B166:C166"/>
    <mergeCell ref="B167:C167"/>
    <mergeCell ref="B150:C150"/>
    <mergeCell ref="B151:C151"/>
    <mergeCell ref="B152:C152"/>
    <mergeCell ref="B160:C160"/>
    <mergeCell ref="B164:C164"/>
    <mergeCell ref="B165:C165"/>
    <mergeCell ref="B162:F16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6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289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151</v>
      </c>
      <c r="C7" s="4" t="s">
        <v>152</v>
      </c>
      <c r="D7" s="4" t="s">
        <v>153</v>
      </c>
      <c r="E7" s="5">
        <v>16191</v>
      </c>
      <c r="F7" s="6">
        <v>652.10871599999996</v>
      </c>
      <c r="G7" s="7">
        <v>3.4492082E-2</v>
      </c>
      <c r="H7" s="67"/>
    </row>
    <row r="8" spans="1:8" x14ac:dyDescent="0.2">
      <c r="A8" s="3">
        <v>2</v>
      </c>
      <c r="B8" s="4" t="s">
        <v>25</v>
      </c>
      <c r="C8" s="4" t="s">
        <v>26</v>
      </c>
      <c r="D8" s="4" t="s">
        <v>27</v>
      </c>
      <c r="E8" s="5">
        <v>48045</v>
      </c>
      <c r="F8" s="6">
        <v>620.23692749999998</v>
      </c>
      <c r="G8" s="7">
        <v>3.2806282999999999E-2</v>
      </c>
      <c r="H8" s="67"/>
    </row>
    <row r="9" spans="1:8" x14ac:dyDescent="0.2">
      <c r="A9" s="3">
        <v>3</v>
      </c>
      <c r="B9" s="4" t="s">
        <v>156</v>
      </c>
      <c r="C9" s="4" t="s">
        <v>157</v>
      </c>
      <c r="D9" s="4" t="s">
        <v>153</v>
      </c>
      <c r="E9" s="5">
        <v>39214</v>
      </c>
      <c r="F9" s="6">
        <v>550.29006200000003</v>
      </c>
      <c r="G9" s="7">
        <v>2.9106573E-2</v>
      </c>
      <c r="H9" s="67"/>
    </row>
    <row r="10" spans="1:8" x14ac:dyDescent="0.2">
      <c r="A10" s="3">
        <v>4</v>
      </c>
      <c r="B10" s="4" t="s">
        <v>154</v>
      </c>
      <c r="C10" s="4" t="s">
        <v>155</v>
      </c>
      <c r="D10" s="4" t="s">
        <v>81</v>
      </c>
      <c r="E10" s="5">
        <v>410889</v>
      </c>
      <c r="F10" s="6">
        <v>484.438131</v>
      </c>
      <c r="G10" s="7">
        <v>2.5623456999999999E-2</v>
      </c>
      <c r="H10" s="67"/>
    </row>
    <row r="11" spans="1:8" x14ac:dyDescent="0.2">
      <c r="A11" s="3">
        <v>5</v>
      </c>
      <c r="B11" s="4" t="s">
        <v>158</v>
      </c>
      <c r="C11" s="4" t="s">
        <v>159</v>
      </c>
      <c r="D11" s="4" t="s">
        <v>27</v>
      </c>
      <c r="E11" s="5">
        <v>61203</v>
      </c>
      <c r="F11" s="6">
        <v>466.42806300000001</v>
      </c>
      <c r="G11" s="7">
        <v>2.4670847999999999E-2</v>
      </c>
      <c r="H11" s="67"/>
    </row>
    <row r="12" spans="1:8" x14ac:dyDescent="0.2">
      <c r="A12" s="3">
        <v>6</v>
      </c>
      <c r="B12" s="4" t="s">
        <v>160</v>
      </c>
      <c r="C12" s="4" t="s">
        <v>161</v>
      </c>
      <c r="D12" s="4" t="s">
        <v>1003</v>
      </c>
      <c r="E12" s="5">
        <v>37436</v>
      </c>
      <c r="F12" s="6">
        <v>452.00226400000003</v>
      </c>
      <c r="G12" s="7">
        <v>2.3907821999999999E-2</v>
      </c>
      <c r="H12" s="67"/>
    </row>
    <row r="13" spans="1:8" x14ac:dyDescent="0.2">
      <c r="A13" s="3">
        <v>7</v>
      </c>
      <c r="B13" s="4" t="s">
        <v>162</v>
      </c>
      <c r="C13" s="4" t="s">
        <v>163</v>
      </c>
      <c r="D13" s="4" t="s">
        <v>27</v>
      </c>
      <c r="E13" s="5">
        <v>58313</v>
      </c>
      <c r="F13" s="6">
        <v>445.7737285</v>
      </c>
      <c r="G13" s="7">
        <v>2.3578374999999999E-2</v>
      </c>
      <c r="H13" s="67"/>
    </row>
    <row r="14" spans="1:8" x14ac:dyDescent="0.2">
      <c r="A14" s="3">
        <v>8</v>
      </c>
      <c r="B14" s="4" t="s">
        <v>164</v>
      </c>
      <c r="C14" s="4" t="s">
        <v>165</v>
      </c>
      <c r="D14" s="4" t="s">
        <v>166</v>
      </c>
      <c r="E14" s="5">
        <v>125031</v>
      </c>
      <c r="F14" s="6">
        <v>421.10440799999998</v>
      </c>
      <c r="G14" s="7">
        <v>2.2273537E-2</v>
      </c>
      <c r="H14" s="67"/>
    </row>
    <row r="15" spans="1:8" x14ac:dyDescent="0.2">
      <c r="A15" s="3">
        <v>9</v>
      </c>
      <c r="B15" s="4" t="s">
        <v>85</v>
      </c>
      <c r="C15" s="4" t="s">
        <v>86</v>
      </c>
      <c r="D15" s="4" t="s">
        <v>1000</v>
      </c>
      <c r="E15" s="5">
        <v>273864</v>
      </c>
      <c r="F15" s="6">
        <v>417.36873600000001</v>
      </c>
      <c r="G15" s="7">
        <v>2.2075945999999999E-2</v>
      </c>
      <c r="H15" s="67"/>
    </row>
    <row r="16" spans="1:8" ht="25.5" x14ac:dyDescent="0.2">
      <c r="A16" s="3">
        <v>10</v>
      </c>
      <c r="B16" s="4" t="s">
        <v>30</v>
      </c>
      <c r="C16" s="4" t="s">
        <v>998</v>
      </c>
      <c r="D16" s="4" t="s">
        <v>992</v>
      </c>
      <c r="E16" s="5">
        <v>11486</v>
      </c>
      <c r="F16" s="6">
        <v>375.75300399999998</v>
      </c>
      <c r="G16" s="7">
        <v>1.9874758999999999E-2</v>
      </c>
      <c r="H16" s="67"/>
    </row>
    <row r="17" spans="1:8" x14ac:dyDescent="0.2">
      <c r="A17" s="3">
        <v>11</v>
      </c>
      <c r="B17" s="4" t="s">
        <v>169</v>
      </c>
      <c r="C17" s="4" t="s">
        <v>170</v>
      </c>
      <c r="D17" s="4" t="s">
        <v>171</v>
      </c>
      <c r="E17" s="5">
        <v>48550</v>
      </c>
      <c r="F17" s="6">
        <v>351.01650000000001</v>
      </c>
      <c r="G17" s="7">
        <v>1.8566367E-2</v>
      </c>
      <c r="H17" s="67"/>
    </row>
    <row r="18" spans="1:8" x14ac:dyDescent="0.2">
      <c r="A18" s="3">
        <v>12</v>
      </c>
      <c r="B18" s="4" t="s">
        <v>167</v>
      </c>
      <c r="C18" s="4" t="s">
        <v>168</v>
      </c>
      <c r="D18" s="4" t="s">
        <v>166</v>
      </c>
      <c r="E18" s="5">
        <v>10499</v>
      </c>
      <c r="F18" s="6">
        <v>348.78202950000002</v>
      </c>
      <c r="G18" s="7">
        <v>1.8448178999999999E-2</v>
      </c>
      <c r="H18" s="67"/>
    </row>
    <row r="19" spans="1:8" x14ac:dyDescent="0.2">
      <c r="A19" s="3">
        <v>13</v>
      </c>
      <c r="B19" s="4" t="s">
        <v>172</v>
      </c>
      <c r="C19" s="4" t="s">
        <v>173</v>
      </c>
      <c r="D19" s="4" t="s">
        <v>331</v>
      </c>
      <c r="E19" s="5">
        <v>35499</v>
      </c>
      <c r="F19" s="6">
        <v>338.4652155</v>
      </c>
      <c r="G19" s="7">
        <v>1.790249E-2</v>
      </c>
      <c r="H19" s="67"/>
    </row>
    <row r="20" spans="1:8" x14ac:dyDescent="0.2">
      <c r="A20" s="3">
        <v>14</v>
      </c>
      <c r="B20" s="4" t="s">
        <v>174</v>
      </c>
      <c r="C20" s="4" t="s">
        <v>175</v>
      </c>
      <c r="D20" s="4" t="s">
        <v>55</v>
      </c>
      <c r="E20" s="5">
        <v>84039</v>
      </c>
      <c r="F20" s="6">
        <v>338.29899449999999</v>
      </c>
      <c r="G20" s="7">
        <v>1.7893698E-2</v>
      </c>
      <c r="H20" s="67"/>
    </row>
    <row r="21" spans="1:8" x14ac:dyDescent="0.2">
      <c r="A21" s="3">
        <v>15</v>
      </c>
      <c r="B21" s="4" t="s">
        <v>63</v>
      </c>
      <c r="C21" s="4" t="s">
        <v>64</v>
      </c>
      <c r="D21" s="4" t="s">
        <v>55</v>
      </c>
      <c r="E21" s="5">
        <v>125169</v>
      </c>
      <c r="F21" s="6">
        <v>324.18770999999998</v>
      </c>
      <c r="G21" s="7">
        <v>1.7147308E-2</v>
      </c>
      <c r="H21" s="67"/>
    </row>
    <row r="22" spans="1:8" ht="25.5" x14ac:dyDescent="0.2">
      <c r="A22" s="3">
        <v>16</v>
      </c>
      <c r="B22" s="4" t="s">
        <v>176</v>
      </c>
      <c r="C22" s="4" t="s">
        <v>995</v>
      </c>
      <c r="D22" s="4" t="s">
        <v>992</v>
      </c>
      <c r="E22" s="5">
        <v>120862</v>
      </c>
      <c r="F22" s="6">
        <v>319.80085200000002</v>
      </c>
      <c r="G22" s="7">
        <v>1.6915273000000002E-2</v>
      </c>
      <c r="H22" s="67"/>
    </row>
    <row r="23" spans="1:8" x14ac:dyDescent="0.2">
      <c r="A23" s="3">
        <v>17</v>
      </c>
      <c r="B23" s="4" t="s">
        <v>177</v>
      </c>
      <c r="C23" s="4" t="s">
        <v>178</v>
      </c>
      <c r="D23" s="4" t="s">
        <v>179</v>
      </c>
      <c r="E23" s="5">
        <v>132103</v>
      </c>
      <c r="F23" s="6">
        <v>316.386685</v>
      </c>
      <c r="G23" s="7">
        <v>1.6734687000000002E-2</v>
      </c>
      <c r="H23" s="67"/>
    </row>
    <row r="24" spans="1:8" x14ac:dyDescent="0.2">
      <c r="A24" s="3">
        <v>18</v>
      </c>
      <c r="B24" s="4" t="s">
        <v>180</v>
      </c>
      <c r="C24" s="4" t="s">
        <v>181</v>
      </c>
      <c r="D24" s="4" t="s">
        <v>171</v>
      </c>
      <c r="E24" s="5">
        <v>23138</v>
      </c>
      <c r="F24" s="6">
        <v>315.75271700000002</v>
      </c>
      <c r="G24" s="7">
        <v>1.6701154999999999E-2</v>
      </c>
      <c r="H24" s="67"/>
    </row>
    <row r="25" spans="1:8" x14ac:dyDescent="0.2">
      <c r="A25" s="3">
        <v>19</v>
      </c>
      <c r="B25" s="4" t="s">
        <v>210</v>
      </c>
      <c r="C25" s="4" t="s">
        <v>211</v>
      </c>
      <c r="D25" s="4" t="s">
        <v>212</v>
      </c>
      <c r="E25" s="5">
        <v>125377</v>
      </c>
      <c r="F25" s="6">
        <v>314.32013899999998</v>
      </c>
      <c r="G25" s="7">
        <v>1.6625381000000002E-2</v>
      </c>
      <c r="H25" s="67"/>
    </row>
    <row r="26" spans="1:8" x14ac:dyDescent="0.2">
      <c r="A26" s="3">
        <v>20</v>
      </c>
      <c r="B26" s="4" t="s">
        <v>182</v>
      </c>
      <c r="C26" s="4" t="s">
        <v>183</v>
      </c>
      <c r="D26" s="4" t="s">
        <v>184</v>
      </c>
      <c r="E26" s="5">
        <v>31547</v>
      </c>
      <c r="F26" s="6">
        <v>311.06919349999998</v>
      </c>
      <c r="G26" s="7">
        <v>1.6453427999999999E-2</v>
      </c>
      <c r="H26" s="67"/>
    </row>
    <row r="27" spans="1:8" x14ac:dyDescent="0.2">
      <c r="A27" s="3">
        <v>21</v>
      </c>
      <c r="B27" s="4" t="s">
        <v>185</v>
      </c>
      <c r="C27" s="4" t="s">
        <v>186</v>
      </c>
      <c r="D27" s="4" t="s">
        <v>187</v>
      </c>
      <c r="E27" s="5">
        <v>64323</v>
      </c>
      <c r="F27" s="6">
        <v>308.58959249999998</v>
      </c>
      <c r="G27" s="7">
        <v>1.6322274000000001E-2</v>
      </c>
      <c r="H27" s="67"/>
    </row>
    <row r="28" spans="1:8" x14ac:dyDescent="0.2">
      <c r="A28" s="3">
        <v>22</v>
      </c>
      <c r="B28" s="4" t="s">
        <v>37</v>
      </c>
      <c r="C28" s="4" t="s">
        <v>38</v>
      </c>
      <c r="D28" s="4" t="s">
        <v>27</v>
      </c>
      <c r="E28" s="5">
        <v>25282</v>
      </c>
      <c r="F28" s="6">
        <v>301.095979</v>
      </c>
      <c r="G28" s="7">
        <v>1.5925913999999999E-2</v>
      </c>
      <c r="H28" s="67"/>
    </row>
    <row r="29" spans="1:8" x14ac:dyDescent="0.2">
      <c r="A29" s="3">
        <v>23</v>
      </c>
      <c r="B29" s="4" t="s">
        <v>188</v>
      </c>
      <c r="C29" s="4" t="s">
        <v>189</v>
      </c>
      <c r="D29" s="4" t="s">
        <v>166</v>
      </c>
      <c r="E29" s="5">
        <v>6240</v>
      </c>
      <c r="F29" s="6">
        <v>296.98656</v>
      </c>
      <c r="G29" s="7">
        <v>1.5708554E-2</v>
      </c>
      <c r="H29" s="67"/>
    </row>
    <row r="30" spans="1:8" x14ac:dyDescent="0.2">
      <c r="A30" s="3">
        <v>24</v>
      </c>
      <c r="B30" s="4" t="s">
        <v>190</v>
      </c>
      <c r="C30" s="4" t="s">
        <v>191</v>
      </c>
      <c r="D30" s="4" t="s">
        <v>41</v>
      </c>
      <c r="E30" s="5">
        <v>70480</v>
      </c>
      <c r="F30" s="6">
        <v>290.16615999999999</v>
      </c>
      <c r="G30" s="7">
        <v>1.5347800999999999E-2</v>
      </c>
      <c r="H30" s="67"/>
    </row>
    <row r="31" spans="1:8" x14ac:dyDescent="0.2">
      <c r="A31" s="3">
        <v>25</v>
      </c>
      <c r="B31" s="4" t="s">
        <v>194</v>
      </c>
      <c r="C31" s="4" t="s">
        <v>195</v>
      </c>
      <c r="D31" s="4" t="s">
        <v>55</v>
      </c>
      <c r="E31" s="5">
        <v>29640</v>
      </c>
      <c r="F31" s="6">
        <v>285.67032</v>
      </c>
      <c r="G31" s="7">
        <v>1.5110002000000001E-2</v>
      </c>
      <c r="H31" s="67"/>
    </row>
    <row r="32" spans="1:8" x14ac:dyDescent="0.2">
      <c r="A32" s="3">
        <v>26</v>
      </c>
      <c r="B32" s="4" t="s">
        <v>192</v>
      </c>
      <c r="C32" s="4" t="s">
        <v>193</v>
      </c>
      <c r="D32" s="4" t="s">
        <v>81</v>
      </c>
      <c r="E32" s="5">
        <v>50003</v>
      </c>
      <c r="F32" s="6">
        <v>285.34211950000002</v>
      </c>
      <c r="G32" s="7">
        <v>1.5092642E-2</v>
      </c>
      <c r="H32" s="67"/>
    </row>
    <row r="33" spans="1:8" x14ac:dyDescent="0.2">
      <c r="A33" s="3">
        <v>27</v>
      </c>
      <c r="B33" s="4" t="s">
        <v>196</v>
      </c>
      <c r="C33" s="4" t="s">
        <v>197</v>
      </c>
      <c r="D33" s="4" t="s">
        <v>1004</v>
      </c>
      <c r="E33" s="5">
        <v>88565</v>
      </c>
      <c r="F33" s="6">
        <v>273.88726250000002</v>
      </c>
      <c r="G33" s="7">
        <v>1.4486759E-2</v>
      </c>
      <c r="H33" s="67"/>
    </row>
    <row r="34" spans="1:8" x14ac:dyDescent="0.2">
      <c r="A34" s="3">
        <v>28</v>
      </c>
      <c r="B34" s="4" t="s">
        <v>198</v>
      </c>
      <c r="C34" s="4" t="s">
        <v>199</v>
      </c>
      <c r="D34" s="4" t="s">
        <v>166</v>
      </c>
      <c r="E34" s="5">
        <v>27880</v>
      </c>
      <c r="F34" s="6">
        <v>272.51306</v>
      </c>
      <c r="G34" s="7">
        <v>1.4414072999999999E-2</v>
      </c>
      <c r="H34" s="67"/>
    </row>
    <row r="35" spans="1:8" ht="25.5" x14ac:dyDescent="0.2">
      <c r="A35" s="3">
        <v>29</v>
      </c>
      <c r="B35" s="4" t="s">
        <v>202</v>
      </c>
      <c r="C35" s="4" t="s">
        <v>203</v>
      </c>
      <c r="D35" s="4" t="s">
        <v>52</v>
      </c>
      <c r="E35" s="5">
        <v>57162</v>
      </c>
      <c r="F35" s="6">
        <v>266.51782500000002</v>
      </c>
      <c r="G35" s="7">
        <v>1.4096966000000001E-2</v>
      </c>
      <c r="H35" s="67"/>
    </row>
    <row r="36" spans="1:8" x14ac:dyDescent="0.2">
      <c r="A36" s="3">
        <v>30</v>
      </c>
      <c r="B36" s="4" t="s">
        <v>204</v>
      </c>
      <c r="C36" s="4" t="s">
        <v>205</v>
      </c>
      <c r="D36" s="4" t="s">
        <v>27</v>
      </c>
      <c r="E36" s="5">
        <v>15668</v>
      </c>
      <c r="F36" s="6">
        <v>260.19064200000003</v>
      </c>
      <c r="G36" s="7">
        <v>1.3762302000000001E-2</v>
      </c>
      <c r="H36" s="67"/>
    </row>
    <row r="37" spans="1:8" x14ac:dyDescent="0.2">
      <c r="A37" s="3">
        <v>31</v>
      </c>
      <c r="B37" s="4" t="s">
        <v>206</v>
      </c>
      <c r="C37" s="4" t="s">
        <v>207</v>
      </c>
      <c r="D37" s="4" t="s">
        <v>187</v>
      </c>
      <c r="E37" s="5">
        <v>38836</v>
      </c>
      <c r="F37" s="6">
        <v>258.88077600000003</v>
      </c>
      <c r="G37" s="7">
        <v>1.3693019000000001E-2</v>
      </c>
      <c r="H37" s="67"/>
    </row>
    <row r="38" spans="1:8" x14ac:dyDescent="0.2">
      <c r="A38" s="3">
        <v>32</v>
      </c>
      <c r="B38" s="4" t="s">
        <v>236</v>
      </c>
      <c r="C38" s="4" t="s">
        <v>237</v>
      </c>
      <c r="D38" s="4" t="s">
        <v>1000</v>
      </c>
      <c r="E38" s="5">
        <v>20147</v>
      </c>
      <c r="F38" s="6">
        <v>255.32293100000001</v>
      </c>
      <c r="G38" s="7">
        <v>1.3504833000000001E-2</v>
      </c>
      <c r="H38" s="67"/>
    </row>
    <row r="39" spans="1:8" x14ac:dyDescent="0.2">
      <c r="A39" s="3">
        <v>33</v>
      </c>
      <c r="B39" s="4" t="s">
        <v>208</v>
      </c>
      <c r="C39" s="4" t="s">
        <v>209</v>
      </c>
      <c r="D39" s="4" t="s">
        <v>1005</v>
      </c>
      <c r="E39" s="5">
        <v>30000</v>
      </c>
      <c r="F39" s="6">
        <v>254.05500000000001</v>
      </c>
      <c r="G39" s="7">
        <v>1.3437767999999999E-2</v>
      </c>
      <c r="H39" s="67"/>
    </row>
    <row r="40" spans="1:8" x14ac:dyDescent="0.2">
      <c r="A40" s="3">
        <v>34</v>
      </c>
      <c r="B40" s="4" t="s">
        <v>213</v>
      </c>
      <c r="C40" s="4" t="s">
        <v>214</v>
      </c>
      <c r="D40" s="4" t="s">
        <v>81</v>
      </c>
      <c r="E40" s="5">
        <v>43018</v>
      </c>
      <c r="F40" s="6">
        <v>245.61127099999999</v>
      </c>
      <c r="G40" s="7">
        <v>1.2991153E-2</v>
      </c>
      <c r="H40" s="67"/>
    </row>
    <row r="41" spans="1:8" x14ac:dyDescent="0.2">
      <c r="A41" s="3">
        <v>35</v>
      </c>
      <c r="B41" s="4" t="s">
        <v>215</v>
      </c>
      <c r="C41" s="4" t="s">
        <v>216</v>
      </c>
      <c r="D41" s="4" t="s">
        <v>69</v>
      </c>
      <c r="E41" s="5">
        <v>234585</v>
      </c>
      <c r="F41" s="6">
        <v>234.46770749999999</v>
      </c>
      <c r="G41" s="7">
        <v>1.2401735000000001E-2</v>
      </c>
      <c r="H41" s="67"/>
    </row>
    <row r="42" spans="1:8" x14ac:dyDescent="0.2">
      <c r="A42" s="3">
        <v>36</v>
      </c>
      <c r="B42" s="4" t="s">
        <v>77</v>
      </c>
      <c r="C42" s="4" t="s">
        <v>78</v>
      </c>
      <c r="D42" s="4" t="s">
        <v>69</v>
      </c>
      <c r="E42" s="5">
        <v>68767</v>
      </c>
      <c r="F42" s="6">
        <v>229.9912315</v>
      </c>
      <c r="G42" s="7">
        <v>1.2164960000000001E-2</v>
      </c>
      <c r="H42" s="67"/>
    </row>
    <row r="43" spans="1:8" ht="25.5" x14ac:dyDescent="0.2">
      <c r="A43" s="3">
        <v>37</v>
      </c>
      <c r="B43" s="4" t="s">
        <v>217</v>
      </c>
      <c r="C43" s="4" t="s">
        <v>218</v>
      </c>
      <c r="D43" s="4" t="s">
        <v>55</v>
      </c>
      <c r="E43" s="5">
        <v>10136</v>
      </c>
      <c r="F43" s="6">
        <v>222.35849999999999</v>
      </c>
      <c r="G43" s="7">
        <v>1.1761241E-2</v>
      </c>
      <c r="H43" s="67"/>
    </row>
    <row r="44" spans="1:8" x14ac:dyDescent="0.2">
      <c r="A44" s="3">
        <v>38</v>
      </c>
      <c r="B44" s="4" t="s">
        <v>223</v>
      </c>
      <c r="C44" s="4" t="s">
        <v>224</v>
      </c>
      <c r="D44" s="4" t="s">
        <v>69</v>
      </c>
      <c r="E44" s="5">
        <v>25533</v>
      </c>
      <c r="F44" s="6">
        <v>220.28595749999999</v>
      </c>
      <c r="G44" s="7">
        <v>1.1651617E-2</v>
      </c>
      <c r="H44" s="67"/>
    </row>
    <row r="45" spans="1:8" ht="25.5" x14ac:dyDescent="0.2">
      <c r="A45" s="3">
        <v>39</v>
      </c>
      <c r="B45" s="4" t="s">
        <v>221</v>
      </c>
      <c r="C45" s="4" t="s">
        <v>222</v>
      </c>
      <c r="D45" s="4" t="s">
        <v>36</v>
      </c>
      <c r="E45" s="5">
        <v>249487</v>
      </c>
      <c r="F45" s="6">
        <v>214.30933300000001</v>
      </c>
      <c r="G45" s="7">
        <v>1.1335494999999999E-2</v>
      </c>
      <c r="H45" s="67"/>
    </row>
    <row r="46" spans="1:8" ht="25.5" x14ac:dyDescent="0.2">
      <c r="A46" s="3">
        <v>40</v>
      </c>
      <c r="B46" s="4" t="s">
        <v>65</v>
      </c>
      <c r="C46" s="4" t="s">
        <v>66</v>
      </c>
      <c r="D46" s="4" t="s">
        <v>36</v>
      </c>
      <c r="E46" s="5">
        <v>27102</v>
      </c>
      <c r="F46" s="6">
        <v>197.34321299999999</v>
      </c>
      <c r="G46" s="7">
        <v>1.0438103000000001E-2</v>
      </c>
      <c r="H46" s="67"/>
    </row>
    <row r="47" spans="1:8" x14ac:dyDescent="0.2">
      <c r="A47" s="3">
        <v>41</v>
      </c>
      <c r="B47" s="4" t="s">
        <v>225</v>
      </c>
      <c r="C47" s="4" t="s">
        <v>226</v>
      </c>
      <c r="D47" s="4" t="s">
        <v>166</v>
      </c>
      <c r="E47" s="5">
        <v>13480</v>
      </c>
      <c r="F47" s="6">
        <v>192.45396</v>
      </c>
      <c r="G47" s="7">
        <v>1.0179495E-2</v>
      </c>
      <c r="H47" s="67"/>
    </row>
    <row r="48" spans="1:8" x14ac:dyDescent="0.2">
      <c r="A48" s="3">
        <v>42</v>
      </c>
      <c r="B48" s="4" t="s">
        <v>227</v>
      </c>
      <c r="C48" s="4" t="s">
        <v>228</v>
      </c>
      <c r="D48" s="4" t="s">
        <v>229</v>
      </c>
      <c r="E48" s="5">
        <v>40158</v>
      </c>
      <c r="F48" s="6">
        <v>192.19618800000001</v>
      </c>
      <c r="G48" s="7">
        <v>1.0165861E-2</v>
      </c>
      <c r="H48" s="67"/>
    </row>
    <row r="49" spans="1:8" ht="25.5" x14ac:dyDescent="0.2">
      <c r="A49" s="3">
        <v>43</v>
      </c>
      <c r="B49" s="4" t="s">
        <v>238</v>
      </c>
      <c r="C49" s="4" t="s">
        <v>239</v>
      </c>
      <c r="D49" s="4" t="s">
        <v>1006</v>
      </c>
      <c r="E49" s="5">
        <v>183660</v>
      </c>
      <c r="F49" s="6">
        <v>188.80248</v>
      </c>
      <c r="G49" s="7">
        <v>9.9863569999999995E-3</v>
      </c>
      <c r="H49" s="67"/>
    </row>
    <row r="50" spans="1:8" ht="25.5" x14ac:dyDescent="0.2">
      <c r="A50" s="3">
        <v>44</v>
      </c>
      <c r="B50" s="4" t="s">
        <v>230</v>
      </c>
      <c r="C50" s="4" t="s">
        <v>231</v>
      </c>
      <c r="D50" s="4" t="s">
        <v>52</v>
      </c>
      <c r="E50" s="5">
        <v>46339</v>
      </c>
      <c r="F50" s="6">
        <v>186.67666149999999</v>
      </c>
      <c r="G50" s="7">
        <v>9.8739159999999999E-3</v>
      </c>
      <c r="H50" s="67"/>
    </row>
    <row r="51" spans="1:8" x14ac:dyDescent="0.2">
      <c r="A51" s="3">
        <v>45</v>
      </c>
      <c r="B51" s="4" t="s">
        <v>232</v>
      </c>
      <c r="C51" s="4" t="s">
        <v>233</v>
      </c>
      <c r="D51" s="4" t="s">
        <v>55</v>
      </c>
      <c r="E51" s="5">
        <v>73734</v>
      </c>
      <c r="F51" s="6">
        <v>186.583887</v>
      </c>
      <c r="G51" s="7">
        <v>9.8690089999999998E-3</v>
      </c>
      <c r="H51" s="67"/>
    </row>
    <row r="52" spans="1:8" x14ac:dyDescent="0.2">
      <c r="A52" s="3">
        <v>46</v>
      </c>
      <c r="B52" s="4" t="s">
        <v>234</v>
      </c>
      <c r="C52" s="4" t="s">
        <v>235</v>
      </c>
      <c r="D52" s="4" t="s">
        <v>187</v>
      </c>
      <c r="E52" s="5">
        <v>10907</v>
      </c>
      <c r="F52" s="6">
        <v>185.70803549999999</v>
      </c>
      <c r="G52" s="7">
        <v>9.8226819999999992E-3</v>
      </c>
      <c r="H52" s="67"/>
    </row>
    <row r="53" spans="1:8" x14ac:dyDescent="0.2">
      <c r="A53" s="3">
        <v>47</v>
      </c>
      <c r="B53" s="4" t="s">
        <v>245</v>
      </c>
      <c r="C53" s="4" t="s">
        <v>246</v>
      </c>
      <c r="D53" s="4" t="s">
        <v>81</v>
      </c>
      <c r="E53" s="5">
        <v>355896</v>
      </c>
      <c r="F53" s="6">
        <v>178.83774</v>
      </c>
      <c r="G53" s="7">
        <v>9.4592909999999999E-3</v>
      </c>
      <c r="H53" s="67"/>
    </row>
    <row r="54" spans="1:8" ht="25.5" x14ac:dyDescent="0.2">
      <c r="A54" s="3">
        <v>48</v>
      </c>
      <c r="B54" s="4" t="s">
        <v>240</v>
      </c>
      <c r="C54" s="4" t="s">
        <v>241</v>
      </c>
      <c r="D54" s="4" t="s">
        <v>52</v>
      </c>
      <c r="E54" s="5">
        <v>44258</v>
      </c>
      <c r="F54" s="6">
        <v>178.691675</v>
      </c>
      <c r="G54" s="7">
        <v>9.4515650000000003E-3</v>
      </c>
      <c r="H54" s="67"/>
    </row>
    <row r="55" spans="1:8" x14ac:dyDescent="0.2">
      <c r="A55" s="3">
        <v>49</v>
      </c>
      <c r="B55" s="4" t="s">
        <v>243</v>
      </c>
      <c r="C55" s="4" t="s">
        <v>244</v>
      </c>
      <c r="D55" s="4" t="s">
        <v>171</v>
      </c>
      <c r="E55" s="5">
        <v>49282</v>
      </c>
      <c r="F55" s="6">
        <v>178.64725000000001</v>
      </c>
      <c r="G55" s="7">
        <v>9.4492150000000004E-3</v>
      </c>
      <c r="H55" s="67"/>
    </row>
    <row r="56" spans="1:8" x14ac:dyDescent="0.2">
      <c r="A56" s="3">
        <v>50</v>
      </c>
      <c r="B56" s="4" t="s">
        <v>247</v>
      </c>
      <c r="C56" s="4" t="s">
        <v>248</v>
      </c>
      <c r="D56" s="4" t="s">
        <v>1001</v>
      </c>
      <c r="E56" s="5">
        <v>31743</v>
      </c>
      <c r="F56" s="6">
        <v>174.7610865</v>
      </c>
      <c r="G56" s="7">
        <v>9.2436640000000004E-3</v>
      </c>
      <c r="H56" s="67"/>
    </row>
    <row r="57" spans="1:8" x14ac:dyDescent="0.2">
      <c r="A57" s="3">
        <v>51</v>
      </c>
      <c r="B57" s="4" t="s">
        <v>249</v>
      </c>
      <c r="C57" s="4" t="s">
        <v>250</v>
      </c>
      <c r="D57" s="4" t="s">
        <v>187</v>
      </c>
      <c r="E57" s="5">
        <v>32168</v>
      </c>
      <c r="F57" s="6">
        <v>172.436564</v>
      </c>
      <c r="G57" s="7">
        <v>9.1207119999999996E-3</v>
      </c>
      <c r="H57" s="67"/>
    </row>
    <row r="58" spans="1:8" x14ac:dyDescent="0.2">
      <c r="A58" s="3">
        <v>52</v>
      </c>
      <c r="B58" s="4" t="s">
        <v>53</v>
      </c>
      <c r="C58" s="4" t="s">
        <v>54</v>
      </c>
      <c r="D58" s="4" t="s">
        <v>55</v>
      </c>
      <c r="E58" s="5">
        <v>5600</v>
      </c>
      <c r="F58" s="6">
        <v>162.11439999999999</v>
      </c>
      <c r="G58" s="7">
        <v>8.5747410000000003E-3</v>
      </c>
      <c r="H58" s="67"/>
    </row>
    <row r="59" spans="1:8" x14ac:dyDescent="0.2">
      <c r="A59" s="3">
        <v>53</v>
      </c>
      <c r="B59" s="4" t="s">
        <v>253</v>
      </c>
      <c r="C59" s="4" t="s">
        <v>254</v>
      </c>
      <c r="D59" s="4" t="s">
        <v>49</v>
      </c>
      <c r="E59" s="5">
        <v>15128</v>
      </c>
      <c r="F59" s="6">
        <v>159.44911999999999</v>
      </c>
      <c r="G59" s="7">
        <v>8.4337660000000005E-3</v>
      </c>
      <c r="H59" s="67"/>
    </row>
    <row r="60" spans="1:8" x14ac:dyDescent="0.2">
      <c r="A60" s="3">
        <v>54</v>
      </c>
      <c r="B60" s="4" t="s">
        <v>255</v>
      </c>
      <c r="C60" s="4" t="s">
        <v>256</v>
      </c>
      <c r="D60" s="4" t="s">
        <v>331</v>
      </c>
      <c r="E60" s="5">
        <v>10640</v>
      </c>
      <c r="F60" s="6">
        <v>158.37639999999999</v>
      </c>
      <c r="G60" s="7">
        <v>8.3770259999999992E-3</v>
      </c>
      <c r="H60" s="67"/>
    </row>
    <row r="61" spans="1:8" ht="25.5" x14ac:dyDescent="0.2">
      <c r="A61" s="3">
        <v>55</v>
      </c>
      <c r="B61" s="4" t="s">
        <v>251</v>
      </c>
      <c r="C61" s="4" t="s">
        <v>252</v>
      </c>
      <c r="D61" s="4" t="s">
        <v>992</v>
      </c>
      <c r="E61" s="5">
        <v>96599</v>
      </c>
      <c r="F61" s="6">
        <v>158.03596400000001</v>
      </c>
      <c r="G61" s="7">
        <v>8.3590190000000005E-3</v>
      </c>
      <c r="H61" s="67"/>
    </row>
    <row r="62" spans="1:8" x14ac:dyDescent="0.2">
      <c r="A62" s="3">
        <v>56</v>
      </c>
      <c r="B62" s="4" t="s">
        <v>257</v>
      </c>
      <c r="C62" s="4" t="s">
        <v>258</v>
      </c>
      <c r="D62" s="4" t="s">
        <v>1001</v>
      </c>
      <c r="E62" s="5">
        <v>122464</v>
      </c>
      <c r="F62" s="6">
        <v>153.20246399999999</v>
      </c>
      <c r="G62" s="7">
        <v>8.1033600000000004E-3</v>
      </c>
      <c r="H62" s="67"/>
    </row>
    <row r="63" spans="1:8" x14ac:dyDescent="0.2">
      <c r="A63" s="3">
        <v>57</v>
      </c>
      <c r="B63" s="4" t="s">
        <v>259</v>
      </c>
      <c r="C63" s="4" t="s">
        <v>260</v>
      </c>
      <c r="D63" s="4" t="s">
        <v>261</v>
      </c>
      <c r="E63" s="5">
        <v>20512</v>
      </c>
      <c r="F63" s="6">
        <v>152.04519999999999</v>
      </c>
      <c r="G63" s="7">
        <v>8.0421490000000002E-3</v>
      </c>
      <c r="H63" s="67"/>
    </row>
    <row r="64" spans="1:8" x14ac:dyDescent="0.2">
      <c r="A64" s="3">
        <v>58</v>
      </c>
      <c r="B64" s="4" t="s">
        <v>262</v>
      </c>
      <c r="C64" s="4" t="s">
        <v>263</v>
      </c>
      <c r="D64" s="4" t="s">
        <v>171</v>
      </c>
      <c r="E64" s="5">
        <v>22382</v>
      </c>
      <c r="F64" s="6">
        <v>151.68281400000001</v>
      </c>
      <c r="G64" s="7">
        <v>8.0229810000000002E-3</v>
      </c>
      <c r="H64" s="67"/>
    </row>
    <row r="65" spans="1:8" ht="25.5" x14ac:dyDescent="0.2">
      <c r="A65" s="3">
        <v>59</v>
      </c>
      <c r="B65" s="4" t="s">
        <v>264</v>
      </c>
      <c r="C65" s="4" t="s">
        <v>265</v>
      </c>
      <c r="D65" s="4" t="s">
        <v>153</v>
      </c>
      <c r="E65" s="5">
        <v>44330</v>
      </c>
      <c r="F65" s="6">
        <v>147.44157999999999</v>
      </c>
      <c r="G65" s="7">
        <v>7.7986490000000004E-3</v>
      </c>
      <c r="H65" s="67"/>
    </row>
    <row r="66" spans="1:8" x14ac:dyDescent="0.2">
      <c r="A66" s="3">
        <v>60</v>
      </c>
      <c r="B66" s="4" t="s">
        <v>266</v>
      </c>
      <c r="C66" s="4" t="s">
        <v>267</v>
      </c>
      <c r="D66" s="4" t="s">
        <v>41</v>
      </c>
      <c r="E66" s="5">
        <v>142112</v>
      </c>
      <c r="F66" s="6">
        <v>146.94380799999999</v>
      </c>
      <c r="G66" s="7">
        <v>7.7723200000000001E-3</v>
      </c>
      <c r="H66" s="67"/>
    </row>
    <row r="67" spans="1:8" x14ac:dyDescent="0.2">
      <c r="A67" s="3">
        <v>61</v>
      </c>
      <c r="B67" s="4" t="s">
        <v>268</v>
      </c>
      <c r="C67" s="4" t="s">
        <v>269</v>
      </c>
      <c r="D67" s="4" t="s">
        <v>24</v>
      </c>
      <c r="E67" s="5">
        <v>135178</v>
      </c>
      <c r="F67" s="6">
        <v>124.56652699999999</v>
      </c>
      <c r="G67" s="7">
        <v>6.5887159999999997E-3</v>
      </c>
      <c r="H67" s="67"/>
    </row>
    <row r="68" spans="1:8" x14ac:dyDescent="0.2">
      <c r="A68" s="3">
        <v>62</v>
      </c>
      <c r="B68" s="4" t="s">
        <v>270</v>
      </c>
      <c r="C68" s="4" t="s">
        <v>271</v>
      </c>
      <c r="D68" s="4" t="s">
        <v>272</v>
      </c>
      <c r="E68" s="5">
        <v>54097</v>
      </c>
      <c r="F68" s="6">
        <v>122.9354325</v>
      </c>
      <c r="G68" s="7">
        <v>6.5024419999999998E-3</v>
      </c>
      <c r="H68" s="67"/>
    </row>
    <row r="69" spans="1:8" x14ac:dyDescent="0.2">
      <c r="A69" s="3">
        <v>63</v>
      </c>
      <c r="B69" s="4" t="s">
        <v>273</v>
      </c>
      <c r="C69" s="4" t="s">
        <v>274</v>
      </c>
      <c r="D69" s="4" t="s">
        <v>187</v>
      </c>
      <c r="E69" s="5">
        <v>2229</v>
      </c>
      <c r="F69" s="6">
        <v>121.244226</v>
      </c>
      <c r="G69" s="7">
        <v>6.412989E-3</v>
      </c>
      <c r="H69" s="67"/>
    </row>
    <row r="70" spans="1:8" x14ac:dyDescent="0.2">
      <c r="A70" s="3">
        <v>64</v>
      </c>
      <c r="B70" s="4" t="s">
        <v>290</v>
      </c>
      <c r="C70" s="4" t="s">
        <v>291</v>
      </c>
      <c r="D70" s="4" t="s">
        <v>27</v>
      </c>
      <c r="E70" s="5">
        <v>9729</v>
      </c>
      <c r="F70" s="6">
        <v>115.2351405</v>
      </c>
      <c r="G70" s="7">
        <v>6.0951490000000002E-3</v>
      </c>
      <c r="H70" s="67"/>
    </row>
    <row r="71" spans="1:8" x14ac:dyDescent="0.2">
      <c r="A71" s="3">
        <v>65</v>
      </c>
      <c r="B71" s="4" t="s">
        <v>275</v>
      </c>
      <c r="C71" s="4" t="s">
        <v>276</v>
      </c>
      <c r="D71" s="4" t="s">
        <v>1001</v>
      </c>
      <c r="E71" s="5">
        <v>92831</v>
      </c>
      <c r="F71" s="6">
        <v>113.7643905</v>
      </c>
      <c r="G71" s="7">
        <v>6.0173570000000001E-3</v>
      </c>
      <c r="H71" s="67"/>
    </row>
    <row r="72" spans="1:8" x14ac:dyDescent="0.2">
      <c r="A72" s="3">
        <v>66</v>
      </c>
      <c r="B72" s="4" t="s">
        <v>281</v>
      </c>
      <c r="C72" s="4" t="s">
        <v>282</v>
      </c>
      <c r="D72" s="4" t="s">
        <v>55</v>
      </c>
      <c r="E72" s="5">
        <v>65000</v>
      </c>
      <c r="F72" s="6">
        <v>105.39749999999999</v>
      </c>
      <c r="G72" s="7">
        <v>5.5748050000000004E-3</v>
      </c>
      <c r="H72" s="67"/>
    </row>
    <row r="73" spans="1:8" x14ac:dyDescent="0.2">
      <c r="A73" s="3">
        <v>67</v>
      </c>
      <c r="B73" s="4" t="s">
        <v>277</v>
      </c>
      <c r="C73" s="4" t="s">
        <v>278</v>
      </c>
      <c r="D73" s="4" t="s">
        <v>187</v>
      </c>
      <c r="E73" s="5">
        <v>26441</v>
      </c>
      <c r="F73" s="6">
        <v>103.35786899999999</v>
      </c>
      <c r="G73" s="7">
        <v>5.4669230000000003E-3</v>
      </c>
      <c r="H73" s="67"/>
    </row>
    <row r="74" spans="1:8" x14ac:dyDescent="0.2">
      <c r="A74" s="3">
        <v>68</v>
      </c>
      <c r="B74" s="4" t="s">
        <v>279</v>
      </c>
      <c r="C74" s="4" t="s">
        <v>280</v>
      </c>
      <c r="D74" s="4" t="s">
        <v>1003</v>
      </c>
      <c r="E74" s="5">
        <v>6788</v>
      </c>
      <c r="F74" s="6">
        <v>103.01129400000001</v>
      </c>
      <c r="G74" s="7">
        <v>5.448591E-3</v>
      </c>
      <c r="H74" s="67"/>
    </row>
    <row r="75" spans="1:8" x14ac:dyDescent="0.2">
      <c r="A75" s="3">
        <v>69</v>
      </c>
      <c r="B75" s="4" t="s">
        <v>283</v>
      </c>
      <c r="C75" s="4" t="s">
        <v>284</v>
      </c>
      <c r="D75" s="4" t="s">
        <v>166</v>
      </c>
      <c r="E75" s="5">
        <v>21071</v>
      </c>
      <c r="F75" s="6">
        <v>95.462165499999998</v>
      </c>
      <c r="G75" s="7">
        <v>5.0492940000000002E-3</v>
      </c>
      <c r="H75" s="67"/>
    </row>
    <row r="76" spans="1:8" x14ac:dyDescent="0.2">
      <c r="A76" s="3">
        <v>70</v>
      </c>
      <c r="B76" s="4" t="s">
        <v>285</v>
      </c>
      <c r="C76" s="4" t="s">
        <v>286</v>
      </c>
      <c r="D76" s="4" t="s">
        <v>153</v>
      </c>
      <c r="E76" s="5">
        <v>6090</v>
      </c>
      <c r="F76" s="6">
        <v>78.162104999999997</v>
      </c>
      <c r="G76" s="7">
        <v>4.13424E-3</v>
      </c>
      <c r="H76" s="67"/>
    </row>
    <row r="77" spans="1:8" x14ac:dyDescent="0.2">
      <c r="A77" s="3">
        <v>71</v>
      </c>
      <c r="B77" s="4" t="s">
        <v>67</v>
      </c>
      <c r="C77" s="4" t="s">
        <v>68</v>
      </c>
      <c r="D77" s="4" t="s">
        <v>69</v>
      </c>
      <c r="E77" s="5">
        <v>44443</v>
      </c>
      <c r="F77" s="6">
        <v>66.286734499999994</v>
      </c>
      <c r="G77" s="7">
        <v>3.5061139999999998E-3</v>
      </c>
      <c r="H77" s="67"/>
    </row>
    <row r="78" spans="1:8" x14ac:dyDescent="0.2">
      <c r="A78" s="3">
        <v>72</v>
      </c>
      <c r="B78" s="4" t="s">
        <v>287</v>
      </c>
      <c r="C78" s="4" t="s">
        <v>288</v>
      </c>
      <c r="D78" s="4" t="s">
        <v>1001</v>
      </c>
      <c r="E78" s="5">
        <v>7837</v>
      </c>
      <c r="F78" s="6">
        <v>35.270418499999998</v>
      </c>
      <c r="G78" s="7">
        <v>1.865563E-3</v>
      </c>
      <c r="H78" s="67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9">
        <v>17926.950597499999</v>
      </c>
      <c r="G79" s="10">
        <v>0.94821281999999996</v>
      </c>
      <c r="H79" s="67"/>
    </row>
    <row r="80" spans="1:8" x14ac:dyDescent="0.2">
      <c r="A80" s="1"/>
      <c r="B80" s="1"/>
      <c r="C80" s="11"/>
      <c r="D80" s="1"/>
      <c r="E80" s="1"/>
      <c r="F80" s="12"/>
      <c r="G80" s="12"/>
      <c r="H80" s="67"/>
    </row>
    <row r="81" spans="1:8" x14ac:dyDescent="0.2">
      <c r="A81" s="1"/>
      <c r="B81" s="1"/>
      <c r="C81" s="2" t="s">
        <v>107</v>
      </c>
      <c r="D81" s="1"/>
      <c r="E81" s="1"/>
      <c r="F81" s="1"/>
      <c r="G81" s="1"/>
      <c r="H81" s="67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">
        <v>0</v>
      </c>
      <c r="H82" s="67"/>
    </row>
    <row r="83" spans="1:8" x14ac:dyDescent="0.2">
      <c r="A83" s="1"/>
      <c r="B83" s="1"/>
      <c r="C83" s="11"/>
      <c r="D83" s="1"/>
      <c r="E83" s="1"/>
      <c r="F83" s="12"/>
      <c r="G83" s="12"/>
      <c r="H83" s="67"/>
    </row>
    <row r="84" spans="1:8" x14ac:dyDescent="0.2">
      <c r="A84" s="1"/>
      <c r="B84" s="1"/>
      <c r="C84" s="2" t="s">
        <v>108</v>
      </c>
      <c r="D84" s="1"/>
      <c r="E84" s="1"/>
      <c r="F84" s="1"/>
      <c r="G84" s="1"/>
      <c r="H84" s="67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7"/>
    </row>
    <row r="86" spans="1:8" x14ac:dyDescent="0.2">
      <c r="A86" s="1"/>
      <c r="B86" s="1"/>
      <c r="C86" s="11"/>
      <c r="D86" s="1"/>
      <c r="E86" s="1"/>
      <c r="F86" s="12"/>
      <c r="G86" s="12"/>
      <c r="H86" s="67"/>
    </row>
    <row r="87" spans="1:8" x14ac:dyDescent="0.2">
      <c r="A87" s="1"/>
      <c r="B87" s="1"/>
      <c r="C87" s="2" t="s">
        <v>109</v>
      </c>
      <c r="D87" s="1"/>
      <c r="E87" s="1"/>
      <c r="F87" s="1"/>
      <c r="G87" s="1"/>
      <c r="H87" s="67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">
        <v>0</v>
      </c>
      <c r="H88" s="67"/>
    </row>
    <row r="89" spans="1:8" x14ac:dyDescent="0.2">
      <c r="A89" s="1"/>
      <c r="B89" s="1"/>
      <c r="C89" s="11"/>
      <c r="D89" s="1"/>
      <c r="E89" s="1"/>
      <c r="F89" s="12"/>
      <c r="G89" s="12"/>
      <c r="H89" s="67"/>
    </row>
    <row r="90" spans="1:8" x14ac:dyDescent="0.2">
      <c r="A90" s="1"/>
      <c r="B90" s="1"/>
      <c r="C90" s="2" t="s">
        <v>110</v>
      </c>
      <c r="D90" s="1"/>
      <c r="E90" s="1"/>
      <c r="F90" s="12"/>
      <c r="G90" s="12"/>
      <c r="H90" s="67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">
        <v>0</v>
      </c>
      <c r="H91" s="67"/>
    </row>
    <row r="92" spans="1:8" x14ac:dyDescent="0.2">
      <c r="A92" s="1"/>
      <c r="B92" s="1"/>
      <c r="C92" s="11"/>
      <c r="D92" s="1"/>
      <c r="E92" s="1"/>
      <c r="F92" s="12"/>
      <c r="G92" s="12"/>
      <c r="H92" s="67"/>
    </row>
    <row r="93" spans="1:8" x14ac:dyDescent="0.2">
      <c r="A93" s="1"/>
      <c r="B93" s="1"/>
      <c r="C93" s="2" t="s">
        <v>111</v>
      </c>
      <c r="D93" s="1"/>
      <c r="E93" s="1"/>
      <c r="F93" s="12"/>
      <c r="G93" s="12"/>
      <c r="H93" s="67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">
        <v>0</v>
      </c>
      <c r="H94" s="67"/>
    </row>
    <row r="95" spans="1:8" x14ac:dyDescent="0.2">
      <c r="A95" s="1"/>
      <c r="B95" s="1"/>
      <c r="C95" s="11"/>
      <c r="D95" s="1"/>
      <c r="E95" s="1"/>
      <c r="F95" s="12"/>
      <c r="G95" s="12"/>
      <c r="H95" s="67"/>
    </row>
    <row r="96" spans="1:8" x14ac:dyDescent="0.2">
      <c r="A96" s="1"/>
      <c r="B96" s="1"/>
      <c r="C96" s="2" t="s">
        <v>112</v>
      </c>
      <c r="D96" s="1"/>
      <c r="E96" s="1"/>
      <c r="F96" s="9">
        <v>17926.950597499999</v>
      </c>
      <c r="G96" s="10">
        <v>0.94821281999999996</v>
      </c>
      <c r="H96" s="67"/>
    </row>
    <row r="97" spans="1:8" x14ac:dyDescent="0.2">
      <c r="A97" s="1"/>
      <c r="B97" s="1"/>
      <c r="C97" s="11"/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113</v>
      </c>
      <c r="D98" s="1"/>
      <c r="E98" s="1"/>
      <c r="F98" s="12"/>
      <c r="G98" s="12"/>
      <c r="H98" s="67"/>
    </row>
    <row r="99" spans="1:8" ht="25.5" x14ac:dyDescent="0.2">
      <c r="A99" s="1"/>
      <c r="B99" s="1"/>
      <c r="C99" s="2" t="s">
        <v>10</v>
      </c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7"/>
    </row>
    <row r="101" spans="1:8" x14ac:dyDescent="0.2">
      <c r="A101" s="1"/>
      <c r="B101" s="1"/>
      <c r="C101" s="11"/>
      <c r="D101" s="1"/>
      <c r="E101" s="1"/>
      <c r="F101" s="12"/>
      <c r="G101" s="12"/>
      <c r="H101" s="67"/>
    </row>
    <row r="102" spans="1:8" x14ac:dyDescent="0.2">
      <c r="A102" s="1"/>
      <c r="B102" s="1"/>
      <c r="C102" s="2" t="s">
        <v>114</v>
      </c>
      <c r="D102" s="1"/>
      <c r="E102" s="1"/>
      <c r="F102" s="1"/>
      <c r="G102" s="1"/>
      <c r="H102" s="67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">
        <v>0</v>
      </c>
      <c r="H103" s="67"/>
    </row>
    <row r="104" spans="1:8" x14ac:dyDescent="0.2">
      <c r="A104" s="1"/>
      <c r="B104" s="1"/>
      <c r="C104" s="11"/>
      <c r="D104" s="1"/>
      <c r="E104" s="1"/>
      <c r="F104" s="12"/>
      <c r="G104" s="12"/>
      <c r="H104" s="67"/>
    </row>
    <row r="105" spans="1:8" x14ac:dyDescent="0.2">
      <c r="A105" s="1"/>
      <c r="B105" s="1"/>
      <c r="C105" s="2" t="s">
        <v>115</v>
      </c>
      <c r="D105" s="1"/>
      <c r="E105" s="1"/>
      <c r="F105" s="1"/>
      <c r="G105" s="1"/>
      <c r="H105" s="67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">
        <v>0</v>
      </c>
      <c r="H106" s="67"/>
    </row>
    <row r="107" spans="1:8" x14ac:dyDescent="0.2">
      <c r="A107" s="1"/>
      <c r="B107" s="1"/>
      <c r="C107" s="11"/>
      <c r="D107" s="1"/>
      <c r="E107" s="1"/>
      <c r="F107" s="12"/>
      <c r="G107" s="12"/>
      <c r="H107" s="67"/>
    </row>
    <row r="108" spans="1:8" x14ac:dyDescent="0.2">
      <c r="A108" s="1"/>
      <c r="B108" s="1"/>
      <c r="C108" s="2" t="s">
        <v>116</v>
      </c>
      <c r="D108" s="1"/>
      <c r="E108" s="1"/>
      <c r="F108" s="12"/>
      <c r="G108" s="12"/>
      <c r="H108" s="67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">
        <v>0</v>
      </c>
      <c r="H109" s="67"/>
    </row>
    <row r="110" spans="1:8" x14ac:dyDescent="0.2">
      <c r="A110" s="1"/>
      <c r="B110" s="1"/>
      <c r="C110" s="11"/>
      <c r="D110" s="1"/>
      <c r="E110" s="1"/>
      <c r="F110" s="12"/>
      <c r="G110" s="12"/>
      <c r="H110" s="67"/>
    </row>
    <row r="111" spans="1:8" x14ac:dyDescent="0.2">
      <c r="A111" s="1"/>
      <c r="B111" s="1"/>
      <c r="C111" s="2" t="s">
        <v>117</v>
      </c>
      <c r="D111" s="1"/>
      <c r="E111" s="1"/>
      <c r="F111" s="9">
        <v>0</v>
      </c>
      <c r="G111" s="10">
        <v>0</v>
      </c>
      <c r="H111" s="67"/>
    </row>
    <row r="112" spans="1:8" x14ac:dyDescent="0.2">
      <c r="A112" s="1"/>
      <c r="B112" s="1"/>
      <c r="C112" s="11"/>
      <c r="D112" s="1"/>
      <c r="E112" s="1"/>
      <c r="F112" s="12"/>
      <c r="G112" s="12"/>
      <c r="H112" s="67"/>
    </row>
    <row r="113" spans="1:8" x14ac:dyDescent="0.2">
      <c r="A113" s="1"/>
      <c r="B113" s="1"/>
      <c r="C113" s="2" t="s">
        <v>118</v>
      </c>
      <c r="D113" s="1"/>
      <c r="E113" s="1"/>
      <c r="F113" s="12"/>
      <c r="G113" s="12"/>
      <c r="H113" s="67"/>
    </row>
    <row r="114" spans="1:8" x14ac:dyDescent="0.2">
      <c r="A114" s="1"/>
      <c r="B114" s="1"/>
      <c r="C114" s="2" t="s">
        <v>119</v>
      </c>
      <c r="D114" s="1"/>
      <c r="E114" s="1"/>
      <c r="F114" s="12"/>
      <c r="G114" s="12"/>
      <c r="H114" s="67"/>
    </row>
    <row r="115" spans="1:8" x14ac:dyDescent="0.2">
      <c r="A115" s="1"/>
      <c r="B115" s="1"/>
      <c r="C115" s="2" t="s">
        <v>105</v>
      </c>
      <c r="D115" s="1"/>
      <c r="E115" s="1" t="s">
        <v>106</v>
      </c>
      <c r="F115" s="13">
        <v>0</v>
      </c>
      <c r="G115" s="14">
        <v>0</v>
      </c>
      <c r="H115" s="67"/>
    </row>
    <row r="116" spans="1:8" x14ac:dyDescent="0.2">
      <c r="A116" s="1"/>
      <c r="B116" s="1"/>
      <c r="C116" s="11"/>
      <c r="D116" s="1"/>
      <c r="E116" s="1"/>
      <c r="F116" s="12"/>
      <c r="G116" s="12"/>
      <c r="H116" s="67"/>
    </row>
    <row r="117" spans="1:8" x14ac:dyDescent="0.2">
      <c r="A117" s="1"/>
      <c r="B117" s="1"/>
      <c r="C117" s="2" t="s">
        <v>120</v>
      </c>
      <c r="D117" s="1"/>
      <c r="E117" s="1"/>
      <c r="F117" s="12"/>
      <c r="G117" s="12"/>
      <c r="H117" s="67"/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">
        <v>0</v>
      </c>
      <c r="H118" s="67"/>
    </row>
    <row r="119" spans="1:8" x14ac:dyDescent="0.2">
      <c r="A119" s="1"/>
      <c r="B119" s="1"/>
      <c r="C119" s="11"/>
      <c r="D119" s="1"/>
      <c r="E119" s="1"/>
      <c r="F119" s="12"/>
      <c r="G119" s="12"/>
      <c r="H119" s="67"/>
    </row>
    <row r="120" spans="1:8" x14ac:dyDescent="0.2">
      <c r="A120" s="1"/>
      <c r="B120" s="1"/>
      <c r="C120" s="2" t="s">
        <v>121</v>
      </c>
      <c r="D120" s="1"/>
      <c r="E120" s="1"/>
      <c r="F120" s="12"/>
      <c r="G120" s="12"/>
      <c r="H120" s="67"/>
    </row>
    <row r="121" spans="1:8" x14ac:dyDescent="0.2">
      <c r="A121" s="1"/>
      <c r="B121" s="1"/>
      <c r="C121" s="2" t="s">
        <v>105</v>
      </c>
      <c r="D121" s="1"/>
      <c r="E121" s="1" t="s">
        <v>106</v>
      </c>
      <c r="F121" s="13">
        <v>0</v>
      </c>
      <c r="G121" s="14">
        <v>0</v>
      </c>
      <c r="H121" s="67"/>
    </row>
    <row r="122" spans="1:8" x14ac:dyDescent="0.2">
      <c r="A122" s="1"/>
      <c r="B122" s="1"/>
      <c r="C122" s="11"/>
      <c r="D122" s="1"/>
      <c r="E122" s="1"/>
      <c r="F122" s="12"/>
      <c r="G122" s="12"/>
      <c r="H122" s="67"/>
    </row>
    <row r="123" spans="1:8" x14ac:dyDescent="0.2">
      <c r="A123" s="1"/>
      <c r="B123" s="1"/>
      <c r="C123" s="2" t="s">
        <v>122</v>
      </c>
      <c r="D123" s="1"/>
      <c r="E123" s="1"/>
      <c r="F123" s="12"/>
      <c r="G123" s="12"/>
      <c r="H123" s="67"/>
    </row>
    <row r="124" spans="1:8" x14ac:dyDescent="0.2">
      <c r="A124" s="3">
        <v>1</v>
      </c>
      <c r="B124" s="4"/>
      <c r="C124" s="4" t="s">
        <v>123</v>
      </c>
      <c r="D124" s="4"/>
      <c r="E124" s="8"/>
      <c r="F124" s="6">
        <v>780.0192505</v>
      </c>
      <c r="G124" s="7">
        <v>4.1257672000000002E-2</v>
      </c>
      <c r="H124" s="67">
        <v>3.1047477660654299</v>
      </c>
    </row>
    <row r="125" spans="1:8" x14ac:dyDescent="0.2">
      <c r="A125" s="1"/>
      <c r="B125" s="1"/>
      <c r="C125" s="2" t="s">
        <v>105</v>
      </c>
      <c r="D125" s="1"/>
      <c r="E125" s="1" t="s">
        <v>106</v>
      </c>
      <c r="F125" s="9">
        <v>780.0192505</v>
      </c>
      <c r="G125" s="10">
        <v>4.1257672000000002E-2</v>
      </c>
      <c r="H125" s="67"/>
    </row>
    <row r="126" spans="1:8" x14ac:dyDescent="0.2">
      <c r="A126" s="1"/>
      <c r="B126" s="1"/>
      <c r="C126" s="11"/>
      <c r="D126" s="1"/>
      <c r="E126" s="1"/>
      <c r="F126" s="12"/>
      <c r="G126" s="12"/>
      <c r="H126" s="67"/>
    </row>
    <row r="127" spans="1:8" x14ac:dyDescent="0.2">
      <c r="A127" s="1"/>
      <c r="B127" s="1"/>
      <c r="C127" s="2" t="s">
        <v>124</v>
      </c>
      <c r="D127" s="1"/>
      <c r="E127" s="1"/>
      <c r="F127" s="9">
        <v>780.0192505</v>
      </c>
      <c r="G127" s="10">
        <v>4.1257672000000002E-2</v>
      </c>
      <c r="H127" s="67"/>
    </row>
    <row r="128" spans="1:8" x14ac:dyDescent="0.2">
      <c r="A128" s="1"/>
      <c r="B128" s="1"/>
      <c r="C128" s="12"/>
      <c r="D128" s="1"/>
      <c r="E128" s="1"/>
      <c r="F128" s="1"/>
      <c r="G128" s="1"/>
      <c r="H128" s="67"/>
    </row>
    <row r="129" spans="1:8" x14ac:dyDescent="0.2">
      <c r="A129" s="1"/>
      <c r="B129" s="1"/>
      <c r="C129" s="2" t="s">
        <v>125</v>
      </c>
      <c r="D129" s="1"/>
      <c r="E129" s="1"/>
      <c r="F129" s="1"/>
      <c r="G129" s="1"/>
      <c r="H129" s="67"/>
    </row>
    <row r="130" spans="1:8" x14ac:dyDescent="0.2">
      <c r="A130" s="1"/>
      <c r="B130" s="1"/>
      <c r="C130" s="2" t="s">
        <v>126</v>
      </c>
      <c r="D130" s="1"/>
      <c r="E130" s="1"/>
      <c r="F130" s="1"/>
      <c r="G130" s="1"/>
      <c r="H130" s="67"/>
    </row>
    <row r="131" spans="1:8" x14ac:dyDescent="0.2">
      <c r="A131" s="1"/>
      <c r="B131" s="1"/>
      <c r="C131" s="2" t="s">
        <v>105</v>
      </c>
      <c r="D131" s="1"/>
      <c r="E131" s="1" t="s">
        <v>106</v>
      </c>
      <c r="F131" s="13">
        <v>0</v>
      </c>
      <c r="G131" s="14">
        <v>0</v>
      </c>
      <c r="H131" s="67"/>
    </row>
    <row r="132" spans="1:8" x14ac:dyDescent="0.2">
      <c r="A132" s="1"/>
      <c r="B132" s="1"/>
      <c r="C132" s="11"/>
      <c r="D132" s="1"/>
      <c r="E132" s="1"/>
      <c r="F132" s="12"/>
      <c r="G132" s="12"/>
      <c r="H132" s="67"/>
    </row>
    <row r="133" spans="1:8" x14ac:dyDescent="0.2">
      <c r="A133" s="1"/>
      <c r="B133" s="1"/>
      <c r="C133" s="2" t="s">
        <v>127</v>
      </c>
      <c r="D133" s="1"/>
      <c r="E133" s="1"/>
      <c r="F133" s="1"/>
      <c r="G133" s="1"/>
      <c r="H133" s="67"/>
    </row>
    <row r="134" spans="1:8" x14ac:dyDescent="0.2">
      <c r="A134" s="1"/>
      <c r="B134" s="1"/>
      <c r="C134" s="2" t="s">
        <v>128</v>
      </c>
      <c r="D134" s="1"/>
      <c r="E134" s="1"/>
      <c r="F134" s="1"/>
      <c r="G134" s="1"/>
      <c r="H134" s="67"/>
    </row>
    <row r="135" spans="1:8" x14ac:dyDescent="0.2">
      <c r="A135" s="1"/>
      <c r="B135" s="1"/>
      <c r="C135" s="2" t="s">
        <v>105</v>
      </c>
      <c r="D135" s="1"/>
      <c r="E135" s="1" t="s">
        <v>106</v>
      </c>
      <c r="F135" s="13">
        <v>0</v>
      </c>
      <c r="G135" s="14">
        <v>0</v>
      </c>
      <c r="H135" s="67"/>
    </row>
    <row r="136" spans="1:8" x14ac:dyDescent="0.2">
      <c r="A136" s="1"/>
      <c r="B136" s="1"/>
      <c r="C136" s="11"/>
      <c r="D136" s="1"/>
      <c r="E136" s="1"/>
      <c r="F136" s="12"/>
      <c r="G136" s="12"/>
      <c r="H136" s="67"/>
    </row>
    <row r="137" spans="1:8" x14ac:dyDescent="0.2">
      <c r="A137" s="1"/>
      <c r="B137" s="1"/>
      <c r="C137" s="11"/>
      <c r="D137" s="1"/>
      <c r="E137" s="1"/>
      <c r="F137" s="12"/>
      <c r="G137" s="12"/>
      <c r="H137" s="67"/>
    </row>
    <row r="138" spans="1:8" ht="25.5" x14ac:dyDescent="0.2">
      <c r="A138" s="1"/>
      <c r="B138" s="1"/>
      <c r="C138" s="2" t="s">
        <v>129</v>
      </c>
      <c r="D138" s="1"/>
      <c r="E138" s="1"/>
      <c r="F138" s="6">
        <v>151.6704</v>
      </c>
      <c r="G138" s="7">
        <v>8.0223250000000003E-3</v>
      </c>
      <c r="H138" s="67"/>
    </row>
    <row r="139" spans="1:8" x14ac:dyDescent="0.2">
      <c r="A139" s="1"/>
      <c r="B139" s="1"/>
      <c r="C139" s="2" t="s">
        <v>105</v>
      </c>
      <c r="D139" s="1"/>
      <c r="E139" s="1" t="s">
        <v>106</v>
      </c>
      <c r="F139" s="9">
        <v>151.6704</v>
      </c>
      <c r="G139" s="10">
        <v>8.0223250000000003E-3</v>
      </c>
      <c r="H139" s="67"/>
    </row>
    <row r="140" spans="1:8" x14ac:dyDescent="0.2">
      <c r="A140" s="1"/>
      <c r="B140" s="1"/>
      <c r="C140" s="11"/>
      <c r="D140" s="1"/>
      <c r="E140" s="1"/>
      <c r="F140" s="12"/>
      <c r="G140" s="12"/>
      <c r="H140" s="67"/>
    </row>
    <row r="141" spans="1:8" x14ac:dyDescent="0.2">
      <c r="A141" s="1"/>
      <c r="B141" s="4"/>
      <c r="C141" s="4"/>
      <c r="D141" s="2"/>
      <c r="E141" s="1"/>
      <c r="F141" s="4"/>
      <c r="G141" s="8"/>
      <c r="H141" s="67"/>
    </row>
    <row r="142" spans="1:8" x14ac:dyDescent="0.2">
      <c r="A142" s="8"/>
      <c r="B142" s="4"/>
      <c r="C142" s="4" t="s">
        <v>130</v>
      </c>
      <c r="D142" s="4"/>
      <c r="E142" s="8"/>
      <c r="F142" s="6">
        <v>47.400884490000003</v>
      </c>
      <c r="G142" s="7">
        <v>2.5071820000000002E-3</v>
      </c>
      <c r="H142" s="67"/>
    </row>
    <row r="143" spans="1:8" x14ac:dyDescent="0.2">
      <c r="A143" s="11"/>
      <c r="B143" s="11"/>
      <c r="C143" s="2" t="s">
        <v>131</v>
      </c>
      <c r="D143" s="15"/>
      <c r="E143" s="15"/>
      <c r="F143" s="9">
        <v>18906.041132490001</v>
      </c>
      <c r="G143" s="10">
        <v>0.99999999900000003</v>
      </c>
      <c r="H143" s="67"/>
    </row>
    <row r="144" spans="1:8" ht="14.1" customHeight="1" x14ac:dyDescent="0.2">
      <c r="A144" s="16"/>
      <c r="B144" s="16"/>
      <c r="C144" s="16"/>
      <c r="D144" s="17"/>
      <c r="E144" s="17"/>
      <c r="F144" s="17"/>
      <c r="G144" s="17"/>
      <c r="H144" s="17"/>
    </row>
    <row r="145" spans="1:7" ht="14.1" customHeight="1" x14ac:dyDescent="0.2">
      <c r="A145" s="18"/>
      <c r="B145" s="170" t="s">
        <v>106</v>
      </c>
      <c r="C145" s="170"/>
      <c r="D145" s="170"/>
      <c r="E145" s="170"/>
      <c r="F145" s="170"/>
      <c r="G145" s="20"/>
    </row>
    <row r="146" spans="1:7" ht="14.1" customHeight="1" x14ac:dyDescent="0.2">
      <c r="A146" s="18"/>
      <c r="B146" s="170" t="s">
        <v>106</v>
      </c>
      <c r="C146" s="170"/>
      <c r="D146" s="170"/>
      <c r="E146" s="170"/>
      <c r="F146" s="170"/>
      <c r="G146" s="20"/>
    </row>
    <row r="147" spans="1:7" ht="14.1" customHeight="1" x14ac:dyDescent="0.2">
      <c r="A147" s="18"/>
      <c r="B147" s="18"/>
      <c r="C147" s="18"/>
      <c r="D147" s="20"/>
      <c r="E147" s="20"/>
      <c r="F147" s="20"/>
      <c r="G147" s="20"/>
    </row>
    <row r="148" spans="1:7" ht="14.1" customHeight="1" x14ac:dyDescent="0.2">
      <c r="A148" s="18"/>
      <c r="B148" s="168" t="s">
        <v>133</v>
      </c>
      <c r="C148" s="169"/>
      <c r="D148" s="12" t="s">
        <v>106</v>
      </c>
      <c r="E148" s="21"/>
      <c r="F148" s="20"/>
      <c r="G148" s="20"/>
    </row>
    <row r="149" spans="1:7" ht="29.1" customHeight="1" x14ac:dyDescent="0.2">
      <c r="A149" s="18"/>
      <c r="B149" s="165" t="s">
        <v>134</v>
      </c>
      <c r="C149" s="166"/>
      <c r="D149" s="2" t="s">
        <v>135</v>
      </c>
      <c r="E149" s="21"/>
      <c r="F149" s="20"/>
      <c r="G149" s="20"/>
    </row>
    <row r="150" spans="1:7" ht="17.100000000000001" customHeight="1" x14ac:dyDescent="0.2">
      <c r="A150" s="18"/>
      <c r="B150" s="165" t="s">
        <v>136</v>
      </c>
      <c r="C150" s="166"/>
      <c r="D150" s="2" t="s">
        <v>135</v>
      </c>
      <c r="E150" s="21"/>
      <c r="F150" s="20"/>
      <c r="G150" s="20"/>
    </row>
    <row r="151" spans="1:7" ht="17.100000000000001" customHeight="1" x14ac:dyDescent="0.2">
      <c r="A151" s="18"/>
      <c r="B151" s="165" t="s">
        <v>137</v>
      </c>
      <c r="C151" s="166"/>
      <c r="D151" s="12" t="s">
        <v>106</v>
      </c>
      <c r="E151" s="21"/>
      <c r="F151" s="20"/>
      <c r="G151" s="20"/>
    </row>
    <row r="152" spans="1:7" ht="24" customHeight="1" x14ac:dyDescent="0.2">
      <c r="A152" s="22"/>
      <c r="B152" s="23" t="s">
        <v>106</v>
      </c>
      <c r="C152" s="23" t="s">
        <v>138</v>
      </c>
      <c r="D152" s="23" t="s">
        <v>139</v>
      </c>
      <c r="E152" s="22"/>
      <c r="F152" s="22"/>
      <c r="G152" s="22"/>
    </row>
    <row r="153" spans="1:7" ht="18" customHeight="1" x14ac:dyDescent="0.2">
      <c r="A153" s="22"/>
      <c r="B153" s="23" t="s">
        <v>140</v>
      </c>
      <c r="C153" s="23" t="s">
        <v>141</v>
      </c>
      <c r="D153" s="23" t="s">
        <v>142</v>
      </c>
      <c r="E153" s="22"/>
      <c r="F153" s="22"/>
      <c r="G153" s="22"/>
    </row>
    <row r="154" spans="1:7" ht="17.100000000000001" customHeight="1" x14ac:dyDescent="0.2">
      <c r="A154" s="22"/>
      <c r="B154" s="4" t="s">
        <v>143</v>
      </c>
      <c r="C154" s="24">
        <v>14.7643</v>
      </c>
      <c r="D154" s="24">
        <v>14.67</v>
      </c>
      <c r="E154" s="22"/>
      <c r="F154" s="19"/>
      <c r="G154" s="25"/>
    </row>
    <row r="155" spans="1:7" ht="17.100000000000001" customHeight="1" x14ac:dyDescent="0.2">
      <c r="A155" s="22"/>
      <c r="B155" s="4" t="s">
        <v>988</v>
      </c>
      <c r="C155" s="24">
        <v>14.764200000000001</v>
      </c>
      <c r="D155" s="24">
        <v>14.6699</v>
      </c>
      <c r="E155" s="22"/>
      <c r="F155" s="19"/>
      <c r="G155" s="25"/>
    </row>
    <row r="156" spans="1:7" ht="17.100000000000001" customHeight="1" x14ac:dyDescent="0.2">
      <c r="A156" s="22"/>
      <c r="B156" s="4" t="s">
        <v>144</v>
      </c>
      <c r="C156" s="24">
        <v>14.2683</v>
      </c>
      <c r="D156" s="24">
        <v>14.1693</v>
      </c>
      <c r="E156" s="22"/>
      <c r="F156" s="19"/>
      <c r="G156" s="25"/>
    </row>
    <row r="157" spans="1:7" ht="17.100000000000001" customHeight="1" x14ac:dyDescent="0.2">
      <c r="A157" s="22"/>
      <c r="B157" s="4" t="s">
        <v>989</v>
      </c>
      <c r="C157" s="24">
        <v>14.2683</v>
      </c>
      <c r="D157" s="24">
        <v>14.1693</v>
      </c>
      <c r="E157" s="22"/>
      <c r="F157" s="19"/>
      <c r="G157" s="25"/>
    </row>
    <row r="158" spans="1:7" ht="14.1" customHeight="1" x14ac:dyDescent="0.2">
      <c r="A158" s="22"/>
      <c r="B158" s="22"/>
      <c r="C158" s="22"/>
      <c r="D158" s="22"/>
      <c r="E158" s="22"/>
      <c r="F158" s="22"/>
      <c r="G158" s="22"/>
    </row>
    <row r="159" spans="1:7" ht="17.100000000000001" customHeight="1" x14ac:dyDescent="0.2">
      <c r="A159" s="22"/>
      <c r="B159" s="165" t="s">
        <v>990</v>
      </c>
      <c r="C159" s="166"/>
      <c r="D159" s="2" t="s">
        <v>135</v>
      </c>
      <c r="E159" s="22"/>
      <c r="F159" s="22"/>
      <c r="G159" s="22"/>
    </row>
    <row r="160" spans="1:7" ht="18" customHeight="1" x14ac:dyDescent="0.2">
      <c r="A160" s="22"/>
      <c r="B160" s="26" t="s">
        <v>145</v>
      </c>
      <c r="C160" s="26" t="s">
        <v>145</v>
      </c>
      <c r="D160" s="26"/>
      <c r="E160" s="22"/>
      <c r="F160" s="22"/>
      <c r="G160" s="22"/>
    </row>
    <row r="161" spans="1:7" s="158" customFormat="1" x14ac:dyDescent="0.2">
      <c r="B161" s="167" t="s">
        <v>822</v>
      </c>
      <c r="C161" s="167"/>
      <c r="D161" s="167"/>
      <c r="E161" s="167"/>
      <c r="F161" s="167"/>
    </row>
    <row r="162" spans="1:7" ht="14.1" customHeight="1" x14ac:dyDescent="0.2">
      <c r="A162" s="22"/>
      <c r="B162" s="19"/>
      <c r="C162" s="19"/>
      <c r="D162" s="22"/>
      <c r="E162" s="22"/>
      <c r="F162" s="22"/>
      <c r="G162" s="22"/>
    </row>
    <row r="163" spans="1:7" ht="29.1" customHeight="1" x14ac:dyDescent="0.2">
      <c r="A163" s="22"/>
      <c r="B163" s="165" t="s">
        <v>146</v>
      </c>
      <c r="C163" s="166"/>
      <c r="D163" s="2" t="s">
        <v>135</v>
      </c>
      <c r="E163" s="22"/>
      <c r="F163" s="22"/>
      <c r="G163" s="22"/>
    </row>
    <row r="164" spans="1:7" ht="29.1" customHeight="1" x14ac:dyDescent="0.2">
      <c r="A164" s="22"/>
      <c r="B164" s="165" t="s">
        <v>147</v>
      </c>
      <c r="C164" s="166"/>
      <c r="D164" s="2" t="s">
        <v>135</v>
      </c>
      <c r="E164" s="22"/>
      <c r="F164" s="22"/>
      <c r="G164" s="22"/>
    </row>
    <row r="165" spans="1:7" ht="17.100000000000001" customHeight="1" x14ac:dyDescent="0.2">
      <c r="A165" s="22"/>
      <c r="B165" s="165" t="s">
        <v>148</v>
      </c>
      <c r="C165" s="166"/>
      <c r="D165" s="27">
        <v>0.48671711919984445</v>
      </c>
      <c r="E165" s="22"/>
      <c r="F165" s="19"/>
      <c r="G165" s="25"/>
    </row>
    <row r="166" spans="1:7" ht="17.100000000000001" customHeight="1" x14ac:dyDescent="0.2">
      <c r="A166" s="22"/>
      <c r="B166" s="165" t="s">
        <v>149</v>
      </c>
      <c r="C166" s="166"/>
      <c r="D166" s="2" t="s">
        <v>135</v>
      </c>
      <c r="E166" s="22"/>
      <c r="F166" s="22"/>
      <c r="G166" s="22"/>
    </row>
  </sheetData>
  <mergeCells count="15">
    <mergeCell ref="B148:C148"/>
    <mergeCell ref="B145:F145"/>
    <mergeCell ref="B146:F146"/>
    <mergeCell ref="A1:H1"/>
    <mergeCell ref="A2:H2"/>
    <mergeCell ref="A3:H3"/>
    <mergeCell ref="B165:C165"/>
    <mergeCell ref="B166:C166"/>
    <mergeCell ref="B149:C149"/>
    <mergeCell ref="B150:C150"/>
    <mergeCell ref="B151:C151"/>
    <mergeCell ref="B159:C159"/>
    <mergeCell ref="B163:C163"/>
    <mergeCell ref="B164:C164"/>
    <mergeCell ref="B161:F161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6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292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151</v>
      </c>
      <c r="C7" s="4" t="s">
        <v>152</v>
      </c>
      <c r="D7" s="4" t="s">
        <v>153</v>
      </c>
      <c r="E7" s="5">
        <v>10791</v>
      </c>
      <c r="F7" s="6">
        <v>434.61831599999999</v>
      </c>
      <c r="G7" s="7">
        <v>3.4342096000000003E-2</v>
      </c>
      <c r="H7" s="67"/>
    </row>
    <row r="8" spans="1:8" x14ac:dyDescent="0.2">
      <c r="A8" s="3">
        <v>2</v>
      </c>
      <c r="B8" s="4" t="s">
        <v>25</v>
      </c>
      <c r="C8" s="4" t="s">
        <v>26</v>
      </c>
      <c r="D8" s="4" t="s">
        <v>27</v>
      </c>
      <c r="E8" s="5">
        <v>31951</v>
      </c>
      <c r="F8" s="6">
        <v>412.47143449999999</v>
      </c>
      <c r="G8" s="7">
        <v>3.2592123000000001E-2</v>
      </c>
      <c r="H8" s="67"/>
    </row>
    <row r="9" spans="1:8" x14ac:dyDescent="0.2">
      <c r="A9" s="3">
        <v>3</v>
      </c>
      <c r="B9" s="4" t="s">
        <v>156</v>
      </c>
      <c r="C9" s="4" t="s">
        <v>157</v>
      </c>
      <c r="D9" s="4" t="s">
        <v>153</v>
      </c>
      <c r="E9" s="5">
        <v>28562</v>
      </c>
      <c r="F9" s="6">
        <v>400.81054599999999</v>
      </c>
      <c r="G9" s="7">
        <v>3.1670719E-2</v>
      </c>
      <c r="H9" s="67"/>
    </row>
    <row r="10" spans="1:8" x14ac:dyDescent="0.2">
      <c r="A10" s="3">
        <v>4</v>
      </c>
      <c r="B10" s="4" t="s">
        <v>154</v>
      </c>
      <c r="C10" s="4" t="s">
        <v>155</v>
      </c>
      <c r="D10" s="4" t="s">
        <v>81</v>
      </c>
      <c r="E10" s="5">
        <v>272803</v>
      </c>
      <c r="F10" s="6">
        <v>321.63473699999997</v>
      </c>
      <c r="G10" s="7">
        <v>2.5414508999999998E-2</v>
      </c>
      <c r="H10" s="67"/>
    </row>
    <row r="11" spans="1:8" x14ac:dyDescent="0.2">
      <c r="A11" s="3">
        <v>5</v>
      </c>
      <c r="B11" s="4" t="s">
        <v>158</v>
      </c>
      <c r="C11" s="4" t="s">
        <v>159</v>
      </c>
      <c r="D11" s="4" t="s">
        <v>27</v>
      </c>
      <c r="E11" s="5">
        <v>38777</v>
      </c>
      <c r="F11" s="6">
        <v>295.51951700000001</v>
      </c>
      <c r="G11" s="7">
        <v>2.3350971000000002E-2</v>
      </c>
      <c r="H11" s="67"/>
    </row>
    <row r="12" spans="1:8" x14ac:dyDescent="0.2">
      <c r="A12" s="3">
        <v>6</v>
      </c>
      <c r="B12" s="4" t="s">
        <v>162</v>
      </c>
      <c r="C12" s="4" t="s">
        <v>163</v>
      </c>
      <c r="D12" s="4" t="s">
        <v>27</v>
      </c>
      <c r="E12" s="5">
        <v>38591</v>
      </c>
      <c r="F12" s="6">
        <v>295.00889949999998</v>
      </c>
      <c r="G12" s="7">
        <v>2.3310623999999999E-2</v>
      </c>
      <c r="H12" s="67"/>
    </row>
    <row r="13" spans="1:8" x14ac:dyDescent="0.2">
      <c r="A13" s="3">
        <v>7</v>
      </c>
      <c r="B13" s="4" t="s">
        <v>160</v>
      </c>
      <c r="C13" s="4" t="s">
        <v>161</v>
      </c>
      <c r="D13" s="4" t="s">
        <v>1003</v>
      </c>
      <c r="E13" s="5">
        <v>24353</v>
      </c>
      <c r="F13" s="6">
        <v>294.03812199999999</v>
      </c>
      <c r="G13" s="7">
        <v>2.3233916E-2</v>
      </c>
      <c r="H13" s="67"/>
    </row>
    <row r="14" spans="1:8" x14ac:dyDescent="0.2">
      <c r="A14" s="3">
        <v>8</v>
      </c>
      <c r="B14" s="4" t="s">
        <v>164</v>
      </c>
      <c r="C14" s="4" t="s">
        <v>165</v>
      </c>
      <c r="D14" s="4" t="s">
        <v>166</v>
      </c>
      <c r="E14" s="5">
        <v>81496</v>
      </c>
      <c r="F14" s="6">
        <v>274.47852799999998</v>
      </c>
      <c r="G14" s="7">
        <v>2.1688381999999999E-2</v>
      </c>
      <c r="H14" s="67"/>
    </row>
    <row r="15" spans="1:8" ht="25.5" x14ac:dyDescent="0.2">
      <c r="A15" s="3">
        <v>9</v>
      </c>
      <c r="B15" s="4" t="s">
        <v>30</v>
      </c>
      <c r="C15" s="4" t="s">
        <v>998</v>
      </c>
      <c r="D15" s="4" t="s">
        <v>992</v>
      </c>
      <c r="E15" s="5">
        <v>7660</v>
      </c>
      <c r="F15" s="6">
        <v>250.58923999999999</v>
      </c>
      <c r="G15" s="7">
        <v>1.9800729999999999E-2</v>
      </c>
      <c r="H15" s="67"/>
    </row>
    <row r="16" spans="1:8" x14ac:dyDescent="0.2">
      <c r="A16" s="3">
        <v>10</v>
      </c>
      <c r="B16" s="4" t="s">
        <v>293</v>
      </c>
      <c r="C16" s="4" t="s">
        <v>294</v>
      </c>
      <c r="D16" s="4" t="s">
        <v>69</v>
      </c>
      <c r="E16" s="5">
        <v>15135</v>
      </c>
      <c r="F16" s="6">
        <v>240.99460500000001</v>
      </c>
      <c r="G16" s="7">
        <v>1.9042593999999999E-2</v>
      </c>
      <c r="H16" s="67"/>
    </row>
    <row r="17" spans="1:8" x14ac:dyDescent="0.2">
      <c r="A17" s="3">
        <v>11</v>
      </c>
      <c r="B17" s="4" t="s">
        <v>167</v>
      </c>
      <c r="C17" s="4" t="s">
        <v>168</v>
      </c>
      <c r="D17" s="4" t="s">
        <v>166</v>
      </c>
      <c r="E17" s="5">
        <v>6844</v>
      </c>
      <c r="F17" s="6">
        <v>227.36110199999999</v>
      </c>
      <c r="G17" s="7">
        <v>1.7965319E-2</v>
      </c>
      <c r="H17" s="67"/>
    </row>
    <row r="18" spans="1:8" x14ac:dyDescent="0.2">
      <c r="A18" s="3">
        <v>12</v>
      </c>
      <c r="B18" s="4" t="s">
        <v>169</v>
      </c>
      <c r="C18" s="4" t="s">
        <v>170</v>
      </c>
      <c r="D18" s="4" t="s">
        <v>171</v>
      </c>
      <c r="E18" s="5">
        <v>31377</v>
      </c>
      <c r="F18" s="6">
        <v>226.85570999999999</v>
      </c>
      <c r="G18" s="7">
        <v>1.7925384999999999E-2</v>
      </c>
      <c r="H18" s="67"/>
    </row>
    <row r="19" spans="1:8" x14ac:dyDescent="0.2">
      <c r="A19" s="3">
        <v>13</v>
      </c>
      <c r="B19" s="4" t="s">
        <v>172</v>
      </c>
      <c r="C19" s="4" t="s">
        <v>173</v>
      </c>
      <c r="D19" s="4" t="s">
        <v>331</v>
      </c>
      <c r="E19" s="5">
        <v>23590</v>
      </c>
      <c r="F19" s="6">
        <v>224.91885500000001</v>
      </c>
      <c r="G19" s="7">
        <v>1.7772341000000001E-2</v>
      </c>
      <c r="H19" s="67"/>
    </row>
    <row r="20" spans="1:8" x14ac:dyDescent="0.2">
      <c r="A20" s="3">
        <v>14</v>
      </c>
      <c r="B20" s="4" t="s">
        <v>174</v>
      </c>
      <c r="C20" s="4" t="s">
        <v>175</v>
      </c>
      <c r="D20" s="4" t="s">
        <v>55</v>
      </c>
      <c r="E20" s="5">
        <v>54740</v>
      </c>
      <c r="F20" s="6">
        <v>220.35587000000001</v>
      </c>
      <c r="G20" s="7">
        <v>1.7411789E-2</v>
      </c>
      <c r="H20" s="67"/>
    </row>
    <row r="21" spans="1:8" x14ac:dyDescent="0.2">
      <c r="A21" s="3">
        <v>15</v>
      </c>
      <c r="B21" s="4" t="s">
        <v>63</v>
      </c>
      <c r="C21" s="4" t="s">
        <v>64</v>
      </c>
      <c r="D21" s="4" t="s">
        <v>55</v>
      </c>
      <c r="E21" s="5">
        <v>83867</v>
      </c>
      <c r="F21" s="6">
        <v>217.21553</v>
      </c>
      <c r="G21" s="7">
        <v>1.7163649999999999E-2</v>
      </c>
      <c r="H21" s="67"/>
    </row>
    <row r="22" spans="1:8" x14ac:dyDescent="0.2">
      <c r="A22" s="3">
        <v>16</v>
      </c>
      <c r="B22" s="4" t="s">
        <v>190</v>
      </c>
      <c r="C22" s="4" t="s">
        <v>191</v>
      </c>
      <c r="D22" s="4" t="s">
        <v>41</v>
      </c>
      <c r="E22" s="5">
        <v>51485</v>
      </c>
      <c r="F22" s="6">
        <v>211.96374499999999</v>
      </c>
      <c r="G22" s="7">
        <v>1.6748671E-2</v>
      </c>
      <c r="H22" s="67"/>
    </row>
    <row r="23" spans="1:8" ht="25.5" x14ac:dyDescent="0.2">
      <c r="A23" s="3">
        <v>17</v>
      </c>
      <c r="B23" s="4" t="s">
        <v>176</v>
      </c>
      <c r="C23" s="4" t="s">
        <v>995</v>
      </c>
      <c r="D23" s="4" t="s">
        <v>992</v>
      </c>
      <c r="E23" s="5">
        <v>78693</v>
      </c>
      <c r="F23" s="6">
        <v>208.221678</v>
      </c>
      <c r="G23" s="7">
        <v>1.6452985999999999E-2</v>
      </c>
      <c r="H23" s="67"/>
    </row>
    <row r="24" spans="1:8" x14ac:dyDescent="0.2">
      <c r="A24" s="3">
        <v>18</v>
      </c>
      <c r="B24" s="4" t="s">
        <v>177</v>
      </c>
      <c r="C24" s="4" t="s">
        <v>178</v>
      </c>
      <c r="D24" s="4" t="s">
        <v>179</v>
      </c>
      <c r="E24" s="5">
        <v>86836</v>
      </c>
      <c r="F24" s="6">
        <v>207.97221999999999</v>
      </c>
      <c r="G24" s="7">
        <v>1.6433274000000001E-2</v>
      </c>
      <c r="H24" s="67"/>
    </row>
    <row r="25" spans="1:8" x14ac:dyDescent="0.2">
      <c r="A25" s="3">
        <v>19</v>
      </c>
      <c r="B25" s="4" t="s">
        <v>185</v>
      </c>
      <c r="C25" s="4" t="s">
        <v>186</v>
      </c>
      <c r="D25" s="4" t="s">
        <v>187</v>
      </c>
      <c r="E25" s="5">
        <v>41878</v>
      </c>
      <c r="F25" s="6">
        <v>200.909705</v>
      </c>
      <c r="G25" s="7">
        <v>1.5875218E-2</v>
      </c>
      <c r="H25" s="67"/>
    </row>
    <row r="26" spans="1:8" x14ac:dyDescent="0.2">
      <c r="A26" s="3">
        <v>20</v>
      </c>
      <c r="B26" s="4" t="s">
        <v>37</v>
      </c>
      <c r="C26" s="4" t="s">
        <v>38</v>
      </c>
      <c r="D26" s="4" t="s">
        <v>27</v>
      </c>
      <c r="E26" s="5">
        <v>16846</v>
      </c>
      <c r="F26" s="6">
        <v>200.62743699999999</v>
      </c>
      <c r="G26" s="7">
        <v>1.5852913999999999E-2</v>
      </c>
      <c r="H26" s="67"/>
    </row>
    <row r="27" spans="1:8" x14ac:dyDescent="0.2">
      <c r="A27" s="3">
        <v>21</v>
      </c>
      <c r="B27" s="4" t="s">
        <v>180</v>
      </c>
      <c r="C27" s="4" t="s">
        <v>181</v>
      </c>
      <c r="D27" s="4" t="s">
        <v>171</v>
      </c>
      <c r="E27" s="5">
        <v>14694</v>
      </c>
      <c r="F27" s="6">
        <v>200.521671</v>
      </c>
      <c r="G27" s="7">
        <v>1.5844556999999999E-2</v>
      </c>
      <c r="H27" s="67"/>
    </row>
    <row r="28" spans="1:8" x14ac:dyDescent="0.2">
      <c r="A28" s="3">
        <v>22</v>
      </c>
      <c r="B28" s="4" t="s">
        <v>200</v>
      </c>
      <c r="C28" s="4" t="s">
        <v>201</v>
      </c>
      <c r="D28" s="4" t="s">
        <v>49</v>
      </c>
      <c r="E28" s="5">
        <v>79570</v>
      </c>
      <c r="F28" s="6">
        <v>193.79273499999999</v>
      </c>
      <c r="G28" s="7">
        <v>1.5312858E-2</v>
      </c>
      <c r="H28" s="67"/>
    </row>
    <row r="29" spans="1:8" x14ac:dyDescent="0.2">
      <c r="A29" s="3">
        <v>23</v>
      </c>
      <c r="B29" s="4" t="s">
        <v>192</v>
      </c>
      <c r="C29" s="4" t="s">
        <v>193</v>
      </c>
      <c r="D29" s="4" t="s">
        <v>81</v>
      </c>
      <c r="E29" s="5">
        <v>33472</v>
      </c>
      <c r="F29" s="6">
        <v>191.00796800000001</v>
      </c>
      <c r="G29" s="7">
        <v>1.5092815000000001E-2</v>
      </c>
      <c r="H29" s="67"/>
    </row>
    <row r="30" spans="1:8" x14ac:dyDescent="0.2">
      <c r="A30" s="3">
        <v>24</v>
      </c>
      <c r="B30" s="4" t="s">
        <v>188</v>
      </c>
      <c r="C30" s="4" t="s">
        <v>189</v>
      </c>
      <c r="D30" s="4" t="s">
        <v>166</v>
      </c>
      <c r="E30" s="5">
        <v>3989</v>
      </c>
      <c r="F30" s="6">
        <v>189.85246599999999</v>
      </c>
      <c r="G30" s="7">
        <v>1.5001512E-2</v>
      </c>
      <c r="H30" s="67"/>
    </row>
    <row r="31" spans="1:8" x14ac:dyDescent="0.2">
      <c r="A31" s="3">
        <v>25</v>
      </c>
      <c r="B31" s="4" t="s">
        <v>194</v>
      </c>
      <c r="C31" s="4" t="s">
        <v>195</v>
      </c>
      <c r="D31" s="4" t="s">
        <v>55</v>
      </c>
      <c r="E31" s="5">
        <v>19380</v>
      </c>
      <c r="F31" s="6">
        <v>186.78443999999999</v>
      </c>
      <c r="G31" s="7">
        <v>1.4759085999999999E-2</v>
      </c>
      <c r="H31" s="67"/>
    </row>
    <row r="32" spans="1:8" x14ac:dyDescent="0.2">
      <c r="A32" s="3">
        <v>26</v>
      </c>
      <c r="B32" s="4" t="s">
        <v>196</v>
      </c>
      <c r="C32" s="4" t="s">
        <v>197</v>
      </c>
      <c r="D32" s="4" t="s">
        <v>1004</v>
      </c>
      <c r="E32" s="5">
        <v>58726</v>
      </c>
      <c r="F32" s="6">
        <v>181.61015499999999</v>
      </c>
      <c r="G32" s="7">
        <v>1.4350231E-2</v>
      </c>
      <c r="H32" s="67"/>
    </row>
    <row r="33" spans="1:8" x14ac:dyDescent="0.2">
      <c r="A33" s="3">
        <v>27</v>
      </c>
      <c r="B33" s="4" t="s">
        <v>198</v>
      </c>
      <c r="C33" s="4" t="s">
        <v>199</v>
      </c>
      <c r="D33" s="4" t="s">
        <v>166</v>
      </c>
      <c r="E33" s="5">
        <v>18324</v>
      </c>
      <c r="F33" s="6">
        <v>179.10793799999999</v>
      </c>
      <c r="G33" s="7">
        <v>1.4152514999999999E-2</v>
      </c>
      <c r="H33" s="67"/>
    </row>
    <row r="34" spans="1:8" x14ac:dyDescent="0.2">
      <c r="A34" s="3">
        <v>28</v>
      </c>
      <c r="B34" s="4" t="s">
        <v>290</v>
      </c>
      <c r="C34" s="4" t="s">
        <v>291</v>
      </c>
      <c r="D34" s="4" t="s">
        <v>27</v>
      </c>
      <c r="E34" s="5">
        <v>14769</v>
      </c>
      <c r="F34" s="6">
        <v>174.9314205</v>
      </c>
      <c r="G34" s="7">
        <v>1.38225E-2</v>
      </c>
      <c r="H34" s="67"/>
    </row>
    <row r="35" spans="1:8" ht="25.5" x14ac:dyDescent="0.2">
      <c r="A35" s="3">
        <v>29</v>
      </c>
      <c r="B35" s="4" t="s">
        <v>202</v>
      </c>
      <c r="C35" s="4" t="s">
        <v>203</v>
      </c>
      <c r="D35" s="4" t="s">
        <v>52</v>
      </c>
      <c r="E35" s="5">
        <v>37245</v>
      </c>
      <c r="F35" s="6">
        <v>173.65481249999999</v>
      </c>
      <c r="G35" s="7">
        <v>1.3721627E-2</v>
      </c>
      <c r="H35" s="67"/>
    </row>
    <row r="36" spans="1:8" x14ac:dyDescent="0.2">
      <c r="A36" s="3">
        <v>30</v>
      </c>
      <c r="B36" s="4" t="s">
        <v>204</v>
      </c>
      <c r="C36" s="4" t="s">
        <v>205</v>
      </c>
      <c r="D36" s="4" t="s">
        <v>27</v>
      </c>
      <c r="E36" s="5">
        <v>10412</v>
      </c>
      <c r="F36" s="6">
        <v>172.90687800000001</v>
      </c>
      <c r="G36" s="7">
        <v>1.3662527000000001E-2</v>
      </c>
      <c r="H36" s="67"/>
    </row>
    <row r="37" spans="1:8" x14ac:dyDescent="0.2">
      <c r="A37" s="3">
        <v>31</v>
      </c>
      <c r="B37" s="4" t="s">
        <v>208</v>
      </c>
      <c r="C37" s="4" t="s">
        <v>209</v>
      </c>
      <c r="D37" s="4" t="s">
        <v>1005</v>
      </c>
      <c r="E37" s="5">
        <v>20000</v>
      </c>
      <c r="F37" s="6">
        <v>169.37</v>
      </c>
      <c r="G37" s="7">
        <v>1.3383055E-2</v>
      </c>
      <c r="H37" s="67"/>
    </row>
    <row r="38" spans="1:8" x14ac:dyDescent="0.2">
      <c r="A38" s="3">
        <v>32</v>
      </c>
      <c r="B38" s="4" t="s">
        <v>206</v>
      </c>
      <c r="C38" s="4" t="s">
        <v>207</v>
      </c>
      <c r="D38" s="4" t="s">
        <v>187</v>
      </c>
      <c r="E38" s="5">
        <v>25404</v>
      </c>
      <c r="F38" s="6">
        <v>169.343064</v>
      </c>
      <c r="G38" s="7">
        <v>1.3380927000000001E-2</v>
      </c>
      <c r="H38" s="67"/>
    </row>
    <row r="39" spans="1:8" x14ac:dyDescent="0.2">
      <c r="A39" s="3">
        <v>33</v>
      </c>
      <c r="B39" s="4" t="s">
        <v>236</v>
      </c>
      <c r="C39" s="4" t="s">
        <v>237</v>
      </c>
      <c r="D39" s="4" t="s">
        <v>1000</v>
      </c>
      <c r="E39" s="5">
        <v>13303</v>
      </c>
      <c r="F39" s="6">
        <v>168.588919</v>
      </c>
      <c r="G39" s="7">
        <v>1.3321337000000001E-2</v>
      </c>
      <c r="H39" s="67"/>
    </row>
    <row r="40" spans="1:8" x14ac:dyDescent="0.2">
      <c r="A40" s="3">
        <v>34</v>
      </c>
      <c r="B40" s="4" t="s">
        <v>210</v>
      </c>
      <c r="C40" s="4" t="s">
        <v>211</v>
      </c>
      <c r="D40" s="4" t="s">
        <v>212</v>
      </c>
      <c r="E40" s="5">
        <v>67193</v>
      </c>
      <c r="F40" s="6">
        <v>168.45285100000001</v>
      </c>
      <c r="G40" s="7">
        <v>1.3310585E-2</v>
      </c>
      <c r="H40" s="67"/>
    </row>
    <row r="41" spans="1:8" x14ac:dyDescent="0.2">
      <c r="A41" s="3">
        <v>35</v>
      </c>
      <c r="B41" s="4" t="s">
        <v>213</v>
      </c>
      <c r="C41" s="4" t="s">
        <v>214</v>
      </c>
      <c r="D41" s="4" t="s">
        <v>81</v>
      </c>
      <c r="E41" s="5">
        <v>28818</v>
      </c>
      <c r="F41" s="6">
        <v>164.536371</v>
      </c>
      <c r="G41" s="7">
        <v>1.3001118000000001E-2</v>
      </c>
      <c r="H41" s="67"/>
    </row>
    <row r="42" spans="1:8" x14ac:dyDescent="0.2">
      <c r="A42" s="3">
        <v>36</v>
      </c>
      <c r="B42" s="4" t="s">
        <v>77</v>
      </c>
      <c r="C42" s="4" t="s">
        <v>78</v>
      </c>
      <c r="D42" s="4" t="s">
        <v>69</v>
      </c>
      <c r="E42" s="5">
        <v>46942</v>
      </c>
      <c r="F42" s="6">
        <v>156.99751900000001</v>
      </c>
      <c r="G42" s="7">
        <v>1.2405423E-2</v>
      </c>
      <c r="H42" s="67"/>
    </row>
    <row r="43" spans="1:8" x14ac:dyDescent="0.2">
      <c r="A43" s="3">
        <v>37</v>
      </c>
      <c r="B43" s="4" t="s">
        <v>215</v>
      </c>
      <c r="C43" s="4" t="s">
        <v>216</v>
      </c>
      <c r="D43" s="4" t="s">
        <v>69</v>
      </c>
      <c r="E43" s="5">
        <v>155009</v>
      </c>
      <c r="F43" s="6">
        <v>154.93149550000001</v>
      </c>
      <c r="G43" s="7">
        <v>1.2242172000000001E-2</v>
      </c>
      <c r="H43" s="67"/>
    </row>
    <row r="44" spans="1:8" x14ac:dyDescent="0.2">
      <c r="A44" s="3">
        <v>38</v>
      </c>
      <c r="B44" s="4" t="s">
        <v>223</v>
      </c>
      <c r="C44" s="4" t="s">
        <v>224</v>
      </c>
      <c r="D44" s="4" t="s">
        <v>69</v>
      </c>
      <c r="E44" s="5">
        <v>16637</v>
      </c>
      <c r="F44" s="6">
        <v>143.5357175</v>
      </c>
      <c r="G44" s="7">
        <v>1.1341716E-2</v>
      </c>
      <c r="H44" s="67"/>
    </row>
    <row r="45" spans="1:8" ht="25.5" x14ac:dyDescent="0.2">
      <c r="A45" s="3">
        <v>39</v>
      </c>
      <c r="B45" s="4" t="s">
        <v>217</v>
      </c>
      <c r="C45" s="4" t="s">
        <v>218</v>
      </c>
      <c r="D45" s="4" t="s">
        <v>55</v>
      </c>
      <c r="E45" s="5">
        <v>6492</v>
      </c>
      <c r="F45" s="6">
        <v>142.41825</v>
      </c>
      <c r="G45" s="7">
        <v>1.1253417E-2</v>
      </c>
      <c r="H45" s="67"/>
    </row>
    <row r="46" spans="1:8" ht="25.5" x14ac:dyDescent="0.2">
      <c r="A46" s="3">
        <v>40</v>
      </c>
      <c r="B46" s="4" t="s">
        <v>221</v>
      </c>
      <c r="C46" s="4" t="s">
        <v>222</v>
      </c>
      <c r="D46" s="4" t="s">
        <v>36</v>
      </c>
      <c r="E46" s="5">
        <v>164348</v>
      </c>
      <c r="F46" s="6">
        <v>141.17493200000001</v>
      </c>
      <c r="G46" s="7">
        <v>1.1155174E-2</v>
      </c>
      <c r="H46" s="67"/>
    </row>
    <row r="47" spans="1:8" x14ac:dyDescent="0.2">
      <c r="A47" s="3">
        <v>41</v>
      </c>
      <c r="B47" s="4" t="s">
        <v>85</v>
      </c>
      <c r="C47" s="4" t="s">
        <v>86</v>
      </c>
      <c r="D47" s="4" t="s">
        <v>1000</v>
      </c>
      <c r="E47" s="5">
        <v>92000</v>
      </c>
      <c r="F47" s="6">
        <v>140.208</v>
      </c>
      <c r="G47" s="7">
        <v>1.1078770999999999E-2</v>
      </c>
      <c r="H47" s="67"/>
    </row>
    <row r="48" spans="1:8" x14ac:dyDescent="0.2">
      <c r="A48" s="3">
        <v>42</v>
      </c>
      <c r="B48" s="4" t="s">
        <v>225</v>
      </c>
      <c r="C48" s="4" t="s">
        <v>226</v>
      </c>
      <c r="D48" s="4" t="s">
        <v>166</v>
      </c>
      <c r="E48" s="5">
        <v>9462</v>
      </c>
      <c r="F48" s="6">
        <v>135.08897400000001</v>
      </c>
      <c r="G48" s="7">
        <v>1.0674282E-2</v>
      </c>
      <c r="H48" s="67"/>
    </row>
    <row r="49" spans="1:8" ht="25.5" x14ac:dyDescent="0.2">
      <c r="A49" s="3">
        <v>43</v>
      </c>
      <c r="B49" s="4" t="s">
        <v>65</v>
      </c>
      <c r="C49" s="4" t="s">
        <v>66</v>
      </c>
      <c r="D49" s="4" t="s">
        <v>36</v>
      </c>
      <c r="E49" s="5">
        <v>17853</v>
      </c>
      <c r="F49" s="6">
        <v>129.99661950000001</v>
      </c>
      <c r="G49" s="7">
        <v>1.0271901E-2</v>
      </c>
      <c r="H49" s="67"/>
    </row>
    <row r="50" spans="1:8" x14ac:dyDescent="0.2">
      <c r="A50" s="3">
        <v>44</v>
      </c>
      <c r="B50" s="4" t="s">
        <v>227</v>
      </c>
      <c r="C50" s="4" t="s">
        <v>228</v>
      </c>
      <c r="D50" s="4" t="s">
        <v>229</v>
      </c>
      <c r="E50" s="5">
        <v>26600</v>
      </c>
      <c r="F50" s="6">
        <v>127.30759999999999</v>
      </c>
      <c r="G50" s="7">
        <v>1.0059424000000001E-2</v>
      </c>
      <c r="H50" s="67"/>
    </row>
    <row r="51" spans="1:8" ht="25.5" x14ac:dyDescent="0.2">
      <c r="A51" s="3">
        <v>45</v>
      </c>
      <c r="B51" s="4" t="s">
        <v>251</v>
      </c>
      <c r="C51" s="4" t="s">
        <v>252</v>
      </c>
      <c r="D51" s="4" t="s">
        <v>992</v>
      </c>
      <c r="E51" s="5">
        <v>75946</v>
      </c>
      <c r="F51" s="6">
        <v>124.24765600000001</v>
      </c>
      <c r="G51" s="7">
        <v>9.8176370000000006E-3</v>
      </c>
      <c r="H51" s="67"/>
    </row>
    <row r="52" spans="1:8" ht="25.5" x14ac:dyDescent="0.2">
      <c r="A52" s="3">
        <v>46</v>
      </c>
      <c r="B52" s="4" t="s">
        <v>230</v>
      </c>
      <c r="C52" s="4" t="s">
        <v>231</v>
      </c>
      <c r="D52" s="4" t="s">
        <v>52</v>
      </c>
      <c r="E52" s="5">
        <v>30826</v>
      </c>
      <c r="F52" s="6">
        <v>124.182541</v>
      </c>
      <c r="G52" s="7">
        <v>9.8124920000000008E-3</v>
      </c>
      <c r="H52" s="67"/>
    </row>
    <row r="53" spans="1:8" x14ac:dyDescent="0.2">
      <c r="A53" s="3">
        <v>47</v>
      </c>
      <c r="B53" s="4" t="s">
        <v>232</v>
      </c>
      <c r="C53" s="4" t="s">
        <v>233</v>
      </c>
      <c r="D53" s="4" t="s">
        <v>55</v>
      </c>
      <c r="E53" s="5">
        <v>48497</v>
      </c>
      <c r="F53" s="6">
        <v>122.7216585</v>
      </c>
      <c r="G53" s="7">
        <v>9.6970579999999997E-3</v>
      </c>
      <c r="H53" s="67"/>
    </row>
    <row r="54" spans="1:8" x14ac:dyDescent="0.2">
      <c r="A54" s="3">
        <v>48</v>
      </c>
      <c r="B54" s="4" t="s">
        <v>234</v>
      </c>
      <c r="C54" s="4" t="s">
        <v>235</v>
      </c>
      <c r="D54" s="4" t="s">
        <v>187</v>
      </c>
      <c r="E54" s="5">
        <v>7157</v>
      </c>
      <c r="F54" s="6">
        <v>121.8586605</v>
      </c>
      <c r="G54" s="7">
        <v>9.6288669999999993E-3</v>
      </c>
      <c r="H54" s="67"/>
    </row>
    <row r="55" spans="1:8" ht="25.5" x14ac:dyDescent="0.2">
      <c r="A55" s="3">
        <v>49</v>
      </c>
      <c r="B55" s="4" t="s">
        <v>238</v>
      </c>
      <c r="C55" s="4" t="s">
        <v>239</v>
      </c>
      <c r="D55" s="4" t="s">
        <v>1006</v>
      </c>
      <c r="E55" s="5">
        <v>118261</v>
      </c>
      <c r="F55" s="6">
        <v>121.57230800000001</v>
      </c>
      <c r="G55" s="7">
        <v>9.6062400000000003E-3</v>
      </c>
      <c r="H55" s="67"/>
    </row>
    <row r="56" spans="1:8" ht="25.5" x14ac:dyDescent="0.2">
      <c r="A56" s="3">
        <v>50</v>
      </c>
      <c r="B56" s="4" t="s">
        <v>240</v>
      </c>
      <c r="C56" s="4" t="s">
        <v>241</v>
      </c>
      <c r="D56" s="4" t="s">
        <v>52</v>
      </c>
      <c r="E56" s="5">
        <v>29335</v>
      </c>
      <c r="F56" s="6">
        <v>118.4400625</v>
      </c>
      <c r="G56" s="7">
        <v>9.3587400000000008E-3</v>
      </c>
      <c r="H56" s="67"/>
    </row>
    <row r="57" spans="1:8" x14ac:dyDescent="0.2">
      <c r="A57" s="3">
        <v>51</v>
      </c>
      <c r="B57" s="4" t="s">
        <v>243</v>
      </c>
      <c r="C57" s="4" t="s">
        <v>244</v>
      </c>
      <c r="D57" s="4" t="s">
        <v>171</v>
      </c>
      <c r="E57" s="5">
        <v>32351</v>
      </c>
      <c r="F57" s="6">
        <v>117.272375</v>
      </c>
      <c r="G57" s="7">
        <v>9.2664740000000002E-3</v>
      </c>
      <c r="H57" s="67"/>
    </row>
    <row r="58" spans="1:8" x14ac:dyDescent="0.2">
      <c r="A58" s="3">
        <v>52</v>
      </c>
      <c r="B58" s="4" t="s">
        <v>245</v>
      </c>
      <c r="C58" s="4" t="s">
        <v>246</v>
      </c>
      <c r="D58" s="4" t="s">
        <v>81</v>
      </c>
      <c r="E58" s="5">
        <v>233311</v>
      </c>
      <c r="F58" s="6">
        <v>117.2387775</v>
      </c>
      <c r="G58" s="7">
        <v>9.2638189999999995E-3</v>
      </c>
      <c r="H58" s="67"/>
    </row>
    <row r="59" spans="1:8" x14ac:dyDescent="0.2">
      <c r="A59" s="3">
        <v>53</v>
      </c>
      <c r="B59" s="4" t="s">
        <v>249</v>
      </c>
      <c r="C59" s="4" t="s">
        <v>250</v>
      </c>
      <c r="D59" s="4" t="s">
        <v>187</v>
      </c>
      <c r="E59" s="5">
        <v>21563</v>
      </c>
      <c r="F59" s="6">
        <v>115.58846149999999</v>
      </c>
      <c r="G59" s="7">
        <v>9.1334160000000001E-3</v>
      </c>
      <c r="H59" s="67"/>
    </row>
    <row r="60" spans="1:8" x14ac:dyDescent="0.2">
      <c r="A60" s="3">
        <v>54</v>
      </c>
      <c r="B60" s="4" t="s">
        <v>247</v>
      </c>
      <c r="C60" s="4" t="s">
        <v>248</v>
      </c>
      <c r="D60" s="4" t="s">
        <v>1001</v>
      </c>
      <c r="E60" s="5">
        <v>20824</v>
      </c>
      <c r="F60" s="6">
        <v>114.64653199999999</v>
      </c>
      <c r="G60" s="7">
        <v>9.0589880000000005E-3</v>
      </c>
      <c r="H60" s="67"/>
    </row>
    <row r="61" spans="1:8" x14ac:dyDescent="0.2">
      <c r="A61" s="3">
        <v>55</v>
      </c>
      <c r="B61" s="4" t="s">
        <v>255</v>
      </c>
      <c r="C61" s="4" t="s">
        <v>256</v>
      </c>
      <c r="D61" s="4" t="s">
        <v>331</v>
      </c>
      <c r="E61" s="5">
        <v>7119</v>
      </c>
      <c r="F61" s="6">
        <v>105.96631499999999</v>
      </c>
      <c r="G61" s="7">
        <v>8.373106E-3</v>
      </c>
      <c r="H61" s="67"/>
    </row>
    <row r="62" spans="1:8" x14ac:dyDescent="0.2">
      <c r="A62" s="3">
        <v>56</v>
      </c>
      <c r="B62" s="4" t="s">
        <v>253</v>
      </c>
      <c r="C62" s="4" t="s">
        <v>254</v>
      </c>
      <c r="D62" s="4" t="s">
        <v>49</v>
      </c>
      <c r="E62" s="5">
        <v>9967</v>
      </c>
      <c r="F62" s="6">
        <v>105.05218000000001</v>
      </c>
      <c r="G62" s="7">
        <v>8.3008739999999998E-3</v>
      </c>
      <c r="H62" s="67"/>
    </row>
    <row r="63" spans="1:8" x14ac:dyDescent="0.2">
      <c r="A63" s="3">
        <v>57</v>
      </c>
      <c r="B63" s="4" t="s">
        <v>53</v>
      </c>
      <c r="C63" s="4" t="s">
        <v>54</v>
      </c>
      <c r="D63" s="4" t="s">
        <v>55</v>
      </c>
      <c r="E63" s="5">
        <v>3600</v>
      </c>
      <c r="F63" s="6">
        <v>104.21639999999999</v>
      </c>
      <c r="G63" s="7">
        <v>8.2348339999999999E-3</v>
      </c>
      <c r="H63" s="67"/>
    </row>
    <row r="64" spans="1:8" x14ac:dyDescent="0.2">
      <c r="A64" s="3">
        <v>58</v>
      </c>
      <c r="B64" s="4" t="s">
        <v>257</v>
      </c>
      <c r="C64" s="4" t="s">
        <v>258</v>
      </c>
      <c r="D64" s="4" t="s">
        <v>1001</v>
      </c>
      <c r="E64" s="5">
        <v>81988</v>
      </c>
      <c r="F64" s="6">
        <v>102.56698799999999</v>
      </c>
      <c r="G64" s="7">
        <v>8.1045030000000007E-3</v>
      </c>
      <c r="H64" s="67"/>
    </row>
    <row r="65" spans="1:8" x14ac:dyDescent="0.2">
      <c r="A65" s="3">
        <v>59</v>
      </c>
      <c r="B65" s="4" t="s">
        <v>259</v>
      </c>
      <c r="C65" s="4" t="s">
        <v>260</v>
      </c>
      <c r="D65" s="4" t="s">
        <v>261</v>
      </c>
      <c r="E65" s="5">
        <v>13683</v>
      </c>
      <c r="F65" s="6">
        <v>101.42523749999999</v>
      </c>
      <c r="G65" s="7">
        <v>8.0142860000000007E-3</v>
      </c>
      <c r="H65" s="67"/>
    </row>
    <row r="66" spans="1:8" x14ac:dyDescent="0.2">
      <c r="A66" s="3">
        <v>60</v>
      </c>
      <c r="B66" s="4" t="s">
        <v>262</v>
      </c>
      <c r="C66" s="4" t="s">
        <v>263</v>
      </c>
      <c r="D66" s="4" t="s">
        <v>171</v>
      </c>
      <c r="E66" s="5">
        <v>14660</v>
      </c>
      <c r="F66" s="6">
        <v>99.350819999999999</v>
      </c>
      <c r="G66" s="7">
        <v>7.8503719999999996E-3</v>
      </c>
      <c r="H66" s="67"/>
    </row>
    <row r="67" spans="1:8" ht="25.5" x14ac:dyDescent="0.2">
      <c r="A67" s="3">
        <v>61</v>
      </c>
      <c r="B67" s="4" t="s">
        <v>264</v>
      </c>
      <c r="C67" s="4" t="s">
        <v>265</v>
      </c>
      <c r="D67" s="4" t="s">
        <v>153</v>
      </c>
      <c r="E67" s="5">
        <v>29589</v>
      </c>
      <c r="F67" s="6">
        <v>98.413014000000004</v>
      </c>
      <c r="G67" s="7">
        <v>7.7762700000000001E-3</v>
      </c>
      <c r="H67" s="67"/>
    </row>
    <row r="68" spans="1:8" x14ac:dyDescent="0.2">
      <c r="A68" s="3">
        <v>62</v>
      </c>
      <c r="B68" s="4" t="s">
        <v>266</v>
      </c>
      <c r="C68" s="4" t="s">
        <v>267</v>
      </c>
      <c r="D68" s="4" t="s">
        <v>41</v>
      </c>
      <c r="E68" s="5">
        <v>90749</v>
      </c>
      <c r="F68" s="6">
        <v>93.834466000000006</v>
      </c>
      <c r="G68" s="7">
        <v>7.4144880000000003E-3</v>
      </c>
      <c r="H68" s="67"/>
    </row>
    <row r="69" spans="1:8" x14ac:dyDescent="0.2">
      <c r="A69" s="3">
        <v>63</v>
      </c>
      <c r="B69" s="4" t="s">
        <v>273</v>
      </c>
      <c r="C69" s="4" t="s">
        <v>274</v>
      </c>
      <c r="D69" s="4" t="s">
        <v>187</v>
      </c>
      <c r="E69" s="5">
        <v>1484</v>
      </c>
      <c r="F69" s="6">
        <v>80.720696000000004</v>
      </c>
      <c r="G69" s="7">
        <v>6.3782810000000004E-3</v>
      </c>
      <c r="H69" s="67"/>
    </row>
    <row r="70" spans="1:8" x14ac:dyDescent="0.2">
      <c r="A70" s="3">
        <v>64</v>
      </c>
      <c r="B70" s="4" t="s">
        <v>270</v>
      </c>
      <c r="C70" s="4" t="s">
        <v>271</v>
      </c>
      <c r="D70" s="4" t="s">
        <v>272</v>
      </c>
      <c r="E70" s="5">
        <v>35518</v>
      </c>
      <c r="F70" s="6">
        <v>80.714654999999993</v>
      </c>
      <c r="G70" s="7">
        <v>6.3778039999999999E-3</v>
      </c>
      <c r="H70" s="67"/>
    </row>
    <row r="71" spans="1:8" x14ac:dyDescent="0.2">
      <c r="A71" s="3">
        <v>65</v>
      </c>
      <c r="B71" s="4" t="s">
        <v>268</v>
      </c>
      <c r="C71" s="4" t="s">
        <v>269</v>
      </c>
      <c r="D71" s="4" t="s">
        <v>24</v>
      </c>
      <c r="E71" s="5">
        <v>86786</v>
      </c>
      <c r="F71" s="6">
        <v>79.973298999999997</v>
      </c>
      <c r="G71" s="7">
        <v>6.3192250000000004E-3</v>
      </c>
      <c r="H71" s="67"/>
    </row>
    <row r="72" spans="1:8" x14ac:dyDescent="0.2">
      <c r="A72" s="3">
        <v>66</v>
      </c>
      <c r="B72" s="4" t="s">
        <v>277</v>
      </c>
      <c r="C72" s="4" t="s">
        <v>278</v>
      </c>
      <c r="D72" s="4" t="s">
        <v>187</v>
      </c>
      <c r="E72" s="5">
        <v>17716</v>
      </c>
      <c r="F72" s="6">
        <v>69.251844000000006</v>
      </c>
      <c r="G72" s="7">
        <v>5.4720510000000003E-3</v>
      </c>
      <c r="H72" s="67"/>
    </row>
    <row r="73" spans="1:8" x14ac:dyDescent="0.2">
      <c r="A73" s="3">
        <v>67</v>
      </c>
      <c r="B73" s="4" t="s">
        <v>279</v>
      </c>
      <c r="C73" s="4" t="s">
        <v>280</v>
      </c>
      <c r="D73" s="4" t="s">
        <v>1003</v>
      </c>
      <c r="E73" s="5">
        <v>4500</v>
      </c>
      <c r="F73" s="6">
        <v>68.289749999999998</v>
      </c>
      <c r="G73" s="7">
        <v>5.3960290000000001E-3</v>
      </c>
      <c r="H73" s="67"/>
    </row>
    <row r="74" spans="1:8" x14ac:dyDescent="0.2">
      <c r="A74" s="3">
        <v>68</v>
      </c>
      <c r="B74" s="4" t="s">
        <v>281</v>
      </c>
      <c r="C74" s="4" t="s">
        <v>282</v>
      </c>
      <c r="D74" s="4" t="s">
        <v>55</v>
      </c>
      <c r="E74" s="5">
        <v>40000</v>
      </c>
      <c r="F74" s="6">
        <v>64.86</v>
      </c>
      <c r="G74" s="7">
        <v>5.1250219999999999E-3</v>
      </c>
      <c r="H74" s="67"/>
    </row>
    <row r="75" spans="1:8" x14ac:dyDescent="0.2">
      <c r="A75" s="3">
        <v>69</v>
      </c>
      <c r="B75" s="4" t="s">
        <v>283</v>
      </c>
      <c r="C75" s="4" t="s">
        <v>284</v>
      </c>
      <c r="D75" s="4" t="s">
        <v>166</v>
      </c>
      <c r="E75" s="5">
        <v>14056</v>
      </c>
      <c r="F75" s="6">
        <v>63.680708000000003</v>
      </c>
      <c r="G75" s="7">
        <v>5.0318380000000003E-3</v>
      </c>
      <c r="H75" s="67"/>
    </row>
    <row r="76" spans="1:8" x14ac:dyDescent="0.2">
      <c r="A76" s="3">
        <v>70</v>
      </c>
      <c r="B76" s="4" t="s">
        <v>275</v>
      </c>
      <c r="C76" s="4" t="s">
        <v>276</v>
      </c>
      <c r="D76" s="4" t="s">
        <v>1001</v>
      </c>
      <c r="E76" s="5">
        <v>50412</v>
      </c>
      <c r="F76" s="6">
        <v>61.779905999999997</v>
      </c>
      <c r="G76" s="7">
        <v>4.8816429999999997E-3</v>
      </c>
      <c r="H76" s="67"/>
    </row>
    <row r="77" spans="1:8" x14ac:dyDescent="0.2">
      <c r="A77" s="3">
        <v>71</v>
      </c>
      <c r="B77" s="4" t="s">
        <v>285</v>
      </c>
      <c r="C77" s="4" t="s">
        <v>286</v>
      </c>
      <c r="D77" s="4" t="s">
        <v>153</v>
      </c>
      <c r="E77" s="5">
        <v>3966</v>
      </c>
      <c r="F77" s="6">
        <v>50.901626999999998</v>
      </c>
      <c r="G77" s="7">
        <v>4.0220780000000001E-3</v>
      </c>
      <c r="H77" s="67"/>
    </row>
    <row r="78" spans="1:8" x14ac:dyDescent="0.2">
      <c r="A78" s="3">
        <v>72</v>
      </c>
      <c r="B78" s="4" t="s">
        <v>67</v>
      </c>
      <c r="C78" s="4" t="s">
        <v>68</v>
      </c>
      <c r="D78" s="4" t="s">
        <v>69</v>
      </c>
      <c r="E78" s="5">
        <v>27635</v>
      </c>
      <c r="F78" s="6">
        <v>41.217602499999998</v>
      </c>
      <c r="G78" s="7">
        <v>3.2568779999999999E-3</v>
      </c>
      <c r="H78" s="67"/>
    </row>
    <row r="79" spans="1:8" x14ac:dyDescent="0.2">
      <c r="A79" s="3">
        <v>73</v>
      </c>
      <c r="B79" s="4" t="s">
        <v>287</v>
      </c>
      <c r="C79" s="4" t="s">
        <v>288</v>
      </c>
      <c r="D79" s="4" t="s">
        <v>1001</v>
      </c>
      <c r="E79" s="5">
        <v>5192</v>
      </c>
      <c r="F79" s="6">
        <v>23.366596000000001</v>
      </c>
      <c r="G79" s="7">
        <v>1.846351E-3</v>
      </c>
      <c r="H79" s="67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9">
        <v>12016.03773</v>
      </c>
      <c r="G80" s="10">
        <v>0.94946740500000004</v>
      </c>
      <c r="H80" s="67"/>
    </row>
    <row r="81" spans="1:8" x14ac:dyDescent="0.2">
      <c r="A81" s="1"/>
      <c r="B81" s="1"/>
      <c r="C81" s="11"/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107</v>
      </c>
      <c r="D82" s="1"/>
      <c r="E82" s="1"/>
      <c r="F82" s="1"/>
      <c r="G82" s="1"/>
      <c r="H82" s="67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7"/>
    </row>
    <row r="84" spans="1:8" x14ac:dyDescent="0.2">
      <c r="A84" s="1"/>
      <c r="B84" s="1"/>
      <c r="C84" s="11"/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108</v>
      </c>
      <c r="D85" s="1"/>
      <c r="E85" s="1"/>
      <c r="F85" s="1"/>
      <c r="G85" s="1"/>
      <c r="H85" s="67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7"/>
    </row>
    <row r="87" spans="1:8" x14ac:dyDescent="0.2">
      <c r="A87" s="1"/>
      <c r="B87" s="1"/>
      <c r="C87" s="11"/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109</v>
      </c>
      <c r="D88" s="1"/>
      <c r="E88" s="1"/>
      <c r="F88" s="1"/>
      <c r="G88" s="1"/>
      <c r="H88" s="67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">
        <v>0</v>
      </c>
      <c r="H89" s="67"/>
    </row>
    <row r="90" spans="1:8" x14ac:dyDescent="0.2">
      <c r="A90" s="1"/>
      <c r="B90" s="1"/>
      <c r="C90" s="11"/>
      <c r="D90" s="1"/>
      <c r="E90" s="1"/>
      <c r="F90" s="12"/>
      <c r="G90" s="12"/>
      <c r="H90" s="67"/>
    </row>
    <row r="91" spans="1:8" x14ac:dyDescent="0.2">
      <c r="A91" s="1"/>
      <c r="B91" s="1"/>
      <c r="C91" s="2" t="s">
        <v>110</v>
      </c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7"/>
    </row>
    <row r="93" spans="1:8" x14ac:dyDescent="0.2">
      <c r="A93" s="1"/>
      <c r="B93" s="1"/>
      <c r="C93" s="11"/>
      <c r="D93" s="1"/>
      <c r="E93" s="1"/>
      <c r="F93" s="12"/>
      <c r="G93" s="12"/>
      <c r="H93" s="67"/>
    </row>
    <row r="94" spans="1:8" x14ac:dyDescent="0.2">
      <c r="A94" s="1"/>
      <c r="B94" s="1"/>
      <c r="C94" s="2" t="s">
        <v>111</v>
      </c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7"/>
    </row>
    <row r="96" spans="1:8" x14ac:dyDescent="0.2">
      <c r="A96" s="1"/>
      <c r="B96" s="1"/>
      <c r="C96" s="11"/>
      <c r="D96" s="1"/>
      <c r="E96" s="1"/>
      <c r="F96" s="12"/>
      <c r="G96" s="12"/>
      <c r="H96" s="67"/>
    </row>
    <row r="97" spans="1:8" x14ac:dyDescent="0.2">
      <c r="A97" s="1"/>
      <c r="B97" s="1"/>
      <c r="C97" s="2" t="s">
        <v>112</v>
      </c>
      <c r="D97" s="1"/>
      <c r="E97" s="1"/>
      <c r="F97" s="9">
        <v>12016.03773</v>
      </c>
      <c r="G97" s="10">
        <v>0.94946740500000004</v>
      </c>
      <c r="H97" s="67"/>
    </row>
    <row r="98" spans="1:8" x14ac:dyDescent="0.2">
      <c r="A98" s="1"/>
      <c r="B98" s="1"/>
      <c r="C98" s="11"/>
      <c r="D98" s="1"/>
      <c r="E98" s="1"/>
      <c r="F98" s="12"/>
      <c r="G98" s="12"/>
      <c r="H98" s="67"/>
    </row>
    <row r="99" spans="1:8" x14ac:dyDescent="0.2">
      <c r="A99" s="1"/>
      <c r="B99" s="1"/>
      <c r="C99" s="2" t="s">
        <v>113</v>
      </c>
      <c r="D99" s="1"/>
      <c r="E99" s="1"/>
      <c r="F99" s="12"/>
      <c r="G99" s="12"/>
      <c r="H99" s="67"/>
    </row>
    <row r="100" spans="1:8" ht="25.5" x14ac:dyDescent="0.2">
      <c r="A100" s="1"/>
      <c r="B100" s="1"/>
      <c r="C100" s="2" t="s">
        <v>10</v>
      </c>
      <c r="D100" s="1"/>
      <c r="E100" s="1"/>
      <c r="F100" s="12"/>
      <c r="G100" s="12"/>
      <c r="H100" s="67"/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">
        <v>0</v>
      </c>
      <c r="H101" s="67"/>
    </row>
    <row r="102" spans="1:8" x14ac:dyDescent="0.2">
      <c r="A102" s="1"/>
      <c r="B102" s="1"/>
      <c r="C102" s="11"/>
      <c r="D102" s="1"/>
      <c r="E102" s="1"/>
      <c r="F102" s="12"/>
      <c r="G102" s="12"/>
      <c r="H102" s="67"/>
    </row>
    <row r="103" spans="1:8" x14ac:dyDescent="0.2">
      <c r="A103" s="1"/>
      <c r="B103" s="1"/>
      <c r="C103" s="2" t="s">
        <v>114</v>
      </c>
      <c r="D103" s="1"/>
      <c r="E103" s="1"/>
      <c r="F103" s="1"/>
      <c r="G103" s="1"/>
      <c r="H103" s="67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">
        <v>0</v>
      </c>
      <c r="H104" s="67"/>
    </row>
    <row r="105" spans="1:8" x14ac:dyDescent="0.2">
      <c r="A105" s="1"/>
      <c r="B105" s="1"/>
      <c r="C105" s="11"/>
      <c r="D105" s="1"/>
      <c r="E105" s="1"/>
      <c r="F105" s="12"/>
      <c r="G105" s="12"/>
      <c r="H105" s="67"/>
    </row>
    <row r="106" spans="1:8" x14ac:dyDescent="0.2">
      <c r="A106" s="1"/>
      <c r="B106" s="1"/>
      <c r="C106" s="2" t="s">
        <v>115</v>
      </c>
      <c r="D106" s="1"/>
      <c r="E106" s="1"/>
      <c r="F106" s="1"/>
      <c r="G106" s="1"/>
      <c r="H106" s="67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">
        <v>0</v>
      </c>
      <c r="H107" s="67"/>
    </row>
    <row r="108" spans="1:8" x14ac:dyDescent="0.2">
      <c r="A108" s="1"/>
      <c r="B108" s="1"/>
      <c r="C108" s="11"/>
      <c r="D108" s="1"/>
      <c r="E108" s="1"/>
      <c r="F108" s="12"/>
      <c r="G108" s="12"/>
      <c r="H108" s="67"/>
    </row>
    <row r="109" spans="1:8" x14ac:dyDescent="0.2">
      <c r="A109" s="1"/>
      <c r="B109" s="1"/>
      <c r="C109" s="2" t="s">
        <v>116</v>
      </c>
      <c r="D109" s="1"/>
      <c r="E109" s="1"/>
      <c r="F109" s="12"/>
      <c r="G109" s="12"/>
      <c r="H109" s="67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7"/>
    </row>
    <row r="111" spans="1:8" x14ac:dyDescent="0.2">
      <c r="A111" s="1"/>
      <c r="B111" s="1"/>
      <c r="C111" s="11"/>
      <c r="D111" s="1"/>
      <c r="E111" s="1"/>
      <c r="F111" s="12"/>
      <c r="G111" s="12"/>
      <c r="H111" s="67"/>
    </row>
    <row r="112" spans="1:8" x14ac:dyDescent="0.2">
      <c r="A112" s="1"/>
      <c r="B112" s="1"/>
      <c r="C112" s="2" t="s">
        <v>117</v>
      </c>
      <c r="D112" s="1"/>
      <c r="E112" s="1"/>
      <c r="F112" s="9">
        <v>0</v>
      </c>
      <c r="G112" s="10">
        <v>0</v>
      </c>
      <c r="H112" s="67"/>
    </row>
    <row r="113" spans="1:8" x14ac:dyDescent="0.2">
      <c r="A113" s="1"/>
      <c r="B113" s="1"/>
      <c r="C113" s="11"/>
      <c r="D113" s="1"/>
      <c r="E113" s="1"/>
      <c r="F113" s="12"/>
      <c r="G113" s="12"/>
      <c r="H113" s="67"/>
    </row>
    <row r="114" spans="1:8" x14ac:dyDescent="0.2">
      <c r="A114" s="1"/>
      <c r="B114" s="1"/>
      <c r="C114" s="2" t="s">
        <v>118</v>
      </c>
      <c r="D114" s="1"/>
      <c r="E114" s="1"/>
      <c r="F114" s="12"/>
      <c r="G114" s="12"/>
      <c r="H114" s="67"/>
    </row>
    <row r="115" spans="1:8" x14ac:dyDescent="0.2">
      <c r="A115" s="1"/>
      <c r="B115" s="1"/>
      <c r="C115" s="2" t="s">
        <v>119</v>
      </c>
      <c r="D115" s="1"/>
      <c r="E115" s="1"/>
      <c r="F115" s="12"/>
      <c r="G115" s="12"/>
      <c r="H115" s="67"/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13">
        <v>0</v>
      </c>
      <c r="G116" s="14">
        <v>0</v>
      </c>
      <c r="H116" s="67"/>
    </row>
    <row r="117" spans="1:8" x14ac:dyDescent="0.2">
      <c r="A117" s="1"/>
      <c r="B117" s="1"/>
      <c r="C117" s="11"/>
      <c r="D117" s="1"/>
      <c r="E117" s="1"/>
      <c r="F117" s="12"/>
      <c r="G117" s="12"/>
      <c r="H117" s="67"/>
    </row>
    <row r="118" spans="1:8" x14ac:dyDescent="0.2">
      <c r="A118" s="1"/>
      <c r="B118" s="1"/>
      <c r="C118" s="2" t="s">
        <v>120</v>
      </c>
      <c r="D118" s="1"/>
      <c r="E118" s="1"/>
      <c r="F118" s="12"/>
      <c r="G118" s="12"/>
      <c r="H118" s="67"/>
    </row>
    <row r="119" spans="1:8" x14ac:dyDescent="0.2">
      <c r="A119" s="1"/>
      <c r="B119" s="1"/>
      <c r="C119" s="2" t="s">
        <v>105</v>
      </c>
      <c r="D119" s="1"/>
      <c r="E119" s="1" t="s">
        <v>106</v>
      </c>
      <c r="F119" s="13">
        <v>0</v>
      </c>
      <c r="G119" s="14">
        <v>0</v>
      </c>
      <c r="H119" s="67"/>
    </row>
    <row r="120" spans="1:8" x14ac:dyDescent="0.2">
      <c r="A120" s="1"/>
      <c r="B120" s="1"/>
      <c r="C120" s="11"/>
      <c r="D120" s="1"/>
      <c r="E120" s="1"/>
      <c r="F120" s="12"/>
      <c r="G120" s="12"/>
      <c r="H120" s="67"/>
    </row>
    <row r="121" spans="1:8" x14ac:dyDescent="0.2">
      <c r="A121" s="1"/>
      <c r="B121" s="1"/>
      <c r="C121" s="2" t="s">
        <v>121</v>
      </c>
      <c r="D121" s="1"/>
      <c r="E121" s="1"/>
      <c r="F121" s="12"/>
      <c r="G121" s="12"/>
      <c r="H121" s="67"/>
    </row>
    <row r="122" spans="1:8" x14ac:dyDescent="0.2">
      <c r="A122" s="1"/>
      <c r="B122" s="1"/>
      <c r="C122" s="2" t="s">
        <v>105</v>
      </c>
      <c r="D122" s="1"/>
      <c r="E122" s="1" t="s">
        <v>106</v>
      </c>
      <c r="F122" s="13">
        <v>0</v>
      </c>
      <c r="G122" s="14">
        <v>0</v>
      </c>
      <c r="H122" s="67"/>
    </row>
    <row r="123" spans="1:8" x14ac:dyDescent="0.2">
      <c r="A123" s="1"/>
      <c r="B123" s="1"/>
      <c r="C123" s="11"/>
      <c r="D123" s="1"/>
      <c r="E123" s="1"/>
      <c r="F123" s="12"/>
      <c r="G123" s="12"/>
      <c r="H123" s="67"/>
    </row>
    <row r="124" spans="1:8" x14ac:dyDescent="0.2">
      <c r="A124" s="1"/>
      <c r="B124" s="1"/>
      <c r="C124" s="2" t="s">
        <v>122</v>
      </c>
      <c r="D124" s="1"/>
      <c r="E124" s="1"/>
      <c r="F124" s="12"/>
      <c r="G124" s="12"/>
      <c r="H124" s="67"/>
    </row>
    <row r="125" spans="1:8" x14ac:dyDescent="0.2">
      <c r="A125" s="3">
        <v>1</v>
      </c>
      <c r="B125" s="4"/>
      <c r="C125" s="4" t="s">
        <v>123</v>
      </c>
      <c r="D125" s="4"/>
      <c r="E125" s="8"/>
      <c r="F125" s="6">
        <v>506.23893859999998</v>
      </c>
      <c r="G125" s="7">
        <v>4.000132E-2</v>
      </c>
      <c r="H125" s="67">
        <v>3.1047477660654299</v>
      </c>
    </row>
    <row r="126" spans="1:8" x14ac:dyDescent="0.2">
      <c r="A126" s="1"/>
      <c r="B126" s="1"/>
      <c r="C126" s="2" t="s">
        <v>105</v>
      </c>
      <c r="D126" s="1"/>
      <c r="E126" s="1" t="s">
        <v>106</v>
      </c>
      <c r="F126" s="9">
        <v>506.23893859999998</v>
      </c>
      <c r="G126" s="10">
        <v>4.000132E-2</v>
      </c>
      <c r="H126" s="67"/>
    </row>
    <row r="127" spans="1:8" x14ac:dyDescent="0.2">
      <c r="A127" s="1"/>
      <c r="B127" s="1"/>
      <c r="C127" s="11"/>
      <c r="D127" s="1"/>
      <c r="E127" s="1"/>
      <c r="F127" s="12"/>
      <c r="G127" s="12"/>
      <c r="H127" s="67"/>
    </row>
    <row r="128" spans="1:8" x14ac:dyDescent="0.2">
      <c r="A128" s="1"/>
      <c r="B128" s="1"/>
      <c r="C128" s="2" t="s">
        <v>124</v>
      </c>
      <c r="D128" s="1"/>
      <c r="E128" s="1"/>
      <c r="F128" s="9">
        <v>506.23893859999998</v>
      </c>
      <c r="G128" s="10">
        <v>4.000132E-2</v>
      </c>
      <c r="H128" s="67"/>
    </row>
    <row r="129" spans="1:8" x14ac:dyDescent="0.2">
      <c r="A129" s="1"/>
      <c r="B129" s="1"/>
      <c r="C129" s="12"/>
      <c r="D129" s="1"/>
      <c r="E129" s="1"/>
      <c r="F129" s="1"/>
      <c r="G129" s="1"/>
      <c r="H129" s="67"/>
    </row>
    <row r="130" spans="1:8" x14ac:dyDescent="0.2">
      <c r="A130" s="1"/>
      <c r="B130" s="1"/>
      <c r="C130" s="2" t="s">
        <v>125</v>
      </c>
      <c r="D130" s="1"/>
      <c r="E130" s="1"/>
      <c r="F130" s="1"/>
      <c r="G130" s="1"/>
      <c r="H130" s="67"/>
    </row>
    <row r="131" spans="1:8" x14ac:dyDescent="0.2">
      <c r="A131" s="1"/>
      <c r="B131" s="1"/>
      <c r="C131" s="2" t="s">
        <v>126</v>
      </c>
      <c r="D131" s="1"/>
      <c r="E131" s="1"/>
      <c r="F131" s="1"/>
      <c r="G131" s="1"/>
      <c r="H131" s="67"/>
    </row>
    <row r="132" spans="1:8" x14ac:dyDescent="0.2">
      <c r="A132" s="1"/>
      <c r="B132" s="1"/>
      <c r="C132" s="2" t="s">
        <v>105</v>
      </c>
      <c r="D132" s="1"/>
      <c r="E132" s="1" t="s">
        <v>106</v>
      </c>
      <c r="F132" s="13">
        <v>0</v>
      </c>
      <c r="G132" s="14">
        <v>0</v>
      </c>
      <c r="H132" s="67"/>
    </row>
    <row r="133" spans="1:8" x14ac:dyDescent="0.2">
      <c r="A133" s="1"/>
      <c r="B133" s="1"/>
      <c r="C133" s="11"/>
      <c r="D133" s="1"/>
      <c r="E133" s="1"/>
      <c r="F133" s="12"/>
      <c r="G133" s="12"/>
      <c r="H133" s="67"/>
    </row>
    <row r="134" spans="1:8" x14ac:dyDescent="0.2">
      <c r="A134" s="1"/>
      <c r="B134" s="1"/>
      <c r="C134" s="2" t="s">
        <v>127</v>
      </c>
      <c r="D134" s="1"/>
      <c r="E134" s="1"/>
      <c r="F134" s="1"/>
      <c r="G134" s="1"/>
      <c r="H134" s="67"/>
    </row>
    <row r="135" spans="1:8" x14ac:dyDescent="0.2">
      <c r="A135" s="1"/>
      <c r="B135" s="1"/>
      <c r="C135" s="2" t="s">
        <v>128</v>
      </c>
      <c r="D135" s="1"/>
      <c r="E135" s="1"/>
      <c r="F135" s="1"/>
      <c r="G135" s="1"/>
      <c r="H135" s="67"/>
    </row>
    <row r="136" spans="1:8" x14ac:dyDescent="0.2">
      <c r="A136" s="1"/>
      <c r="B136" s="1"/>
      <c r="C136" s="2" t="s">
        <v>105</v>
      </c>
      <c r="D136" s="1"/>
      <c r="E136" s="1" t="s">
        <v>106</v>
      </c>
      <c r="F136" s="13">
        <v>0</v>
      </c>
      <c r="G136" s="14">
        <v>0</v>
      </c>
      <c r="H136" s="67"/>
    </row>
    <row r="137" spans="1:8" x14ac:dyDescent="0.2">
      <c r="A137" s="1"/>
      <c r="B137" s="1"/>
      <c r="C137" s="11"/>
      <c r="D137" s="1"/>
      <c r="E137" s="1"/>
      <c r="F137" s="12"/>
      <c r="G137" s="12"/>
      <c r="H137" s="67"/>
    </row>
    <row r="138" spans="1:8" x14ac:dyDescent="0.2">
      <c r="A138" s="1"/>
      <c r="B138" s="1"/>
      <c r="C138" s="11"/>
      <c r="D138" s="1"/>
      <c r="E138" s="1"/>
      <c r="F138" s="12"/>
      <c r="G138" s="12"/>
      <c r="H138" s="67"/>
    </row>
    <row r="139" spans="1:8" ht="25.5" x14ac:dyDescent="0.2">
      <c r="A139" s="1"/>
      <c r="B139" s="1"/>
      <c r="C139" s="2" t="s">
        <v>129</v>
      </c>
      <c r="D139" s="1"/>
      <c r="E139" s="1"/>
      <c r="F139" s="6">
        <v>101.6016</v>
      </c>
      <c r="G139" s="7">
        <v>8.0282210000000003E-3</v>
      </c>
      <c r="H139" s="67"/>
    </row>
    <row r="140" spans="1:8" x14ac:dyDescent="0.2">
      <c r="A140" s="1"/>
      <c r="B140" s="1"/>
      <c r="C140" s="2" t="s">
        <v>105</v>
      </c>
      <c r="D140" s="1"/>
      <c r="E140" s="1" t="s">
        <v>106</v>
      </c>
      <c r="F140" s="9">
        <v>101.6016</v>
      </c>
      <c r="G140" s="10">
        <v>8.0282210000000003E-3</v>
      </c>
      <c r="H140" s="67"/>
    </row>
    <row r="141" spans="1:8" x14ac:dyDescent="0.2">
      <c r="A141" s="1"/>
      <c r="B141" s="1"/>
      <c r="C141" s="11"/>
      <c r="D141" s="1"/>
      <c r="E141" s="1"/>
      <c r="F141" s="12"/>
      <c r="G141" s="12"/>
      <c r="H141" s="67"/>
    </row>
    <row r="142" spans="1:8" x14ac:dyDescent="0.2">
      <c r="A142" s="1"/>
      <c r="B142" s="4"/>
      <c r="C142" s="4"/>
      <c r="D142" s="2"/>
      <c r="E142" s="1"/>
      <c r="F142" s="4"/>
      <c r="G142" s="8"/>
      <c r="H142" s="67"/>
    </row>
    <row r="143" spans="1:8" x14ac:dyDescent="0.2">
      <c r="A143" s="8"/>
      <c r="B143" s="4"/>
      <c r="C143" s="4" t="s">
        <v>130</v>
      </c>
      <c r="D143" s="4"/>
      <c r="E143" s="8"/>
      <c r="F143" s="6">
        <v>31.6775333</v>
      </c>
      <c r="G143" s="7">
        <v>2.5030540000000002E-3</v>
      </c>
      <c r="H143" s="67"/>
    </row>
    <row r="144" spans="1:8" x14ac:dyDescent="0.2">
      <c r="A144" s="11"/>
      <c r="B144" s="11"/>
      <c r="C144" s="2" t="s">
        <v>131</v>
      </c>
      <c r="D144" s="15"/>
      <c r="E144" s="15"/>
      <c r="F144" s="9">
        <v>12655.5558019</v>
      </c>
      <c r="G144" s="10">
        <v>1</v>
      </c>
      <c r="H144" s="67"/>
    </row>
    <row r="145" spans="1:7" ht="14.1" customHeight="1" x14ac:dyDescent="0.2">
      <c r="A145" s="16"/>
      <c r="B145" s="16"/>
      <c r="C145" s="16"/>
      <c r="D145" s="17"/>
      <c r="E145" s="17"/>
      <c r="F145" s="17"/>
      <c r="G145" s="17"/>
    </row>
    <row r="146" spans="1:7" ht="14.1" customHeight="1" x14ac:dyDescent="0.2">
      <c r="A146" s="18"/>
      <c r="B146" s="170" t="s">
        <v>106</v>
      </c>
      <c r="C146" s="170"/>
      <c r="D146" s="170"/>
      <c r="E146" s="170"/>
      <c r="F146" s="170"/>
      <c r="G146" s="20"/>
    </row>
    <row r="147" spans="1:7" ht="14.1" customHeight="1" x14ac:dyDescent="0.2">
      <c r="A147" s="18"/>
      <c r="B147" s="170" t="s">
        <v>106</v>
      </c>
      <c r="C147" s="170"/>
      <c r="D147" s="170"/>
      <c r="E147" s="170"/>
      <c r="F147" s="170"/>
      <c r="G147" s="20"/>
    </row>
    <row r="148" spans="1:7" ht="14.1" customHeight="1" x14ac:dyDescent="0.2">
      <c r="A148" s="18"/>
      <c r="B148" s="18"/>
      <c r="C148" s="18"/>
      <c r="D148" s="20"/>
      <c r="E148" s="20"/>
      <c r="F148" s="20"/>
      <c r="G148" s="20"/>
    </row>
    <row r="149" spans="1:7" ht="14.1" customHeight="1" x14ac:dyDescent="0.2">
      <c r="A149" s="18"/>
      <c r="B149" s="168" t="s">
        <v>133</v>
      </c>
      <c r="C149" s="169"/>
      <c r="D149" s="12" t="s">
        <v>106</v>
      </c>
      <c r="E149" s="21"/>
      <c r="F149" s="20"/>
      <c r="G149" s="20"/>
    </row>
    <row r="150" spans="1:7" ht="29.1" customHeight="1" x14ac:dyDescent="0.2">
      <c r="A150" s="18"/>
      <c r="B150" s="165" t="s">
        <v>134</v>
      </c>
      <c r="C150" s="166"/>
      <c r="D150" s="2" t="s">
        <v>135</v>
      </c>
      <c r="E150" s="21"/>
      <c r="F150" s="20"/>
      <c r="G150" s="20"/>
    </row>
    <row r="151" spans="1:7" ht="17.100000000000001" customHeight="1" x14ac:dyDescent="0.2">
      <c r="A151" s="18"/>
      <c r="B151" s="165" t="s">
        <v>136</v>
      </c>
      <c r="C151" s="166"/>
      <c r="D151" s="2" t="s">
        <v>135</v>
      </c>
      <c r="E151" s="21"/>
      <c r="F151" s="20"/>
      <c r="G151" s="20"/>
    </row>
    <row r="152" spans="1:7" ht="17.100000000000001" customHeight="1" x14ac:dyDescent="0.2">
      <c r="A152" s="18"/>
      <c r="B152" s="165" t="s">
        <v>137</v>
      </c>
      <c r="C152" s="166"/>
      <c r="D152" s="12" t="s">
        <v>106</v>
      </c>
      <c r="E152" s="21"/>
      <c r="F152" s="20"/>
      <c r="G152" s="20"/>
    </row>
    <row r="153" spans="1:7" ht="24" customHeight="1" x14ac:dyDescent="0.2">
      <c r="A153" s="22"/>
      <c r="B153" s="23" t="s">
        <v>106</v>
      </c>
      <c r="C153" s="23" t="s">
        <v>138</v>
      </c>
      <c r="D153" s="23" t="s">
        <v>139</v>
      </c>
      <c r="E153" s="22"/>
      <c r="F153" s="22"/>
      <c r="G153" s="22"/>
    </row>
    <row r="154" spans="1:7" ht="18" customHeight="1" x14ac:dyDescent="0.2">
      <c r="A154" s="22"/>
      <c r="B154" s="23" t="s">
        <v>140</v>
      </c>
      <c r="C154" s="23" t="s">
        <v>141</v>
      </c>
      <c r="D154" s="23" t="s">
        <v>142</v>
      </c>
      <c r="E154" s="22"/>
      <c r="F154" s="22"/>
      <c r="G154" s="22"/>
    </row>
    <row r="155" spans="1:7" ht="17.100000000000001" customHeight="1" x14ac:dyDescent="0.2">
      <c r="A155" s="22"/>
      <c r="B155" s="4" t="s">
        <v>143</v>
      </c>
      <c r="C155" s="24">
        <v>14.3515</v>
      </c>
      <c r="D155" s="24">
        <v>14.248900000000001</v>
      </c>
      <c r="E155" s="22"/>
      <c r="F155" s="19"/>
      <c r="G155" s="25"/>
    </row>
    <row r="156" spans="1:7" ht="17.100000000000001" customHeight="1" x14ac:dyDescent="0.2">
      <c r="A156" s="22"/>
      <c r="B156" s="4" t="s">
        <v>988</v>
      </c>
      <c r="C156" s="24">
        <v>14.3515</v>
      </c>
      <c r="D156" s="24">
        <v>14.248900000000001</v>
      </c>
      <c r="E156" s="22"/>
      <c r="F156" s="19"/>
      <c r="G156" s="25"/>
    </row>
    <row r="157" spans="1:7" ht="17.100000000000001" customHeight="1" x14ac:dyDescent="0.2">
      <c r="A157" s="22"/>
      <c r="B157" s="4" t="s">
        <v>144</v>
      </c>
      <c r="C157" s="24">
        <v>14.0265</v>
      </c>
      <c r="D157" s="24">
        <v>13.9192</v>
      </c>
      <c r="E157" s="22"/>
      <c r="F157" s="19"/>
      <c r="G157" s="25"/>
    </row>
    <row r="158" spans="1:7" ht="17.100000000000001" customHeight="1" x14ac:dyDescent="0.2">
      <c r="A158" s="22"/>
      <c r="B158" s="4" t="s">
        <v>989</v>
      </c>
      <c r="C158" s="24">
        <v>14.0265</v>
      </c>
      <c r="D158" s="24">
        <v>13.9192</v>
      </c>
      <c r="E158" s="22"/>
      <c r="F158" s="19"/>
      <c r="G158" s="25"/>
    </row>
    <row r="159" spans="1:7" ht="14.1" customHeight="1" x14ac:dyDescent="0.2">
      <c r="A159" s="22"/>
      <c r="B159" s="22"/>
      <c r="C159" s="22"/>
      <c r="D159" s="22"/>
      <c r="E159" s="22"/>
      <c r="F159" s="22"/>
      <c r="G159" s="22"/>
    </row>
    <row r="160" spans="1:7" ht="17.100000000000001" customHeight="1" x14ac:dyDescent="0.2">
      <c r="A160" s="22"/>
      <c r="B160" s="165" t="s">
        <v>990</v>
      </c>
      <c r="C160" s="166"/>
      <c r="D160" s="2" t="s">
        <v>135</v>
      </c>
      <c r="E160" s="22"/>
      <c r="F160" s="22"/>
      <c r="G160" s="22"/>
    </row>
    <row r="161" spans="1:7" ht="18" customHeight="1" x14ac:dyDescent="0.2">
      <c r="A161" s="22"/>
      <c r="B161" s="26" t="s">
        <v>145</v>
      </c>
      <c r="C161" s="26" t="s">
        <v>145</v>
      </c>
      <c r="D161" s="26"/>
      <c r="E161" s="22"/>
      <c r="F161" s="22"/>
      <c r="G161" s="22"/>
    </row>
    <row r="162" spans="1:7" s="158" customFormat="1" x14ac:dyDescent="0.2">
      <c r="B162" s="167" t="s">
        <v>822</v>
      </c>
      <c r="C162" s="167"/>
      <c r="D162" s="167"/>
      <c r="E162" s="167"/>
      <c r="F162" s="167"/>
    </row>
    <row r="163" spans="1:7" ht="14.1" customHeight="1" x14ac:dyDescent="0.2">
      <c r="A163" s="22"/>
      <c r="B163" s="19"/>
      <c r="C163" s="19"/>
      <c r="D163" s="22"/>
      <c r="E163" s="22"/>
      <c r="F163" s="22"/>
      <c r="G163" s="22"/>
    </row>
    <row r="164" spans="1:7" ht="29.1" customHeight="1" x14ac:dyDescent="0.2">
      <c r="A164" s="22"/>
      <c r="B164" s="165" t="s">
        <v>146</v>
      </c>
      <c r="C164" s="166"/>
      <c r="D164" s="2" t="s">
        <v>135</v>
      </c>
      <c r="E164" s="22"/>
      <c r="F164" s="22"/>
      <c r="G164" s="22"/>
    </row>
    <row r="165" spans="1:7" ht="29.1" customHeight="1" x14ac:dyDescent="0.2">
      <c r="A165" s="22"/>
      <c r="B165" s="165" t="s">
        <v>147</v>
      </c>
      <c r="C165" s="166"/>
      <c r="D165" s="2" t="s">
        <v>135</v>
      </c>
      <c r="E165" s="22"/>
      <c r="F165" s="22"/>
      <c r="G165" s="22"/>
    </row>
    <row r="166" spans="1:7" ht="17.100000000000001" customHeight="1" x14ac:dyDescent="0.2">
      <c r="A166" s="22"/>
      <c r="B166" s="165" t="s">
        <v>148</v>
      </c>
      <c r="C166" s="166"/>
      <c r="D166" s="27">
        <v>0.50373155152348048</v>
      </c>
      <c r="E166" s="22"/>
      <c r="F166" s="19"/>
      <c r="G166" s="25"/>
    </row>
    <row r="167" spans="1:7" ht="17.100000000000001" customHeight="1" x14ac:dyDescent="0.2">
      <c r="A167" s="22"/>
      <c r="B167" s="165" t="s">
        <v>149</v>
      </c>
      <c r="C167" s="166"/>
      <c r="D167" s="2" t="s">
        <v>135</v>
      </c>
      <c r="E167" s="22"/>
      <c r="F167" s="22"/>
      <c r="G167" s="22"/>
    </row>
  </sheetData>
  <mergeCells count="15">
    <mergeCell ref="B149:C149"/>
    <mergeCell ref="B146:F146"/>
    <mergeCell ref="B147:F147"/>
    <mergeCell ref="A1:H1"/>
    <mergeCell ref="A2:H2"/>
    <mergeCell ref="A3:H3"/>
    <mergeCell ref="B166:C166"/>
    <mergeCell ref="B167:C167"/>
    <mergeCell ref="B150:C150"/>
    <mergeCell ref="B151:C151"/>
    <mergeCell ref="B152:C152"/>
    <mergeCell ref="B160:C160"/>
    <mergeCell ref="B164:C164"/>
    <mergeCell ref="B165:C165"/>
    <mergeCell ref="B162:F16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6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295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151</v>
      </c>
      <c r="C7" s="4" t="s">
        <v>152</v>
      </c>
      <c r="D7" s="4" t="s">
        <v>153</v>
      </c>
      <c r="E7" s="5">
        <v>9140</v>
      </c>
      <c r="F7" s="6">
        <v>368.12263999999999</v>
      </c>
      <c r="G7" s="7">
        <v>3.4390802999999998E-2</v>
      </c>
      <c r="H7" s="67"/>
    </row>
    <row r="8" spans="1:8" x14ac:dyDescent="0.2">
      <c r="A8" s="3">
        <v>2</v>
      </c>
      <c r="B8" s="4" t="s">
        <v>25</v>
      </c>
      <c r="C8" s="4" t="s">
        <v>26</v>
      </c>
      <c r="D8" s="4" t="s">
        <v>27</v>
      </c>
      <c r="E8" s="5">
        <v>26959</v>
      </c>
      <c r="F8" s="6">
        <v>348.02721050000002</v>
      </c>
      <c r="G8" s="7">
        <v>3.2513445000000002E-2</v>
      </c>
      <c r="H8" s="67"/>
    </row>
    <row r="9" spans="1:8" x14ac:dyDescent="0.2">
      <c r="A9" s="3">
        <v>3</v>
      </c>
      <c r="B9" s="4" t="s">
        <v>156</v>
      </c>
      <c r="C9" s="4" t="s">
        <v>157</v>
      </c>
      <c r="D9" s="4" t="s">
        <v>153</v>
      </c>
      <c r="E9" s="5">
        <v>24633</v>
      </c>
      <c r="F9" s="6">
        <v>345.67488900000001</v>
      </c>
      <c r="G9" s="7">
        <v>3.2293686000000002E-2</v>
      </c>
      <c r="H9" s="67"/>
    </row>
    <row r="10" spans="1:8" x14ac:dyDescent="0.2">
      <c r="A10" s="3">
        <v>4</v>
      </c>
      <c r="B10" s="4" t="s">
        <v>154</v>
      </c>
      <c r="C10" s="4" t="s">
        <v>155</v>
      </c>
      <c r="D10" s="4" t="s">
        <v>81</v>
      </c>
      <c r="E10" s="5">
        <v>229363</v>
      </c>
      <c r="F10" s="6">
        <v>270.41897699999998</v>
      </c>
      <c r="G10" s="7">
        <v>2.5263118000000001E-2</v>
      </c>
      <c r="H10" s="67"/>
    </row>
    <row r="11" spans="1:8" x14ac:dyDescent="0.2">
      <c r="A11" s="3">
        <v>5</v>
      </c>
      <c r="B11" s="4" t="s">
        <v>162</v>
      </c>
      <c r="C11" s="4" t="s">
        <v>163</v>
      </c>
      <c r="D11" s="4" t="s">
        <v>27</v>
      </c>
      <c r="E11" s="5">
        <v>32433</v>
      </c>
      <c r="F11" s="6">
        <v>247.9340685</v>
      </c>
      <c r="G11" s="7">
        <v>2.3162530000000001E-2</v>
      </c>
      <c r="H11" s="67"/>
    </row>
    <row r="12" spans="1:8" x14ac:dyDescent="0.2">
      <c r="A12" s="3">
        <v>6</v>
      </c>
      <c r="B12" s="4" t="s">
        <v>160</v>
      </c>
      <c r="C12" s="4" t="s">
        <v>161</v>
      </c>
      <c r="D12" s="4" t="s">
        <v>1003</v>
      </c>
      <c r="E12" s="5">
        <v>20482</v>
      </c>
      <c r="F12" s="6">
        <v>247.299668</v>
      </c>
      <c r="G12" s="7">
        <v>2.3103262999999999E-2</v>
      </c>
      <c r="H12" s="67"/>
    </row>
    <row r="13" spans="1:8" x14ac:dyDescent="0.2">
      <c r="A13" s="3">
        <v>7</v>
      </c>
      <c r="B13" s="4" t="s">
        <v>158</v>
      </c>
      <c r="C13" s="4" t="s">
        <v>159</v>
      </c>
      <c r="D13" s="4" t="s">
        <v>27</v>
      </c>
      <c r="E13" s="5">
        <v>32056</v>
      </c>
      <c r="F13" s="6">
        <v>244.298776</v>
      </c>
      <c r="G13" s="7">
        <v>2.2822913E-2</v>
      </c>
      <c r="H13" s="67"/>
    </row>
    <row r="14" spans="1:8" x14ac:dyDescent="0.2">
      <c r="A14" s="3">
        <v>8</v>
      </c>
      <c r="B14" s="4" t="s">
        <v>164</v>
      </c>
      <c r="C14" s="4" t="s">
        <v>165</v>
      </c>
      <c r="D14" s="4" t="s">
        <v>166</v>
      </c>
      <c r="E14" s="5">
        <v>68359</v>
      </c>
      <c r="F14" s="6">
        <v>230.23311200000001</v>
      </c>
      <c r="G14" s="7">
        <v>2.1508869E-2</v>
      </c>
      <c r="H14" s="67"/>
    </row>
    <row r="15" spans="1:8" ht="25.5" x14ac:dyDescent="0.2">
      <c r="A15" s="3">
        <v>9</v>
      </c>
      <c r="B15" s="4" t="s">
        <v>30</v>
      </c>
      <c r="C15" s="4" t="s">
        <v>998</v>
      </c>
      <c r="D15" s="4" t="s">
        <v>992</v>
      </c>
      <c r="E15" s="5">
        <v>6481</v>
      </c>
      <c r="F15" s="6">
        <v>212.01943399999999</v>
      </c>
      <c r="G15" s="7">
        <v>1.9807307999999999E-2</v>
      </c>
      <c r="H15" s="67"/>
    </row>
    <row r="16" spans="1:8" x14ac:dyDescent="0.2">
      <c r="A16" s="3">
        <v>10</v>
      </c>
      <c r="B16" s="4" t="s">
        <v>293</v>
      </c>
      <c r="C16" s="4" t="s">
        <v>294</v>
      </c>
      <c r="D16" s="4" t="s">
        <v>69</v>
      </c>
      <c r="E16" s="5">
        <v>12753</v>
      </c>
      <c r="F16" s="6">
        <v>203.06601900000001</v>
      </c>
      <c r="G16" s="7">
        <v>1.8970860999999999E-2</v>
      </c>
      <c r="H16" s="67"/>
    </row>
    <row r="17" spans="1:8" x14ac:dyDescent="0.2">
      <c r="A17" s="3">
        <v>11</v>
      </c>
      <c r="B17" s="4" t="s">
        <v>167</v>
      </c>
      <c r="C17" s="4" t="s">
        <v>168</v>
      </c>
      <c r="D17" s="4" t="s">
        <v>166</v>
      </c>
      <c r="E17" s="5">
        <v>5738</v>
      </c>
      <c r="F17" s="6">
        <v>190.61922899999999</v>
      </c>
      <c r="G17" s="7">
        <v>1.7808055E-2</v>
      </c>
      <c r="H17" s="67"/>
    </row>
    <row r="18" spans="1:8" x14ac:dyDescent="0.2">
      <c r="A18" s="3">
        <v>12</v>
      </c>
      <c r="B18" s="4" t="s">
        <v>172</v>
      </c>
      <c r="C18" s="4" t="s">
        <v>173</v>
      </c>
      <c r="D18" s="4" t="s">
        <v>331</v>
      </c>
      <c r="E18" s="5">
        <v>19956</v>
      </c>
      <c r="F18" s="6">
        <v>190.27048199999999</v>
      </c>
      <c r="G18" s="7">
        <v>1.7775474999999999E-2</v>
      </c>
      <c r="H18" s="67"/>
    </row>
    <row r="19" spans="1:8" x14ac:dyDescent="0.2">
      <c r="A19" s="3">
        <v>13</v>
      </c>
      <c r="B19" s="4" t="s">
        <v>174</v>
      </c>
      <c r="C19" s="4" t="s">
        <v>175</v>
      </c>
      <c r="D19" s="4" t="s">
        <v>55</v>
      </c>
      <c r="E19" s="5">
        <v>45924</v>
      </c>
      <c r="F19" s="6">
        <v>184.867062</v>
      </c>
      <c r="G19" s="7">
        <v>1.7270675999999999E-2</v>
      </c>
      <c r="H19" s="67"/>
    </row>
    <row r="20" spans="1:8" x14ac:dyDescent="0.2">
      <c r="A20" s="3">
        <v>14</v>
      </c>
      <c r="B20" s="4" t="s">
        <v>63</v>
      </c>
      <c r="C20" s="4" t="s">
        <v>64</v>
      </c>
      <c r="D20" s="4" t="s">
        <v>55</v>
      </c>
      <c r="E20" s="5">
        <v>71003</v>
      </c>
      <c r="F20" s="6">
        <v>183.89777000000001</v>
      </c>
      <c r="G20" s="7">
        <v>1.7180121999999999E-2</v>
      </c>
      <c r="H20" s="67"/>
    </row>
    <row r="21" spans="1:8" ht="25.5" x14ac:dyDescent="0.2">
      <c r="A21" s="3">
        <v>15</v>
      </c>
      <c r="B21" s="4" t="s">
        <v>176</v>
      </c>
      <c r="C21" s="4" t="s">
        <v>995</v>
      </c>
      <c r="D21" s="4" t="s">
        <v>992</v>
      </c>
      <c r="E21" s="5">
        <v>66035</v>
      </c>
      <c r="F21" s="6">
        <v>174.72861</v>
      </c>
      <c r="G21" s="7">
        <v>1.6323520000000001E-2</v>
      </c>
      <c r="H21" s="67"/>
    </row>
    <row r="22" spans="1:8" x14ac:dyDescent="0.2">
      <c r="A22" s="3">
        <v>16</v>
      </c>
      <c r="B22" s="4" t="s">
        <v>177</v>
      </c>
      <c r="C22" s="4" t="s">
        <v>178</v>
      </c>
      <c r="D22" s="4" t="s">
        <v>179</v>
      </c>
      <c r="E22" s="5">
        <v>72801</v>
      </c>
      <c r="F22" s="6">
        <v>174.358395</v>
      </c>
      <c r="G22" s="7">
        <v>1.6288934000000001E-2</v>
      </c>
      <c r="H22" s="67"/>
    </row>
    <row r="23" spans="1:8" x14ac:dyDescent="0.2">
      <c r="A23" s="3">
        <v>17</v>
      </c>
      <c r="B23" s="4" t="s">
        <v>37</v>
      </c>
      <c r="C23" s="4" t="s">
        <v>38</v>
      </c>
      <c r="D23" s="4" t="s">
        <v>27</v>
      </c>
      <c r="E23" s="5">
        <v>14186</v>
      </c>
      <c r="F23" s="6">
        <v>168.94816700000001</v>
      </c>
      <c r="G23" s="7">
        <v>1.5783498999999999E-2</v>
      </c>
      <c r="H23" s="67"/>
    </row>
    <row r="24" spans="1:8" x14ac:dyDescent="0.2">
      <c r="A24" s="3">
        <v>18</v>
      </c>
      <c r="B24" s="4" t="s">
        <v>180</v>
      </c>
      <c r="C24" s="4" t="s">
        <v>181</v>
      </c>
      <c r="D24" s="4" t="s">
        <v>171</v>
      </c>
      <c r="E24" s="5">
        <v>12373</v>
      </c>
      <c r="F24" s="6">
        <v>168.84814449999999</v>
      </c>
      <c r="G24" s="7">
        <v>1.5774153999999999E-2</v>
      </c>
      <c r="H24" s="67"/>
    </row>
    <row r="25" spans="1:8" x14ac:dyDescent="0.2">
      <c r="A25" s="3">
        <v>19</v>
      </c>
      <c r="B25" s="4" t="s">
        <v>185</v>
      </c>
      <c r="C25" s="4" t="s">
        <v>186</v>
      </c>
      <c r="D25" s="4" t="s">
        <v>187</v>
      </c>
      <c r="E25" s="5">
        <v>35139</v>
      </c>
      <c r="F25" s="6">
        <v>168.5793525</v>
      </c>
      <c r="G25" s="7">
        <v>1.5749043000000001E-2</v>
      </c>
      <c r="H25" s="67"/>
    </row>
    <row r="26" spans="1:8" x14ac:dyDescent="0.2">
      <c r="A26" s="3">
        <v>20</v>
      </c>
      <c r="B26" s="4" t="s">
        <v>190</v>
      </c>
      <c r="C26" s="4" t="s">
        <v>191</v>
      </c>
      <c r="D26" s="4" t="s">
        <v>41</v>
      </c>
      <c r="E26" s="5">
        <v>40089</v>
      </c>
      <c r="F26" s="6">
        <v>165.046413</v>
      </c>
      <c r="G26" s="7">
        <v>1.5418988E-2</v>
      </c>
      <c r="H26" s="67"/>
    </row>
    <row r="27" spans="1:8" x14ac:dyDescent="0.2">
      <c r="A27" s="3">
        <v>21</v>
      </c>
      <c r="B27" s="4" t="s">
        <v>296</v>
      </c>
      <c r="C27" s="4" t="s">
        <v>297</v>
      </c>
      <c r="D27" s="4" t="s">
        <v>27</v>
      </c>
      <c r="E27" s="5">
        <v>23981</v>
      </c>
      <c r="F27" s="6">
        <v>163.32260049999999</v>
      </c>
      <c r="G27" s="7">
        <v>1.5257946E-2</v>
      </c>
      <c r="H27" s="67"/>
    </row>
    <row r="28" spans="1:8" x14ac:dyDescent="0.2">
      <c r="A28" s="3">
        <v>22</v>
      </c>
      <c r="B28" s="4" t="s">
        <v>192</v>
      </c>
      <c r="C28" s="4" t="s">
        <v>193</v>
      </c>
      <c r="D28" s="4" t="s">
        <v>81</v>
      </c>
      <c r="E28" s="5">
        <v>28306</v>
      </c>
      <c r="F28" s="6">
        <v>161.528189</v>
      </c>
      <c r="G28" s="7">
        <v>1.5090308E-2</v>
      </c>
      <c r="H28" s="67"/>
    </row>
    <row r="29" spans="1:8" x14ac:dyDescent="0.2">
      <c r="A29" s="3">
        <v>23</v>
      </c>
      <c r="B29" s="4" t="s">
        <v>200</v>
      </c>
      <c r="C29" s="4" t="s">
        <v>201</v>
      </c>
      <c r="D29" s="4" t="s">
        <v>49</v>
      </c>
      <c r="E29" s="5">
        <v>66223</v>
      </c>
      <c r="F29" s="6">
        <v>161.28611649999999</v>
      </c>
      <c r="G29" s="7">
        <v>1.5067693E-2</v>
      </c>
      <c r="H29" s="67"/>
    </row>
    <row r="30" spans="1:8" x14ac:dyDescent="0.2">
      <c r="A30" s="3">
        <v>24</v>
      </c>
      <c r="B30" s="4" t="s">
        <v>188</v>
      </c>
      <c r="C30" s="4" t="s">
        <v>189</v>
      </c>
      <c r="D30" s="4" t="s">
        <v>166</v>
      </c>
      <c r="E30" s="5">
        <v>3348</v>
      </c>
      <c r="F30" s="6">
        <v>159.34471199999999</v>
      </c>
      <c r="G30" s="7">
        <v>1.4886323E-2</v>
      </c>
      <c r="H30" s="67"/>
    </row>
    <row r="31" spans="1:8" x14ac:dyDescent="0.2">
      <c r="A31" s="3">
        <v>25</v>
      </c>
      <c r="B31" s="4" t="s">
        <v>194</v>
      </c>
      <c r="C31" s="4" t="s">
        <v>195</v>
      </c>
      <c r="D31" s="4" t="s">
        <v>55</v>
      </c>
      <c r="E31" s="5">
        <v>16226</v>
      </c>
      <c r="F31" s="6">
        <v>156.386188</v>
      </c>
      <c r="G31" s="7">
        <v>1.4609932000000001E-2</v>
      </c>
      <c r="H31" s="67"/>
    </row>
    <row r="32" spans="1:8" x14ac:dyDescent="0.2">
      <c r="A32" s="3">
        <v>26</v>
      </c>
      <c r="B32" s="4" t="s">
        <v>196</v>
      </c>
      <c r="C32" s="4" t="s">
        <v>197</v>
      </c>
      <c r="D32" s="4" t="s">
        <v>1004</v>
      </c>
      <c r="E32" s="5">
        <v>49783</v>
      </c>
      <c r="F32" s="6">
        <v>153.95392749999999</v>
      </c>
      <c r="G32" s="7">
        <v>1.4382705000000001E-2</v>
      </c>
      <c r="H32" s="67"/>
    </row>
    <row r="33" spans="1:8" x14ac:dyDescent="0.2">
      <c r="A33" s="3">
        <v>27</v>
      </c>
      <c r="B33" s="4" t="s">
        <v>210</v>
      </c>
      <c r="C33" s="4" t="s">
        <v>211</v>
      </c>
      <c r="D33" s="4" t="s">
        <v>212</v>
      </c>
      <c r="E33" s="5">
        <v>61316</v>
      </c>
      <c r="F33" s="6">
        <v>153.719212</v>
      </c>
      <c r="G33" s="7">
        <v>1.4360777E-2</v>
      </c>
      <c r="H33" s="67"/>
    </row>
    <row r="34" spans="1:8" x14ac:dyDescent="0.2">
      <c r="A34" s="3">
        <v>28</v>
      </c>
      <c r="B34" s="4" t="s">
        <v>290</v>
      </c>
      <c r="C34" s="4" t="s">
        <v>291</v>
      </c>
      <c r="D34" s="4" t="s">
        <v>27</v>
      </c>
      <c r="E34" s="5">
        <v>12647</v>
      </c>
      <c r="F34" s="6">
        <v>149.7973915</v>
      </c>
      <c r="G34" s="7">
        <v>1.3994392E-2</v>
      </c>
      <c r="H34" s="67"/>
    </row>
    <row r="35" spans="1:8" x14ac:dyDescent="0.2">
      <c r="A35" s="3">
        <v>29</v>
      </c>
      <c r="B35" s="4" t="s">
        <v>198</v>
      </c>
      <c r="C35" s="4" t="s">
        <v>199</v>
      </c>
      <c r="D35" s="4" t="s">
        <v>166</v>
      </c>
      <c r="E35" s="5">
        <v>15313</v>
      </c>
      <c r="F35" s="6">
        <v>149.6769185</v>
      </c>
      <c r="G35" s="7">
        <v>1.3983137E-2</v>
      </c>
      <c r="H35" s="67"/>
    </row>
    <row r="36" spans="1:8" ht="25.5" x14ac:dyDescent="0.2">
      <c r="A36" s="3">
        <v>30</v>
      </c>
      <c r="B36" s="4" t="s">
        <v>202</v>
      </c>
      <c r="C36" s="4" t="s">
        <v>203</v>
      </c>
      <c r="D36" s="4" t="s">
        <v>52</v>
      </c>
      <c r="E36" s="5">
        <v>31242</v>
      </c>
      <c r="F36" s="6">
        <v>145.66582500000001</v>
      </c>
      <c r="G36" s="7">
        <v>1.3608412E-2</v>
      </c>
      <c r="H36" s="67"/>
    </row>
    <row r="37" spans="1:8" x14ac:dyDescent="0.2">
      <c r="A37" s="3">
        <v>31</v>
      </c>
      <c r="B37" s="4" t="s">
        <v>204</v>
      </c>
      <c r="C37" s="4" t="s">
        <v>205</v>
      </c>
      <c r="D37" s="4" t="s">
        <v>27</v>
      </c>
      <c r="E37" s="5">
        <v>8762</v>
      </c>
      <c r="F37" s="6">
        <v>145.50615300000001</v>
      </c>
      <c r="G37" s="7">
        <v>1.3593496E-2</v>
      </c>
      <c r="H37" s="67"/>
    </row>
    <row r="38" spans="1:8" x14ac:dyDescent="0.2">
      <c r="A38" s="3">
        <v>32</v>
      </c>
      <c r="B38" s="4" t="s">
        <v>169</v>
      </c>
      <c r="C38" s="4" t="s">
        <v>170</v>
      </c>
      <c r="D38" s="4" t="s">
        <v>171</v>
      </c>
      <c r="E38" s="5">
        <v>20028</v>
      </c>
      <c r="F38" s="6">
        <v>144.80243999999999</v>
      </c>
      <c r="G38" s="7">
        <v>1.3527753E-2</v>
      </c>
      <c r="H38" s="67"/>
    </row>
    <row r="39" spans="1:8" x14ac:dyDescent="0.2">
      <c r="A39" s="3">
        <v>33</v>
      </c>
      <c r="B39" s="4" t="s">
        <v>206</v>
      </c>
      <c r="C39" s="4" t="s">
        <v>207</v>
      </c>
      <c r="D39" s="4" t="s">
        <v>187</v>
      </c>
      <c r="E39" s="5">
        <v>21308</v>
      </c>
      <c r="F39" s="6">
        <v>142.03912800000001</v>
      </c>
      <c r="G39" s="7">
        <v>1.3269599E-2</v>
      </c>
      <c r="H39" s="67"/>
    </row>
    <row r="40" spans="1:8" x14ac:dyDescent="0.2">
      <c r="A40" s="3">
        <v>34</v>
      </c>
      <c r="B40" s="4" t="s">
        <v>213</v>
      </c>
      <c r="C40" s="4" t="s">
        <v>214</v>
      </c>
      <c r="D40" s="4" t="s">
        <v>81</v>
      </c>
      <c r="E40" s="5">
        <v>24381</v>
      </c>
      <c r="F40" s="6">
        <v>139.20331949999999</v>
      </c>
      <c r="G40" s="7">
        <v>1.3004671000000001E-2</v>
      </c>
      <c r="H40" s="67"/>
    </row>
    <row r="41" spans="1:8" x14ac:dyDescent="0.2">
      <c r="A41" s="3">
        <v>35</v>
      </c>
      <c r="B41" s="4" t="s">
        <v>208</v>
      </c>
      <c r="C41" s="4" t="s">
        <v>209</v>
      </c>
      <c r="D41" s="4" t="s">
        <v>1005</v>
      </c>
      <c r="E41" s="5">
        <v>16000</v>
      </c>
      <c r="F41" s="6">
        <v>135.49600000000001</v>
      </c>
      <c r="G41" s="7">
        <v>1.2658325999999999E-2</v>
      </c>
      <c r="H41" s="67"/>
    </row>
    <row r="42" spans="1:8" x14ac:dyDescent="0.2">
      <c r="A42" s="3">
        <v>36</v>
      </c>
      <c r="B42" s="4" t="s">
        <v>77</v>
      </c>
      <c r="C42" s="4" t="s">
        <v>78</v>
      </c>
      <c r="D42" s="4" t="s">
        <v>69</v>
      </c>
      <c r="E42" s="5">
        <v>39179</v>
      </c>
      <c r="F42" s="6">
        <v>131.0341655</v>
      </c>
      <c r="G42" s="7">
        <v>1.2241492E-2</v>
      </c>
      <c r="H42" s="67"/>
    </row>
    <row r="43" spans="1:8" x14ac:dyDescent="0.2">
      <c r="A43" s="3">
        <v>37</v>
      </c>
      <c r="B43" s="4" t="s">
        <v>215</v>
      </c>
      <c r="C43" s="4" t="s">
        <v>216</v>
      </c>
      <c r="D43" s="4" t="s">
        <v>69</v>
      </c>
      <c r="E43" s="5">
        <v>128038</v>
      </c>
      <c r="F43" s="6">
        <v>127.97398099999999</v>
      </c>
      <c r="G43" s="7">
        <v>1.1955603E-2</v>
      </c>
      <c r="H43" s="67"/>
    </row>
    <row r="44" spans="1:8" x14ac:dyDescent="0.2">
      <c r="A44" s="3">
        <v>38</v>
      </c>
      <c r="B44" s="4" t="s">
        <v>85</v>
      </c>
      <c r="C44" s="4" t="s">
        <v>86</v>
      </c>
      <c r="D44" s="4" t="s">
        <v>1000</v>
      </c>
      <c r="E44" s="5">
        <v>79000</v>
      </c>
      <c r="F44" s="6">
        <v>120.396</v>
      </c>
      <c r="G44" s="7">
        <v>1.1247650999999999E-2</v>
      </c>
      <c r="H44" s="67"/>
    </row>
    <row r="45" spans="1:8" x14ac:dyDescent="0.2">
      <c r="A45" s="3">
        <v>39</v>
      </c>
      <c r="B45" s="4" t="s">
        <v>223</v>
      </c>
      <c r="C45" s="4" t="s">
        <v>224</v>
      </c>
      <c r="D45" s="4" t="s">
        <v>69</v>
      </c>
      <c r="E45" s="5">
        <v>13938</v>
      </c>
      <c r="F45" s="6">
        <v>120.250095</v>
      </c>
      <c r="G45" s="7">
        <v>1.1234021E-2</v>
      </c>
      <c r="H45" s="67"/>
    </row>
    <row r="46" spans="1:8" ht="25.5" x14ac:dyDescent="0.2">
      <c r="A46" s="3">
        <v>40</v>
      </c>
      <c r="B46" s="4" t="s">
        <v>221</v>
      </c>
      <c r="C46" s="4" t="s">
        <v>222</v>
      </c>
      <c r="D46" s="4" t="s">
        <v>36</v>
      </c>
      <c r="E46" s="5">
        <v>137334</v>
      </c>
      <c r="F46" s="6">
        <v>117.96990599999999</v>
      </c>
      <c r="G46" s="7">
        <v>1.1021001000000001E-2</v>
      </c>
      <c r="H46" s="67"/>
    </row>
    <row r="47" spans="1:8" x14ac:dyDescent="0.2">
      <c r="A47" s="3">
        <v>41</v>
      </c>
      <c r="B47" s="4" t="s">
        <v>236</v>
      </c>
      <c r="C47" s="4" t="s">
        <v>237</v>
      </c>
      <c r="D47" s="4" t="s">
        <v>1000</v>
      </c>
      <c r="E47" s="5">
        <v>9205</v>
      </c>
      <c r="F47" s="6">
        <v>116.654965</v>
      </c>
      <c r="G47" s="7">
        <v>1.0898156000000001E-2</v>
      </c>
      <c r="H47" s="67"/>
    </row>
    <row r="48" spans="1:8" ht="25.5" x14ac:dyDescent="0.2">
      <c r="A48" s="3">
        <v>42</v>
      </c>
      <c r="B48" s="4" t="s">
        <v>65</v>
      </c>
      <c r="C48" s="4" t="s">
        <v>66</v>
      </c>
      <c r="D48" s="4" t="s">
        <v>36</v>
      </c>
      <c r="E48" s="5">
        <v>15103</v>
      </c>
      <c r="F48" s="6">
        <v>109.9724945</v>
      </c>
      <c r="G48" s="7">
        <v>1.0273865E-2</v>
      </c>
      <c r="H48" s="67"/>
    </row>
    <row r="49" spans="1:8" x14ac:dyDescent="0.2">
      <c r="A49" s="3">
        <v>43</v>
      </c>
      <c r="B49" s="4" t="s">
        <v>227</v>
      </c>
      <c r="C49" s="4" t="s">
        <v>228</v>
      </c>
      <c r="D49" s="4" t="s">
        <v>229</v>
      </c>
      <c r="E49" s="5">
        <v>22498</v>
      </c>
      <c r="F49" s="6">
        <v>107.675428</v>
      </c>
      <c r="G49" s="7">
        <v>1.0059268E-2</v>
      </c>
      <c r="H49" s="67"/>
    </row>
    <row r="50" spans="1:8" x14ac:dyDescent="0.2">
      <c r="A50" s="3">
        <v>44</v>
      </c>
      <c r="B50" s="4" t="s">
        <v>225</v>
      </c>
      <c r="C50" s="4" t="s">
        <v>226</v>
      </c>
      <c r="D50" s="4" t="s">
        <v>166</v>
      </c>
      <c r="E50" s="5">
        <v>7480</v>
      </c>
      <c r="F50" s="6">
        <v>106.79196</v>
      </c>
      <c r="G50" s="7">
        <v>9.9767329999999998E-3</v>
      </c>
      <c r="H50" s="67"/>
    </row>
    <row r="51" spans="1:8" ht="25.5" x14ac:dyDescent="0.2">
      <c r="A51" s="3">
        <v>45</v>
      </c>
      <c r="B51" s="4" t="s">
        <v>230</v>
      </c>
      <c r="C51" s="4" t="s">
        <v>231</v>
      </c>
      <c r="D51" s="4" t="s">
        <v>52</v>
      </c>
      <c r="E51" s="5">
        <v>25988</v>
      </c>
      <c r="F51" s="6">
        <v>104.69265799999999</v>
      </c>
      <c r="G51" s="7">
        <v>9.7806119999999993E-3</v>
      </c>
      <c r="H51" s="67"/>
    </row>
    <row r="52" spans="1:8" ht="25.5" x14ac:dyDescent="0.2">
      <c r="A52" s="3">
        <v>46</v>
      </c>
      <c r="B52" s="4" t="s">
        <v>238</v>
      </c>
      <c r="C52" s="4" t="s">
        <v>239</v>
      </c>
      <c r="D52" s="4" t="s">
        <v>1006</v>
      </c>
      <c r="E52" s="5">
        <v>100256</v>
      </c>
      <c r="F52" s="6">
        <v>103.063168</v>
      </c>
      <c r="G52" s="7">
        <v>9.6283810000000001E-3</v>
      </c>
      <c r="H52" s="67"/>
    </row>
    <row r="53" spans="1:8" x14ac:dyDescent="0.2">
      <c r="A53" s="3">
        <v>47</v>
      </c>
      <c r="B53" s="4" t="s">
        <v>232</v>
      </c>
      <c r="C53" s="4" t="s">
        <v>233</v>
      </c>
      <c r="D53" s="4" t="s">
        <v>55</v>
      </c>
      <c r="E53" s="5">
        <v>40563</v>
      </c>
      <c r="F53" s="6">
        <v>102.6446715</v>
      </c>
      <c r="G53" s="7">
        <v>9.589284E-3</v>
      </c>
      <c r="H53" s="67"/>
    </row>
    <row r="54" spans="1:8" x14ac:dyDescent="0.2">
      <c r="A54" s="3">
        <v>48</v>
      </c>
      <c r="B54" s="4" t="s">
        <v>234</v>
      </c>
      <c r="C54" s="4" t="s">
        <v>235</v>
      </c>
      <c r="D54" s="4" t="s">
        <v>187</v>
      </c>
      <c r="E54" s="5">
        <v>5980</v>
      </c>
      <c r="F54" s="6">
        <v>101.81847</v>
      </c>
      <c r="G54" s="7">
        <v>9.5120989999999996E-3</v>
      </c>
      <c r="H54" s="67"/>
    </row>
    <row r="55" spans="1:8" ht="25.5" x14ac:dyDescent="0.2">
      <c r="A55" s="3">
        <v>49</v>
      </c>
      <c r="B55" s="4" t="s">
        <v>217</v>
      </c>
      <c r="C55" s="4" t="s">
        <v>218</v>
      </c>
      <c r="D55" s="4" t="s">
        <v>55</v>
      </c>
      <c r="E55" s="5">
        <v>4600</v>
      </c>
      <c r="F55" s="6">
        <v>100.91249999999999</v>
      </c>
      <c r="G55" s="7">
        <v>9.4274609999999998E-3</v>
      </c>
      <c r="H55" s="67"/>
    </row>
    <row r="56" spans="1:8" ht="25.5" x14ac:dyDescent="0.2">
      <c r="A56" s="3">
        <v>50</v>
      </c>
      <c r="B56" s="4" t="s">
        <v>240</v>
      </c>
      <c r="C56" s="4" t="s">
        <v>241</v>
      </c>
      <c r="D56" s="4" t="s">
        <v>52</v>
      </c>
      <c r="E56" s="5">
        <v>24808</v>
      </c>
      <c r="F56" s="6">
        <v>100.1623</v>
      </c>
      <c r="G56" s="7">
        <v>9.3573760000000006E-3</v>
      </c>
      <c r="H56" s="67"/>
    </row>
    <row r="57" spans="1:8" x14ac:dyDescent="0.2">
      <c r="A57" s="3">
        <v>51</v>
      </c>
      <c r="B57" s="4" t="s">
        <v>245</v>
      </c>
      <c r="C57" s="4" t="s">
        <v>246</v>
      </c>
      <c r="D57" s="4" t="s">
        <v>81</v>
      </c>
      <c r="E57" s="5">
        <v>195431</v>
      </c>
      <c r="F57" s="6">
        <v>98.204077499999997</v>
      </c>
      <c r="G57" s="7">
        <v>9.1744349999999999E-3</v>
      </c>
      <c r="H57" s="67"/>
    </row>
    <row r="58" spans="1:8" x14ac:dyDescent="0.2">
      <c r="A58" s="3">
        <v>52</v>
      </c>
      <c r="B58" s="4" t="s">
        <v>243</v>
      </c>
      <c r="C58" s="4" t="s">
        <v>244</v>
      </c>
      <c r="D58" s="4" t="s">
        <v>171</v>
      </c>
      <c r="E58" s="5">
        <v>27074</v>
      </c>
      <c r="F58" s="6">
        <v>98.143249999999995</v>
      </c>
      <c r="G58" s="7">
        <v>9.1687520000000005E-3</v>
      </c>
      <c r="H58" s="67"/>
    </row>
    <row r="59" spans="1:8" x14ac:dyDescent="0.2">
      <c r="A59" s="3">
        <v>53</v>
      </c>
      <c r="B59" s="4" t="s">
        <v>249</v>
      </c>
      <c r="C59" s="4" t="s">
        <v>250</v>
      </c>
      <c r="D59" s="4" t="s">
        <v>187</v>
      </c>
      <c r="E59" s="5">
        <v>18233</v>
      </c>
      <c r="F59" s="6">
        <v>97.737996499999994</v>
      </c>
      <c r="G59" s="7">
        <v>9.1308919999999998E-3</v>
      </c>
      <c r="H59" s="67"/>
    </row>
    <row r="60" spans="1:8" x14ac:dyDescent="0.2">
      <c r="A60" s="3">
        <v>54</v>
      </c>
      <c r="B60" s="4" t="s">
        <v>247</v>
      </c>
      <c r="C60" s="4" t="s">
        <v>248</v>
      </c>
      <c r="D60" s="4" t="s">
        <v>1001</v>
      </c>
      <c r="E60" s="5">
        <v>17394</v>
      </c>
      <c r="F60" s="6">
        <v>95.762666999999993</v>
      </c>
      <c r="G60" s="7">
        <v>8.9463530000000006E-3</v>
      </c>
      <c r="H60" s="67"/>
    </row>
    <row r="61" spans="1:8" x14ac:dyDescent="0.2">
      <c r="A61" s="3">
        <v>55</v>
      </c>
      <c r="B61" s="4" t="s">
        <v>298</v>
      </c>
      <c r="C61" s="4" t="s">
        <v>299</v>
      </c>
      <c r="D61" s="4" t="s">
        <v>1001</v>
      </c>
      <c r="E61" s="5">
        <v>270455</v>
      </c>
      <c r="F61" s="6">
        <v>93.577430000000007</v>
      </c>
      <c r="G61" s="7">
        <v>8.7422030000000005E-3</v>
      </c>
      <c r="H61" s="67"/>
    </row>
    <row r="62" spans="1:8" x14ac:dyDescent="0.2">
      <c r="A62" s="3">
        <v>56</v>
      </c>
      <c r="B62" s="4" t="s">
        <v>255</v>
      </c>
      <c r="C62" s="4" t="s">
        <v>256</v>
      </c>
      <c r="D62" s="4" t="s">
        <v>331</v>
      </c>
      <c r="E62" s="5">
        <v>6019</v>
      </c>
      <c r="F62" s="6">
        <v>89.592815000000002</v>
      </c>
      <c r="G62" s="7">
        <v>8.3699519999999999E-3</v>
      </c>
      <c r="H62" s="67"/>
    </row>
    <row r="63" spans="1:8" x14ac:dyDescent="0.2">
      <c r="A63" s="3">
        <v>57</v>
      </c>
      <c r="B63" s="4" t="s">
        <v>253</v>
      </c>
      <c r="C63" s="4" t="s">
        <v>254</v>
      </c>
      <c r="D63" s="4" t="s">
        <v>49</v>
      </c>
      <c r="E63" s="5">
        <v>8427</v>
      </c>
      <c r="F63" s="6">
        <v>88.820580000000007</v>
      </c>
      <c r="G63" s="7">
        <v>8.2978080000000003E-3</v>
      </c>
      <c r="H63" s="67"/>
    </row>
    <row r="64" spans="1:8" x14ac:dyDescent="0.2">
      <c r="A64" s="3">
        <v>58</v>
      </c>
      <c r="B64" s="4" t="s">
        <v>53</v>
      </c>
      <c r="C64" s="4" t="s">
        <v>54</v>
      </c>
      <c r="D64" s="4" t="s">
        <v>55</v>
      </c>
      <c r="E64" s="5">
        <v>3000</v>
      </c>
      <c r="F64" s="6">
        <v>86.846999999999994</v>
      </c>
      <c r="G64" s="7">
        <v>8.1134320000000003E-3</v>
      </c>
      <c r="H64" s="67"/>
    </row>
    <row r="65" spans="1:8" x14ac:dyDescent="0.2">
      <c r="A65" s="3">
        <v>59</v>
      </c>
      <c r="B65" s="4" t="s">
        <v>257</v>
      </c>
      <c r="C65" s="4" t="s">
        <v>258</v>
      </c>
      <c r="D65" s="4" t="s">
        <v>1001</v>
      </c>
      <c r="E65" s="5">
        <v>69298</v>
      </c>
      <c r="F65" s="6">
        <v>86.691798000000006</v>
      </c>
      <c r="G65" s="7">
        <v>8.0989329999999991E-3</v>
      </c>
      <c r="H65" s="67"/>
    </row>
    <row r="66" spans="1:8" x14ac:dyDescent="0.2">
      <c r="A66" s="3">
        <v>60</v>
      </c>
      <c r="B66" s="4" t="s">
        <v>259</v>
      </c>
      <c r="C66" s="4" t="s">
        <v>260</v>
      </c>
      <c r="D66" s="4" t="s">
        <v>261</v>
      </c>
      <c r="E66" s="5">
        <v>11527</v>
      </c>
      <c r="F66" s="6">
        <v>85.443887500000002</v>
      </c>
      <c r="G66" s="7">
        <v>7.9823499999999992E-3</v>
      </c>
      <c r="H66" s="67"/>
    </row>
    <row r="67" spans="1:8" x14ac:dyDescent="0.2">
      <c r="A67" s="3">
        <v>61</v>
      </c>
      <c r="B67" s="4" t="s">
        <v>262</v>
      </c>
      <c r="C67" s="4" t="s">
        <v>263</v>
      </c>
      <c r="D67" s="4" t="s">
        <v>171</v>
      </c>
      <c r="E67" s="5">
        <v>12261</v>
      </c>
      <c r="F67" s="6">
        <v>83.092797000000004</v>
      </c>
      <c r="G67" s="7">
        <v>7.7627069999999998E-3</v>
      </c>
      <c r="H67" s="67"/>
    </row>
    <row r="68" spans="1:8" ht="25.5" x14ac:dyDescent="0.2">
      <c r="A68" s="3">
        <v>62</v>
      </c>
      <c r="B68" s="4" t="s">
        <v>264</v>
      </c>
      <c r="C68" s="4" t="s">
        <v>265</v>
      </c>
      <c r="D68" s="4" t="s">
        <v>153</v>
      </c>
      <c r="E68" s="5">
        <v>24937</v>
      </c>
      <c r="F68" s="6">
        <v>82.940461999999997</v>
      </c>
      <c r="G68" s="7">
        <v>7.7484750000000003E-3</v>
      </c>
      <c r="H68" s="67"/>
    </row>
    <row r="69" spans="1:8" x14ac:dyDescent="0.2">
      <c r="A69" s="3">
        <v>63</v>
      </c>
      <c r="B69" s="4" t="s">
        <v>266</v>
      </c>
      <c r="C69" s="4" t="s">
        <v>267</v>
      </c>
      <c r="D69" s="4" t="s">
        <v>41</v>
      </c>
      <c r="E69" s="5">
        <v>76703</v>
      </c>
      <c r="F69" s="6">
        <v>79.310901999999999</v>
      </c>
      <c r="G69" s="7">
        <v>7.4093939999999997E-3</v>
      </c>
      <c r="H69" s="67"/>
    </row>
    <row r="70" spans="1:8" x14ac:dyDescent="0.2">
      <c r="A70" s="3">
        <v>64</v>
      </c>
      <c r="B70" s="4" t="s">
        <v>273</v>
      </c>
      <c r="C70" s="4" t="s">
        <v>274</v>
      </c>
      <c r="D70" s="4" t="s">
        <v>187</v>
      </c>
      <c r="E70" s="5">
        <v>1256</v>
      </c>
      <c r="F70" s="6">
        <v>68.318864000000005</v>
      </c>
      <c r="G70" s="7">
        <v>6.3824939999999998E-3</v>
      </c>
      <c r="H70" s="67"/>
    </row>
    <row r="71" spans="1:8" x14ac:dyDescent="0.2">
      <c r="A71" s="3">
        <v>65</v>
      </c>
      <c r="B71" s="4" t="s">
        <v>270</v>
      </c>
      <c r="C71" s="4" t="s">
        <v>271</v>
      </c>
      <c r="D71" s="4" t="s">
        <v>272</v>
      </c>
      <c r="E71" s="5">
        <v>29657</v>
      </c>
      <c r="F71" s="6">
        <v>67.395532500000002</v>
      </c>
      <c r="G71" s="7">
        <v>6.2962349999999999E-3</v>
      </c>
      <c r="H71" s="67"/>
    </row>
    <row r="72" spans="1:8" x14ac:dyDescent="0.2">
      <c r="A72" s="3">
        <v>66</v>
      </c>
      <c r="B72" s="4" t="s">
        <v>268</v>
      </c>
      <c r="C72" s="4" t="s">
        <v>269</v>
      </c>
      <c r="D72" s="4" t="s">
        <v>24</v>
      </c>
      <c r="E72" s="5">
        <v>71994</v>
      </c>
      <c r="F72" s="6">
        <v>66.342471000000003</v>
      </c>
      <c r="G72" s="7">
        <v>6.1978550000000004E-3</v>
      </c>
      <c r="H72" s="67"/>
    </row>
    <row r="73" spans="1:8" x14ac:dyDescent="0.2">
      <c r="A73" s="3">
        <v>67</v>
      </c>
      <c r="B73" s="4" t="s">
        <v>277</v>
      </c>
      <c r="C73" s="4" t="s">
        <v>278</v>
      </c>
      <c r="D73" s="4" t="s">
        <v>187</v>
      </c>
      <c r="E73" s="5">
        <v>14986</v>
      </c>
      <c r="F73" s="6">
        <v>58.580274000000003</v>
      </c>
      <c r="G73" s="7">
        <v>5.4726940000000002E-3</v>
      </c>
      <c r="H73" s="67"/>
    </row>
    <row r="74" spans="1:8" x14ac:dyDescent="0.2">
      <c r="A74" s="3">
        <v>68</v>
      </c>
      <c r="B74" s="4" t="s">
        <v>279</v>
      </c>
      <c r="C74" s="4" t="s">
        <v>280</v>
      </c>
      <c r="D74" s="4" t="s">
        <v>1003</v>
      </c>
      <c r="E74" s="5">
        <v>3777</v>
      </c>
      <c r="F74" s="6">
        <v>57.317863500000001</v>
      </c>
      <c r="G74" s="7">
        <v>5.3547569999999999E-3</v>
      </c>
      <c r="H74" s="67"/>
    </row>
    <row r="75" spans="1:8" x14ac:dyDescent="0.2">
      <c r="A75" s="3">
        <v>69</v>
      </c>
      <c r="B75" s="4" t="s">
        <v>281</v>
      </c>
      <c r="C75" s="4" t="s">
        <v>282</v>
      </c>
      <c r="D75" s="4" t="s">
        <v>55</v>
      </c>
      <c r="E75" s="5">
        <v>34000</v>
      </c>
      <c r="F75" s="6">
        <v>55.131</v>
      </c>
      <c r="G75" s="7">
        <v>5.1504560000000003E-3</v>
      </c>
      <c r="H75" s="67"/>
    </row>
    <row r="76" spans="1:8" x14ac:dyDescent="0.2">
      <c r="A76" s="3">
        <v>70</v>
      </c>
      <c r="B76" s="4" t="s">
        <v>283</v>
      </c>
      <c r="C76" s="4" t="s">
        <v>284</v>
      </c>
      <c r="D76" s="4" t="s">
        <v>166</v>
      </c>
      <c r="E76" s="5">
        <v>11841</v>
      </c>
      <c r="F76" s="6">
        <v>53.645650500000002</v>
      </c>
      <c r="G76" s="7">
        <v>5.0116910000000004E-3</v>
      </c>
      <c r="H76" s="67"/>
    </row>
    <row r="77" spans="1:8" x14ac:dyDescent="0.2">
      <c r="A77" s="3">
        <v>71</v>
      </c>
      <c r="B77" s="4" t="s">
        <v>275</v>
      </c>
      <c r="C77" s="4" t="s">
        <v>276</v>
      </c>
      <c r="D77" s="4" t="s">
        <v>1001</v>
      </c>
      <c r="E77" s="5">
        <v>42305</v>
      </c>
      <c r="F77" s="6">
        <v>51.844777499999999</v>
      </c>
      <c r="G77" s="7">
        <v>4.84345E-3</v>
      </c>
      <c r="H77" s="67"/>
    </row>
    <row r="78" spans="1:8" x14ac:dyDescent="0.2">
      <c r="A78" s="3">
        <v>72</v>
      </c>
      <c r="B78" s="4" t="s">
        <v>285</v>
      </c>
      <c r="C78" s="4" t="s">
        <v>286</v>
      </c>
      <c r="D78" s="4" t="s">
        <v>153</v>
      </c>
      <c r="E78" s="5">
        <v>3329</v>
      </c>
      <c r="F78" s="6">
        <v>42.726050499999999</v>
      </c>
      <c r="G78" s="7">
        <v>3.9915590000000004E-3</v>
      </c>
      <c r="H78" s="67"/>
    </row>
    <row r="79" spans="1:8" x14ac:dyDescent="0.2">
      <c r="A79" s="3">
        <v>73</v>
      </c>
      <c r="B79" s="4" t="s">
        <v>67</v>
      </c>
      <c r="C79" s="4" t="s">
        <v>68</v>
      </c>
      <c r="D79" s="4" t="s">
        <v>69</v>
      </c>
      <c r="E79" s="5">
        <v>24117</v>
      </c>
      <c r="F79" s="6">
        <v>35.970505500000002</v>
      </c>
      <c r="G79" s="7">
        <v>3.360441E-3</v>
      </c>
      <c r="H79" s="67"/>
    </row>
    <row r="80" spans="1:8" x14ac:dyDescent="0.2">
      <c r="A80" s="3">
        <v>74</v>
      </c>
      <c r="B80" s="4" t="s">
        <v>287</v>
      </c>
      <c r="C80" s="4" t="s">
        <v>288</v>
      </c>
      <c r="D80" s="4" t="s">
        <v>1001</v>
      </c>
      <c r="E80" s="5">
        <v>4772</v>
      </c>
      <c r="F80" s="6">
        <v>21.476386000000002</v>
      </c>
      <c r="G80" s="7">
        <v>2.0063699999999999E-3</v>
      </c>
      <c r="H80" s="67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9">
        <v>10165.914339999999</v>
      </c>
      <c r="G81" s="10">
        <v>0.94972142299999995</v>
      </c>
      <c r="H81" s="67"/>
    </row>
    <row r="82" spans="1:8" x14ac:dyDescent="0.2">
      <c r="A82" s="1"/>
      <c r="B82" s="1"/>
      <c r="C82" s="11"/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107</v>
      </c>
      <c r="D83" s="1"/>
      <c r="E83" s="1"/>
      <c r="F83" s="1"/>
      <c r="G83" s="1"/>
      <c r="H83" s="67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7"/>
    </row>
    <row r="85" spans="1:8" x14ac:dyDescent="0.2">
      <c r="A85" s="1"/>
      <c r="B85" s="1"/>
      <c r="C85" s="11"/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108</v>
      </c>
      <c r="D86" s="1"/>
      <c r="E86" s="1"/>
      <c r="F86" s="1"/>
      <c r="G86" s="1"/>
      <c r="H86" s="67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7"/>
    </row>
    <row r="88" spans="1:8" x14ac:dyDescent="0.2">
      <c r="A88" s="1"/>
      <c r="B88" s="1"/>
      <c r="C88" s="11"/>
      <c r="D88" s="1"/>
      <c r="E88" s="1"/>
      <c r="F88" s="12"/>
      <c r="G88" s="12"/>
      <c r="H88" s="67"/>
    </row>
    <row r="89" spans="1:8" x14ac:dyDescent="0.2">
      <c r="A89" s="1"/>
      <c r="B89" s="1"/>
      <c r="C89" s="2" t="s">
        <v>109</v>
      </c>
      <c r="D89" s="1"/>
      <c r="E89" s="1"/>
      <c r="F89" s="1"/>
      <c r="G89" s="1"/>
      <c r="H89" s="67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">
        <v>0</v>
      </c>
      <c r="H90" s="67"/>
    </row>
    <row r="91" spans="1:8" x14ac:dyDescent="0.2">
      <c r="A91" s="1"/>
      <c r="B91" s="1"/>
      <c r="C91" s="11"/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110</v>
      </c>
      <c r="D92" s="1"/>
      <c r="E92" s="1"/>
      <c r="F92" s="12"/>
      <c r="G92" s="12"/>
      <c r="H92" s="67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7"/>
    </row>
    <row r="94" spans="1:8" x14ac:dyDescent="0.2">
      <c r="A94" s="1"/>
      <c r="B94" s="1"/>
      <c r="C94" s="11"/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111</v>
      </c>
      <c r="D95" s="1"/>
      <c r="E95" s="1"/>
      <c r="F95" s="12"/>
      <c r="G95" s="12"/>
      <c r="H95" s="67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7"/>
    </row>
    <row r="97" spans="1:8" x14ac:dyDescent="0.2">
      <c r="A97" s="1"/>
      <c r="B97" s="1"/>
      <c r="C97" s="11"/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112</v>
      </c>
      <c r="D98" s="1"/>
      <c r="E98" s="1"/>
      <c r="F98" s="9">
        <v>10165.914339999999</v>
      </c>
      <c r="G98" s="10">
        <v>0.94972142299999995</v>
      </c>
      <c r="H98" s="67"/>
    </row>
    <row r="99" spans="1:8" x14ac:dyDescent="0.2">
      <c r="A99" s="1"/>
      <c r="B99" s="1"/>
      <c r="C99" s="11"/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113</v>
      </c>
      <c r="D100" s="1"/>
      <c r="E100" s="1"/>
      <c r="F100" s="12"/>
      <c r="G100" s="12"/>
      <c r="H100" s="67"/>
    </row>
    <row r="101" spans="1:8" ht="25.5" x14ac:dyDescent="0.2">
      <c r="A101" s="1"/>
      <c r="B101" s="1"/>
      <c r="C101" s="2" t="s">
        <v>10</v>
      </c>
      <c r="D101" s="1"/>
      <c r="E101" s="1"/>
      <c r="F101" s="12"/>
      <c r="G101" s="12"/>
      <c r="H101" s="67"/>
    </row>
    <row r="102" spans="1:8" x14ac:dyDescent="0.2">
      <c r="A102" s="1"/>
      <c r="B102" s="1"/>
      <c r="C102" s="2" t="s">
        <v>105</v>
      </c>
      <c r="D102" s="1"/>
      <c r="E102" s="1" t="s">
        <v>106</v>
      </c>
      <c r="F102" s="13">
        <v>0</v>
      </c>
      <c r="G102" s="14">
        <v>0</v>
      </c>
      <c r="H102" s="67"/>
    </row>
    <row r="103" spans="1:8" x14ac:dyDescent="0.2">
      <c r="A103" s="1"/>
      <c r="B103" s="1"/>
      <c r="C103" s="11"/>
      <c r="D103" s="1"/>
      <c r="E103" s="1"/>
      <c r="F103" s="12"/>
      <c r="G103" s="12"/>
      <c r="H103" s="67"/>
    </row>
    <row r="104" spans="1:8" x14ac:dyDescent="0.2">
      <c r="A104" s="1"/>
      <c r="B104" s="1"/>
      <c r="C104" s="2" t="s">
        <v>114</v>
      </c>
      <c r="D104" s="1"/>
      <c r="E104" s="1"/>
      <c r="F104" s="1"/>
      <c r="G104" s="1"/>
      <c r="H104" s="67"/>
    </row>
    <row r="105" spans="1:8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">
        <v>0</v>
      </c>
      <c r="H105" s="67"/>
    </row>
    <row r="106" spans="1:8" x14ac:dyDescent="0.2">
      <c r="A106" s="1"/>
      <c r="B106" s="1"/>
      <c r="C106" s="11"/>
      <c r="D106" s="1"/>
      <c r="E106" s="1"/>
      <c r="F106" s="12"/>
      <c r="G106" s="12"/>
      <c r="H106" s="67"/>
    </row>
    <row r="107" spans="1:8" x14ac:dyDescent="0.2">
      <c r="A107" s="1"/>
      <c r="B107" s="1"/>
      <c r="C107" s="2" t="s">
        <v>115</v>
      </c>
      <c r="D107" s="1"/>
      <c r="E107" s="1"/>
      <c r="F107" s="1"/>
      <c r="G107" s="1"/>
      <c r="H107" s="67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">
        <v>0</v>
      </c>
      <c r="H108" s="67"/>
    </row>
    <row r="109" spans="1:8" x14ac:dyDescent="0.2">
      <c r="A109" s="1"/>
      <c r="B109" s="1"/>
      <c r="C109" s="11"/>
      <c r="D109" s="1"/>
      <c r="E109" s="1"/>
      <c r="F109" s="12"/>
      <c r="G109" s="12"/>
      <c r="H109" s="67"/>
    </row>
    <row r="110" spans="1:8" x14ac:dyDescent="0.2">
      <c r="A110" s="1"/>
      <c r="B110" s="1"/>
      <c r="C110" s="2" t="s">
        <v>116</v>
      </c>
      <c r="D110" s="1"/>
      <c r="E110" s="1"/>
      <c r="F110" s="12"/>
      <c r="G110" s="12"/>
      <c r="H110" s="67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">
        <v>0</v>
      </c>
      <c r="H111" s="67"/>
    </row>
    <row r="112" spans="1:8" x14ac:dyDescent="0.2">
      <c r="A112" s="1"/>
      <c r="B112" s="1"/>
      <c r="C112" s="11"/>
      <c r="D112" s="1"/>
      <c r="E112" s="1"/>
      <c r="F112" s="12"/>
      <c r="G112" s="12"/>
      <c r="H112" s="67"/>
    </row>
    <row r="113" spans="1:8" x14ac:dyDescent="0.2">
      <c r="A113" s="1"/>
      <c r="B113" s="1"/>
      <c r="C113" s="2" t="s">
        <v>117</v>
      </c>
      <c r="D113" s="1"/>
      <c r="E113" s="1"/>
      <c r="F113" s="9">
        <v>0</v>
      </c>
      <c r="G113" s="10">
        <v>0</v>
      </c>
      <c r="H113" s="67"/>
    </row>
    <row r="114" spans="1:8" x14ac:dyDescent="0.2">
      <c r="A114" s="1"/>
      <c r="B114" s="1"/>
      <c r="C114" s="11"/>
      <c r="D114" s="1"/>
      <c r="E114" s="1"/>
      <c r="F114" s="12"/>
      <c r="G114" s="12"/>
      <c r="H114" s="67"/>
    </row>
    <row r="115" spans="1:8" x14ac:dyDescent="0.2">
      <c r="A115" s="1"/>
      <c r="B115" s="1"/>
      <c r="C115" s="2" t="s">
        <v>118</v>
      </c>
      <c r="D115" s="1"/>
      <c r="E115" s="1"/>
      <c r="F115" s="12"/>
      <c r="G115" s="12"/>
      <c r="H115" s="67"/>
    </row>
    <row r="116" spans="1:8" x14ac:dyDescent="0.2">
      <c r="A116" s="1"/>
      <c r="B116" s="1"/>
      <c r="C116" s="2" t="s">
        <v>119</v>
      </c>
      <c r="D116" s="1"/>
      <c r="E116" s="1"/>
      <c r="F116" s="12"/>
      <c r="G116" s="12"/>
      <c r="H116" s="67"/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13">
        <v>0</v>
      </c>
      <c r="G117" s="14">
        <v>0</v>
      </c>
      <c r="H117" s="67"/>
    </row>
    <row r="118" spans="1:8" x14ac:dyDescent="0.2">
      <c r="A118" s="1"/>
      <c r="B118" s="1"/>
      <c r="C118" s="11"/>
      <c r="D118" s="1"/>
      <c r="E118" s="1"/>
      <c r="F118" s="12"/>
      <c r="G118" s="12"/>
      <c r="H118" s="67"/>
    </row>
    <row r="119" spans="1:8" x14ac:dyDescent="0.2">
      <c r="A119" s="1"/>
      <c r="B119" s="1"/>
      <c r="C119" s="2" t="s">
        <v>120</v>
      </c>
      <c r="D119" s="1"/>
      <c r="E119" s="1"/>
      <c r="F119" s="12"/>
      <c r="G119" s="12"/>
      <c r="H119" s="67"/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13">
        <v>0</v>
      </c>
      <c r="G120" s="14">
        <v>0</v>
      </c>
      <c r="H120" s="67"/>
    </row>
    <row r="121" spans="1:8" x14ac:dyDescent="0.2">
      <c r="A121" s="1"/>
      <c r="B121" s="1"/>
      <c r="C121" s="11"/>
      <c r="D121" s="1"/>
      <c r="E121" s="1"/>
      <c r="F121" s="12"/>
      <c r="G121" s="12"/>
      <c r="H121" s="67"/>
    </row>
    <row r="122" spans="1:8" x14ac:dyDescent="0.2">
      <c r="A122" s="1"/>
      <c r="B122" s="1"/>
      <c r="C122" s="2" t="s">
        <v>121</v>
      </c>
      <c r="D122" s="1"/>
      <c r="E122" s="1"/>
      <c r="F122" s="12"/>
      <c r="G122" s="12"/>
      <c r="H122" s="67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7"/>
    </row>
    <row r="124" spans="1:8" x14ac:dyDescent="0.2">
      <c r="A124" s="1"/>
      <c r="B124" s="1"/>
      <c r="C124" s="11"/>
      <c r="D124" s="1"/>
      <c r="E124" s="1"/>
      <c r="F124" s="12"/>
      <c r="G124" s="12"/>
      <c r="H124" s="67"/>
    </row>
    <row r="125" spans="1:8" x14ac:dyDescent="0.2">
      <c r="A125" s="1"/>
      <c r="B125" s="1"/>
      <c r="C125" s="2" t="s">
        <v>122</v>
      </c>
      <c r="D125" s="1"/>
      <c r="E125" s="1"/>
      <c r="F125" s="12"/>
      <c r="G125" s="12"/>
      <c r="H125" s="67"/>
    </row>
    <row r="126" spans="1:8" x14ac:dyDescent="0.2">
      <c r="A126" s="3">
        <v>1</v>
      </c>
      <c r="B126" s="4"/>
      <c r="C126" s="4" t="s">
        <v>123</v>
      </c>
      <c r="D126" s="4"/>
      <c r="E126" s="8"/>
      <c r="F126" s="6">
        <v>426.45942480000002</v>
      </c>
      <c r="G126" s="7">
        <v>3.9840750000000001E-2</v>
      </c>
      <c r="H126" s="67">
        <v>3.1047477660654299</v>
      </c>
    </row>
    <row r="127" spans="1:8" x14ac:dyDescent="0.2">
      <c r="A127" s="1"/>
      <c r="B127" s="1"/>
      <c r="C127" s="2" t="s">
        <v>105</v>
      </c>
      <c r="D127" s="1"/>
      <c r="E127" s="1" t="s">
        <v>106</v>
      </c>
      <c r="F127" s="9">
        <v>426.45942480000002</v>
      </c>
      <c r="G127" s="10">
        <v>3.9840750000000001E-2</v>
      </c>
      <c r="H127" s="67"/>
    </row>
    <row r="128" spans="1:8" x14ac:dyDescent="0.2">
      <c r="A128" s="1"/>
      <c r="B128" s="1"/>
      <c r="C128" s="11"/>
      <c r="D128" s="1"/>
      <c r="E128" s="1"/>
      <c r="F128" s="12"/>
      <c r="G128" s="12"/>
      <c r="H128" s="67"/>
    </row>
    <row r="129" spans="1:8" x14ac:dyDescent="0.2">
      <c r="A129" s="1"/>
      <c r="B129" s="1"/>
      <c r="C129" s="2" t="s">
        <v>124</v>
      </c>
      <c r="D129" s="1"/>
      <c r="E129" s="1"/>
      <c r="F129" s="9">
        <v>426.45942480000002</v>
      </c>
      <c r="G129" s="10">
        <v>3.9840750000000001E-2</v>
      </c>
      <c r="H129" s="67"/>
    </row>
    <row r="130" spans="1:8" x14ac:dyDescent="0.2">
      <c r="A130" s="1"/>
      <c r="B130" s="1"/>
      <c r="C130" s="12"/>
      <c r="D130" s="1"/>
      <c r="E130" s="1"/>
      <c r="F130" s="1"/>
      <c r="G130" s="1"/>
      <c r="H130" s="67"/>
    </row>
    <row r="131" spans="1:8" x14ac:dyDescent="0.2">
      <c r="A131" s="1"/>
      <c r="B131" s="1"/>
      <c r="C131" s="2" t="s">
        <v>125</v>
      </c>
      <c r="D131" s="1"/>
      <c r="E131" s="1"/>
      <c r="F131" s="1"/>
      <c r="G131" s="1"/>
      <c r="H131" s="67"/>
    </row>
    <row r="132" spans="1:8" x14ac:dyDescent="0.2">
      <c r="A132" s="1"/>
      <c r="B132" s="1"/>
      <c r="C132" s="2" t="s">
        <v>126</v>
      </c>
      <c r="D132" s="1"/>
      <c r="E132" s="1"/>
      <c r="F132" s="1"/>
      <c r="G132" s="1"/>
      <c r="H132" s="67"/>
    </row>
    <row r="133" spans="1:8" x14ac:dyDescent="0.2">
      <c r="A133" s="1"/>
      <c r="B133" s="1"/>
      <c r="C133" s="2" t="s">
        <v>105</v>
      </c>
      <c r="D133" s="1"/>
      <c r="E133" s="1" t="s">
        <v>106</v>
      </c>
      <c r="F133" s="13">
        <v>0</v>
      </c>
      <c r="G133" s="14">
        <v>0</v>
      </c>
      <c r="H133" s="67"/>
    </row>
    <row r="134" spans="1:8" x14ac:dyDescent="0.2">
      <c r="A134" s="1"/>
      <c r="B134" s="1"/>
      <c r="C134" s="11"/>
      <c r="D134" s="1"/>
      <c r="E134" s="1"/>
      <c r="F134" s="12"/>
      <c r="G134" s="12"/>
      <c r="H134" s="67"/>
    </row>
    <row r="135" spans="1:8" x14ac:dyDescent="0.2">
      <c r="A135" s="1"/>
      <c r="B135" s="1"/>
      <c r="C135" s="2" t="s">
        <v>127</v>
      </c>
      <c r="D135" s="1"/>
      <c r="E135" s="1"/>
      <c r="F135" s="1"/>
      <c r="G135" s="1"/>
      <c r="H135" s="67"/>
    </row>
    <row r="136" spans="1:8" x14ac:dyDescent="0.2">
      <c r="A136" s="1"/>
      <c r="B136" s="1"/>
      <c r="C136" s="2" t="s">
        <v>128</v>
      </c>
      <c r="D136" s="1"/>
      <c r="E136" s="1"/>
      <c r="F136" s="1"/>
      <c r="G136" s="1"/>
      <c r="H136" s="67"/>
    </row>
    <row r="137" spans="1:8" x14ac:dyDescent="0.2">
      <c r="A137" s="1"/>
      <c r="B137" s="1"/>
      <c r="C137" s="2" t="s">
        <v>105</v>
      </c>
      <c r="D137" s="1"/>
      <c r="E137" s="1" t="s">
        <v>106</v>
      </c>
      <c r="F137" s="13">
        <v>0</v>
      </c>
      <c r="G137" s="14">
        <v>0</v>
      </c>
      <c r="H137" s="67"/>
    </row>
    <row r="138" spans="1:8" x14ac:dyDescent="0.2">
      <c r="A138" s="1"/>
      <c r="B138" s="1"/>
      <c r="C138" s="11"/>
      <c r="D138" s="1"/>
      <c r="E138" s="1"/>
      <c r="F138" s="12"/>
      <c r="G138" s="12"/>
      <c r="H138" s="67"/>
    </row>
    <row r="139" spans="1:8" x14ac:dyDescent="0.2">
      <c r="A139" s="1"/>
      <c r="B139" s="1"/>
      <c r="C139" s="11"/>
      <c r="D139" s="1"/>
      <c r="E139" s="1"/>
      <c r="F139" s="12"/>
      <c r="G139" s="12"/>
      <c r="H139" s="67"/>
    </row>
    <row r="140" spans="1:8" ht="25.5" x14ac:dyDescent="0.2">
      <c r="A140" s="1"/>
      <c r="B140" s="1"/>
      <c r="C140" s="2" t="s">
        <v>129</v>
      </c>
      <c r="D140" s="1"/>
      <c r="E140" s="1"/>
      <c r="F140" s="6">
        <v>85.936800000000005</v>
      </c>
      <c r="G140" s="7">
        <v>8.0283990000000003E-3</v>
      </c>
      <c r="H140" s="67"/>
    </row>
    <row r="141" spans="1:8" x14ac:dyDescent="0.2">
      <c r="A141" s="1"/>
      <c r="B141" s="1"/>
      <c r="C141" s="2" t="s">
        <v>105</v>
      </c>
      <c r="D141" s="1"/>
      <c r="E141" s="1" t="s">
        <v>106</v>
      </c>
      <c r="F141" s="9">
        <v>85.936800000000005</v>
      </c>
      <c r="G141" s="10">
        <v>8.0283990000000003E-3</v>
      </c>
      <c r="H141" s="67"/>
    </row>
    <row r="142" spans="1:8" x14ac:dyDescent="0.2">
      <c r="A142" s="1"/>
      <c r="B142" s="1"/>
      <c r="C142" s="11"/>
      <c r="D142" s="1"/>
      <c r="E142" s="1"/>
      <c r="F142" s="12"/>
      <c r="G142" s="12"/>
      <c r="H142" s="67"/>
    </row>
    <row r="143" spans="1:8" x14ac:dyDescent="0.2">
      <c r="A143" s="1"/>
      <c r="B143" s="4"/>
      <c r="C143" s="4"/>
      <c r="D143" s="2"/>
      <c r="E143" s="1"/>
      <c r="F143" s="4"/>
      <c r="G143" s="8"/>
      <c r="H143" s="67"/>
    </row>
    <row r="144" spans="1:8" x14ac:dyDescent="0.2">
      <c r="A144" s="8"/>
      <c r="B144" s="4"/>
      <c r="C144" s="4" t="s">
        <v>130</v>
      </c>
      <c r="D144" s="4"/>
      <c r="E144" s="8"/>
      <c r="F144" s="6">
        <v>25.790739089999999</v>
      </c>
      <c r="G144" s="7">
        <v>2.4094260000000001E-3</v>
      </c>
      <c r="H144" s="67"/>
    </row>
    <row r="145" spans="1:8" x14ac:dyDescent="0.2">
      <c r="A145" s="11"/>
      <c r="B145" s="11"/>
      <c r="C145" s="2" t="s">
        <v>131</v>
      </c>
      <c r="D145" s="15"/>
      <c r="E145" s="15"/>
      <c r="F145" s="9">
        <v>10704.10130389</v>
      </c>
      <c r="G145" s="10">
        <v>0.99999999799999995</v>
      </c>
      <c r="H145" s="67"/>
    </row>
    <row r="146" spans="1:8" ht="14.1" customHeight="1" x14ac:dyDescent="0.2">
      <c r="A146" s="16"/>
      <c r="B146" s="16"/>
      <c r="C146" s="16"/>
      <c r="D146" s="17"/>
      <c r="E146" s="17"/>
      <c r="F146" s="17"/>
      <c r="G146" s="17"/>
    </row>
    <row r="147" spans="1:8" ht="14.1" customHeight="1" x14ac:dyDescent="0.2">
      <c r="A147" s="18"/>
      <c r="B147" s="170" t="s">
        <v>106</v>
      </c>
      <c r="C147" s="170"/>
      <c r="D147" s="170"/>
      <c r="E147" s="170"/>
      <c r="F147" s="170"/>
      <c r="G147" s="20"/>
    </row>
    <row r="148" spans="1:8" ht="14.1" customHeight="1" x14ac:dyDescent="0.2">
      <c r="A148" s="18"/>
      <c r="B148" s="170" t="s">
        <v>106</v>
      </c>
      <c r="C148" s="170"/>
      <c r="D148" s="170"/>
      <c r="E148" s="170"/>
      <c r="F148" s="170"/>
      <c r="G148" s="20"/>
    </row>
    <row r="149" spans="1:8" ht="14.1" customHeight="1" x14ac:dyDescent="0.2">
      <c r="A149" s="18"/>
      <c r="B149" s="18"/>
      <c r="C149" s="18"/>
      <c r="D149" s="20"/>
      <c r="E149" s="20"/>
      <c r="F149" s="20"/>
      <c r="G149" s="20"/>
    </row>
    <row r="150" spans="1:8" ht="14.1" customHeight="1" x14ac:dyDescent="0.2">
      <c r="A150" s="18"/>
      <c r="B150" s="168" t="s">
        <v>133</v>
      </c>
      <c r="C150" s="169"/>
      <c r="D150" s="12" t="s">
        <v>106</v>
      </c>
      <c r="E150" s="21"/>
      <c r="F150" s="20"/>
      <c r="G150" s="20"/>
    </row>
    <row r="151" spans="1:8" ht="29.1" customHeight="1" x14ac:dyDescent="0.2">
      <c r="A151" s="18"/>
      <c r="B151" s="165" t="s">
        <v>134</v>
      </c>
      <c r="C151" s="166"/>
      <c r="D151" s="2" t="s">
        <v>135</v>
      </c>
      <c r="E151" s="21"/>
      <c r="F151" s="20"/>
      <c r="G151" s="20"/>
    </row>
    <row r="152" spans="1:8" ht="17.100000000000001" customHeight="1" x14ac:dyDescent="0.2">
      <c r="A152" s="18"/>
      <c r="B152" s="165" t="s">
        <v>136</v>
      </c>
      <c r="C152" s="166"/>
      <c r="D152" s="2" t="s">
        <v>135</v>
      </c>
      <c r="E152" s="21"/>
      <c r="F152" s="20"/>
      <c r="G152" s="20"/>
    </row>
    <row r="153" spans="1:8" ht="17.100000000000001" customHeight="1" x14ac:dyDescent="0.2">
      <c r="A153" s="18"/>
      <c r="B153" s="165" t="s">
        <v>137</v>
      </c>
      <c r="C153" s="166"/>
      <c r="D153" s="12" t="s">
        <v>106</v>
      </c>
      <c r="E153" s="21"/>
      <c r="F153" s="20"/>
      <c r="G153" s="20"/>
    </row>
    <row r="154" spans="1:8" ht="24" customHeight="1" x14ac:dyDescent="0.2">
      <c r="A154" s="22"/>
      <c r="B154" s="23" t="s">
        <v>106</v>
      </c>
      <c r="C154" s="23" t="s">
        <v>138</v>
      </c>
      <c r="D154" s="23" t="s">
        <v>139</v>
      </c>
      <c r="E154" s="22"/>
      <c r="F154" s="22"/>
      <c r="G154" s="22"/>
    </row>
    <row r="155" spans="1:8" ht="18" customHeight="1" x14ac:dyDescent="0.2">
      <c r="A155" s="22"/>
      <c r="B155" s="23" t="s">
        <v>140</v>
      </c>
      <c r="C155" s="23" t="s">
        <v>141</v>
      </c>
      <c r="D155" s="23" t="s">
        <v>142</v>
      </c>
      <c r="E155" s="22"/>
      <c r="F155" s="22"/>
      <c r="G155" s="22"/>
    </row>
    <row r="156" spans="1:8" ht="17.100000000000001" customHeight="1" x14ac:dyDescent="0.2">
      <c r="A156" s="22"/>
      <c r="B156" s="4" t="s">
        <v>143</v>
      </c>
      <c r="C156" s="24">
        <v>13.8215</v>
      </c>
      <c r="D156" s="24">
        <v>13.724</v>
      </c>
      <c r="E156" s="22"/>
      <c r="F156" s="19"/>
      <c r="G156" s="25"/>
    </row>
    <row r="157" spans="1:8" ht="17.100000000000001" customHeight="1" x14ac:dyDescent="0.2">
      <c r="A157" s="22"/>
      <c r="B157" s="4" t="s">
        <v>988</v>
      </c>
      <c r="C157" s="24">
        <v>13.8215</v>
      </c>
      <c r="D157" s="24">
        <v>13.724</v>
      </c>
      <c r="E157" s="22"/>
      <c r="F157" s="19"/>
      <c r="G157" s="25"/>
    </row>
    <row r="158" spans="1:8" ht="17.100000000000001" customHeight="1" x14ac:dyDescent="0.2">
      <c r="A158" s="22"/>
      <c r="B158" s="4" t="s">
        <v>144</v>
      </c>
      <c r="C158" s="24">
        <v>13.3292</v>
      </c>
      <c r="D158" s="24">
        <v>13.229200000000001</v>
      </c>
      <c r="E158" s="22"/>
      <c r="F158" s="19"/>
      <c r="G158" s="25"/>
    </row>
    <row r="159" spans="1:8" ht="17.100000000000001" customHeight="1" x14ac:dyDescent="0.2">
      <c r="A159" s="22"/>
      <c r="B159" s="4" t="s">
        <v>989</v>
      </c>
      <c r="C159" s="24">
        <v>13.3292</v>
      </c>
      <c r="D159" s="24">
        <v>13.229100000000001</v>
      </c>
      <c r="E159" s="22"/>
      <c r="F159" s="19"/>
      <c r="G159" s="25"/>
    </row>
    <row r="160" spans="1:8" ht="14.1" customHeight="1" x14ac:dyDescent="0.2">
      <c r="A160" s="22"/>
      <c r="B160" s="22"/>
      <c r="C160" s="22"/>
      <c r="D160" s="22"/>
      <c r="E160" s="22"/>
      <c r="F160" s="22"/>
      <c r="G160" s="22"/>
    </row>
    <row r="161" spans="1:7" ht="17.100000000000001" customHeight="1" x14ac:dyDescent="0.2">
      <c r="A161" s="22"/>
      <c r="B161" s="165" t="s">
        <v>990</v>
      </c>
      <c r="C161" s="166"/>
      <c r="D161" s="2" t="s">
        <v>135</v>
      </c>
      <c r="E161" s="22"/>
      <c r="F161" s="22"/>
      <c r="G161" s="22"/>
    </row>
    <row r="162" spans="1:7" ht="18" customHeight="1" x14ac:dyDescent="0.2">
      <c r="A162" s="22"/>
      <c r="B162" s="26" t="s">
        <v>145</v>
      </c>
      <c r="C162" s="26" t="s">
        <v>145</v>
      </c>
      <c r="D162" s="26"/>
      <c r="E162" s="22"/>
      <c r="F162" s="22"/>
      <c r="G162" s="22"/>
    </row>
    <row r="163" spans="1:7" s="158" customFormat="1" x14ac:dyDescent="0.2">
      <c r="B163" s="167" t="s">
        <v>822</v>
      </c>
      <c r="C163" s="167"/>
      <c r="D163" s="167"/>
      <c r="E163" s="167"/>
      <c r="F163" s="167"/>
    </row>
    <row r="164" spans="1:7" ht="14.1" customHeight="1" x14ac:dyDescent="0.2">
      <c r="A164" s="22"/>
      <c r="B164" s="19"/>
      <c r="C164" s="19"/>
      <c r="D164" s="22"/>
      <c r="E164" s="22"/>
      <c r="F164" s="22"/>
      <c r="G164" s="22"/>
    </row>
    <row r="165" spans="1:7" ht="29.1" customHeight="1" x14ac:dyDescent="0.2">
      <c r="A165" s="22"/>
      <c r="B165" s="165" t="s">
        <v>146</v>
      </c>
      <c r="C165" s="166"/>
      <c r="D165" s="2" t="s">
        <v>135</v>
      </c>
      <c r="E165" s="22"/>
      <c r="F165" s="22"/>
      <c r="G165" s="22"/>
    </row>
    <row r="166" spans="1:7" ht="29.1" customHeight="1" x14ac:dyDescent="0.2">
      <c r="A166" s="22"/>
      <c r="B166" s="165" t="s">
        <v>147</v>
      </c>
      <c r="C166" s="166"/>
      <c r="D166" s="2" t="s">
        <v>135</v>
      </c>
      <c r="E166" s="22"/>
      <c r="F166" s="22"/>
      <c r="G166" s="22"/>
    </row>
    <row r="167" spans="1:7" ht="17.100000000000001" customHeight="1" x14ac:dyDescent="0.2">
      <c r="A167" s="22"/>
      <c r="B167" s="165" t="s">
        <v>148</v>
      </c>
      <c r="C167" s="166"/>
      <c r="D167" s="27">
        <v>0.51316430149779357</v>
      </c>
      <c r="E167" s="22"/>
      <c r="F167" s="19"/>
      <c r="G167" s="25"/>
    </row>
    <row r="168" spans="1:7" ht="17.100000000000001" customHeight="1" x14ac:dyDescent="0.2">
      <c r="A168" s="22"/>
      <c r="B168" s="165" t="s">
        <v>149</v>
      </c>
      <c r="C168" s="166"/>
      <c r="D168" s="2" t="s">
        <v>135</v>
      </c>
      <c r="E168" s="22"/>
      <c r="F168" s="22"/>
      <c r="G168" s="22"/>
    </row>
  </sheetData>
  <mergeCells count="15">
    <mergeCell ref="B150:C150"/>
    <mergeCell ref="B147:F147"/>
    <mergeCell ref="B148:F148"/>
    <mergeCell ref="A1:H1"/>
    <mergeCell ref="A2:H2"/>
    <mergeCell ref="A3:H3"/>
    <mergeCell ref="B167:C167"/>
    <mergeCell ref="B168:C168"/>
    <mergeCell ref="B151:C151"/>
    <mergeCell ref="B152:C152"/>
    <mergeCell ref="B153:C153"/>
    <mergeCell ref="B161:C161"/>
    <mergeCell ref="B165:C165"/>
    <mergeCell ref="B166:C166"/>
    <mergeCell ref="B163:F16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5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1.5703125" bestFit="1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300</v>
      </c>
      <c r="B2" s="173"/>
      <c r="C2" s="173"/>
      <c r="D2" s="173"/>
      <c r="E2" s="173"/>
      <c r="F2" s="173"/>
      <c r="G2" s="173"/>
      <c r="H2" s="174"/>
    </row>
    <row r="3" spans="1:8" ht="15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301</v>
      </c>
      <c r="C7" s="4" t="s">
        <v>302</v>
      </c>
      <c r="D7" s="4" t="s">
        <v>166</v>
      </c>
      <c r="E7" s="5">
        <v>687327</v>
      </c>
      <c r="F7" s="6">
        <v>24931.068607500001</v>
      </c>
      <c r="G7" s="7">
        <v>3.5996387999999997E-2</v>
      </c>
      <c r="H7" s="67"/>
    </row>
    <row r="8" spans="1:8" x14ac:dyDescent="0.2">
      <c r="A8" s="3">
        <v>2</v>
      </c>
      <c r="B8" s="4" t="s">
        <v>303</v>
      </c>
      <c r="C8" s="4" t="s">
        <v>304</v>
      </c>
      <c r="D8" s="4" t="s">
        <v>179</v>
      </c>
      <c r="E8" s="5">
        <v>457057</v>
      </c>
      <c r="F8" s="6">
        <v>22713.676143500001</v>
      </c>
      <c r="G8" s="7">
        <v>3.2794835000000001E-2</v>
      </c>
      <c r="H8" s="67"/>
    </row>
    <row r="9" spans="1:8" x14ac:dyDescent="0.2">
      <c r="A9" s="3">
        <v>3</v>
      </c>
      <c r="B9" s="4" t="s">
        <v>305</v>
      </c>
      <c r="C9" s="4" t="s">
        <v>306</v>
      </c>
      <c r="D9" s="4" t="s">
        <v>1002</v>
      </c>
      <c r="E9" s="5">
        <v>2027701</v>
      </c>
      <c r="F9" s="6">
        <v>22064.4284315</v>
      </c>
      <c r="G9" s="7">
        <v>3.1857428E-2</v>
      </c>
      <c r="H9" s="67"/>
    </row>
    <row r="10" spans="1:8" x14ac:dyDescent="0.2">
      <c r="A10" s="3">
        <v>4</v>
      </c>
      <c r="B10" s="4" t="s">
        <v>70</v>
      </c>
      <c r="C10" s="4" t="s">
        <v>71</v>
      </c>
      <c r="D10" s="4" t="s">
        <v>27</v>
      </c>
      <c r="E10" s="5">
        <v>2005149</v>
      </c>
      <c r="F10" s="6">
        <v>20034.446233499999</v>
      </c>
      <c r="G10" s="7">
        <v>2.8926464999999998E-2</v>
      </c>
      <c r="H10" s="67"/>
    </row>
    <row r="11" spans="1:8" x14ac:dyDescent="0.2">
      <c r="A11" s="3">
        <v>5</v>
      </c>
      <c r="B11" s="4" t="s">
        <v>25</v>
      </c>
      <c r="C11" s="4" t="s">
        <v>26</v>
      </c>
      <c r="D11" s="4" t="s">
        <v>27</v>
      </c>
      <c r="E11" s="5">
        <v>1509528</v>
      </c>
      <c r="F11" s="6">
        <v>19487.251715999999</v>
      </c>
      <c r="G11" s="7">
        <v>2.8136405999999999E-2</v>
      </c>
      <c r="H11" s="67"/>
    </row>
    <row r="12" spans="1:8" x14ac:dyDescent="0.2">
      <c r="A12" s="3">
        <v>6</v>
      </c>
      <c r="B12" s="4" t="s">
        <v>151</v>
      </c>
      <c r="C12" s="4" t="s">
        <v>152</v>
      </c>
      <c r="D12" s="4" t="s">
        <v>153</v>
      </c>
      <c r="E12" s="5">
        <v>475000</v>
      </c>
      <c r="F12" s="6">
        <v>19131.099999999999</v>
      </c>
      <c r="G12" s="7">
        <v>2.7622180999999999E-2</v>
      </c>
      <c r="H12" s="67"/>
    </row>
    <row r="13" spans="1:8" ht="25.5" x14ac:dyDescent="0.2">
      <c r="A13" s="3">
        <v>7</v>
      </c>
      <c r="B13" s="4" t="s">
        <v>307</v>
      </c>
      <c r="C13" s="4" t="s">
        <v>308</v>
      </c>
      <c r="D13" s="4" t="s">
        <v>81</v>
      </c>
      <c r="E13" s="5">
        <v>3220000</v>
      </c>
      <c r="F13" s="6">
        <v>17840.41</v>
      </c>
      <c r="G13" s="7">
        <v>2.5758636000000001E-2</v>
      </c>
      <c r="H13" s="67"/>
    </row>
    <row r="14" spans="1:8" ht="25.5" x14ac:dyDescent="0.2">
      <c r="A14" s="3">
        <v>8</v>
      </c>
      <c r="B14" s="4" t="s">
        <v>20</v>
      </c>
      <c r="C14" s="4" t="s">
        <v>21</v>
      </c>
      <c r="D14" s="4" t="s">
        <v>992</v>
      </c>
      <c r="E14" s="5">
        <v>1752194</v>
      </c>
      <c r="F14" s="6">
        <v>17676.133072000001</v>
      </c>
      <c r="G14" s="7">
        <v>2.5521446999999999E-2</v>
      </c>
      <c r="H14" s="67"/>
    </row>
    <row r="15" spans="1:8" x14ac:dyDescent="0.2">
      <c r="A15" s="3">
        <v>9</v>
      </c>
      <c r="B15" s="4" t="s">
        <v>91</v>
      </c>
      <c r="C15" s="4" t="s">
        <v>92</v>
      </c>
      <c r="D15" s="4" t="s">
        <v>27</v>
      </c>
      <c r="E15" s="5">
        <v>237000</v>
      </c>
      <c r="F15" s="6">
        <v>17183.921999999999</v>
      </c>
      <c r="G15" s="7">
        <v>2.4810774000000001E-2</v>
      </c>
      <c r="H15" s="67"/>
    </row>
    <row r="16" spans="1:8" x14ac:dyDescent="0.2">
      <c r="A16" s="3">
        <v>10</v>
      </c>
      <c r="B16" s="4" t="s">
        <v>309</v>
      </c>
      <c r="C16" s="4" t="s">
        <v>310</v>
      </c>
      <c r="D16" s="4" t="s">
        <v>1001</v>
      </c>
      <c r="E16" s="5">
        <v>429478</v>
      </c>
      <c r="F16" s="6">
        <v>17157.646100000002</v>
      </c>
      <c r="G16" s="7">
        <v>2.4772835999999999E-2</v>
      </c>
      <c r="H16" s="67"/>
    </row>
    <row r="17" spans="1:8" x14ac:dyDescent="0.2">
      <c r="A17" s="3">
        <v>11</v>
      </c>
      <c r="B17" s="4" t="s">
        <v>311</v>
      </c>
      <c r="C17" s="4" t="s">
        <v>312</v>
      </c>
      <c r="D17" s="4" t="s">
        <v>153</v>
      </c>
      <c r="E17" s="5">
        <v>162707</v>
      </c>
      <c r="F17" s="6">
        <v>16498.083032499999</v>
      </c>
      <c r="G17" s="7">
        <v>2.3820535E-2</v>
      </c>
      <c r="H17" s="67"/>
    </row>
    <row r="18" spans="1:8" x14ac:dyDescent="0.2">
      <c r="A18" s="3">
        <v>12</v>
      </c>
      <c r="B18" s="4" t="s">
        <v>313</v>
      </c>
      <c r="C18" s="4" t="s">
        <v>314</v>
      </c>
      <c r="D18" s="4" t="s">
        <v>24</v>
      </c>
      <c r="E18" s="5">
        <v>1386152</v>
      </c>
      <c r="F18" s="6">
        <v>15673.91374</v>
      </c>
      <c r="G18" s="7">
        <v>2.2630569E-2</v>
      </c>
      <c r="H18" s="67"/>
    </row>
    <row r="19" spans="1:8" x14ac:dyDescent="0.2">
      <c r="A19" s="3">
        <v>13</v>
      </c>
      <c r="B19" s="4" t="s">
        <v>315</v>
      </c>
      <c r="C19" s="4" t="s">
        <v>316</v>
      </c>
      <c r="D19" s="4" t="s">
        <v>261</v>
      </c>
      <c r="E19" s="5">
        <v>452166</v>
      </c>
      <c r="F19" s="6">
        <v>15346.51404</v>
      </c>
      <c r="G19" s="7">
        <v>2.2157857999999999E-2</v>
      </c>
      <c r="H19" s="67"/>
    </row>
    <row r="20" spans="1:8" x14ac:dyDescent="0.2">
      <c r="A20" s="3">
        <v>14</v>
      </c>
      <c r="B20" s="4" t="s">
        <v>317</v>
      </c>
      <c r="C20" s="4" t="s">
        <v>318</v>
      </c>
      <c r="D20" s="4" t="s">
        <v>187</v>
      </c>
      <c r="E20" s="5">
        <v>587800</v>
      </c>
      <c r="F20" s="6">
        <v>15137.6134</v>
      </c>
      <c r="G20" s="7">
        <v>2.1856239E-2</v>
      </c>
      <c r="H20" s="67"/>
    </row>
    <row r="21" spans="1:8" ht="25.5" x14ac:dyDescent="0.2">
      <c r="A21" s="3">
        <v>15</v>
      </c>
      <c r="B21" s="4" t="s">
        <v>319</v>
      </c>
      <c r="C21" s="4" t="s">
        <v>320</v>
      </c>
      <c r="D21" s="4" t="s">
        <v>52</v>
      </c>
      <c r="E21" s="5">
        <v>2403433</v>
      </c>
      <c r="F21" s="6">
        <v>14353.301876</v>
      </c>
      <c r="G21" s="7">
        <v>2.0723821999999999E-2</v>
      </c>
      <c r="H21" s="67"/>
    </row>
    <row r="22" spans="1:8" ht="25.5" x14ac:dyDescent="0.2">
      <c r="A22" s="3">
        <v>16</v>
      </c>
      <c r="B22" s="4" t="s">
        <v>321</v>
      </c>
      <c r="C22" s="4" t="s">
        <v>322</v>
      </c>
      <c r="D22" s="4" t="s">
        <v>52</v>
      </c>
      <c r="E22" s="5">
        <v>1685000</v>
      </c>
      <c r="F22" s="6">
        <v>14271.1075</v>
      </c>
      <c r="G22" s="7">
        <v>2.0605146000000001E-2</v>
      </c>
      <c r="H22" s="67"/>
    </row>
    <row r="23" spans="1:8" x14ac:dyDescent="0.2">
      <c r="A23" s="3">
        <v>17</v>
      </c>
      <c r="B23" s="4" t="s">
        <v>323</v>
      </c>
      <c r="C23" s="4" t="s">
        <v>324</v>
      </c>
      <c r="D23" s="4" t="s">
        <v>55</v>
      </c>
      <c r="E23" s="5">
        <v>1386681</v>
      </c>
      <c r="F23" s="6">
        <v>13809.2627385</v>
      </c>
      <c r="G23" s="7">
        <v>1.9938318E-2</v>
      </c>
      <c r="H23" s="67"/>
    </row>
    <row r="24" spans="1:8" x14ac:dyDescent="0.2">
      <c r="A24" s="3">
        <v>18</v>
      </c>
      <c r="B24" s="4" t="s">
        <v>325</v>
      </c>
      <c r="C24" s="4" t="s">
        <v>326</v>
      </c>
      <c r="D24" s="4" t="s">
        <v>187</v>
      </c>
      <c r="E24" s="5">
        <v>1454822</v>
      </c>
      <c r="F24" s="6">
        <v>13752.432365999999</v>
      </c>
      <c r="G24" s="7">
        <v>1.9856263999999998E-2</v>
      </c>
      <c r="H24" s="67"/>
    </row>
    <row r="25" spans="1:8" ht="25.5" x14ac:dyDescent="0.2">
      <c r="A25" s="3">
        <v>19</v>
      </c>
      <c r="B25" s="4" t="s">
        <v>327</v>
      </c>
      <c r="C25" s="4" t="s">
        <v>328</v>
      </c>
      <c r="D25" s="4" t="s">
        <v>55</v>
      </c>
      <c r="E25" s="5">
        <v>2769006</v>
      </c>
      <c r="F25" s="6">
        <v>13109.858907</v>
      </c>
      <c r="G25" s="7">
        <v>1.8928493000000001E-2</v>
      </c>
      <c r="H25" s="67"/>
    </row>
    <row r="26" spans="1:8" x14ac:dyDescent="0.2">
      <c r="A26" s="3">
        <v>20</v>
      </c>
      <c r="B26" s="4" t="s">
        <v>329</v>
      </c>
      <c r="C26" s="4" t="s">
        <v>330</v>
      </c>
      <c r="D26" s="4" t="s">
        <v>331</v>
      </c>
      <c r="E26" s="5">
        <v>1300000</v>
      </c>
      <c r="F26" s="6">
        <v>13089.7</v>
      </c>
      <c r="G26" s="7">
        <v>1.8899387E-2</v>
      </c>
      <c r="H26" s="67"/>
    </row>
    <row r="27" spans="1:8" x14ac:dyDescent="0.2">
      <c r="A27" s="3">
        <v>21</v>
      </c>
      <c r="B27" s="4" t="s">
        <v>332</v>
      </c>
      <c r="C27" s="4" t="s">
        <v>333</v>
      </c>
      <c r="D27" s="4" t="s">
        <v>212</v>
      </c>
      <c r="E27" s="5">
        <v>41292</v>
      </c>
      <c r="F27" s="6">
        <v>13006.608372000001</v>
      </c>
      <c r="G27" s="7">
        <v>1.8779416E-2</v>
      </c>
      <c r="H27" s="67"/>
    </row>
    <row r="28" spans="1:8" x14ac:dyDescent="0.2">
      <c r="A28" s="3">
        <v>22</v>
      </c>
      <c r="B28" s="4" t="s">
        <v>334</v>
      </c>
      <c r="C28" s="4" t="s">
        <v>335</v>
      </c>
      <c r="D28" s="4" t="s">
        <v>187</v>
      </c>
      <c r="E28" s="5">
        <v>329843</v>
      </c>
      <c r="F28" s="6">
        <v>12843.756577</v>
      </c>
      <c r="G28" s="7">
        <v>1.8544285000000001E-2</v>
      </c>
      <c r="H28" s="67"/>
    </row>
    <row r="29" spans="1:8" x14ac:dyDescent="0.2">
      <c r="A29" s="3">
        <v>23</v>
      </c>
      <c r="B29" s="4" t="s">
        <v>336</v>
      </c>
      <c r="C29" s="4" t="s">
        <v>337</v>
      </c>
      <c r="D29" s="4" t="s">
        <v>1000</v>
      </c>
      <c r="E29" s="5">
        <v>6642899</v>
      </c>
      <c r="F29" s="6">
        <v>12398.970983499999</v>
      </c>
      <c r="G29" s="7">
        <v>1.7902087000000001E-2</v>
      </c>
      <c r="H29" s="67"/>
    </row>
    <row r="30" spans="1:8" x14ac:dyDescent="0.2">
      <c r="A30" s="3">
        <v>24</v>
      </c>
      <c r="B30" s="4" t="s">
        <v>338</v>
      </c>
      <c r="C30" s="4" t="s">
        <v>339</v>
      </c>
      <c r="D30" s="4" t="s">
        <v>24</v>
      </c>
      <c r="E30" s="5">
        <v>14804336</v>
      </c>
      <c r="F30" s="6">
        <v>12028.522999999999</v>
      </c>
      <c r="G30" s="7">
        <v>1.7367220999999999E-2</v>
      </c>
      <c r="H30" s="67"/>
    </row>
    <row r="31" spans="1:8" x14ac:dyDescent="0.2">
      <c r="A31" s="3">
        <v>25</v>
      </c>
      <c r="B31" s="4" t="s">
        <v>340</v>
      </c>
      <c r="C31" s="4" t="s">
        <v>341</v>
      </c>
      <c r="D31" s="4" t="s">
        <v>81</v>
      </c>
      <c r="E31" s="5">
        <v>887988</v>
      </c>
      <c r="F31" s="6">
        <v>12011.813676</v>
      </c>
      <c r="G31" s="7">
        <v>1.7343094999999999E-2</v>
      </c>
      <c r="H31" s="67"/>
    </row>
    <row r="32" spans="1:8" x14ac:dyDescent="0.2">
      <c r="A32" s="3">
        <v>26</v>
      </c>
      <c r="B32" s="4" t="s">
        <v>208</v>
      </c>
      <c r="C32" s="4" t="s">
        <v>209</v>
      </c>
      <c r="D32" s="4" t="s">
        <v>1005</v>
      </c>
      <c r="E32" s="5">
        <v>1410000</v>
      </c>
      <c r="F32" s="6">
        <v>11940.584999999999</v>
      </c>
      <c r="G32" s="7">
        <v>1.7240253000000001E-2</v>
      </c>
      <c r="H32" s="67"/>
    </row>
    <row r="33" spans="1:8" x14ac:dyDescent="0.2">
      <c r="A33" s="3">
        <v>27</v>
      </c>
      <c r="B33" s="4" t="s">
        <v>342</v>
      </c>
      <c r="C33" s="4" t="s">
        <v>343</v>
      </c>
      <c r="D33" s="4" t="s">
        <v>171</v>
      </c>
      <c r="E33" s="5">
        <v>325000</v>
      </c>
      <c r="F33" s="6">
        <v>11870.95</v>
      </c>
      <c r="G33" s="7">
        <v>1.7139710999999998E-2</v>
      </c>
      <c r="H33" s="67"/>
    </row>
    <row r="34" spans="1:8" x14ac:dyDescent="0.2">
      <c r="A34" s="3">
        <v>28</v>
      </c>
      <c r="B34" s="4" t="s">
        <v>97</v>
      </c>
      <c r="C34" s="4" t="s">
        <v>98</v>
      </c>
      <c r="D34" s="4" t="s">
        <v>60</v>
      </c>
      <c r="E34" s="5">
        <v>2155766</v>
      </c>
      <c r="F34" s="6">
        <v>11767.248711</v>
      </c>
      <c r="G34" s="7">
        <v>1.6989984E-2</v>
      </c>
      <c r="H34" s="67"/>
    </row>
    <row r="35" spans="1:8" x14ac:dyDescent="0.2">
      <c r="A35" s="3">
        <v>29</v>
      </c>
      <c r="B35" s="4" t="s">
        <v>344</v>
      </c>
      <c r="C35" s="4" t="s">
        <v>345</v>
      </c>
      <c r="D35" s="4" t="s">
        <v>49</v>
      </c>
      <c r="E35" s="5">
        <v>3005217</v>
      </c>
      <c r="F35" s="6">
        <v>11328.1654815</v>
      </c>
      <c r="G35" s="7">
        <v>1.6356018999999999E-2</v>
      </c>
      <c r="H35" s="67"/>
    </row>
    <row r="36" spans="1:8" x14ac:dyDescent="0.2">
      <c r="A36" s="3">
        <v>30</v>
      </c>
      <c r="B36" s="4" t="s">
        <v>346</v>
      </c>
      <c r="C36" s="4" t="s">
        <v>347</v>
      </c>
      <c r="D36" s="4" t="s">
        <v>171</v>
      </c>
      <c r="E36" s="5">
        <v>13981</v>
      </c>
      <c r="F36" s="6">
        <v>11148.833877499999</v>
      </c>
      <c r="G36" s="7">
        <v>1.6097093999999999E-2</v>
      </c>
      <c r="H36" s="67"/>
    </row>
    <row r="37" spans="1:8" x14ac:dyDescent="0.2">
      <c r="A37" s="3">
        <v>31</v>
      </c>
      <c r="B37" s="4" t="s">
        <v>348</v>
      </c>
      <c r="C37" s="4" t="s">
        <v>349</v>
      </c>
      <c r="D37" s="4" t="s">
        <v>1003</v>
      </c>
      <c r="E37" s="5">
        <v>1536990</v>
      </c>
      <c r="F37" s="6">
        <v>11090.91984</v>
      </c>
      <c r="G37" s="7">
        <v>1.6013474999999999E-2</v>
      </c>
      <c r="H37" s="67"/>
    </row>
    <row r="38" spans="1:8" x14ac:dyDescent="0.2">
      <c r="A38" s="3">
        <v>32</v>
      </c>
      <c r="B38" s="4" t="s">
        <v>350</v>
      </c>
      <c r="C38" s="4" t="s">
        <v>351</v>
      </c>
      <c r="D38" s="4" t="s">
        <v>46</v>
      </c>
      <c r="E38" s="5">
        <v>1629770</v>
      </c>
      <c r="F38" s="6">
        <v>11075.102035</v>
      </c>
      <c r="G38" s="7">
        <v>1.5990636999999999E-2</v>
      </c>
      <c r="H38" s="67"/>
    </row>
    <row r="39" spans="1:8" x14ac:dyDescent="0.2">
      <c r="A39" s="3">
        <v>33</v>
      </c>
      <c r="B39" s="4" t="s">
        <v>352</v>
      </c>
      <c r="C39" s="4" t="s">
        <v>353</v>
      </c>
      <c r="D39" s="4" t="s">
        <v>27</v>
      </c>
      <c r="E39" s="5">
        <v>1410000</v>
      </c>
      <c r="F39" s="6">
        <v>10817.52</v>
      </c>
      <c r="G39" s="7">
        <v>1.5618731E-2</v>
      </c>
      <c r="H39" s="67"/>
    </row>
    <row r="40" spans="1:8" x14ac:dyDescent="0.2">
      <c r="A40" s="3">
        <v>34</v>
      </c>
      <c r="B40" s="4" t="s">
        <v>354</v>
      </c>
      <c r="C40" s="4" t="s">
        <v>355</v>
      </c>
      <c r="D40" s="4" t="s">
        <v>24</v>
      </c>
      <c r="E40" s="5">
        <v>1353477</v>
      </c>
      <c r="F40" s="6">
        <v>10645.096605000001</v>
      </c>
      <c r="G40" s="7">
        <v>1.5369779E-2</v>
      </c>
      <c r="H40" s="67"/>
    </row>
    <row r="41" spans="1:8" x14ac:dyDescent="0.2">
      <c r="A41" s="3">
        <v>35</v>
      </c>
      <c r="B41" s="4" t="s">
        <v>356</v>
      </c>
      <c r="C41" s="4" t="s">
        <v>357</v>
      </c>
      <c r="D41" s="4" t="s">
        <v>24</v>
      </c>
      <c r="E41" s="5">
        <v>13175360</v>
      </c>
      <c r="F41" s="6">
        <v>10191.140960000001</v>
      </c>
      <c r="G41" s="7">
        <v>1.4714342E-2</v>
      </c>
      <c r="H41" s="67"/>
    </row>
    <row r="42" spans="1:8" x14ac:dyDescent="0.2">
      <c r="A42" s="3">
        <v>36</v>
      </c>
      <c r="B42" s="4" t="s">
        <v>82</v>
      </c>
      <c r="C42" s="4" t="s">
        <v>83</v>
      </c>
      <c r="D42" s="4" t="s">
        <v>84</v>
      </c>
      <c r="E42" s="5">
        <v>7942374</v>
      </c>
      <c r="F42" s="6">
        <v>9749.2640850000007</v>
      </c>
      <c r="G42" s="7">
        <v>1.4076343999999999E-2</v>
      </c>
      <c r="H42" s="67"/>
    </row>
    <row r="43" spans="1:8" ht="25.5" x14ac:dyDescent="0.2">
      <c r="A43" s="3">
        <v>37</v>
      </c>
      <c r="B43" s="4" t="s">
        <v>34</v>
      </c>
      <c r="C43" s="4" t="s">
        <v>35</v>
      </c>
      <c r="D43" s="4" t="s">
        <v>36</v>
      </c>
      <c r="E43" s="5">
        <v>24386</v>
      </c>
      <c r="F43" s="6">
        <v>9658.0509139999995</v>
      </c>
      <c r="G43" s="7">
        <v>1.3944646999999999E-2</v>
      </c>
      <c r="H43" s="67"/>
    </row>
    <row r="44" spans="1:8" x14ac:dyDescent="0.2">
      <c r="A44" s="3">
        <v>38</v>
      </c>
      <c r="B44" s="4" t="s">
        <v>358</v>
      </c>
      <c r="C44" s="4" t="s">
        <v>359</v>
      </c>
      <c r="D44" s="4" t="s">
        <v>24</v>
      </c>
      <c r="E44" s="5">
        <v>6263179</v>
      </c>
      <c r="F44" s="6">
        <v>9504.3741324999992</v>
      </c>
      <c r="G44" s="7">
        <v>1.3722763000000001E-2</v>
      </c>
      <c r="H44" s="67"/>
    </row>
    <row r="45" spans="1:8" x14ac:dyDescent="0.2">
      <c r="A45" s="3">
        <v>39</v>
      </c>
      <c r="B45" s="4" t="s">
        <v>360</v>
      </c>
      <c r="C45" s="4" t="s">
        <v>361</v>
      </c>
      <c r="D45" s="4" t="s">
        <v>153</v>
      </c>
      <c r="E45" s="5">
        <v>1006398</v>
      </c>
      <c r="F45" s="6">
        <v>9441.0196379999998</v>
      </c>
      <c r="G45" s="7">
        <v>1.3631289E-2</v>
      </c>
      <c r="H45" s="67"/>
    </row>
    <row r="46" spans="1:8" x14ac:dyDescent="0.2">
      <c r="A46" s="3">
        <v>40</v>
      </c>
      <c r="B46" s="4" t="s">
        <v>362</v>
      </c>
      <c r="C46" s="4" t="s">
        <v>363</v>
      </c>
      <c r="D46" s="4" t="s">
        <v>166</v>
      </c>
      <c r="E46" s="5">
        <v>236000</v>
      </c>
      <c r="F46" s="6">
        <v>9250.1380000000008</v>
      </c>
      <c r="G46" s="7">
        <v>1.3355687E-2</v>
      </c>
      <c r="H46" s="67"/>
    </row>
    <row r="47" spans="1:8" x14ac:dyDescent="0.2">
      <c r="A47" s="3">
        <v>41</v>
      </c>
      <c r="B47" s="4" t="s">
        <v>364</v>
      </c>
      <c r="C47" s="4" t="s">
        <v>365</v>
      </c>
      <c r="D47" s="4" t="s">
        <v>166</v>
      </c>
      <c r="E47" s="5">
        <v>745534</v>
      </c>
      <c r="F47" s="6">
        <v>8814.4484819999998</v>
      </c>
      <c r="G47" s="7">
        <v>1.2726622999999999E-2</v>
      </c>
      <c r="H47" s="67"/>
    </row>
    <row r="48" spans="1:8" x14ac:dyDescent="0.2">
      <c r="A48" s="3">
        <v>42</v>
      </c>
      <c r="B48" s="4" t="s">
        <v>366</v>
      </c>
      <c r="C48" s="4" t="s">
        <v>367</v>
      </c>
      <c r="D48" s="4" t="s">
        <v>55</v>
      </c>
      <c r="E48" s="5">
        <v>197110</v>
      </c>
      <c r="F48" s="6">
        <v>8200.5644400000001</v>
      </c>
      <c r="G48" s="7">
        <v>1.1840275000000001E-2</v>
      </c>
      <c r="H48" s="67"/>
    </row>
    <row r="49" spans="1:8" x14ac:dyDescent="0.2">
      <c r="A49" s="3">
        <v>43</v>
      </c>
      <c r="B49" s="4" t="s">
        <v>368</v>
      </c>
      <c r="C49" s="4" t="s">
        <v>369</v>
      </c>
      <c r="D49" s="4" t="s">
        <v>242</v>
      </c>
      <c r="E49" s="5">
        <v>1000000</v>
      </c>
      <c r="F49" s="6">
        <v>7929</v>
      </c>
      <c r="G49" s="7">
        <v>1.1448180000000001E-2</v>
      </c>
      <c r="H49" s="67"/>
    </row>
    <row r="50" spans="1:8" ht="25.5" x14ac:dyDescent="0.2">
      <c r="A50" s="3">
        <v>44</v>
      </c>
      <c r="B50" s="4" t="s">
        <v>370</v>
      </c>
      <c r="C50" s="4" t="s">
        <v>371</v>
      </c>
      <c r="D50" s="4" t="s">
        <v>46</v>
      </c>
      <c r="E50" s="5">
        <v>278020</v>
      </c>
      <c r="F50" s="6">
        <v>7651.1103999999996</v>
      </c>
      <c r="G50" s="7">
        <v>1.1046953E-2</v>
      </c>
      <c r="H50" s="67"/>
    </row>
    <row r="51" spans="1:8" x14ac:dyDescent="0.2">
      <c r="A51" s="3">
        <v>45</v>
      </c>
      <c r="B51" s="4" t="s">
        <v>372</v>
      </c>
      <c r="C51" s="4" t="s">
        <v>373</v>
      </c>
      <c r="D51" s="4" t="s">
        <v>55</v>
      </c>
      <c r="E51" s="5">
        <v>10436498</v>
      </c>
      <c r="F51" s="6">
        <v>7002.8901580000002</v>
      </c>
      <c r="G51" s="7">
        <v>1.0111029000000001E-2</v>
      </c>
      <c r="H51" s="67"/>
    </row>
    <row r="52" spans="1:8" x14ac:dyDescent="0.2">
      <c r="A52" s="3">
        <v>46</v>
      </c>
      <c r="B52" s="4" t="s">
        <v>374</v>
      </c>
      <c r="C52" s="4" t="s">
        <v>375</v>
      </c>
      <c r="D52" s="4" t="s">
        <v>331</v>
      </c>
      <c r="E52" s="5">
        <v>5066827</v>
      </c>
      <c r="F52" s="6">
        <v>6817.4157285000001</v>
      </c>
      <c r="G52" s="7">
        <v>9.8432339999999993E-3</v>
      </c>
      <c r="H52" s="67"/>
    </row>
    <row r="53" spans="1:8" x14ac:dyDescent="0.2">
      <c r="A53" s="3">
        <v>47</v>
      </c>
      <c r="B53" s="4" t="s">
        <v>376</v>
      </c>
      <c r="C53" s="4" t="s">
        <v>377</v>
      </c>
      <c r="D53" s="4" t="s">
        <v>55</v>
      </c>
      <c r="E53" s="5">
        <v>303770</v>
      </c>
      <c r="F53" s="6">
        <v>6470.9085400000004</v>
      </c>
      <c r="G53" s="7">
        <v>9.3429340000000007E-3</v>
      </c>
      <c r="H53" s="67"/>
    </row>
    <row r="54" spans="1:8" x14ac:dyDescent="0.2">
      <c r="A54" s="3">
        <v>48</v>
      </c>
      <c r="B54" s="4" t="s">
        <v>378</v>
      </c>
      <c r="C54" s="4" t="s">
        <v>379</v>
      </c>
      <c r="D54" s="4" t="s">
        <v>81</v>
      </c>
      <c r="E54" s="5">
        <v>1534714</v>
      </c>
      <c r="F54" s="6">
        <v>6173.3870649999999</v>
      </c>
      <c r="G54" s="7">
        <v>8.9133619999999993E-3</v>
      </c>
      <c r="H54" s="67"/>
    </row>
    <row r="55" spans="1:8" x14ac:dyDescent="0.2">
      <c r="A55" s="3">
        <v>49</v>
      </c>
      <c r="B55" s="4" t="s">
        <v>380</v>
      </c>
      <c r="C55" s="4" t="s">
        <v>381</v>
      </c>
      <c r="D55" s="4" t="s">
        <v>166</v>
      </c>
      <c r="E55" s="5">
        <v>210807</v>
      </c>
      <c r="F55" s="6">
        <v>6109.3976670000002</v>
      </c>
      <c r="G55" s="7">
        <v>8.8209719999999998E-3</v>
      </c>
      <c r="H55" s="67"/>
    </row>
    <row r="56" spans="1:8" x14ac:dyDescent="0.2">
      <c r="A56" s="3">
        <v>50</v>
      </c>
      <c r="B56" s="4" t="s">
        <v>382</v>
      </c>
      <c r="C56" s="4" t="s">
        <v>383</v>
      </c>
      <c r="D56" s="4" t="s">
        <v>1001</v>
      </c>
      <c r="E56" s="5">
        <v>1917957</v>
      </c>
      <c r="F56" s="6">
        <v>6079.9236899999996</v>
      </c>
      <c r="G56" s="7">
        <v>8.7784160000000007E-3</v>
      </c>
      <c r="H56" s="67"/>
    </row>
    <row r="57" spans="1:8" ht="25.5" x14ac:dyDescent="0.2">
      <c r="A57" s="3">
        <v>51</v>
      </c>
      <c r="B57" s="4" t="s">
        <v>384</v>
      </c>
      <c r="C57" s="4" t="s">
        <v>385</v>
      </c>
      <c r="D57" s="4" t="s">
        <v>52</v>
      </c>
      <c r="E57" s="5">
        <v>690170</v>
      </c>
      <c r="F57" s="6">
        <v>5969.6254150000004</v>
      </c>
      <c r="G57" s="7">
        <v>8.6191630000000009E-3</v>
      </c>
      <c r="H57" s="67"/>
    </row>
    <row r="58" spans="1:8" x14ac:dyDescent="0.2">
      <c r="A58" s="3">
        <v>52</v>
      </c>
      <c r="B58" s="4" t="s">
        <v>99</v>
      </c>
      <c r="C58" s="4" t="s">
        <v>100</v>
      </c>
      <c r="D58" s="4" t="s">
        <v>60</v>
      </c>
      <c r="E58" s="5">
        <v>1693103</v>
      </c>
      <c r="F58" s="6">
        <v>5936.8656695</v>
      </c>
      <c r="G58" s="7">
        <v>8.5718640000000002E-3</v>
      </c>
      <c r="H58" s="67"/>
    </row>
    <row r="59" spans="1:8" x14ac:dyDescent="0.2">
      <c r="A59" s="3">
        <v>53</v>
      </c>
      <c r="B59" s="4" t="s">
        <v>386</v>
      </c>
      <c r="C59" s="4" t="s">
        <v>387</v>
      </c>
      <c r="D59" s="4" t="s">
        <v>81</v>
      </c>
      <c r="E59" s="5">
        <v>236361</v>
      </c>
      <c r="F59" s="6">
        <v>5695.7091975000003</v>
      </c>
      <c r="G59" s="7">
        <v>8.2236730000000008E-3</v>
      </c>
      <c r="H59" s="67"/>
    </row>
    <row r="60" spans="1:8" x14ac:dyDescent="0.2">
      <c r="A60" s="3">
        <v>54</v>
      </c>
      <c r="B60" s="4" t="s">
        <v>388</v>
      </c>
      <c r="C60" s="4" t="s">
        <v>389</v>
      </c>
      <c r="D60" s="4" t="s">
        <v>1002</v>
      </c>
      <c r="E60" s="5">
        <v>33061</v>
      </c>
      <c r="F60" s="6">
        <v>5669.5482375000001</v>
      </c>
      <c r="G60" s="7">
        <v>8.1859010000000006E-3</v>
      </c>
      <c r="H60" s="67"/>
    </row>
    <row r="61" spans="1:8" ht="25.5" x14ac:dyDescent="0.2">
      <c r="A61" s="3">
        <v>55</v>
      </c>
      <c r="B61" s="4" t="s">
        <v>101</v>
      </c>
      <c r="C61" s="4" t="s">
        <v>994</v>
      </c>
      <c r="D61" s="4" t="s">
        <v>992</v>
      </c>
      <c r="E61" s="5">
        <v>250213</v>
      </c>
      <c r="F61" s="6">
        <v>5504.1855740000001</v>
      </c>
      <c r="G61" s="7">
        <v>7.9471439999999997E-3</v>
      </c>
      <c r="H61" s="67"/>
    </row>
    <row r="62" spans="1:8" x14ac:dyDescent="0.2">
      <c r="A62" s="3">
        <v>56</v>
      </c>
      <c r="B62" s="4" t="s">
        <v>390</v>
      </c>
      <c r="C62" s="4" t="s">
        <v>391</v>
      </c>
      <c r="D62" s="4" t="s">
        <v>69</v>
      </c>
      <c r="E62" s="5">
        <v>260221</v>
      </c>
      <c r="F62" s="6">
        <v>3874.6906899999999</v>
      </c>
      <c r="G62" s="7">
        <v>5.5944200000000001E-3</v>
      </c>
      <c r="H62" s="67"/>
    </row>
    <row r="63" spans="1:8" x14ac:dyDescent="0.2">
      <c r="A63" s="3">
        <v>57</v>
      </c>
      <c r="B63" s="4" t="s">
        <v>180</v>
      </c>
      <c r="C63" s="4" t="s">
        <v>181</v>
      </c>
      <c r="D63" s="4" t="s">
        <v>171</v>
      </c>
      <c r="E63" s="5">
        <v>278514</v>
      </c>
      <c r="F63" s="6">
        <v>3800.741301</v>
      </c>
      <c r="G63" s="7">
        <v>5.4876489999999998E-3</v>
      </c>
      <c r="H63" s="67"/>
    </row>
    <row r="64" spans="1:8" x14ac:dyDescent="0.2">
      <c r="A64" s="3">
        <v>58</v>
      </c>
      <c r="B64" s="4" t="s">
        <v>392</v>
      </c>
      <c r="C64" s="4" t="s">
        <v>393</v>
      </c>
      <c r="D64" s="4" t="s">
        <v>171</v>
      </c>
      <c r="E64" s="5">
        <v>513728</v>
      </c>
      <c r="F64" s="6">
        <v>3662.8806399999999</v>
      </c>
      <c r="G64" s="7">
        <v>5.2886010000000004E-3</v>
      </c>
      <c r="H64" s="67"/>
    </row>
    <row r="65" spans="1:8" x14ac:dyDescent="0.2">
      <c r="A65" s="3">
        <v>59</v>
      </c>
      <c r="B65" s="4" t="s">
        <v>206</v>
      </c>
      <c r="C65" s="4" t="s">
        <v>207</v>
      </c>
      <c r="D65" s="4" t="s">
        <v>187</v>
      </c>
      <c r="E65" s="5">
        <v>477848</v>
      </c>
      <c r="F65" s="6">
        <v>3185.3347680000002</v>
      </c>
      <c r="G65" s="7">
        <v>4.5991030000000002E-3</v>
      </c>
      <c r="H65" s="67"/>
    </row>
    <row r="66" spans="1:8" x14ac:dyDescent="0.2">
      <c r="A66" s="3">
        <v>60</v>
      </c>
      <c r="B66" s="4" t="s">
        <v>394</v>
      </c>
      <c r="C66" s="4" t="s">
        <v>395</v>
      </c>
      <c r="D66" s="4" t="s">
        <v>331</v>
      </c>
      <c r="E66" s="5">
        <v>1200000</v>
      </c>
      <c r="F66" s="6">
        <v>2497.1999999999998</v>
      </c>
      <c r="G66" s="7">
        <v>3.605549E-3</v>
      </c>
      <c r="H66" s="67"/>
    </row>
    <row r="67" spans="1:8" x14ac:dyDescent="0.2">
      <c r="A67" s="3">
        <v>61</v>
      </c>
      <c r="B67" s="4" t="s">
        <v>28</v>
      </c>
      <c r="C67" s="4" t="s">
        <v>29</v>
      </c>
      <c r="D67" s="4" t="s">
        <v>27</v>
      </c>
      <c r="E67" s="5">
        <v>6329</v>
      </c>
      <c r="F67" s="6">
        <v>130.85207500000001</v>
      </c>
      <c r="G67" s="7">
        <v>1.8892900000000001E-4</v>
      </c>
      <c r="H67" s="67"/>
    </row>
    <row r="68" spans="1:8" x14ac:dyDescent="0.2">
      <c r="A68" s="1"/>
      <c r="B68" s="1"/>
      <c r="C68" s="2" t="s">
        <v>105</v>
      </c>
      <c r="D68" s="1"/>
      <c r="E68" s="1" t="s">
        <v>106</v>
      </c>
      <c r="F68" s="9">
        <v>682206.63153000001</v>
      </c>
      <c r="G68" s="10">
        <v>0.98499486000000003</v>
      </c>
      <c r="H68" s="67"/>
    </row>
    <row r="69" spans="1:8" x14ac:dyDescent="0.2">
      <c r="A69" s="1"/>
      <c r="B69" s="1"/>
      <c r="C69" s="11"/>
      <c r="D69" s="1"/>
      <c r="E69" s="1"/>
      <c r="F69" s="12"/>
      <c r="G69" s="12"/>
      <c r="H69" s="67"/>
    </row>
    <row r="70" spans="1:8" x14ac:dyDescent="0.2">
      <c r="A70" s="1"/>
      <c r="B70" s="1"/>
      <c r="C70" s="2" t="s">
        <v>107</v>
      </c>
      <c r="D70" s="1"/>
      <c r="E70" s="1"/>
      <c r="F70" s="1"/>
      <c r="G70" s="1"/>
      <c r="H70" s="67"/>
    </row>
    <row r="71" spans="1:8" x14ac:dyDescent="0.2">
      <c r="A71" s="1"/>
      <c r="B71" s="1"/>
      <c r="C71" s="2" t="s">
        <v>105</v>
      </c>
      <c r="D71" s="1"/>
      <c r="E71" s="1" t="s">
        <v>106</v>
      </c>
      <c r="F71" s="13">
        <v>0</v>
      </c>
      <c r="G71" s="14">
        <v>0</v>
      </c>
      <c r="H71" s="67"/>
    </row>
    <row r="72" spans="1:8" x14ac:dyDescent="0.2">
      <c r="A72" s="1"/>
      <c r="B72" s="1"/>
      <c r="C72" s="11"/>
      <c r="D72" s="1"/>
      <c r="E72" s="1"/>
      <c r="F72" s="12"/>
      <c r="G72" s="12"/>
      <c r="H72" s="67"/>
    </row>
    <row r="73" spans="1:8" x14ac:dyDescent="0.2">
      <c r="A73" s="1"/>
      <c r="B73" s="1"/>
      <c r="C73" s="2" t="s">
        <v>108</v>
      </c>
      <c r="D73" s="1"/>
      <c r="E73" s="1"/>
      <c r="F73" s="1"/>
      <c r="G73" s="1"/>
      <c r="H73" s="67"/>
    </row>
    <row r="74" spans="1:8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">
        <v>0</v>
      </c>
      <c r="H74" s="67"/>
    </row>
    <row r="75" spans="1:8" x14ac:dyDescent="0.2">
      <c r="A75" s="1"/>
      <c r="B75" s="1"/>
      <c r="C75" s="11"/>
      <c r="D75" s="1"/>
      <c r="E75" s="1"/>
      <c r="F75" s="12"/>
      <c r="G75" s="12"/>
      <c r="H75" s="67"/>
    </row>
    <row r="76" spans="1:8" x14ac:dyDescent="0.2">
      <c r="A76" s="1"/>
      <c r="B76" s="1"/>
      <c r="C76" s="2" t="s">
        <v>109</v>
      </c>
      <c r="D76" s="1"/>
      <c r="E76" s="1"/>
      <c r="F76" s="1"/>
      <c r="G76" s="1"/>
      <c r="H76" s="67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7"/>
    </row>
    <row r="78" spans="1:8" x14ac:dyDescent="0.2">
      <c r="A78" s="1"/>
      <c r="B78" s="1"/>
      <c r="C78" s="11"/>
      <c r="D78" s="1"/>
      <c r="E78" s="1"/>
      <c r="F78" s="12"/>
      <c r="G78" s="12"/>
      <c r="H78" s="67"/>
    </row>
    <row r="79" spans="1:8" x14ac:dyDescent="0.2">
      <c r="A79" s="1"/>
      <c r="B79" s="1"/>
      <c r="C79" s="2" t="s">
        <v>110</v>
      </c>
      <c r="D79" s="1"/>
      <c r="E79" s="1"/>
      <c r="F79" s="12"/>
      <c r="G79" s="12"/>
      <c r="H79" s="67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7"/>
    </row>
    <row r="81" spans="1:8" x14ac:dyDescent="0.2">
      <c r="A81" s="1"/>
      <c r="B81" s="1"/>
      <c r="C81" s="11"/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111</v>
      </c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7"/>
    </row>
    <row r="84" spans="1:8" x14ac:dyDescent="0.2">
      <c r="A84" s="1"/>
      <c r="B84" s="1"/>
      <c r="C84" s="11"/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112</v>
      </c>
      <c r="D85" s="1"/>
      <c r="E85" s="1"/>
      <c r="F85" s="9">
        <v>682206.63153000001</v>
      </c>
      <c r="G85" s="10">
        <v>0.98499486000000003</v>
      </c>
      <c r="H85" s="67"/>
    </row>
    <row r="86" spans="1:8" x14ac:dyDescent="0.2">
      <c r="A86" s="1"/>
      <c r="B86" s="1"/>
      <c r="C86" s="11"/>
      <c r="D86" s="1"/>
      <c r="E86" s="1"/>
      <c r="F86" s="12"/>
      <c r="G86" s="12"/>
      <c r="H86" s="67"/>
    </row>
    <row r="87" spans="1:8" x14ac:dyDescent="0.2">
      <c r="A87" s="1"/>
      <c r="B87" s="1"/>
      <c r="C87" s="2" t="s">
        <v>113</v>
      </c>
      <c r="D87" s="1"/>
      <c r="E87" s="1"/>
      <c r="F87" s="12"/>
      <c r="G87" s="12"/>
      <c r="H87" s="67"/>
    </row>
    <row r="88" spans="1:8" ht="25.5" x14ac:dyDescent="0.2">
      <c r="A88" s="1"/>
      <c r="B88" s="1"/>
      <c r="C88" s="2" t="s">
        <v>10</v>
      </c>
      <c r="D88" s="1"/>
      <c r="E88" s="1"/>
      <c r="F88" s="12"/>
      <c r="G88" s="12"/>
      <c r="H88" s="67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">
        <v>0</v>
      </c>
      <c r="H89" s="67"/>
    </row>
    <row r="90" spans="1:8" x14ac:dyDescent="0.2">
      <c r="A90" s="1"/>
      <c r="B90" s="1"/>
      <c r="C90" s="11"/>
      <c r="D90" s="1"/>
      <c r="E90" s="1"/>
      <c r="F90" s="12"/>
      <c r="G90" s="12"/>
      <c r="H90" s="67"/>
    </row>
    <row r="91" spans="1:8" x14ac:dyDescent="0.2">
      <c r="A91" s="1"/>
      <c r="B91" s="1"/>
      <c r="C91" s="2" t="s">
        <v>114</v>
      </c>
      <c r="D91" s="1"/>
      <c r="E91" s="1"/>
      <c r="F91" s="1"/>
      <c r="G91" s="1"/>
      <c r="H91" s="67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7"/>
    </row>
    <row r="93" spans="1:8" x14ac:dyDescent="0.2">
      <c r="A93" s="1"/>
      <c r="B93" s="1"/>
      <c r="C93" s="11"/>
      <c r="D93" s="1"/>
      <c r="E93" s="1"/>
      <c r="F93" s="12"/>
      <c r="G93" s="12"/>
      <c r="H93" s="67"/>
    </row>
    <row r="94" spans="1:8" x14ac:dyDescent="0.2">
      <c r="A94" s="1"/>
      <c r="B94" s="1"/>
      <c r="C94" s="2" t="s">
        <v>115</v>
      </c>
      <c r="D94" s="1"/>
      <c r="E94" s="1"/>
      <c r="F94" s="1"/>
      <c r="G94" s="1"/>
      <c r="H94" s="67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7"/>
    </row>
    <row r="96" spans="1:8" x14ac:dyDescent="0.2">
      <c r="A96" s="1"/>
      <c r="B96" s="1"/>
      <c r="C96" s="11"/>
      <c r="D96" s="1"/>
      <c r="E96" s="1"/>
      <c r="F96" s="12"/>
      <c r="G96" s="12"/>
      <c r="H96" s="67"/>
    </row>
    <row r="97" spans="1:8" x14ac:dyDescent="0.2">
      <c r="A97" s="1"/>
      <c r="B97" s="1"/>
      <c r="C97" s="2" t="s">
        <v>116</v>
      </c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7"/>
    </row>
    <row r="99" spans="1:8" x14ac:dyDescent="0.2">
      <c r="A99" s="1"/>
      <c r="B99" s="1"/>
      <c r="C99" s="11"/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117</v>
      </c>
      <c r="D100" s="1"/>
      <c r="E100" s="1"/>
      <c r="F100" s="9">
        <v>0</v>
      </c>
      <c r="G100" s="10">
        <v>0</v>
      </c>
      <c r="H100" s="67"/>
    </row>
    <row r="101" spans="1:8" x14ac:dyDescent="0.2">
      <c r="A101" s="1"/>
      <c r="B101" s="1"/>
      <c r="C101" s="11"/>
      <c r="D101" s="1"/>
      <c r="E101" s="1"/>
      <c r="F101" s="12"/>
      <c r="G101" s="12"/>
      <c r="H101" s="67"/>
    </row>
    <row r="102" spans="1:8" x14ac:dyDescent="0.2">
      <c r="A102" s="1"/>
      <c r="B102" s="1"/>
      <c r="C102" s="2" t="s">
        <v>118</v>
      </c>
      <c r="D102" s="1"/>
      <c r="E102" s="1"/>
      <c r="F102" s="12"/>
      <c r="G102" s="12"/>
      <c r="H102" s="67"/>
    </row>
    <row r="103" spans="1:8" x14ac:dyDescent="0.2">
      <c r="A103" s="1"/>
      <c r="B103" s="1"/>
      <c r="C103" s="2" t="s">
        <v>119</v>
      </c>
      <c r="D103" s="1"/>
      <c r="E103" s="1"/>
      <c r="F103" s="12"/>
      <c r="G103" s="12"/>
      <c r="H103" s="67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">
        <v>0</v>
      </c>
      <c r="H104" s="67"/>
    </row>
    <row r="105" spans="1:8" x14ac:dyDescent="0.2">
      <c r="A105" s="1"/>
      <c r="B105" s="1"/>
      <c r="C105" s="11"/>
      <c r="D105" s="1"/>
      <c r="E105" s="1"/>
      <c r="F105" s="12"/>
      <c r="G105" s="12"/>
      <c r="H105" s="67"/>
    </row>
    <row r="106" spans="1:8" x14ac:dyDescent="0.2">
      <c r="A106" s="1"/>
      <c r="B106" s="1"/>
      <c r="C106" s="2" t="s">
        <v>120</v>
      </c>
      <c r="D106" s="1"/>
      <c r="E106" s="1"/>
      <c r="F106" s="12"/>
      <c r="G106" s="12"/>
      <c r="H106" s="67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">
        <v>0</v>
      </c>
      <c r="H107" s="67"/>
    </row>
    <row r="108" spans="1:8" x14ac:dyDescent="0.2">
      <c r="A108" s="1"/>
      <c r="B108" s="1"/>
      <c r="C108" s="11"/>
      <c r="D108" s="1"/>
      <c r="E108" s="1"/>
      <c r="F108" s="12"/>
      <c r="G108" s="12"/>
      <c r="H108" s="67"/>
    </row>
    <row r="109" spans="1:8" x14ac:dyDescent="0.2">
      <c r="A109" s="1"/>
      <c r="B109" s="1"/>
      <c r="C109" s="2" t="s">
        <v>121</v>
      </c>
      <c r="D109" s="1"/>
      <c r="E109" s="1"/>
      <c r="F109" s="12"/>
      <c r="G109" s="12"/>
      <c r="H109" s="67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7"/>
    </row>
    <row r="111" spans="1:8" x14ac:dyDescent="0.2">
      <c r="A111" s="1"/>
      <c r="B111" s="1"/>
      <c r="C111" s="11"/>
      <c r="D111" s="1"/>
      <c r="E111" s="1"/>
      <c r="F111" s="12"/>
      <c r="G111" s="12"/>
      <c r="H111" s="67"/>
    </row>
    <row r="112" spans="1:8" x14ac:dyDescent="0.2">
      <c r="A112" s="1"/>
      <c r="B112" s="1"/>
      <c r="C112" s="2" t="s">
        <v>122</v>
      </c>
      <c r="D112" s="1"/>
      <c r="E112" s="1"/>
      <c r="F112" s="12"/>
      <c r="G112" s="12"/>
      <c r="H112" s="67"/>
    </row>
    <row r="113" spans="1:8" x14ac:dyDescent="0.2">
      <c r="A113" s="3">
        <v>1</v>
      </c>
      <c r="B113" s="4"/>
      <c r="C113" s="4" t="s">
        <v>123</v>
      </c>
      <c r="D113" s="4"/>
      <c r="E113" s="8"/>
      <c r="F113" s="6">
        <v>8570.9947398000004</v>
      </c>
      <c r="G113" s="7">
        <v>1.2375115000000001E-2</v>
      </c>
      <c r="H113" s="67">
        <v>3.1047477660654299</v>
      </c>
    </row>
    <row r="114" spans="1:8" x14ac:dyDescent="0.2">
      <c r="A114" s="1"/>
      <c r="B114" s="1"/>
      <c r="C114" s="2" t="s">
        <v>105</v>
      </c>
      <c r="D114" s="1"/>
      <c r="E114" s="1" t="s">
        <v>106</v>
      </c>
      <c r="F114" s="9">
        <v>8570.9947398000004</v>
      </c>
      <c r="G114" s="10">
        <v>1.2375115000000001E-2</v>
      </c>
      <c r="H114" s="67"/>
    </row>
    <row r="115" spans="1:8" x14ac:dyDescent="0.2">
      <c r="A115" s="1"/>
      <c r="B115" s="1"/>
      <c r="C115" s="11"/>
      <c r="D115" s="1"/>
      <c r="E115" s="1"/>
      <c r="F115" s="12"/>
      <c r="G115" s="12"/>
      <c r="H115" s="67"/>
    </row>
    <row r="116" spans="1:8" x14ac:dyDescent="0.2">
      <c r="A116" s="1"/>
      <c r="B116" s="1"/>
      <c r="C116" s="2" t="s">
        <v>124</v>
      </c>
      <c r="D116" s="1"/>
      <c r="E116" s="1"/>
      <c r="F116" s="9">
        <v>8570.9947398000004</v>
      </c>
      <c r="G116" s="10">
        <v>1.2375115000000001E-2</v>
      </c>
      <c r="H116" s="67"/>
    </row>
    <row r="117" spans="1:8" x14ac:dyDescent="0.2">
      <c r="A117" s="1"/>
      <c r="B117" s="1"/>
      <c r="C117" s="12"/>
      <c r="D117" s="1"/>
      <c r="E117" s="1"/>
      <c r="F117" s="1"/>
      <c r="G117" s="1"/>
      <c r="H117" s="67"/>
    </row>
    <row r="118" spans="1:8" x14ac:dyDescent="0.2">
      <c r="A118" s="1"/>
      <c r="B118" s="1"/>
      <c r="C118" s="2" t="s">
        <v>125</v>
      </c>
      <c r="D118" s="1"/>
      <c r="E118" s="1"/>
      <c r="F118" s="1"/>
      <c r="G118" s="1"/>
      <c r="H118" s="67"/>
    </row>
    <row r="119" spans="1:8" x14ac:dyDescent="0.2">
      <c r="A119" s="1"/>
      <c r="B119" s="1"/>
      <c r="C119" s="2" t="s">
        <v>126</v>
      </c>
      <c r="D119" s="1"/>
      <c r="E119" s="1"/>
      <c r="F119" s="1"/>
      <c r="G119" s="1"/>
      <c r="H119" s="67"/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13">
        <v>0</v>
      </c>
      <c r="G120" s="14">
        <v>0</v>
      </c>
      <c r="H120" s="67"/>
    </row>
    <row r="121" spans="1:8" x14ac:dyDescent="0.2">
      <c r="A121" s="1"/>
      <c r="B121" s="1"/>
      <c r="C121" s="11"/>
      <c r="D121" s="1"/>
      <c r="E121" s="1"/>
      <c r="F121" s="12"/>
      <c r="G121" s="12"/>
      <c r="H121" s="67"/>
    </row>
    <row r="122" spans="1:8" x14ac:dyDescent="0.2">
      <c r="A122" s="1"/>
      <c r="B122" s="1"/>
      <c r="C122" s="2" t="s">
        <v>127</v>
      </c>
      <c r="D122" s="1"/>
      <c r="E122" s="1"/>
      <c r="F122" s="1"/>
      <c r="G122" s="1"/>
      <c r="H122" s="67"/>
    </row>
    <row r="123" spans="1:8" x14ac:dyDescent="0.2">
      <c r="A123" s="1"/>
      <c r="B123" s="1"/>
      <c r="C123" s="2" t="s">
        <v>128</v>
      </c>
      <c r="D123" s="1"/>
      <c r="E123" s="1"/>
      <c r="F123" s="1"/>
      <c r="G123" s="1"/>
      <c r="H123" s="67"/>
    </row>
    <row r="124" spans="1:8" x14ac:dyDescent="0.2">
      <c r="A124" s="1"/>
      <c r="B124" s="1"/>
      <c r="C124" s="2" t="s">
        <v>105</v>
      </c>
      <c r="D124" s="1"/>
      <c r="E124" s="1" t="s">
        <v>106</v>
      </c>
      <c r="F124" s="13">
        <v>0</v>
      </c>
      <c r="G124" s="14">
        <v>0</v>
      </c>
      <c r="H124" s="67"/>
    </row>
    <row r="125" spans="1:8" x14ac:dyDescent="0.2">
      <c r="A125" s="1"/>
      <c r="B125" s="1"/>
      <c r="C125" s="11"/>
      <c r="D125" s="1"/>
      <c r="E125" s="1"/>
      <c r="F125" s="12"/>
      <c r="G125" s="12"/>
      <c r="H125" s="67"/>
    </row>
    <row r="126" spans="1:8" x14ac:dyDescent="0.2">
      <c r="A126" s="1"/>
      <c r="B126" s="1"/>
      <c r="C126" s="11"/>
      <c r="D126" s="1"/>
      <c r="E126" s="1"/>
      <c r="F126" s="12"/>
      <c r="G126" s="12"/>
      <c r="H126" s="67"/>
    </row>
    <row r="127" spans="1:8" ht="25.5" x14ac:dyDescent="0.2">
      <c r="A127" s="1"/>
      <c r="B127" s="1"/>
      <c r="C127" s="2" t="s">
        <v>129</v>
      </c>
      <c r="D127" s="1"/>
      <c r="E127" s="1"/>
      <c r="F127" s="12"/>
      <c r="G127" s="12"/>
      <c r="H127" s="67"/>
    </row>
    <row r="128" spans="1:8" x14ac:dyDescent="0.2">
      <c r="A128" s="1"/>
      <c r="B128" s="1"/>
      <c r="C128" s="2" t="s">
        <v>105</v>
      </c>
      <c r="D128" s="1"/>
      <c r="E128" s="1" t="s">
        <v>106</v>
      </c>
      <c r="F128" s="13">
        <v>0</v>
      </c>
      <c r="G128" s="14">
        <v>0</v>
      </c>
      <c r="H128" s="67"/>
    </row>
    <row r="129" spans="1:8" x14ac:dyDescent="0.2">
      <c r="A129" s="1"/>
      <c r="B129" s="1"/>
      <c r="C129" s="11"/>
      <c r="D129" s="1"/>
      <c r="E129" s="1"/>
      <c r="F129" s="12"/>
      <c r="G129" s="12"/>
      <c r="H129" s="67"/>
    </row>
    <row r="130" spans="1:8" x14ac:dyDescent="0.2">
      <c r="A130" s="1"/>
      <c r="B130" s="4"/>
      <c r="C130" s="4"/>
      <c r="D130" s="2"/>
      <c r="E130" s="1"/>
      <c r="F130" s="4"/>
      <c r="G130" s="8"/>
      <c r="H130" s="67"/>
    </row>
    <row r="131" spans="1:8" x14ac:dyDescent="0.2">
      <c r="A131" s="8"/>
      <c r="B131" s="4"/>
      <c r="C131" s="4" t="s">
        <v>130</v>
      </c>
      <c r="D131" s="4"/>
      <c r="E131" s="8"/>
      <c r="F131" s="6">
        <v>1821.5555466000001</v>
      </c>
      <c r="G131" s="7">
        <v>2.6300284413025401E-3</v>
      </c>
      <c r="H131" s="67"/>
    </row>
    <row r="132" spans="1:8" x14ac:dyDescent="0.2">
      <c r="A132" s="11"/>
      <c r="B132" s="11"/>
      <c r="C132" s="2" t="s">
        <v>131</v>
      </c>
      <c r="D132" s="15"/>
      <c r="E132" s="15"/>
      <c r="F132" s="9">
        <f>+F131+F116+F85</f>
        <v>692599.18181640003</v>
      </c>
      <c r="G132" s="10">
        <v>1.0000000040000001</v>
      </c>
      <c r="H132" s="67"/>
    </row>
    <row r="133" spans="1:8" ht="14.1" customHeight="1" x14ac:dyDescent="0.2">
      <c r="A133" s="16"/>
      <c r="B133" s="16"/>
      <c r="C133" s="16"/>
      <c r="D133" s="17"/>
      <c r="E133" s="17"/>
      <c r="F133" s="17"/>
      <c r="G133" s="17"/>
    </row>
    <row r="134" spans="1:8" ht="14.1" customHeight="1" x14ac:dyDescent="0.2">
      <c r="A134" s="18"/>
      <c r="B134" s="170" t="s">
        <v>106</v>
      </c>
      <c r="C134" s="170"/>
      <c r="D134" s="170"/>
      <c r="E134" s="170"/>
      <c r="F134" s="170"/>
      <c r="G134" s="20"/>
    </row>
    <row r="135" spans="1:8" ht="14.1" customHeight="1" x14ac:dyDescent="0.2">
      <c r="A135" s="18"/>
      <c r="B135" s="170" t="s">
        <v>106</v>
      </c>
      <c r="C135" s="170"/>
      <c r="D135" s="170"/>
      <c r="E135" s="170"/>
      <c r="F135" s="170"/>
      <c r="G135" s="20"/>
    </row>
    <row r="136" spans="1:8" ht="14.1" customHeight="1" x14ac:dyDescent="0.2">
      <c r="A136" s="18"/>
      <c r="B136" s="18"/>
      <c r="C136" s="18"/>
      <c r="D136" s="20"/>
      <c r="E136" s="20"/>
      <c r="F136" s="20"/>
      <c r="G136" s="20"/>
    </row>
    <row r="137" spans="1:8" ht="14.1" customHeight="1" x14ac:dyDescent="0.2">
      <c r="A137" s="18"/>
      <c r="B137" s="168" t="s">
        <v>133</v>
      </c>
      <c r="C137" s="169"/>
      <c r="D137" s="12" t="s">
        <v>106</v>
      </c>
      <c r="E137" s="21"/>
      <c r="F137" s="20"/>
      <c r="G137" s="20"/>
    </row>
    <row r="138" spans="1:8" ht="29.1" customHeight="1" x14ac:dyDescent="0.2">
      <c r="A138" s="18"/>
      <c r="B138" s="165" t="s">
        <v>134</v>
      </c>
      <c r="C138" s="166"/>
      <c r="D138" s="2" t="s">
        <v>135</v>
      </c>
      <c r="E138" s="21"/>
      <c r="F138" s="20"/>
      <c r="G138" s="20"/>
    </row>
    <row r="139" spans="1:8" ht="17.100000000000001" customHeight="1" x14ac:dyDescent="0.2">
      <c r="A139" s="18"/>
      <c r="B139" s="165" t="s">
        <v>136</v>
      </c>
      <c r="C139" s="166"/>
      <c r="D139" s="2" t="s">
        <v>135</v>
      </c>
      <c r="E139" s="21"/>
      <c r="F139" s="20"/>
      <c r="G139" s="20"/>
    </row>
    <row r="140" spans="1:8" ht="17.100000000000001" customHeight="1" x14ac:dyDescent="0.2">
      <c r="A140" s="18"/>
      <c r="B140" s="165" t="s">
        <v>137</v>
      </c>
      <c r="C140" s="166"/>
      <c r="D140" s="12" t="s">
        <v>106</v>
      </c>
      <c r="E140" s="21"/>
      <c r="F140" s="20"/>
      <c r="G140" s="20"/>
    </row>
    <row r="141" spans="1:8" ht="24" customHeight="1" x14ac:dyDescent="0.2">
      <c r="A141" s="22"/>
      <c r="B141" s="23" t="s">
        <v>106</v>
      </c>
      <c r="C141" s="23" t="s">
        <v>138</v>
      </c>
      <c r="D141" s="23" t="s">
        <v>139</v>
      </c>
      <c r="E141" s="22"/>
      <c r="F141" s="22"/>
      <c r="G141" s="22"/>
    </row>
    <row r="142" spans="1:8" ht="18" customHeight="1" x14ac:dyDescent="0.2">
      <c r="A142" s="22"/>
      <c r="B142" s="23" t="s">
        <v>140</v>
      </c>
      <c r="C142" s="23" t="s">
        <v>141</v>
      </c>
      <c r="D142" s="23" t="s">
        <v>142</v>
      </c>
      <c r="E142" s="22"/>
      <c r="F142" s="22"/>
      <c r="G142" s="22"/>
    </row>
    <row r="143" spans="1:8" ht="17.100000000000001" customHeight="1" x14ac:dyDescent="0.2">
      <c r="A143" s="22"/>
      <c r="B143" s="4" t="s">
        <v>143</v>
      </c>
      <c r="C143" s="24">
        <v>700.13329999999996</v>
      </c>
      <c r="D143" s="24">
        <v>724.79449999999997</v>
      </c>
      <c r="E143" s="22"/>
      <c r="F143" s="19"/>
      <c r="G143" s="25"/>
    </row>
    <row r="144" spans="1:8" ht="17.100000000000001" customHeight="1" x14ac:dyDescent="0.2">
      <c r="A144" s="22"/>
      <c r="B144" s="4" t="s">
        <v>988</v>
      </c>
      <c r="C144" s="24">
        <v>43.924999999999997</v>
      </c>
      <c r="D144" s="24">
        <v>45.472200000000001</v>
      </c>
      <c r="E144" s="22"/>
      <c r="F144" s="19"/>
      <c r="G144" s="25"/>
    </row>
    <row r="145" spans="1:7" ht="29.1" customHeight="1" x14ac:dyDescent="0.2">
      <c r="A145" s="22"/>
      <c r="B145" s="4" t="s">
        <v>396</v>
      </c>
      <c r="C145" s="24">
        <v>714.62059999999997</v>
      </c>
      <c r="D145" s="24">
        <v>739.79179999999997</v>
      </c>
      <c r="E145" s="22"/>
      <c r="F145" s="19"/>
      <c r="G145" s="25"/>
    </row>
    <row r="146" spans="1:7" ht="29.1" customHeight="1" x14ac:dyDescent="0.2">
      <c r="A146" s="22"/>
      <c r="B146" s="4" t="s">
        <v>991</v>
      </c>
      <c r="C146" s="24">
        <v>37.857300000000002</v>
      </c>
      <c r="D146" s="24">
        <v>39.190800000000003</v>
      </c>
      <c r="E146" s="22"/>
      <c r="F146" s="19"/>
      <c r="G146" s="25"/>
    </row>
    <row r="147" spans="1:7" ht="17.100000000000001" customHeight="1" x14ac:dyDescent="0.2">
      <c r="A147" s="22"/>
      <c r="B147" s="4" t="s">
        <v>144</v>
      </c>
      <c r="C147" s="24">
        <v>663.24950000000001</v>
      </c>
      <c r="D147" s="24">
        <v>686.17700000000002</v>
      </c>
      <c r="E147" s="22"/>
      <c r="F147" s="19"/>
      <c r="G147" s="25"/>
    </row>
    <row r="148" spans="1:7" ht="17.100000000000001" customHeight="1" x14ac:dyDescent="0.2">
      <c r="A148" s="22"/>
      <c r="B148" s="4" t="s">
        <v>989</v>
      </c>
      <c r="C148" s="24">
        <v>41.029499999999999</v>
      </c>
      <c r="D148" s="24">
        <v>42.447800000000001</v>
      </c>
      <c r="E148" s="22"/>
      <c r="F148" s="19"/>
      <c r="G148" s="25"/>
    </row>
    <row r="149" spans="1:7" ht="14.1" customHeight="1" x14ac:dyDescent="0.2">
      <c r="A149" s="22"/>
      <c r="B149" s="22"/>
      <c r="C149" s="22"/>
      <c r="D149" s="22"/>
      <c r="E149" s="22"/>
      <c r="F149" s="22"/>
      <c r="G149" s="22"/>
    </row>
    <row r="150" spans="1:7" ht="17.100000000000001" customHeight="1" x14ac:dyDescent="0.2">
      <c r="A150" s="22"/>
      <c r="B150" s="165" t="s">
        <v>990</v>
      </c>
      <c r="C150" s="166"/>
      <c r="D150" s="2" t="s">
        <v>135</v>
      </c>
      <c r="E150" s="22"/>
      <c r="F150" s="22"/>
      <c r="G150" s="22"/>
    </row>
    <row r="151" spans="1:7" ht="18" customHeight="1" x14ac:dyDescent="0.2">
      <c r="A151" s="22"/>
      <c r="B151" s="26" t="s">
        <v>145</v>
      </c>
      <c r="C151" s="26" t="s">
        <v>145</v>
      </c>
      <c r="D151" s="26"/>
      <c r="E151" s="22"/>
      <c r="F151" s="22"/>
      <c r="G151" s="22"/>
    </row>
    <row r="152" spans="1:7" s="158" customFormat="1" x14ac:dyDescent="0.2">
      <c r="B152" s="167" t="s">
        <v>822</v>
      </c>
      <c r="C152" s="167"/>
      <c r="D152" s="167"/>
      <c r="E152" s="167"/>
      <c r="F152" s="167"/>
    </row>
    <row r="153" spans="1:7" ht="14.1" customHeight="1" x14ac:dyDescent="0.2">
      <c r="A153" s="22"/>
      <c r="B153" s="19"/>
      <c r="C153" s="19"/>
      <c r="D153" s="22"/>
      <c r="E153" s="22"/>
      <c r="F153" s="22"/>
      <c r="G153" s="22"/>
    </row>
    <row r="154" spans="1:7" ht="29.1" customHeight="1" x14ac:dyDescent="0.2">
      <c r="A154" s="22"/>
      <c r="B154" s="165" t="s">
        <v>146</v>
      </c>
      <c r="C154" s="166"/>
      <c r="D154" s="2" t="s">
        <v>135</v>
      </c>
      <c r="E154" s="22"/>
      <c r="F154" s="22"/>
      <c r="G154" s="22"/>
    </row>
    <row r="155" spans="1:7" ht="29.1" customHeight="1" x14ac:dyDescent="0.2">
      <c r="A155" s="22"/>
      <c r="B155" s="165" t="s">
        <v>147</v>
      </c>
      <c r="C155" s="166"/>
      <c r="D155" s="2" t="s">
        <v>135</v>
      </c>
      <c r="E155" s="22"/>
      <c r="F155" s="22"/>
      <c r="G155" s="22"/>
    </row>
    <row r="156" spans="1:7" ht="17.100000000000001" customHeight="1" x14ac:dyDescent="0.2">
      <c r="A156" s="22"/>
      <c r="B156" s="165" t="s">
        <v>148</v>
      </c>
      <c r="C156" s="166"/>
      <c r="D156" s="27">
        <v>0.43796536565082356</v>
      </c>
      <c r="E156" s="22"/>
      <c r="F156" s="19"/>
      <c r="G156" s="25"/>
    </row>
    <row r="157" spans="1:7" ht="17.100000000000001" customHeight="1" x14ac:dyDescent="0.2">
      <c r="A157" s="22"/>
      <c r="B157" s="165" t="s">
        <v>149</v>
      </c>
      <c r="C157" s="166"/>
      <c r="D157" s="2" t="s">
        <v>135</v>
      </c>
      <c r="E157" s="22"/>
      <c r="F157" s="22"/>
      <c r="G157" s="22"/>
    </row>
  </sheetData>
  <mergeCells count="15">
    <mergeCell ref="B137:C137"/>
    <mergeCell ref="B134:F134"/>
    <mergeCell ref="B135:F135"/>
    <mergeCell ref="A1:H1"/>
    <mergeCell ref="A2:H2"/>
    <mergeCell ref="A3:H3"/>
    <mergeCell ref="B156:C156"/>
    <mergeCell ref="B157:C157"/>
    <mergeCell ref="B138:C138"/>
    <mergeCell ref="B139:C139"/>
    <mergeCell ref="B140:C140"/>
    <mergeCell ref="B150:C150"/>
    <mergeCell ref="B154:C154"/>
    <mergeCell ref="B155:C155"/>
    <mergeCell ref="B152:F15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4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397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22</v>
      </c>
      <c r="C7" s="4" t="s">
        <v>23</v>
      </c>
      <c r="D7" s="4" t="s">
        <v>24</v>
      </c>
      <c r="E7" s="5">
        <v>129309</v>
      </c>
      <c r="F7" s="6">
        <v>929.79636449999998</v>
      </c>
      <c r="G7" s="7">
        <v>6.5361655000000005E-2</v>
      </c>
      <c r="H7" s="67"/>
    </row>
    <row r="8" spans="1:8" x14ac:dyDescent="0.2">
      <c r="A8" s="3">
        <v>2</v>
      </c>
      <c r="B8" s="4" t="s">
        <v>398</v>
      </c>
      <c r="C8" s="4" t="s">
        <v>399</v>
      </c>
      <c r="D8" s="4" t="s">
        <v>24</v>
      </c>
      <c r="E8" s="5">
        <v>56172</v>
      </c>
      <c r="F8" s="6">
        <v>888.30400799999995</v>
      </c>
      <c r="G8" s="7">
        <v>6.2444877000000003E-2</v>
      </c>
      <c r="H8" s="67"/>
    </row>
    <row r="9" spans="1:8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37364</v>
      </c>
      <c r="F9" s="6">
        <v>843.73516600000005</v>
      </c>
      <c r="G9" s="7">
        <v>5.9311833000000001E-2</v>
      </c>
      <c r="H9" s="67"/>
    </row>
    <row r="10" spans="1:8" x14ac:dyDescent="0.2">
      <c r="A10" s="3">
        <v>4</v>
      </c>
      <c r="B10" s="4" t="s">
        <v>400</v>
      </c>
      <c r="C10" s="4" t="s">
        <v>401</v>
      </c>
      <c r="D10" s="4" t="s">
        <v>166</v>
      </c>
      <c r="E10" s="5">
        <v>41823</v>
      </c>
      <c r="F10" s="6">
        <v>713.68858350000005</v>
      </c>
      <c r="G10" s="7">
        <v>5.0169982000000002E-2</v>
      </c>
      <c r="H10" s="67"/>
    </row>
    <row r="11" spans="1:8" ht="25.5" x14ac:dyDescent="0.2">
      <c r="A11" s="3">
        <v>5</v>
      </c>
      <c r="B11" s="4" t="s">
        <v>402</v>
      </c>
      <c r="C11" s="4" t="s">
        <v>403</v>
      </c>
      <c r="D11" s="4" t="s">
        <v>81</v>
      </c>
      <c r="E11" s="5">
        <v>22294</v>
      </c>
      <c r="F11" s="6">
        <v>623.89759000000004</v>
      </c>
      <c r="G11" s="7">
        <v>4.3857967999999997E-2</v>
      </c>
      <c r="H11" s="67"/>
    </row>
    <row r="12" spans="1:8" x14ac:dyDescent="0.2">
      <c r="A12" s="3">
        <v>6</v>
      </c>
      <c r="B12" s="4" t="s">
        <v>151</v>
      </c>
      <c r="C12" s="4" t="s">
        <v>152</v>
      </c>
      <c r="D12" s="4" t="s">
        <v>153</v>
      </c>
      <c r="E12" s="5">
        <v>15077</v>
      </c>
      <c r="F12" s="6">
        <v>607.24125200000003</v>
      </c>
      <c r="G12" s="7">
        <v>4.2687081000000002E-2</v>
      </c>
      <c r="H12" s="67"/>
    </row>
    <row r="13" spans="1:8" x14ac:dyDescent="0.2">
      <c r="A13" s="3">
        <v>7</v>
      </c>
      <c r="B13" s="4" t="s">
        <v>354</v>
      </c>
      <c r="C13" s="4" t="s">
        <v>355</v>
      </c>
      <c r="D13" s="4" t="s">
        <v>24</v>
      </c>
      <c r="E13" s="5">
        <v>57031</v>
      </c>
      <c r="F13" s="6">
        <v>448.54881499999999</v>
      </c>
      <c r="G13" s="7">
        <v>3.153152E-2</v>
      </c>
      <c r="H13" s="67"/>
    </row>
    <row r="14" spans="1:8" ht="25.5" x14ac:dyDescent="0.2">
      <c r="A14" s="3">
        <v>8</v>
      </c>
      <c r="B14" s="4" t="s">
        <v>321</v>
      </c>
      <c r="C14" s="4" t="s">
        <v>322</v>
      </c>
      <c r="D14" s="4" t="s">
        <v>52</v>
      </c>
      <c r="E14" s="5">
        <v>50430</v>
      </c>
      <c r="F14" s="6">
        <v>427.11688500000002</v>
      </c>
      <c r="G14" s="7">
        <v>3.0024925000000001E-2</v>
      </c>
      <c r="H14" s="67"/>
    </row>
    <row r="15" spans="1:8" x14ac:dyDescent="0.2">
      <c r="A15" s="3">
        <v>9</v>
      </c>
      <c r="B15" s="4" t="s">
        <v>404</v>
      </c>
      <c r="C15" s="4" t="s">
        <v>405</v>
      </c>
      <c r="D15" s="4" t="s">
        <v>24</v>
      </c>
      <c r="E15" s="5">
        <v>99454</v>
      </c>
      <c r="F15" s="6">
        <v>423.72376700000001</v>
      </c>
      <c r="G15" s="7">
        <v>2.9786400000000001E-2</v>
      </c>
      <c r="H15" s="67"/>
    </row>
    <row r="16" spans="1:8" x14ac:dyDescent="0.2">
      <c r="A16" s="3">
        <v>10</v>
      </c>
      <c r="B16" s="4" t="s">
        <v>25</v>
      </c>
      <c r="C16" s="4" t="s">
        <v>26</v>
      </c>
      <c r="D16" s="4" t="s">
        <v>27</v>
      </c>
      <c r="E16" s="5">
        <v>31150</v>
      </c>
      <c r="F16" s="6">
        <v>402.13092499999999</v>
      </c>
      <c r="G16" s="7">
        <v>2.8268494000000002E-2</v>
      </c>
      <c r="H16" s="67"/>
    </row>
    <row r="17" spans="1:8" x14ac:dyDescent="0.2">
      <c r="A17" s="3">
        <v>11</v>
      </c>
      <c r="B17" s="4" t="s">
        <v>309</v>
      </c>
      <c r="C17" s="4" t="s">
        <v>310</v>
      </c>
      <c r="D17" s="4" t="s">
        <v>1001</v>
      </c>
      <c r="E17" s="5">
        <v>9189</v>
      </c>
      <c r="F17" s="6">
        <v>367.10055</v>
      </c>
      <c r="G17" s="7">
        <v>2.5805972999999999E-2</v>
      </c>
      <c r="H17" s="67"/>
    </row>
    <row r="18" spans="1:8" x14ac:dyDescent="0.2">
      <c r="A18" s="3">
        <v>12</v>
      </c>
      <c r="B18" s="4" t="s">
        <v>348</v>
      </c>
      <c r="C18" s="4" t="s">
        <v>349</v>
      </c>
      <c r="D18" s="4" t="s">
        <v>1003</v>
      </c>
      <c r="E18" s="5">
        <v>50010</v>
      </c>
      <c r="F18" s="6">
        <v>360.87216000000001</v>
      </c>
      <c r="G18" s="7">
        <v>2.5368136999999999E-2</v>
      </c>
      <c r="H18" s="67"/>
    </row>
    <row r="19" spans="1:8" x14ac:dyDescent="0.2">
      <c r="A19" s="3">
        <v>13</v>
      </c>
      <c r="B19" s="4" t="s">
        <v>406</v>
      </c>
      <c r="C19" s="4" t="s">
        <v>407</v>
      </c>
      <c r="D19" s="4" t="s">
        <v>1002</v>
      </c>
      <c r="E19" s="5">
        <v>30074</v>
      </c>
      <c r="F19" s="6">
        <v>358.497117</v>
      </c>
      <c r="G19" s="7">
        <v>2.5201179000000001E-2</v>
      </c>
      <c r="H19" s="67"/>
    </row>
    <row r="20" spans="1:8" x14ac:dyDescent="0.2">
      <c r="A20" s="3">
        <v>14</v>
      </c>
      <c r="B20" s="4" t="s">
        <v>11</v>
      </c>
      <c r="C20" s="4" t="s">
        <v>12</v>
      </c>
      <c r="D20" s="4" t="s">
        <v>13</v>
      </c>
      <c r="E20" s="5">
        <v>21149</v>
      </c>
      <c r="F20" s="6">
        <v>353.65357799999998</v>
      </c>
      <c r="G20" s="7">
        <v>2.4860693999999999E-2</v>
      </c>
      <c r="H20" s="67"/>
    </row>
    <row r="21" spans="1:8" ht="25.5" x14ac:dyDescent="0.2">
      <c r="A21" s="3">
        <v>15</v>
      </c>
      <c r="B21" s="4" t="s">
        <v>408</v>
      </c>
      <c r="C21" s="4" t="s">
        <v>409</v>
      </c>
      <c r="D21" s="4" t="s">
        <v>52</v>
      </c>
      <c r="E21" s="5">
        <v>12738</v>
      </c>
      <c r="F21" s="6">
        <v>346.995858</v>
      </c>
      <c r="G21" s="7">
        <v>2.4392678000000001E-2</v>
      </c>
      <c r="H21" s="67"/>
    </row>
    <row r="22" spans="1:8" x14ac:dyDescent="0.2">
      <c r="A22" s="3">
        <v>16</v>
      </c>
      <c r="B22" s="4" t="s">
        <v>17</v>
      </c>
      <c r="C22" s="4" t="s">
        <v>18</v>
      </c>
      <c r="D22" s="4" t="s">
        <v>19</v>
      </c>
      <c r="E22" s="5">
        <v>45416</v>
      </c>
      <c r="F22" s="6">
        <v>301.584948</v>
      </c>
      <c r="G22" s="7">
        <v>2.1200439000000001E-2</v>
      </c>
      <c r="H22" s="67"/>
    </row>
    <row r="23" spans="1:8" ht="25.5" x14ac:dyDescent="0.2">
      <c r="A23" s="3">
        <v>17</v>
      </c>
      <c r="B23" s="4" t="s">
        <v>327</v>
      </c>
      <c r="C23" s="4" t="s">
        <v>328</v>
      </c>
      <c r="D23" s="4" t="s">
        <v>55</v>
      </c>
      <c r="E23" s="5">
        <v>62892</v>
      </c>
      <c r="F23" s="6">
        <v>297.76217400000002</v>
      </c>
      <c r="G23" s="7">
        <v>2.0931710999999999E-2</v>
      </c>
      <c r="H23" s="67"/>
    </row>
    <row r="24" spans="1:8" x14ac:dyDescent="0.2">
      <c r="A24" s="3">
        <v>18</v>
      </c>
      <c r="B24" s="4" t="s">
        <v>410</v>
      </c>
      <c r="C24" s="4" t="s">
        <v>411</v>
      </c>
      <c r="D24" s="4" t="s">
        <v>153</v>
      </c>
      <c r="E24" s="5">
        <v>50652</v>
      </c>
      <c r="F24" s="6">
        <v>291.83149800000001</v>
      </c>
      <c r="G24" s="7">
        <v>2.0514803000000002E-2</v>
      </c>
      <c r="H24" s="67"/>
    </row>
    <row r="25" spans="1:8" ht="25.5" x14ac:dyDescent="0.2">
      <c r="A25" s="3">
        <v>19</v>
      </c>
      <c r="B25" s="4" t="s">
        <v>31</v>
      </c>
      <c r="C25" s="4" t="s">
        <v>993</v>
      </c>
      <c r="D25" s="4" t="s">
        <v>992</v>
      </c>
      <c r="E25" s="5">
        <v>3567</v>
      </c>
      <c r="F25" s="6">
        <v>279.38349149999999</v>
      </c>
      <c r="G25" s="7">
        <v>1.9639749000000001E-2</v>
      </c>
      <c r="H25" s="67"/>
    </row>
    <row r="26" spans="1:8" x14ac:dyDescent="0.2">
      <c r="A26" s="3">
        <v>20</v>
      </c>
      <c r="B26" s="4" t="s">
        <v>208</v>
      </c>
      <c r="C26" s="4" t="s">
        <v>209</v>
      </c>
      <c r="D26" s="4" t="s">
        <v>1005</v>
      </c>
      <c r="E26" s="5">
        <v>32477</v>
      </c>
      <c r="F26" s="6">
        <v>275.0314745</v>
      </c>
      <c r="G26" s="7">
        <v>1.9333817E-2</v>
      </c>
      <c r="H26" s="67"/>
    </row>
    <row r="27" spans="1:8" x14ac:dyDescent="0.2">
      <c r="A27" s="3">
        <v>21</v>
      </c>
      <c r="B27" s="4" t="s">
        <v>70</v>
      </c>
      <c r="C27" s="4" t="s">
        <v>71</v>
      </c>
      <c r="D27" s="4" t="s">
        <v>27</v>
      </c>
      <c r="E27" s="5">
        <v>25977</v>
      </c>
      <c r="F27" s="6">
        <v>259.5491955</v>
      </c>
      <c r="G27" s="7">
        <v>1.8245463E-2</v>
      </c>
      <c r="H27" s="67"/>
    </row>
    <row r="28" spans="1:8" x14ac:dyDescent="0.2">
      <c r="A28" s="3">
        <v>22</v>
      </c>
      <c r="B28" s="4" t="s">
        <v>412</v>
      </c>
      <c r="C28" s="4" t="s">
        <v>413</v>
      </c>
      <c r="D28" s="4" t="s">
        <v>166</v>
      </c>
      <c r="E28" s="5">
        <v>39000</v>
      </c>
      <c r="F28" s="6">
        <v>249.97049999999999</v>
      </c>
      <c r="G28" s="7">
        <v>1.7572112000000001E-2</v>
      </c>
      <c r="H28" s="67"/>
    </row>
    <row r="29" spans="1:8" x14ac:dyDescent="0.2">
      <c r="A29" s="3">
        <v>23</v>
      </c>
      <c r="B29" s="4" t="s">
        <v>414</v>
      </c>
      <c r="C29" s="4" t="s">
        <v>415</v>
      </c>
      <c r="D29" s="4" t="s">
        <v>166</v>
      </c>
      <c r="E29" s="5">
        <v>6466</v>
      </c>
      <c r="F29" s="6">
        <v>244.83185700000001</v>
      </c>
      <c r="G29" s="7">
        <v>1.7210882E-2</v>
      </c>
      <c r="H29" s="67"/>
    </row>
    <row r="30" spans="1:8" x14ac:dyDescent="0.2">
      <c r="A30" s="3">
        <v>24</v>
      </c>
      <c r="B30" s="4" t="s">
        <v>416</v>
      </c>
      <c r="C30" s="4" t="s">
        <v>417</v>
      </c>
      <c r="D30" s="4" t="s">
        <v>187</v>
      </c>
      <c r="E30" s="5">
        <v>30197</v>
      </c>
      <c r="F30" s="6">
        <v>239.7792785</v>
      </c>
      <c r="G30" s="7">
        <v>1.6855702E-2</v>
      </c>
      <c r="H30" s="67"/>
    </row>
    <row r="31" spans="1:8" ht="25.5" x14ac:dyDescent="0.2">
      <c r="A31" s="3">
        <v>25</v>
      </c>
      <c r="B31" s="4" t="s">
        <v>217</v>
      </c>
      <c r="C31" s="4" t="s">
        <v>218</v>
      </c>
      <c r="D31" s="4" t="s">
        <v>55</v>
      </c>
      <c r="E31" s="5">
        <v>10000</v>
      </c>
      <c r="F31" s="6">
        <v>219.375</v>
      </c>
      <c r="G31" s="7">
        <v>1.5421348E-2</v>
      </c>
      <c r="H31" s="67"/>
    </row>
    <row r="32" spans="1:8" x14ac:dyDescent="0.2">
      <c r="A32" s="3">
        <v>26</v>
      </c>
      <c r="B32" s="4" t="s">
        <v>180</v>
      </c>
      <c r="C32" s="4" t="s">
        <v>181</v>
      </c>
      <c r="D32" s="4" t="s">
        <v>171</v>
      </c>
      <c r="E32" s="5">
        <v>16000</v>
      </c>
      <c r="F32" s="6">
        <v>218.34399999999999</v>
      </c>
      <c r="G32" s="7">
        <v>1.5348872E-2</v>
      </c>
      <c r="H32" s="67"/>
    </row>
    <row r="33" spans="1:8" x14ac:dyDescent="0.2">
      <c r="A33" s="3">
        <v>27</v>
      </c>
      <c r="B33" s="4" t="s">
        <v>364</v>
      </c>
      <c r="C33" s="4" t="s">
        <v>365</v>
      </c>
      <c r="D33" s="4" t="s">
        <v>166</v>
      </c>
      <c r="E33" s="5">
        <v>18271</v>
      </c>
      <c r="F33" s="6">
        <v>216.018033</v>
      </c>
      <c r="G33" s="7">
        <v>1.5185364E-2</v>
      </c>
      <c r="H33" s="67"/>
    </row>
    <row r="34" spans="1:8" x14ac:dyDescent="0.2">
      <c r="A34" s="3">
        <v>28</v>
      </c>
      <c r="B34" s="4" t="s">
        <v>418</v>
      </c>
      <c r="C34" s="4" t="s">
        <v>419</v>
      </c>
      <c r="D34" s="4" t="s">
        <v>49</v>
      </c>
      <c r="E34" s="5">
        <v>14570</v>
      </c>
      <c r="F34" s="6">
        <v>211.30142499999999</v>
      </c>
      <c r="G34" s="7">
        <v>1.4853801999999999E-2</v>
      </c>
      <c r="H34" s="67"/>
    </row>
    <row r="35" spans="1:8" x14ac:dyDescent="0.2">
      <c r="A35" s="3">
        <v>29</v>
      </c>
      <c r="B35" s="4" t="s">
        <v>329</v>
      </c>
      <c r="C35" s="4" t="s">
        <v>330</v>
      </c>
      <c r="D35" s="4" t="s">
        <v>331</v>
      </c>
      <c r="E35" s="5">
        <v>19336</v>
      </c>
      <c r="F35" s="6">
        <v>194.69418400000001</v>
      </c>
      <c r="G35" s="7">
        <v>1.3686367E-2</v>
      </c>
      <c r="H35" s="67"/>
    </row>
    <row r="36" spans="1:8" x14ac:dyDescent="0.2">
      <c r="A36" s="3">
        <v>30</v>
      </c>
      <c r="B36" s="4" t="s">
        <v>420</v>
      </c>
      <c r="C36" s="4" t="s">
        <v>421</v>
      </c>
      <c r="D36" s="4" t="s">
        <v>84</v>
      </c>
      <c r="E36" s="5">
        <v>24448</v>
      </c>
      <c r="F36" s="6">
        <v>193.94598400000001</v>
      </c>
      <c r="G36" s="7">
        <v>1.3633770999999999E-2</v>
      </c>
      <c r="H36" s="67"/>
    </row>
    <row r="37" spans="1:8" x14ac:dyDescent="0.2">
      <c r="A37" s="3">
        <v>31</v>
      </c>
      <c r="B37" s="4" t="s">
        <v>42</v>
      </c>
      <c r="C37" s="4" t="s">
        <v>43</v>
      </c>
      <c r="D37" s="4" t="s">
        <v>16</v>
      </c>
      <c r="E37" s="5">
        <v>37123</v>
      </c>
      <c r="F37" s="6">
        <v>175.09062950000001</v>
      </c>
      <c r="G37" s="7">
        <v>1.2308301000000001E-2</v>
      </c>
      <c r="H37" s="67"/>
    </row>
    <row r="38" spans="1:8" x14ac:dyDescent="0.2">
      <c r="A38" s="3">
        <v>32</v>
      </c>
      <c r="B38" s="4" t="s">
        <v>422</v>
      </c>
      <c r="C38" s="4" t="s">
        <v>423</v>
      </c>
      <c r="D38" s="4" t="s">
        <v>187</v>
      </c>
      <c r="E38" s="5">
        <v>3376</v>
      </c>
      <c r="F38" s="6">
        <v>174.66073600000001</v>
      </c>
      <c r="G38" s="7">
        <v>1.2278081E-2</v>
      </c>
      <c r="H38" s="67"/>
    </row>
    <row r="39" spans="1:8" x14ac:dyDescent="0.2">
      <c r="A39" s="3">
        <v>33</v>
      </c>
      <c r="B39" s="4" t="s">
        <v>334</v>
      </c>
      <c r="C39" s="4" t="s">
        <v>335</v>
      </c>
      <c r="D39" s="4" t="s">
        <v>187</v>
      </c>
      <c r="E39" s="5">
        <v>4108</v>
      </c>
      <c r="F39" s="6">
        <v>159.961412</v>
      </c>
      <c r="G39" s="7">
        <v>1.1244766E-2</v>
      </c>
      <c r="H39" s="67"/>
    </row>
    <row r="40" spans="1:8" x14ac:dyDescent="0.2">
      <c r="A40" s="3">
        <v>34</v>
      </c>
      <c r="B40" s="4" t="s">
        <v>346</v>
      </c>
      <c r="C40" s="4" t="s">
        <v>347</v>
      </c>
      <c r="D40" s="4" t="s">
        <v>171</v>
      </c>
      <c r="E40" s="5">
        <v>175</v>
      </c>
      <c r="F40" s="6">
        <v>139.5498125</v>
      </c>
      <c r="G40" s="7">
        <v>9.8098969999999997E-3</v>
      </c>
      <c r="H40" s="67"/>
    </row>
    <row r="41" spans="1:8" x14ac:dyDescent="0.2">
      <c r="A41" s="3">
        <v>35</v>
      </c>
      <c r="B41" s="4" t="s">
        <v>350</v>
      </c>
      <c r="C41" s="4" t="s">
        <v>351</v>
      </c>
      <c r="D41" s="4" t="s">
        <v>46</v>
      </c>
      <c r="E41" s="5">
        <v>18750</v>
      </c>
      <c r="F41" s="6">
        <v>127.41562500000001</v>
      </c>
      <c r="G41" s="7">
        <v>8.9569030000000004E-3</v>
      </c>
      <c r="H41" s="67"/>
    </row>
    <row r="42" spans="1:8" x14ac:dyDescent="0.2">
      <c r="A42" s="3">
        <v>36</v>
      </c>
      <c r="B42" s="4" t="s">
        <v>424</v>
      </c>
      <c r="C42" s="4" t="s">
        <v>425</v>
      </c>
      <c r="D42" s="4" t="s">
        <v>166</v>
      </c>
      <c r="E42" s="5">
        <v>8795</v>
      </c>
      <c r="F42" s="6">
        <v>127.3208175</v>
      </c>
      <c r="G42" s="7">
        <v>8.9502390000000005E-3</v>
      </c>
      <c r="H42" s="67"/>
    </row>
    <row r="43" spans="1:8" x14ac:dyDescent="0.2">
      <c r="A43" s="3">
        <v>37</v>
      </c>
      <c r="B43" s="4" t="s">
        <v>368</v>
      </c>
      <c r="C43" s="4" t="s">
        <v>369</v>
      </c>
      <c r="D43" s="4" t="s">
        <v>242</v>
      </c>
      <c r="E43" s="5">
        <v>16000</v>
      </c>
      <c r="F43" s="6">
        <v>126.864</v>
      </c>
      <c r="G43" s="7">
        <v>8.9181260000000002E-3</v>
      </c>
      <c r="H43" s="67"/>
    </row>
    <row r="44" spans="1:8" x14ac:dyDescent="0.2">
      <c r="A44" s="3">
        <v>38</v>
      </c>
      <c r="B44" s="4" t="s">
        <v>356</v>
      </c>
      <c r="C44" s="4" t="s">
        <v>357</v>
      </c>
      <c r="D44" s="4" t="s">
        <v>24</v>
      </c>
      <c r="E44" s="5">
        <v>160000</v>
      </c>
      <c r="F44" s="6">
        <v>123.76</v>
      </c>
      <c r="G44" s="7">
        <v>8.6999250000000007E-3</v>
      </c>
      <c r="H44" s="67"/>
    </row>
    <row r="45" spans="1:8" x14ac:dyDescent="0.2">
      <c r="A45" s="3">
        <v>39</v>
      </c>
      <c r="B45" s="4" t="s">
        <v>91</v>
      </c>
      <c r="C45" s="4" t="s">
        <v>92</v>
      </c>
      <c r="D45" s="4" t="s">
        <v>27</v>
      </c>
      <c r="E45" s="5">
        <v>1626</v>
      </c>
      <c r="F45" s="6">
        <v>117.894756</v>
      </c>
      <c r="G45" s="7">
        <v>8.2876170000000006E-3</v>
      </c>
      <c r="H45" s="67"/>
    </row>
    <row r="46" spans="1:8" x14ac:dyDescent="0.2">
      <c r="A46" s="3">
        <v>40</v>
      </c>
      <c r="B46" s="4" t="s">
        <v>426</v>
      </c>
      <c r="C46" s="4" t="s">
        <v>427</v>
      </c>
      <c r="D46" s="4" t="s">
        <v>428</v>
      </c>
      <c r="E46" s="5">
        <v>25042</v>
      </c>
      <c r="F46" s="6">
        <v>117.271686</v>
      </c>
      <c r="G46" s="7">
        <v>8.2438170000000005E-3</v>
      </c>
      <c r="H46" s="67"/>
    </row>
    <row r="47" spans="1:8" ht="25.5" x14ac:dyDescent="0.2">
      <c r="A47" s="3">
        <v>41</v>
      </c>
      <c r="B47" s="4" t="s">
        <v>429</v>
      </c>
      <c r="C47" s="4" t="s">
        <v>430</v>
      </c>
      <c r="D47" s="4" t="s">
        <v>52</v>
      </c>
      <c r="E47" s="5">
        <v>53592</v>
      </c>
      <c r="F47" s="6">
        <v>113.239896</v>
      </c>
      <c r="G47" s="7">
        <v>7.9603959999999998E-3</v>
      </c>
      <c r="H47" s="67"/>
    </row>
    <row r="48" spans="1:8" ht="25.5" x14ac:dyDescent="0.2">
      <c r="A48" s="3">
        <v>42</v>
      </c>
      <c r="B48" s="4" t="s">
        <v>251</v>
      </c>
      <c r="C48" s="4" t="s">
        <v>252</v>
      </c>
      <c r="D48" s="4" t="s">
        <v>992</v>
      </c>
      <c r="E48" s="5">
        <v>67360</v>
      </c>
      <c r="F48" s="6">
        <v>110.20095999999999</v>
      </c>
      <c r="G48" s="7">
        <v>7.7467680000000002E-3</v>
      </c>
      <c r="H48" s="67"/>
    </row>
    <row r="49" spans="1:8" x14ac:dyDescent="0.2">
      <c r="A49" s="3">
        <v>43</v>
      </c>
      <c r="B49" s="4" t="s">
        <v>305</v>
      </c>
      <c r="C49" s="4" t="s">
        <v>306</v>
      </c>
      <c r="D49" s="4" t="s">
        <v>1002</v>
      </c>
      <c r="E49" s="5">
        <v>10058</v>
      </c>
      <c r="F49" s="6">
        <v>109.446127</v>
      </c>
      <c r="G49" s="7">
        <v>7.6937059999999998E-3</v>
      </c>
      <c r="H49" s="67"/>
    </row>
    <row r="50" spans="1:8" x14ac:dyDescent="0.2">
      <c r="A50" s="3">
        <v>44</v>
      </c>
      <c r="B50" s="4" t="s">
        <v>344</v>
      </c>
      <c r="C50" s="4" t="s">
        <v>345</v>
      </c>
      <c r="D50" s="4" t="s">
        <v>49</v>
      </c>
      <c r="E50" s="5">
        <v>26000</v>
      </c>
      <c r="F50" s="6">
        <v>98.007000000000005</v>
      </c>
      <c r="G50" s="7">
        <v>6.8895730000000004E-3</v>
      </c>
      <c r="H50" s="67"/>
    </row>
    <row r="51" spans="1:8" x14ac:dyDescent="0.2">
      <c r="A51" s="3">
        <v>45</v>
      </c>
      <c r="B51" s="4" t="s">
        <v>431</v>
      </c>
      <c r="C51" s="4" t="s">
        <v>432</v>
      </c>
      <c r="D51" s="4" t="s">
        <v>171</v>
      </c>
      <c r="E51" s="5">
        <v>19492</v>
      </c>
      <c r="F51" s="6">
        <v>97.479491999999993</v>
      </c>
      <c r="G51" s="7">
        <v>6.8524909999999996E-3</v>
      </c>
      <c r="H51" s="67"/>
    </row>
    <row r="52" spans="1:8" x14ac:dyDescent="0.2">
      <c r="A52" s="3">
        <v>46</v>
      </c>
      <c r="B52" s="4" t="s">
        <v>262</v>
      </c>
      <c r="C52" s="4" t="s">
        <v>263</v>
      </c>
      <c r="D52" s="4" t="s">
        <v>171</v>
      </c>
      <c r="E52" s="5">
        <v>14000</v>
      </c>
      <c r="F52" s="6">
        <v>94.878</v>
      </c>
      <c r="G52" s="7">
        <v>6.6696139999999999E-3</v>
      </c>
      <c r="H52" s="67"/>
    </row>
    <row r="53" spans="1:8" x14ac:dyDescent="0.2">
      <c r="A53" s="3">
        <v>47</v>
      </c>
      <c r="B53" s="4" t="s">
        <v>433</v>
      </c>
      <c r="C53" s="4" t="s">
        <v>434</v>
      </c>
      <c r="D53" s="4" t="s">
        <v>24</v>
      </c>
      <c r="E53" s="5">
        <v>4709</v>
      </c>
      <c r="F53" s="6">
        <v>82.581733</v>
      </c>
      <c r="G53" s="7">
        <v>5.8052269999999996E-3</v>
      </c>
      <c r="H53" s="67"/>
    </row>
    <row r="54" spans="1:8" ht="25.5" x14ac:dyDescent="0.2">
      <c r="A54" s="3">
        <v>48</v>
      </c>
      <c r="B54" s="4" t="s">
        <v>435</v>
      </c>
      <c r="C54" s="4" t="s">
        <v>436</v>
      </c>
      <c r="D54" s="4" t="s">
        <v>1002</v>
      </c>
      <c r="E54" s="5">
        <v>4332</v>
      </c>
      <c r="F54" s="6">
        <v>69.078072000000006</v>
      </c>
      <c r="G54" s="7">
        <v>4.8559629999999996E-3</v>
      </c>
      <c r="H54" s="67"/>
    </row>
    <row r="55" spans="1:8" x14ac:dyDescent="0.2">
      <c r="A55" s="3">
        <v>49</v>
      </c>
      <c r="B55" s="4" t="s">
        <v>372</v>
      </c>
      <c r="C55" s="4" t="s">
        <v>373</v>
      </c>
      <c r="D55" s="4" t="s">
        <v>55</v>
      </c>
      <c r="E55" s="5">
        <v>100655</v>
      </c>
      <c r="F55" s="6">
        <v>67.539505000000005</v>
      </c>
      <c r="G55" s="7">
        <v>4.7478069999999997E-3</v>
      </c>
      <c r="H55" s="67"/>
    </row>
    <row r="56" spans="1:8" x14ac:dyDescent="0.2">
      <c r="A56" s="1"/>
      <c r="B56" s="1"/>
      <c r="C56" s="2" t="s">
        <v>105</v>
      </c>
      <c r="D56" s="1"/>
      <c r="E56" s="1" t="s">
        <v>106</v>
      </c>
      <c r="F56" s="9">
        <v>14020.945921500001</v>
      </c>
      <c r="G56" s="10">
        <v>0.98562681500000004</v>
      </c>
      <c r="H56" s="67"/>
    </row>
    <row r="57" spans="1:8" x14ac:dyDescent="0.2">
      <c r="A57" s="1"/>
      <c r="B57" s="1"/>
      <c r="C57" s="11"/>
      <c r="D57" s="1"/>
      <c r="E57" s="1"/>
      <c r="F57" s="12"/>
      <c r="G57" s="12"/>
      <c r="H57" s="67"/>
    </row>
    <row r="58" spans="1:8" x14ac:dyDescent="0.2">
      <c r="A58" s="1"/>
      <c r="B58" s="1"/>
      <c r="C58" s="2" t="s">
        <v>107</v>
      </c>
      <c r="D58" s="1"/>
      <c r="E58" s="1"/>
      <c r="F58" s="1"/>
      <c r="G58" s="1"/>
      <c r="H58" s="67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13">
        <v>0</v>
      </c>
      <c r="G59" s="14">
        <v>0</v>
      </c>
      <c r="H59" s="67"/>
    </row>
    <row r="60" spans="1:8" x14ac:dyDescent="0.2">
      <c r="A60" s="1"/>
      <c r="B60" s="1"/>
      <c r="C60" s="11"/>
      <c r="D60" s="1"/>
      <c r="E60" s="1"/>
      <c r="F60" s="12"/>
      <c r="G60" s="12"/>
      <c r="H60" s="67"/>
    </row>
    <row r="61" spans="1:8" x14ac:dyDescent="0.2">
      <c r="A61" s="1"/>
      <c r="B61" s="1"/>
      <c r="C61" s="2" t="s">
        <v>108</v>
      </c>
      <c r="D61" s="1"/>
      <c r="E61" s="1"/>
      <c r="F61" s="1"/>
      <c r="G61" s="1"/>
      <c r="H61" s="67"/>
    </row>
    <row r="62" spans="1:8" x14ac:dyDescent="0.2">
      <c r="A62" s="1"/>
      <c r="B62" s="1"/>
      <c r="C62" s="2" t="s">
        <v>105</v>
      </c>
      <c r="D62" s="1"/>
      <c r="E62" s="1" t="s">
        <v>106</v>
      </c>
      <c r="F62" s="13">
        <v>0</v>
      </c>
      <c r="G62" s="14">
        <v>0</v>
      </c>
      <c r="H62" s="67"/>
    </row>
    <row r="63" spans="1:8" x14ac:dyDescent="0.2">
      <c r="A63" s="1"/>
      <c r="B63" s="1"/>
      <c r="C63" s="11"/>
      <c r="D63" s="1"/>
      <c r="E63" s="1"/>
      <c r="F63" s="12"/>
      <c r="G63" s="12"/>
      <c r="H63" s="67"/>
    </row>
    <row r="64" spans="1:8" x14ac:dyDescent="0.2">
      <c r="A64" s="1"/>
      <c r="B64" s="1"/>
      <c r="C64" s="2" t="s">
        <v>109</v>
      </c>
      <c r="D64" s="1"/>
      <c r="E64" s="1"/>
      <c r="F64" s="1"/>
      <c r="G64" s="1"/>
      <c r="H64" s="67"/>
    </row>
    <row r="65" spans="1:8" x14ac:dyDescent="0.2">
      <c r="A65" s="1"/>
      <c r="B65" s="1"/>
      <c r="C65" s="2" t="s">
        <v>105</v>
      </c>
      <c r="D65" s="1"/>
      <c r="E65" s="1" t="s">
        <v>106</v>
      </c>
      <c r="F65" s="13">
        <v>0</v>
      </c>
      <c r="G65" s="14">
        <v>0</v>
      </c>
      <c r="H65" s="67"/>
    </row>
    <row r="66" spans="1:8" x14ac:dyDescent="0.2">
      <c r="A66" s="1"/>
      <c r="B66" s="1"/>
      <c r="C66" s="11"/>
      <c r="D66" s="1"/>
      <c r="E66" s="1"/>
      <c r="F66" s="12"/>
      <c r="G66" s="12"/>
      <c r="H66" s="67"/>
    </row>
    <row r="67" spans="1:8" x14ac:dyDescent="0.2">
      <c r="A67" s="1"/>
      <c r="B67" s="1"/>
      <c r="C67" s="2" t="s">
        <v>110</v>
      </c>
      <c r="D67" s="1"/>
      <c r="E67" s="1"/>
      <c r="F67" s="12"/>
      <c r="G67" s="12"/>
      <c r="H67" s="67"/>
    </row>
    <row r="68" spans="1:8" x14ac:dyDescent="0.2">
      <c r="A68" s="1"/>
      <c r="B68" s="1"/>
      <c r="C68" s="2" t="s">
        <v>105</v>
      </c>
      <c r="D68" s="1"/>
      <c r="E68" s="1" t="s">
        <v>106</v>
      </c>
      <c r="F68" s="13">
        <v>0</v>
      </c>
      <c r="G68" s="14">
        <v>0</v>
      </c>
      <c r="H68" s="67"/>
    </row>
    <row r="69" spans="1:8" x14ac:dyDescent="0.2">
      <c r="A69" s="1"/>
      <c r="B69" s="1"/>
      <c r="C69" s="11"/>
      <c r="D69" s="1"/>
      <c r="E69" s="1"/>
      <c r="F69" s="12"/>
      <c r="G69" s="12"/>
      <c r="H69" s="67"/>
    </row>
    <row r="70" spans="1:8" x14ac:dyDescent="0.2">
      <c r="A70" s="1"/>
      <c r="B70" s="1"/>
      <c r="C70" s="2" t="s">
        <v>111</v>
      </c>
      <c r="D70" s="1"/>
      <c r="E70" s="1"/>
      <c r="F70" s="12"/>
      <c r="G70" s="12"/>
      <c r="H70" s="67"/>
    </row>
    <row r="71" spans="1:8" x14ac:dyDescent="0.2">
      <c r="A71" s="1"/>
      <c r="B71" s="1"/>
      <c r="C71" s="2" t="s">
        <v>105</v>
      </c>
      <c r="D71" s="1"/>
      <c r="E71" s="1" t="s">
        <v>106</v>
      </c>
      <c r="F71" s="13">
        <v>0</v>
      </c>
      <c r="G71" s="14">
        <v>0</v>
      </c>
      <c r="H71" s="67"/>
    </row>
    <row r="72" spans="1:8" x14ac:dyDescent="0.2">
      <c r="A72" s="1"/>
      <c r="B72" s="1"/>
      <c r="C72" s="11"/>
      <c r="D72" s="1"/>
      <c r="E72" s="1"/>
      <c r="F72" s="12"/>
      <c r="G72" s="12"/>
      <c r="H72" s="67"/>
    </row>
    <row r="73" spans="1:8" x14ac:dyDescent="0.2">
      <c r="A73" s="1"/>
      <c r="B73" s="1"/>
      <c r="C73" s="2" t="s">
        <v>112</v>
      </c>
      <c r="D73" s="1"/>
      <c r="E73" s="1"/>
      <c r="F73" s="9">
        <v>14020.945921500001</v>
      </c>
      <c r="G73" s="10">
        <v>0.98562681500000004</v>
      </c>
      <c r="H73" s="67"/>
    </row>
    <row r="74" spans="1:8" x14ac:dyDescent="0.2">
      <c r="A74" s="1"/>
      <c r="B74" s="1"/>
      <c r="C74" s="11"/>
      <c r="D74" s="1"/>
      <c r="E74" s="1"/>
      <c r="F74" s="12"/>
      <c r="G74" s="12"/>
      <c r="H74" s="67"/>
    </row>
    <row r="75" spans="1:8" x14ac:dyDescent="0.2">
      <c r="A75" s="1"/>
      <c r="B75" s="1"/>
      <c r="C75" s="2" t="s">
        <v>113</v>
      </c>
      <c r="D75" s="1"/>
      <c r="E75" s="1"/>
      <c r="F75" s="12"/>
      <c r="G75" s="12"/>
      <c r="H75" s="67"/>
    </row>
    <row r="76" spans="1:8" ht="25.5" x14ac:dyDescent="0.2">
      <c r="A76" s="1"/>
      <c r="B76" s="1"/>
      <c r="C76" s="2" t="s">
        <v>10</v>
      </c>
      <c r="D76" s="1"/>
      <c r="E76" s="1"/>
      <c r="F76" s="12"/>
      <c r="G76" s="12"/>
      <c r="H76" s="67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7"/>
    </row>
    <row r="78" spans="1:8" x14ac:dyDescent="0.2">
      <c r="A78" s="1"/>
      <c r="B78" s="1"/>
      <c r="C78" s="11"/>
      <c r="D78" s="1"/>
      <c r="E78" s="1"/>
      <c r="F78" s="12"/>
      <c r="G78" s="12"/>
      <c r="H78" s="67"/>
    </row>
    <row r="79" spans="1:8" x14ac:dyDescent="0.2">
      <c r="A79" s="1"/>
      <c r="B79" s="1"/>
      <c r="C79" s="2" t="s">
        <v>114</v>
      </c>
      <c r="D79" s="1"/>
      <c r="E79" s="1"/>
      <c r="F79" s="1"/>
      <c r="G79" s="1"/>
      <c r="H79" s="67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7"/>
    </row>
    <row r="81" spans="1:8" x14ac:dyDescent="0.2">
      <c r="A81" s="1"/>
      <c r="B81" s="1"/>
      <c r="C81" s="11"/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115</v>
      </c>
      <c r="D82" s="1"/>
      <c r="E82" s="1"/>
      <c r="F82" s="1"/>
      <c r="G82" s="1"/>
      <c r="H82" s="67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7"/>
    </row>
    <row r="84" spans="1:8" x14ac:dyDescent="0.2">
      <c r="A84" s="1"/>
      <c r="B84" s="1"/>
      <c r="C84" s="11"/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116</v>
      </c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7"/>
    </row>
    <row r="87" spans="1:8" x14ac:dyDescent="0.2">
      <c r="A87" s="1"/>
      <c r="B87" s="1"/>
      <c r="C87" s="11"/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117</v>
      </c>
      <c r="D88" s="1"/>
      <c r="E88" s="1"/>
      <c r="F88" s="9">
        <v>0</v>
      </c>
      <c r="G88" s="10">
        <v>0</v>
      </c>
      <c r="H88" s="67"/>
    </row>
    <row r="89" spans="1:8" x14ac:dyDescent="0.2">
      <c r="A89" s="1"/>
      <c r="B89" s="1"/>
      <c r="C89" s="11"/>
      <c r="D89" s="1"/>
      <c r="E89" s="1"/>
      <c r="F89" s="12"/>
      <c r="G89" s="12"/>
      <c r="H89" s="67"/>
    </row>
    <row r="90" spans="1:8" x14ac:dyDescent="0.2">
      <c r="A90" s="1"/>
      <c r="B90" s="1"/>
      <c r="C90" s="2" t="s">
        <v>118</v>
      </c>
      <c r="D90" s="1"/>
      <c r="E90" s="1"/>
      <c r="F90" s="12"/>
      <c r="G90" s="12"/>
      <c r="H90" s="67"/>
    </row>
    <row r="91" spans="1:8" x14ac:dyDescent="0.2">
      <c r="A91" s="1"/>
      <c r="B91" s="1"/>
      <c r="C91" s="2" t="s">
        <v>119</v>
      </c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7"/>
    </row>
    <row r="93" spans="1:8" x14ac:dyDescent="0.2">
      <c r="A93" s="1"/>
      <c r="B93" s="1"/>
      <c r="C93" s="11"/>
      <c r="D93" s="1"/>
      <c r="E93" s="1"/>
      <c r="F93" s="12"/>
      <c r="G93" s="12"/>
      <c r="H93" s="67"/>
    </row>
    <row r="94" spans="1:8" x14ac:dyDescent="0.2">
      <c r="A94" s="1"/>
      <c r="B94" s="1"/>
      <c r="C94" s="2" t="s">
        <v>120</v>
      </c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7"/>
    </row>
    <row r="96" spans="1:8" x14ac:dyDescent="0.2">
      <c r="A96" s="1"/>
      <c r="B96" s="1"/>
      <c r="C96" s="11"/>
      <c r="D96" s="1"/>
      <c r="E96" s="1"/>
      <c r="F96" s="12"/>
      <c r="G96" s="12"/>
      <c r="H96" s="67"/>
    </row>
    <row r="97" spans="1:8" x14ac:dyDescent="0.2">
      <c r="A97" s="1"/>
      <c r="B97" s="1"/>
      <c r="C97" s="2" t="s">
        <v>121</v>
      </c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7"/>
    </row>
    <row r="99" spans="1:8" x14ac:dyDescent="0.2">
      <c r="A99" s="1"/>
      <c r="B99" s="1"/>
      <c r="C99" s="11"/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122</v>
      </c>
      <c r="D100" s="1"/>
      <c r="E100" s="1"/>
      <c r="F100" s="12"/>
      <c r="G100" s="12"/>
      <c r="H100" s="67"/>
    </row>
    <row r="101" spans="1:8" x14ac:dyDescent="0.2">
      <c r="A101" s="3">
        <v>1</v>
      </c>
      <c r="B101" s="4"/>
      <c r="C101" s="4" t="s">
        <v>123</v>
      </c>
      <c r="D101" s="4"/>
      <c r="E101" s="8"/>
      <c r="F101" s="6">
        <v>175.2561924</v>
      </c>
      <c r="G101" s="7">
        <v>1.2319939E-2</v>
      </c>
      <c r="H101" s="67">
        <v>3.1047477660654299</v>
      </c>
    </row>
    <row r="102" spans="1:8" x14ac:dyDescent="0.2">
      <c r="A102" s="1"/>
      <c r="B102" s="1"/>
      <c r="C102" s="2" t="s">
        <v>105</v>
      </c>
      <c r="D102" s="1"/>
      <c r="E102" s="1" t="s">
        <v>106</v>
      </c>
      <c r="F102" s="9">
        <v>175.2561924</v>
      </c>
      <c r="G102" s="10">
        <v>1.2319939E-2</v>
      </c>
      <c r="H102" s="67"/>
    </row>
    <row r="103" spans="1:8" x14ac:dyDescent="0.2">
      <c r="A103" s="1"/>
      <c r="B103" s="1"/>
      <c r="C103" s="11"/>
      <c r="D103" s="1"/>
      <c r="E103" s="1"/>
      <c r="F103" s="12"/>
      <c r="G103" s="12"/>
      <c r="H103" s="67"/>
    </row>
    <row r="104" spans="1:8" x14ac:dyDescent="0.2">
      <c r="A104" s="1"/>
      <c r="B104" s="1"/>
      <c r="C104" s="2" t="s">
        <v>124</v>
      </c>
      <c r="D104" s="1"/>
      <c r="E104" s="1"/>
      <c r="F104" s="9">
        <v>175.2561924</v>
      </c>
      <c r="G104" s="10">
        <v>1.2319939E-2</v>
      </c>
      <c r="H104" s="67"/>
    </row>
    <row r="105" spans="1:8" x14ac:dyDescent="0.2">
      <c r="A105" s="1"/>
      <c r="B105" s="1"/>
      <c r="C105" s="12"/>
      <c r="D105" s="1"/>
      <c r="E105" s="1"/>
      <c r="F105" s="1"/>
      <c r="G105" s="1"/>
      <c r="H105" s="67"/>
    </row>
    <row r="106" spans="1:8" x14ac:dyDescent="0.2">
      <c r="A106" s="1"/>
      <c r="B106" s="1"/>
      <c r="C106" s="2" t="s">
        <v>125</v>
      </c>
      <c r="D106" s="1"/>
      <c r="E106" s="1"/>
      <c r="F106" s="1"/>
      <c r="G106" s="1"/>
      <c r="H106" s="67"/>
    </row>
    <row r="107" spans="1:8" x14ac:dyDescent="0.2">
      <c r="A107" s="1"/>
      <c r="B107" s="1"/>
      <c r="C107" s="2" t="s">
        <v>126</v>
      </c>
      <c r="D107" s="1"/>
      <c r="E107" s="1"/>
      <c r="F107" s="1"/>
      <c r="G107" s="1"/>
      <c r="H107" s="67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">
        <v>0</v>
      </c>
      <c r="H108" s="67"/>
    </row>
    <row r="109" spans="1:8" x14ac:dyDescent="0.2">
      <c r="A109" s="1"/>
      <c r="B109" s="1"/>
      <c r="C109" s="11"/>
      <c r="D109" s="1"/>
      <c r="E109" s="1"/>
      <c r="F109" s="12"/>
      <c r="G109" s="12"/>
      <c r="H109" s="67"/>
    </row>
    <row r="110" spans="1:8" x14ac:dyDescent="0.2">
      <c r="A110" s="1"/>
      <c r="B110" s="1"/>
      <c r="C110" s="2" t="s">
        <v>127</v>
      </c>
      <c r="D110" s="1"/>
      <c r="E110" s="1"/>
      <c r="F110" s="1"/>
      <c r="G110" s="1"/>
      <c r="H110" s="67"/>
    </row>
    <row r="111" spans="1:8" x14ac:dyDescent="0.2">
      <c r="A111" s="1"/>
      <c r="B111" s="1"/>
      <c r="C111" s="2" t="s">
        <v>128</v>
      </c>
      <c r="D111" s="1"/>
      <c r="E111" s="1"/>
      <c r="F111" s="1"/>
      <c r="G111" s="1"/>
      <c r="H111" s="67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">
        <v>0</v>
      </c>
      <c r="H112" s="67"/>
    </row>
    <row r="113" spans="1:8" x14ac:dyDescent="0.2">
      <c r="A113" s="1"/>
      <c r="B113" s="1"/>
      <c r="C113" s="11"/>
      <c r="D113" s="1"/>
      <c r="E113" s="1"/>
      <c r="F113" s="12"/>
      <c r="G113" s="12"/>
      <c r="H113" s="67"/>
    </row>
    <row r="114" spans="1:8" x14ac:dyDescent="0.2">
      <c r="A114" s="1"/>
      <c r="B114" s="1"/>
      <c r="C114" s="11"/>
      <c r="D114" s="1"/>
      <c r="E114" s="1"/>
      <c r="F114" s="12"/>
      <c r="G114" s="12"/>
      <c r="H114" s="67"/>
    </row>
    <row r="115" spans="1:8" ht="25.5" x14ac:dyDescent="0.2">
      <c r="A115" s="1"/>
      <c r="B115" s="1"/>
      <c r="C115" s="2" t="s">
        <v>129</v>
      </c>
      <c r="D115" s="1"/>
      <c r="E115" s="1"/>
      <c r="F115" s="12"/>
      <c r="G115" s="12"/>
      <c r="H115" s="67"/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13">
        <v>0</v>
      </c>
      <c r="G116" s="14">
        <v>0</v>
      </c>
      <c r="H116" s="67"/>
    </row>
    <row r="117" spans="1:8" x14ac:dyDescent="0.2">
      <c r="A117" s="1"/>
      <c r="B117" s="1"/>
      <c r="C117" s="11"/>
      <c r="D117" s="1"/>
      <c r="E117" s="1"/>
      <c r="F117" s="12"/>
      <c r="G117" s="12"/>
      <c r="H117" s="67"/>
    </row>
    <row r="118" spans="1:8" x14ac:dyDescent="0.2">
      <c r="A118" s="1"/>
      <c r="B118" s="4"/>
      <c r="C118" s="4"/>
      <c r="D118" s="2"/>
      <c r="E118" s="1"/>
      <c r="F118" s="4"/>
      <c r="G118" s="8"/>
      <c r="H118" s="67"/>
    </row>
    <row r="119" spans="1:8" x14ac:dyDescent="0.2">
      <c r="A119" s="8"/>
      <c r="B119" s="4"/>
      <c r="C119" s="4" t="s">
        <v>130</v>
      </c>
      <c r="D119" s="4"/>
      <c r="E119" s="8"/>
      <c r="F119" s="6">
        <v>29.2082792</v>
      </c>
      <c r="G119" s="7">
        <v>2.0532469999999998E-3</v>
      </c>
      <c r="H119" s="67"/>
    </row>
    <row r="120" spans="1:8" x14ac:dyDescent="0.2">
      <c r="A120" s="11"/>
      <c r="B120" s="11"/>
      <c r="C120" s="2" t="s">
        <v>131</v>
      </c>
      <c r="D120" s="15"/>
      <c r="E120" s="15"/>
      <c r="F120" s="9">
        <v>14225.410393100001</v>
      </c>
      <c r="G120" s="10">
        <v>1.0000000010000001</v>
      </c>
      <c r="H120" s="67"/>
    </row>
    <row r="121" spans="1:8" ht="14.1" customHeight="1" x14ac:dyDescent="0.2">
      <c r="A121" s="16"/>
      <c r="B121" s="16"/>
      <c r="C121" s="16"/>
      <c r="D121" s="17"/>
      <c r="E121" s="17"/>
      <c r="F121" s="17"/>
      <c r="G121" s="17"/>
    </row>
    <row r="122" spans="1:8" ht="14.1" customHeight="1" x14ac:dyDescent="0.2">
      <c r="A122" s="18"/>
      <c r="B122" s="170" t="s">
        <v>106</v>
      </c>
      <c r="C122" s="170"/>
      <c r="D122" s="170"/>
      <c r="E122" s="170"/>
      <c r="F122" s="170"/>
      <c r="G122" s="20"/>
    </row>
    <row r="123" spans="1:8" ht="14.1" customHeight="1" x14ac:dyDescent="0.2">
      <c r="A123" s="18"/>
      <c r="B123" s="170" t="s">
        <v>106</v>
      </c>
      <c r="C123" s="170"/>
      <c r="D123" s="170"/>
      <c r="E123" s="170"/>
      <c r="F123" s="170"/>
      <c r="G123" s="20"/>
    </row>
    <row r="124" spans="1:8" ht="14.1" customHeight="1" x14ac:dyDescent="0.2">
      <c r="A124" s="18"/>
      <c r="B124" s="18"/>
      <c r="C124" s="18"/>
      <c r="D124" s="20"/>
      <c r="E124" s="20"/>
      <c r="F124" s="20"/>
      <c r="G124" s="20"/>
    </row>
    <row r="125" spans="1:8" ht="14.1" customHeight="1" x14ac:dyDescent="0.2">
      <c r="A125" s="18"/>
      <c r="B125" s="168" t="s">
        <v>133</v>
      </c>
      <c r="C125" s="169"/>
      <c r="D125" s="12" t="s">
        <v>106</v>
      </c>
      <c r="E125" s="21"/>
      <c r="F125" s="20"/>
      <c r="G125" s="20"/>
    </row>
    <row r="126" spans="1:8" ht="29.1" customHeight="1" x14ac:dyDescent="0.2">
      <c r="A126" s="18"/>
      <c r="B126" s="165" t="s">
        <v>134</v>
      </c>
      <c r="C126" s="166"/>
      <c r="D126" s="2" t="s">
        <v>135</v>
      </c>
      <c r="E126" s="21"/>
      <c r="F126" s="20"/>
      <c r="G126" s="20"/>
    </row>
    <row r="127" spans="1:8" ht="17.100000000000001" customHeight="1" x14ac:dyDescent="0.2">
      <c r="A127" s="18"/>
      <c r="B127" s="165" t="s">
        <v>136</v>
      </c>
      <c r="C127" s="166"/>
      <c r="D127" s="2" t="s">
        <v>135</v>
      </c>
      <c r="E127" s="21"/>
      <c r="F127" s="20"/>
      <c r="G127" s="20"/>
    </row>
    <row r="128" spans="1:8" ht="17.100000000000001" customHeight="1" x14ac:dyDescent="0.2">
      <c r="A128" s="18"/>
      <c r="B128" s="165" t="s">
        <v>137</v>
      </c>
      <c r="C128" s="166"/>
      <c r="D128" s="12" t="s">
        <v>106</v>
      </c>
      <c r="E128" s="21"/>
      <c r="F128" s="20"/>
      <c r="G128" s="20"/>
    </row>
    <row r="129" spans="1:7" ht="24" customHeight="1" x14ac:dyDescent="0.2">
      <c r="A129" s="22"/>
      <c r="B129" s="23" t="s">
        <v>106</v>
      </c>
      <c r="C129" s="23" t="s">
        <v>138</v>
      </c>
      <c r="D129" s="23" t="s">
        <v>139</v>
      </c>
      <c r="E129" s="22"/>
      <c r="F129" s="22"/>
      <c r="G129" s="22"/>
    </row>
    <row r="130" spans="1:7" ht="18" customHeight="1" x14ac:dyDescent="0.2">
      <c r="A130" s="22"/>
      <c r="B130" s="23" t="s">
        <v>140</v>
      </c>
      <c r="C130" s="23" t="s">
        <v>141</v>
      </c>
      <c r="D130" s="23" t="s">
        <v>142</v>
      </c>
      <c r="E130" s="22"/>
      <c r="F130" s="22"/>
      <c r="G130" s="22"/>
    </row>
    <row r="131" spans="1:7" ht="17.100000000000001" customHeight="1" x14ac:dyDescent="0.2">
      <c r="A131" s="22"/>
      <c r="B131" s="4" t="s">
        <v>143</v>
      </c>
      <c r="C131" s="24">
        <v>16.103400000000001</v>
      </c>
      <c r="D131" s="24">
        <v>17.0886</v>
      </c>
      <c r="E131" s="22"/>
      <c r="F131" s="19"/>
      <c r="G131" s="25"/>
    </row>
    <row r="132" spans="1:7" ht="17.100000000000001" customHeight="1" x14ac:dyDescent="0.2">
      <c r="A132" s="22"/>
      <c r="B132" s="4" t="s">
        <v>988</v>
      </c>
      <c r="C132" s="24">
        <v>15.316700000000001</v>
      </c>
      <c r="D132" s="24">
        <v>16.253699999999998</v>
      </c>
      <c r="E132" s="22"/>
      <c r="F132" s="19"/>
      <c r="G132" s="25"/>
    </row>
    <row r="133" spans="1:7" ht="17.100000000000001" customHeight="1" x14ac:dyDescent="0.2">
      <c r="A133" s="22"/>
      <c r="B133" s="4" t="s">
        <v>144</v>
      </c>
      <c r="C133" s="24">
        <v>15.8169</v>
      </c>
      <c r="D133" s="24">
        <v>16.776499999999999</v>
      </c>
      <c r="E133" s="22"/>
      <c r="F133" s="19"/>
      <c r="G133" s="25"/>
    </row>
    <row r="134" spans="1:7" ht="17.100000000000001" customHeight="1" x14ac:dyDescent="0.2">
      <c r="A134" s="22"/>
      <c r="B134" s="4" t="s">
        <v>989</v>
      </c>
      <c r="C134" s="24">
        <v>15.216799999999999</v>
      </c>
      <c r="D134" s="24">
        <v>16.14</v>
      </c>
      <c r="E134" s="22"/>
      <c r="F134" s="19"/>
      <c r="G134" s="25"/>
    </row>
    <row r="135" spans="1:7" ht="14.1" customHeight="1" x14ac:dyDescent="0.2">
      <c r="A135" s="22"/>
      <c r="B135" s="22"/>
      <c r="C135" s="22"/>
      <c r="D135" s="22"/>
      <c r="E135" s="22"/>
      <c r="F135" s="22"/>
      <c r="G135" s="22"/>
    </row>
    <row r="136" spans="1:7" ht="17.100000000000001" customHeight="1" x14ac:dyDescent="0.2">
      <c r="A136" s="22"/>
      <c r="B136" s="165" t="s">
        <v>990</v>
      </c>
      <c r="C136" s="166"/>
      <c r="D136" s="2" t="s">
        <v>135</v>
      </c>
      <c r="E136" s="22"/>
      <c r="F136" s="22"/>
      <c r="G136" s="22"/>
    </row>
    <row r="137" spans="1:7" ht="18" customHeight="1" x14ac:dyDescent="0.2">
      <c r="A137" s="22"/>
      <c r="B137" s="26" t="s">
        <v>145</v>
      </c>
      <c r="C137" s="26" t="s">
        <v>145</v>
      </c>
      <c r="D137" s="26"/>
      <c r="E137" s="22"/>
      <c r="F137" s="22"/>
      <c r="G137" s="22"/>
    </row>
    <row r="138" spans="1:7" s="158" customFormat="1" x14ac:dyDescent="0.2">
      <c r="B138" s="167" t="s">
        <v>822</v>
      </c>
      <c r="C138" s="167"/>
      <c r="D138" s="167"/>
      <c r="E138" s="167"/>
      <c r="F138" s="167"/>
    </row>
    <row r="139" spans="1:7" ht="14.1" customHeight="1" x14ac:dyDescent="0.2">
      <c r="A139" s="22"/>
      <c r="B139" s="19"/>
      <c r="C139" s="19"/>
      <c r="D139" s="22"/>
      <c r="E139" s="22"/>
      <c r="F139" s="22"/>
      <c r="G139" s="22"/>
    </row>
    <row r="140" spans="1:7" ht="29.1" customHeight="1" x14ac:dyDescent="0.2">
      <c r="A140" s="22"/>
      <c r="B140" s="165" t="s">
        <v>146</v>
      </c>
      <c r="C140" s="166"/>
      <c r="D140" s="2" t="s">
        <v>135</v>
      </c>
      <c r="E140" s="22"/>
      <c r="F140" s="22"/>
      <c r="G140" s="22"/>
    </row>
    <row r="141" spans="1:7" ht="29.1" customHeight="1" x14ac:dyDescent="0.2">
      <c r="A141" s="22"/>
      <c r="B141" s="165" t="s">
        <v>147</v>
      </c>
      <c r="C141" s="166"/>
      <c r="D141" s="2" t="s">
        <v>135</v>
      </c>
      <c r="E141" s="22"/>
      <c r="F141" s="22"/>
      <c r="G141" s="22"/>
    </row>
    <row r="142" spans="1:7" ht="17.100000000000001" customHeight="1" x14ac:dyDescent="0.2">
      <c r="A142" s="22"/>
      <c r="B142" s="165" t="s">
        <v>148</v>
      </c>
      <c r="C142" s="166"/>
      <c r="D142" s="27">
        <v>0.38369453577962248</v>
      </c>
      <c r="E142" s="22"/>
      <c r="F142" s="19"/>
      <c r="G142" s="25"/>
    </row>
    <row r="143" spans="1:7" ht="17.100000000000001" customHeight="1" x14ac:dyDescent="0.2">
      <c r="A143" s="22"/>
      <c r="B143" s="165" t="s">
        <v>149</v>
      </c>
      <c r="C143" s="166"/>
      <c r="D143" s="2" t="s">
        <v>135</v>
      </c>
      <c r="E143" s="22"/>
      <c r="F143" s="22"/>
      <c r="G143" s="22"/>
    </row>
  </sheetData>
  <mergeCells count="15">
    <mergeCell ref="B125:C125"/>
    <mergeCell ref="B122:F122"/>
    <mergeCell ref="B123:F123"/>
    <mergeCell ref="A1:H1"/>
    <mergeCell ref="A2:H2"/>
    <mergeCell ref="A3:H3"/>
    <mergeCell ref="B142:C142"/>
    <mergeCell ref="B143:C143"/>
    <mergeCell ref="B126:C126"/>
    <mergeCell ref="B127:C127"/>
    <mergeCell ref="B128:C128"/>
    <mergeCell ref="B136:C136"/>
    <mergeCell ref="B140:C140"/>
    <mergeCell ref="B141:C141"/>
    <mergeCell ref="B138:F138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4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437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22</v>
      </c>
      <c r="C7" s="4" t="s">
        <v>23</v>
      </c>
      <c r="D7" s="4" t="s">
        <v>24</v>
      </c>
      <c r="E7" s="5">
        <v>75948</v>
      </c>
      <c r="F7" s="6">
        <v>546.10409400000003</v>
      </c>
      <c r="G7" s="7">
        <v>6.5296299000000002E-2</v>
      </c>
      <c r="H7" s="67"/>
    </row>
    <row r="8" spans="1:8" x14ac:dyDescent="0.2">
      <c r="A8" s="3">
        <v>2</v>
      </c>
      <c r="B8" s="4" t="s">
        <v>398</v>
      </c>
      <c r="C8" s="4" t="s">
        <v>399</v>
      </c>
      <c r="D8" s="4" t="s">
        <v>24</v>
      </c>
      <c r="E8" s="5">
        <v>33012</v>
      </c>
      <c r="F8" s="6">
        <v>522.05176800000004</v>
      </c>
      <c r="G8" s="7">
        <v>6.2420423000000003E-2</v>
      </c>
      <c r="H8" s="67"/>
    </row>
    <row r="9" spans="1:8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22017</v>
      </c>
      <c r="F9" s="6">
        <v>497.17688550000003</v>
      </c>
      <c r="G9" s="7">
        <v>5.9446195E-2</v>
      </c>
      <c r="H9" s="67"/>
    </row>
    <row r="10" spans="1:8" x14ac:dyDescent="0.2">
      <c r="A10" s="3">
        <v>4</v>
      </c>
      <c r="B10" s="4" t="s">
        <v>400</v>
      </c>
      <c r="C10" s="4" t="s">
        <v>401</v>
      </c>
      <c r="D10" s="4" t="s">
        <v>166</v>
      </c>
      <c r="E10" s="5">
        <v>24647</v>
      </c>
      <c r="F10" s="6">
        <v>420.58873149999999</v>
      </c>
      <c r="G10" s="7">
        <v>5.0288740999999998E-2</v>
      </c>
      <c r="H10" s="67"/>
    </row>
    <row r="11" spans="1:8" ht="25.5" x14ac:dyDescent="0.2">
      <c r="A11" s="3">
        <v>5</v>
      </c>
      <c r="B11" s="4" t="s">
        <v>402</v>
      </c>
      <c r="C11" s="4" t="s">
        <v>403</v>
      </c>
      <c r="D11" s="4" t="s">
        <v>81</v>
      </c>
      <c r="E11" s="5">
        <v>13157</v>
      </c>
      <c r="F11" s="6">
        <v>368.198645</v>
      </c>
      <c r="G11" s="7">
        <v>4.4024590000000002E-2</v>
      </c>
      <c r="H11" s="67"/>
    </row>
    <row r="12" spans="1:8" x14ac:dyDescent="0.2">
      <c r="A12" s="3">
        <v>6</v>
      </c>
      <c r="B12" s="4" t="s">
        <v>151</v>
      </c>
      <c r="C12" s="4" t="s">
        <v>152</v>
      </c>
      <c r="D12" s="4" t="s">
        <v>153</v>
      </c>
      <c r="E12" s="5">
        <v>8845</v>
      </c>
      <c r="F12" s="6">
        <v>356.24122</v>
      </c>
      <c r="G12" s="7">
        <v>4.2594870999999999E-2</v>
      </c>
      <c r="H12" s="67"/>
    </row>
    <row r="13" spans="1:8" x14ac:dyDescent="0.2">
      <c r="A13" s="3">
        <v>7</v>
      </c>
      <c r="B13" s="4" t="s">
        <v>354</v>
      </c>
      <c r="C13" s="4" t="s">
        <v>355</v>
      </c>
      <c r="D13" s="4" t="s">
        <v>24</v>
      </c>
      <c r="E13" s="5">
        <v>33477</v>
      </c>
      <c r="F13" s="6">
        <v>263.296605</v>
      </c>
      <c r="G13" s="7">
        <v>3.1481716E-2</v>
      </c>
      <c r="H13" s="67"/>
    </row>
    <row r="14" spans="1:8" ht="25.5" x14ac:dyDescent="0.2">
      <c r="A14" s="3">
        <v>8</v>
      </c>
      <c r="B14" s="4" t="s">
        <v>321</v>
      </c>
      <c r="C14" s="4" t="s">
        <v>322</v>
      </c>
      <c r="D14" s="4" t="s">
        <v>52</v>
      </c>
      <c r="E14" s="5">
        <v>29686</v>
      </c>
      <c r="F14" s="6">
        <v>251.425577</v>
      </c>
      <c r="G14" s="7">
        <v>3.0062327E-2</v>
      </c>
      <c r="H14" s="67"/>
    </row>
    <row r="15" spans="1:8" x14ac:dyDescent="0.2">
      <c r="A15" s="3">
        <v>9</v>
      </c>
      <c r="B15" s="4" t="s">
        <v>404</v>
      </c>
      <c r="C15" s="4" t="s">
        <v>405</v>
      </c>
      <c r="D15" s="4" t="s">
        <v>24</v>
      </c>
      <c r="E15" s="5">
        <v>58550</v>
      </c>
      <c r="F15" s="6">
        <v>249.45227499999999</v>
      </c>
      <c r="G15" s="7">
        <v>2.9826384000000001E-2</v>
      </c>
      <c r="H15" s="67"/>
    </row>
    <row r="16" spans="1:8" x14ac:dyDescent="0.2">
      <c r="A16" s="3">
        <v>10</v>
      </c>
      <c r="B16" s="4" t="s">
        <v>25</v>
      </c>
      <c r="C16" s="4" t="s">
        <v>26</v>
      </c>
      <c r="D16" s="4" t="s">
        <v>27</v>
      </c>
      <c r="E16" s="5">
        <v>18316</v>
      </c>
      <c r="F16" s="6">
        <v>236.450402</v>
      </c>
      <c r="G16" s="7">
        <v>2.8271781999999999E-2</v>
      </c>
      <c r="H16" s="67"/>
    </row>
    <row r="17" spans="1:8" x14ac:dyDescent="0.2">
      <c r="A17" s="3">
        <v>11</v>
      </c>
      <c r="B17" s="4" t="s">
        <v>309</v>
      </c>
      <c r="C17" s="4" t="s">
        <v>310</v>
      </c>
      <c r="D17" s="4" t="s">
        <v>1001</v>
      </c>
      <c r="E17" s="5">
        <v>5403</v>
      </c>
      <c r="F17" s="6">
        <v>215.84985</v>
      </c>
      <c r="G17" s="7">
        <v>2.5808626000000001E-2</v>
      </c>
      <c r="H17" s="67"/>
    </row>
    <row r="18" spans="1:8" x14ac:dyDescent="0.2">
      <c r="A18" s="3">
        <v>12</v>
      </c>
      <c r="B18" s="4" t="s">
        <v>348</v>
      </c>
      <c r="C18" s="4" t="s">
        <v>349</v>
      </c>
      <c r="D18" s="4" t="s">
        <v>1003</v>
      </c>
      <c r="E18" s="5">
        <v>29796</v>
      </c>
      <c r="F18" s="6">
        <v>215.007936</v>
      </c>
      <c r="G18" s="7">
        <v>2.5707959999999998E-2</v>
      </c>
      <c r="H18" s="67"/>
    </row>
    <row r="19" spans="1:8" x14ac:dyDescent="0.2">
      <c r="A19" s="3">
        <v>13</v>
      </c>
      <c r="B19" s="4" t="s">
        <v>406</v>
      </c>
      <c r="C19" s="4" t="s">
        <v>407</v>
      </c>
      <c r="D19" s="4" t="s">
        <v>1002</v>
      </c>
      <c r="E19" s="5">
        <v>17710</v>
      </c>
      <c r="F19" s="6">
        <v>211.112055</v>
      </c>
      <c r="G19" s="7">
        <v>2.524214E-2</v>
      </c>
      <c r="H19" s="67"/>
    </row>
    <row r="20" spans="1:8" x14ac:dyDescent="0.2">
      <c r="A20" s="3">
        <v>14</v>
      </c>
      <c r="B20" s="4" t="s">
        <v>11</v>
      </c>
      <c r="C20" s="4" t="s">
        <v>12</v>
      </c>
      <c r="D20" s="4" t="s">
        <v>13</v>
      </c>
      <c r="E20" s="5">
        <v>12437</v>
      </c>
      <c r="F20" s="6">
        <v>207.97151400000001</v>
      </c>
      <c r="G20" s="7">
        <v>2.4866632999999999E-2</v>
      </c>
      <c r="H20" s="67"/>
    </row>
    <row r="21" spans="1:8" ht="25.5" x14ac:dyDescent="0.2">
      <c r="A21" s="3">
        <v>15</v>
      </c>
      <c r="B21" s="4" t="s">
        <v>408</v>
      </c>
      <c r="C21" s="4" t="s">
        <v>409</v>
      </c>
      <c r="D21" s="4" t="s">
        <v>52</v>
      </c>
      <c r="E21" s="5">
        <v>7532</v>
      </c>
      <c r="F21" s="6">
        <v>205.17921200000001</v>
      </c>
      <c r="G21" s="7">
        <v>2.4532765000000002E-2</v>
      </c>
      <c r="H21" s="67"/>
    </row>
    <row r="22" spans="1:8" x14ac:dyDescent="0.2">
      <c r="A22" s="3">
        <v>16</v>
      </c>
      <c r="B22" s="4" t="s">
        <v>17</v>
      </c>
      <c r="C22" s="4" t="s">
        <v>18</v>
      </c>
      <c r="D22" s="4" t="s">
        <v>19</v>
      </c>
      <c r="E22" s="5">
        <v>26720</v>
      </c>
      <c r="F22" s="6">
        <v>177.43415999999999</v>
      </c>
      <c r="G22" s="7">
        <v>2.1215358E-2</v>
      </c>
      <c r="H22" s="67"/>
    </row>
    <row r="23" spans="1:8" ht="25.5" x14ac:dyDescent="0.2">
      <c r="A23" s="3">
        <v>17</v>
      </c>
      <c r="B23" s="4" t="s">
        <v>327</v>
      </c>
      <c r="C23" s="4" t="s">
        <v>328</v>
      </c>
      <c r="D23" s="4" t="s">
        <v>55</v>
      </c>
      <c r="E23" s="5">
        <v>37015</v>
      </c>
      <c r="F23" s="6">
        <v>175.24751749999999</v>
      </c>
      <c r="G23" s="7">
        <v>2.0953907000000001E-2</v>
      </c>
      <c r="H23" s="67"/>
    </row>
    <row r="24" spans="1:8" x14ac:dyDescent="0.2">
      <c r="A24" s="3">
        <v>18</v>
      </c>
      <c r="B24" s="4" t="s">
        <v>410</v>
      </c>
      <c r="C24" s="4" t="s">
        <v>411</v>
      </c>
      <c r="D24" s="4" t="s">
        <v>153</v>
      </c>
      <c r="E24" s="5">
        <v>29565</v>
      </c>
      <c r="F24" s="6">
        <v>170.33874750000001</v>
      </c>
      <c r="G24" s="7">
        <v>2.0366977000000001E-2</v>
      </c>
      <c r="H24" s="67"/>
    </row>
    <row r="25" spans="1:8" x14ac:dyDescent="0.2">
      <c r="A25" s="3">
        <v>19</v>
      </c>
      <c r="B25" s="4" t="s">
        <v>208</v>
      </c>
      <c r="C25" s="4" t="s">
        <v>209</v>
      </c>
      <c r="D25" s="4" t="s">
        <v>1005</v>
      </c>
      <c r="E25" s="5">
        <v>19626</v>
      </c>
      <c r="F25" s="6">
        <v>166.20278099999999</v>
      </c>
      <c r="G25" s="7">
        <v>1.987245E-2</v>
      </c>
      <c r="H25" s="67"/>
    </row>
    <row r="26" spans="1:8" ht="25.5" x14ac:dyDescent="0.2">
      <c r="A26" s="3">
        <v>20</v>
      </c>
      <c r="B26" s="4" t="s">
        <v>31</v>
      </c>
      <c r="C26" s="4" t="s">
        <v>993</v>
      </c>
      <c r="D26" s="4" t="s">
        <v>992</v>
      </c>
      <c r="E26" s="5">
        <v>2097</v>
      </c>
      <c r="F26" s="6">
        <v>164.2464765</v>
      </c>
      <c r="G26" s="7">
        <v>1.9638539999999999E-2</v>
      </c>
      <c r="H26" s="67"/>
    </row>
    <row r="27" spans="1:8" x14ac:dyDescent="0.2">
      <c r="A27" s="3">
        <v>21</v>
      </c>
      <c r="B27" s="4" t="s">
        <v>70</v>
      </c>
      <c r="C27" s="4" t="s">
        <v>71</v>
      </c>
      <c r="D27" s="4" t="s">
        <v>27</v>
      </c>
      <c r="E27" s="5">
        <v>15282</v>
      </c>
      <c r="F27" s="6">
        <v>152.69010299999999</v>
      </c>
      <c r="G27" s="7">
        <v>1.8256773E-2</v>
      </c>
      <c r="H27" s="67"/>
    </row>
    <row r="28" spans="1:8" x14ac:dyDescent="0.2">
      <c r="A28" s="3">
        <v>22</v>
      </c>
      <c r="B28" s="4" t="s">
        <v>412</v>
      </c>
      <c r="C28" s="4" t="s">
        <v>413</v>
      </c>
      <c r="D28" s="4" t="s">
        <v>166</v>
      </c>
      <c r="E28" s="5">
        <v>23000</v>
      </c>
      <c r="F28" s="6">
        <v>147.41849999999999</v>
      </c>
      <c r="G28" s="7">
        <v>1.7626461E-2</v>
      </c>
      <c r="H28" s="67"/>
    </row>
    <row r="29" spans="1:8" x14ac:dyDescent="0.2">
      <c r="A29" s="3">
        <v>23</v>
      </c>
      <c r="B29" s="4" t="s">
        <v>414</v>
      </c>
      <c r="C29" s="4" t="s">
        <v>415</v>
      </c>
      <c r="D29" s="4" t="s">
        <v>166</v>
      </c>
      <c r="E29" s="5">
        <v>3810</v>
      </c>
      <c r="F29" s="6">
        <v>144.263745</v>
      </c>
      <c r="G29" s="7">
        <v>1.7249255000000002E-2</v>
      </c>
      <c r="H29" s="67"/>
    </row>
    <row r="30" spans="1:8" x14ac:dyDescent="0.2">
      <c r="A30" s="3">
        <v>24</v>
      </c>
      <c r="B30" s="4" t="s">
        <v>416</v>
      </c>
      <c r="C30" s="4" t="s">
        <v>417</v>
      </c>
      <c r="D30" s="4" t="s">
        <v>187</v>
      </c>
      <c r="E30" s="5">
        <v>17804</v>
      </c>
      <c r="F30" s="6">
        <v>141.37266199999999</v>
      </c>
      <c r="G30" s="7">
        <v>1.6903575000000001E-2</v>
      </c>
      <c r="H30" s="67"/>
    </row>
    <row r="31" spans="1:8" ht="25.5" x14ac:dyDescent="0.2">
      <c r="A31" s="3">
        <v>25</v>
      </c>
      <c r="B31" s="4" t="s">
        <v>217</v>
      </c>
      <c r="C31" s="4" t="s">
        <v>218</v>
      </c>
      <c r="D31" s="4" t="s">
        <v>55</v>
      </c>
      <c r="E31" s="5">
        <v>6000</v>
      </c>
      <c r="F31" s="6">
        <v>131.625</v>
      </c>
      <c r="G31" s="7">
        <v>1.5738071999999999E-2</v>
      </c>
      <c r="H31" s="67"/>
    </row>
    <row r="32" spans="1:8" x14ac:dyDescent="0.2">
      <c r="A32" s="3">
        <v>26</v>
      </c>
      <c r="B32" s="4" t="s">
        <v>180</v>
      </c>
      <c r="C32" s="4" t="s">
        <v>181</v>
      </c>
      <c r="D32" s="4" t="s">
        <v>171</v>
      </c>
      <c r="E32" s="5">
        <v>9500</v>
      </c>
      <c r="F32" s="6">
        <v>129.64175</v>
      </c>
      <c r="G32" s="7">
        <v>1.5500939E-2</v>
      </c>
      <c r="H32" s="67"/>
    </row>
    <row r="33" spans="1:8" x14ac:dyDescent="0.2">
      <c r="A33" s="3">
        <v>27</v>
      </c>
      <c r="B33" s="4" t="s">
        <v>364</v>
      </c>
      <c r="C33" s="4" t="s">
        <v>365</v>
      </c>
      <c r="D33" s="4" t="s">
        <v>166</v>
      </c>
      <c r="E33" s="5">
        <v>10771</v>
      </c>
      <c r="F33" s="6">
        <v>127.345533</v>
      </c>
      <c r="G33" s="7">
        <v>1.5226386E-2</v>
      </c>
      <c r="H33" s="67"/>
    </row>
    <row r="34" spans="1:8" x14ac:dyDescent="0.2">
      <c r="A34" s="3">
        <v>28</v>
      </c>
      <c r="B34" s="4" t="s">
        <v>418</v>
      </c>
      <c r="C34" s="4" t="s">
        <v>419</v>
      </c>
      <c r="D34" s="4" t="s">
        <v>49</v>
      </c>
      <c r="E34" s="5">
        <v>8572</v>
      </c>
      <c r="F34" s="6">
        <v>124.31543000000001</v>
      </c>
      <c r="G34" s="7">
        <v>1.4864085000000001E-2</v>
      </c>
      <c r="H34" s="67"/>
    </row>
    <row r="35" spans="1:8" x14ac:dyDescent="0.2">
      <c r="A35" s="3">
        <v>29</v>
      </c>
      <c r="B35" s="4" t="s">
        <v>329</v>
      </c>
      <c r="C35" s="4" t="s">
        <v>330</v>
      </c>
      <c r="D35" s="4" t="s">
        <v>331</v>
      </c>
      <c r="E35" s="5">
        <v>11381</v>
      </c>
      <c r="F35" s="6">
        <v>114.59528899999999</v>
      </c>
      <c r="G35" s="7">
        <v>1.3701872E-2</v>
      </c>
      <c r="H35" s="67"/>
    </row>
    <row r="36" spans="1:8" x14ac:dyDescent="0.2">
      <c r="A36" s="3">
        <v>30</v>
      </c>
      <c r="B36" s="4" t="s">
        <v>420</v>
      </c>
      <c r="C36" s="4" t="s">
        <v>421</v>
      </c>
      <c r="D36" s="4" t="s">
        <v>84</v>
      </c>
      <c r="E36" s="5">
        <v>14328</v>
      </c>
      <c r="F36" s="6">
        <v>113.664024</v>
      </c>
      <c r="G36" s="7">
        <v>1.3590523E-2</v>
      </c>
      <c r="H36" s="67"/>
    </row>
    <row r="37" spans="1:8" x14ac:dyDescent="0.2">
      <c r="A37" s="3">
        <v>31</v>
      </c>
      <c r="B37" s="4" t="s">
        <v>42</v>
      </c>
      <c r="C37" s="4" t="s">
        <v>43</v>
      </c>
      <c r="D37" s="4" t="s">
        <v>16</v>
      </c>
      <c r="E37" s="5">
        <v>21882</v>
      </c>
      <c r="F37" s="6">
        <v>103.206453</v>
      </c>
      <c r="G37" s="7">
        <v>1.2340136999999999E-2</v>
      </c>
      <c r="H37" s="67"/>
    </row>
    <row r="38" spans="1:8" x14ac:dyDescent="0.2">
      <c r="A38" s="3">
        <v>32</v>
      </c>
      <c r="B38" s="4" t="s">
        <v>422</v>
      </c>
      <c r="C38" s="4" t="s">
        <v>423</v>
      </c>
      <c r="D38" s="4" t="s">
        <v>187</v>
      </c>
      <c r="E38" s="5">
        <v>1992</v>
      </c>
      <c r="F38" s="6">
        <v>103.05811199999999</v>
      </c>
      <c r="G38" s="7">
        <v>1.2322400000000001E-2</v>
      </c>
      <c r="H38" s="67"/>
    </row>
    <row r="39" spans="1:8" x14ac:dyDescent="0.2">
      <c r="A39" s="3">
        <v>33</v>
      </c>
      <c r="B39" s="4" t="s">
        <v>334</v>
      </c>
      <c r="C39" s="4" t="s">
        <v>335</v>
      </c>
      <c r="D39" s="4" t="s">
        <v>187</v>
      </c>
      <c r="E39" s="5">
        <v>2422</v>
      </c>
      <c r="F39" s="6">
        <v>94.310258000000005</v>
      </c>
      <c r="G39" s="7">
        <v>1.1276441E-2</v>
      </c>
      <c r="H39" s="67"/>
    </row>
    <row r="40" spans="1:8" x14ac:dyDescent="0.2">
      <c r="A40" s="3">
        <v>34</v>
      </c>
      <c r="B40" s="4" t="s">
        <v>346</v>
      </c>
      <c r="C40" s="4" t="s">
        <v>347</v>
      </c>
      <c r="D40" s="4" t="s">
        <v>171</v>
      </c>
      <c r="E40" s="5">
        <v>104</v>
      </c>
      <c r="F40" s="6">
        <v>82.932460000000006</v>
      </c>
      <c r="G40" s="7">
        <v>9.9160269999999991E-3</v>
      </c>
      <c r="H40" s="67"/>
    </row>
    <row r="41" spans="1:8" x14ac:dyDescent="0.2">
      <c r="A41" s="3">
        <v>35</v>
      </c>
      <c r="B41" s="4" t="s">
        <v>350</v>
      </c>
      <c r="C41" s="4" t="s">
        <v>351</v>
      </c>
      <c r="D41" s="4" t="s">
        <v>46</v>
      </c>
      <c r="E41" s="5">
        <v>11000</v>
      </c>
      <c r="F41" s="6">
        <v>74.750500000000002</v>
      </c>
      <c r="G41" s="7">
        <v>8.9377299999999996E-3</v>
      </c>
      <c r="H41" s="67"/>
    </row>
    <row r="42" spans="1:8" x14ac:dyDescent="0.2">
      <c r="A42" s="3">
        <v>36</v>
      </c>
      <c r="B42" s="4" t="s">
        <v>368</v>
      </c>
      <c r="C42" s="4" t="s">
        <v>369</v>
      </c>
      <c r="D42" s="4" t="s">
        <v>242</v>
      </c>
      <c r="E42" s="5">
        <v>9400</v>
      </c>
      <c r="F42" s="6">
        <v>74.532600000000002</v>
      </c>
      <c r="G42" s="7">
        <v>8.9116760000000003E-3</v>
      </c>
      <c r="H42" s="67"/>
    </row>
    <row r="43" spans="1:8" x14ac:dyDescent="0.2">
      <c r="A43" s="3">
        <v>37</v>
      </c>
      <c r="B43" s="4" t="s">
        <v>424</v>
      </c>
      <c r="C43" s="4" t="s">
        <v>425</v>
      </c>
      <c r="D43" s="4" t="s">
        <v>166</v>
      </c>
      <c r="E43" s="5">
        <v>5144</v>
      </c>
      <c r="F43" s="6">
        <v>74.467116000000004</v>
      </c>
      <c r="G43" s="7">
        <v>8.9038469999999995E-3</v>
      </c>
      <c r="H43" s="67"/>
    </row>
    <row r="44" spans="1:8" x14ac:dyDescent="0.2">
      <c r="A44" s="3">
        <v>38</v>
      </c>
      <c r="B44" s="4" t="s">
        <v>356</v>
      </c>
      <c r="C44" s="4" t="s">
        <v>357</v>
      </c>
      <c r="D44" s="4" t="s">
        <v>24</v>
      </c>
      <c r="E44" s="5">
        <v>96000</v>
      </c>
      <c r="F44" s="6">
        <v>74.256</v>
      </c>
      <c r="G44" s="7">
        <v>8.878604E-3</v>
      </c>
      <c r="H44" s="67"/>
    </row>
    <row r="45" spans="1:8" x14ac:dyDescent="0.2">
      <c r="A45" s="3">
        <v>39</v>
      </c>
      <c r="B45" s="4" t="s">
        <v>426</v>
      </c>
      <c r="C45" s="4" t="s">
        <v>427</v>
      </c>
      <c r="D45" s="4" t="s">
        <v>428</v>
      </c>
      <c r="E45" s="5">
        <v>15027</v>
      </c>
      <c r="F45" s="6">
        <v>70.371441000000004</v>
      </c>
      <c r="G45" s="7">
        <v>8.4141370000000004E-3</v>
      </c>
      <c r="H45" s="67"/>
    </row>
    <row r="46" spans="1:8" x14ac:dyDescent="0.2">
      <c r="A46" s="3">
        <v>40</v>
      </c>
      <c r="B46" s="4" t="s">
        <v>91</v>
      </c>
      <c r="C46" s="4" t="s">
        <v>92</v>
      </c>
      <c r="D46" s="4" t="s">
        <v>27</v>
      </c>
      <c r="E46" s="5">
        <v>956</v>
      </c>
      <c r="F46" s="6">
        <v>69.315736000000001</v>
      </c>
      <c r="G46" s="7">
        <v>8.2879089999999996E-3</v>
      </c>
      <c r="H46" s="67"/>
    </row>
    <row r="47" spans="1:8" ht="25.5" x14ac:dyDescent="0.2">
      <c r="A47" s="3">
        <v>41</v>
      </c>
      <c r="B47" s="4" t="s">
        <v>429</v>
      </c>
      <c r="C47" s="4" t="s">
        <v>430</v>
      </c>
      <c r="D47" s="4" t="s">
        <v>52</v>
      </c>
      <c r="E47" s="5">
        <v>31300</v>
      </c>
      <c r="F47" s="6">
        <v>66.136899999999997</v>
      </c>
      <c r="G47" s="7">
        <v>7.9078240000000008E-3</v>
      </c>
      <c r="H47" s="67"/>
    </row>
    <row r="48" spans="1:8" x14ac:dyDescent="0.2">
      <c r="A48" s="3">
        <v>42</v>
      </c>
      <c r="B48" s="4" t="s">
        <v>431</v>
      </c>
      <c r="C48" s="4" t="s">
        <v>432</v>
      </c>
      <c r="D48" s="4" t="s">
        <v>171</v>
      </c>
      <c r="E48" s="5">
        <v>12994</v>
      </c>
      <c r="F48" s="6">
        <v>64.982994000000005</v>
      </c>
      <c r="G48" s="7">
        <v>7.7698539999999996E-3</v>
      </c>
      <c r="H48" s="67"/>
    </row>
    <row r="49" spans="1:8" ht="25.5" x14ac:dyDescent="0.2">
      <c r="A49" s="3">
        <v>43</v>
      </c>
      <c r="B49" s="4" t="s">
        <v>251</v>
      </c>
      <c r="C49" s="4" t="s">
        <v>252</v>
      </c>
      <c r="D49" s="4" t="s">
        <v>992</v>
      </c>
      <c r="E49" s="5">
        <v>39711</v>
      </c>
      <c r="F49" s="6">
        <v>64.967196000000001</v>
      </c>
      <c r="G49" s="7">
        <v>7.7679649999999999E-3</v>
      </c>
      <c r="H49" s="67"/>
    </row>
    <row r="50" spans="1:8" x14ac:dyDescent="0.2">
      <c r="A50" s="3">
        <v>44</v>
      </c>
      <c r="B50" s="4" t="s">
        <v>305</v>
      </c>
      <c r="C50" s="4" t="s">
        <v>306</v>
      </c>
      <c r="D50" s="4" t="s">
        <v>1002</v>
      </c>
      <c r="E50" s="5">
        <v>5927</v>
      </c>
      <c r="F50" s="6">
        <v>64.494650500000006</v>
      </c>
      <c r="G50" s="7">
        <v>7.7114640000000003E-3</v>
      </c>
      <c r="H50" s="67"/>
    </row>
    <row r="51" spans="1:8" x14ac:dyDescent="0.2">
      <c r="A51" s="3">
        <v>45</v>
      </c>
      <c r="B51" s="4" t="s">
        <v>344</v>
      </c>
      <c r="C51" s="4" t="s">
        <v>345</v>
      </c>
      <c r="D51" s="4" t="s">
        <v>49</v>
      </c>
      <c r="E51" s="5">
        <v>15000</v>
      </c>
      <c r="F51" s="6">
        <v>56.542499999999997</v>
      </c>
      <c r="G51" s="7">
        <v>6.760645E-3</v>
      </c>
      <c r="H51" s="67"/>
    </row>
    <row r="52" spans="1:8" x14ac:dyDescent="0.2">
      <c r="A52" s="3">
        <v>46</v>
      </c>
      <c r="B52" s="4" t="s">
        <v>262</v>
      </c>
      <c r="C52" s="4" t="s">
        <v>263</v>
      </c>
      <c r="D52" s="4" t="s">
        <v>171</v>
      </c>
      <c r="E52" s="5">
        <v>8000</v>
      </c>
      <c r="F52" s="6">
        <v>54.216000000000001</v>
      </c>
      <c r="G52" s="7">
        <v>6.4824710000000001E-3</v>
      </c>
      <c r="H52" s="67"/>
    </row>
    <row r="53" spans="1:8" x14ac:dyDescent="0.2">
      <c r="A53" s="3">
        <v>47</v>
      </c>
      <c r="B53" s="4" t="s">
        <v>433</v>
      </c>
      <c r="C53" s="4" t="s">
        <v>434</v>
      </c>
      <c r="D53" s="4" t="s">
        <v>24</v>
      </c>
      <c r="E53" s="5">
        <v>2804</v>
      </c>
      <c r="F53" s="6">
        <v>49.173748000000003</v>
      </c>
      <c r="G53" s="7">
        <v>5.8795820000000004E-3</v>
      </c>
      <c r="H53" s="67"/>
    </row>
    <row r="54" spans="1:8" ht="25.5" x14ac:dyDescent="0.2">
      <c r="A54" s="3">
        <v>48</v>
      </c>
      <c r="B54" s="4" t="s">
        <v>435</v>
      </c>
      <c r="C54" s="4" t="s">
        <v>436</v>
      </c>
      <c r="D54" s="4" t="s">
        <v>1002</v>
      </c>
      <c r="E54" s="5">
        <v>2580</v>
      </c>
      <c r="F54" s="6">
        <v>41.140680000000003</v>
      </c>
      <c r="G54" s="7">
        <v>4.9190880000000003E-3</v>
      </c>
      <c r="H54" s="67"/>
    </row>
    <row r="55" spans="1:8" x14ac:dyDescent="0.2">
      <c r="A55" s="3">
        <v>49</v>
      </c>
      <c r="B55" s="4" t="s">
        <v>372</v>
      </c>
      <c r="C55" s="4" t="s">
        <v>373</v>
      </c>
      <c r="D55" s="4" t="s">
        <v>55</v>
      </c>
      <c r="E55" s="5">
        <v>59307</v>
      </c>
      <c r="F55" s="6">
        <v>39.794997000000002</v>
      </c>
      <c r="G55" s="7">
        <v>4.758188E-3</v>
      </c>
      <c r="H55" s="67"/>
    </row>
    <row r="56" spans="1:8" x14ac:dyDescent="0.2">
      <c r="A56" s="1"/>
      <c r="B56" s="1"/>
      <c r="C56" s="2" t="s">
        <v>105</v>
      </c>
      <c r="D56" s="1"/>
      <c r="E56" s="1" t="s">
        <v>106</v>
      </c>
      <c r="F56" s="9">
        <v>8269.1588300000003</v>
      </c>
      <c r="G56" s="10">
        <v>0.98872261400000006</v>
      </c>
      <c r="H56" s="67"/>
    </row>
    <row r="57" spans="1:8" x14ac:dyDescent="0.2">
      <c r="A57" s="1"/>
      <c r="B57" s="1"/>
      <c r="C57" s="11"/>
      <c r="D57" s="1"/>
      <c r="E57" s="1"/>
      <c r="F57" s="12"/>
      <c r="G57" s="12"/>
      <c r="H57" s="67"/>
    </row>
    <row r="58" spans="1:8" x14ac:dyDescent="0.2">
      <c r="A58" s="1"/>
      <c r="B58" s="1"/>
      <c r="C58" s="2" t="s">
        <v>107</v>
      </c>
      <c r="D58" s="1"/>
      <c r="E58" s="1"/>
      <c r="F58" s="1"/>
      <c r="G58" s="1"/>
      <c r="H58" s="67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13">
        <v>0</v>
      </c>
      <c r="G59" s="14">
        <v>0</v>
      </c>
      <c r="H59" s="67"/>
    </row>
    <row r="60" spans="1:8" x14ac:dyDescent="0.2">
      <c r="A60" s="1"/>
      <c r="B60" s="1"/>
      <c r="C60" s="11"/>
      <c r="D60" s="1"/>
      <c r="E60" s="1"/>
      <c r="F60" s="12"/>
      <c r="G60" s="12"/>
      <c r="H60" s="67"/>
    </row>
    <row r="61" spans="1:8" x14ac:dyDescent="0.2">
      <c r="A61" s="1"/>
      <c r="B61" s="1"/>
      <c r="C61" s="2" t="s">
        <v>108</v>
      </c>
      <c r="D61" s="1"/>
      <c r="E61" s="1"/>
      <c r="F61" s="1"/>
      <c r="G61" s="1"/>
      <c r="H61" s="67"/>
    </row>
    <row r="62" spans="1:8" x14ac:dyDescent="0.2">
      <c r="A62" s="1"/>
      <c r="B62" s="1"/>
      <c r="C62" s="2" t="s">
        <v>105</v>
      </c>
      <c r="D62" s="1"/>
      <c r="E62" s="1" t="s">
        <v>106</v>
      </c>
      <c r="F62" s="13">
        <v>0</v>
      </c>
      <c r="G62" s="14">
        <v>0</v>
      </c>
      <c r="H62" s="67"/>
    </row>
    <row r="63" spans="1:8" x14ac:dyDescent="0.2">
      <c r="A63" s="1"/>
      <c r="B63" s="1"/>
      <c r="C63" s="11"/>
      <c r="D63" s="1"/>
      <c r="E63" s="1"/>
      <c r="F63" s="12"/>
      <c r="G63" s="12"/>
      <c r="H63" s="67"/>
    </row>
    <row r="64" spans="1:8" x14ac:dyDescent="0.2">
      <c r="A64" s="1"/>
      <c r="B64" s="1"/>
      <c r="C64" s="2" t="s">
        <v>109</v>
      </c>
      <c r="D64" s="1"/>
      <c r="E64" s="1"/>
      <c r="F64" s="1"/>
      <c r="G64" s="1"/>
      <c r="H64" s="67"/>
    </row>
    <row r="65" spans="1:8" x14ac:dyDescent="0.2">
      <c r="A65" s="1"/>
      <c r="B65" s="1"/>
      <c r="C65" s="2" t="s">
        <v>105</v>
      </c>
      <c r="D65" s="1"/>
      <c r="E65" s="1" t="s">
        <v>106</v>
      </c>
      <c r="F65" s="13">
        <v>0</v>
      </c>
      <c r="G65" s="14">
        <v>0</v>
      </c>
      <c r="H65" s="67"/>
    </row>
    <row r="66" spans="1:8" x14ac:dyDescent="0.2">
      <c r="A66" s="1"/>
      <c r="B66" s="1"/>
      <c r="C66" s="11"/>
      <c r="D66" s="1"/>
      <c r="E66" s="1"/>
      <c r="F66" s="12"/>
      <c r="G66" s="12"/>
      <c r="H66" s="67"/>
    </row>
    <row r="67" spans="1:8" x14ac:dyDescent="0.2">
      <c r="A67" s="1"/>
      <c r="B67" s="1"/>
      <c r="C67" s="2" t="s">
        <v>110</v>
      </c>
      <c r="D67" s="1"/>
      <c r="E67" s="1"/>
      <c r="F67" s="12"/>
      <c r="G67" s="12"/>
      <c r="H67" s="67"/>
    </row>
    <row r="68" spans="1:8" x14ac:dyDescent="0.2">
      <c r="A68" s="1"/>
      <c r="B68" s="1"/>
      <c r="C68" s="2" t="s">
        <v>105</v>
      </c>
      <c r="D68" s="1"/>
      <c r="E68" s="1" t="s">
        <v>106</v>
      </c>
      <c r="F68" s="13">
        <v>0</v>
      </c>
      <c r="G68" s="14">
        <v>0</v>
      </c>
      <c r="H68" s="67"/>
    </row>
    <row r="69" spans="1:8" x14ac:dyDescent="0.2">
      <c r="A69" s="1"/>
      <c r="B69" s="1"/>
      <c r="C69" s="11"/>
      <c r="D69" s="1"/>
      <c r="E69" s="1"/>
      <c r="F69" s="12"/>
      <c r="G69" s="12"/>
      <c r="H69" s="67"/>
    </row>
    <row r="70" spans="1:8" x14ac:dyDescent="0.2">
      <c r="A70" s="1"/>
      <c r="B70" s="1"/>
      <c r="C70" s="2" t="s">
        <v>111</v>
      </c>
      <c r="D70" s="1"/>
      <c r="E70" s="1"/>
      <c r="F70" s="12"/>
      <c r="G70" s="12"/>
      <c r="H70" s="67"/>
    </row>
    <row r="71" spans="1:8" x14ac:dyDescent="0.2">
      <c r="A71" s="1"/>
      <c r="B71" s="1"/>
      <c r="C71" s="2" t="s">
        <v>105</v>
      </c>
      <c r="D71" s="1"/>
      <c r="E71" s="1" t="s">
        <v>106</v>
      </c>
      <c r="F71" s="13">
        <v>0</v>
      </c>
      <c r="G71" s="14">
        <v>0</v>
      </c>
      <c r="H71" s="67"/>
    </row>
    <row r="72" spans="1:8" x14ac:dyDescent="0.2">
      <c r="A72" s="1"/>
      <c r="B72" s="1"/>
      <c r="C72" s="11"/>
      <c r="D72" s="1"/>
      <c r="E72" s="1"/>
      <c r="F72" s="12"/>
      <c r="G72" s="12"/>
      <c r="H72" s="67"/>
    </row>
    <row r="73" spans="1:8" x14ac:dyDescent="0.2">
      <c r="A73" s="1"/>
      <c r="B73" s="1"/>
      <c r="C73" s="2" t="s">
        <v>112</v>
      </c>
      <c r="D73" s="1"/>
      <c r="E73" s="1"/>
      <c r="F73" s="9">
        <v>8269.1588300000003</v>
      </c>
      <c r="G73" s="10">
        <v>0.98872261400000006</v>
      </c>
      <c r="H73" s="67"/>
    </row>
    <row r="74" spans="1:8" x14ac:dyDescent="0.2">
      <c r="A74" s="1"/>
      <c r="B74" s="1"/>
      <c r="C74" s="11"/>
      <c r="D74" s="1"/>
      <c r="E74" s="1"/>
      <c r="F74" s="12"/>
      <c r="G74" s="12"/>
      <c r="H74" s="67"/>
    </row>
    <row r="75" spans="1:8" x14ac:dyDescent="0.2">
      <c r="A75" s="1"/>
      <c r="B75" s="1"/>
      <c r="C75" s="2" t="s">
        <v>113</v>
      </c>
      <c r="D75" s="1"/>
      <c r="E75" s="1"/>
      <c r="F75" s="12"/>
      <c r="G75" s="12"/>
      <c r="H75" s="67"/>
    </row>
    <row r="76" spans="1:8" ht="25.5" x14ac:dyDescent="0.2">
      <c r="A76" s="1"/>
      <c r="B76" s="1"/>
      <c r="C76" s="2" t="s">
        <v>10</v>
      </c>
      <c r="D76" s="1"/>
      <c r="E76" s="1"/>
      <c r="F76" s="12"/>
      <c r="G76" s="12"/>
      <c r="H76" s="67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7"/>
    </row>
    <row r="78" spans="1:8" x14ac:dyDescent="0.2">
      <c r="A78" s="1"/>
      <c r="B78" s="1"/>
      <c r="C78" s="11"/>
      <c r="D78" s="1"/>
      <c r="E78" s="1"/>
      <c r="F78" s="12"/>
      <c r="G78" s="12"/>
      <c r="H78" s="67"/>
    </row>
    <row r="79" spans="1:8" x14ac:dyDescent="0.2">
      <c r="A79" s="1"/>
      <c r="B79" s="1"/>
      <c r="C79" s="2" t="s">
        <v>114</v>
      </c>
      <c r="D79" s="1"/>
      <c r="E79" s="1"/>
      <c r="F79" s="1"/>
      <c r="G79" s="1"/>
      <c r="H79" s="67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7"/>
    </row>
    <row r="81" spans="1:8" x14ac:dyDescent="0.2">
      <c r="A81" s="1"/>
      <c r="B81" s="1"/>
      <c r="C81" s="11"/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115</v>
      </c>
      <c r="D82" s="1"/>
      <c r="E82" s="1"/>
      <c r="F82" s="1"/>
      <c r="G82" s="1"/>
      <c r="H82" s="67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7"/>
    </row>
    <row r="84" spans="1:8" x14ac:dyDescent="0.2">
      <c r="A84" s="1"/>
      <c r="B84" s="1"/>
      <c r="C84" s="11"/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116</v>
      </c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7"/>
    </row>
    <row r="87" spans="1:8" x14ac:dyDescent="0.2">
      <c r="A87" s="1"/>
      <c r="B87" s="1"/>
      <c r="C87" s="11"/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117</v>
      </c>
      <c r="D88" s="1"/>
      <c r="E88" s="1"/>
      <c r="F88" s="9">
        <v>0</v>
      </c>
      <c r="G88" s="10">
        <v>0</v>
      </c>
      <c r="H88" s="67"/>
    </row>
    <row r="89" spans="1:8" x14ac:dyDescent="0.2">
      <c r="A89" s="1"/>
      <c r="B89" s="1"/>
      <c r="C89" s="11"/>
      <c r="D89" s="1"/>
      <c r="E89" s="1"/>
      <c r="F89" s="12"/>
      <c r="G89" s="12"/>
      <c r="H89" s="67"/>
    </row>
    <row r="90" spans="1:8" x14ac:dyDescent="0.2">
      <c r="A90" s="1"/>
      <c r="B90" s="1"/>
      <c r="C90" s="2" t="s">
        <v>118</v>
      </c>
      <c r="D90" s="1"/>
      <c r="E90" s="1"/>
      <c r="F90" s="12"/>
      <c r="G90" s="12"/>
      <c r="H90" s="67"/>
    </row>
    <row r="91" spans="1:8" x14ac:dyDescent="0.2">
      <c r="A91" s="1"/>
      <c r="B91" s="1"/>
      <c r="C91" s="2" t="s">
        <v>119</v>
      </c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7"/>
    </row>
    <row r="93" spans="1:8" x14ac:dyDescent="0.2">
      <c r="A93" s="1"/>
      <c r="B93" s="1"/>
      <c r="C93" s="11"/>
      <c r="D93" s="1"/>
      <c r="E93" s="1"/>
      <c r="F93" s="12"/>
      <c r="G93" s="12"/>
      <c r="H93" s="67"/>
    </row>
    <row r="94" spans="1:8" x14ac:dyDescent="0.2">
      <c r="A94" s="1"/>
      <c r="B94" s="1"/>
      <c r="C94" s="2" t="s">
        <v>120</v>
      </c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7"/>
    </row>
    <row r="96" spans="1:8" x14ac:dyDescent="0.2">
      <c r="A96" s="1"/>
      <c r="B96" s="1"/>
      <c r="C96" s="11"/>
      <c r="D96" s="1"/>
      <c r="E96" s="1"/>
      <c r="F96" s="12"/>
      <c r="G96" s="12"/>
      <c r="H96" s="67"/>
    </row>
    <row r="97" spans="1:8" x14ac:dyDescent="0.2">
      <c r="A97" s="1"/>
      <c r="B97" s="1"/>
      <c r="C97" s="2" t="s">
        <v>121</v>
      </c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7"/>
    </row>
    <row r="99" spans="1:8" x14ac:dyDescent="0.2">
      <c r="A99" s="1"/>
      <c r="B99" s="1"/>
      <c r="C99" s="11"/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122</v>
      </c>
      <c r="D100" s="1"/>
      <c r="E100" s="1"/>
      <c r="F100" s="12"/>
      <c r="G100" s="12"/>
      <c r="H100" s="67"/>
    </row>
    <row r="101" spans="1:8" x14ac:dyDescent="0.2">
      <c r="A101" s="3">
        <v>1</v>
      </c>
      <c r="B101" s="4"/>
      <c r="C101" s="4" t="s">
        <v>123</v>
      </c>
      <c r="D101" s="4"/>
      <c r="E101" s="8"/>
      <c r="F101" s="6">
        <v>76.521391100000002</v>
      </c>
      <c r="G101" s="7">
        <v>9.1494709999999993E-3</v>
      </c>
      <c r="H101" s="67">
        <v>3.1047477660654299</v>
      </c>
    </row>
    <row r="102" spans="1:8" x14ac:dyDescent="0.2">
      <c r="A102" s="1"/>
      <c r="B102" s="1"/>
      <c r="C102" s="2" t="s">
        <v>105</v>
      </c>
      <c r="D102" s="1"/>
      <c r="E102" s="1" t="s">
        <v>106</v>
      </c>
      <c r="F102" s="9">
        <v>76.521391100000002</v>
      </c>
      <c r="G102" s="10">
        <v>9.1494709999999993E-3</v>
      </c>
      <c r="H102" s="67"/>
    </row>
    <row r="103" spans="1:8" x14ac:dyDescent="0.2">
      <c r="A103" s="1"/>
      <c r="B103" s="1"/>
      <c r="C103" s="11"/>
      <c r="D103" s="1"/>
      <c r="E103" s="1"/>
      <c r="F103" s="12"/>
      <c r="G103" s="12"/>
      <c r="H103" s="67"/>
    </row>
    <row r="104" spans="1:8" x14ac:dyDescent="0.2">
      <c r="A104" s="1"/>
      <c r="B104" s="1"/>
      <c r="C104" s="2" t="s">
        <v>124</v>
      </c>
      <c r="D104" s="1"/>
      <c r="E104" s="1"/>
      <c r="F104" s="9">
        <v>76.521391100000002</v>
      </c>
      <c r="G104" s="10">
        <v>9.1494709999999993E-3</v>
      </c>
      <c r="H104" s="67"/>
    </row>
    <row r="105" spans="1:8" x14ac:dyDescent="0.2">
      <c r="A105" s="1"/>
      <c r="B105" s="1"/>
      <c r="C105" s="12"/>
      <c r="D105" s="1"/>
      <c r="E105" s="1"/>
      <c r="F105" s="1"/>
      <c r="G105" s="1"/>
      <c r="H105" s="67"/>
    </row>
    <row r="106" spans="1:8" x14ac:dyDescent="0.2">
      <c r="A106" s="1"/>
      <c r="B106" s="1"/>
      <c r="C106" s="2" t="s">
        <v>125</v>
      </c>
      <c r="D106" s="1"/>
      <c r="E106" s="1"/>
      <c r="F106" s="1"/>
      <c r="G106" s="1"/>
      <c r="H106" s="67"/>
    </row>
    <row r="107" spans="1:8" x14ac:dyDescent="0.2">
      <c r="A107" s="1"/>
      <c r="B107" s="1"/>
      <c r="C107" s="2" t="s">
        <v>126</v>
      </c>
      <c r="D107" s="1"/>
      <c r="E107" s="1"/>
      <c r="F107" s="1"/>
      <c r="G107" s="1"/>
      <c r="H107" s="67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">
        <v>0</v>
      </c>
      <c r="H108" s="67"/>
    </row>
    <row r="109" spans="1:8" x14ac:dyDescent="0.2">
      <c r="A109" s="1"/>
      <c r="B109" s="1"/>
      <c r="C109" s="11"/>
      <c r="D109" s="1"/>
      <c r="E109" s="1"/>
      <c r="F109" s="12"/>
      <c r="G109" s="12"/>
      <c r="H109" s="67"/>
    </row>
    <row r="110" spans="1:8" x14ac:dyDescent="0.2">
      <c r="A110" s="1"/>
      <c r="B110" s="1"/>
      <c r="C110" s="2" t="s">
        <v>127</v>
      </c>
      <c r="D110" s="1"/>
      <c r="E110" s="1"/>
      <c r="F110" s="1"/>
      <c r="G110" s="1"/>
      <c r="H110" s="67"/>
    </row>
    <row r="111" spans="1:8" x14ac:dyDescent="0.2">
      <c r="A111" s="1"/>
      <c r="B111" s="1"/>
      <c r="C111" s="2" t="s">
        <v>128</v>
      </c>
      <c r="D111" s="1"/>
      <c r="E111" s="1"/>
      <c r="F111" s="1"/>
      <c r="G111" s="1"/>
      <c r="H111" s="67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">
        <v>0</v>
      </c>
      <c r="H112" s="67"/>
    </row>
    <row r="113" spans="1:8" x14ac:dyDescent="0.2">
      <c r="A113" s="1"/>
      <c r="B113" s="1"/>
      <c r="C113" s="11"/>
      <c r="D113" s="1"/>
      <c r="E113" s="1"/>
      <c r="F113" s="12"/>
      <c r="G113" s="12"/>
      <c r="H113" s="67"/>
    </row>
    <row r="114" spans="1:8" x14ac:dyDescent="0.2">
      <c r="A114" s="1"/>
      <c r="B114" s="1"/>
      <c r="C114" s="11"/>
      <c r="D114" s="1"/>
      <c r="E114" s="1"/>
      <c r="F114" s="12"/>
      <c r="G114" s="12"/>
      <c r="H114" s="67"/>
    </row>
    <row r="115" spans="1:8" ht="25.5" x14ac:dyDescent="0.2">
      <c r="A115" s="1"/>
      <c r="B115" s="1"/>
      <c r="C115" s="2" t="s">
        <v>129</v>
      </c>
      <c r="D115" s="1"/>
      <c r="E115" s="1"/>
      <c r="F115" s="12"/>
      <c r="G115" s="12"/>
      <c r="H115" s="67"/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13">
        <v>0</v>
      </c>
      <c r="G116" s="14">
        <v>0</v>
      </c>
      <c r="H116" s="67"/>
    </row>
    <row r="117" spans="1:8" x14ac:dyDescent="0.2">
      <c r="A117" s="1"/>
      <c r="B117" s="1"/>
      <c r="C117" s="11"/>
      <c r="D117" s="1"/>
      <c r="E117" s="1"/>
      <c r="F117" s="12"/>
      <c r="G117" s="12"/>
      <c r="H117" s="67"/>
    </row>
    <row r="118" spans="1:8" x14ac:dyDescent="0.2">
      <c r="A118" s="1"/>
      <c r="B118" s="4"/>
      <c r="C118" s="4"/>
      <c r="D118" s="2"/>
      <c r="E118" s="1"/>
      <c r="F118" s="4"/>
      <c r="G118" s="8"/>
      <c r="H118" s="67"/>
    </row>
    <row r="119" spans="1:8" x14ac:dyDescent="0.2">
      <c r="A119" s="8"/>
      <c r="B119" s="4"/>
      <c r="C119" s="4" t="s">
        <v>130</v>
      </c>
      <c r="D119" s="4"/>
      <c r="E119" s="8"/>
      <c r="F119" s="6">
        <v>17.79677058</v>
      </c>
      <c r="G119" s="7">
        <v>2.1279150000000002E-3</v>
      </c>
      <c r="H119" s="67"/>
    </row>
    <row r="120" spans="1:8" x14ac:dyDescent="0.2">
      <c r="A120" s="11"/>
      <c r="B120" s="11"/>
      <c r="C120" s="2" t="s">
        <v>131</v>
      </c>
      <c r="D120" s="15"/>
      <c r="E120" s="15"/>
      <c r="F120" s="9">
        <v>8363.4769916799996</v>
      </c>
      <c r="G120" s="10">
        <v>1</v>
      </c>
      <c r="H120" s="67"/>
    </row>
    <row r="121" spans="1:8" ht="14.1" customHeight="1" x14ac:dyDescent="0.2">
      <c r="A121" s="16"/>
      <c r="B121" s="16"/>
      <c r="C121" s="16"/>
      <c r="D121" s="17"/>
      <c r="E121" s="17"/>
      <c r="F121" s="17"/>
      <c r="G121" s="17"/>
    </row>
    <row r="122" spans="1:8" ht="14.1" customHeight="1" x14ac:dyDescent="0.2">
      <c r="A122" s="18"/>
      <c r="B122" s="170" t="s">
        <v>106</v>
      </c>
      <c r="C122" s="170"/>
      <c r="D122" s="170"/>
      <c r="E122" s="170"/>
      <c r="F122" s="170"/>
      <c r="G122" s="20"/>
    </row>
    <row r="123" spans="1:8" ht="14.1" customHeight="1" x14ac:dyDescent="0.2">
      <c r="A123" s="18"/>
      <c r="B123" s="170" t="s">
        <v>106</v>
      </c>
      <c r="C123" s="170"/>
      <c r="D123" s="170"/>
      <c r="E123" s="170"/>
      <c r="F123" s="170"/>
      <c r="G123" s="20"/>
    </row>
    <row r="124" spans="1:8" ht="14.1" customHeight="1" x14ac:dyDescent="0.2">
      <c r="A124" s="18"/>
      <c r="B124" s="18"/>
      <c r="C124" s="18"/>
      <c r="D124" s="20"/>
      <c r="E124" s="20"/>
      <c r="F124" s="20"/>
      <c r="G124" s="20"/>
    </row>
    <row r="125" spans="1:8" ht="14.1" customHeight="1" x14ac:dyDescent="0.2">
      <c r="A125" s="18"/>
      <c r="B125" s="168" t="s">
        <v>133</v>
      </c>
      <c r="C125" s="169"/>
      <c r="D125" s="12" t="s">
        <v>106</v>
      </c>
      <c r="E125" s="21"/>
      <c r="F125" s="20"/>
      <c r="G125" s="20"/>
    </row>
    <row r="126" spans="1:8" ht="29.1" customHeight="1" x14ac:dyDescent="0.2">
      <c r="A126" s="18"/>
      <c r="B126" s="165" t="s">
        <v>134</v>
      </c>
      <c r="C126" s="166"/>
      <c r="D126" s="2" t="s">
        <v>135</v>
      </c>
      <c r="E126" s="21"/>
      <c r="F126" s="20"/>
      <c r="G126" s="20"/>
    </row>
    <row r="127" spans="1:8" ht="17.100000000000001" customHeight="1" x14ac:dyDescent="0.2">
      <c r="A127" s="18"/>
      <c r="B127" s="165" t="s">
        <v>136</v>
      </c>
      <c r="C127" s="166"/>
      <c r="D127" s="2" t="s">
        <v>135</v>
      </c>
      <c r="E127" s="21"/>
      <c r="F127" s="20"/>
      <c r="G127" s="20"/>
    </row>
    <row r="128" spans="1:8" ht="17.100000000000001" customHeight="1" x14ac:dyDescent="0.2">
      <c r="A128" s="18"/>
      <c r="B128" s="165" t="s">
        <v>137</v>
      </c>
      <c r="C128" s="166"/>
      <c r="D128" s="12" t="s">
        <v>106</v>
      </c>
      <c r="E128" s="21"/>
      <c r="F128" s="20"/>
      <c r="G128" s="20"/>
    </row>
    <row r="129" spans="1:7" ht="24" customHeight="1" x14ac:dyDescent="0.2">
      <c r="A129" s="22"/>
      <c r="B129" s="23" t="s">
        <v>106</v>
      </c>
      <c r="C129" s="23" t="s">
        <v>138</v>
      </c>
      <c r="D129" s="23" t="s">
        <v>139</v>
      </c>
      <c r="E129" s="22"/>
      <c r="F129" s="22"/>
      <c r="G129" s="22"/>
    </row>
    <row r="130" spans="1:7" ht="18" customHeight="1" x14ac:dyDescent="0.2">
      <c r="A130" s="22"/>
      <c r="B130" s="23" t="s">
        <v>140</v>
      </c>
      <c r="C130" s="23" t="s">
        <v>141</v>
      </c>
      <c r="D130" s="23" t="s">
        <v>142</v>
      </c>
      <c r="E130" s="22"/>
      <c r="F130" s="22"/>
      <c r="G130" s="22"/>
    </row>
    <row r="131" spans="1:7" ht="17.100000000000001" customHeight="1" x14ac:dyDescent="0.2">
      <c r="A131" s="22"/>
      <c r="B131" s="4" t="s">
        <v>143</v>
      </c>
      <c r="C131" s="24">
        <v>16.091999999999999</v>
      </c>
      <c r="D131" s="24">
        <v>17.079899999999999</v>
      </c>
      <c r="E131" s="22"/>
      <c r="F131" s="19"/>
      <c r="G131" s="25"/>
    </row>
    <row r="132" spans="1:7" ht="17.100000000000001" customHeight="1" x14ac:dyDescent="0.2">
      <c r="A132" s="22"/>
      <c r="B132" s="4" t="s">
        <v>988</v>
      </c>
      <c r="C132" s="24">
        <v>15.3154</v>
      </c>
      <c r="D132" s="24">
        <v>16.255700000000001</v>
      </c>
      <c r="E132" s="22"/>
      <c r="F132" s="19"/>
      <c r="G132" s="25"/>
    </row>
    <row r="133" spans="1:7" ht="17.100000000000001" customHeight="1" x14ac:dyDescent="0.2">
      <c r="A133" s="22"/>
      <c r="B133" s="4" t="s">
        <v>144</v>
      </c>
      <c r="C133" s="24">
        <v>15.794700000000001</v>
      </c>
      <c r="D133" s="24">
        <v>16.7563</v>
      </c>
      <c r="E133" s="22"/>
      <c r="F133" s="19"/>
      <c r="G133" s="25"/>
    </row>
    <row r="134" spans="1:7" ht="17.100000000000001" customHeight="1" x14ac:dyDescent="0.2">
      <c r="A134" s="22"/>
      <c r="B134" s="4" t="s">
        <v>989</v>
      </c>
      <c r="C134" s="24">
        <v>15.204800000000001</v>
      </c>
      <c r="D134" s="24">
        <v>16.130600000000001</v>
      </c>
      <c r="E134" s="22"/>
      <c r="F134" s="19"/>
      <c r="G134" s="25"/>
    </row>
    <row r="135" spans="1:7" ht="14.1" customHeight="1" x14ac:dyDescent="0.2">
      <c r="A135" s="22"/>
      <c r="B135" s="22"/>
      <c r="C135" s="22"/>
      <c r="D135" s="22"/>
      <c r="E135" s="22"/>
      <c r="F135" s="22"/>
      <c r="G135" s="22"/>
    </row>
    <row r="136" spans="1:7" ht="17.100000000000001" customHeight="1" x14ac:dyDescent="0.2">
      <c r="A136" s="22"/>
      <c r="B136" s="165" t="s">
        <v>990</v>
      </c>
      <c r="C136" s="166"/>
      <c r="D136" s="2" t="s">
        <v>135</v>
      </c>
      <c r="E136" s="22"/>
      <c r="F136" s="22"/>
      <c r="G136" s="22"/>
    </row>
    <row r="137" spans="1:7" ht="18" customHeight="1" x14ac:dyDescent="0.2">
      <c r="A137" s="22"/>
      <c r="B137" s="26" t="s">
        <v>145</v>
      </c>
      <c r="C137" s="26" t="s">
        <v>145</v>
      </c>
      <c r="D137" s="26"/>
      <c r="E137" s="22"/>
      <c r="F137" s="22"/>
      <c r="G137" s="22"/>
    </row>
    <row r="138" spans="1:7" s="158" customFormat="1" x14ac:dyDescent="0.2">
      <c r="B138" s="167" t="s">
        <v>822</v>
      </c>
      <c r="C138" s="167"/>
      <c r="D138" s="167"/>
      <c r="E138" s="167"/>
      <c r="F138" s="167"/>
    </row>
    <row r="139" spans="1:7" ht="14.1" customHeight="1" x14ac:dyDescent="0.2">
      <c r="A139" s="22"/>
      <c r="B139" s="19"/>
      <c r="C139" s="19"/>
      <c r="D139" s="22"/>
      <c r="E139" s="22"/>
      <c r="F139" s="22"/>
      <c r="G139" s="22"/>
    </row>
    <row r="140" spans="1:7" ht="29.1" customHeight="1" x14ac:dyDescent="0.2">
      <c r="A140" s="22"/>
      <c r="B140" s="165" t="s">
        <v>146</v>
      </c>
      <c r="C140" s="166"/>
      <c r="D140" s="2" t="s">
        <v>135</v>
      </c>
      <c r="E140" s="22"/>
      <c r="F140" s="22"/>
      <c r="G140" s="22"/>
    </row>
    <row r="141" spans="1:7" ht="29.1" customHeight="1" x14ac:dyDescent="0.2">
      <c r="A141" s="22"/>
      <c r="B141" s="165" t="s">
        <v>147</v>
      </c>
      <c r="C141" s="166"/>
      <c r="D141" s="2" t="s">
        <v>135</v>
      </c>
      <c r="E141" s="22"/>
      <c r="F141" s="22"/>
      <c r="G141" s="22"/>
    </row>
    <row r="142" spans="1:7" ht="17.100000000000001" customHeight="1" x14ac:dyDescent="0.2">
      <c r="A142" s="22"/>
      <c r="B142" s="165" t="s">
        <v>148</v>
      </c>
      <c r="C142" s="166"/>
      <c r="D142" s="27">
        <v>0.38370564391538364</v>
      </c>
      <c r="E142" s="22"/>
      <c r="F142" s="19"/>
      <c r="G142" s="25"/>
    </row>
    <row r="143" spans="1:7" ht="17.100000000000001" customHeight="1" x14ac:dyDescent="0.2">
      <c r="A143" s="22"/>
      <c r="B143" s="165" t="s">
        <v>149</v>
      </c>
      <c r="C143" s="166"/>
      <c r="D143" s="2" t="s">
        <v>135</v>
      </c>
      <c r="E143" s="22"/>
      <c r="F143" s="22"/>
      <c r="G143" s="22"/>
    </row>
  </sheetData>
  <mergeCells count="15">
    <mergeCell ref="B125:C125"/>
    <mergeCell ref="B122:F122"/>
    <mergeCell ref="B123:F123"/>
    <mergeCell ref="A1:H1"/>
    <mergeCell ref="A2:H2"/>
    <mergeCell ref="A3:H3"/>
    <mergeCell ref="B142:C142"/>
    <mergeCell ref="B143:C143"/>
    <mergeCell ref="B126:C126"/>
    <mergeCell ref="B127:C127"/>
    <mergeCell ref="B128:C128"/>
    <mergeCell ref="B136:C136"/>
    <mergeCell ref="B140:C140"/>
    <mergeCell ref="B141:C141"/>
    <mergeCell ref="B138:F138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4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438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400</v>
      </c>
      <c r="C7" s="4" t="s">
        <v>401</v>
      </c>
      <c r="D7" s="4" t="s">
        <v>166</v>
      </c>
      <c r="E7" s="5">
        <v>621607</v>
      </c>
      <c r="F7" s="6">
        <v>10607.412651500001</v>
      </c>
      <c r="G7" s="7">
        <v>5.8803261000000003E-2</v>
      </c>
      <c r="H7" s="67"/>
    </row>
    <row r="8" spans="1:8" x14ac:dyDescent="0.2">
      <c r="A8" s="3">
        <v>2</v>
      </c>
      <c r="B8" s="4" t="s">
        <v>22</v>
      </c>
      <c r="C8" s="4" t="s">
        <v>23</v>
      </c>
      <c r="D8" s="4" t="s">
        <v>24</v>
      </c>
      <c r="E8" s="5">
        <v>1118123</v>
      </c>
      <c r="F8" s="6">
        <v>8039.8634314999999</v>
      </c>
      <c r="G8" s="7">
        <v>4.4569793000000003E-2</v>
      </c>
      <c r="H8" s="67"/>
    </row>
    <row r="9" spans="1:8" x14ac:dyDescent="0.2">
      <c r="A9" s="3">
        <v>3</v>
      </c>
      <c r="B9" s="4" t="s">
        <v>301</v>
      </c>
      <c r="C9" s="4" t="s">
        <v>302</v>
      </c>
      <c r="D9" s="4" t="s">
        <v>166</v>
      </c>
      <c r="E9" s="5">
        <v>198548</v>
      </c>
      <c r="F9" s="6">
        <v>7201.8323300000002</v>
      </c>
      <c r="G9" s="7">
        <v>3.9924082999999999E-2</v>
      </c>
      <c r="H9" s="67"/>
    </row>
    <row r="10" spans="1:8" x14ac:dyDescent="0.2">
      <c r="A10" s="3">
        <v>4</v>
      </c>
      <c r="B10" s="4" t="s">
        <v>398</v>
      </c>
      <c r="C10" s="4" t="s">
        <v>399</v>
      </c>
      <c r="D10" s="4" t="s">
        <v>24</v>
      </c>
      <c r="E10" s="5">
        <v>447548</v>
      </c>
      <c r="F10" s="6">
        <v>7077.5240720000002</v>
      </c>
      <c r="G10" s="7">
        <v>3.9234968000000002E-2</v>
      </c>
      <c r="H10" s="67"/>
    </row>
    <row r="11" spans="1:8" x14ac:dyDescent="0.2">
      <c r="A11" s="3">
        <v>5</v>
      </c>
      <c r="B11" s="4" t="s">
        <v>11</v>
      </c>
      <c r="C11" s="4" t="s">
        <v>12</v>
      </c>
      <c r="D11" s="4" t="s">
        <v>13</v>
      </c>
      <c r="E11" s="5">
        <v>380598</v>
      </c>
      <c r="F11" s="6">
        <v>6364.3597559999998</v>
      </c>
      <c r="G11" s="7">
        <v>3.5281470000000002E-2</v>
      </c>
      <c r="H11" s="67"/>
    </row>
    <row r="12" spans="1:8" x14ac:dyDescent="0.2">
      <c r="A12" s="3">
        <v>6</v>
      </c>
      <c r="B12" s="4" t="s">
        <v>404</v>
      </c>
      <c r="C12" s="4" t="s">
        <v>405</v>
      </c>
      <c r="D12" s="4" t="s">
        <v>24</v>
      </c>
      <c r="E12" s="5">
        <v>1464373</v>
      </c>
      <c r="F12" s="6">
        <v>6238.9611665000002</v>
      </c>
      <c r="G12" s="7">
        <v>3.4586310000000002E-2</v>
      </c>
      <c r="H12" s="67"/>
    </row>
    <row r="13" spans="1:8" x14ac:dyDescent="0.2">
      <c r="A13" s="3">
        <v>7</v>
      </c>
      <c r="B13" s="4" t="s">
        <v>315</v>
      </c>
      <c r="C13" s="4" t="s">
        <v>316</v>
      </c>
      <c r="D13" s="4" t="s">
        <v>261</v>
      </c>
      <c r="E13" s="5">
        <v>179565</v>
      </c>
      <c r="F13" s="6">
        <v>6094.4360999999999</v>
      </c>
      <c r="G13" s="7">
        <v>3.3785121000000001E-2</v>
      </c>
      <c r="H13" s="67"/>
    </row>
    <row r="14" spans="1:8" x14ac:dyDescent="0.2">
      <c r="A14" s="3">
        <v>8</v>
      </c>
      <c r="B14" s="4" t="s">
        <v>354</v>
      </c>
      <c r="C14" s="4" t="s">
        <v>355</v>
      </c>
      <c r="D14" s="4" t="s">
        <v>24</v>
      </c>
      <c r="E14" s="5">
        <v>659600</v>
      </c>
      <c r="F14" s="6">
        <v>5187.7539999999999</v>
      </c>
      <c r="G14" s="7">
        <v>2.8758836999999999E-2</v>
      </c>
      <c r="H14" s="67"/>
    </row>
    <row r="15" spans="1:8" x14ac:dyDescent="0.2">
      <c r="A15" s="3">
        <v>9</v>
      </c>
      <c r="B15" s="4" t="s">
        <v>91</v>
      </c>
      <c r="C15" s="4" t="s">
        <v>92</v>
      </c>
      <c r="D15" s="4" t="s">
        <v>27</v>
      </c>
      <c r="E15" s="5">
        <v>71500</v>
      </c>
      <c r="F15" s="6">
        <v>5184.1790000000001</v>
      </c>
      <c r="G15" s="7">
        <v>2.8739019000000001E-2</v>
      </c>
      <c r="H15" s="67"/>
    </row>
    <row r="16" spans="1:8" x14ac:dyDescent="0.2">
      <c r="A16" s="3">
        <v>10</v>
      </c>
      <c r="B16" s="4" t="s">
        <v>388</v>
      </c>
      <c r="C16" s="4" t="s">
        <v>389</v>
      </c>
      <c r="D16" s="4" t="s">
        <v>1002</v>
      </c>
      <c r="E16" s="5">
        <v>28683</v>
      </c>
      <c r="F16" s="6">
        <v>4918.7759624999999</v>
      </c>
      <c r="G16" s="7">
        <v>2.726773E-2</v>
      </c>
      <c r="H16" s="67"/>
    </row>
    <row r="17" spans="1:8" x14ac:dyDescent="0.2">
      <c r="A17" s="3">
        <v>11</v>
      </c>
      <c r="B17" s="4" t="s">
        <v>303</v>
      </c>
      <c r="C17" s="4" t="s">
        <v>304</v>
      </c>
      <c r="D17" s="4" t="s">
        <v>179</v>
      </c>
      <c r="E17" s="5">
        <v>98057</v>
      </c>
      <c r="F17" s="6">
        <v>4872.9916434999996</v>
      </c>
      <c r="G17" s="7">
        <v>2.701392E-2</v>
      </c>
      <c r="H17" s="67"/>
    </row>
    <row r="18" spans="1:8" x14ac:dyDescent="0.2">
      <c r="A18" s="3">
        <v>12</v>
      </c>
      <c r="B18" s="4" t="s">
        <v>14</v>
      </c>
      <c r="C18" s="4" t="s">
        <v>15</v>
      </c>
      <c r="D18" s="4" t="s">
        <v>16</v>
      </c>
      <c r="E18" s="5">
        <v>203211</v>
      </c>
      <c r="F18" s="6">
        <v>4588.8091965000003</v>
      </c>
      <c r="G18" s="7">
        <v>2.5438525999999999E-2</v>
      </c>
      <c r="H18" s="67"/>
    </row>
    <row r="19" spans="1:8" ht="25.5" x14ac:dyDescent="0.2">
      <c r="A19" s="3">
        <v>13</v>
      </c>
      <c r="B19" s="4" t="s">
        <v>321</v>
      </c>
      <c r="C19" s="4" t="s">
        <v>322</v>
      </c>
      <c r="D19" s="4" t="s">
        <v>52</v>
      </c>
      <c r="E19" s="5">
        <v>539841</v>
      </c>
      <c r="F19" s="6">
        <v>4572.1833495000001</v>
      </c>
      <c r="G19" s="7">
        <v>2.5346358999999999E-2</v>
      </c>
      <c r="H19" s="67"/>
    </row>
    <row r="20" spans="1:8" x14ac:dyDescent="0.2">
      <c r="A20" s="3">
        <v>14</v>
      </c>
      <c r="B20" s="4" t="s">
        <v>97</v>
      </c>
      <c r="C20" s="4" t="s">
        <v>98</v>
      </c>
      <c r="D20" s="4" t="s">
        <v>60</v>
      </c>
      <c r="E20" s="5">
        <v>782067</v>
      </c>
      <c r="F20" s="6">
        <v>4268.9127195000001</v>
      </c>
      <c r="G20" s="7">
        <v>2.3665148E-2</v>
      </c>
      <c r="H20" s="67"/>
    </row>
    <row r="21" spans="1:8" ht="25.5" x14ac:dyDescent="0.2">
      <c r="A21" s="3">
        <v>15</v>
      </c>
      <c r="B21" s="4" t="s">
        <v>402</v>
      </c>
      <c r="C21" s="4" t="s">
        <v>403</v>
      </c>
      <c r="D21" s="4" t="s">
        <v>81</v>
      </c>
      <c r="E21" s="5">
        <v>152311</v>
      </c>
      <c r="F21" s="6">
        <v>4262.4233350000004</v>
      </c>
      <c r="G21" s="7">
        <v>2.3629173E-2</v>
      </c>
      <c r="H21" s="67"/>
    </row>
    <row r="22" spans="1:8" x14ac:dyDescent="0.2">
      <c r="A22" s="3">
        <v>16</v>
      </c>
      <c r="B22" s="4" t="s">
        <v>439</v>
      </c>
      <c r="C22" s="4" t="s">
        <v>440</v>
      </c>
      <c r="D22" s="4" t="s">
        <v>27</v>
      </c>
      <c r="E22" s="5">
        <v>207750</v>
      </c>
      <c r="F22" s="6">
        <v>4240.3852500000003</v>
      </c>
      <c r="G22" s="7">
        <v>2.3507002999999999E-2</v>
      </c>
      <c r="H22" s="67"/>
    </row>
    <row r="23" spans="1:8" x14ac:dyDescent="0.2">
      <c r="A23" s="3">
        <v>17</v>
      </c>
      <c r="B23" s="4" t="s">
        <v>364</v>
      </c>
      <c r="C23" s="4" t="s">
        <v>365</v>
      </c>
      <c r="D23" s="4" t="s">
        <v>166</v>
      </c>
      <c r="E23" s="5">
        <v>353677</v>
      </c>
      <c r="F23" s="6">
        <v>4181.5231709999998</v>
      </c>
      <c r="G23" s="7">
        <v>2.3180695000000001E-2</v>
      </c>
      <c r="H23" s="67"/>
    </row>
    <row r="24" spans="1:8" x14ac:dyDescent="0.2">
      <c r="A24" s="3">
        <v>18</v>
      </c>
      <c r="B24" s="4" t="s">
        <v>334</v>
      </c>
      <c r="C24" s="4" t="s">
        <v>335</v>
      </c>
      <c r="D24" s="4" t="s">
        <v>187</v>
      </c>
      <c r="E24" s="5">
        <v>106366</v>
      </c>
      <c r="F24" s="6">
        <v>4141.7856739999997</v>
      </c>
      <c r="G24" s="7">
        <v>2.2960405999999999E-2</v>
      </c>
      <c r="H24" s="67"/>
    </row>
    <row r="25" spans="1:8" ht="25.5" x14ac:dyDescent="0.2">
      <c r="A25" s="3">
        <v>19</v>
      </c>
      <c r="B25" s="4" t="s">
        <v>31</v>
      </c>
      <c r="C25" s="4" t="s">
        <v>993</v>
      </c>
      <c r="D25" s="4" t="s">
        <v>992</v>
      </c>
      <c r="E25" s="5">
        <v>51856</v>
      </c>
      <c r="F25" s="6">
        <v>4061.595272</v>
      </c>
      <c r="G25" s="7">
        <v>2.2515863000000001E-2</v>
      </c>
      <c r="H25" s="67"/>
    </row>
    <row r="26" spans="1:8" x14ac:dyDescent="0.2">
      <c r="A26" s="3">
        <v>20</v>
      </c>
      <c r="B26" s="4" t="s">
        <v>380</v>
      </c>
      <c r="C26" s="4" t="s">
        <v>381</v>
      </c>
      <c r="D26" s="4" t="s">
        <v>166</v>
      </c>
      <c r="E26" s="5">
        <v>134132</v>
      </c>
      <c r="F26" s="6">
        <v>3887.2794920000001</v>
      </c>
      <c r="G26" s="7">
        <v>2.1549525999999999E-2</v>
      </c>
      <c r="H26" s="67"/>
    </row>
    <row r="27" spans="1:8" ht="25.5" x14ac:dyDescent="0.2">
      <c r="A27" s="3">
        <v>21</v>
      </c>
      <c r="B27" s="4" t="s">
        <v>384</v>
      </c>
      <c r="C27" s="4" t="s">
        <v>385</v>
      </c>
      <c r="D27" s="4" t="s">
        <v>52</v>
      </c>
      <c r="E27" s="5">
        <v>441591</v>
      </c>
      <c r="F27" s="6">
        <v>3819.5413545000001</v>
      </c>
      <c r="G27" s="7">
        <v>2.1174012999999998E-2</v>
      </c>
      <c r="H27" s="67"/>
    </row>
    <row r="28" spans="1:8" x14ac:dyDescent="0.2">
      <c r="A28" s="3">
        <v>22</v>
      </c>
      <c r="B28" s="4" t="s">
        <v>42</v>
      </c>
      <c r="C28" s="4" t="s">
        <v>43</v>
      </c>
      <c r="D28" s="4" t="s">
        <v>16</v>
      </c>
      <c r="E28" s="5">
        <v>802261</v>
      </c>
      <c r="F28" s="6">
        <v>3783.8640065</v>
      </c>
      <c r="G28" s="7">
        <v>2.0976232000000001E-2</v>
      </c>
      <c r="H28" s="67"/>
    </row>
    <row r="29" spans="1:8" x14ac:dyDescent="0.2">
      <c r="A29" s="3">
        <v>23</v>
      </c>
      <c r="B29" s="4" t="s">
        <v>305</v>
      </c>
      <c r="C29" s="4" t="s">
        <v>306</v>
      </c>
      <c r="D29" s="4" t="s">
        <v>1002</v>
      </c>
      <c r="E29" s="5">
        <v>346051</v>
      </c>
      <c r="F29" s="6">
        <v>3765.5539564999999</v>
      </c>
      <c r="G29" s="7">
        <v>2.0874727999999999E-2</v>
      </c>
      <c r="H29" s="67"/>
    </row>
    <row r="30" spans="1:8" x14ac:dyDescent="0.2">
      <c r="A30" s="3">
        <v>24</v>
      </c>
      <c r="B30" s="4" t="s">
        <v>431</v>
      </c>
      <c r="C30" s="4" t="s">
        <v>432</v>
      </c>
      <c r="D30" s="4" t="s">
        <v>171</v>
      </c>
      <c r="E30" s="5">
        <v>748945</v>
      </c>
      <c r="F30" s="6">
        <v>3745.4739450000002</v>
      </c>
      <c r="G30" s="7">
        <v>2.0763411999999998E-2</v>
      </c>
      <c r="H30" s="67"/>
    </row>
    <row r="31" spans="1:8" x14ac:dyDescent="0.2">
      <c r="A31" s="3">
        <v>25</v>
      </c>
      <c r="B31" s="4" t="s">
        <v>340</v>
      </c>
      <c r="C31" s="4" t="s">
        <v>341</v>
      </c>
      <c r="D31" s="4" t="s">
        <v>81</v>
      </c>
      <c r="E31" s="5">
        <v>266798</v>
      </c>
      <c r="F31" s="6">
        <v>3608.9765459999999</v>
      </c>
      <c r="G31" s="7">
        <v>2.0006725E-2</v>
      </c>
      <c r="H31" s="67"/>
    </row>
    <row r="32" spans="1:8" ht="25.5" x14ac:dyDescent="0.2">
      <c r="A32" s="3">
        <v>26</v>
      </c>
      <c r="B32" s="4" t="s">
        <v>327</v>
      </c>
      <c r="C32" s="4" t="s">
        <v>328</v>
      </c>
      <c r="D32" s="4" t="s">
        <v>55</v>
      </c>
      <c r="E32" s="5">
        <v>748756</v>
      </c>
      <c r="F32" s="6">
        <v>3544.9852820000001</v>
      </c>
      <c r="G32" s="7">
        <v>1.9651983000000001E-2</v>
      </c>
      <c r="H32" s="67"/>
    </row>
    <row r="33" spans="1:8" x14ac:dyDescent="0.2">
      <c r="A33" s="3">
        <v>27</v>
      </c>
      <c r="B33" s="4" t="s">
        <v>426</v>
      </c>
      <c r="C33" s="4" t="s">
        <v>427</v>
      </c>
      <c r="D33" s="4" t="s">
        <v>428</v>
      </c>
      <c r="E33" s="5">
        <v>715000</v>
      </c>
      <c r="F33" s="6">
        <v>3348.3449999999998</v>
      </c>
      <c r="G33" s="7">
        <v>1.8561887999999999E-2</v>
      </c>
      <c r="H33" s="67"/>
    </row>
    <row r="34" spans="1:8" x14ac:dyDescent="0.2">
      <c r="A34" s="3">
        <v>28</v>
      </c>
      <c r="B34" s="4" t="s">
        <v>422</v>
      </c>
      <c r="C34" s="4" t="s">
        <v>423</v>
      </c>
      <c r="D34" s="4" t="s">
        <v>187</v>
      </c>
      <c r="E34" s="5">
        <v>63839</v>
      </c>
      <c r="F34" s="6">
        <v>3302.774504</v>
      </c>
      <c r="G34" s="7">
        <v>1.8309262999999999E-2</v>
      </c>
      <c r="H34" s="67"/>
    </row>
    <row r="35" spans="1:8" x14ac:dyDescent="0.2">
      <c r="A35" s="3">
        <v>29</v>
      </c>
      <c r="B35" s="4" t="s">
        <v>17</v>
      </c>
      <c r="C35" s="4" t="s">
        <v>18</v>
      </c>
      <c r="D35" s="4" t="s">
        <v>19</v>
      </c>
      <c r="E35" s="5">
        <v>489433</v>
      </c>
      <c r="F35" s="6">
        <v>3250.0798365000001</v>
      </c>
      <c r="G35" s="7">
        <v>1.8017144999999998E-2</v>
      </c>
      <c r="H35" s="67"/>
    </row>
    <row r="36" spans="1:8" x14ac:dyDescent="0.2">
      <c r="A36" s="3">
        <v>30</v>
      </c>
      <c r="B36" s="4" t="s">
        <v>313</v>
      </c>
      <c r="C36" s="4" t="s">
        <v>314</v>
      </c>
      <c r="D36" s="4" t="s">
        <v>24</v>
      </c>
      <c r="E36" s="5">
        <v>275838</v>
      </c>
      <c r="F36" s="6">
        <v>3119.0381849999999</v>
      </c>
      <c r="G36" s="7">
        <v>1.7290703000000001E-2</v>
      </c>
      <c r="H36" s="67"/>
    </row>
    <row r="37" spans="1:8" x14ac:dyDescent="0.2">
      <c r="A37" s="3">
        <v>31</v>
      </c>
      <c r="B37" s="4" t="s">
        <v>441</v>
      </c>
      <c r="C37" s="4" t="s">
        <v>442</v>
      </c>
      <c r="D37" s="4" t="s">
        <v>81</v>
      </c>
      <c r="E37" s="5">
        <v>451207</v>
      </c>
      <c r="F37" s="6">
        <v>3087.6095009999999</v>
      </c>
      <c r="G37" s="7">
        <v>1.7116474999999999E-2</v>
      </c>
      <c r="H37" s="67"/>
    </row>
    <row r="38" spans="1:8" ht="25.5" x14ac:dyDescent="0.2">
      <c r="A38" s="3">
        <v>32</v>
      </c>
      <c r="B38" s="4" t="s">
        <v>370</v>
      </c>
      <c r="C38" s="4" t="s">
        <v>371</v>
      </c>
      <c r="D38" s="4" t="s">
        <v>46</v>
      </c>
      <c r="E38" s="5">
        <v>111832</v>
      </c>
      <c r="F38" s="6">
        <v>3077.6166400000002</v>
      </c>
      <c r="G38" s="7">
        <v>1.7061078E-2</v>
      </c>
      <c r="H38" s="67"/>
    </row>
    <row r="39" spans="1:8" x14ac:dyDescent="0.2">
      <c r="A39" s="3">
        <v>33</v>
      </c>
      <c r="B39" s="4" t="s">
        <v>82</v>
      </c>
      <c r="C39" s="4" t="s">
        <v>83</v>
      </c>
      <c r="D39" s="4" t="s">
        <v>84</v>
      </c>
      <c r="E39" s="5">
        <v>2408106</v>
      </c>
      <c r="F39" s="6">
        <v>2955.9501150000001</v>
      </c>
      <c r="G39" s="7">
        <v>1.6386607000000001E-2</v>
      </c>
      <c r="H39" s="67"/>
    </row>
    <row r="40" spans="1:8" x14ac:dyDescent="0.2">
      <c r="A40" s="3">
        <v>34</v>
      </c>
      <c r="B40" s="4" t="s">
        <v>70</v>
      </c>
      <c r="C40" s="4" t="s">
        <v>71</v>
      </c>
      <c r="D40" s="4" t="s">
        <v>27</v>
      </c>
      <c r="E40" s="5">
        <v>286278</v>
      </c>
      <c r="F40" s="6">
        <v>2860.3466370000001</v>
      </c>
      <c r="G40" s="7">
        <v>1.5856619999999998E-2</v>
      </c>
      <c r="H40" s="67"/>
    </row>
    <row r="41" spans="1:8" x14ac:dyDescent="0.2">
      <c r="A41" s="3">
        <v>35</v>
      </c>
      <c r="B41" s="4" t="s">
        <v>443</v>
      </c>
      <c r="C41" s="4" t="s">
        <v>444</v>
      </c>
      <c r="D41" s="4" t="s">
        <v>187</v>
      </c>
      <c r="E41" s="5">
        <v>242316</v>
      </c>
      <c r="F41" s="6">
        <v>2296.6710480000002</v>
      </c>
      <c r="G41" s="7">
        <v>1.2731826999999999E-2</v>
      </c>
      <c r="H41" s="67"/>
    </row>
    <row r="42" spans="1:8" ht="25.5" x14ac:dyDescent="0.2">
      <c r="A42" s="3">
        <v>36</v>
      </c>
      <c r="B42" s="4" t="s">
        <v>101</v>
      </c>
      <c r="C42" s="4" t="s">
        <v>994</v>
      </c>
      <c r="D42" s="4" t="s">
        <v>992</v>
      </c>
      <c r="E42" s="5">
        <v>98774</v>
      </c>
      <c r="F42" s="6">
        <v>2172.8304520000002</v>
      </c>
      <c r="G42" s="7">
        <v>1.2045304999999999E-2</v>
      </c>
      <c r="H42" s="67"/>
    </row>
    <row r="43" spans="1:8" ht="25.5" x14ac:dyDescent="0.2">
      <c r="A43" s="3">
        <v>37</v>
      </c>
      <c r="B43" s="4" t="s">
        <v>50</v>
      </c>
      <c r="C43" s="4" t="s">
        <v>51</v>
      </c>
      <c r="D43" s="4" t="s">
        <v>52</v>
      </c>
      <c r="E43" s="5">
        <v>300000</v>
      </c>
      <c r="F43" s="6">
        <v>1858.65</v>
      </c>
      <c r="G43" s="7">
        <v>1.0303613999999999E-2</v>
      </c>
      <c r="H43" s="67"/>
    </row>
    <row r="44" spans="1:8" x14ac:dyDescent="0.2">
      <c r="A44" s="3">
        <v>38</v>
      </c>
      <c r="B44" s="4" t="s">
        <v>392</v>
      </c>
      <c r="C44" s="4" t="s">
        <v>393</v>
      </c>
      <c r="D44" s="4" t="s">
        <v>171</v>
      </c>
      <c r="E44" s="5">
        <v>254320</v>
      </c>
      <c r="F44" s="6">
        <v>1813.3016</v>
      </c>
      <c r="G44" s="7">
        <v>1.0052220000000001E-2</v>
      </c>
      <c r="H44" s="67"/>
    </row>
    <row r="45" spans="1:8" x14ac:dyDescent="0.2">
      <c r="A45" s="3">
        <v>39</v>
      </c>
      <c r="B45" s="4" t="s">
        <v>329</v>
      </c>
      <c r="C45" s="4" t="s">
        <v>330</v>
      </c>
      <c r="D45" s="4" t="s">
        <v>331</v>
      </c>
      <c r="E45" s="5">
        <v>175633</v>
      </c>
      <c r="F45" s="6">
        <v>1768.4486770000001</v>
      </c>
      <c r="G45" s="7">
        <v>9.8035740000000007E-3</v>
      </c>
      <c r="H45" s="67"/>
    </row>
    <row r="46" spans="1:8" x14ac:dyDescent="0.2">
      <c r="A46" s="3">
        <v>40</v>
      </c>
      <c r="B46" s="4" t="s">
        <v>180</v>
      </c>
      <c r="C46" s="4" t="s">
        <v>181</v>
      </c>
      <c r="D46" s="4" t="s">
        <v>171</v>
      </c>
      <c r="E46" s="5">
        <v>80000</v>
      </c>
      <c r="F46" s="6">
        <v>1091.72</v>
      </c>
      <c r="G46" s="7">
        <v>6.0520599999999997E-3</v>
      </c>
      <c r="H46" s="67"/>
    </row>
    <row r="47" spans="1:8" x14ac:dyDescent="0.2">
      <c r="A47" s="3">
        <v>41</v>
      </c>
      <c r="B47" s="4" t="s">
        <v>325</v>
      </c>
      <c r="C47" s="4" t="s">
        <v>326</v>
      </c>
      <c r="D47" s="4" t="s">
        <v>187</v>
      </c>
      <c r="E47" s="5">
        <v>95469</v>
      </c>
      <c r="F47" s="6">
        <v>902.46845699999994</v>
      </c>
      <c r="G47" s="7">
        <v>5.0029250000000001E-3</v>
      </c>
      <c r="H47" s="67"/>
    </row>
    <row r="48" spans="1:8" x14ac:dyDescent="0.2">
      <c r="A48" s="3">
        <v>42</v>
      </c>
      <c r="B48" s="4" t="s">
        <v>323</v>
      </c>
      <c r="C48" s="4" t="s">
        <v>324</v>
      </c>
      <c r="D48" s="4" t="s">
        <v>55</v>
      </c>
      <c r="E48" s="5">
        <v>83911</v>
      </c>
      <c r="F48" s="6">
        <v>835.62769349999996</v>
      </c>
      <c r="G48" s="7">
        <v>4.6323859999999996E-3</v>
      </c>
      <c r="H48" s="67"/>
    </row>
    <row r="49" spans="1:8" x14ac:dyDescent="0.2">
      <c r="A49" s="3">
        <v>43</v>
      </c>
      <c r="B49" s="4" t="s">
        <v>374</v>
      </c>
      <c r="C49" s="4" t="s">
        <v>375</v>
      </c>
      <c r="D49" s="4" t="s">
        <v>331</v>
      </c>
      <c r="E49" s="5">
        <v>609960</v>
      </c>
      <c r="F49" s="6">
        <v>820.70118000000002</v>
      </c>
      <c r="G49" s="7">
        <v>4.5496399999999998E-3</v>
      </c>
      <c r="H49" s="67"/>
    </row>
    <row r="50" spans="1:8" x14ac:dyDescent="0.2">
      <c r="A50" s="3">
        <v>44</v>
      </c>
      <c r="B50" s="4" t="s">
        <v>309</v>
      </c>
      <c r="C50" s="4" t="s">
        <v>310</v>
      </c>
      <c r="D50" s="4" t="s">
        <v>1001</v>
      </c>
      <c r="E50" s="5">
        <v>19969</v>
      </c>
      <c r="F50" s="6">
        <v>797.76155000000006</v>
      </c>
      <c r="G50" s="7">
        <v>4.4224720000000002E-3</v>
      </c>
      <c r="H50" s="67"/>
    </row>
    <row r="51" spans="1:8" x14ac:dyDescent="0.2">
      <c r="A51" s="3">
        <v>45</v>
      </c>
      <c r="B51" s="4" t="s">
        <v>445</v>
      </c>
      <c r="C51" s="4" t="s">
        <v>446</v>
      </c>
      <c r="D51" s="4" t="s">
        <v>171</v>
      </c>
      <c r="E51" s="5">
        <v>350118</v>
      </c>
      <c r="F51" s="6">
        <v>765.35794799999996</v>
      </c>
      <c r="G51" s="7">
        <v>4.242839E-3</v>
      </c>
      <c r="H51" s="67"/>
    </row>
    <row r="52" spans="1:8" ht="25.5" x14ac:dyDescent="0.2">
      <c r="A52" s="3">
        <v>46</v>
      </c>
      <c r="B52" s="4" t="s">
        <v>435</v>
      </c>
      <c r="C52" s="4" t="s">
        <v>436</v>
      </c>
      <c r="D52" s="4" t="s">
        <v>1002</v>
      </c>
      <c r="E52" s="5">
        <v>25820</v>
      </c>
      <c r="F52" s="6">
        <v>411.72572000000002</v>
      </c>
      <c r="G52" s="7">
        <v>2.2824429999999999E-3</v>
      </c>
      <c r="H52" s="67"/>
    </row>
    <row r="53" spans="1:8" x14ac:dyDescent="0.2">
      <c r="A53" s="1"/>
      <c r="B53" s="1"/>
      <c r="C53" s="2" t="s">
        <v>105</v>
      </c>
      <c r="D53" s="1"/>
      <c r="E53" s="1" t="s">
        <v>106</v>
      </c>
      <c r="F53" s="9">
        <v>172798.4074075</v>
      </c>
      <c r="G53" s="10">
        <v>0.95792538800000004</v>
      </c>
      <c r="H53" s="67"/>
    </row>
    <row r="54" spans="1:8" x14ac:dyDescent="0.2">
      <c r="A54" s="1"/>
      <c r="B54" s="1"/>
      <c r="C54" s="11"/>
      <c r="D54" s="1"/>
      <c r="E54" s="1"/>
      <c r="F54" s="12"/>
      <c r="G54" s="12"/>
      <c r="H54" s="67"/>
    </row>
    <row r="55" spans="1:8" x14ac:dyDescent="0.2">
      <c r="A55" s="1"/>
      <c r="B55" s="1"/>
      <c r="C55" s="2" t="s">
        <v>107</v>
      </c>
      <c r="D55" s="1"/>
      <c r="E55" s="1"/>
      <c r="F55" s="1"/>
      <c r="G55" s="1"/>
      <c r="H55" s="67"/>
    </row>
    <row r="56" spans="1:8" x14ac:dyDescent="0.2">
      <c r="A56" s="1"/>
      <c r="B56" s="1"/>
      <c r="C56" s="2" t="s">
        <v>105</v>
      </c>
      <c r="D56" s="1"/>
      <c r="E56" s="1" t="s">
        <v>106</v>
      </c>
      <c r="F56" s="13">
        <v>0</v>
      </c>
      <c r="G56" s="14">
        <v>0</v>
      </c>
      <c r="H56" s="67"/>
    </row>
    <row r="57" spans="1:8" x14ac:dyDescent="0.2">
      <c r="A57" s="1"/>
      <c r="B57" s="1"/>
      <c r="C57" s="11"/>
      <c r="D57" s="1"/>
      <c r="E57" s="1"/>
      <c r="F57" s="12"/>
      <c r="G57" s="12"/>
      <c r="H57" s="67"/>
    </row>
    <row r="58" spans="1:8" x14ac:dyDescent="0.2">
      <c r="A58" s="1"/>
      <c r="B58" s="1"/>
      <c r="C58" s="2" t="s">
        <v>108</v>
      </c>
      <c r="D58" s="1"/>
      <c r="E58" s="1"/>
      <c r="F58" s="1"/>
      <c r="G58" s="1"/>
      <c r="H58" s="67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13">
        <v>0</v>
      </c>
      <c r="G59" s="14">
        <v>0</v>
      </c>
      <c r="H59" s="67"/>
    </row>
    <row r="60" spans="1:8" x14ac:dyDescent="0.2">
      <c r="A60" s="1"/>
      <c r="B60" s="1"/>
      <c r="C60" s="11"/>
      <c r="D60" s="1"/>
      <c r="E60" s="1"/>
      <c r="F60" s="12"/>
      <c r="G60" s="12"/>
      <c r="H60" s="67"/>
    </row>
    <row r="61" spans="1:8" x14ac:dyDescent="0.2">
      <c r="A61" s="1"/>
      <c r="B61" s="1"/>
      <c r="C61" s="2" t="s">
        <v>109</v>
      </c>
      <c r="D61" s="1"/>
      <c r="E61" s="1"/>
      <c r="F61" s="1"/>
      <c r="G61" s="1"/>
      <c r="H61" s="67"/>
    </row>
    <row r="62" spans="1:8" x14ac:dyDescent="0.2">
      <c r="A62" s="1"/>
      <c r="B62" s="1"/>
      <c r="C62" s="2" t="s">
        <v>105</v>
      </c>
      <c r="D62" s="1"/>
      <c r="E62" s="1" t="s">
        <v>106</v>
      </c>
      <c r="F62" s="13">
        <v>0</v>
      </c>
      <c r="G62" s="14">
        <v>0</v>
      </c>
      <c r="H62" s="67"/>
    </row>
    <row r="63" spans="1:8" x14ac:dyDescent="0.2">
      <c r="A63" s="1"/>
      <c r="B63" s="1"/>
      <c r="C63" s="11"/>
      <c r="D63" s="1"/>
      <c r="E63" s="1"/>
      <c r="F63" s="12"/>
      <c r="G63" s="12"/>
      <c r="H63" s="67"/>
    </row>
    <row r="64" spans="1:8" x14ac:dyDescent="0.2">
      <c r="A64" s="1"/>
      <c r="B64" s="1"/>
      <c r="C64" s="2" t="s">
        <v>110</v>
      </c>
      <c r="D64" s="1"/>
      <c r="E64" s="1"/>
      <c r="F64" s="12"/>
      <c r="G64" s="12"/>
      <c r="H64" s="67"/>
    </row>
    <row r="65" spans="1:8" x14ac:dyDescent="0.2">
      <c r="A65" s="1"/>
      <c r="B65" s="1"/>
      <c r="C65" s="2" t="s">
        <v>105</v>
      </c>
      <c r="D65" s="1"/>
      <c r="E65" s="1" t="s">
        <v>106</v>
      </c>
      <c r="F65" s="13">
        <v>0</v>
      </c>
      <c r="G65" s="14">
        <v>0</v>
      </c>
      <c r="H65" s="67"/>
    </row>
    <row r="66" spans="1:8" x14ac:dyDescent="0.2">
      <c r="A66" s="1"/>
      <c r="B66" s="1"/>
      <c r="C66" s="11"/>
      <c r="D66" s="1"/>
      <c r="E66" s="1"/>
      <c r="F66" s="12"/>
      <c r="G66" s="12"/>
      <c r="H66" s="67"/>
    </row>
    <row r="67" spans="1:8" x14ac:dyDescent="0.2">
      <c r="A67" s="1"/>
      <c r="B67" s="1"/>
      <c r="C67" s="2" t="s">
        <v>111</v>
      </c>
      <c r="D67" s="1"/>
      <c r="E67" s="1"/>
      <c r="F67" s="12"/>
      <c r="G67" s="12"/>
      <c r="H67" s="67"/>
    </row>
    <row r="68" spans="1:8" x14ac:dyDescent="0.2">
      <c r="A68" s="1"/>
      <c r="B68" s="1"/>
      <c r="C68" s="2" t="s">
        <v>105</v>
      </c>
      <c r="D68" s="1"/>
      <c r="E68" s="1" t="s">
        <v>106</v>
      </c>
      <c r="F68" s="13">
        <v>0</v>
      </c>
      <c r="G68" s="14">
        <v>0</v>
      </c>
      <c r="H68" s="67"/>
    </row>
    <row r="69" spans="1:8" x14ac:dyDescent="0.2">
      <c r="A69" s="1"/>
      <c r="B69" s="1"/>
      <c r="C69" s="11"/>
      <c r="D69" s="1"/>
      <c r="E69" s="1"/>
      <c r="F69" s="12"/>
      <c r="G69" s="12"/>
      <c r="H69" s="67"/>
    </row>
    <row r="70" spans="1:8" x14ac:dyDescent="0.2">
      <c r="A70" s="1"/>
      <c r="B70" s="1"/>
      <c r="C70" s="2" t="s">
        <v>112</v>
      </c>
      <c r="D70" s="1"/>
      <c r="E70" s="1"/>
      <c r="F70" s="9">
        <v>172798.4074075</v>
      </c>
      <c r="G70" s="10">
        <v>0.95792538800000004</v>
      </c>
      <c r="H70" s="67"/>
    </row>
    <row r="71" spans="1:8" x14ac:dyDescent="0.2">
      <c r="A71" s="1"/>
      <c r="B71" s="1"/>
      <c r="C71" s="11"/>
      <c r="D71" s="1"/>
      <c r="E71" s="1"/>
      <c r="F71" s="12"/>
      <c r="G71" s="12"/>
      <c r="H71" s="67"/>
    </row>
    <row r="72" spans="1:8" x14ac:dyDescent="0.2">
      <c r="A72" s="1"/>
      <c r="B72" s="1"/>
      <c r="C72" s="2" t="s">
        <v>113</v>
      </c>
      <c r="D72" s="1"/>
      <c r="E72" s="1"/>
      <c r="F72" s="12"/>
      <c r="G72" s="12"/>
      <c r="H72" s="67"/>
    </row>
    <row r="73" spans="1:8" ht="25.5" x14ac:dyDescent="0.2">
      <c r="A73" s="1"/>
      <c r="B73" s="1"/>
      <c r="C73" s="2" t="s">
        <v>10</v>
      </c>
      <c r="D73" s="1"/>
      <c r="E73" s="1"/>
      <c r="F73" s="12"/>
      <c r="G73" s="12"/>
      <c r="H73" s="67"/>
    </row>
    <row r="74" spans="1:8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">
        <v>0</v>
      </c>
      <c r="H74" s="67"/>
    </row>
    <row r="75" spans="1:8" x14ac:dyDescent="0.2">
      <c r="A75" s="1"/>
      <c r="B75" s="1"/>
      <c r="C75" s="11"/>
      <c r="D75" s="1"/>
      <c r="E75" s="1"/>
      <c r="F75" s="12"/>
      <c r="G75" s="12"/>
      <c r="H75" s="67"/>
    </row>
    <row r="76" spans="1:8" x14ac:dyDescent="0.2">
      <c r="A76" s="1"/>
      <c r="B76" s="1"/>
      <c r="C76" s="2" t="s">
        <v>114</v>
      </c>
      <c r="D76" s="1"/>
      <c r="E76" s="1"/>
      <c r="F76" s="1"/>
      <c r="G76" s="1"/>
      <c r="H76" s="67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7"/>
    </row>
    <row r="78" spans="1:8" x14ac:dyDescent="0.2">
      <c r="A78" s="1"/>
      <c r="B78" s="1"/>
      <c r="C78" s="11"/>
      <c r="D78" s="1"/>
      <c r="E78" s="1"/>
      <c r="F78" s="12"/>
      <c r="G78" s="12"/>
      <c r="H78" s="67"/>
    </row>
    <row r="79" spans="1:8" x14ac:dyDescent="0.2">
      <c r="A79" s="1"/>
      <c r="B79" s="1"/>
      <c r="C79" s="2" t="s">
        <v>115</v>
      </c>
      <c r="D79" s="1"/>
      <c r="E79" s="1"/>
      <c r="F79" s="1"/>
      <c r="G79" s="1"/>
      <c r="H79" s="67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7"/>
    </row>
    <row r="81" spans="1:8" x14ac:dyDescent="0.2">
      <c r="A81" s="1"/>
      <c r="B81" s="1"/>
      <c r="C81" s="11"/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116</v>
      </c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7"/>
    </row>
    <row r="84" spans="1:8" x14ac:dyDescent="0.2">
      <c r="A84" s="1"/>
      <c r="B84" s="1"/>
      <c r="C84" s="11"/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117</v>
      </c>
      <c r="D85" s="1"/>
      <c r="E85" s="1"/>
      <c r="F85" s="9">
        <v>0</v>
      </c>
      <c r="G85" s="10">
        <v>0</v>
      </c>
      <c r="H85" s="67"/>
    </row>
    <row r="86" spans="1:8" x14ac:dyDescent="0.2">
      <c r="A86" s="1"/>
      <c r="B86" s="1"/>
      <c r="C86" s="11"/>
      <c r="D86" s="1"/>
      <c r="E86" s="1"/>
      <c r="F86" s="12"/>
      <c r="G86" s="12"/>
      <c r="H86" s="67"/>
    </row>
    <row r="87" spans="1:8" x14ac:dyDescent="0.2">
      <c r="A87" s="1"/>
      <c r="B87" s="1"/>
      <c r="C87" s="2" t="s">
        <v>118</v>
      </c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119</v>
      </c>
      <c r="D88" s="1"/>
      <c r="E88" s="1"/>
      <c r="F88" s="12"/>
      <c r="G88" s="12"/>
      <c r="H88" s="67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">
        <v>0</v>
      </c>
      <c r="H89" s="67"/>
    </row>
    <row r="90" spans="1:8" x14ac:dyDescent="0.2">
      <c r="A90" s="1"/>
      <c r="B90" s="1"/>
      <c r="C90" s="11"/>
      <c r="D90" s="1"/>
      <c r="E90" s="1"/>
      <c r="F90" s="12"/>
      <c r="G90" s="12"/>
      <c r="H90" s="67"/>
    </row>
    <row r="91" spans="1:8" x14ac:dyDescent="0.2">
      <c r="A91" s="1"/>
      <c r="B91" s="1"/>
      <c r="C91" s="2" t="s">
        <v>120</v>
      </c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7"/>
    </row>
    <row r="93" spans="1:8" x14ac:dyDescent="0.2">
      <c r="A93" s="1"/>
      <c r="B93" s="1"/>
      <c r="C93" s="11"/>
      <c r="D93" s="1"/>
      <c r="E93" s="1"/>
      <c r="F93" s="12"/>
      <c r="G93" s="12"/>
      <c r="H93" s="67"/>
    </row>
    <row r="94" spans="1:8" x14ac:dyDescent="0.2">
      <c r="A94" s="1"/>
      <c r="B94" s="1"/>
      <c r="C94" s="2" t="s">
        <v>121</v>
      </c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7"/>
    </row>
    <row r="96" spans="1:8" x14ac:dyDescent="0.2">
      <c r="A96" s="1"/>
      <c r="B96" s="1"/>
      <c r="C96" s="11"/>
      <c r="D96" s="1"/>
      <c r="E96" s="1"/>
      <c r="F96" s="12"/>
      <c r="G96" s="12"/>
      <c r="H96" s="67"/>
    </row>
    <row r="97" spans="1:8" x14ac:dyDescent="0.2">
      <c r="A97" s="1"/>
      <c r="B97" s="1"/>
      <c r="C97" s="2" t="s">
        <v>122</v>
      </c>
      <c r="D97" s="1"/>
      <c r="E97" s="1"/>
      <c r="F97" s="12"/>
      <c r="G97" s="12"/>
      <c r="H97" s="67"/>
    </row>
    <row r="98" spans="1:8" x14ac:dyDescent="0.2">
      <c r="A98" s="3">
        <v>1</v>
      </c>
      <c r="B98" s="4"/>
      <c r="C98" s="4" t="s">
        <v>123</v>
      </c>
      <c r="D98" s="4"/>
      <c r="E98" s="8"/>
      <c r="F98" s="6">
        <v>8654.2511579000002</v>
      </c>
      <c r="G98" s="7">
        <v>4.7975714000000003E-2</v>
      </c>
      <c r="H98" s="67">
        <v>3.1047477660654299</v>
      </c>
    </row>
    <row r="99" spans="1:8" x14ac:dyDescent="0.2">
      <c r="A99" s="1"/>
      <c r="B99" s="1"/>
      <c r="C99" s="2" t="s">
        <v>105</v>
      </c>
      <c r="D99" s="1"/>
      <c r="E99" s="1" t="s">
        <v>106</v>
      </c>
      <c r="F99" s="9">
        <v>8654.2511579000002</v>
      </c>
      <c r="G99" s="10">
        <v>4.7975714000000003E-2</v>
      </c>
      <c r="H99" s="67"/>
    </row>
    <row r="100" spans="1:8" x14ac:dyDescent="0.2">
      <c r="A100" s="1"/>
      <c r="B100" s="1"/>
      <c r="C100" s="11"/>
      <c r="D100" s="1"/>
      <c r="E100" s="1"/>
      <c r="F100" s="12"/>
      <c r="G100" s="12"/>
      <c r="H100" s="67"/>
    </row>
    <row r="101" spans="1:8" x14ac:dyDescent="0.2">
      <c r="A101" s="1"/>
      <c r="B101" s="1"/>
      <c r="C101" s="2" t="s">
        <v>124</v>
      </c>
      <c r="D101" s="1"/>
      <c r="E101" s="1"/>
      <c r="F101" s="9">
        <v>8654.2511579000002</v>
      </c>
      <c r="G101" s="10">
        <v>4.7975714000000003E-2</v>
      </c>
      <c r="H101" s="67"/>
    </row>
    <row r="102" spans="1:8" x14ac:dyDescent="0.2">
      <c r="A102" s="1"/>
      <c r="B102" s="1"/>
      <c r="C102" s="12"/>
      <c r="D102" s="1"/>
      <c r="E102" s="1"/>
      <c r="F102" s="1"/>
      <c r="G102" s="1"/>
      <c r="H102" s="67"/>
    </row>
    <row r="103" spans="1:8" x14ac:dyDescent="0.2">
      <c r="A103" s="1"/>
      <c r="B103" s="1"/>
      <c r="C103" s="2" t="s">
        <v>125</v>
      </c>
      <c r="D103" s="1"/>
      <c r="E103" s="1"/>
      <c r="F103" s="1"/>
      <c r="G103" s="1"/>
      <c r="H103" s="67"/>
    </row>
    <row r="104" spans="1:8" x14ac:dyDescent="0.2">
      <c r="A104" s="1"/>
      <c r="B104" s="1"/>
      <c r="C104" s="2" t="s">
        <v>126</v>
      </c>
      <c r="D104" s="1"/>
      <c r="E104" s="1"/>
      <c r="F104" s="1"/>
      <c r="G104" s="1"/>
      <c r="H104" s="67"/>
    </row>
    <row r="105" spans="1:8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">
        <v>0</v>
      </c>
      <c r="H105" s="67"/>
    </row>
    <row r="106" spans="1:8" x14ac:dyDescent="0.2">
      <c r="A106" s="1"/>
      <c r="B106" s="1"/>
      <c r="C106" s="11"/>
      <c r="D106" s="1"/>
      <c r="E106" s="1"/>
      <c r="F106" s="12"/>
      <c r="G106" s="12"/>
      <c r="H106" s="67"/>
    </row>
    <row r="107" spans="1:8" x14ac:dyDescent="0.2">
      <c r="A107" s="1"/>
      <c r="B107" s="1"/>
      <c r="C107" s="2" t="s">
        <v>127</v>
      </c>
      <c r="D107" s="1"/>
      <c r="E107" s="1"/>
      <c r="F107" s="1"/>
      <c r="G107" s="1"/>
      <c r="H107" s="67"/>
    </row>
    <row r="108" spans="1:8" x14ac:dyDescent="0.2">
      <c r="A108" s="1"/>
      <c r="B108" s="1"/>
      <c r="C108" s="2" t="s">
        <v>128</v>
      </c>
      <c r="D108" s="1"/>
      <c r="E108" s="1"/>
      <c r="F108" s="1"/>
      <c r="G108" s="1"/>
      <c r="H108" s="67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">
        <v>0</v>
      </c>
      <c r="H109" s="67"/>
    </row>
    <row r="110" spans="1:8" x14ac:dyDescent="0.2">
      <c r="A110" s="1"/>
      <c r="B110" s="1"/>
      <c r="C110" s="11"/>
      <c r="D110" s="1"/>
      <c r="E110" s="1"/>
      <c r="F110" s="12"/>
      <c r="G110" s="12"/>
      <c r="H110" s="67"/>
    </row>
    <row r="111" spans="1:8" x14ac:dyDescent="0.2">
      <c r="A111" s="1"/>
      <c r="B111" s="1"/>
      <c r="C111" s="11"/>
      <c r="D111" s="1"/>
      <c r="E111" s="1"/>
      <c r="F111" s="12"/>
      <c r="G111" s="12"/>
      <c r="H111" s="67"/>
    </row>
    <row r="112" spans="1:8" ht="25.5" x14ac:dyDescent="0.2">
      <c r="A112" s="1"/>
      <c r="B112" s="1"/>
      <c r="C112" s="2" t="s">
        <v>129</v>
      </c>
      <c r="D112" s="1"/>
      <c r="E112" s="1"/>
      <c r="F112" s="12"/>
      <c r="G112" s="12"/>
      <c r="H112" s="67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">
        <v>0</v>
      </c>
      <c r="H113" s="67"/>
    </row>
    <row r="114" spans="1:8" x14ac:dyDescent="0.2">
      <c r="A114" s="1"/>
      <c r="B114" s="1"/>
      <c r="C114" s="11"/>
      <c r="D114" s="1"/>
      <c r="E114" s="1"/>
      <c r="F114" s="12"/>
      <c r="G114" s="12"/>
      <c r="H114" s="67"/>
    </row>
    <row r="115" spans="1:8" x14ac:dyDescent="0.2">
      <c r="A115" s="1"/>
      <c r="B115" s="4"/>
      <c r="C115" s="4"/>
      <c r="D115" s="2"/>
      <c r="E115" s="1"/>
      <c r="F115" s="4"/>
      <c r="G115" s="8"/>
      <c r="H115" s="67"/>
    </row>
    <row r="116" spans="1:8" x14ac:dyDescent="0.2">
      <c r="A116" s="8"/>
      <c r="B116" s="4"/>
      <c r="C116" s="4" t="s">
        <v>130</v>
      </c>
      <c r="D116" s="4"/>
      <c r="E116" s="8"/>
      <c r="F116" s="6">
        <v>-1064.48920615</v>
      </c>
      <c r="G116" s="7">
        <v>-5.9011030000000004E-3</v>
      </c>
      <c r="H116" s="67"/>
    </row>
    <row r="117" spans="1:8" x14ac:dyDescent="0.2">
      <c r="A117" s="11"/>
      <c r="B117" s="11"/>
      <c r="C117" s="2" t="s">
        <v>131</v>
      </c>
      <c r="D117" s="15"/>
      <c r="E117" s="15"/>
      <c r="F117" s="9">
        <v>180388.16935924999</v>
      </c>
      <c r="G117" s="10">
        <v>0.99999999900000003</v>
      </c>
      <c r="H117" s="67"/>
    </row>
    <row r="118" spans="1:8" ht="14.1" customHeight="1" x14ac:dyDescent="0.2">
      <c r="A118" s="16"/>
      <c r="B118" s="16"/>
      <c r="C118" s="16"/>
      <c r="D118" s="17"/>
      <c r="E118" s="17"/>
      <c r="F118" s="17"/>
      <c r="G118" s="17"/>
    </row>
    <row r="119" spans="1:8" ht="14.1" customHeight="1" x14ac:dyDescent="0.2">
      <c r="A119" s="18"/>
      <c r="B119" s="170" t="s">
        <v>106</v>
      </c>
      <c r="C119" s="170"/>
      <c r="D119" s="170"/>
      <c r="E119" s="170"/>
      <c r="F119" s="170"/>
      <c r="G119" s="20"/>
    </row>
    <row r="120" spans="1:8" ht="14.1" customHeight="1" x14ac:dyDescent="0.2">
      <c r="A120" s="18"/>
      <c r="B120" s="170" t="s">
        <v>106</v>
      </c>
      <c r="C120" s="170"/>
      <c r="D120" s="170"/>
      <c r="E120" s="170"/>
      <c r="F120" s="170"/>
      <c r="G120" s="20"/>
    </row>
    <row r="121" spans="1:8" ht="14.1" customHeight="1" x14ac:dyDescent="0.2">
      <c r="A121" s="18"/>
      <c r="B121" s="18"/>
      <c r="C121" s="18"/>
      <c r="D121" s="20"/>
      <c r="E121" s="20"/>
      <c r="F121" s="20"/>
      <c r="G121" s="20"/>
    </row>
    <row r="122" spans="1:8" ht="14.1" customHeight="1" x14ac:dyDescent="0.2">
      <c r="A122" s="18"/>
      <c r="B122" s="168" t="s">
        <v>133</v>
      </c>
      <c r="C122" s="169"/>
      <c r="D122" s="12" t="s">
        <v>106</v>
      </c>
      <c r="E122" s="21"/>
      <c r="F122" s="20"/>
      <c r="G122" s="20"/>
    </row>
    <row r="123" spans="1:8" ht="29.1" customHeight="1" x14ac:dyDescent="0.2">
      <c r="A123" s="18"/>
      <c r="B123" s="165" t="s">
        <v>134</v>
      </c>
      <c r="C123" s="166"/>
      <c r="D123" s="2" t="s">
        <v>135</v>
      </c>
      <c r="E123" s="21"/>
      <c r="F123" s="20"/>
      <c r="G123" s="20"/>
    </row>
    <row r="124" spans="1:8" ht="17.100000000000001" customHeight="1" x14ac:dyDescent="0.2">
      <c r="A124" s="18"/>
      <c r="B124" s="165" t="s">
        <v>136</v>
      </c>
      <c r="C124" s="166"/>
      <c r="D124" s="2" t="s">
        <v>135</v>
      </c>
      <c r="E124" s="21"/>
      <c r="F124" s="20"/>
      <c r="G124" s="20"/>
    </row>
    <row r="125" spans="1:8" ht="17.100000000000001" customHeight="1" x14ac:dyDescent="0.2">
      <c r="A125" s="18"/>
      <c r="B125" s="165" t="s">
        <v>137</v>
      </c>
      <c r="C125" s="166"/>
      <c r="D125" s="12" t="s">
        <v>106</v>
      </c>
      <c r="E125" s="21"/>
      <c r="F125" s="20"/>
      <c r="G125" s="20"/>
    </row>
    <row r="126" spans="1:8" ht="24" customHeight="1" x14ac:dyDescent="0.2">
      <c r="A126" s="22"/>
      <c r="B126" s="23" t="s">
        <v>106</v>
      </c>
      <c r="C126" s="23" t="s">
        <v>138</v>
      </c>
      <c r="D126" s="23" t="s">
        <v>139</v>
      </c>
      <c r="E126" s="22"/>
      <c r="F126" s="22"/>
      <c r="G126" s="22"/>
    </row>
    <row r="127" spans="1:8" ht="18" customHeight="1" x14ac:dyDescent="0.2">
      <c r="A127" s="22"/>
      <c r="B127" s="23" t="s">
        <v>140</v>
      </c>
      <c r="C127" s="23" t="s">
        <v>141</v>
      </c>
      <c r="D127" s="23" t="s">
        <v>142</v>
      </c>
      <c r="E127" s="22"/>
      <c r="F127" s="22"/>
      <c r="G127" s="22"/>
    </row>
    <row r="128" spans="1:8" ht="17.100000000000001" customHeight="1" x14ac:dyDescent="0.2">
      <c r="A128" s="22"/>
      <c r="B128" s="4" t="s">
        <v>143</v>
      </c>
      <c r="C128" s="24">
        <v>53.905500000000004</v>
      </c>
      <c r="D128" s="24">
        <v>57.613799999999998</v>
      </c>
      <c r="E128" s="22"/>
      <c r="F128" s="19"/>
      <c r="G128" s="25"/>
    </row>
    <row r="129" spans="1:7" ht="17.100000000000001" customHeight="1" x14ac:dyDescent="0.2">
      <c r="A129" s="22"/>
      <c r="B129" s="4" t="s">
        <v>988</v>
      </c>
      <c r="C129" s="24">
        <v>24.950900000000001</v>
      </c>
      <c r="D129" s="24">
        <v>26.667300000000001</v>
      </c>
      <c r="E129" s="22"/>
      <c r="F129" s="19"/>
      <c r="G129" s="25"/>
    </row>
    <row r="130" spans="1:7" ht="17.100000000000001" customHeight="1" x14ac:dyDescent="0.2">
      <c r="A130" s="22"/>
      <c r="B130" s="4" t="s">
        <v>144</v>
      </c>
      <c r="C130" s="24">
        <v>50.111600000000003</v>
      </c>
      <c r="D130" s="24">
        <v>53.501100000000001</v>
      </c>
      <c r="E130" s="22"/>
      <c r="F130" s="19"/>
      <c r="G130" s="25"/>
    </row>
    <row r="131" spans="1:7" ht="17.100000000000001" customHeight="1" x14ac:dyDescent="0.2">
      <c r="A131" s="22"/>
      <c r="B131" s="4" t="s">
        <v>989</v>
      </c>
      <c r="C131" s="24">
        <v>22.706900000000001</v>
      </c>
      <c r="D131" s="24">
        <v>24.242799999999999</v>
      </c>
      <c r="E131" s="22"/>
      <c r="F131" s="19"/>
      <c r="G131" s="25"/>
    </row>
    <row r="132" spans="1:7" ht="14.1" customHeight="1" x14ac:dyDescent="0.2">
      <c r="A132" s="22"/>
      <c r="B132" s="22"/>
      <c r="C132" s="22"/>
      <c r="D132" s="22"/>
      <c r="E132" s="22"/>
      <c r="F132" s="22"/>
      <c r="G132" s="22"/>
    </row>
    <row r="133" spans="1:7" ht="17.100000000000001" customHeight="1" x14ac:dyDescent="0.2">
      <c r="A133" s="22"/>
      <c r="B133" s="165" t="s">
        <v>990</v>
      </c>
      <c r="C133" s="166"/>
      <c r="D133" s="2" t="s">
        <v>135</v>
      </c>
      <c r="E133" s="22"/>
      <c r="F133" s="22"/>
      <c r="G133" s="22"/>
    </row>
    <row r="134" spans="1:7" ht="18" customHeight="1" x14ac:dyDescent="0.2">
      <c r="A134" s="22"/>
      <c r="B134" s="26" t="s">
        <v>145</v>
      </c>
      <c r="C134" s="26" t="s">
        <v>145</v>
      </c>
      <c r="D134" s="26"/>
      <c r="E134" s="22"/>
      <c r="F134" s="22"/>
      <c r="G134" s="22"/>
    </row>
    <row r="135" spans="1:7" s="158" customFormat="1" x14ac:dyDescent="0.2">
      <c r="B135" s="167" t="s">
        <v>822</v>
      </c>
      <c r="C135" s="167"/>
      <c r="D135" s="167"/>
      <c r="E135" s="167"/>
      <c r="F135" s="167"/>
    </row>
    <row r="136" spans="1:7" ht="14.1" customHeight="1" x14ac:dyDescent="0.2">
      <c r="A136" s="22"/>
      <c r="B136" s="19"/>
      <c r="C136" s="19"/>
      <c r="D136" s="22"/>
      <c r="E136" s="22"/>
      <c r="F136" s="22"/>
      <c r="G136" s="22"/>
    </row>
    <row r="137" spans="1:7" ht="29.1" customHeight="1" x14ac:dyDescent="0.2">
      <c r="A137" s="22"/>
      <c r="B137" s="165" t="s">
        <v>146</v>
      </c>
      <c r="C137" s="166"/>
      <c r="D137" s="2" t="s">
        <v>135</v>
      </c>
      <c r="E137" s="22"/>
      <c r="F137" s="22"/>
      <c r="G137" s="22"/>
    </row>
    <row r="138" spans="1:7" ht="29.1" customHeight="1" x14ac:dyDescent="0.2">
      <c r="A138" s="22"/>
      <c r="B138" s="165" t="s">
        <v>147</v>
      </c>
      <c r="C138" s="166"/>
      <c r="D138" s="2" t="s">
        <v>135</v>
      </c>
      <c r="E138" s="22"/>
      <c r="F138" s="22"/>
      <c r="G138" s="22"/>
    </row>
    <row r="139" spans="1:7" ht="17.100000000000001" customHeight="1" x14ac:dyDescent="0.2">
      <c r="A139" s="22"/>
      <c r="B139" s="165" t="s">
        <v>148</v>
      </c>
      <c r="C139" s="166"/>
      <c r="D139" s="27">
        <v>0.82549956051951434</v>
      </c>
      <c r="E139" s="22"/>
      <c r="F139" s="19"/>
      <c r="G139" s="25"/>
    </row>
    <row r="140" spans="1:7" ht="17.100000000000001" customHeight="1" x14ac:dyDescent="0.2">
      <c r="A140" s="22"/>
      <c r="B140" s="165" t="s">
        <v>149</v>
      </c>
      <c r="C140" s="166"/>
      <c r="D140" s="2" t="s">
        <v>135</v>
      </c>
      <c r="E140" s="22"/>
      <c r="F140" s="22"/>
      <c r="G140" s="22"/>
    </row>
  </sheetData>
  <mergeCells count="15">
    <mergeCell ref="B122:C122"/>
    <mergeCell ref="B119:F119"/>
    <mergeCell ref="B120:F120"/>
    <mergeCell ref="A1:H1"/>
    <mergeCell ref="A2:H2"/>
    <mergeCell ref="A3:H3"/>
    <mergeCell ref="B139:C139"/>
    <mergeCell ref="B140:C140"/>
    <mergeCell ref="B123:C123"/>
    <mergeCell ref="B124:C124"/>
    <mergeCell ref="B125:C125"/>
    <mergeCell ref="B133:C133"/>
    <mergeCell ref="B137:C137"/>
    <mergeCell ref="B138:C138"/>
    <mergeCell ref="B135:F135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16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447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151</v>
      </c>
      <c r="C7" s="4" t="s">
        <v>152</v>
      </c>
      <c r="D7" s="4" t="s">
        <v>153</v>
      </c>
      <c r="E7" s="5">
        <v>21994</v>
      </c>
      <c r="F7" s="6">
        <v>885.83034399999997</v>
      </c>
      <c r="G7" s="7">
        <v>3.4264666999999999E-2</v>
      </c>
      <c r="H7" s="67"/>
    </row>
    <row r="8" spans="1:8" x14ac:dyDescent="0.2">
      <c r="A8" s="3">
        <v>2</v>
      </c>
      <c r="B8" s="4" t="s">
        <v>25</v>
      </c>
      <c r="C8" s="4" t="s">
        <v>26</v>
      </c>
      <c r="D8" s="4" t="s">
        <v>27</v>
      </c>
      <c r="E8" s="5">
        <v>65309</v>
      </c>
      <c r="F8" s="6">
        <v>843.10653549999995</v>
      </c>
      <c r="G8" s="7">
        <v>3.2612073999999998E-2</v>
      </c>
      <c r="H8" s="67"/>
    </row>
    <row r="9" spans="1:8" x14ac:dyDescent="0.2">
      <c r="A9" s="3">
        <v>3</v>
      </c>
      <c r="B9" s="4" t="s">
        <v>154</v>
      </c>
      <c r="C9" s="4" t="s">
        <v>155</v>
      </c>
      <c r="D9" s="4" t="s">
        <v>81</v>
      </c>
      <c r="E9" s="5">
        <v>564175</v>
      </c>
      <c r="F9" s="6">
        <v>665.16232500000001</v>
      </c>
      <c r="G9" s="7">
        <v>2.5729041000000001E-2</v>
      </c>
      <c r="H9" s="67"/>
    </row>
    <row r="10" spans="1:8" x14ac:dyDescent="0.2">
      <c r="A10" s="3">
        <v>4</v>
      </c>
      <c r="B10" s="4" t="s">
        <v>37</v>
      </c>
      <c r="C10" s="4" t="s">
        <v>38</v>
      </c>
      <c r="D10" s="4" t="s">
        <v>27</v>
      </c>
      <c r="E10" s="5">
        <v>51448</v>
      </c>
      <c r="F10" s="6">
        <v>612.71995600000002</v>
      </c>
      <c r="G10" s="7">
        <v>2.3700526E-2</v>
      </c>
      <c r="H10" s="67"/>
    </row>
    <row r="11" spans="1:8" x14ac:dyDescent="0.2">
      <c r="A11" s="3">
        <v>5</v>
      </c>
      <c r="B11" s="4" t="s">
        <v>296</v>
      </c>
      <c r="C11" s="4" t="s">
        <v>297</v>
      </c>
      <c r="D11" s="4" t="s">
        <v>27</v>
      </c>
      <c r="E11" s="5">
        <v>89666</v>
      </c>
      <c r="F11" s="6">
        <v>610.67029300000002</v>
      </c>
      <c r="G11" s="7">
        <v>2.3621243E-2</v>
      </c>
      <c r="H11" s="67"/>
    </row>
    <row r="12" spans="1:8" x14ac:dyDescent="0.2">
      <c r="A12" s="3">
        <v>6</v>
      </c>
      <c r="B12" s="4" t="s">
        <v>162</v>
      </c>
      <c r="C12" s="4" t="s">
        <v>163</v>
      </c>
      <c r="D12" s="4" t="s">
        <v>27</v>
      </c>
      <c r="E12" s="5">
        <v>76754</v>
      </c>
      <c r="F12" s="6">
        <v>586.74595299999999</v>
      </c>
      <c r="G12" s="7">
        <v>2.269583E-2</v>
      </c>
      <c r="H12" s="67"/>
    </row>
    <row r="13" spans="1:8" x14ac:dyDescent="0.2">
      <c r="A13" s="3">
        <v>7</v>
      </c>
      <c r="B13" s="4" t="s">
        <v>158</v>
      </c>
      <c r="C13" s="4" t="s">
        <v>159</v>
      </c>
      <c r="D13" s="4" t="s">
        <v>27</v>
      </c>
      <c r="E13" s="5">
        <v>76859</v>
      </c>
      <c r="F13" s="6">
        <v>585.74243899999999</v>
      </c>
      <c r="G13" s="7">
        <v>2.2657013E-2</v>
      </c>
      <c r="H13" s="67"/>
    </row>
    <row r="14" spans="1:8" x14ac:dyDescent="0.2">
      <c r="A14" s="3">
        <v>8</v>
      </c>
      <c r="B14" s="4" t="s">
        <v>164</v>
      </c>
      <c r="C14" s="4" t="s">
        <v>165</v>
      </c>
      <c r="D14" s="4" t="s">
        <v>166</v>
      </c>
      <c r="E14" s="5">
        <v>173848</v>
      </c>
      <c r="F14" s="6">
        <v>585.52006400000005</v>
      </c>
      <c r="G14" s="7">
        <v>2.2648411E-2</v>
      </c>
      <c r="H14" s="67"/>
    </row>
    <row r="15" spans="1:8" x14ac:dyDescent="0.2">
      <c r="A15" s="3">
        <v>9</v>
      </c>
      <c r="B15" s="4" t="s">
        <v>448</v>
      </c>
      <c r="C15" s="4" t="s">
        <v>449</v>
      </c>
      <c r="D15" s="4" t="s">
        <v>55</v>
      </c>
      <c r="E15" s="5">
        <v>161016</v>
      </c>
      <c r="F15" s="6">
        <v>532.56042000000002</v>
      </c>
      <c r="G15" s="7">
        <v>2.0599887000000001E-2</v>
      </c>
      <c r="H15" s="67"/>
    </row>
    <row r="16" spans="1:8" ht="25.5" x14ac:dyDescent="0.2">
      <c r="A16" s="3">
        <v>10</v>
      </c>
      <c r="B16" s="4" t="s">
        <v>30</v>
      </c>
      <c r="C16" s="4" t="s">
        <v>998</v>
      </c>
      <c r="D16" s="4" t="s">
        <v>992</v>
      </c>
      <c r="E16" s="5">
        <v>15321</v>
      </c>
      <c r="F16" s="6">
        <v>501.21119399999998</v>
      </c>
      <c r="G16" s="7">
        <v>1.9387273E-2</v>
      </c>
      <c r="H16" s="67"/>
    </row>
    <row r="17" spans="1:8" x14ac:dyDescent="0.2">
      <c r="A17" s="3">
        <v>11</v>
      </c>
      <c r="B17" s="4" t="s">
        <v>156</v>
      </c>
      <c r="C17" s="4" t="s">
        <v>157</v>
      </c>
      <c r="D17" s="4" t="s">
        <v>153</v>
      </c>
      <c r="E17" s="5">
        <v>35234</v>
      </c>
      <c r="F17" s="6">
        <v>494.43872199999998</v>
      </c>
      <c r="G17" s="7">
        <v>1.9125308000000001E-2</v>
      </c>
      <c r="H17" s="67"/>
    </row>
    <row r="18" spans="1:8" x14ac:dyDescent="0.2">
      <c r="A18" s="3">
        <v>12</v>
      </c>
      <c r="B18" s="4" t="s">
        <v>293</v>
      </c>
      <c r="C18" s="4" t="s">
        <v>294</v>
      </c>
      <c r="D18" s="4" t="s">
        <v>69</v>
      </c>
      <c r="E18" s="5">
        <v>31039</v>
      </c>
      <c r="F18" s="6">
        <v>494.23399699999999</v>
      </c>
      <c r="G18" s="7">
        <v>1.9117388999999999E-2</v>
      </c>
      <c r="H18" s="67"/>
    </row>
    <row r="19" spans="1:8" x14ac:dyDescent="0.2">
      <c r="A19" s="3">
        <v>13</v>
      </c>
      <c r="B19" s="4" t="s">
        <v>167</v>
      </c>
      <c r="C19" s="4" t="s">
        <v>168</v>
      </c>
      <c r="D19" s="4" t="s">
        <v>166</v>
      </c>
      <c r="E19" s="5">
        <v>14600</v>
      </c>
      <c r="F19" s="6">
        <v>485.01929999999999</v>
      </c>
      <c r="G19" s="7">
        <v>1.8760957000000002E-2</v>
      </c>
      <c r="H19" s="67"/>
    </row>
    <row r="20" spans="1:8" x14ac:dyDescent="0.2">
      <c r="A20" s="3">
        <v>14</v>
      </c>
      <c r="B20" s="4" t="s">
        <v>174</v>
      </c>
      <c r="C20" s="4" t="s">
        <v>175</v>
      </c>
      <c r="D20" s="4" t="s">
        <v>55</v>
      </c>
      <c r="E20" s="5">
        <v>116159</v>
      </c>
      <c r="F20" s="6">
        <v>467.59805449999999</v>
      </c>
      <c r="G20" s="7">
        <v>1.8087088000000001E-2</v>
      </c>
      <c r="H20" s="67"/>
    </row>
    <row r="21" spans="1:8" x14ac:dyDescent="0.2">
      <c r="A21" s="3">
        <v>15</v>
      </c>
      <c r="B21" s="4" t="s">
        <v>63</v>
      </c>
      <c r="C21" s="4" t="s">
        <v>64</v>
      </c>
      <c r="D21" s="4" t="s">
        <v>55</v>
      </c>
      <c r="E21" s="5">
        <v>171237</v>
      </c>
      <c r="F21" s="6">
        <v>443.50382999999999</v>
      </c>
      <c r="G21" s="7">
        <v>1.7155103000000001E-2</v>
      </c>
      <c r="H21" s="67"/>
    </row>
    <row r="22" spans="1:8" x14ac:dyDescent="0.2">
      <c r="A22" s="3">
        <v>16</v>
      </c>
      <c r="B22" s="4" t="s">
        <v>180</v>
      </c>
      <c r="C22" s="4" t="s">
        <v>181</v>
      </c>
      <c r="D22" s="4" t="s">
        <v>171</v>
      </c>
      <c r="E22" s="5">
        <v>31765</v>
      </c>
      <c r="F22" s="6">
        <v>433.48107249999998</v>
      </c>
      <c r="G22" s="7">
        <v>1.6767414000000001E-2</v>
      </c>
      <c r="H22" s="67"/>
    </row>
    <row r="23" spans="1:8" ht="25.5" x14ac:dyDescent="0.2">
      <c r="A23" s="3">
        <v>17</v>
      </c>
      <c r="B23" s="4" t="s">
        <v>450</v>
      </c>
      <c r="C23" s="4" t="s">
        <v>451</v>
      </c>
      <c r="D23" s="4" t="s">
        <v>36</v>
      </c>
      <c r="E23" s="5">
        <v>29564</v>
      </c>
      <c r="F23" s="6">
        <v>429.16580599999998</v>
      </c>
      <c r="G23" s="7">
        <v>1.6600495999999999E-2</v>
      </c>
      <c r="H23" s="67"/>
    </row>
    <row r="24" spans="1:8" x14ac:dyDescent="0.2">
      <c r="A24" s="3">
        <v>18</v>
      </c>
      <c r="B24" s="4" t="s">
        <v>177</v>
      </c>
      <c r="C24" s="4" t="s">
        <v>178</v>
      </c>
      <c r="D24" s="4" t="s">
        <v>179</v>
      </c>
      <c r="E24" s="5">
        <v>178406</v>
      </c>
      <c r="F24" s="6">
        <v>427.28237000000001</v>
      </c>
      <c r="G24" s="7">
        <v>1.6527643000000002E-2</v>
      </c>
      <c r="H24" s="67"/>
    </row>
    <row r="25" spans="1:8" x14ac:dyDescent="0.2">
      <c r="A25" s="3">
        <v>19</v>
      </c>
      <c r="B25" s="4" t="s">
        <v>342</v>
      </c>
      <c r="C25" s="4" t="s">
        <v>343</v>
      </c>
      <c r="D25" s="4" t="s">
        <v>171</v>
      </c>
      <c r="E25" s="5">
        <v>11524</v>
      </c>
      <c r="F25" s="6">
        <v>420.92562400000003</v>
      </c>
      <c r="G25" s="7">
        <v>1.6281759E-2</v>
      </c>
      <c r="H25" s="67"/>
    </row>
    <row r="26" spans="1:8" ht="25.5" x14ac:dyDescent="0.2">
      <c r="A26" s="3">
        <v>20</v>
      </c>
      <c r="B26" s="4" t="s">
        <v>176</v>
      </c>
      <c r="C26" s="4" t="s">
        <v>995</v>
      </c>
      <c r="D26" s="4" t="s">
        <v>992</v>
      </c>
      <c r="E26" s="5">
        <v>154145</v>
      </c>
      <c r="F26" s="6">
        <v>407.86766999999998</v>
      </c>
      <c r="G26" s="7">
        <v>1.5776666000000002E-2</v>
      </c>
      <c r="H26" s="67"/>
    </row>
    <row r="27" spans="1:8" x14ac:dyDescent="0.2">
      <c r="A27" s="3">
        <v>21</v>
      </c>
      <c r="B27" s="4" t="s">
        <v>192</v>
      </c>
      <c r="C27" s="4" t="s">
        <v>193</v>
      </c>
      <c r="D27" s="4" t="s">
        <v>81</v>
      </c>
      <c r="E27" s="5">
        <v>67799</v>
      </c>
      <c r="F27" s="6">
        <v>386.8949935</v>
      </c>
      <c r="G27" s="7">
        <v>1.4965426E-2</v>
      </c>
      <c r="H27" s="67"/>
    </row>
    <row r="28" spans="1:8" x14ac:dyDescent="0.2">
      <c r="A28" s="3">
        <v>22</v>
      </c>
      <c r="B28" s="4" t="s">
        <v>188</v>
      </c>
      <c r="C28" s="4" t="s">
        <v>189</v>
      </c>
      <c r="D28" s="4" t="s">
        <v>166</v>
      </c>
      <c r="E28" s="5">
        <v>7989</v>
      </c>
      <c r="F28" s="6">
        <v>380.22846600000003</v>
      </c>
      <c r="G28" s="7">
        <v>1.4707559E-2</v>
      </c>
      <c r="H28" s="67"/>
    </row>
    <row r="29" spans="1:8" x14ac:dyDescent="0.2">
      <c r="A29" s="3">
        <v>23</v>
      </c>
      <c r="B29" s="4" t="s">
        <v>198</v>
      </c>
      <c r="C29" s="4" t="s">
        <v>199</v>
      </c>
      <c r="D29" s="4" t="s">
        <v>166</v>
      </c>
      <c r="E29" s="5">
        <v>38730</v>
      </c>
      <c r="F29" s="6">
        <v>378.56638500000003</v>
      </c>
      <c r="G29" s="7">
        <v>1.4643267999999999E-2</v>
      </c>
      <c r="H29" s="67"/>
    </row>
    <row r="30" spans="1:8" x14ac:dyDescent="0.2">
      <c r="A30" s="3">
        <v>24</v>
      </c>
      <c r="B30" s="4" t="s">
        <v>196</v>
      </c>
      <c r="C30" s="4" t="s">
        <v>197</v>
      </c>
      <c r="D30" s="4" t="s">
        <v>1004</v>
      </c>
      <c r="E30" s="5">
        <v>121208</v>
      </c>
      <c r="F30" s="6">
        <v>374.83573999999999</v>
      </c>
      <c r="G30" s="7">
        <v>1.4498963E-2</v>
      </c>
      <c r="H30" s="67"/>
    </row>
    <row r="31" spans="1:8" ht="25.5" x14ac:dyDescent="0.2">
      <c r="A31" s="3">
        <v>25</v>
      </c>
      <c r="B31" s="4" t="s">
        <v>202</v>
      </c>
      <c r="C31" s="4" t="s">
        <v>203</v>
      </c>
      <c r="D31" s="4" t="s">
        <v>52</v>
      </c>
      <c r="E31" s="5">
        <v>79781</v>
      </c>
      <c r="F31" s="6">
        <v>371.97891249999998</v>
      </c>
      <c r="G31" s="7">
        <v>1.4388458999999999E-2</v>
      </c>
      <c r="H31" s="67"/>
    </row>
    <row r="32" spans="1:8" x14ac:dyDescent="0.2">
      <c r="A32" s="3">
        <v>26</v>
      </c>
      <c r="B32" s="4" t="s">
        <v>77</v>
      </c>
      <c r="C32" s="4" t="s">
        <v>78</v>
      </c>
      <c r="D32" s="4" t="s">
        <v>69</v>
      </c>
      <c r="E32" s="5">
        <v>108670</v>
      </c>
      <c r="F32" s="6">
        <v>363.44681500000002</v>
      </c>
      <c r="G32" s="7">
        <v>1.405843E-2</v>
      </c>
      <c r="H32" s="67"/>
    </row>
    <row r="33" spans="1:8" x14ac:dyDescent="0.2">
      <c r="A33" s="3">
        <v>27</v>
      </c>
      <c r="B33" s="4" t="s">
        <v>206</v>
      </c>
      <c r="C33" s="4" t="s">
        <v>207</v>
      </c>
      <c r="D33" s="4" t="s">
        <v>187</v>
      </c>
      <c r="E33" s="5">
        <v>53835</v>
      </c>
      <c r="F33" s="6">
        <v>358.86410999999998</v>
      </c>
      <c r="G33" s="7">
        <v>1.3881167E-2</v>
      </c>
      <c r="H33" s="67"/>
    </row>
    <row r="34" spans="1:8" x14ac:dyDescent="0.2">
      <c r="A34" s="3">
        <v>28</v>
      </c>
      <c r="B34" s="4" t="s">
        <v>204</v>
      </c>
      <c r="C34" s="4" t="s">
        <v>205</v>
      </c>
      <c r="D34" s="4" t="s">
        <v>27</v>
      </c>
      <c r="E34" s="5">
        <v>21494</v>
      </c>
      <c r="F34" s="6">
        <v>356.940111</v>
      </c>
      <c r="G34" s="7">
        <v>1.3806745E-2</v>
      </c>
      <c r="H34" s="67"/>
    </row>
    <row r="35" spans="1:8" x14ac:dyDescent="0.2">
      <c r="A35" s="3">
        <v>29</v>
      </c>
      <c r="B35" s="4" t="s">
        <v>208</v>
      </c>
      <c r="C35" s="4" t="s">
        <v>209</v>
      </c>
      <c r="D35" s="4" t="s">
        <v>1005</v>
      </c>
      <c r="E35" s="5">
        <v>42000</v>
      </c>
      <c r="F35" s="6">
        <v>355.67700000000002</v>
      </c>
      <c r="G35" s="7">
        <v>1.3757887E-2</v>
      </c>
      <c r="H35" s="67"/>
    </row>
    <row r="36" spans="1:8" x14ac:dyDescent="0.2">
      <c r="A36" s="3">
        <v>30</v>
      </c>
      <c r="B36" s="4" t="s">
        <v>194</v>
      </c>
      <c r="C36" s="4" t="s">
        <v>195</v>
      </c>
      <c r="D36" s="4" t="s">
        <v>55</v>
      </c>
      <c r="E36" s="5">
        <v>36672</v>
      </c>
      <c r="F36" s="6">
        <v>353.44473599999998</v>
      </c>
      <c r="G36" s="7">
        <v>1.3671541000000001E-2</v>
      </c>
      <c r="H36" s="67"/>
    </row>
    <row r="37" spans="1:8" x14ac:dyDescent="0.2">
      <c r="A37" s="3">
        <v>31</v>
      </c>
      <c r="B37" s="4" t="s">
        <v>172</v>
      </c>
      <c r="C37" s="4" t="s">
        <v>173</v>
      </c>
      <c r="D37" s="4" t="s">
        <v>331</v>
      </c>
      <c r="E37" s="5">
        <v>35229</v>
      </c>
      <c r="F37" s="6">
        <v>335.89090049999999</v>
      </c>
      <c r="G37" s="7">
        <v>1.2992544E-2</v>
      </c>
      <c r="H37" s="67"/>
    </row>
    <row r="38" spans="1:8" x14ac:dyDescent="0.2">
      <c r="A38" s="3">
        <v>32</v>
      </c>
      <c r="B38" s="4" t="s">
        <v>213</v>
      </c>
      <c r="C38" s="4" t="s">
        <v>214</v>
      </c>
      <c r="D38" s="4" t="s">
        <v>81</v>
      </c>
      <c r="E38" s="5">
        <v>58366</v>
      </c>
      <c r="F38" s="6">
        <v>333.24067700000001</v>
      </c>
      <c r="G38" s="7">
        <v>1.2890031E-2</v>
      </c>
      <c r="H38" s="67"/>
    </row>
    <row r="39" spans="1:8" x14ac:dyDescent="0.2">
      <c r="A39" s="3">
        <v>33</v>
      </c>
      <c r="B39" s="4" t="s">
        <v>210</v>
      </c>
      <c r="C39" s="4" t="s">
        <v>211</v>
      </c>
      <c r="D39" s="4" t="s">
        <v>212</v>
      </c>
      <c r="E39" s="5">
        <v>129053</v>
      </c>
      <c r="F39" s="6">
        <v>323.53587099999999</v>
      </c>
      <c r="G39" s="7">
        <v>1.2514641E-2</v>
      </c>
      <c r="H39" s="67"/>
    </row>
    <row r="40" spans="1:8" x14ac:dyDescent="0.2">
      <c r="A40" s="3">
        <v>34</v>
      </c>
      <c r="B40" s="4" t="s">
        <v>190</v>
      </c>
      <c r="C40" s="4" t="s">
        <v>191</v>
      </c>
      <c r="D40" s="4" t="s">
        <v>41</v>
      </c>
      <c r="E40" s="5">
        <v>76646</v>
      </c>
      <c r="F40" s="6">
        <v>315.551582</v>
      </c>
      <c r="G40" s="7">
        <v>1.2205802E-2</v>
      </c>
      <c r="H40" s="67"/>
    </row>
    <row r="41" spans="1:8" x14ac:dyDescent="0.2">
      <c r="A41" s="3">
        <v>35</v>
      </c>
      <c r="B41" s="4" t="s">
        <v>452</v>
      </c>
      <c r="C41" s="4" t="s">
        <v>453</v>
      </c>
      <c r="D41" s="4" t="s">
        <v>27</v>
      </c>
      <c r="E41" s="5">
        <v>37025</v>
      </c>
      <c r="F41" s="6">
        <v>307.28898750000002</v>
      </c>
      <c r="G41" s="7">
        <v>1.1886198000000001E-2</v>
      </c>
      <c r="H41" s="67"/>
    </row>
    <row r="42" spans="1:8" x14ac:dyDescent="0.2">
      <c r="A42" s="3">
        <v>36</v>
      </c>
      <c r="B42" s="4" t="s">
        <v>215</v>
      </c>
      <c r="C42" s="4" t="s">
        <v>216</v>
      </c>
      <c r="D42" s="4" t="s">
        <v>69</v>
      </c>
      <c r="E42" s="5">
        <v>307287</v>
      </c>
      <c r="F42" s="6">
        <v>307.13335649999999</v>
      </c>
      <c r="G42" s="7">
        <v>1.1880178E-2</v>
      </c>
      <c r="H42" s="67"/>
    </row>
    <row r="43" spans="1:8" ht="25.5" x14ac:dyDescent="0.2">
      <c r="A43" s="3">
        <v>37</v>
      </c>
      <c r="B43" s="4" t="s">
        <v>221</v>
      </c>
      <c r="C43" s="4" t="s">
        <v>222</v>
      </c>
      <c r="D43" s="4" t="s">
        <v>36</v>
      </c>
      <c r="E43" s="5">
        <v>348703</v>
      </c>
      <c r="F43" s="6">
        <v>299.53587700000003</v>
      </c>
      <c r="G43" s="7">
        <v>1.1586301E-2</v>
      </c>
      <c r="H43" s="67"/>
    </row>
    <row r="44" spans="1:8" x14ac:dyDescent="0.2">
      <c r="A44" s="3">
        <v>38</v>
      </c>
      <c r="B44" s="4" t="s">
        <v>185</v>
      </c>
      <c r="C44" s="4" t="s">
        <v>186</v>
      </c>
      <c r="D44" s="4" t="s">
        <v>187</v>
      </c>
      <c r="E44" s="5">
        <v>61645</v>
      </c>
      <c r="F44" s="6">
        <v>295.74188750000002</v>
      </c>
      <c r="G44" s="7">
        <v>1.1439546E-2</v>
      </c>
      <c r="H44" s="67"/>
    </row>
    <row r="45" spans="1:8" x14ac:dyDescent="0.2">
      <c r="A45" s="3">
        <v>39</v>
      </c>
      <c r="B45" s="4" t="s">
        <v>454</v>
      </c>
      <c r="C45" s="4" t="s">
        <v>455</v>
      </c>
      <c r="D45" s="4" t="s">
        <v>46</v>
      </c>
      <c r="E45" s="5">
        <v>68578</v>
      </c>
      <c r="F45" s="6">
        <v>280.20970799999998</v>
      </c>
      <c r="G45" s="7">
        <v>1.0838748E-2</v>
      </c>
      <c r="H45" s="67"/>
    </row>
    <row r="46" spans="1:8" x14ac:dyDescent="0.2">
      <c r="A46" s="3">
        <v>40</v>
      </c>
      <c r="B46" s="4" t="s">
        <v>223</v>
      </c>
      <c r="C46" s="4" t="s">
        <v>224</v>
      </c>
      <c r="D46" s="4" t="s">
        <v>69</v>
      </c>
      <c r="E46" s="5">
        <v>31488</v>
      </c>
      <c r="F46" s="6">
        <v>271.66271999999998</v>
      </c>
      <c r="G46" s="7">
        <v>1.0508144000000001E-2</v>
      </c>
      <c r="H46" s="67"/>
    </row>
    <row r="47" spans="1:8" x14ac:dyDescent="0.2">
      <c r="A47" s="3">
        <v>41</v>
      </c>
      <c r="B47" s="4" t="s">
        <v>456</v>
      </c>
      <c r="C47" s="4" t="s">
        <v>457</v>
      </c>
      <c r="D47" s="4" t="s">
        <v>212</v>
      </c>
      <c r="E47" s="5">
        <v>45800</v>
      </c>
      <c r="F47" s="6">
        <v>270.70089999999999</v>
      </c>
      <c r="G47" s="7">
        <v>1.047094E-2</v>
      </c>
      <c r="H47" s="67"/>
    </row>
    <row r="48" spans="1:8" ht="25.5" x14ac:dyDescent="0.2">
      <c r="A48" s="3">
        <v>42</v>
      </c>
      <c r="B48" s="4" t="s">
        <v>217</v>
      </c>
      <c r="C48" s="4" t="s">
        <v>218</v>
      </c>
      <c r="D48" s="4" t="s">
        <v>55</v>
      </c>
      <c r="E48" s="5">
        <v>12284</v>
      </c>
      <c r="F48" s="6">
        <v>269.48025000000001</v>
      </c>
      <c r="G48" s="7">
        <v>1.0423724000000001E-2</v>
      </c>
      <c r="H48" s="67"/>
    </row>
    <row r="49" spans="1:8" x14ac:dyDescent="0.2">
      <c r="A49" s="3">
        <v>43</v>
      </c>
      <c r="B49" s="4" t="s">
        <v>32</v>
      </c>
      <c r="C49" s="4" t="s">
        <v>33</v>
      </c>
      <c r="D49" s="4" t="s">
        <v>27</v>
      </c>
      <c r="E49" s="5">
        <v>12185</v>
      </c>
      <c r="F49" s="6">
        <v>268.83156250000002</v>
      </c>
      <c r="G49" s="7">
        <v>1.0398632E-2</v>
      </c>
      <c r="H49" s="67"/>
    </row>
    <row r="50" spans="1:8" x14ac:dyDescent="0.2">
      <c r="A50" s="3">
        <v>44</v>
      </c>
      <c r="B50" s="4" t="s">
        <v>458</v>
      </c>
      <c r="C50" s="4" t="s">
        <v>459</v>
      </c>
      <c r="D50" s="4" t="s">
        <v>55</v>
      </c>
      <c r="E50" s="5">
        <v>34343</v>
      </c>
      <c r="F50" s="6">
        <v>266.14107849999999</v>
      </c>
      <c r="G50" s="7">
        <v>1.0294562E-2</v>
      </c>
      <c r="H50" s="67"/>
    </row>
    <row r="51" spans="1:8" x14ac:dyDescent="0.2">
      <c r="A51" s="3">
        <v>45</v>
      </c>
      <c r="B51" s="4" t="s">
        <v>182</v>
      </c>
      <c r="C51" s="4" t="s">
        <v>183</v>
      </c>
      <c r="D51" s="4" t="s">
        <v>184</v>
      </c>
      <c r="E51" s="5">
        <v>26884</v>
      </c>
      <c r="F51" s="6">
        <v>265.08968199999998</v>
      </c>
      <c r="G51" s="7">
        <v>1.0253893E-2</v>
      </c>
      <c r="H51" s="67"/>
    </row>
    <row r="52" spans="1:8" x14ac:dyDescent="0.2">
      <c r="A52" s="3">
        <v>46</v>
      </c>
      <c r="B52" s="4" t="s">
        <v>227</v>
      </c>
      <c r="C52" s="4" t="s">
        <v>228</v>
      </c>
      <c r="D52" s="4" t="s">
        <v>229</v>
      </c>
      <c r="E52" s="5">
        <v>54261</v>
      </c>
      <c r="F52" s="6">
        <v>259.69314600000001</v>
      </c>
      <c r="G52" s="7">
        <v>1.0045149999999999E-2</v>
      </c>
      <c r="H52" s="67"/>
    </row>
    <row r="53" spans="1:8" x14ac:dyDescent="0.2">
      <c r="A53" s="3">
        <v>47</v>
      </c>
      <c r="B53" s="4" t="s">
        <v>232</v>
      </c>
      <c r="C53" s="4" t="s">
        <v>233</v>
      </c>
      <c r="D53" s="4" t="s">
        <v>55</v>
      </c>
      <c r="E53" s="5">
        <v>102433</v>
      </c>
      <c r="F53" s="6">
        <v>259.2067065</v>
      </c>
      <c r="G53" s="7">
        <v>1.0026335000000001E-2</v>
      </c>
      <c r="H53" s="67"/>
    </row>
    <row r="54" spans="1:8" x14ac:dyDescent="0.2">
      <c r="A54" s="3">
        <v>48</v>
      </c>
      <c r="B54" s="4" t="s">
        <v>290</v>
      </c>
      <c r="C54" s="4" t="s">
        <v>291</v>
      </c>
      <c r="D54" s="4" t="s">
        <v>27</v>
      </c>
      <c r="E54" s="5">
        <v>21807</v>
      </c>
      <c r="F54" s="6">
        <v>258.29301149999998</v>
      </c>
      <c r="G54" s="7">
        <v>9.9909920000000006E-3</v>
      </c>
      <c r="H54" s="67"/>
    </row>
    <row r="55" spans="1:8" x14ac:dyDescent="0.2">
      <c r="A55" s="3">
        <v>49</v>
      </c>
      <c r="B55" s="4" t="s">
        <v>234</v>
      </c>
      <c r="C55" s="4" t="s">
        <v>235</v>
      </c>
      <c r="D55" s="4" t="s">
        <v>187</v>
      </c>
      <c r="E55" s="5">
        <v>15127</v>
      </c>
      <c r="F55" s="6">
        <v>257.5598655</v>
      </c>
      <c r="G55" s="7">
        <v>9.9626330000000003E-3</v>
      </c>
      <c r="H55" s="67"/>
    </row>
    <row r="56" spans="1:8" ht="25.5" x14ac:dyDescent="0.2">
      <c r="A56" s="3">
        <v>50</v>
      </c>
      <c r="B56" s="4" t="s">
        <v>230</v>
      </c>
      <c r="C56" s="4" t="s">
        <v>231</v>
      </c>
      <c r="D56" s="4" t="s">
        <v>52</v>
      </c>
      <c r="E56" s="5">
        <v>63174</v>
      </c>
      <c r="F56" s="6">
        <v>254.49645899999999</v>
      </c>
      <c r="G56" s="7">
        <v>9.8441380000000005E-3</v>
      </c>
      <c r="H56" s="67"/>
    </row>
    <row r="57" spans="1:8" ht="25.5" x14ac:dyDescent="0.2">
      <c r="A57" s="3">
        <v>51</v>
      </c>
      <c r="B57" s="4" t="s">
        <v>238</v>
      </c>
      <c r="C57" s="4" t="s">
        <v>239</v>
      </c>
      <c r="D57" s="4" t="s">
        <v>1006</v>
      </c>
      <c r="E57" s="5">
        <v>244575</v>
      </c>
      <c r="F57" s="6">
        <v>251.42310000000001</v>
      </c>
      <c r="G57" s="7">
        <v>9.7252580000000005E-3</v>
      </c>
      <c r="H57" s="67"/>
    </row>
    <row r="58" spans="1:8" x14ac:dyDescent="0.2">
      <c r="A58" s="3">
        <v>52</v>
      </c>
      <c r="B58" s="4" t="s">
        <v>245</v>
      </c>
      <c r="C58" s="4" t="s">
        <v>246</v>
      </c>
      <c r="D58" s="4" t="s">
        <v>81</v>
      </c>
      <c r="E58" s="5">
        <v>497258</v>
      </c>
      <c r="F58" s="6">
        <v>249.87214499999999</v>
      </c>
      <c r="G58" s="7">
        <v>9.6652660000000005E-3</v>
      </c>
      <c r="H58" s="67"/>
    </row>
    <row r="59" spans="1:8" x14ac:dyDescent="0.2">
      <c r="A59" s="3">
        <v>53</v>
      </c>
      <c r="B59" s="4" t="s">
        <v>243</v>
      </c>
      <c r="C59" s="4" t="s">
        <v>244</v>
      </c>
      <c r="D59" s="4" t="s">
        <v>171</v>
      </c>
      <c r="E59" s="5">
        <v>68046</v>
      </c>
      <c r="F59" s="6">
        <v>246.66675000000001</v>
      </c>
      <c r="G59" s="7">
        <v>9.5412780000000003E-3</v>
      </c>
      <c r="H59" s="67"/>
    </row>
    <row r="60" spans="1:8" x14ac:dyDescent="0.2">
      <c r="A60" s="3">
        <v>54</v>
      </c>
      <c r="B60" s="4" t="s">
        <v>247</v>
      </c>
      <c r="C60" s="4" t="s">
        <v>248</v>
      </c>
      <c r="D60" s="4" t="s">
        <v>1001</v>
      </c>
      <c r="E60" s="5">
        <v>44268</v>
      </c>
      <c r="F60" s="6">
        <v>243.71747400000001</v>
      </c>
      <c r="G60" s="7">
        <v>9.4271979999999995E-3</v>
      </c>
      <c r="H60" s="67"/>
    </row>
    <row r="61" spans="1:8" ht="25.5" x14ac:dyDescent="0.2">
      <c r="A61" s="3">
        <v>55</v>
      </c>
      <c r="B61" s="4" t="s">
        <v>240</v>
      </c>
      <c r="C61" s="4" t="s">
        <v>241</v>
      </c>
      <c r="D61" s="4" t="s">
        <v>52</v>
      </c>
      <c r="E61" s="5">
        <v>60329</v>
      </c>
      <c r="F61" s="6">
        <v>243.5783375</v>
      </c>
      <c r="G61" s="7">
        <v>9.4218159999999995E-3</v>
      </c>
      <c r="H61" s="67"/>
    </row>
    <row r="62" spans="1:8" x14ac:dyDescent="0.2">
      <c r="A62" s="3">
        <v>56</v>
      </c>
      <c r="B62" s="4" t="s">
        <v>169</v>
      </c>
      <c r="C62" s="4" t="s">
        <v>170</v>
      </c>
      <c r="D62" s="4" t="s">
        <v>171</v>
      </c>
      <c r="E62" s="5">
        <v>32954</v>
      </c>
      <c r="F62" s="6">
        <v>238.25742</v>
      </c>
      <c r="G62" s="7">
        <v>9.2159979999999996E-3</v>
      </c>
      <c r="H62" s="67"/>
    </row>
    <row r="63" spans="1:8" x14ac:dyDescent="0.2">
      <c r="A63" s="3">
        <v>57</v>
      </c>
      <c r="B63" s="4" t="s">
        <v>253</v>
      </c>
      <c r="C63" s="4" t="s">
        <v>254</v>
      </c>
      <c r="D63" s="4" t="s">
        <v>49</v>
      </c>
      <c r="E63" s="5">
        <v>20203</v>
      </c>
      <c r="F63" s="6">
        <v>212.93961999999999</v>
      </c>
      <c r="G63" s="7">
        <v>8.2366850000000005E-3</v>
      </c>
      <c r="H63" s="67"/>
    </row>
    <row r="64" spans="1:8" x14ac:dyDescent="0.2">
      <c r="A64" s="3">
        <v>58</v>
      </c>
      <c r="B64" s="4" t="s">
        <v>262</v>
      </c>
      <c r="C64" s="4" t="s">
        <v>263</v>
      </c>
      <c r="D64" s="4" t="s">
        <v>171</v>
      </c>
      <c r="E64" s="5">
        <v>31011</v>
      </c>
      <c r="F64" s="6">
        <v>210.16154700000001</v>
      </c>
      <c r="G64" s="7">
        <v>8.1292259999999998E-3</v>
      </c>
      <c r="H64" s="67"/>
    </row>
    <row r="65" spans="1:8" x14ac:dyDescent="0.2">
      <c r="A65" s="3">
        <v>59</v>
      </c>
      <c r="B65" s="4" t="s">
        <v>259</v>
      </c>
      <c r="C65" s="4" t="s">
        <v>260</v>
      </c>
      <c r="D65" s="4" t="s">
        <v>261</v>
      </c>
      <c r="E65" s="5">
        <v>27872</v>
      </c>
      <c r="F65" s="6">
        <v>206.60120000000001</v>
      </c>
      <c r="G65" s="7">
        <v>7.9915090000000008E-3</v>
      </c>
      <c r="H65" s="67"/>
    </row>
    <row r="66" spans="1:8" x14ac:dyDescent="0.2">
      <c r="A66" s="3">
        <v>60</v>
      </c>
      <c r="B66" s="4" t="s">
        <v>255</v>
      </c>
      <c r="C66" s="4" t="s">
        <v>256</v>
      </c>
      <c r="D66" s="4" t="s">
        <v>331</v>
      </c>
      <c r="E66" s="5">
        <v>13773</v>
      </c>
      <c r="F66" s="6">
        <v>205.01110499999999</v>
      </c>
      <c r="G66" s="7">
        <v>7.9300029999999997E-3</v>
      </c>
      <c r="H66" s="67"/>
    </row>
    <row r="67" spans="1:8" x14ac:dyDescent="0.2">
      <c r="A67" s="3">
        <v>61</v>
      </c>
      <c r="B67" s="4" t="s">
        <v>257</v>
      </c>
      <c r="C67" s="4" t="s">
        <v>258</v>
      </c>
      <c r="D67" s="4" t="s">
        <v>1001</v>
      </c>
      <c r="E67" s="5">
        <v>157740</v>
      </c>
      <c r="F67" s="6">
        <v>197.33274</v>
      </c>
      <c r="G67" s="7">
        <v>7.6329969999999999E-3</v>
      </c>
      <c r="H67" s="67"/>
    </row>
    <row r="68" spans="1:8" x14ac:dyDescent="0.2">
      <c r="A68" s="3">
        <v>62</v>
      </c>
      <c r="B68" s="4" t="s">
        <v>277</v>
      </c>
      <c r="C68" s="4" t="s">
        <v>278</v>
      </c>
      <c r="D68" s="4" t="s">
        <v>187</v>
      </c>
      <c r="E68" s="5">
        <v>49569</v>
      </c>
      <c r="F68" s="6">
        <v>193.765221</v>
      </c>
      <c r="G68" s="7">
        <v>7.4950030000000001E-3</v>
      </c>
      <c r="H68" s="67"/>
    </row>
    <row r="69" spans="1:8" x14ac:dyDescent="0.2">
      <c r="A69" s="3">
        <v>63</v>
      </c>
      <c r="B69" s="4" t="s">
        <v>225</v>
      </c>
      <c r="C69" s="4" t="s">
        <v>226</v>
      </c>
      <c r="D69" s="4" t="s">
        <v>166</v>
      </c>
      <c r="E69" s="5">
        <v>13443</v>
      </c>
      <c r="F69" s="6">
        <v>191.92571100000001</v>
      </c>
      <c r="G69" s="7">
        <v>7.4238489999999997E-3</v>
      </c>
      <c r="H69" s="67"/>
    </row>
    <row r="70" spans="1:8" x14ac:dyDescent="0.2">
      <c r="A70" s="3">
        <v>64</v>
      </c>
      <c r="B70" s="4" t="s">
        <v>268</v>
      </c>
      <c r="C70" s="4" t="s">
        <v>269</v>
      </c>
      <c r="D70" s="4" t="s">
        <v>24</v>
      </c>
      <c r="E70" s="5">
        <v>201808</v>
      </c>
      <c r="F70" s="6">
        <v>185.966072</v>
      </c>
      <c r="G70" s="7">
        <v>7.1933250000000004E-3</v>
      </c>
      <c r="H70" s="67"/>
    </row>
    <row r="71" spans="1:8" x14ac:dyDescent="0.2">
      <c r="A71" s="3">
        <v>65</v>
      </c>
      <c r="B71" s="4" t="s">
        <v>219</v>
      </c>
      <c r="C71" s="4" t="s">
        <v>220</v>
      </c>
      <c r="D71" s="4" t="s">
        <v>55</v>
      </c>
      <c r="E71" s="5">
        <v>21557</v>
      </c>
      <c r="F71" s="6">
        <v>182.95425900000001</v>
      </c>
      <c r="G71" s="7">
        <v>7.0768250000000001E-3</v>
      </c>
      <c r="H71" s="67"/>
    </row>
    <row r="72" spans="1:8" x14ac:dyDescent="0.2">
      <c r="A72" s="3">
        <v>66</v>
      </c>
      <c r="B72" s="4" t="s">
        <v>460</v>
      </c>
      <c r="C72" s="4" t="s">
        <v>461</v>
      </c>
      <c r="D72" s="4" t="s">
        <v>81</v>
      </c>
      <c r="E72" s="5">
        <v>25528</v>
      </c>
      <c r="F72" s="6">
        <v>179.24485200000001</v>
      </c>
      <c r="G72" s="7">
        <v>6.9333420000000003E-3</v>
      </c>
      <c r="H72" s="67"/>
    </row>
    <row r="73" spans="1:8" x14ac:dyDescent="0.2">
      <c r="A73" s="3">
        <v>67</v>
      </c>
      <c r="B73" s="4" t="s">
        <v>462</v>
      </c>
      <c r="C73" s="4" t="s">
        <v>463</v>
      </c>
      <c r="D73" s="4" t="s">
        <v>1003</v>
      </c>
      <c r="E73" s="5">
        <v>187131</v>
      </c>
      <c r="F73" s="6">
        <v>174.8739195</v>
      </c>
      <c r="G73" s="7">
        <v>6.7642709999999997E-3</v>
      </c>
      <c r="H73" s="67"/>
    </row>
    <row r="74" spans="1:8" x14ac:dyDescent="0.2">
      <c r="A74" s="3">
        <v>68</v>
      </c>
      <c r="B74" s="4" t="s">
        <v>270</v>
      </c>
      <c r="C74" s="4" t="s">
        <v>271</v>
      </c>
      <c r="D74" s="4" t="s">
        <v>272</v>
      </c>
      <c r="E74" s="5">
        <v>75410</v>
      </c>
      <c r="F74" s="6">
        <v>171.369225</v>
      </c>
      <c r="G74" s="7">
        <v>6.6287070000000002E-3</v>
      </c>
      <c r="H74" s="67"/>
    </row>
    <row r="75" spans="1:8" x14ac:dyDescent="0.2">
      <c r="A75" s="3">
        <v>69</v>
      </c>
      <c r="B75" s="4" t="s">
        <v>273</v>
      </c>
      <c r="C75" s="4" t="s">
        <v>274</v>
      </c>
      <c r="D75" s="4" t="s">
        <v>187</v>
      </c>
      <c r="E75" s="5">
        <v>3032</v>
      </c>
      <c r="F75" s="6">
        <v>164.922608</v>
      </c>
      <c r="G75" s="7">
        <v>6.3793460000000001E-3</v>
      </c>
      <c r="H75" s="67"/>
    </row>
    <row r="76" spans="1:8" x14ac:dyDescent="0.2">
      <c r="A76" s="3">
        <v>70</v>
      </c>
      <c r="B76" s="4" t="s">
        <v>279</v>
      </c>
      <c r="C76" s="4" t="s">
        <v>280</v>
      </c>
      <c r="D76" s="4" t="s">
        <v>1003</v>
      </c>
      <c r="E76" s="5">
        <v>9296</v>
      </c>
      <c r="F76" s="6">
        <v>141.071448</v>
      </c>
      <c r="G76" s="7">
        <v>5.4567629999999999E-3</v>
      </c>
      <c r="H76" s="67"/>
    </row>
    <row r="77" spans="1:8" x14ac:dyDescent="0.2">
      <c r="A77" s="3">
        <v>71</v>
      </c>
      <c r="B77" s="4" t="s">
        <v>298</v>
      </c>
      <c r="C77" s="4" t="s">
        <v>299</v>
      </c>
      <c r="D77" s="4" t="s">
        <v>1001</v>
      </c>
      <c r="E77" s="5">
        <v>379760</v>
      </c>
      <c r="F77" s="6">
        <v>131.39696000000001</v>
      </c>
      <c r="G77" s="7">
        <v>5.0825460000000003E-3</v>
      </c>
      <c r="H77" s="67"/>
    </row>
    <row r="78" spans="1:8" x14ac:dyDescent="0.2">
      <c r="A78" s="3">
        <v>72</v>
      </c>
      <c r="B78" s="4" t="s">
        <v>283</v>
      </c>
      <c r="C78" s="4" t="s">
        <v>284</v>
      </c>
      <c r="D78" s="4" t="s">
        <v>166</v>
      </c>
      <c r="E78" s="5">
        <v>28631</v>
      </c>
      <c r="F78" s="6">
        <v>129.71274550000001</v>
      </c>
      <c r="G78" s="7">
        <v>5.0173989999999996E-3</v>
      </c>
      <c r="H78" s="67"/>
    </row>
    <row r="79" spans="1:8" x14ac:dyDescent="0.2">
      <c r="A79" s="3">
        <v>73</v>
      </c>
      <c r="B79" s="4" t="s">
        <v>285</v>
      </c>
      <c r="C79" s="4" t="s">
        <v>286</v>
      </c>
      <c r="D79" s="4" t="s">
        <v>153</v>
      </c>
      <c r="E79" s="5">
        <v>9154</v>
      </c>
      <c r="F79" s="6">
        <v>117.487013</v>
      </c>
      <c r="G79" s="7">
        <v>4.5444969999999998E-3</v>
      </c>
      <c r="H79" s="67"/>
    </row>
    <row r="80" spans="1:8" x14ac:dyDescent="0.2">
      <c r="A80" s="3">
        <v>74</v>
      </c>
      <c r="B80" s="4" t="s">
        <v>287</v>
      </c>
      <c r="C80" s="4" t="s">
        <v>288</v>
      </c>
      <c r="D80" s="4" t="s">
        <v>1001</v>
      </c>
      <c r="E80" s="5">
        <v>11643</v>
      </c>
      <c r="F80" s="6">
        <v>52.399321499999999</v>
      </c>
      <c r="G80" s="7">
        <v>2.0268500000000002E-3</v>
      </c>
      <c r="H80" s="67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9">
        <v>24815.598260999999</v>
      </c>
      <c r="G81" s="10">
        <v>0.95988832199999996</v>
      </c>
      <c r="H81" s="67"/>
    </row>
    <row r="82" spans="1:8" x14ac:dyDescent="0.2">
      <c r="A82" s="1"/>
      <c r="B82" s="1"/>
      <c r="C82" s="11"/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107</v>
      </c>
      <c r="D83" s="1"/>
      <c r="E83" s="1"/>
      <c r="F83" s="1"/>
      <c r="G83" s="1"/>
      <c r="H83" s="67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7"/>
    </row>
    <row r="85" spans="1:8" x14ac:dyDescent="0.2">
      <c r="A85" s="1"/>
      <c r="B85" s="1"/>
      <c r="C85" s="11"/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108</v>
      </c>
      <c r="D86" s="1"/>
      <c r="E86" s="1"/>
      <c r="F86" s="1"/>
      <c r="G86" s="1"/>
      <c r="H86" s="67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7"/>
    </row>
    <row r="88" spans="1:8" x14ac:dyDescent="0.2">
      <c r="A88" s="1"/>
      <c r="B88" s="1"/>
      <c r="C88" s="11"/>
      <c r="D88" s="1"/>
      <c r="E88" s="1"/>
      <c r="F88" s="12"/>
      <c r="G88" s="12"/>
      <c r="H88" s="67"/>
    </row>
    <row r="89" spans="1:8" x14ac:dyDescent="0.2">
      <c r="A89" s="1"/>
      <c r="B89" s="1"/>
      <c r="C89" s="2" t="s">
        <v>109</v>
      </c>
      <c r="D89" s="1"/>
      <c r="E89" s="1"/>
      <c r="F89" s="1"/>
      <c r="G89" s="1"/>
      <c r="H89" s="67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">
        <v>0</v>
      </c>
      <c r="H90" s="67"/>
    </row>
    <row r="91" spans="1:8" x14ac:dyDescent="0.2">
      <c r="A91" s="1"/>
      <c r="B91" s="1"/>
      <c r="C91" s="11"/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110</v>
      </c>
      <c r="D92" s="1"/>
      <c r="E92" s="1"/>
      <c r="F92" s="12"/>
      <c r="G92" s="12"/>
      <c r="H92" s="67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7"/>
    </row>
    <row r="94" spans="1:8" x14ac:dyDescent="0.2">
      <c r="A94" s="1"/>
      <c r="B94" s="1"/>
      <c r="C94" s="11"/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111</v>
      </c>
      <c r="D95" s="1"/>
      <c r="E95" s="1"/>
      <c r="F95" s="12"/>
      <c r="G95" s="12"/>
      <c r="H95" s="67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7"/>
    </row>
    <row r="97" spans="1:8" x14ac:dyDescent="0.2">
      <c r="A97" s="1"/>
      <c r="B97" s="1"/>
      <c r="C97" s="11"/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112</v>
      </c>
      <c r="D98" s="1"/>
      <c r="E98" s="1"/>
      <c r="F98" s="9">
        <v>24815.598260999999</v>
      </c>
      <c r="G98" s="10">
        <v>0.95988832199999996</v>
      </c>
      <c r="H98" s="67"/>
    </row>
    <row r="99" spans="1:8" x14ac:dyDescent="0.2">
      <c r="A99" s="1"/>
      <c r="B99" s="1"/>
      <c r="C99" s="11"/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113</v>
      </c>
      <c r="D100" s="1"/>
      <c r="E100" s="1"/>
      <c r="F100" s="12"/>
      <c r="G100" s="12"/>
      <c r="H100" s="67"/>
    </row>
    <row r="101" spans="1:8" ht="25.5" x14ac:dyDescent="0.2">
      <c r="A101" s="1"/>
      <c r="B101" s="1"/>
      <c r="C101" s="2" t="s">
        <v>10</v>
      </c>
      <c r="D101" s="1"/>
      <c r="E101" s="1"/>
      <c r="F101" s="12"/>
      <c r="G101" s="12"/>
      <c r="H101" s="67"/>
    </row>
    <row r="102" spans="1:8" x14ac:dyDescent="0.2">
      <c r="A102" s="1"/>
      <c r="B102" s="1"/>
      <c r="C102" s="2" t="s">
        <v>105</v>
      </c>
      <c r="D102" s="1"/>
      <c r="E102" s="1" t="s">
        <v>106</v>
      </c>
      <c r="F102" s="13">
        <v>0</v>
      </c>
      <c r="G102" s="14">
        <v>0</v>
      </c>
      <c r="H102" s="67"/>
    </row>
    <row r="103" spans="1:8" x14ac:dyDescent="0.2">
      <c r="A103" s="1"/>
      <c r="B103" s="1"/>
      <c r="C103" s="11"/>
      <c r="D103" s="1"/>
      <c r="E103" s="1"/>
      <c r="F103" s="12"/>
      <c r="G103" s="12"/>
      <c r="H103" s="67"/>
    </row>
    <row r="104" spans="1:8" x14ac:dyDescent="0.2">
      <c r="A104" s="1"/>
      <c r="B104" s="1"/>
      <c r="C104" s="2" t="s">
        <v>114</v>
      </c>
      <c r="D104" s="1"/>
      <c r="E104" s="1"/>
      <c r="F104" s="1"/>
      <c r="G104" s="1"/>
      <c r="H104" s="67"/>
    </row>
    <row r="105" spans="1:8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">
        <v>0</v>
      </c>
      <c r="H105" s="67"/>
    </row>
    <row r="106" spans="1:8" x14ac:dyDescent="0.2">
      <c r="A106" s="1"/>
      <c r="B106" s="1"/>
      <c r="C106" s="11"/>
      <c r="D106" s="1"/>
      <c r="E106" s="1"/>
      <c r="F106" s="12"/>
      <c r="G106" s="12"/>
      <c r="H106" s="67"/>
    </row>
    <row r="107" spans="1:8" x14ac:dyDescent="0.2">
      <c r="A107" s="1"/>
      <c r="B107" s="1"/>
      <c r="C107" s="2" t="s">
        <v>115</v>
      </c>
      <c r="D107" s="1"/>
      <c r="E107" s="1"/>
      <c r="F107" s="1"/>
      <c r="G107" s="1"/>
      <c r="H107" s="67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">
        <v>0</v>
      </c>
      <c r="H108" s="67"/>
    </row>
    <row r="109" spans="1:8" x14ac:dyDescent="0.2">
      <c r="A109" s="1"/>
      <c r="B109" s="1"/>
      <c r="C109" s="11"/>
      <c r="D109" s="1"/>
      <c r="E109" s="1"/>
      <c r="F109" s="12"/>
      <c r="G109" s="12"/>
      <c r="H109" s="67"/>
    </row>
    <row r="110" spans="1:8" x14ac:dyDescent="0.2">
      <c r="A110" s="1"/>
      <c r="B110" s="1"/>
      <c r="C110" s="2" t="s">
        <v>116</v>
      </c>
      <c r="D110" s="1"/>
      <c r="E110" s="1"/>
      <c r="F110" s="12"/>
      <c r="G110" s="12"/>
      <c r="H110" s="67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">
        <v>0</v>
      </c>
      <c r="H111" s="67"/>
    </row>
    <row r="112" spans="1:8" x14ac:dyDescent="0.2">
      <c r="A112" s="1"/>
      <c r="B112" s="1"/>
      <c r="C112" s="11"/>
      <c r="D112" s="1"/>
      <c r="E112" s="1"/>
      <c r="F112" s="12"/>
      <c r="G112" s="12"/>
      <c r="H112" s="67"/>
    </row>
    <row r="113" spans="1:8" x14ac:dyDescent="0.2">
      <c r="A113" s="1"/>
      <c r="B113" s="1"/>
      <c r="C113" s="2" t="s">
        <v>117</v>
      </c>
      <c r="D113" s="1"/>
      <c r="E113" s="1"/>
      <c r="F113" s="9">
        <v>0</v>
      </c>
      <c r="G113" s="10">
        <v>0</v>
      </c>
      <c r="H113" s="67"/>
    </row>
    <row r="114" spans="1:8" x14ac:dyDescent="0.2">
      <c r="A114" s="1"/>
      <c r="B114" s="1"/>
      <c r="C114" s="11"/>
      <c r="D114" s="1"/>
      <c r="E114" s="1"/>
      <c r="F114" s="12"/>
      <c r="G114" s="12"/>
      <c r="H114" s="67"/>
    </row>
    <row r="115" spans="1:8" x14ac:dyDescent="0.2">
      <c r="A115" s="1"/>
      <c r="B115" s="1"/>
      <c r="C115" s="2" t="s">
        <v>118</v>
      </c>
      <c r="D115" s="1"/>
      <c r="E115" s="1"/>
      <c r="F115" s="12"/>
      <c r="G115" s="12"/>
      <c r="H115" s="67"/>
    </row>
    <row r="116" spans="1:8" x14ac:dyDescent="0.2">
      <c r="A116" s="1"/>
      <c r="B116" s="1"/>
      <c r="C116" s="2" t="s">
        <v>119</v>
      </c>
      <c r="D116" s="1"/>
      <c r="E116" s="1"/>
      <c r="F116" s="12"/>
      <c r="G116" s="12"/>
      <c r="H116" s="67"/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13">
        <v>0</v>
      </c>
      <c r="G117" s="14">
        <v>0</v>
      </c>
      <c r="H117" s="67"/>
    </row>
    <row r="118" spans="1:8" x14ac:dyDescent="0.2">
      <c r="A118" s="1"/>
      <c r="B118" s="1"/>
      <c r="C118" s="11"/>
      <c r="D118" s="1"/>
      <c r="E118" s="1"/>
      <c r="F118" s="12"/>
      <c r="G118" s="12"/>
      <c r="H118" s="67"/>
    </row>
    <row r="119" spans="1:8" x14ac:dyDescent="0.2">
      <c r="A119" s="1"/>
      <c r="B119" s="1"/>
      <c r="C119" s="2" t="s">
        <v>120</v>
      </c>
      <c r="D119" s="1"/>
      <c r="E119" s="1"/>
      <c r="F119" s="12"/>
      <c r="G119" s="12"/>
      <c r="H119" s="67"/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13">
        <v>0</v>
      </c>
      <c r="G120" s="14">
        <v>0</v>
      </c>
      <c r="H120" s="67"/>
    </row>
    <row r="121" spans="1:8" x14ac:dyDescent="0.2">
      <c r="A121" s="1"/>
      <c r="B121" s="1"/>
      <c r="C121" s="11"/>
      <c r="D121" s="1"/>
      <c r="E121" s="1"/>
      <c r="F121" s="12"/>
      <c r="G121" s="12"/>
      <c r="H121" s="67"/>
    </row>
    <row r="122" spans="1:8" x14ac:dyDescent="0.2">
      <c r="A122" s="1"/>
      <c r="B122" s="1"/>
      <c r="C122" s="2" t="s">
        <v>121</v>
      </c>
      <c r="D122" s="1"/>
      <c r="E122" s="1"/>
      <c r="F122" s="12"/>
      <c r="G122" s="12"/>
      <c r="H122" s="67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7"/>
    </row>
    <row r="124" spans="1:8" x14ac:dyDescent="0.2">
      <c r="A124" s="1"/>
      <c r="B124" s="1"/>
      <c r="C124" s="11"/>
      <c r="D124" s="1"/>
      <c r="E124" s="1"/>
      <c r="F124" s="12"/>
      <c r="G124" s="12"/>
      <c r="H124" s="67"/>
    </row>
    <row r="125" spans="1:8" x14ac:dyDescent="0.2">
      <c r="A125" s="1"/>
      <c r="B125" s="1"/>
      <c r="C125" s="2" t="s">
        <v>122</v>
      </c>
      <c r="D125" s="1"/>
      <c r="E125" s="1"/>
      <c r="F125" s="12"/>
      <c r="G125" s="12"/>
      <c r="H125" s="67"/>
    </row>
    <row r="126" spans="1:8" x14ac:dyDescent="0.2">
      <c r="A126" s="3">
        <v>1</v>
      </c>
      <c r="B126" s="4"/>
      <c r="C126" s="4" t="s">
        <v>123</v>
      </c>
      <c r="D126" s="4"/>
      <c r="E126" s="8"/>
      <c r="F126" s="6">
        <v>1042.3349377</v>
      </c>
      <c r="G126" s="7">
        <v>4.0318396999999999E-2</v>
      </c>
      <c r="H126" s="67">
        <v>3.1047477660654299</v>
      </c>
    </row>
    <row r="127" spans="1:8" x14ac:dyDescent="0.2">
      <c r="A127" s="1"/>
      <c r="B127" s="1"/>
      <c r="C127" s="2" t="s">
        <v>105</v>
      </c>
      <c r="D127" s="1"/>
      <c r="E127" s="1" t="s">
        <v>106</v>
      </c>
      <c r="F127" s="9">
        <v>1042.3349377</v>
      </c>
      <c r="G127" s="10">
        <v>4.0318396999999999E-2</v>
      </c>
      <c r="H127" s="67"/>
    </row>
    <row r="128" spans="1:8" x14ac:dyDescent="0.2">
      <c r="A128" s="1"/>
      <c r="B128" s="1"/>
      <c r="C128" s="11"/>
      <c r="D128" s="1"/>
      <c r="E128" s="1"/>
      <c r="F128" s="12"/>
      <c r="G128" s="12"/>
      <c r="H128" s="67"/>
    </row>
    <row r="129" spans="1:8" x14ac:dyDescent="0.2">
      <c r="A129" s="1"/>
      <c r="B129" s="1"/>
      <c r="C129" s="2" t="s">
        <v>124</v>
      </c>
      <c r="D129" s="1"/>
      <c r="E129" s="1"/>
      <c r="F129" s="9">
        <v>1042.3349377</v>
      </c>
      <c r="G129" s="10">
        <v>4.0318396999999999E-2</v>
      </c>
      <c r="H129" s="67"/>
    </row>
    <row r="130" spans="1:8" x14ac:dyDescent="0.2">
      <c r="A130" s="1"/>
      <c r="B130" s="1"/>
      <c r="C130" s="12"/>
      <c r="D130" s="1"/>
      <c r="E130" s="1"/>
      <c r="F130" s="1"/>
      <c r="G130" s="1"/>
      <c r="H130" s="67"/>
    </row>
    <row r="131" spans="1:8" x14ac:dyDescent="0.2">
      <c r="A131" s="1"/>
      <c r="B131" s="1"/>
      <c r="C131" s="2" t="s">
        <v>125</v>
      </c>
      <c r="D131" s="1"/>
      <c r="E131" s="1"/>
      <c r="F131" s="1"/>
      <c r="G131" s="1"/>
      <c r="H131" s="67"/>
    </row>
    <row r="132" spans="1:8" x14ac:dyDescent="0.2">
      <c r="A132" s="1"/>
      <c r="B132" s="1"/>
      <c r="C132" s="2" t="s">
        <v>126</v>
      </c>
      <c r="D132" s="1"/>
      <c r="E132" s="1"/>
      <c r="F132" s="1"/>
      <c r="G132" s="1"/>
      <c r="H132" s="67"/>
    </row>
    <row r="133" spans="1:8" x14ac:dyDescent="0.2">
      <c r="A133" s="1"/>
      <c r="B133" s="1"/>
      <c r="C133" s="2" t="s">
        <v>105</v>
      </c>
      <c r="D133" s="1"/>
      <c r="E133" s="1" t="s">
        <v>106</v>
      </c>
      <c r="F133" s="13">
        <v>0</v>
      </c>
      <c r="G133" s="14">
        <v>0</v>
      </c>
      <c r="H133" s="67"/>
    </row>
    <row r="134" spans="1:8" x14ac:dyDescent="0.2">
      <c r="A134" s="1"/>
      <c r="B134" s="1"/>
      <c r="C134" s="11"/>
      <c r="D134" s="1"/>
      <c r="E134" s="1"/>
      <c r="F134" s="12"/>
      <c r="G134" s="12"/>
      <c r="H134" s="67"/>
    </row>
    <row r="135" spans="1:8" x14ac:dyDescent="0.2">
      <c r="A135" s="1"/>
      <c r="B135" s="1"/>
      <c r="C135" s="2" t="s">
        <v>127</v>
      </c>
      <c r="D135" s="1"/>
      <c r="E135" s="1"/>
      <c r="F135" s="1"/>
      <c r="G135" s="1"/>
      <c r="H135" s="67"/>
    </row>
    <row r="136" spans="1:8" x14ac:dyDescent="0.2">
      <c r="A136" s="1"/>
      <c r="B136" s="1"/>
      <c r="C136" s="2" t="s">
        <v>128</v>
      </c>
      <c r="D136" s="1"/>
      <c r="E136" s="1"/>
      <c r="F136" s="1"/>
      <c r="G136" s="1"/>
      <c r="H136" s="67"/>
    </row>
    <row r="137" spans="1:8" x14ac:dyDescent="0.2">
      <c r="A137" s="1"/>
      <c r="B137" s="1"/>
      <c r="C137" s="2" t="s">
        <v>105</v>
      </c>
      <c r="D137" s="1"/>
      <c r="E137" s="1" t="s">
        <v>106</v>
      </c>
      <c r="F137" s="13">
        <v>0</v>
      </c>
      <c r="G137" s="14">
        <v>0</v>
      </c>
      <c r="H137" s="67"/>
    </row>
    <row r="138" spans="1:8" x14ac:dyDescent="0.2">
      <c r="A138" s="1"/>
      <c r="B138" s="1"/>
      <c r="C138" s="11"/>
      <c r="D138" s="1"/>
      <c r="E138" s="1"/>
      <c r="F138" s="12"/>
      <c r="G138" s="12"/>
      <c r="H138" s="67"/>
    </row>
    <row r="139" spans="1:8" x14ac:dyDescent="0.2">
      <c r="A139" s="1"/>
      <c r="B139" s="1"/>
      <c r="C139" s="11"/>
      <c r="D139" s="1"/>
      <c r="E139" s="1"/>
      <c r="F139" s="12"/>
      <c r="G139" s="12"/>
      <c r="H139" s="67"/>
    </row>
    <row r="140" spans="1:8" ht="25.5" x14ac:dyDescent="0.2">
      <c r="A140" s="1"/>
      <c r="B140" s="1"/>
      <c r="C140" s="2" t="s">
        <v>129</v>
      </c>
      <c r="D140" s="1"/>
      <c r="E140" s="1"/>
      <c r="F140" s="12"/>
      <c r="G140" s="12"/>
      <c r="H140" s="67"/>
    </row>
    <row r="141" spans="1:8" x14ac:dyDescent="0.2">
      <c r="A141" s="1"/>
      <c r="B141" s="1"/>
      <c r="C141" s="2" t="s">
        <v>105</v>
      </c>
      <c r="D141" s="1"/>
      <c r="E141" s="1" t="s">
        <v>106</v>
      </c>
      <c r="F141" s="13">
        <v>0</v>
      </c>
      <c r="G141" s="14">
        <v>0</v>
      </c>
      <c r="H141" s="67"/>
    </row>
    <row r="142" spans="1:8" x14ac:dyDescent="0.2">
      <c r="A142" s="1"/>
      <c r="B142" s="1"/>
      <c r="C142" s="11"/>
      <c r="D142" s="1"/>
      <c r="E142" s="1"/>
      <c r="F142" s="12"/>
      <c r="G142" s="12"/>
      <c r="H142" s="67"/>
    </row>
    <row r="143" spans="1:8" x14ac:dyDescent="0.2">
      <c r="A143" s="1"/>
      <c r="B143" s="4"/>
      <c r="C143" s="4"/>
      <c r="D143" s="2"/>
      <c r="E143" s="1"/>
      <c r="F143" s="4"/>
      <c r="G143" s="8"/>
      <c r="H143" s="67"/>
    </row>
    <row r="144" spans="1:8" x14ac:dyDescent="0.2">
      <c r="A144" s="8"/>
      <c r="B144" s="4"/>
      <c r="C144" s="4" t="s">
        <v>130</v>
      </c>
      <c r="D144" s="4"/>
      <c r="E144" s="8"/>
      <c r="F144" s="6">
        <v>-5.3442888000000002</v>
      </c>
      <c r="G144" s="7">
        <v>-2.06722E-4</v>
      </c>
      <c r="H144" s="67"/>
    </row>
    <row r="145" spans="1:8" x14ac:dyDescent="0.2">
      <c r="A145" s="11"/>
      <c r="B145" s="11"/>
      <c r="C145" s="2" t="s">
        <v>131</v>
      </c>
      <c r="D145" s="15"/>
      <c r="E145" s="15"/>
      <c r="F145" s="9">
        <v>25852.588909900001</v>
      </c>
      <c r="G145" s="10">
        <v>0.99999999699999997</v>
      </c>
      <c r="H145" s="67"/>
    </row>
    <row r="146" spans="1:8" ht="14.1" customHeight="1" x14ac:dyDescent="0.2">
      <c r="A146" s="16"/>
      <c r="B146" s="16"/>
      <c r="C146" s="16"/>
      <c r="D146" s="17"/>
      <c r="E146" s="17"/>
      <c r="F146" s="17"/>
      <c r="G146" s="17"/>
    </row>
    <row r="147" spans="1:8" ht="14.1" customHeight="1" x14ac:dyDescent="0.2">
      <c r="A147" s="18"/>
      <c r="B147" s="170" t="s">
        <v>106</v>
      </c>
      <c r="C147" s="170"/>
      <c r="D147" s="170"/>
      <c r="E147" s="170"/>
      <c r="F147" s="170"/>
      <c r="G147" s="20"/>
    </row>
    <row r="148" spans="1:8" ht="14.1" customHeight="1" x14ac:dyDescent="0.2">
      <c r="A148" s="18"/>
      <c r="B148" s="170" t="s">
        <v>106</v>
      </c>
      <c r="C148" s="170"/>
      <c r="D148" s="170"/>
      <c r="E148" s="170"/>
      <c r="F148" s="170"/>
      <c r="G148" s="20"/>
    </row>
    <row r="149" spans="1:8" ht="14.1" customHeight="1" x14ac:dyDescent="0.2">
      <c r="A149" s="18"/>
      <c r="B149" s="18"/>
      <c r="C149" s="18"/>
      <c r="D149" s="20"/>
      <c r="E149" s="20"/>
      <c r="F149" s="20"/>
      <c r="G149" s="20"/>
    </row>
    <row r="150" spans="1:8" ht="14.1" customHeight="1" x14ac:dyDescent="0.2">
      <c r="A150" s="18"/>
      <c r="B150" s="168" t="s">
        <v>133</v>
      </c>
      <c r="C150" s="169"/>
      <c r="D150" s="12" t="s">
        <v>106</v>
      </c>
      <c r="E150" s="21"/>
      <c r="F150" s="20"/>
      <c r="G150" s="20"/>
    </row>
    <row r="151" spans="1:8" ht="29.1" customHeight="1" x14ac:dyDescent="0.2">
      <c r="A151" s="18"/>
      <c r="B151" s="165" t="s">
        <v>134</v>
      </c>
      <c r="C151" s="166"/>
      <c r="D151" s="2" t="s">
        <v>135</v>
      </c>
      <c r="E151" s="21"/>
      <c r="F151" s="20"/>
      <c r="G151" s="20"/>
    </row>
    <row r="152" spans="1:8" ht="17.100000000000001" customHeight="1" x14ac:dyDescent="0.2">
      <c r="A152" s="18"/>
      <c r="B152" s="165" t="s">
        <v>136</v>
      </c>
      <c r="C152" s="166"/>
      <c r="D152" s="2" t="s">
        <v>135</v>
      </c>
      <c r="E152" s="21"/>
      <c r="F152" s="20"/>
      <c r="G152" s="20"/>
    </row>
    <row r="153" spans="1:8" ht="17.100000000000001" customHeight="1" x14ac:dyDescent="0.2">
      <c r="A153" s="18"/>
      <c r="B153" s="165" t="s">
        <v>137</v>
      </c>
      <c r="C153" s="166"/>
      <c r="D153" s="12" t="s">
        <v>106</v>
      </c>
      <c r="E153" s="21"/>
      <c r="F153" s="20"/>
      <c r="G153" s="20"/>
    </row>
    <row r="154" spans="1:8" ht="24" customHeight="1" x14ac:dyDescent="0.2">
      <c r="A154" s="22"/>
      <c r="B154" s="23" t="s">
        <v>106</v>
      </c>
      <c r="C154" s="23" t="s">
        <v>138</v>
      </c>
      <c r="D154" s="23" t="s">
        <v>139</v>
      </c>
      <c r="E154" s="22"/>
      <c r="F154" s="22"/>
      <c r="G154" s="22"/>
    </row>
    <row r="155" spans="1:8" ht="18" customHeight="1" x14ac:dyDescent="0.2">
      <c r="A155" s="22"/>
      <c r="B155" s="23" t="s">
        <v>140</v>
      </c>
      <c r="C155" s="23" t="s">
        <v>141</v>
      </c>
      <c r="D155" s="23" t="s">
        <v>142</v>
      </c>
      <c r="E155" s="22"/>
      <c r="F155" s="22"/>
      <c r="G155" s="22"/>
    </row>
    <row r="156" spans="1:8" ht="17.100000000000001" customHeight="1" x14ac:dyDescent="0.2">
      <c r="A156" s="22"/>
      <c r="B156" s="4" t="s">
        <v>143</v>
      </c>
      <c r="C156" s="24">
        <v>14.242699999999999</v>
      </c>
      <c r="D156" s="24">
        <v>14.284000000000001</v>
      </c>
      <c r="E156" s="22"/>
      <c r="F156" s="19"/>
      <c r="G156" s="25"/>
    </row>
    <row r="157" spans="1:8" ht="17.100000000000001" customHeight="1" x14ac:dyDescent="0.2">
      <c r="A157" s="22"/>
      <c r="B157" s="4" t="s">
        <v>988</v>
      </c>
      <c r="C157" s="24">
        <v>14.242699999999999</v>
      </c>
      <c r="D157" s="24">
        <v>14.284000000000001</v>
      </c>
      <c r="E157" s="22"/>
      <c r="F157" s="19"/>
      <c r="G157" s="25"/>
    </row>
    <row r="158" spans="1:8" ht="17.100000000000001" customHeight="1" x14ac:dyDescent="0.2">
      <c r="A158" s="22"/>
      <c r="B158" s="4" t="s">
        <v>144</v>
      </c>
      <c r="C158" s="24">
        <v>13.8962</v>
      </c>
      <c r="D158" s="24">
        <v>13.9312</v>
      </c>
      <c r="E158" s="22"/>
      <c r="F158" s="19"/>
      <c r="G158" s="25"/>
    </row>
    <row r="159" spans="1:8" ht="17.100000000000001" customHeight="1" x14ac:dyDescent="0.2">
      <c r="A159" s="22"/>
      <c r="B159" s="4" t="s">
        <v>989</v>
      </c>
      <c r="C159" s="24">
        <v>13.8962</v>
      </c>
      <c r="D159" s="24">
        <v>13.9312</v>
      </c>
      <c r="E159" s="22"/>
      <c r="F159" s="19"/>
      <c r="G159" s="25"/>
    </row>
    <row r="160" spans="1:8" ht="14.1" customHeight="1" x14ac:dyDescent="0.2">
      <c r="A160" s="22"/>
      <c r="B160" s="22"/>
      <c r="C160" s="22"/>
      <c r="D160" s="22"/>
      <c r="E160" s="22"/>
      <c r="F160" s="22"/>
      <c r="G160" s="22"/>
    </row>
    <row r="161" spans="1:7" ht="17.100000000000001" customHeight="1" x14ac:dyDescent="0.2">
      <c r="A161" s="22"/>
      <c r="B161" s="165" t="s">
        <v>990</v>
      </c>
      <c r="C161" s="166"/>
      <c r="D161" s="2" t="s">
        <v>135</v>
      </c>
      <c r="E161" s="22"/>
      <c r="F161" s="22"/>
      <c r="G161" s="22"/>
    </row>
    <row r="162" spans="1:7" ht="18" customHeight="1" x14ac:dyDescent="0.2">
      <c r="A162" s="22"/>
      <c r="B162" s="26" t="s">
        <v>145</v>
      </c>
      <c r="C162" s="26" t="s">
        <v>145</v>
      </c>
      <c r="D162" s="26"/>
      <c r="E162" s="22"/>
      <c r="F162" s="22"/>
      <c r="G162" s="22"/>
    </row>
    <row r="163" spans="1:7" s="158" customFormat="1" x14ac:dyDescent="0.2">
      <c r="B163" s="167" t="s">
        <v>822</v>
      </c>
      <c r="C163" s="167"/>
      <c r="D163" s="167"/>
      <c r="E163" s="167"/>
      <c r="F163" s="167"/>
    </row>
    <row r="164" spans="1:7" ht="14.1" customHeight="1" x14ac:dyDescent="0.2">
      <c r="A164" s="22"/>
      <c r="B164" s="19"/>
      <c r="C164" s="19"/>
      <c r="D164" s="22"/>
      <c r="E164" s="22"/>
      <c r="F164" s="22"/>
      <c r="G164" s="22"/>
    </row>
    <row r="165" spans="1:7" ht="29.1" customHeight="1" x14ac:dyDescent="0.2">
      <c r="A165" s="22"/>
      <c r="B165" s="165" t="s">
        <v>146</v>
      </c>
      <c r="C165" s="166"/>
      <c r="D165" s="2" t="s">
        <v>135</v>
      </c>
      <c r="E165" s="22"/>
      <c r="F165" s="22"/>
      <c r="G165" s="22"/>
    </row>
    <row r="166" spans="1:7" ht="29.1" customHeight="1" x14ac:dyDescent="0.2">
      <c r="A166" s="22"/>
      <c r="B166" s="165" t="s">
        <v>147</v>
      </c>
      <c r="C166" s="166"/>
      <c r="D166" s="2" t="s">
        <v>135</v>
      </c>
      <c r="E166" s="22"/>
      <c r="F166" s="22"/>
      <c r="G166" s="22"/>
    </row>
    <row r="167" spans="1:7" ht="17.100000000000001" customHeight="1" x14ac:dyDescent="0.2">
      <c r="A167" s="22"/>
      <c r="B167" s="165" t="s">
        <v>148</v>
      </c>
      <c r="C167" s="166"/>
      <c r="D167" s="27">
        <v>0.44070941533099967</v>
      </c>
      <c r="E167" s="22"/>
      <c r="F167" s="19"/>
      <c r="G167" s="25"/>
    </row>
    <row r="168" spans="1:7" ht="17.100000000000001" customHeight="1" x14ac:dyDescent="0.2">
      <c r="A168" s="22"/>
      <c r="B168" s="165" t="s">
        <v>149</v>
      </c>
      <c r="C168" s="166"/>
      <c r="D168" s="2" t="s">
        <v>135</v>
      </c>
      <c r="E168" s="22"/>
      <c r="F168" s="22"/>
      <c r="G168" s="22"/>
    </row>
  </sheetData>
  <mergeCells count="15">
    <mergeCell ref="B150:C150"/>
    <mergeCell ref="B147:F147"/>
    <mergeCell ref="B148:F148"/>
    <mergeCell ref="A1:H1"/>
    <mergeCell ref="A2:H2"/>
    <mergeCell ref="A3:H3"/>
    <mergeCell ref="B167:C167"/>
    <mergeCell ref="B168:C168"/>
    <mergeCell ref="B151:C151"/>
    <mergeCell ref="B152:C152"/>
    <mergeCell ref="B153:C153"/>
    <mergeCell ref="B161:C161"/>
    <mergeCell ref="B165:C165"/>
    <mergeCell ref="B166:C166"/>
    <mergeCell ref="B163:F16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16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464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151</v>
      </c>
      <c r="C7" s="4" t="s">
        <v>152</v>
      </c>
      <c r="D7" s="4" t="s">
        <v>153</v>
      </c>
      <c r="E7" s="5">
        <v>23878</v>
      </c>
      <c r="F7" s="6">
        <v>961.710328</v>
      </c>
      <c r="G7" s="7">
        <v>3.4603081000000001E-2</v>
      </c>
      <c r="H7" s="67"/>
    </row>
    <row r="8" spans="1:8" x14ac:dyDescent="0.2">
      <c r="A8" s="3">
        <v>2</v>
      </c>
      <c r="B8" s="4" t="s">
        <v>25</v>
      </c>
      <c r="C8" s="4" t="s">
        <v>26</v>
      </c>
      <c r="D8" s="4" t="s">
        <v>27</v>
      </c>
      <c r="E8" s="5">
        <v>70838</v>
      </c>
      <c r="F8" s="6">
        <v>914.483161</v>
      </c>
      <c r="G8" s="7">
        <v>3.2903810999999998E-2</v>
      </c>
      <c r="H8" s="67"/>
    </row>
    <row r="9" spans="1:8" x14ac:dyDescent="0.2">
      <c r="A9" s="3">
        <v>3</v>
      </c>
      <c r="B9" s="4" t="s">
        <v>154</v>
      </c>
      <c r="C9" s="4" t="s">
        <v>155</v>
      </c>
      <c r="D9" s="4" t="s">
        <v>81</v>
      </c>
      <c r="E9" s="5">
        <v>611133</v>
      </c>
      <c r="F9" s="6">
        <v>720.52580699999999</v>
      </c>
      <c r="G9" s="7">
        <v>2.5925075999999998E-2</v>
      </c>
      <c r="H9" s="67"/>
    </row>
    <row r="10" spans="1:8" x14ac:dyDescent="0.2">
      <c r="A10" s="3">
        <v>4</v>
      </c>
      <c r="B10" s="4" t="s">
        <v>162</v>
      </c>
      <c r="C10" s="4" t="s">
        <v>163</v>
      </c>
      <c r="D10" s="4" t="s">
        <v>27</v>
      </c>
      <c r="E10" s="5">
        <v>90886</v>
      </c>
      <c r="F10" s="6">
        <v>694.77802699999995</v>
      </c>
      <c r="G10" s="7">
        <v>2.4998651E-2</v>
      </c>
      <c r="H10" s="67"/>
    </row>
    <row r="11" spans="1:8" x14ac:dyDescent="0.2">
      <c r="A11" s="3">
        <v>5</v>
      </c>
      <c r="B11" s="4" t="s">
        <v>296</v>
      </c>
      <c r="C11" s="4" t="s">
        <v>297</v>
      </c>
      <c r="D11" s="4" t="s">
        <v>27</v>
      </c>
      <c r="E11" s="5">
        <v>98456</v>
      </c>
      <c r="F11" s="6">
        <v>670.53458799999999</v>
      </c>
      <c r="G11" s="7">
        <v>2.4126353E-2</v>
      </c>
      <c r="H11" s="67"/>
    </row>
    <row r="12" spans="1:8" x14ac:dyDescent="0.2">
      <c r="A12" s="3">
        <v>6</v>
      </c>
      <c r="B12" s="4" t="s">
        <v>37</v>
      </c>
      <c r="C12" s="4" t="s">
        <v>38</v>
      </c>
      <c r="D12" s="4" t="s">
        <v>27</v>
      </c>
      <c r="E12" s="5">
        <v>55216</v>
      </c>
      <c r="F12" s="6">
        <v>657.59495200000003</v>
      </c>
      <c r="G12" s="7">
        <v>2.3660774999999998E-2</v>
      </c>
      <c r="H12" s="67"/>
    </row>
    <row r="13" spans="1:8" x14ac:dyDescent="0.2">
      <c r="A13" s="3">
        <v>7</v>
      </c>
      <c r="B13" s="4" t="s">
        <v>158</v>
      </c>
      <c r="C13" s="4" t="s">
        <v>159</v>
      </c>
      <c r="D13" s="4" t="s">
        <v>27</v>
      </c>
      <c r="E13" s="5">
        <v>84041</v>
      </c>
      <c r="F13" s="6">
        <v>640.47646099999997</v>
      </c>
      <c r="G13" s="7">
        <v>2.3044838000000002E-2</v>
      </c>
      <c r="H13" s="67"/>
    </row>
    <row r="14" spans="1:8" x14ac:dyDescent="0.2">
      <c r="A14" s="3">
        <v>8</v>
      </c>
      <c r="B14" s="4" t="s">
        <v>164</v>
      </c>
      <c r="C14" s="4" t="s">
        <v>165</v>
      </c>
      <c r="D14" s="4" t="s">
        <v>166</v>
      </c>
      <c r="E14" s="5">
        <v>188785</v>
      </c>
      <c r="F14" s="6">
        <v>635.82788000000005</v>
      </c>
      <c r="G14" s="7">
        <v>2.2877578999999999E-2</v>
      </c>
      <c r="H14" s="67"/>
    </row>
    <row r="15" spans="1:8" x14ac:dyDescent="0.2">
      <c r="A15" s="3">
        <v>9</v>
      </c>
      <c r="B15" s="4" t="s">
        <v>448</v>
      </c>
      <c r="C15" s="4" t="s">
        <v>449</v>
      </c>
      <c r="D15" s="4" t="s">
        <v>55</v>
      </c>
      <c r="E15" s="5">
        <v>175415</v>
      </c>
      <c r="F15" s="6">
        <v>580.18511249999995</v>
      </c>
      <c r="G15" s="7">
        <v>2.0875509E-2</v>
      </c>
      <c r="H15" s="67"/>
    </row>
    <row r="16" spans="1:8" ht="25.5" x14ac:dyDescent="0.2">
      <c r="A16" s="3">
        <v>10</v>
      </c>
      <c r="B16" s="4" t="s">
        <v>30</v>
      </c>
      <c r="C16" s="4" t="s">
        <v>998</v>
      </c>
      <c r="D16" s="4" t="s">
        <v>992</v>
      </c>
      <c r="E16" s="5">
        <v>16781</v>
      </c>
      <c r="F16" s="6">
        <v>548.97363399999995</v>
      </c>
      <c r="G16" s="7">
        <v>1.9752496000000001E-2</v>
      </c>
      <c r="H16" s="67"/>
    </row>
    <row r="17" spans="1:8" x14ac:dyDescent="0.2">
      <c r="A17" s="3">
        <v>11</v>
      </c>
      <c r="B17" s="4" t="s">
        <v>167</v>
      </c>
      <c r="C17" s="4" t="s">
        <v>168</v>
      </c>
      <c r="D17" s="4" t="s">
        <v>166</v>
      </c>
      <c r="E17" s="5">
        <v>15854</v>
      </c>
      <c r="F17" s="6">
        <v>526.67780700000003</v>
      </c>
      <c r="G17" s="7">
        <v>1.8950274999999999E-2</v>
      </c>
      <c r="H17" s="67"/>
    </row>
    <row r="18" spans="1:8" x14ac:dyDescent="0.2">
      <c r="A18" s="3">
        <v>12</v>
      </c>
      <c r="B18" s="4" t="s">
        <v>174</v>
      </c>
      <c r="C18" s="4" t="s">
        <v>175</v>
      </c>
      <c r="D18" s="4" t="s">
        <v>55</v>
      </c>
      <c r="E18" s="5">
        <v>126176</v>
      </c>
      <c r="F18" s="6">
        <v>507.92148800000001</v>
      </c>
      <c r="G18" s="7">
        <v>1.8275408E-2</v>
      </c>
      <c r="H18" s="67"/>
    </row>
    <row r="19" spans="1:8" x14ac:dyDescent="0.2">
      <c r="A19" s="3">
        <v>13</v>
      </c>
      <c r="B19" s="4" t="s">
        <v>63</v>
      </c>
      <c r="C19" s="4" t="s">
        <v>64</v>
      </c>
      <c r="D19" s="4" t="s">
        <v>55</v>
      </c>
      <c r="E19" s="5">
        <v>183829</v>
      </c>
      <c r="F19" s="6">
        <v>476.11711000000003</v>
      </c>
      <c r="G19" s="7">
        <v>1.7131061999999999E-2</v>
      </c>
      <c r="H19" s="67"/>
    </row>
    <row r="20" spans="1:8" x14ac:dyDescent="0.2">
      <c r="A20" s="3">
        <v>14</v>
      </c>
      <c r="B20" s="4" t="s">
        <v>180</v>
      </c>
      <c r="C20" s="4" t="s">
        <v>181</v>
      </c>
      <c r="D20" s="4" t="s">
        <v>171</v>
      </c>
      <c r="E20" s="5">
        <v>34302</v>
      </c>
      <c r="F20" s="6">
        <v>468.10224299999999</v>
      </c>
      <c r="G20" s="7">
        <v>1.6842681000000002E-2</v>
      </c>
      <c r="H20" s="67"/>
    </row>
    <row r="21" spans="1:8" x14ac:dyDescent="0.2">
      <c r="A21" s="3">
        <v>15</v>
      </c>
      <c r="B21" s="4" t="s">
        <v>177</v>
      </c>
      <c r="C21" s="4" t="s">
        <v>178</v>
      </c>
      <c r="D21" s="4" t="s">
        <v>179</v>
      </c>
      <c r="E21" s="5">
        <v>194334</v>
      </c>
      <c r="F21" s="6">
        <v>465.42993000000001</v>
      </c>
      <c r="G21" s="7">
        <v>1.6746529E-2</v>
      </c>
      <c r="H21" s="67"/>
    </row>
    <row r="22" spans="1:8" ht="25.5" x14ac:dyDescent="0.2">
      <c r="A22" s="3">
        <v>16</v>
      </c>
      <c r="B22" s="4" t="s">
        <v>176</v>
      </c>
      <c r="C22" s="4" t="s">
        <v>995</v>
      </c>
      <c r="D22" s="4" t="s">
        <v>992</v>
      </c>
      <c r="E22" s="5">
        <v>174815</v>
      </c>
      <c r="F22" s="6">
        <v>462.56049000000002</v>
      </c>
      <c r="G22" s="7">
        <v>1.6643284000000001E-2</v>
      </c>
      <c r="H22" s="67"/>
    </row>
    <row r="23" spans="1:8" x14ac:dyDescent="0.2">
      <c r="A23" s="3">
        <v>17</v>
      </c>
      <c r="B23" s="4" t="s">
        <v>185</v>
      </c>
      <c r="C23" s="4" t="s">
        <v>186</v>
      </c>
      <c r="D23" s="4" t="s">
        <v>187</v>
      </c>
      <c r="E23" s="5">
        <v>96348</v>
      </c>
      <c r="F23" s="6">
        <v>462.22953000000001</v>
      </c>
      <c r="G23" s="7">
        <v>1.6631376E-2</v>
      </c>
      <c r="H23" s="67"/>
    </row>
    <row r="24" spans="1:8" x14ac:dyDescent="0.2">
      <c r="A24" s="3">
        <v>18</v>
      </c>
      <c r="B24" s="4" t="s">
        <v>342</v>
      </c>
      <c r="C24" s="4" t="s">
        <v>343</v>
      </c>
      <c r="D24" s="4" t="s">
        <v>171</v>
      </c>
      <c r="E24" s="5">
        <v>12356</v>
      </c>
      <c r="F24" s="6">
        <v>451.31525599999998</v>
      </c>
      <c r="G24" s="7">
        <v>1.6238671999999999E-2</v>
      </c>
      <c r="H24" s="67"/>
    </row>
    <row r="25" spans="1:8" x14ac:dyDescent="0.2">
      <c r="A25" s="3">
        <v>19</v>
      </c>
      <c r="B25" s="4" t="s">
        <v>77</v>
      </c>
      <c r="C25" s="4" t="s">
        <v>78</v>
      </c>
      <c r="D25" s="4" t="s">
        <v>69</v>
      </c>
      <c r="E25" s="5">
        <v>125724</v>
      </c>
      <c r="F25" s="6">
        <v>420.48391800000002</v>
      </c>
      <c r="G25" s="7">
        <v>1.5129337E-2</v>
      </c>
      <c r="H25" s="67"/>
    </row>
    <row r="26" spans="1:8" x14ac:dyDescent="0.2">
      <c r="A26" s="3">
        <v>20</v>
      </c>
      <c r="B26" s="4" t="s">
        <v>192</v>
      </c>
      <c r="C26" s="4" t="s">
        <v>193</v>
      </c>
      <c r="D26" s="4" t="s">
        <v>81</v>
      </c>
      <c r="E26" s="5">
        <v>72934</v>
      </c>
      <c r="F26" s="6">
        <v>416.19787100000002</v>
      </c>
      <c r="G26" s="7">
        <v>1.4975120999999999E-2</v>
      </c>
      <c r="H26" s="67"/>
    </row>
    <row r="27" spans="1:8" x14ac:dyDescent="0.2">
      <c r="A27" s="3">
        <v>21</v>
      </c>
      <c r="B27" s="4" t="s">
        <v>188</v>
      </c>
      <c r="C27" s="4" t="s">
        <v>189</v>
      </c>
      <c r="D27" s="4" t="s">
        <v>166</v>
      </c>
      <c r="E27" s="5">
        <v>8654</v>
      </c>
      <c r="F27" s="6">
        <v>411.87847599999998</v>
      </c>
      <c r="G27" s="7">
        <v>1.4819706E-2</v>
      </c>
      <c r="H27" s="67"/>
    </row>
    <row r="28" spans="1:8" x14ac:dyDescent="0.2">
      <c r="A28" s="3">
        <v>22</v>
      </c>
      <c r="B28" s="4" t="s">
        <v>198</v>
      </c>
      <c r="C28" s="4" t="s">
        <v>199</v>
      </c>
      <c r="D28" s="4" t="s">
        <v>166</v>
      </c>
      <c r="E28" s="5">
        <v>42130</v>
      </c>
      <c r="F28" s="6">
        <v>411.79968500000001</v>
      </c>
      <c r="G28" s="7">
        <v>1.4816871000000001E-2</v>
      </c>
      <c r="H28" s="67"/>
    </row>
    <row r="29" spans="1:8" x14ac:dyDescent="0.2">
      <c r="A29" s="3">
        <v>23</v>
      </c>
      <c r="B29" s="4" t="s">
        <v>196</v>
      </c>
      <c r="C29" s="4" t="s">
        <v>197</v>
      </c>
      <c r="D29" s="4" t="s">
        <v>1004</v>
      </c>
      <c r="E29" s="5">
        <v>131301</v>
      </c>
      <c r="F29" s="6">
        <v>406.04834249999999</v>
      </c>
      <c r="G29" s="7">
        <v>1.4609933E-2</v>
      </c>
      <c r="H29" s="67"/>
    </row>
    <row r="30" spans="1:8" ht="25.5" x14ac:dyDescent="0.2">
      <c r="A30" s="3">
        <v>24</v>
      </c>
      <c r="B30" s="4" t="s">
        <v>202</v>
      </c>
      <c r="C30" s="4" t="s">
        <v>203</v>
      </c>
      <c r="D30" s="4" t="s">
        <v>52</v>
      </c>
      <c r="E30" s="5">
        <v>86680</v>
      </c>
      <c r="F30" s="6">
        <v>404.14550000000003</v>
      </c>
      <c r="G30" s="7">
        <v>1.4541468E-2</v>
      </c>
      <c r="H30" s="67"/>
    </row>
    <row r="31" spans="1:8" x14ac:dyDescent="0.2">
      <c r="A31" s="3">
        <v>25</v>
      </c>
      <c r="B31" s="4" t="s">
        <v>169</v>
      </c>
      <c r="C31" s="4" t="s">
        <v>170</v>
      </c>
      <c r="D31" s="4" t="s">
        <v>171</v>
      </c>
      <c r="E31" s="5">
        <v>54815</v>
      </c>
      <c r="F31" s="6">
        <v>396.31245000000001</v>
      </c>
      <c r="G31" s="7">
        <v>1.4259628E-2</v>
      </c>
      <c r="H31" s="67"/>
    </row>
    <row r="32" spans="1:8" x14ac:dyDescent="0.2">
      <c r="A32" s="3">
        <v>26</v>
      </c>
      <c r="B32" s="4" t="s">
        <v>208</v>
      </c>
      <c r="C32" s="4" t="s">
        <v>209</v>
      </c>
      <c r="D32" s="4" t="s">
        <v>1005</v>
      </c>
      <c r="E32" s="5">
        <v>46000</v>
      </c>
      <c r="F32" s="6">
        <v>389.55099999999999</v>
      </c>
      <c r="G32" s="7">
        <v>1.4016346000000001E-2</v>
      </c>
      <c r="H32" s="67"/>
    </row>
    <row r="33" spans="1:8" x14ac:dyDescent="0.2">
      <c r="A33" s="3">
        <v>27</v>
      </c>
      <c r="B33" s="4" t="s">
        <v>206</v>
      </c>
      <c r="C33" s="4" t="s">
        <v>207</v>
      </c>
      <c r="D33" s="4" t="s">
        <v>187</v>
      </c>
      <c r="E33" s="5">
        <v>58282</v>
      </c>
      <c r="F33" s="6">
        <v>388.507812</v>
      </c>
      <c r="G33" s="7">
        <v>1.3978812E-2</v>
      </c>
      <c r="H33" s="67"/>
    </row>
    <row r="34" spans="1:8" x14ac:dyDescent="0.2">
      <c r="A34" s="3">
        <v>28</v>
      </c>
      <c r="B34" s="4" t="s">
        <v>204</v>
      </c>
      <c r="C34" s="4" t="s">
        <v>205</v>
      </c>
      <c r="D34" s="4" t="s">
        <v>27</v>
      </c>
      <c r="E34" s="5">
        <v>23281</v>
      </c>
      <c r="F34" s="6">
        <v>386.6159265</v>
      </c>
      <c r="G34" s="7">
        <v>1.391074E-2</v>
      </c>
      <c r="H34" s="67"/>
    </row>
    <row r="35" spans="1:8" ht="25.5" x14ac:dyDescent="0.2">
      <c r="A35" s="3">
        <v>29</v>
      </c>
      <c r="B35" s="4" t="s">
        <v>450</v>
      </c>
      <c r="C35" s="4" t="s">
        <v>451</v>
      </c>
      <c r="D35" s="4" t="s">
        <v>36</v>
      </c>
      <c r="E35" s="5">
        <v>26488</v>
      </c>
      <c r="F35" s="6">
        <v>384.51305200000002</v>
      </c>
      <c r="G35" s="7">
        <v>1.3835076999999999E-2</v>
      </c>
      <c r="H35" s="67"/>
    </row>
    <row r="36" spans="1:8" x14ac:dyDescent="0.2">
      <c r="A36" s="3">
        <v>30</v>
      </c>
      <c r="B36" s="4" t="s">
        <v>194</v>
      </c>
      <c r="C36" s="4" t="s">
        <v>195</v>
      </c>
      <c r="D36" s="4" t="s">
        <v>55</v>
      </c>
      <c r="E36" s="5">
        <v>39831</v>
      </c>
      <c r="F36" s="6">
        <v>383.89117800000002</v>
      </c>
      <c r="G36" s="7">
        <v>1.3812702E-2</v>
      </c>
      <c r="H36" s="67"/>
    </row>
    <row r="37" spans="1:8" x14ac:dyDescent="0.2">
      <c r="A37" s="3">
        <v>31</v>
      </c>
      <c r="B37" s="4" t="s">
        <v>172</v>
      </c>
      <c r="C37" s="4" t="s">
        <v>173</v>
      </c>
      <c r="D37" s="4" t="s">
        <v>331</v>
      </c>
      <c r="E37" s="5">
        <v>38360</v>
      </c>
      <c r="F37" s="6">
        <v>365.74342000000001</v>
      </c>
      <c r="G37" s="7">
        <v>1.3159730999999999E-2</v>
      </c>
      <c r="H37" s="67"/>
    </row>
    <row r="38" spans="1:8" x14ac:dyDescent="0.2">
      <c r="A38" s="3">
        <v>32</v>
      </c>
      <c r="B38" s="4" t="s">
        <v>213</v>
      </c>
      <c r="C38" s="4" t="s">
        <v>214</v>
      </c>
      <c r="D38" s="4" t="s">
        <v>81</v>
      </c>
      <c r="E38" s="5">
        <v>62701</v>
      </c>
      <c r="F38" s="6">
        <v>357.99135949999999</v>
      </c>
      <c r="G38" s="7">
        <v>1.2880806E-2</v>
      </c>
      <c r="H38" s="67"/>
    </row>
    <row r="39" spans="1:8" x14ac:dyDescent="0.2">
      <c r="A39" s="3">
        <v>33</v>
      </c>
      <c r="B39" s="4" t="s">
        <v>210</v>
      </c>
      <c r="C39" s="4" t="s">
        <v>211</v>
      </c>
      <c r="D39" s="4" t="s">
        <v>212</v>
      </c>
      <c r="E39" s="5">
        <v>140250</v>
      </c>
      <c r="F39" s="6">
        <v>351.60674999999998</v>
      </c>
      <c r="G39" s="7">
        <v>1.2651083E-2</v>
      </c>
      <c r="H39" s="67"/>
    </row>
    <row r="40" spans="1:8" x14ac:dyDescent="0.2">
      <c r="A40" s="3">
        <v>34</v>
      </c>
      <c r="B40" s="4" t="s">
        <v>156</v>
      </c>
      <c r="C40" s="4" t="s">
        <v>157</v>
      </c>
      <c r="D40" s="4" t="s">
        <v>153</v>
      </c>
      <c r="E40" s="5">
        <v>24941</v>
      </c>
      <c r="F40" s="6">
        <v>349.99705299999999</v>
      </c>
      <c r="G40" s="7">
        <v>1.2593165E-2</v>
      </c>
      <c r="H40" s="67"/>
    </row>
    <row r="41" spans="1:8" x14ac:dyDescent="0.2">
      <c r="A41" s="3">
        <v>35</v>
      </c>
      <c r="B41" s="4" t="s">
        <v>190</v>
      </c>
      <c r="C41" s="4" t="s">
        <v>191</v>
      </c>
      <c r="D41" s="4" t="s">
        <v>41</v>
      </c>
      <c r="E41" s="5">
        <v>81720</v>
      </c>
      <c r="F41" s="6">
        <v>336.44123999999999</v>
      </c>
      <c r="G41" s="7">
        <v>1.2105416000000001E-2</v>
      </c>
      <c r="H41" s="67"/>
    </row>
    <row r="42" spans="1:8" x14ac:dyDescent="0.2">
      <c r="A42" s="3">
        <v>36</v>
      </c>
      <c r="B42" s="4" t="s">
        <v>452</v>
      </c>
      <c r="C42" s="4" t="s">
        <v>453</v>
      </c>
      <c r="D42" s="4" t="s">
        <v>27</v>
      </c>
      <c r="E42" s="5">
        <v>40294</v>
      </c>
      <c r="F42" s="6">
        <v>334.420053</v>
      </c>
      <c r="G42" s="7">
        <v>1.2032691999999999E-2</v>
      </c>
      <c r="H42" s="67"/>
    </row>
    <row r="43" spans="1:8" x14ac:dyDescent="0.2">
      <c r="A43" s="3">
        <v>37</v>
      </c>
      <c r="B43" s="4" t="s">
        <v>215</v>
      </c>
      <c r="C43" s="4" t="s">
        <v>216</v>
      </c>
      <c r="D43" s="4" t="s">
        <v>69</v>
      </c>
      <c r="E43" s="5">
        <v>332221</v>
      </c>
      <c r="F43" s="6">
        <v>332.0548895</v>
      </c>
      <c r="G43" s="7">
        <v>1.1947592E-2</v>
      </c>
      <c r="H43" s="67"/>
    </row>
    <row r="44" spans="1:8" ht="25.5" x14ac:dyDescent="0.2">
      <c r="A44" s="3">
        <v>38</v>
      </c>
      <c r="B44" s="4" t="s">
        <v>221</v>
      </c>
      <c r="C44" s="4" t="s">
        <v>222</v>
      </c>
      <c r="D44" s="4" t="s">
        <v>36</v>
      </c>
      <c r="E44" s="5">
        <v>378656</v>
      </c>
      <c r="F44" s="6">
        <v>325.26550400000002</v>
      </c>
      <c r="G44" s="7">
        <v>1.1703303999999999E-2</v>
      </c>
      <c r="H44" s="67"/>
    </row>
    <row r="45" spans="1:8" x14ac:dyDescent="0.2">
      <c r="A45" s="3">
        <v>39</v>
      </c>
      <c r="B45" s="4" t="s">
        <v>182</v>
      </c>
      <c r="C45" s="4" t="s">
        <v>183</v>
      </c>
      <c r="D45" s="4" t="s">
        <v>184</v>
      </c>
      <c r="E45" s="5">
        <v>31437</v>
      </c>
      <c r="F45" s="6">
        <v>309.98453849999999</v>
      </c>
      <c r="G45" s="7">
        <v>1.1153483E-2</v>
      </c>
      <c r="H45" s="67"/>
    </row>
    <row r="46" spans="1:8" x14ac:dyDescent="0.2">
      <c r="A46" s="3">
        <v>40</v>
      </c>
      <c r="B46" s="4" t="s">
        <v>454</v>
      </c>
      <c r="C46" s="4" t="s">
        <v>455</v>
      </c>
      <c r="D46" s="4" t="s">
        <v>46</v>
      </c>
      <c r="E46" s="5">
        <v>75234</v>
      </c>
      <c r="F46" s="6">
        <v>307.40612399999998</v>
      </c>
      <c r="G46" s="7">
        <v>1.106071E-2</v>
      </c>
      <c r="H46" s="67"/>
    </row>
    <row r="47" spans="1:8" x14ac:dyDescent="0.2">
      <c r="A47" s="3">
        <v>41</v>
      </c>
      <c r="B47" s="4" t="s">
        <v>456</v>
      </c>
      <c r="C47" s="4" t="s">
        <v>457</v>
      </c>
      <c r="D47" s="4" t="s">
        <v>212</v>
      </c>
      <c r="E47" s="5">
        <v>50258</v>
      </c>
      <c r="F47" s="6">
        <v>297.04990900000001</v>
      </c>
      <c r="G47" s="7">
        <v>1.0688085E-2</v>
      </c>
      <c r="H47" s="67"/>
    </row>
    <row r="48" spans="1:8" x14ac:dyDescent="0.2">
      <c r="A48" s="3">
        <v>42</v>
      </c>
      <c r="B48" s="4" t="s">
        <v>223</v>
      </c>
      <c r="C48" s="4" t="s">
        <v>224</v>
      </c>
      <c r="D48" s="4" t="s">
        <v>69</v>
      </c>
      <c r="E48" s="5">
        <v>34149</v>
      </c>
      <c r="F48" s="6">
        <v>294.6204975</v>
      </c>
      <c r="G48" s="7">
        <v>1.0600673E-2</v>
      </c>
      <c r="H48" s="67"/>
    </row>
    <row r="49" spans="1:8" x14ac:dyDescent="0.2">
      <c r="A49" s="3">
        <v>43</v>
      </c>
      <c r="B49" s="4" t="s">
        <v>32</v>
      </c>
      <c r="C49" s="4" t="s">
        <v>33</v>
      </c>
      <c r="D49" s="4" t="s">
        <v>27</v>
      </c>
      <c r="E49" s="5">
        <v>13232</v>
      </c>
      <c r="F49" s="6">
        <v>291.93099999999998</v>
      </c>
      <c r="G49" s="7">
        <v>1.0503903E-2</v>
      </c>
      <c r="H49" s="67"/>
    </row>
    <row r="50" spans="1:8" x14ac:dyDescent="0.2">
      <c r="A50" s="3">
        <v>44</v>
      </c>
      <c r="B50" s="4" t="s">
        <v>458</v>
      </c>
      <c r="C50" s="4" t="s">
        <v>459</v>
      </c>
      <c r="D50" s="4" t="s">
        <v>55</v>
      </c>
      <c r="E50" s="5">
        <v>37170</v>
      </c>
      <c r="F50" s="6">
        <v>288.04891500000002</v>
      </c>
      <c r="G50" s="7">
        <v>1.0364223000000001E-2</v>
      </c>
      <c r="H50" s="67"/>
    </row>
    <row r="51" spans="1:8" x14ac:dyDescent="0.2">
      <c r="A51" s="3">
        <v>45</v>
      </c>
      <c r="B51" s="4" t="s">
        <v>290</v>
      </c>
      <c r="C51" s="4" t="s">
        <v>291</v>
      </c>
      <c r="D51" s="4" t="s">
        <v>27</v>
      </c>
      <c r="E51" s="5">
        <v>23876</v>
      </c>
      <c r="F51" s="6">
        <v>282.79928200000001</v>
      </c>
      <c r="G51" s="7">
        <v>1.0175337E-2</v>
      </c>
      <c r="H51" s="67"/>
    </row>
    <row r="52" spans="1:8" x14ac:dyDescent="0.2">
      <c r="A52" s="3">
        <v>46</v>
      </c>
      <c r="B52" s="4" t="s">
        <v>232</v>
      </c>
      <c r="C52" s="4" t="s">
        <v>233</v>
      </c>
      <c r="D52" s="4" t="s">
        <v>55</v>
      </c>
      <c r="E52" s="5">
        <v>111421</v>
      </c>
      <c r="F52" s="6">
        <v>281.95084050000003</v>
      </c>
      <c r="G52" s="7">
        <v>1.0144808999999999E-2</v>
      </c>
      <c r="H52" s="67"/>
    </row>
    <row r="53" spans="1:8" x14ac:dyDescent="0.2">
      <c r="A53" s="3">
        <v>47</v>
      </c>
      <c r="B53" s="4" t="s">
        <v>227</v>
      </c>
      <c r="C53" s="4" t="s">
        <v>228</v>
      </c>
      <c r="D53" s="4" t="s">
        <v>229</v>
      </c>
      <c r="E53" s="5">
        <v>58883</v>
      </c>
      <c r="F53" s="6">
        <v>281.81403799999998</v>
      </c>
      <c r="G53" s="7">
        <v>1.0139887E-2</v>
      </c>
      <c r="H53" s="67"/>
    </row>
    <row r="54" spans="1:8" x14ac:dyDescent="0.2">
      <c r="A54" s="3">
        <v>48</v>
      </c>
      <c r="B54" s="4" t="s">
        <v>234</v>
      </c>
      <c r="C54" s="4" t="s">
        <v>235</v>
      </c>
      <c r="D54" s="4" t="s">
        <v>187</v>
      </c>
      <c r="E54" s="5">
        <v>16433</v>
      </c>
      <c r="F54" s="6">
        <v>279.79647449999999</v>
      </c>
      <c r="G54" s="7">
        <v>1.0067293999999999E-2</v>
      </c>
      <c r="H54" s="67"/>
    </row>
    <row r="55" spans="1:8" ht="25.5" x14ac:dyDescent="0.2">
      <c r="A55" s="3">
        <v>49</v>
      </c>
      <c r="B55" s="4" t="s">
        <v>230</v>
      </c>
      <c r="C55" s="4" t="s">
        <v>231</v>
      </c>
      <c r="D55" s="4" t="s">
        <v>52</v>
      </c>
      <c r="E55" s="5">
        <v>68454</v>
      </c>
      <c r="F55" s="6">
        <v>275.76693899999998</v>
      </c>
      <c r="G55" s="7">
        <v>9.9223079999999995E-3</v>
      </c>
      <c r="H55" s="67"/>
    </row>
    <row r="56" spans="1:8" ht="25.5" x14ac:dyDescent="0.2">
      <c r="A56" s="3">
        <v>50</v>
      </c>
      <c r="B56" s="4" t="s">
        <v>238</v>
      </c>
      <c r="C56" s="4" t="s">
        <v>239</v>
      </c>
      <c r="D56" s="4" t="s">
        <v>1006</v>
      </c>
      <c r="E56" s="5">
        <v>265375</v>
      </c>
      <c r="F56" s="6">
        <v>272.80549999999999</v>
      </c>
      <c r="G56" s="7">
        <v>9.815753E-3</v>
      </c>
      <c r="H56" s="67"/>
    </row>
    <row r="57" spans="1:8" x14ac:dyDescent="0.2">
      <c r="A57" s="3">
        <v>51</v>
      </c>
      <c r="B57" s="4" t="s">
        <v>245</v>
      </c>
      <c r="C57" s="4" t="s">
        <v>246</v>
      </c>
      <c r="D57" s="4" t="s">
        <v>81</v>
      </c>
      <c r="E57" s="5">
        <v>539678</v>
      </c>
      <c r="F57" s="6">
        <v>271.18819500000001</v>
      </c>
      <c r="G57" s="7">
        <v>9.7575609999999997E-3</v>
      </c>
      <c r="H57" s="67"/>
    </row>
    <row r="58" spans="1:8" x14ac:dyDescent="0.2">
      <c r="A58" s="3">
        <v>52</v>
      </c>
      <c r="B58" s="4" t="s">
        <v>243</v>
      </c>
      <c r="C58" s="4" t="s">
        <v>244</v>
      </c>
      <c r="D58" s="4" t="s">
        <v>171</v>
      </c>
      <c r="E58" s="5">
        <v>73821</v>
      </c>
      <c r="F58" s="6">
        <v>267.60112500000002</v>
      </c>
      <c r="G58" s="7">
        <v>9.6284950000000008E-3</v>
      </c>
      <c r="H58" s="67"/>
    </row>
    <row r="59" spans="1:8" x14ac:dyDescent="0.2">
      <c r="A59" s="3">
        <v>53</v>
      </c>
      <c r="B59" s="4" t="s">
        <v>247</v>
      </c>
      <c r="C59" s="4" t="s">
        <v>248</v>
      </c>
      <c r="D59" s="4" t="s">
        <v>1001</v>
      </c>
      <c r="E59" s="5">
        <v>48094</v>
      </c>
      <c r="F59" s="6">
        <v>264.78151700000001</v>
      </c>
      <c r="G59" s="7">
        <v>9.5270440000000001E-3</v>
      </c>
      <c r="H59" s="67"/>
    </row>
    <row r="60" spans="1:8" ht="25.5" x14ac:dyDescent="0.2">
      <c r="A60" s="3">
        <v>54</v>
      </c>
      <c r="B60" s="4" t="s">
        <v>240</v>
      </c>
      <c r="C60" s="4" t="s">
        <v>241</v>
      </c>
      <c r="D60" s="4" t="s">
        <v>52</v>
      </c>
      <c r="E60" s="5">
        <v>65469</v>
      </c>
      <c r="F60" s="6">
        <v>264.33108750000002</v>
      </c>
      <c r="G60" s="7">
        <v>9.5108369999999994E-3</v>
      </c>
      <c r="H60" s="67"/>
    </row>
    <row r="61" spans="1:8" x14ac:dyDescent="0.2">
      <c r="A61" s="3">
        <v>55</v>
      </c>
      <c r="B61" s="4" t="s">
        <v>253</v>
      </c>
      <c r="C61" s="4" t="s">
        <v>254</v>
      </c>
      <c r="D61" s="4" t="s">
        <v>49</v>
      </c>
      <c r="E61" s="5">
        <v>22179</v>
      </c>
      <c r="F61" s="6">
        <v>233.76666</v>
      </c>
      <c r="G61" s="7">
        <v>8.4111050000000003E-3</v>
      </c>
      <c r="H61" s="67"/>
    </row>
    <row r="62" spans="1:8" x14ac:dyDescent="0.2">
      <c r="A62" s="3">
        <v>56</v>
      </c>
      <c r="B62" s="4" t="s">
        <v>255</v>
      </c>
      <c r="C62" s="4" t="s">
        <v>256</v>
      </c>
      <c r="D62" s="4" t="s">
        <v>331</v>
      </c>
      <c r="E62" s="5">
        <v>15493</v>
      </c>
      <c r="F62" s="6">
        <v>230.613305</v>
      </c>
      <c r="G62" s="7">
        <v>8.2976449999999993E-3</v>
      </c>
      <c r="H62" s="67"/>
    </row>
    <row r="63" spans="1:8" x14ac:dyDescent="0.2">
      <c r="A63" s="3">
        <v>57</v>
      </c>
      <c r="B63" s="4" t="s">
        <v>262</v>
      </c>
      <c r="C63" s="4" t="s">
        <v>263</v>
      </c>
      <c r="D63" s="4" t="s">
        <v>171</v>
      </c>
      <c r="E63" s="5">
        <v>33763</v>
      </c>
      <c r="F63" s="6">
        <v>228.81185099999999</v>
      </c>
      <c r="G63" s="7">
        <v>8.2328269999999999E-3</v>
      </c>
      <c r="H63" s="67"/>
    </row>
    <row r="64" spans="1:8" x14ac:dyDescent="0.2">
      <c r="A64" s="3">
        <v>58</v>
      </c>
      <c r="B64" s="4" t="s">
        <v>259</v>
      </c>
      <c r="C64" s="4" t="s">
        <v>260</v>
      </c>
      <c r="D64" s="4" t="s">
        <v>261</v>
      </c>
      <c r="E64" s="5">
        <v>30195</v>
      </c>
      <c r="F64" s="6">
        <v>223.8204375</v>
      </c>
      <c r="G64" s="7">
        <v>8.0532320000000004E-3</v>
      </c>
      <c r="H64" s="67"/>
    </row>
    <row r="65" spans="1:8" ht="25.5" x14ac:dyDescent="0.2">
      <c r="A65" s="3">
        <v>59</v>
      </c>
      <c r="B65" s="4" t="s">
        <v>217</v>
      </c>
      <c r="C65" s="4" t="s">
        <v>218</v>
      </c>
      <c r="D65" s="4" t="s">
        <v>55</v>
      </c>
      <c r="E65" s="5">
        <v>9707</v>
      </c>
      <c r="F65" s="6">
        <v>212.94731250000001</v>
      </c>
      <c r="G65" s="7">
        <v>7.662009E-3</v>
      </c>
      <c r="H65" s="67"/>
    </row>
    <row r="66" spans="1:8" x14ac:dyDescent="0.2">
      <c r="A66" s="3">
        <v>60</v>
      </c>
      <c r="B66" s="4" t="s">
        <v>257</v>
      </c>
      <c r="C66" s="4" t="s">
        <v>258</v>
      </c>
      <c r="D66" s="4" t="s">
        <v>1001</v>
      </c>
      <c r="E66" s="5">
        <v>169620</v>
      </c>
      <c r="F66" s="6">
        <v>212.19461999999999</v>
      </c>
      <c r="G66" s="7">
        <v>7.6349269999999997E-3</v>
      </c>
      <c r="H66" s="67"/>
    </row>
    <row r="67" spans="1:8" x14ac:dyDescent="0.2">
      <c r="A67" s="3">
        <v>61</v>
      </c>
      <c r="B67" s="4" t="s">
        <v>460</v>
      </c>
      <c r="C67" s="4" t="s">
        <v>461</v>
      </c>
      <c r="D67" s="4" t="s">
        <v>81</v>
      </c>
      <c r="E67" s="5">
        <v>30109</v>
      </c>
      <c r="F67" s="6">
        <v>211.41034350000001</v>
      </c>
      <c r="G67" s="7">
        <v>7.6067080000000002E-3</v>
      </c>
      <c r="H67" s="67"/>
    </row>
    <row r="68" spans="1:8" x14ac:dyDescent="0.2">
      <c r="A68" s="3">
        <v>62</v>
      </c>
      <c r="B68" s="4" t="s">
        <v>225</v>
      </c>
      <c r="C68" s="4" t="s">
        <v>226</v>
      </c>
      <c r="D68" s="4" t="s">
        <v>166</v>
      </c>
      <c r="E68" s="5">
        <v>14757</v>
      </c>
      <c r="F68" s="6">
        <v>210.685689</v>
      </c>
      <c r="G68" s="7">
        <v>7.5806340000000002E-3</v>
      </c>
      <c r="H68" s="67"/>
    </row>
    <row r="69" spans="1:8" x14ac:dyDescent="0.2">
      <c r="A69" s="3">
        <v>63</v>
      </c>
      <c r="B69" s="4" t="s">
        <v>277</v>
      </c>
      <c r="C69" s="4" t="s">
        <v>278</v>
      </c>
      <c r="D69" s="4" t="s">
        <v>187</v>
      </c>
      <c r="E69" s="5">
        <v>53264</v>
      </c>
      <c r="F69" s="6">
        <v>208.20897600000001</v>
      </c>
      <c r="G69" s="7">
        <v>7.4915199999999998E-3</v>
      </c>
      <c r="H69" s="67"/>
    </row>
    <row r="70" spans="1:8" x14ac:dyDescent="0.2">
      <c r="A70" s="3">
        <v>64</v>
      </c>
      <c r="B70" s="4" t="s">
        <v>268</v>
      </c>
      <c r="C70" s="4" t="s">
        <v>269</v>
      </c>
      <c r="D70" s="4" t="s">
        <v>24</v>
      </c>
      <c r="E70" s="5">
        <v>216684</v>
      </c>
      <c r="F70" s="6">
        <v>199.674306</v>
      </c>
      <c r="G70" s="7">
        <v>7.1844359999999998E-3</v>
      </c>
      <c r="H70" s="67"/>
    </row>
    <row r="71" spans="1:8" x14ac:dyDescent="0.2">
      <c r="A71" s="3">
        <v>65</v>
      </c>
      <c r="B71" s="4" t="s">
        <v>219</v>
      </c>
      <c r="C71" s="4" t="s">
        <v>220</v>
      </c>
      <c r="D71" s="4" t="s">
        <v>55</v>
      </c>
      <c r="E71" s="5">
        <v>23426</v>
      </c>
      <c r="F71" s="6">
        <v>198.816462</v>
      </c>
      <c r="G71" s="7">
        <v>7.1535699999999997E-3</v>
      </c>
      <c r="H71" s="67"/>
    </row>
    <row r="72" spans="1:8" x14ac:dyDescent="0.2">
      <c r="A72" s="3">
        <v>66</v>
      </c>
      <c r="B72" s="4" t="s">
        <v>462</v>
      </c>
      <c r="C72" s="4" t="s">
        <v>463</v>
      </c>
      <c r="D72" s="4" t="s">
        <v>1003</v>
      </c>
      <c r="E72" s="5">
        <v>199749</v>
      </c>
      <c r="F72" s="6">
        <v>186.66544049999999</v>
      </c>
      <c r="G72" s="7">
        <v>6.716367E-3</v>
      </c>
      <c r="H72" s="67"/>
    </row>
    <row r="73" spans="1:8" x14ac:dyDescent="0.2">
      <c r="A73" s="3">
        <v>67</v>
      </c>
      <c r="B73" s="4" t="s">
        <v>270</v>
      </c>
      <c r="C73" s="4" t="s">
        <v>271</v>
      </c>
      <c r="D73" s="4" t="s">
        <v>272</v>
      </c>
      <c r="E73" s="5">
        <v>81931</v>
      </c>
      <c r="F73" s="6">
        <v>186.1881975</v>
      </c>
      <c r="G73" s="7">
        <v>6.6991949999999998E-3</v>
      </c>
      <c r="H73" s="67"/>
    </row>
    <row r="74" spans="1:8" x14ac:dyDescent="0.2">
      <c r="A74" s="3">
        <v>68</v>
      </c>
      <c r="B74" s="4" t="s">
        <v>273</v>
      </c>
      <c r="C74" s="4" t="s">
        <v>274</v>
      </c>
      <c r="D74" s="4" t="s">
        <v>187</v>
      </c>
      <c r="E74" s="5">
        <v>3290</v>
      </c>
      <c r="F74" s="6">
        <v>178.95625999999999</v>
      </c>
      <c r="G74" s="7">
        <v>6.4389850000000004E-3</v>
      </c>
      <c r="H74" s="67"/>
    </row>
    <row r="75" spans="1:8" x14ac:dyDescent="0.2">
      <c r="A75" s="3">
        <v>69</v>
      </c>
      <c r="B75" s="4" t="s">
        <v>279</v>
      </c>
      <c r="C75" s="4" t="s">
        <v>280</v>
      </c>
      <c r="D75" s="4" t="s">
        <v>1003</v>
      </c>
      <c r="E75" s="5">
        <v>10084</v>
      </c>
      <c r="F75" s="6">
        <v>153.029742</v>
      </c>
      <c r="G75" s="7">
        <v>5.5061279999999999E-3</v>
      </c>
      <c r="H75" s="67"/>
    </row>
    <row r="76" spans="1:8" x14ac:dyDescent="0.2">
      <c r="A76" s="3">
        <v>70</v>
      </c>
      <c r="B76" s="4" t="s">
        <v>283</v>
      </c>
      <c r="C76" s="4" t="s">
        <v>284</v>
      </c>
      <c r="D76" s="4" t="s">
        <v>166</v>
      </c>
      <c r="E76" s="5">
        <v>31018</v>
      </c>
      <c r="F76" s="6">
        <v>140.52704900000001</v>
      </c>
      <c r="G76" s="7">
        <v>5.0562719999999997E-3</v>
      </c>
      <c r="H76" s="67"/>
    </row>
    <row r="77" spans="1:8" x14ac:dyDescent="0.2">
      <c r="A77" s="3">
        <v>71</v>
      </c>
      <c r="B77" s="4" t="s">
        <v>298</v>
      </c>
      <c r="C77" s="4" t="s">
        <v>299</v>
      </c>
      <c r="D77" s="4" t="s">
        <v>1001</v>
      </c>
      <c r="E77" s="5">
        <v>402399</v>
      </c>
      <c r="F77" s="6">
        <v>139.230054</v>
      </c>
      <c r="G77" s="7">
        <v>5.0096050000000003E-3</v>
      </c>
      <c r="H77" s="67"/>
    </row>
    <row r="78" spans="1:8" ht="25.5" x14ac:dyDescent="0.2">
      <c r="A78" s="3">
        <v>72</v>
      </c>
      <c r="B78" s="4" t="s">
        <v>251</v>
      </c>
      <c r="C78" s="4" t="s">
        <v>252</v>
      </c>
      <c r="D78" s="4" t="s">
        <v>992</v>
      </c>
      <c r="E78" s="5">
        <v>81583</v>
      </c>
      <c r="F78" s="6">
        <v>133.46978799999999</v>
      </c>
      <c r="G78" s="7">
        <v>4.8023459999999999E-3</v>
      </c>
      <c r="H78" s="67"/>
    </row>
    <row r="79" spans="1:8" x14ac:dyDescent="0.2">
      <c r="A79" s="3">
        <v>73</v>
      </c>
      <c r="B79" s="4" t="s">
        <v>285</v>
      </c>
      <c r="C79" s="4" t="s">
        <v>286</v>
      </c>
      <c r="D79" s="4" t="s">
        <v>153</v>
      </c>
      <c r="E79" s="5">
        <v>9638</v>
      </c>
      <c r="F79" s="6">
        <v>123.698911</v>
      </c>
      <c r="G79" s="7">
        <v>4.4507820000000003E-3</v>
      </c>
      <c r="H79" s="67"/>
    </row>
    <row r="80" spans="1:8" x14ac:dyDescent="0.2">
      <c r="A80" s="3">
        <v>74</v>
      </c>
      <c r="B80" s="4" t="s">
        <v>287</v>
      </c>
      <c r="C80" s="4" t="s">
        <v>288</v>
      </c>
      <c r="D80" s="4" t="s">
        <v>1001</v>
      </c>
      <c r="E80" s="5">
        <v>12634</v>
      </c>
      <c r="F80" s="6">
        <v>56.859316999999997</v>
      </c>
      <c r="G80" s="7">
        <v>2.045842E-3</v>
      </c>
      <c r="H80" s="67"/>
    </row>
    <row r="81" spans="1:8" ht="25.5" x14ac:dyDescent="0.2">
      <c r="A81" s="3">
        <v>75</v>
      </c>
      <c r="B81" s="4" t="s">
        <v>264</v>
      </c>
      <c r="C81" s="4" t="s">
        <v>265</v>
      </c>
      <c r="D81" s="4" t="s">
        <v>153</v>
      </c>
      <c r="E81" s="5">
        <v>12995</v>
      </c>
      <c r="F81" s="6">
        <v>43.22137</v>
      </c>
      <c r="G81" s="7">
        <v>1.555138E-3</v>
      </c>
      <c r="H81" s="67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9">
        <v>26643.5813585</v>
      </c>
      <c r="G82" s="10">
        <v>0.95865666100000002</v>
      </c>
      <c r="H82" s="67"/>
    </row>
    <row r="83" spans="1:8" x14ac:dyDescent="0.2">
      <c r="A83" s="1"/>
      <c r="B83" s="1"/>
      <c r="C83" s="11"/>
      <c r="D83" s="1"/>
      <c r="E83" s="1"/>
      <c r="F83" s="12"/>
      <c r="G83" s="12"/>
      <c r="H83" s="67"/>
    </row>
    <row r="84" spans="1:8" x14ac:dyDescent="0.2">
      <c r="A84" s="1"/>
      <c r="B84" s="1"/>
      <c r="C84" s="2" t="s">
        <v>107</v>
      </c>
      <c r="D84" s="1"/>
      <c r="E84" s="1"/>
      <c r="F84" s="1"/>
      <c r="G84" s="1"/>
      <c r="H84" s="67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7"/>
    </row>
    <row r="86" spans="1:8" x14ac:dyDescent="0.2">
      <c r="A86" s="1"/>
      <c r="B86" s="1"/>
      <c r="C86" s="11"/>
      <c r="D86" s="1"/>
      <c r="E86" s="1"/>
      <c r="F86" s="12"/>
      <c r="G86" s="12"/>
      <c r="H86" s="67"/>
    </row>
    <row r="87" spans="1:8" x14ac:dyDescent="0.2">
      <c r="A87" s="1"/>
      <c r="B87" s="1"/>
      <c r="C87" s="2" t="s">
        <v>108</v>
      </c>
      <c r="D87" s="1"/>
      <c r="E87" s="1"/>
      <c r="F87" s="1"/>
      <c r="G87" s="1"/>
      <c r="H87" s="67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">
        <v>0</v>
      </c>
      <c r="H88" s="67"/>
    </row>
    <row r="89" spans="1:8" x14ac:dyDescent="0.2">
      <c r="A89" s="1"/>
      <c r="B89" s="1"/>
      <c r="C89" s="11"/>
      <c r="D89" s="1"/>
      <c r="E89" s="1"/>
      <c r="F89" s="12"/>
      <c r="G89" s="12"/>
      <c r="H89" s="67"/>
    </row>
    <row r="90" spans="1:8" x14ac:dyDescent="0.2">
      <c r="A90" s="1"/>
      <c r="B90" s="1"/>
      <c r="C90" s="2" t="s">
        <v>109</v>
      </c>
      <c r="D90" s="1"/>
      <c r="E90" s="1"/>
      <c r="F90" s="1"/>
      <c r="G90" s="1"/>
      <c r="H90" s="67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">
        <v>0</v>
      </c>
      <c r="H91" s="67"/>
    </row>
    <row r="92" spans="1:8" x14ac:dyDescent="0.2">
      <c r="A92" s="1"/>
      <c r="B92" s="1"/>
      <c r="C92" s="11"/>
      <c r="D92" s="1"/>
      <c r="E92" s="1"/>
      <c r="F92" s="12"/>
      <c r="G92" s="12"/>
      <c r="H92" s="67"/>
    </row>
    <row r="93" spans="1:8" x14ac:dyDescent="0.2">
      <c r="A93" s="1"/>
      <c r="B93" s="1"/>
      <c r="C93" s="2" t="s">
        <v>110</v>
      </c>
      <c r="D93" s="1"/>
      <c r="E93" s="1"/>
      <c r="F93" s="12"/>
      <c r="G93" s="12"/>
      <c r="H93" s="67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">
        <v>0</v>
      </c>
      <c r="H94" s="67"/>
    </row>
    <row r="95" spans="1:8" x14ac:dyDescent="0.2">
      <c r="A95" s="1"/>
      <c r="B95" s="1"/>
      <c r="C95" s="11"/>
      <c r="D95" s="1"/>
      <c r="E95" s="1"/>
      <c r="F95" s="12"/>
      <c r="G95" s="12"/>
      <c r="H95" s="67"/>
    </row>
    <row r="96" spans="1:8" x14ac:dyDescent="0.2">
      <c r="A96" s="1"/>
      <c r="B96" s="1"/>
      <c r="C96" s="2" t="s">
        <v>111</v>
      </c>
      <c r="D96" s="1"/>
      <c r="E96" s="1"/>
      <c r="F96" s="12"/>
      <c r="G96" s="12"/>
      <c r="H96" s="67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">
        <v>0</v>
      </c>
      <c r="H97" s="67"/>
    </row>
    <row r="98" spans="1:8" x14ac:dyDescent="0.2">
      <c r="A98" s="1"/>
      <c r="B98" s="1"/>
      <c r="C98" s="11"/>
      <c r="D98" s="1"/>
      <c r="E98" s="1"/>
      <c r="F98" s="12"/>
      <c r="G98" s="12"/>
      <c r="H98" s="67"/>
    </row>
    <row r="99" spans="1:8" x14ac:dyDescent="0.2">
      <c r="A99" s="1"/>
      <c r="B99" s="1"/>
      <c r="C99" s="2" t="s">
        <v>112</v>
      </c>
      <c r="D99" s="1"/>
      <c r="E99" s="1"/>
      <c r="F99" s="9">
        <v>26643.5813585</v>
      </c>
      <c r="G99" s="10">
        <v>0.95865666100000002</v>
      </c>
      <c r="H99" s="67"/>
    </row>
    <row r="100" spans="1:8" x14ac:dyDescent="0.2">
      <c r="A100" s="1"/>
      <c r="B100" s="1"/>
      <c r="C100" s="11"/>
      <c r="D100" s="1"/>
      <c r="E100" s="1"/>
      <c r="F100" s="12"/>
      <c r="G100" s="12"/>
      <c r="H100" s="67"/>
    </row>
    <row r="101" spans="1:8" x14ac:dyDescent="0.2">
      <c r="A101" s="1"/>
      <c r="B101" s="1"/>
      <c r="C101" s="2" t="s">
        <v>113</v>
      </c>
      <c r="D101" s="1"/>
      <c r="E101" s="1"/>
      <c r="F101" s="12"/>
      <c r="G101" s="12"/>
      <c r="H101" s="67"/>
    </row>
    <row r="102" spans="1:8" ht="25.5" x14ac:dyDescent="0.2">
      <c r="A102" s="1"/>
      <c r="B102" s="1"/>
      <c r="C102" s="2" t="s">
        <v>10</v>
      </c>
      <c r="D102" s="1"/>
      <c r="E102" s="1"/>
      <c r="F102" s="12"/>
      <c r="G102" s="12"/>
      <c r="H102" s="67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">
        <v>0</v>
      </c>
      <c r="H103" s="67"/>
    </row>
    <row r="104" spans="1:8" x14ac:dyDescent="0.2">
      <c r="A104" s="1"/>
      <c r="B104" s="1"/>
      <c r="C104" s="11"/>
      <c r="D104" s="1"/>
      <c r="E104" s="1"/>
      <c r="F104" s="12"/>
      <c r="G104" s="12"/>
      <c r="H104" s="67"/>
    </row>
    <row r="105" spans="1:8" x14ac:dyDescent="0.2">
      <c r="A105" s="1"/>
      <c r="B105" s="1"/>
      <c r="C105" s="2" t="s">
        <v>114</v>
      </c>
      <c r="D105" s="1"/>
      <c r="E105" s="1"/>
      <c r="F105" s="1"/>
      <c r="G105" s="1"/>
      <c r="H105" s="67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">
        <v>0</v>
      </c>
      <c r="H106" s="67"/>
    </row>
    <row r="107" spans="1:8" x14ac:dyDescent="0.2">
      <c r="A107" s="1"/>
      <c r="B107" s="1"/>
      <c r="C107" s="11"/>
      <c r="D107" s="1"/>
      <c r="E107" s="1"/>
      <c r="F107" s="12"/>
      <c r="G107" s="12"/>
      <c r="H107" s="67"/>
    </row>
    <row r="108" spans="1:8" x14ac:dyDescent="0.2">
      <c r="A108" s="1"/>
      <c r="B108" s="1"/>
      <c r="C108" s="2" t="s">
        <v>115</v>
      </c>
      <c r="D108" s="1"/>
      <c r="E108" s="1"/>
      <c r="F108" s="1"/>
      <c r="G108" s="1"/>
      <c r="H108" s="67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">
        <v>0</v>
      </c>
      <c r="H109" s="67"/>
    </row>
    <row r="110" spans="1:8" x14ac:dyDescent="0.2">
      <c r="A110" s="1"/>
      <c r="B110" s="1"/>
      <c r="C110" s="11"/>
      <c r="D110" s="1"/>
      <c r="E110" s="1"/>
      <c r="F110" s="12"/>
      <c r="G110" s="12"/>
      <c r="H110" s="67"/>
    </row>
    <row r="111" spans="1:8" x14ac:dyDescent="0.2">
      <c r="A111" s="1"/>
      <c r="B111" s="1"/>
      <c r="C111" s="2" t="s">
        <v>116</v>
      </c>
      <c r="D111" s="1"/>
      <c r="E111" s="1"/>
      <c r="F111" s="12"/>
      <c r="G111" s="12"/>
      <c r="H111" s="67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">
        <v>0</v>
      </c>
      <c r="H112" s="67"/>
    </row>
    <row r="113" spans="1:8" x14ac:dyDescent="0.2">
      <c r="A113" s="1"/>
      <c r="B113" s="1"/>
      <c r="C113" s="11"/>
      <c r="D113" s="1"/>
      <c r="E113" s="1"/>
      <c r="F113" s="12"/>
      <c r="G113" s="12"/>
      <c r="H113" s="67"/>
    </row>
    <row r="114" spans="1:8" x14ac:dyDescent="0.2">
      <c r="A114" s="1"/>
      <c r="B114" s="1"/>
      <c r="C114" s="2" t="s">
        <v>117</v>
      </c>
      <c r="D114" s="1"/>
      <c r="E114" s="1"/>
      <c r="F114" s="9">
        <v>0</v>
      </c>
      <c r="G114" s="10">
        <v>0</v>
      </c>
      <c r="H114" s="67"/>
    </row>
    <row r="115" spans="1:8" x14ac:dyDescent="0.2">
      <c r="A115" s="1"/>
      <c r="B115" s="1"/>
      <c r="C115" s="11"/>
      <c r="D115" s="1"/>
      <c r="E115" s="1"/>
      <c r="F115" s="12"/>
      <c r="G115" s="12"/>
      <c r="H115" s="67"/>
    </row>
    <row r="116" spans="1:8" x14ac:dyDescent="0.2">
      <c r="A116" s="1"/>
      <c r="B116" s="1"/>
      <c r="C116" s="2" t="s">
        <v>118</v>
      </c>
      <c r="D116" s="1"/>
      <c r="E116" s="1"/>
      <c r="F116" s="12"/>
      <c r="G116" s="12"/>
      <c r="H116" s="67"/>
    </row>
    <row r="117" spans="1:8" x14ac:dyDescent="0.2">
      <c r="A117" s="1"/>
      <c r="B117" s="1"/>
      <c r="C117" s="2" t="s">
        <v>119</v>
      </c>
      <c r="D117" s="1"/>
      <c r="E117" s="1"/>
      <c r="F117" s="12"/>
      <c r="G117" s="12"/>
      <c r="H117" s="67"/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">
        <v>0</v>
      </c>
      <c r="H118" s="67"/>
    </row>
    <row r="119" spans="1:8" x14ac:dyDescent="0.2">
      <c r="A119" s="1"/>
      <c r="B119" s="1"/>
      <c r="C119" s="11"/>
      <c r="D119" s="1"/>
      <c r="E119" s="1"/>
      <c r="F119" s="12"/>
      <c r="G119" s="12"/>
      <c r="H119" s="67"/>
    </row>
    <row r="120" spans="1:8" x14ac:dyDescent="0.2">
      <c r="A120" s="1"/>
      <c r="B120" s="1"/>
      <c r="C120" s="2" t="s">
        <v>120</v>
      </c>
      <c r="D120" s="1"/>
      <c r="E120" s="1"/>
      <c r="F120" s="12"/>
      <c r="G120" s="12"/>
      <c r="H120" s="67"/>
    </row>
    <row r="121" spans="1:8" x14ac:dyDescent="0.2">
      <c r="A121" s="1"/>
      <c r="B121" s="1"/>
      <c r="C121" s="2" t="s">
        <v>105</v>
      </c>
      <c r="D121" s="1"/>
      <c r="E121" s="1" t="s">
        <v>106</v>
      </c>
      <c r="F121" s="13">
        <v>0</v>
      </c>
      <c r="G121" s="14">
        <v>0</v>
      </c>
      <c r="H121" s="67"/>
    </row>
    <row r="122" spans="1:8" x14ac:dyDescent="0.2">
      <c r="A122" s="1"/>
      <c r="B122" s="1"/>
      <c r="C122" s="11"/>
      <c r="D122" s="1"/>
      <c r="E122" s="1"/>
      <c r="F122" s="12"/>
      <c r="G122" s="12"/>
      <c r="H122" s="67"/>
    </row>
    <row r="123" spans="1:8" x14ac:dyDescent="0.2">
      <c r="A123" s="1"/>
      <c r="B123" s="1"/>
      <c r="C123" s="2" t="s">
        <v>121</v>
      </c>
      <c r="D123" s="1"/>
      <c r="E123" s="1"/>
      <c r="F123" s="12"/>
      <c r="G123" s="12"/>
      <c r="H123" s="67"/>
    </row>
    <row r="124" spans="1:8" x14ac:dyDescent="0.2">
      <c r="A124" s="1"/>
      <c r="B124" s="1"/>
      <c r="C124" s="2" t="s">
        <v>105</v>
      </c>
      <c r="D124" s="1"/>
      <c r="E124" s="1" t="s">
        <v>106</v>
      </c>
      <c r="F124" s="13">
        <v>0</v>
      </c>
      <c r="G124" s="14">
        <v>0</v>
      </c>
      <c r="H124" s="67"/>
    </row>
    <row r="125" spans="1:8" x14ac:dyDescent="0.2">
      <c r="A125" s="1"/>
      <c r="B125" s="1"/>
      <c r="C125" s="11"/>
      <c r="D125" s="1"/>
      <c r="E125" s="1"/>
      <c r="F125" s="12"/>
      <c r="G125" s="12"/>
      <c r="H125" s="67"/>
    </row>
    <row r="126" spans="1:8" x14ac:dyDescent="0.2">
      <c r="A126" s="1"/>
      <c r="B126" s="1"/>
      <c r="C126" s="2" t="s">
        <v>122</v>
      </c>
      <c r="D126" s="1"/>
      <c r="E126" s="1"/>
      <c r="F126" s="12"/>
      <c r="G126" s="12"/>
      <c r="H126" s="67"/>
    </row>
    <row r="127" spans="1:8" x14ac:dyDescent="0.2">
      <c r="A127" s="3">
        <v>1</v>
      </c>
      <c r="B127" s="4"/>
      <c r="C127" s="4" t="s">
        <v>123</v>
      </c>
      <c r="D127" s="4"/>
      <c r="E127" s="8"/>
      <c r="F127" s="6">
        <v>1151.7966266000001</v>
      </c>
      <c r="G127" s="7">
        <v>4.1442532999999997E-2</v>
      </c>
      <c r="H127" s="67">
        <v>3.1047477660654299</v>
      </c>
    </row>
    <row r="128" spans="1:8" x14ac:dyDescent="0.2">
      <c r="A128" s="1"/>
      <c r="B128" s="1"/>
      <c r="C128" s="2" t="s">
        <v>105</v>
      </c>
      <c r="D128" s="1"/>
      <c r="E128" s="1" t="s">
        <v>106</v>
      </c>
      <c r="F128" s="9">
        <v>1151.7966266000001</v>
      </c>
      <c r="G128" s="10">
        <v>4.1442532999999997E-2</v>
      </c>
      <c r="H128" s="67"/>
    </row>
    <row r="129" spans="1:8" x14ac:dyDescent="0.2">
      <c r="A129" s="1"/>
      <c r="B129" s="1"/>
      <c r="C129" s="11"/>
      <c r="D129" s="1"/>
      <c r="E129" s="1"/>
      <c r="F129" s="12"/>
      <c r="G129" s="12"/>
      <c r="H129" s="67"/>
    </row>
    <row r="130" spans="1:8" x14ac:dyDescent="0.2">
      <c r="A130" s="1"/>
      <c r="B130" s="1"/>
      <c r="C130" s="2" t="s">
        <v>124</v>
      </c>
      <c r="D130" s="1"/>
      <c r="E130" s="1"/>
      <c r="F130" s="9">
        <v>1151.7966266000001</v>
      </c>
      <c r="G130" s="10">
        <v>4.1442532999999997E-2</v>
      </c>
      <c r="H130" s="67"/>
    </row>
    <row r="131" spans="1:8" x14ac:dyDescent="0.2">
      <c r="A131" s="1"/>
      <c r="B131" s="1"/>
      <c r="C131" s="12"/>
      <c r="D131" s="1"/>
      <c r="E131" s="1"/>
      <c r="F131" s="1"/>
      <c r="G131" s="1"/>
      <c r="H131" s="67"/>
    </row>
    <row r="132" spans="1:8" x14ac:dyDescent="0.2">
      <c r="A132" s="1"/>
      <c r="B132" s="1"/>
      <c r="C132" s="2" t="s">
        <v>125</v>
      </c>
      <c r="D132" s="1"/>
      <c r="E132" s="1"/>
      <c r="F132" s="1"/>
      <c r="G132" s="1"/>
      <c r="H132" s="67"/>
    </row>
    <row r="133" spans="1:8" x14ac:dyDescent="0.2">
      <c r="A133" s="1"/>
      <c r="B133" s="1"/>
      <c r="C133" s="2" t="s">
        <v>126</v>
      </c>
      <c r="D133" s="1"/>
      <c r="E133" s="1"/>
      <c r="F133" s="1"/>
      <c r="G133" s="1"/>
      <c r="H133" s="67"/>
    </row>
    <row r="134" spans="1:8" x14ac:dyDescent="0.2">
      <c r="A134" s="1"/>
      <c r="B134" s="1"/>
      <c r="C134" s="2" t="s">
        <v>105</v>
      </c>
      <c r="D134" s="1"/>
      <c r="E134" s="1" t="s">
        <v>106</v>
      </c>
      <c r="F134" s="13">
        <v>0</v>
      </c>
      <c r="G134" s="14">
        <v>0</v>
      </c>
      <c r="H134" s="67"/>
    </row>
    <row r="135" spans="1:8" x14ac:dyDescent="0.2">
      <c r="A135" s="1"/>
      <c r="B135" s="1"/>
      <c r="C135" s="11"/>
      <c r="D135" s="1"/>
      <c r="E135" s="1"/>
      <c r="F135" s="12"/>
      <c r="G135" s="12"/>
      <c r="H135" s="67"/>
    </row>
    <row r="136" spans="1:8" x14ac:dyDescent="0.2">
      <c r="A136" s="1"/>
      <c r="B136" s="1"/>
      <c r="C136" s="2" t="s">
        <v>127</v>
      </c>
      <c r="D136" s="1"/>
      <c r="E136" s="1"/>
      <c r="F136" s="1"/>
      <c r="G136" s="1"/>
      <c r="H136" s="67"/>
    </row>
    <row r="137" spans="1:8" x14ac:dyDescent="0.2">
      <c r="A137" s="1"/>
      <c r="B137" s="1"/>
      <c r="C137" s="2" t="s">
        <v>128</v>
      </c>
      <c r="D137" s="1"/>
      <c r="E137" s="1"/>
      <c r="F137" s="1"/>
      <c r="G137" s="1"/>
      <c r="H137" s="67"/>
    </row>
    <row r="138" spans="1:8" x14ac:dyDescent="0.2">
      <c r="A138" s="1"/>
      <c r="B138" s="1"/>
      <c r="C138" s="2" t="s">
        <v>105</v>
      </c>
      <c r="D138" s="1"/>
      <c r="E138" s="1" t="s">
        <v>106</v>
      </c>
      <c r="F138" s="13">
        <v>0</v>
      </c>
      <c r="G138" s="14">
        <v>0</v>
      </c>
      <c r="H138" s="67"/>
    </row>
    <row r="139" spans="1:8" x14ac:dyDescent="0.2">
      <c r="A139" s="1"/>
      <c r="B139" s="1"/>
      <c r="C139" s="11"/>
      <c r="D139" s="1"/>
      <c r="E139" s="1"/>
      <c r="F139" s="12"/>
      <c r="G139" s="12"/>
      <c r="H139" s="67"/>
    </row>
    <row r="140" spans="1:8" x14ac:dyDescent="0.2">
      <c r="A140" s="1"/>
      <c r="B140" s="1"/>
      <c r="C140" s="11"/>
      <c r="D140" s="1"/>
      <c r="E140" s="1"/>
      <c r="F140" s="12"/>
      <c r="G140" s="12"/>
      <c r="H140" s="67"/>
    </row>
    <row r="141" spans="1:8" ht="25.5" x14ac:dyDescent="0.2">
      <c r="A141" s="1"/>
      <c r="B141" s="1"/>
      <c r="C141" s="2" t="s">
        <v>129</v>
      </c>
      <c r="D141" s="1"/>
      <c r="E141" s="1"/>
      <c r="F141" s="12"/>
      <c r="G141" s="12"/>
      <c r="H141" s="67"/>
    </row>
    <row r="142" spans="1:8" x14ac:dyDescent="0.2">
      <c r="A142" s="1"/>
      <c r="B142" s="1"/>
      <c r="C142" s="2" t="s">
        <v>105</v>
      </c>
      <c r="D142" s="1"/>
      <c r="E142" s="1" t="s">
        <v>106</v>
      </c>
      <c r="F142" s="13">
        <v>0</v>
      </c>
      <c r="G142" s="14">
        <v>0</v>
      </c>
      <c r="H142" s="67"/>
    </row>
    <row r="143" spans="1:8" x14ac:dyDescent="0.2">
      <c r="A143" s="1"/>
      <c r="B143" s="1"/>
      <c r="C143" s="11"/>
      <c r="D143" s="1"/>
      <c r="E143" s="1"/>
      <c r="F143" s="12"/>
      <c r="G143" s="12"/>
      <c r="H143" s="67"/>
    </row>
    <row r="144" spans="1:8" x14ac:dyDescent="0.2">
      <c r="A144" s="1"/>
      <c r="B144" s="4"/>
      <c r="C144" s="4"/>
      <c r="D144" s="2"/>
      <c r="E144" s="1"/>
      <c r="F144" s="4"/>
      <c r="G144" s="8"/>
      <c r="H144" s="67"/>
    </row>
    <row r="145" spans="1:8" x14ac:dyDescent="0.2">
      <c r="A145" s="8"/>
      <c r="B145" s="4"/>
      <c r="C145" s="4" t="s">
        <v>130</v>
      </c>
      <c r="D145" s="4"/>
      <c r="E145" s="8"/>
      <c r="F145" s="6">
        <v>-2.7569838999999998</v>
      </c>
      <c r="G145" s="7">
        <v>-9.9197999999999995E-5</v>
      </c>
      <c r="H145" s="67"/>
    </row>
    <row r="146" spans="1:8" x14ac:dyDescent="0.2">
      <c r="A146" s="11"/>
      <c r="B146" s="11"/>
      <c r="C146" s="2" t="s">
        <v>131</v>
      </c>
      <c r="D146" s="15"/>
      <c r="E146" s="15"/>
      <c r="F146" s="9">
        <v>27792.621001200001</v>
      </c>
      <c r="G146" s="10">
        <v>0.999999996</v>
      </c>
      <c r="H146" s="67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170" t="s">
        <v>106</v>
      </c>
      <c r="C148" s="170"/>
      <c r="D148" s="170"/>
      <c r="E148" s="170"/>
      <c r="F148" s="170"/>
      <c r="G148" s="20"/>
    </row>
    <row r="149" spans="1:8" ht="14.1" customHeight="1" x14ac:dyDescent="0.2">
      <c r="A149" s="18"/>
      <c r="B149" s="170" t="s">
        <v>106</v>
      </c>
      <c r="C149" s="170"/>
      <c r="D149" s="170"/>
      <c r="E149" s="170"/>
      <c r="F149" s="170"/>
      <c r="G149" s="20"/>
    </row>
    <row r="150" spans="1:8" ht="14.1" customHeight="1" x14ac:dyDescent="0.2">
      <c r="A150" s="18"/>
      <c r="B150" s="18"/>
      <c r="C150" s="18"/>
      <c r="D150" s="20"/>
      <c r="E150" s="20"/>
      <c r="F150" s="20"/>
      <c r="G150" s="20"/>
    </row>
    <row r="151" spans="1:8" ht="14.1" customHeight="1" x14ac:dyDescent="0.2">
      <c r="A151" s="18"/>
      <c r="B151" s="168" t="s">
        <v>133</v>
      </c>
      <c r="C151" s="169"/>
      <c r="D151" s="12" t="s">
        <v>106</v>
      </c>
      <c r="E151" s="21"/>
      <c r="F151" s="20"/>
      <c r="G151" s="20"/>
    </row>
    <row r="152" spans="1:8" ht="29.1" customHeight="1" x14ac:dyDescent="0.2">
      <c r="A152" s="18"/>
      <c r="B152" s="165" t="s">
        <v>134</v>
      </c>
      <c r="C152" s="166"/>
      <c r="D152" s="2" t="s">
        <v>135</v>
      </c>
      <c r="E152" s="21"/>
      <c r="F152" s="20"/>
      <c r="G152" s="20"/>
    </row>
    <row r="153" spans="1:8" ht="17.100000000000001" customHeight="1" x14ac:dyDescent="0.2">
      <c r="A153" s="18"/>
      <c r="B153" s="165" t="s">
        <v>136</v>
      </c>
      <c r="C153" s="166"/>
      <c r="D153" s="2" t="s">
        <v>135</v>
      </c>
      <c r="E153" s="21"/>
      <c r="F153" s="20"/>
      <c r="G153" s="20"/>
    </row>
    <row r="154" spans="1:8" ht="17.100000000000001" customHeight="1" x14ac:dyDescent="0.2">
      <c r="A154" s="18"/>
      <c r="B154" s="165" t="s">
        <v>137</v>
      </c>
      <c r="C154" s="166"/>
      <c r="D154" s="12" t="s">
        <v>106</v>
      </c>
      <c r="E154" s="21"/>
      <c r="F154" s="20"/>
      <c r="G154" s="20"/>
    </row>
    <row r="155" spans="1:8" ht="24" customHeight="1" x14ac:dyDescent="0.2">
      <c r="A155" s="22"/>
      <c r="B155" s="23" t="s">
        <v>106</v>
      </c>
      <c r="C155" s="23" t="s">
        <v>138</v>
      </c>
      <c r="D155" s="23" t="s">
        <v>139</v>
      </c>
      <c r="E155" s="22"/>
      <c r="F155" s="22"/>
      <c r="G155" s="22"/>
    </row>
    <row r="156" spans="1:8" ht="18" customHeight="1" x14ac:dyDescent="0.2">
      <c r="A156" s="22"/>
      <c r="B156" s="23" t="s">
        <v>140</v>
      </c>
      <c r="C156" s="23" t="s">
        <v>141</v>
      </c>
      <c r="D156" s="23" t="s">
        <v>142</v>
      </c>
      <c r="E156" s="22"/>
      <c r="F156" s="22"/>
      <c r="G156" s="22"/>
    </row>
    <row r="157" spans="1:8" ht="17.100000000000001" customHeight="1" x14ac:dyDescent="0.2">
      <c r="A157" s="22"/>
      <c r="B157" s="4" t="s">
        <v>143</v>
      </c>
      <c r="C157" s="24">
        <v>14.6463</v>
      </c>
      <c r="D157" s="24">
        <v>14.681800000000001</v>
      </c>
      <c r="E157" s="22"/>
      <c r="F157" s="19"/>
      <c r="G157" s="25"/>
    </row>
    <row r="158" spans="1:8" ht="17.100000000000001" customHeight="1" x14ac:dyDescent="0.2">
      <c r="A158" s="22"/>
      <c r="B158" s="4" t="s">
        <v>988</v>
      </c>
      <c r="C158" s="24">
        <v>14.6462</v>
      </c>
      <c r="D158" s="24">
        <v>14.681800000000001</v>
      </c>
      <c r="E158" s="22"/>
      <c r="F158" s="19"/>
      <c r="G158" s="25"/>
    </row>
    <row r="159" spans="1:8" ht="17.100000000000001" customHeight="1" x14ac:dyDescent="0.2">
      <c r="A159" s="22"/>
      <c r="B159" s="4" t="s">
        <v>144</v>
      </c>
      <c r="C159" s="24">
        <v>14.1586</v>
      </c>
      <c r="D159" s="24">
        <v>14.1836</v>
      </c>
      <c r="E159" s="22"/>
      <c r="F159" s="19"/>
      <c r="G159" s="25"/>
    </row>
    <row r="160" spans="1:8" ht="17.100000000000001" customHeight="1" x14ac:dyDescent="0.2">
      <c r="A160" s="22"/>
      <c r="B160" s="4" t="s">
        <v>989</v>
      </c>
      <c r="C160" s="24">
        <v>14.1586</v>
      </c>
      <c r="D160" s="24">
        <v>14.1836</v>
      </c>
      <c r="E160" s="22"/>
      <c r="F160" s="19"/>
      <c r="G160" s="25"/>
    </row>
    <row r="161" spans="1:7" ht="14.1" customHeight="1" x14ac:dyDescent="0.2">
      <c r="A161" s="22"/>
      <c r="B161" s="22"/>
      <c r="C161" s="22"/>
      <c r="D161" s="22"/>
      <c r="E161" s="22"/>
      <c r="F161" s="22"/>
      <c r="G161" s="22"/>
    </row>
    <row r="162" spans="1:7" ht="17.100000000000001" customHeight="1" x14ac:dyDescent="0.2">
      <c r="A162" s="22"/>
      <c r="B162" s="165" t="s">
        <v>990</v>
      </c>
      <c r="C162" s="166"/>
      <c r="D162" s="2" t="s">
        <v>135</v>
      </c>
      <c r="E162" s="22"/>
      <c r="F162" s="22"/>
      <c r="G162" s="22"/>
    </row>
    <row r="163" spans="1:7" ht="18" customHeight="1" x14ac:dyDescent="0.2">
      <c r="A163" s="22"/>
      <c r="B163" s="26" t="s">
        <v>145</v>
      </c>
      <c r="C163" s="26" t="s">
        <v>145</v>
      </c>
      <c r="D163" s="26"/>
      <c r="E163" s="22"/>
      <c r="F163" s="22"/>
      <c r="G163" s="22"/>
    </row>
    <row r="164" spans="1:7" s="158" customFormat="1" x14ac:dyDescent="0.2">
      <c r="B164" s="167" t="s">
        <v>822</v>
      </c>
      <c r="C164" s="167"/>
      <c r="D164" s="167"/>
      <c r="E164" s="167"/>
      <c r="F164" s="167"/>
    </row>
    <row r="165" spans="1:7" ht="14.1" customHeight="1" x14ac:dyDescent="0.2">
      <c r="A165" s="22"/>
      <c r="B165" s="19"/>
      <c r="C165" s="19"/>
      <c r="D165" s="22"/>
      <c r="E165" s="22"/>
      <c r="F165" s="22"/>
      <c r="G165" s="22"/>
    </row>
    <row r="166" spans="1:7" ht="29.1" customHeight="1" x14ac:dyDescent="0.2">
      <c r="A166" s="22"/>
      <c r="B166" s="165" t="s">
        <v>146</v>
      </c>
      <c r="C166" s="166"/>
      <c r="D166" s="2" t="s">
        <v>135</v>
      </c>
      <c r="E166" s="22"/>
      <c r="F166" s="22"/>
      <c r="G166" s="22"/>
    </row>
    <row r="167" spans="1:7" ht="29.1" customHeight="1" x14ac:dyDescent="0.2">
      <c r="A167" s="22"/>
      <c r="B167" s="165" t="s">
        <v>147</v>
      </c>
      <c r="C167" s="166"/>
      <c r="D167" s="2" t="s">
        <v>135</v>
      </c>
      <c r="E167" s="22"/>
      <c r="F167" s="22"/>
      <c r="G167" s="22"/>
    </row>
    <row r="168" spans="1:7" ht="17.100000000000001" customHeight="1" x14ac:dyDescent="0.2">
      <c r="A168" s="22"/>
      <c r="B168" s="165" t="s">
        <v>148</v>
      </c>
      <c r="C168" s="166"/>
      <c r="D168" s="27">
        <v>0.42439727433889635</v>
      </c>
      <c r="E168" s="22"/>
      <c r="F168" s="19"/>
      <c r="G168" s="25"/>
    </row>
    <row r="169" spans="1:7" ht="17.100000000000001" customHeight="1" x14ac:dyDescent="0.2">
      <c r="A169" s="22"/>
      <c r="B169" s="165" t="s">
        <v>149</v>
      </c>
      <c r="C169" s="166"/>
      <c r="D169" s="2" t="s">
        <v>135</v>
      </c>
      <c r="E169" s="22"/>
      <c r="F169" s="22"/>
      <c r="G169" s="22"/>
    </row>
  </sheetData>
  <mergeCells count="15">
    <mergeCell ref="B151:C151"/>
    <mergeCell ref="B148:F148"/>
    <mergeCell ref="B149:F149"/>
    <mergeCell ref="A1:H1"/>
    <mergeCell ref="A2:H2"/>
    <mergeCell ref="A3:H3"/>
    <mergeCell ref="B168:C168"/>
    <mergeCell ref="B169:C169"/>
    <mergeCell ref="B152:C152"/>
    <mergeCell ref="B153:C153"/>
    <mergeCell ref="B154:C154"/>
    <mergeCell ref="B162:C162"/>
    <mergeCell ref="B166:C166"/>
    <mergeCell ref="B167:C167"/>
    <mergeCell ref="B164:F164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6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465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151</v>
      </c>
      <c r="C7" s="4" t="s">
        <v>152</v>
      </c>
      <c r="D7" s="4" t="s">
        <v>153</v>
      </c>
      <c r="E7" s="5">
        <v>21251</v>
      </c>
      <c r="F7" s="6">
        <v>855.90527599999996</v>
      </c>
      <c r="G7" s="7">
        <v>3.4363808000000003E-2</v>
      </c>
      <c r="H7" s="67"/>
    </row>
    <row r="8" spans="1:8" x14ac:dyDescent="0.2">
      <c r="A8" s="3">
        <v>2</v>
      </c>
      <c r="B8" s="4" t="s">
        <v>25</v>
      </c>
      <c r="C8" s="4" t="s">
        <v>26</v>
      </c>
      <c r="D8" s="4" t="s">
        <v>27</v>
      </c>
      <c r="E8" s="5">
        <v>63030</v>
      </c>
      <c r="F8" s="6">
        <v>813.68578500000001</v>
      </c>
      <c r="G8" s="7">
        <v>3.2668733999999998E-2</v>
      </c>
      <c r="H8" s="67"/>
    </row>
    <row r="9" spans="1:8" x14ac:dyDescent="0.2">
      <c r="A9" s="3">
        <v>3</v>
      </c>
      <c r="B9" s="4" t="s">
        <v>154</v>
      </c>
      <c r="C9" s="4" t="s">
        <v>155</v>
      </c>
      <c r="D9" s="4" t="s">
        <v>81</v>
      </c>
      <c r="E9" s="5">
        <v>541813</v>
      </c>
      <c r="F9" s="6">
        <v>638.79752699999995</v>
      </c>
      <c r="G9" s="7">
        <v>2.5647132E-2</v>
      </c>
      <c r="H9" s="67"/>
    </row>
    <row r="10" spans="1:8" x14ac:dyDescent="0.2">
      <c r="A10" s="3">
        <v>4</v>
      </c>
      <c r="B10" s="4" t="s">
        <v>296</v>
      </c>
      <c r="C10" s="4" t="s">
        <v>297</v>
      </c>
      <c r="D10" s="4" t="s">
        <v>27</v>
      </c>
      <c r="E10" s="5">
        <v>87229</v>
      </c>
      <c r="F10" s="6">
        <v>594.0731045</v>
      </c>
      <c r="G10" s="7">
        <v>2.3851487000000001E-2</v>
      </c>
      <c r="H10" s="67"/>
    </row>
    <row r="11" spans="1:8" x14ac:dyDescent="0.2">
      <c r="A11" s="3">
        <v>5</v>
      </c>
      <c r="B11" s="4" t="s">
        <v>37</v>
      </c>
      <c r="C11" s="4" t="s">
        <v>38</v>
      </c>
      <c r="D11" s="4" t="s">
        <v>27</v>
      </c>
      <c r="E11" s="5">
        <v>48732</v>
      </c>
      <c r="F11" s="6">
        <v>580.37375399999996</v>
      </c>
      <c r="G11" s="7">
        <v>2.3301471000000001E-2</v>
      </c>
      <c r="H11" s="67"/>
    </row>
    <row r="12" spans="1:8" x14ac:dyDescent="0.2">
      <c r="A12" s="3">
        <v>6</v>
      </c>
      <c r="B12" s="4" t="s">
        <v>162</v>
      </c>
      <c r="C12" s="4" t="s">
        <v>163</v>
      </c>
      <c r="D12" s="4" t="s">
        <v>27</v>
      </c>
      <c r="E12" s="5">
        <v>73884</v>
      </c>
      <c r="F12" s="6">
        <v>564.80623800000001</v>
      </c>
      <c r="G12" s="7">
        <v>2.2676450000000001E-2</v>
      </c>
      <c r="H12" s="67"/>
    </row>
    <row r="13" spans="1:8" x14ac:dyDescent="0.2">
      <c r="A13" s="3">
        <v>7</v>
      </c>
      <c r="B13" s="4" t="s">
        <v>158</v>
      </c>
      <c r="C13" s="4" t="s">
        <v>159</v>
      </c>
      <c r="D13" s="4" t="s">
        <v>27</v>
      </c>
      <c r="E13" s="5">
        <v>73643</v>
      </c>
      <c r="F13" s="6">
        <v>561.23330299999998</v>
      </c>
      <c r="G13" s="7">
        <v>2.2533000000000001E-2</v>
      </c>
      <c r="H13" s="67"/>
    </row>
    <row r="14" spans="1:8" x14ac:dyDescent="0.2">
      <c r="A14" s="3">
        <v>8</v>
      </c>
      <c r="B14" s="4" t="s">
        <v>164</v>
      </c>
      <c r="C14" s="4" t="s">
        <v>165</v>
      </c>
      <c r="D14" s="4" t="s">
        <v>166</v>
      </c>
      <c r="E14" s="5">
        <v>166257</v>
      </c>
      <c r="F14" s="6">
        <v>559.953576</v>
      </c>
      <c r="G14" s="7">
        <v>2.2481620000000001E-2</v>
      </c>
      <c r="H14" s="67"/>
    </row>
    <row r="15" spans="1:8" x14ac:dyDescent="0.2">
      <c r="A15" s="3">
        <v>9</v>
      </c>
      <c r="B15" s="4" t="s">
        <v>448</v>
      </c>
      <c r="C15" s="4" t="s">
        <v>449</v>
      </c>
      <c r="D15" s="4" t="s">
        <v>55</v>
      </c>
      <c r="E15" s="5">
        <v>164997</v>
      </c>
      <c r="F15" s="6">
        <v>545.72757750000005</v>
      </c>
      <c r="G15" s="7">
        <v>2.1910459E-2</v>
      </c>
      <c r="H15" s="67"/>
    </row>
    <row r="16" spans="1:8" x14ac:dyDescent="0.2">
      <c r="A16" s="3">
        <v>10</v>
      </c>
      <c r="B16" s="4" t="s">
        <v>180</v>
      </c>
      <c r="C16" s="4" t="s">
        <v>181</v>
      </c>
      <c r="D16" s="4" t="s">
        <v>171</v>
      </c>
      <c r="E16" s="5">
        <v>39769</v>
      </c>
      <c r="F16" s="6">
        <v>542.70765849999998</v>
      </c>
      <c r="G16" s="7">
        <v>2.1789211999999999E-2</v>
      </c>
      <c r="H16" s="67"/>
    </row>
    <row r="17" spans="1:8" x14ac:dyDescent="0.2">
      <c r="A17" s="3">
        <v>11</v>
      </c>
      <c r="B17" s="4" t="s">
        <v>466</v>
      </c>
      <c r="C17" s="4" t="s">
        <v>467</v>
      </c>
      <c r="D17" s="4" t="s">
        <v>187</v>
      </c>
      <c r="E17" s="5">
        <v>84664</v>
      </c>
      <c r="F17" s="6">
        <v>534.907152</v>
      </c>
      <c r="G17" s="7">
        <v>2.1476029000000001E-2</v>
      </c>
      <c r="H17" s="67"/>
    </row>
    <row r="18" spans="1:8" ht="25.5" x14ac:dyDescent="0.2">
      <c r="A18" s="3">
        <v>12</v>
      </c>
      <c r="B18" s="4" t="s">
        <v>30</v>
      </c>
      <c r="C18" s="4" t="s">
        <v>998</v>
      </c>
      <c r="D18" s="4" t="s">
        <v>992</v>
      </c>
      <c r="E18" s="5">
        <v>14971</v>
      </c>
      <c r="F18" s="6">
        <v>489.76129400000002</v>
      </c>
      <c r="G18" s="7">
        <v>1.9663463999999999E-2</v>
      </c>
      <c r="H18" s="67"/>
    </row>
    <row r="19" spans="1:8" x14ac:dyDescent="0.2">
      <c r="A19" s="3">
        <v>13</v>
      </c>
      <c r="B19" s="4" t="s">
        <v>167</v>
      </c>
      <c r="C19" s="4" t="s">
        <v>168</v>
      </c>
      <c r="D19" s="4" t="s">
        <v>166</v>
      </c>
      <c r="E19" s="5">
        <v>13964</v>
      </c>
      <c r="F19" s="6">
        <v>463.89106199999998</v>
      </c>
      <c r="G19" s="7">
        <v>1.8624798000000001E-2</v>
      </c>
      <c r="H19" s="67"/>
    </row>
    <row r="20" spans="1:8" x14ac:dyDescent="0.2">
      <c r="A20" s="3">
        <v>14</v>
      </c>
      <c r="B20" s="4" t="s">
        <v>174</v>
      </c>
      <c r="C20" s="4" t="s">
        <v>175</v>
      </c>
      <c r="D20" s="4" t="s">
        <v>55</v>
      </c>
      <c r="E20" s="5">
        <v>111247</v>
      </c>
      <c r="F20" s="6">
        <v>447.82479849999999</v>
      </c>
      <c r="G20" s="7">
        <v>1.7979753000000001E-2</v>
      </c>
      <c r="H20" s="67"/>
    </row>
    <row r="21" spans="1:8" x14ac:dyDescent="0.2">
      <c r="A21" s="3">
        <v>15</v>
      </c>
      <c r="B21" s="4" t="s">
        <v>63</v>
      </c>
      <c r="C21" s="4" t="s">
        <v>64</v>
      </c>
      <c r="D21" s="4" t="s">
        <v>55</v>
      </c>
      <c r="E21" s="5">
        <v>164507</v>
      </c>
      <c r="F21" s="6">
        <v>426.07312999999999</v>
      </c>
      <c r="G21" s="7">
        <v>1.7106442999999999E-2</v>
      </c>
      <c r="H21" s="67"/>
    </row>
    <row r="22" spans="1:8" x14ac:dyDescent="0.2">
      <c r="A22" s="3">
        <v>16</v>
      </c>
      <c r="B22" s="4" t="s">
        <v>177</v>
      </c>
      <c r="C22" s="4" t="s">
        <v>178</v>
      </c>
      <c r="D22" s="4" t="s">
        <v>179</v>
      </c>
      <c r="E22" s="5">
        <v>171020</v>
      </c>
      <c r="F22" s="6">
        <v>409.59289999999999</v>
      </c>
      <c r="G22" s="7">
        <v>1.6444777000000001E-2</v>
      </c>
      <c r="H22" s="67"/>
    </row>
    <row r="23" spans="1:8" ht="25.5" x14ac:dyDescent="0.2">
      <c r="A23" s="3">
        <v>17</v>
      </c>
      <c r="B23" s="4" t="s">
        <v>176</v>
      </c>
      <c r="C23" s="4" t="s">
        <v>995</v>
      </c>
      <c r="D23" s="4" t="s">
        <v>992</v>
      </c>
      <c r="E23" s="5">
        <v>151609</v>
      </c>
      <c r="F23" s="6">
        <v>401.15741400000002</v>
      </c>
      <c r="G23" s="7">
        <v>1.6106100000000002E-2</v>
      </c>
      <c r="H23" s="67"/>
    </row>
    <row r="24" spans="1:8" x14ac:dyDescent="0.2">
      <c r="A24" s="3">
        <v>18</v>
      </c>
      <c r="B24" s="4" t="s">
        <v>342</v>
      </c>
      <c r="C24" s="4" t="s">
        <v>343</v>
      </c>
      <c r="D24" s="4" t="s">
        <v>171</v>
      </c>
      <c r="E24" s="5">
        <v>10312</v>
      </c>
      <c r="F24" s="6">
        <v>376.65611200000001</v>
      </c>
      <c r="G24" s="7">
        <v>1.5122396E-2</v>
      </c>
      <c r="H24" s="67"/>
    </row>
    <row r="25" spans="1:8" x14ac:dyDescent="0.2">
      <c r="A25" s="3">
        <v>19</v>
      </c>
      <c r="B25" s="4" t="s">
        <v>192</v>
      </c>
      <c r="C25" s="4" t="s">
        <v>193</v>
      </c>
      <c r="D25" s="4" t="s">
        <v>81</v>
      </c>
      <c r="E25" s="5">
        <v>65065</v>
      </c>
      <c r="F25" s="6">
        <v>371.29342250000002</v>
      </c>
      <c r="G25" s="7">
        <v>1.4907089E-2</v>
      </c>
      <c r="H25" s="67"/>
    </row>
    <row r="26" spans="1:8" x14ac:dyDescent="0.2">
      <c r="A26" s="3">
        <v>20</v>
      </c>
      <c r="B26" s="4" t="s">
        <v>77</v>
      </c>
      <c r="C26" s="4" t="s">
        <v>78</v>
      </c>
      <c r="D26" s="4" t="s">
        <v>69</v>
      </c>
      <c r="E26" s="5">
        <v>110331</v>
      </c>
      <c r="F26" s="6">
        <v>369.00202949999999</v>
      </c>
      <c r="G26" s="7">
        <v>1.4815091000000001E-2</v>
      </c>
      <c r="H26" s="67"/>
    </row>
    <row r="27" spans="1:8" x14ac:dyDescent="0.2">
      <c r="A27" s="3">
        <v>21</v>
      </c>
      <c r="B27" s="4" t="s">
        <v>194</v>
      </c>
      <c r="C27" s="4" t="s">
        <v>195</v>
      </c>
      <c r="D27" s="4" t="s">
        <v>55</v>
      </c>
      <c r="E27" s="5">
        <v>38005</v>
      </c>
      <c r="F27" s="6">
        <v>366.29219000000001</v>
      </c>
      <c r="G27" s="7">
        <v>1.4706294E-2</v>
      </c>
      <c r="H27" s="67"/>
    </row>
    <row r="28" spans="1:8" x14ac:dyDescent="0.2">
      <c r="A28" s="3">
        <v>22</v>
      </c>
      <c r="B28" s="4" t="s">
        <v>188</v>
      </c>
      <c r="C28" s="4" t="s">
        <v>189</v>
      </c>
      <c r="D28" s="4" t="s">
        <v>166</v>
      </c>
      <c r="E28" s="5">
        <v>7685</v>
      </c>
      <c r="F28" s="6">
        <v>365.75988999999998</v>
      </c>
      <c r="G28" s="7">
        <v>1.4684922E-2</v>
      </c>
      <c r="H28" s="67"/>
    </row>
    <row r="29" spans="1:8" x14ac:dyDescent="0.2">
      <c r="A29" s="3">
        <v>23</v>
      </c>
      <c r="B29" s="4" t="s">
        <v>198</v>
      </c>
      <c r="C29" s="4" t="s">
        <v>199</v>
      </c>
      <c r="D29" s="4" t="s">
        <v>166</v>
      </c>
      <c r="E29" s="5">
        <v>37221</v>
      </c>
      <c r="F29" s="6">
        <v>363.8166645</v>
      </c>
      <c r="G29" s="7">
        <v>1.4606904E-2</v>
      </c>
      <c r="H29" s="67"/>
    </row>
    <row r="30" spans="1:8" x14ac:dyDescent="0.2">
      <c r="A30" s="3">
        <v>24</v>
      </c>
      <c r="B30" s="4" t="s">
        <v>196</v>
      </c>
      <c r="C30" s="4" t="s">
        <v>197</v>
      </c>
      <c r="D30" s="4" t="s">
        <v>1004</v>
      </c>
      <c r="E30" s="5">
        <v>116812</v>
      </c>
      <c r="F30" s="6">
        <v>361.24110999999999</v>
      </c>
      <c r="G30" s="7">
        <v>1.4503497000000001E-2</v>
      </c>
      <c r="H30" s="67"/>
    </row>
    <row r="31" spans="1:8" ht="25.5" x14ac:dyDescent="0.2">
      <c r="A31" s="3">
        <v>25</v>
      </c>
      <c r="B31" s="4" t="s">
        <v>202</v>
      </c>
      <c r="C31" s="4" t="s">
        <v>203</v>
      </c>
      <c r="D31" s="4" t="s">
        <v>52</v>
      </c>
      <c r="E31" s="5">
        <v>76500</v>
      </c>
      <c r="F31" s="6">
        <v>356.68124999999998</v>
      </c>
      <c r="G31" s="7">
        <v>1.4320423000000001E-2</v>
      </c>
      <c r="H31" s="67"/>
    </row>
    <row r="32" spans="1:8" x14ac:dyDescent="0.2">
      <c r="A32" s="3">
        <v>26</v>
      </c>
      <c r="B32" s="4" t="s">
        <v>456</v>
      </c>
      <c r="C32" s="4" t="s">
        <v>457</v>
      </c>
      <c r="D32" s="4" t="s">
        <v>212</v>
      </c>
      <c r="E32" s="5">
        <v>59631</v>
      </c>
      <c r="F32" s="6">
        <v>352.4490255</v>
      </c>
      <c r="G32" s="7">
        <v>1.4150503E-2</v>
      </c>
      <c r="H32" s="67"/>
    </row>
    <row r="33" spans="1:8" ht="25.5" x14ac:dyDescent="0.2">
      <c r="A33" s="3">
        <v>27</v>
      </c>
      <c r="B33" s="4" t="s">
        <v>450</v>
      </c>
      <c r="C33" s="4" t="s">
        <v>451</v>
      </c>
      <c r="D33" s="4" t="s">
        <v>36</v>
      </c>
      <c r="E33" s="5">
        <v>23869</v>
      </c>
      <c r="F33" s="6">
        <v>346.49433850000003</v>
      </c>
      <c r="G33" s="7">
        <v>1.3911428E-2</v>
      </c>
      <c r="H33" s="67"/>
    </row>
    <row r="34" spans="1:8" x14ac:dyDescent="0.2">
      <c r="A34" s="3">
        <v>28</v>
      </c>
      <c r="B34" s="4" t="s">
        <v>185</v>
      </c>
      <c r="C34" s="4" t="s">
        <v>186</v>
      </c>
      <c r="D34" s="4" t="s">
        <v>187</v>
      </c>
      <c r="E34" s="5">
        <v>71675</v>
      </c>
      <c r="F34" s="6">
        <v>343.86081250000001</v>
      </c>
      <c r="G34" s="7">
        <v>1.3805695E-2</v>
      </c>
      <c r="H34" s="67"/>
    </row>
    <row r="35" spans="1:8" x14ac:dyDescent="0.2">
      <c r="A35" s="3">
        <v>29</v>
      </c>
      <c r="B35" s="4" t="s">
        <v>204</v>
      </c>
      <c r="C35" s="4" t="s">
        <v>205</v>
      </c>
      <c r="D35" s="4" t="s">
        <v>27</v>
      </c>
      <c r="E35" s="5">
        <v>20665</v>
      </c>
      <c r="F35" s="6">
        <v>343.17332249999998</v>
      </c>
      <c r="G35" s="7">
        <v>1.3778092E-2</v>
      </c>
      <c r="H35" s="67"/>
    </row>
    <row r="36" spans="1:8" x14ac:dyDescent="0.2">
      <c r="A36" s="3">
        <v>30</v>
      </c>
      <c r="B36" s="4" t="s">
        <v>206</v>
      </c>
      <c r="C36" s="4" t="s">
        <v>207</v>
      </c>
      <c r="D36" s="4" t="s">
        <v>187</v>
      </c>
      <c r="E36" s="5">
        <v>51431</v>
      </c>
      <c r="F36" s="6">
        <v>342.839046</v>
      </c>
      <c r="G36" s="7">
        <v>1.3764672E-2</v>
      </c>
      <c r="H36" s="67"/>
    </row>
    <row r="37" spans="1:8" x14ac:dyDescent="0.2">
      <c r="A37" s="3">
        <v>31</v>
      </c>
      <c r="B37" s="4" t="s">
        <v>208</v>
      </c>
      <c r="C37" s="4" t="s">
        <v>209</v>
      </c>
      <c r="D37" s="4" t="s">
        <v>1005</v>
      </c>
      <c r="E37" s="5">
        <v>40169</v>
      </c>
      <c r="F37" s="6">
        <v>340.1711765</v>
      </c>
      <c r="G37" s="7">
        <v>1.3657559E-2</v>
      </c>
      <c r="H37" s="67"/>
    </row>
    <row r="38" spans="1:8" x14ac:dyDescent="0.2">
      <c r="A38" s="3">
        <v>32</v>
      </c>
      <c r="B38" s="4" t="s">
        <v>169</v>
      </c>
      <c r="C38" s="4" t="s">
        <v>170</v>
      </c>
      <c r="D38" s="4" t="s">
        <v>171</v>
      </c>
      <c r="E38" s="5">
        <v>46515</v>
      </c>
      <c r="F38" s="6">
        <v>336.30345</v>
      </c>
      <c r="G38" s="7">
        <v>1.3502273E-2</v>
      </c>
      <c r="H38" s="67"/>
    </row>
    <row r="39" spans="1:8" x14ac:dyDescent="0.2">
      <c r="A39" s="3">
        <v>33</v>
      </c>
      <c r="B39" s="4" t="s">
        <v>172</v>
      </c>
      <c r="C39" s="4" t="s">
        <v>173</v>
      </c>
      <c r="D39" s="4" t="s">
        <v>331</v>
      </c>
      <c r="E39" s="5">
        <v>34286</v>
      </c>
      <c r="F39" s="6">
        <v>326.89986699999997</v>
      </c>
      <c r="G39" s="7">
        <v>1.3124728E-2</v>
      </c>
      <c r="H39" s="67"/>
    </row>
    <row r="40" spans="1:8" x14ac:dyDescent="0.2">
      <c r="A40" s="3">
        <v>34</v>
      </c>
      <c r="B40" s="4" t="s">
        <v>213</v>
      </c>
      <c r="C40" s="4" t="s">
        <v>214</v>
      </c>
      <c r="D40" s="4" t="s">
        <v>81</v>
      </c>
      <c r="E40" s="5">
        <v>55940</v>
      </c>
      <c r="F40" s="6">
        <v>319.38943</v>
      </c>
      <c r="G40" s="7">
        <v>1.2823190999999999E-2</v>
      </c>
      <c r="H40" s="67"/>
    </row>
    <row r="41" spans="1:8" x14ac:dyDescent="0.2">
      <c r="A41" s="3">
        <v>35</v>
      </c>
      <c r="B41" s="4" t="s">
        <v>223</v>
      </c>
      <c r="C41" s="4" t="s">
        <v>224</v>
      </c>
      <c r="D41" s="4" t="s">
        <v>69</v>
      </c>
      <c r="E41" s="5">
        <v>36572</v>
      </c>
      <c r="F41" s="6">
        <v>315.52492999999998</v>
      </c>
      <c r="G41" s="7">
        <v>1.2668034999999999E-2</v>
      </c>
      <c r="H41" s="67"/>
    </row>
    <row r="42" spans="1:8" x14ac:dyDescent="0.2">
      <c r="A42" s="3">
        <v>36</v>
      </c>
      <c r="B42" s="4" t="s">
        <v>210</v>
      </c>
      <c r="C42" s="4" t="s">
        <v>211</v>
      </c>
      <c r="D42" s="4" t="s">
        <v>212</v>
      </c>
      <c r="E42" s="5">
        <v>123782</v>
      </c>
      <c r="F42" s="6">
        <v>310.32147400000002</v>
      </c>
      <c r="G42" s="7">
        <v>1.2459121E-2</v>
      </c>
      <c r="H42" s="67"/>
    </row>
    <row r="43" spans="1:8" x14ac:dyDescent="0.2">
      <c r="A43" s="3">
        <v>37</v>
      </c>
      <c r="B43" s="4" t="s">
        <v>452</v>
      </c>
      <c r="C43" s="4" t="s">
        <v>453</v>
      </c>
      <c r="D43" s="4" t="s">
        <v>27</v>
      </c>
      <c r="E43" s="5">
        <v>35318</v>
      </c>
      <c r="F43" s="6">
        <v>293.12174099999999</v>
      </c>
      <c r="G43" s="7">
        <v>1.1768568E-2</v>
      </c>
      <c r="H43" s="67"/>
    </row>
    <row r="44" spans="1:8" x14ac:dyDescent="0.2">
      <c r="A44" s="3">
        <v>38</v>
      </c>
      <c r="B44" s="4" t="s">
        <v>219</v>
      </c>
      <c r="C44" s="4" t="s">
        <v>220</v>
      </c>
      <c r="D44" s="4" t="s">
        <v>55</v>
      </c>
      <c r="E44" s="5">
        <v>34229</v>
      </c>
      <c r="F44" s="6">
        <v>290.50152300000002</v>
      </c>
      <c r="G44" s="7">
        <v>1.1663368E-2</v>
      </c>
      <c r="H44" s="67"/>
    </row>
    <row r="45" spans="1:8" x14ac:dyDescent="0.2">
      <c r="A45" s="3">
        <v>39</v>
      </c>
      <c r="B45" s="4" t="s">
        <v>215</v>
      </c>
      <c r="C45" s="4" t="s">
        <v>216</v>
      </c>
      <c r="D45" s="4" t="s">
        <v>69</v>
      </c>
      <c r="E45" s="5">
        <v>288303</v>
      </c>
      <c r="F45" s="6">
        <v>288.15884849999998</v>
      </c>
      <c r="G45" s="7">
        <v>1.1569312E-2</v>
      </c>
      <c r="H45" s="67"/>
    </row>
    <row r="46" spans="1:8" ht="25.5" x14ac:dyDescent="0.2">
      <c r="A46" s="3">
        <v>40</v>
      </c>
      <c r="B46" s="4" t="s">
        <v>221</v>
      </c>
      <c r="C46" s="4" t="s">
        <v>222</v>
      </c>
      <c r="D46" s="4" t="s">
        <v>36</v>
      </c>
      <c r="E46" s="5">
        <v>334561</v>
      </c>
      <c r="F46" s="6">
        <v>287.387899</v>
      </c>
      <c r="G46" s="7">
        <v>1.1538359E-2</v>
      </c>
      <c r="H46" s="67"/>
    </row>
    <row r="47" spans="1:8" x14ac:dyDescent="0.2">
      <c r="A47" s="3">
        <v>41</v>
      </c>
      <c r="B47" s="4" t="s">
        <v>182</v>
      </c>
      <c r="C47" s="4" t="s">
        <v>183</v>
      </c>
      <c r="D47" s="4" t="s">
        <v>184</v>
      </c>
      <c r="E47" s="5">
        <v>28480</v>
      </c>
      <c r="F47" s="6">
        <v>280.82704000000001</v>
      </c>
      <c r="G47" s="7">
        <v>1.1274947E-2</v>
      </c>
      <c r="H47" s="67"/>
    </row>
    <row r="48" spans="1:8" x14ac:dyDescent="0.2">
      <c r="A48" s="3">
        <v>42</v>
      </c>
      <c r="B48" s="4" t="s">
        <v>454</v>
      </c>
      <c r="C48" s="4" t="s">
        <v>455</v>
      </c>
      <c r="D48" s="4" t="s">
        <v>46</v>
      </c>
      <c r="E48" s="5">
        <v>66186</v>
      </c>
      <c r="F48" s="6">
        <v>270.43599599999999</v>
      </c>
      <c r="G48" s="7">
        <v>1.0857756E-2</v>
      </c>
      <c r="H48" s="67"/>
    </row>
    <row r="49" spans="1:8" x14ac:dyDescent="0.2">
      <c r="A49" s="3">
        <v>43</v>
      </c>
      <c r="B49" s="4" t="s">
        <v>32</v>
      </c>
      <c r="C49" s="4" t="s">
        <v>33</v>
      </c>
      <c r="D49" s="4" t="s">
        <v>27</v>
      </c>
      <c r="E49" s="5">
        <v>11792</v>
      </c>
      <c r="F49" s="6">
        <v>260.161</v>
      </c>
      <c r="G49" s="7">
        <v>1.0445223999999999E-2</v>
      </c>
      <c r="H49" s="67"/>
    </row>
    <row r="50" spans="1:8" x14ac:dyDescent="0.2">
      <c r="A50" s="3">
        <v>44</v>
      </c>
      <c r="B50" s="4" t="s">
        <v>290</v>
      </c>
      <c r="C50" s="4" t="s">
        <v>291</v>
      </c>
      <c r="D50" s="4" t="s">
        <v>27</v>
      </c>
      <c r="E50" s="5">
        <v>21594</v>
      </c>
      <c r="F50" s="6">
        <v>255.77013299999999</v>
      </c>
      <c r="G50" s="7">
        <v>1.0268935E-2</v>
      </c>
      <c r="H50" s="67"/>
    </row>
    <row r="51" spans="1:8" x14ac:dyDescent="0.2">
      <c r="A51" s="3">
        <v>45</v>
      </c>
      <c r="B51" s="4" t="s">
        <v>458</v>
      </c>
      <c r="C51" s="4" t="s">
        <v>459</v>
      </c>
      <c r="D51" s="4" t="s">
        <v>55</v>
      </c>
      <c r="E51" s="5">
        <v>32427</v>
      </c>
      <c r="F51" s="6">
        <v>251.2930365</v>
      </c>
      <c r="G51" s="7">
        <v>1.0089183999999999E-2</v>
      </c>
      <c r="H51" s="67"/>
    </row>
    <row r="52" spans="1:8" x14ac:dyDescent="0.2">
      <c r="A52" s="3">
        <v>46</v>
      </c>
      <c r="B52" s="4" t="s">
        <v>227</v>
      </c>
      <c r="C52" s="4" t="s">
        <v>228</v>
      </c>
      <c r="D52" s="4" t="s">
        <v>229</v>
      </c>
      <c r="E52" s="5">
        <v>52315</v>
      </c>
      <c r="F52" s="6">
        <v>250.37959000000001</v>
      </c>
      <c r="G52" s="7">
        <v>1.0052510000000001E-2</v>
      </c>
      <c r="H52" s="67"/>
    </row>
    <row r="53" spans="1:8" x14ac:dyDescent="0.2">
      <c r="A53" s="3">
        <v>47</v>
      </c>
      <c r="B53" s="4" t="s">
        <v>232</v>
      </c>
      <c r="C53" s="4" t="s">
        <v>233</v>
      </c>
      <c r="D53" s="4" t="s">
        <v>55</v>
      </c>
      <c r="E53" s="5">
        <v>98339</v>
      </c>
      <c r="F53" s="6">
        <v>248.84683949999999</v>
      </c>
      <c r="G53" s="7">
        <v>9.9909709999999995E-3</v>
      </c>
      <c r="H53" s="67"/>
    </row>
    <row r="54" spans="1:8" x14ac:dyDescent="0.2">
      <c r="A54" s="3">
        <v>48</v>
      </c>
      <c r="B54" s="4" t="s">
        <v>234</v>
      </c>
      <c r="C54" s="4" t="s">
        <v>235</v>
      </c>
      <c r="D54" s="4" t="s">
        <v>187</v>
      </c>
      <c r="E54" s="5">
        <v>14493</v>
      </c>
      <c r="F54" s="6">
        <v>246.76506449999999</v>
      </c>
      <c r="G54" s="7">
        <v>9.9073900000000003E-3</v>
      </c>
      <c r="H54" s="67"/>
    </row>
    <row r="55" spans="1:8" x14ac:dyDescent="0.2">
      <c r="A55" s="3">
        <v>49</v>
      </c>
      <c r="B55" s="4" t="s">
        <v>462</v>
      </c>
      <c r="C55" s="4" t="s">
        <v>463</v>
      </c>
      <c r="D55" s="4" t="s">
        <v>1003</v>
      </c>
      <c r="E55" s="5">
        <v>262344</v>
      </c>
      <c r="F55" s="6">
        <v>245.16046800000001</v>
      </c>
      <c r="G55" s="7">
        <v>9.8429669999999993E-3</v>
      </c>
      <c r="H55" s="67"/>
    </row>
    <row r="56" spans="1:8" ht="25.5" x14ac:dyDescent="0.2">
      <c r="A56" s="3">
        <v>50</v>
      </c>
      <c r="B56" s="4" t="s">
        <v>230</v>
      </c>
      <c r="C56" s="4" t="s">
        <v>231</v>
      </c>
      <c r="D56" s="4" t="s">
        <v>52</v>
      </c>
      <c r="E56" s="5">
        <v>60710</v>
      </c>
      <c r="F56" s="6">
        <v>244.570235</v>
      </c>
      <c r="G56" s="7">
        <v>9.8192690000000003E-3</v>
      </c>
      <c r="H56" s="67"/>
    </row>
    <row r="57" spans="1:8" ht="25.5" x14ac:dyDescent="0.2">
      <c r="A57" s="3">
        <v>51</v>
      </c>
      <c r="B57" s="4" t="s">
        <v>238</v>
      </c>
      <c r="C57" s="4" t="s">
        <v>239</v>
      </c>
      <c r="D57" s="4" t="s">
        <v>1006</v>
      </c>
      <c r="E57" s="5">
        <v>235730</v>
      </c>
      <c r="F57" s="6">
        <v>242.33044000000001</v>
      </c>
      <c r="G57" s="7">
        <v>9.7293439999999991E-3</v>
      </c>
      <c r="H57" s="67"/>
    </row>
    <row r="58" spans="1:8" x14ac:dyDescent="0.2">
      <c r="A58" s="3">
        <v>52</v>
      </c>
      <c r="B58" s="4" t="s">
        <v>245</v>
      </c>
      <c r="C58" s="4" t="s">
        <v>246</v>
      </c>
      <c r="D58" s="4" t="s">
        <v>81</v>
      </c>
      <c r="E58" s="5">
        <v>476454</v>
      </c>
      <c r="F58" s="6">
        <v>239.41813500000001</v>
      </c>
      <c r="G58" s="7">
        <v>9.6124169999999998E-3</v>
      </c>
      <c r="H58" s="67"/>
    </row>
    <row r="59" spans="1:8" x14ac:dyDescent="0.2">
      <c r="A59" s="3">
        <v>53</v>
      </c>
      <c r="B59" s="4" t="s">
        <v>243</v>
      </c>
      <c r="C59" s="4" t="s">
        <v>244</v>
      </c>
      <c r="D59" s="4" t="s">
        <v>171</v>
      </c>
      <c r="E59" s="5">
        <v>65216</v>
      </c>
      <c r="F59" s="6">
        <v>236.40799999999999</v>
      </c>
      <c r="G59" s="7">
        <v>9.4915629999999997E-3</v>
      </c>
      <c r="H59" s="67"/>
    </row>
    <row r="60" spans="1:8" ht="25.5" x14ac:dyDescent="0.2">
      <c r="A60" s="3">
        <v>54</v>
      </c>
      <c r="B60" s="4" t="s">
        <v>240</v>
      </c>
      <c r="C60" s="4" t="s">
        <v>241</v>
      </c>
      <c r="D60" s="4" t="s">
        <v>52</v>
      </c>
      <c r="E60" s="5">
        <v>58166</v>
      </c>
      <c r="F60" s="6">
        <v>234.845225</v>
      </c>
      <c r="G60" s="7">
        <v>9.4288189999999997E-3</v>
      </c>
      <c r="H60" s="67"/>
    </row>
    <row r="61" spans="1:8" x14ac:dyDescent="0.2">
      <c r="A61" s="3">
        <v>55</v>
      </c>
      <c r="B61" s="4" t="s">
        <v>247</v>
      </c>
      <c r="C61" s="4" t="s">
        <v>248</v>
      </c>
      <c r="D61" s="4" t="s">
        <v>1001</v>
      </c>
      <c r="E61" s="5">
        <v>42347</v>
      </c>
      <c r="F61" s="6">
        <v>233.14140850000001</v>
      </c>
      <c r="G61" s="7">
        <v>9.3604129999999997E-3</v>
      </c>
      <c r="H61" s="67"/>
    </row>
    <row r="62" spans="1:8" x14ac:dyDescent="0.2">
      <c r="A62" s="3">
        <v>56</v>
      </c>
      <c r="B62" s="4" t="s">
        <v>190</v>
      </c>
      <c r="C62" s="4" t="s">
        <v>191</v>
      </c>
      <c r="D62" s="4" t="s">
        <v>41</v>
      </c>
      <c r="E62" s="5">
        <v>53690</v>
      </c>
      <c r="F62" s="6">
        <v>221.04173</v>
      </c>
      <c r="G62" s="7">
        <v>8.8746220000000004E-3</v>
      </c>
      <c r="H62" s="67"/>
    </row>
    <row r="63" spans="1:8" x14ac:dyDescent="0.2">
      <c r="A63" s="3">
        <v>57</v>
      </c>
      <c r="B63" s="4" t="s">
        <v>253</v>
      </c>
      <c r="C63" s="4" t="s">
        <v>254</v>
      </c>
      <c r="D63" s="4" t="s">
        <v>49</v>
      </c>
      <c r="E63" s="5">
        <v>19778</v>
      </c>
      <c r="F63" s="6">
        <v>208.46011999999999</v>
      </c>
      <c r="G63" s="7">
        <v>8.3694819999999993E-3</v>
      </c>
      <c r="H63" s="67"/>
    </row>
    <row r="64" spans="1:8" x14ac:dyDescent="0.2">
      <c r="A64" s="3">
        <v>58</v>
      </c>
      <c r="B64" s="4" t="s">
        <v>262</v>
      </c>
      <c r="C64" s="4" t="s">
        <v>263</v>
      </c>
      <c r="D64" s="4" t="s">
        <v>171</v>
      </c>
      <c r="E64" s="5">
        <v>29625</v>
      </c>
      <c r="F64" s="6">
        <v>200.76862499999999</v>
      </c>
      <c r="G64" s="7">
        <v>8.0606749999999998E-3</v>
      </c>
      <c r="H64" s="67"/>
    </row>
    <row r="65" spans="1:8" x14ac:dyDescent="0.2">
      <c r="A65" s="3">
        <v>59</v>
      </c>
      <c r="B65" s="4" t="s">
        <v>259</v>
      </c>
      <c r="C65" s="4" t="s">
        <v>260</v>
      </c>
      <c r="D65" s="4" t="s">
        <v>261</v>
      </c>
      <c r="E65" s="5">
        <v>26891</v>
      </c>
      <c r="F65" s="6">
        <v>199.32953749999999</v>
      </c>
      <c r="G65" s="7">
        <v>8.0028970000000001E-3</v>
      </c>
      <c r="H65" s="67"/>
    </row>
    <row r="66" spans="1:8" x14ac:dyDescent="0.2">
      <c r="A66" s="3">
        <v>60</v>
      </c>
      <c r="B66" s="4" t="s">
        <v>255</v>
      </c>
      <c r="C66" s="4" t="s">
        <v>256</v>
      </c>
      <c r="D66" s="4" t="s">
        <v>331</v>
      </c>
      <c r="E66" s="5">
        <v>13264</v>
      </c>
      <c r="F66" s="6">
        <v>197.43464</v>
      </c>
      <c r="G66" s="7">
        <v>7.9268189999999999E-3</v>
      </c>
      <c r="H66" s="67"/>
    </row>
    <row r="67" spans="1:8" x14ac:dyDescent="0.2">
      <c r="A67" s="3">
        <v>61</v>
      </c>
      <c r="B67" s="4" t="s">
        <v>257</v>
      </c>
      <c r="C67" s="4" t="s">
        <v>258</v>
      </c>
      <c r="D67" s="4" t="s">
        <v>1001</v>
      </c>
      <c r="E67" s="5">
        <v>152295</v>
      </c>
      <c r="F67" s="6">
        <v>190.52104499999999</v>
      </c>
      <c r="G67" s="7">
        <v>7.6492440000000004E-3</v>
      </c>
      <c r="H67" s="67"/>
    </row>
    <row r="68" spans="1:8" x14ac:dyDescent="0.2">
      <c r="A68" s="3">
        <v>62</v>
      </c>
      <c r="B68" s="4" t="s">
        <v>225</v>
      </c>
      <c r="C68" s="4" t="s">
        <v>226</v>
      </c>
      <c r="D68" s="4" t="s">
        <v>166</v>
      </c>
      <c r="E68" s="5">
        <v>13157</v>
      </c>
      <c r="F68" s="6">
        <v>187.842489</v>
      </c>
      <c r="G68" s="7">
        <v>7.5417030000000003E-3</v>
      </c>
      <c r="H68" s="67"/>
    </row>
    <row r="69" spans="1:8" x14ac:dyDescent="0.2">
      <c r="A69" s="3">
        <v>63</v>
      </c>
      <c r="B69" s="4" t="s">
        <v>277</v>
      </c>
      <c r="C69" s="4" t="s">
        <v>278</v>
      </c>
      <c r="D69" s="4" t="s">
        <v>187</v>
      </c>
      <c r="E69" s="5">
        <v>47700</v>
      </c>
      <c r="F69" s="6">
        <v>186.45930000000001</v>
      </c>
      <c r="G69" s="7">
        <v>7.486169E-3</v>
      </c>
      <c r="H69" s="67"/>
    </row>
    <row r="70" spans="1:8" x14ac:dyDescent="0.2">
      <c r="A70" s="3">
        <v>64</v>
      </c>
      <c r="B70" s="4" t="s">
        <v>460</v>
      </c>
      <c r="C70" s="4" t="s">
        <v>461</v>
      </c>
      <c r="D70" s="4" t="s">
        <v>81</v>
      </c>
      <c r="E70" s="5">
        <v>26475</v>
      </c>
      <c r="F70" s="6">
        <v>185.89421250000001</v>
      </c>
      <c r="G70" s="7">
        <v>7.4634810000000001E-3</v>
      </c>
      <c r="H70" s="67"/>
    </row>
    <row r="71" spans="1:8" ht="25.5" x14ac:dyDescent="0.2">
      <c r="A71" s="3">
        <v>65</v>
      </c>
      <c r="B71" s="4" t="s">
        <v>217</v>
      </c>
      <c r="C71" s="4" t="s">
        <v>218</v>
      </c>
      <c r="D71" s="4" t="s">
        <v>55</v>
      </c>
      <c r="E71" s="5">
        <v>8392</v>
      </c>
      <c r="F71" s="6">
        <v>184.09950000000001</v>
      </c>
      <c r="G71" s="7">
        <v>7.3914250000000001E-3</v>
      </c>
      <c r="H71" s="67"/>
    </row>
    <row r="72" spans="1:8" x14ac:dyDescent="0.2">
      <c r="A72" s="3">
        <v>66</v>
      </c>
      <c r="B72" s="4" t="s">
        <v>268</v>
      </c>
      <c r="C72" s="4" t="s">
        <v>269</v>
      </c>
      <c r="D72" s="4" t="s">
        <v>24</v>
      </c>
      <c r="E72" s="5">
        <v>191773</v>
      </c>
      <c r="F72" s="6">
        <v>176.7188195</v>
      </c>
      <c r="G72" s="7">
        <v>7.0950980000000002E-3</v>
      </c>
      <c r="H72" s="67"/>
    </row>
    <row r="73" spans="1:8" x14ac:dyDescent="0.2">
      <c r="A73" s="3">
        <v>67</v>
      </c>
      <c r="B73" s="4" t="s">
        <v>270</v>
      </c>
      <c r="C73" s="4" t="s">
        <v>271</v>
      </c>
      <c r="D73" s="4" t="s">
        <v>272</v>
      </c>
      <c r="E73" s="5">
        <v>72207</v>
      </c>
      <c r="F73" s="6">
        <v>164.0904075</v>
      </c>
      <c r="G73" s="7">
        <v>6.5880790000000002E-3</v>
      </c>
      <c r="H73" s="67"/>
    </row>
    <row r="74" spans="1:8" x14ac:dyDescent="0.2">
      <c r="A74" s="3">
        <v>68</v>
      </c>
      <c r="B74" s="4" t="s">
        <v>273</v>
      </c>
      <c r="C74" s="4" t="s">
        <v>274</v>
      </c>
      <c r="D74" s="4" t="s">
        <v>187</v>
      </c>
      <c r="E74" s="5">
        <v>2928</v>
      </c>
      <c r="F74" s="6">
        <v>159.26563200000001</v>
      </c>
      <c r="G74" s="7">
        <v>6.3943680000000001E-3</v>
      </c>
      <c r="H74" s="67"/>
    </row>
    <row r="75" spans="1:8" x14ac:dyDescent="0.2">
      <c r="A75" s="3">
        <v>69</v>
      </c>
      <c r="B75" s="4" t="s">
        <v>279</v>
      </c>
      <c r="C75" s="4" t="s">
        <v>280</v>
      </c>
      <c r="D75" s="4" t="s">
        <v>1003</v>
      </c>
      <c r="E75" s="5">
        <v>8929</v>
      </c>
      <c r="F75" s="6">
        <v>135.5020395</v>
      </c>
      <c r="G75" s="7">
        <v>5.4402820000000003E-3</v>
      </c>
      <c r="H75" s="67"/>
    </row>
    <row r="76" spans="1:8" x14ac:dyDescent="0.2">
      <c r="A76" s="3">
        <v>70</v>
      </c>
      <c r="B76" s="4" t="s">
        <v>283</v>
      </c>
      <c r="C76" s="4" t="s">
        <v>284</v>
      </c>
      <c r="D76" s="4" t="s">
        <v>166</v>
      </c>
      <c r="E76" s="5">
        <v>27624</v>
      </c>
      <c r="F76" s="6">
        <v>125.150532</v>
      </c>
      <c r="G76" s="7">
        <v>5.0246780000000003E-3</v>
      </c>
      <c r="H76" s="67"/>
    </row>
    <row r="77" spans="1:8" x14ac:dyDescent="0.2">
      <c r="A77" s="3">
        <v>71</v>
      </c>
      <c r="B77" s="4" t="s">
        <v>298</v>
      </c>
      <c r="C77" s="4" t="s">
        <v>299</v>
      </c>
      <c r="D77" s="4" t="s">
        <v>1001</v>
      </c>
      <c r="E77" s="5">
        <v>319686</v>
      </c>
      <c r="F77" s="6">
        <v>110.611356</v>
      </c>
      <c r="G77" s="7">
        <v>4.4409439999999996E-3</v>
      </c>
      <c r="H77" s="67"/>
    </row>
    <row r="78" spans="1:8" x14ac:dyDescent="0.2">
      <c r="A78" s="3">
        <v>72</v>
      </c>
      <c r="B78" s="4" t="s">
        <v>285</v>
      </c>
      <c r="C78" s="4" t="s">
        <v>286</v>
      </c>
      <c r="D78" s="4" t="s">
        <v>153</v>
      </c>
      <c r="E78" s="5">
        <v>8196</v>
      </c>
      <c r="F78" s="6">
        <v>105.191562</v>
      </c>
      <c r="G78" s="7">
        <v>4.2233440000000004E-3</v>
      </c>
      <c r="H78" s="67"/>
    </row>
    <row r="79" spans="1:8" x14ac:dyDescent="0.2">
      <c r="A79" s="3">
        <v>73</v>
      </c>
      <c r="B79" s="4" t="s">
        <v>287</v>
      </c>
      <c r="C79" s="4" t="s">
        <v>288</v>
      </c>
      <c r="D79" s="4" t="s">
        <v>1001</v>
      </c>
      <c r="E79" s="5">
        <v>11222</v>
      </c>
      <c r="F79" s="6">
        <v>50.504610999999997</v>
      </c>
      <c r="G79" s="7">
        <v>2.0277139999999999E-3</v>
      </c>
      <c r="H79" s="67"/>
    </row>
    <row r="80" spans="1:8" ht="25.5" x14ac:dyDescent="0.2">
      <c r="A80" s="3">
        <v>74</v>
      </c>
      <c r="B80" s="4" t="s">
        <v>264</v>
      </c>
      <c r="C80" s="4" t="s">
        <v>265</v>
      </c>
      <c r="D80" s="4" t="s">
        <v>153</v>
      </c>
      <c r="E80" s="5">
        <v>11521</v>
      </c>
      <c r="F80" s="6">
        <v>38.318846000000001</v>
      </c>
      <c r="G80" s="7">
        <v>1.5384660000000001E-3</v>
      </c>
      <c r="H80" s="67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9">
        <v>23965.368718000002</v>
      </c>
      <c r="G81" s="10">
        <v>0.962187456</v>
      </c>
      <c r="H81" s="67"/>
    </row>
    <row r="82" spans="1:8" x14ac:dyDescent="0.2">
      <c r="A82" s="1"/>
      <c r="B82" s="1"/>
      <c r="C82" s="11"/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107</v>
      </c>
      <c r="D83" s="1"/>
      <c r="E83" s="1"/>
      <c r="F83" s="1"/>
      <c r="G83" s="1"/>
      <c r="H83" s="67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7"/>
    </row>
    <row r="85" spans="1:8" x14ac:dyDescent="0.2">
      <c r="A85" s="1"/>
      <c r="B85" s="1"/>
      <c r="C85" s="11"/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108</v>
      </c>
      <c r="D86" s="1"/>
      <c r="E86" s="1"/>
      <c r="F86" s="1"/>
      <c r="G86" s="1"/>
      <c r="H86" s="67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7"/>
    </row>
    <row r="88" spans="1:8" x14ac:dyDescent="0.2">
      <c r="A88" s="1"/>
      <c r="B88" s="1"/>
      <c r="C88" s="11"/>
      <c r="D88" s="1"/>
      <c r="E88" s="1"/>
      <c r="F88" s="12"/>
      <c r="G88" s="12"/>
      <c r="H88" s="67"/>
    </row>
    <row r="89" spans="1:8" x14ac:dyDescent="0.2">
      <c r="A89" s="1"/>
      <c r="B89" s="1"/>
      <c r="C89" s="2" t="s">
        <v>109</v>
      </c>
      <c r="D89" s="1"/>
      <c r="E89" s="1"/>
      <c r="F89" s="1"/>
      <c r="G89" s="1"/>
      <c r="H89" s="67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">
        <v>0</v>
      </c>
      <c r="H90" s="67"/>
    </row>
    <row r="91" spans="1:8" x14ac:dyDescent="0.2">
      <c r="A91" s="1"/>
      <c r="B91" s="1"/>
      <c r="C91" s="11"/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110</v>
      </c>
      <c r="D92" s="1"/>
      <c r="E92" s="1"/>
      <c r="F92" s="12"/>
      <c r="G92" s="12"/>
      <c r="H92" s="67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7"/>
    </row>
    <row r="94" spans="1:8" x14ac:dyDescent="0.2">
      <c r="A94" s="1"/>
      <c r="B94" s="1"/>
      <c r="C94" s="11"/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111</v>
      </c>
      <c r="D95" s="1"/>
      <c r="E95" s="1"/>
      <c r="F95" s="12"/>
      <c r="G95" s="12"/>
      <c r="H95" s="67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7"/>
    </row>
    <row r="97" spans="1:8" x14ac:dyDescent="0.2">
      <c r="A97" s="1"/>
      <c r="B97" s="1"/>
      <c r="C97" s="11"/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112</v>
      </c>
      <c r="D98" s="1"/>
      <c r="E98" s="1"/>
      <c r="F98" s="9">
        <v>23965.368718000002</v>
      </c>
      <c r="G98" s="10">
        <v>0.962187456</v>
      </c>
      <c r="H98" s="67"/>
    </row>
    <row r="99" spans="1:8" x14ac:dyDescent="0.2">
      <c r="A99" s="1"/>
      <c r="B99" s="1"/>
      <c r="C99" s="11"/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113</v>
      </c>
      <c r="D100" s="1"/>
      <c r="E100" s="1"/>
      <c r="F100" s="12"/>
      <c r="G100" s="12"/>
      <c r="H100" s="67"/>
    </row>
    <row r="101" spans="1:8" ht="25.5" x14ac:dyDescent="0.2">
      <c r="A101" s="1"/>
      <c r="B101" s="1"/>
      <c r="C101" s="2" t="s">
        <v>10</v>
      </c>
      <c r="D101" s="1"/>
      <c r="E101" s="1"/>
      <c r="F101" s="12"/>
      <c r="G101" s="12"/>
      <c r="H101" s="67"/>
    </row>
    <row r="102" spans="1:8" x14ac:dyDescent="0.2">
      <c r="A102" s="1"/>
      <c r="B102" s="1"/>
      <c r="C102" s="2" t="s">
        <v>105</v>
      </c>
      <c r="D102" s="1"/>
      <c r="E102" s="1" t="s">
        <v>106</v>
      </c>
      <c r="F102" s="13">
        <v>0</v>
      </c>
      <c r="G102" s="14">
        <v>0</v>
      </c>
      <c r="H102" s="67"/>
    </row>
    <row r="103" spans="1:8" x14ac:dyDescent="0.2">
      <c r="A103" s="1"/>
      <c r="B103" s="1"/>
      <c r="C103" s="11"/>
      <c r="D103" s="1"/>
      <c r="E103" s="1"/>
      <c r="F103" s="12"/>
      <c r="G103" s="12"/>
      <c r="H103" s="67"/>
    </row>
    <row r="104" spans="1:8" x14ac:dyDescent="0.2">
      <c r="A104" s="1"/>
      <c r="B104" s="1"/>
      <c r="C104" s="2" t="s">
        <v>114</v>
      </c>
      <c r="D104" s="1"/>
      <c r="E104" s="1"/>
      <c r="F104" s="1"/>
      <c r="G104" s="1"/>
      <c r="H104" s="67"/>
    </row>
    <row r="105" spans="1:8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">
        <v>0</v>
      </c>
      <c r="H105" s="67"/>
    </row>
    <row r="106" spans="1:8" x14ac:dyDescent="0.2">
      <c r="A106" s="1"/>
      <c r="B106" s="1"/>
      <c r="C106" s="11"/>
      <c r="D106" s="1"/>
      <c r="E106" s="1"/>
      <c r="F106" s="12"/>
      <c r="G106" s="12"/>
      <c r="H106" s="67"/>
    </row>
    <row r="107" spans="1:8" x14ac:dyDescent="0.2">
      <c r="A107" s="1"/>
      <c r="B107" s="1"/>
      <c r="C107" s="2" t="s">
        <v>115</v>
      </c>
      <c r="D107" s="1"/>
      <c r="E107" s="1"/>
      <c r="F107" s="1"/>
      <c r="G107" s="1"/>
      <c r="H107" s="67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">
        <v>0</v>
      </c>
      <c r="H108" s="67"/>
    </row>
    <row r="109" spans="1:8" x14ac:dyDescent="0.2">
      <c r="A109" s="1"/>
      <c r="B109" s="1"/>
      <c r="C109" s="11"/>
      <c r="D109" s="1"/>
      <c r="E109" s="1"/>
      <c r="F109" s="12"/>
      <c r="G109" s="12"/>
      <c r="H109" s="67"/>
    </row>
    <row r="110" spans="1:8" x14ac:dyDescent="0.2">
      <c r="A110" s="1"/>
      <c r="B110" s="1"/>
      <c r="C110" s="2" t="s">
        <v>116</v>
      </c>
      <c r="D110" s="1"/>
      <c r="E110" s="1"/>
      <c r="F110" s="12"/>
      <c r="G110" s="12"/>
      <c r="H110" s="67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">
        <v>0</v>
      </c>
      <c r="H111" s="67"/>
    </row>
    <row r="112" spans="1:8" x14ac:dyDescent="0.2">
      <c r="A112" s="1"/>
      <c r="B112" s="1"/>
      <c r="C112" s="11"/>
      <c r="D112" s="1"/>
      <c r="E112" s="1"/>
      <c r="F112" s="12"/>
      <c r="G112" s="12"/>
      <c r="H112" s="67"/>
    </row>
    <row r="113" spans="1:8" x14ac:dyDescent="0.2">
      <c r="A113" s="1"/>
      <c r="B113" s="1"/>
      <c r="C113" s="2" t="s">
        <v>117</v>
      </c>
      <c r="D113" s="1"/>
      <c r="E113" s="1"/>
      <c r="F113" s="9">
        <v>0</v>
      </c>
      <c r="G113" s="10">
        <v>0</v>
      </c>
      <c r="H113" s="67"/>
    </row>
    <row r="114" spans="1:8" x14ac:dyDescent="0.2">
      <c r="A114" s="1"/>
      <c r="B114" s="1"/>
      <c r="C114" s="11"/>
      <c r="D114" s="1"/>
      <c r="E114" s="1"/>
      <c r="F114" s="12"/>
      <c r="G114" s="12"/>
      <c r="H114" s="67"/>
    </row>
    <row r="115" spans="1:8" x14ac:dyDescent="0.2">
      <c r="A115" s="1"/>
      <c r="B115" s="1"/>
      <c r="C115" s="2" t="s">
        <v>118</v>
      </c>
      <c r="D115" s="1"/>
      <c r="E115" s="1"/>
      <c r="F115" s="12"/>
      <c r="G115" s="12"/>
      <c r="H115" s="67"/>
    </row>
    <row r="116" spans="1:8" x14ac:dyDescent="0.2">
      <c r="A116" s="1"/>
      <c r="B116" s="1"/>
      <c r="C116" s="2" t="s">
        <v>119</v>
      </c>
      <c r="D116" s="1"/>
      <c r="E116" s="1"/>
      <c r="F116" s="12"/>
      <c r="G116" s="12"/>
      <c r="H116" s="67"/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13">
        <v>0</v>
      </c>
      <c r="G117" s="14">
        <v>0</v>
      </c>
      <c r="H117" s="67"/>
    </row>
    <row r="118" spans="1:8" x14ac:dyDescent="0.2">
      <c r="A118" s="1"/>
      <c r="B118" s="1"/>
      <c r="C118" s="11"/>
      <c r="D118" s="1"/>
      <c r="E118" s="1"/>
      <c r="F118" s="12"/>
      <c r="G118" s="12"/>
      <c r="H118" s="67"/>
    </row>
    <row r="119" spans="1:8" x14ac:dyDescent="0.2">
      <c r="A119" s="1"/>
      <c r="B119" s="1"/>
      <c r="C119" s="2" t="s">
        <v>120</v>
      </c>
      <c r="D119" s="1"/>
      <c r="E119" s="1"/>
      <c r="F119" s="12"/>
      <c r="G119" s="12"/>
      <c r="H119" s="67"/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13">
        <v>0</v>
      </c>
      <c r="G120" s="14">
        <v>0</v>
      </c>
      <c r="H120" s="67"/>
    </row>
    <row r="121" spans="1:8" x14ac:dyDescent="0.2">
      <c r="A121" s="1"/>
      <c r="B121" s="1"/>
      <c r="C121" s="11"/>
      <c r="D121" s="1"/>
      <c r="E121" s="1"/>
      <c r="F121" s="12"/>
      <c r="G121" s="12"/>
      <c r="H121" s="67"/>
    </row>
    <row r="122" spans="1:8" x14ac:dyDescent="0.2">
      <c r="A122" s="1"/>
      <c r="B122" s="1"/>
      <c r="C122" s="2" t="s">
        <v>121</v>
      </c>
      <c r="D122" s="1"/>
      <c r="E122" s="1"/>
      <c r="F122" s="12"/>
      <c r="G122" s="12"/>
      <c r="H122" s="67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7"/>
    </row>
    <row r="124" spans="1:8" x14ac:dyDescent="0.2">
      <c r="A124" s="1"/>
      <c r="B124" s="1"/>
      <c r="C124" s="11"/>
      <c r="D124" s="1"/>
      <c r="E124" s="1"/>
      <c r="F124" s="12"/>
      <c r="G124" s="12"/>
      <c r="H124" s="67"/>
    </row>
    <row r="125" spans="1:8" x14ac:dyDescent="0.2">
      <c r="A125" s="1"/>
      <c r="B125" s="1"/>
      <c r="C125" s="2" t="s">
        <v>122</v>
      </c>
      <c r="D125" s="1"/>
      <c r="E125" s="1"/>
      <c r="F125" s="12"/>
      <c r="G125" s="12"/>
      <c r="H125" s="67"/>
    </row>
    <row r="126" spans="1:8" x14ac:dyDescent="0.2">
      <c r="A126" s="3">
        <v>1</v>
      </c>
      <c r="B126" s="4"/>
      <c r="C126" s="4" t="s">
        <v>123</v>
      </c>
      <c r="D126" s="4"/>
      <c r="E126" s="8"/>
      <c r="F126" s="6">
        <v>945.74415369999997</v>
      </c>
      <c r="G126" s="7">
        <v>3.7970756000000001E-2</v>
      </c>
      <c r="H126" s="67">
        <v>3.1047477660654299</v>
      </c>
    </row>
    <row r="127" spans="1:8" x14ac:dyDescent="0.2">
      <c r="A127" s="1"/>
      <c r="B127" s="1"/>
      <c r="C127" s="2" t="s">
        <v>105</v>
      </c>
      <c r="D127" s="1"/>
      <c r="E127" s="1" t="s">
        <v>106</v>
      </c>
      <c r="F127" s="9">
        <v>945.74415369999997</v>
      </c>
      <c r="G127" s="10">
        <v>3.7970756000000001E-2</v>
      </c>
      <c r="H127" s="67"/>
    </row>
    <row r="128" spans="1:8" x14ac:dyDescent="0.2">
      <c r="A128" s="1"/>
      <c r="B128" s="1"/>
      <c r="C128" s="11"/>
      <c r="D128" s="1"/>
      <c r="E128" s="1"/>
      <c r="F128" s="12"/>
      <c r="G128" s="12"/>
      <c r="H128" s="67"/>
    </row>
    <row r="129" spans="1:8" x14ac:dyDescent="0.2">
      <c r="A129" s="1"/>
      <c r="B129" s="1"/>
      <c r="C129" s="2" t="s">
        <v>124</v>
      </c>
      <c r="D129" s="1"/>
      <c r="E129" s="1"/>
      <c r="F129" s="9">
        <v>945.74415369999997</v>
      </c>
      <c r="G129" s="10">
        <v>3.7970756000000001E-2</v>
      </c>
      <c r="H129" s="67"/>
    </row>
    <row r="130" spans="1:8" x14ac:dyDescent="0.2">
      <c r="A130" s="1"/>
      <c r="B130" s="1"/>
      <c r="C130" s="12"/>
      <c r="D130" s="1"/>
      <c r="E130" s="1"/>
      <c r="F130" s="1"/>
      <c r="G130" s="1"/>
      <c r="H130" s="67"/>
    </row>
    <row r="131" spans="1:8" x14ac:dyDescent="0.2">
      <c r="A131" s="1"/>
      <c r="B131" s="1"/>
      <c r="C131" s="2" t="s">
        <v>125</v>
      </c>
      <c r="D131" s="1"/>
      <c r="E131" s="1"/>
      <c r="F131" s="1"/>
      <c r="G131" s="1"/>
      <c r="H131" s="67"/>
    </row>
    <row r="132" spans="1:8" x14ac:dyDescent="0.2">
      <c r="A132" s="1"/>
      <c r="B132" s="1"/>
      <c r="C132" s="2" t="s">
        <v>126</v>
      </c>
      <c r="D132" s="1"/>
      <c r="E132" s="1"/>
      <c r="F132" s="1"/>
      <c r="G132" s="1"/>
      <c r="H132" s="67"/>
    </row>
    <row r="133" spans="1:8" x14ac:dyDescent="0.2">
      <c r="A133" s="1"/>
      <c r="B133" s="1"/>
      <c r="C133" s="2" t="s">
        <v>105</v>
      </c>
      <c r="D133" s="1"/>
      <c r="E133" s="1" t="s">
        <v>106</v>
      </c>
      <c r="F133" s="13">
        <v>0</v>
      </c>
      <c r="G133" s="14">
        <v>0</v>
      </c>
      <c r="H133" s="67"/>
    </row>
    <row r="134" spans="1:8" x14ac:dyDescent="0.2">
      <c r="A134" s="1"/>
      <c r="B134" s="1"/>
      <c r="C134" s="11"/>
      <c r="D134" s="1"/>
      <c r="E134" s="1"/>
      <c r="F134" s="12"/>
      <c r="G134" s="12"/>
      <c r="H134" s="67"/>
    </row>
    <row r="135" spans="1:8" x14ac:dyDescent="0.2">
      <c r="A135" s="1"/>
      <c r="B135" s="1"/>
      <c r="C135" s="2" t="s">
        <v>127</v>
      </c>
      <c r="D135" s="1"/>
      <c r="E135" s="1"/>
      <c r="F135" s="1"/>
      <c r="G135" s="1"/>
      <c r="H135" s="67"/>
    </row>
    <row r="136" spans="1:8" x14ac:dyDescent="0.2">
      <c r="A136" s="1"/>
      <c r="B136" s="1"/>
      <c r="C136" s="2" t="s">
        <v>128</v>
      </c>
      <c r="D136" s="1"/>
      <c r="E136" s="1"/>
      <c r="F136" s="1"/>
      <c r="G136" s="1"/>
      <c r="H136" s="67"/>
    </row>
    <row r="137" spans="1:8" x14ac:dyDescent="0.2">
      <c r="A137" s="1"/>
      <c r="B137" s="1"/>
      <c r="C137" s="2" t="s">
        <v>105</v>
      </c>
      <c r="D137" s="1"/>
      <c r="E137" s="1" t="s">
        <v>106</v>
      </c>
      <c r="F137" s="13">
        <v>0</v>
      </c>
      <c r="G137" s="14">
        <v>0</v>
      </c>
      <c r="H137" s="67"/>
    </row>
    <row r="138" spans="1:8" x14ac:dyDescent="0.2">
      <c r="A138" s="1"/>
      <c r="B138" s="1"/>
      <c r="C138" s="11"/>
      <c r="D138" s="1"/>
      <c r="E138" s="1"/>
      <c r="F138" s="12"/>
      <c r="G138" s="12"/>
      <c r="H138" s="67"/>
    </row>
    <row r="139" spans="1:8" x14ac:dyDescent="0.2">
      <c r="A139" s="1"/>
      <c r="B139" s="1"/>
      <c r="C139" s="11"/>
      <c r="D139" s="1"/>
      <c r="E139" s="1"/>
      <c r="F139" s="12"/>
      <c r="G139" s="12"/>
      <c r="H139" s="67"/>
    </row>
    <row r="140" spans="1:8" ht="25.5" x14ac:dyDescent="0.2">
      <c r="A140" s="1"/>
      <c r="B140" s="1"/>
      <c r="C140" s="2" t="s">
        <v>129</v>
      </c>
      <c r="D140" s="1"/>
      <c r="E140" s="1"/>
      <c r="F140" s="12"/>
      <c r="G140" s="12"/>
      <c r="H140" s="67"/>
    </row>
    <row r="141" spans="1:8" x14ac:dyDescent="0.2">
      <c r="A141" s="1"/>
      <c r="B141" s="1"/>
      <c r="C141" s="2" t="s">
        <v>105</v>
      </c>
      <c r="D141" s="1"/>
      <c r="E141" s="1" t="s">
        <v>106</v>
      </c>
      <c r="F141" s="13">
        <v>0</v>
      </c>
      <c r="G141" s="14">
        <v>0</v>
      </c>
      <c r="H141" s="67"/>
    </row>
    <row r="142" spans="1:8" x14ac:dyDescent="0.2">
      <c r="A142" s="1"/>
      <c r="B142" s="1"/>
      <c r="C142" s="11"/>
      <c r="D142" s="1"/>
      <c r="E142" s="1"/>
      <c r="F142" s="12"/>
      <c r="G142" s="12"/>
      <c r="H142" s="67"/>
    </row>
    <row r="143" spans="1:8" x14ac:dyDescent="0.2">
      <c r="A143" s="1"/>
      <c r="B143" s="4"/>
      <c r="C143" s="4"/>
      <c r="D143" s="2"/>
      <c r="E143" s="1"/>
      <c r="F143" s="4"/>
      <c r="G143" s="8"/>
      <c r="H143" s="67"/>
    </row>
    <row r="144" spans="1:8" x14ac:dyDescent="0.2">
      <c r="A144" s="8"/>
      <c r="B144" s="4"/>
      <c r="C144" s="4" t="s">
        <v>130</v>
      </c>
      <c r="D144" s="4"/>
      <c r="E144" s="8"/>
      <c r="F144" s="6">
        <v>-3.9405809700000001</v>
      </c>
      <c r="G144" s="7">
        <v>-1.5821100000000001E-4</v>
      </c>
      <c r="H144" s="67"/>
    </row>
    <row r="145" spans="1:8" x14ac:dyDescent="0.2">
      <c r="A145" s="11"/>
      <c r="B145" s="11"/>
      <c r="C145" s="2" t="s">
        <v>131</v>
      </c>
      <c r="D145" s="15"/>
      <c r="E145" s="15"/>
      <c r="F145" s="9">
        <v>24907.172290729999</v>
      </c>
      <c r="G145" s="10">
        <v>1.0000000010000001</v>
      </c>
      <c r="H145" s="67"/>
    </row>
    <row r="146" spans="1:8" ht="14.1" customHeight="1" x14ac:dyDescent="0.2">
      <c r="A146" s="16"/>
      <c r="B146" s="16"/>
      <c r="C146" s="16"/>
      <c r="D146" s="17"/>
      <c r="E146" s="17"/>
      <c r="F146" s="17"/>
      <c r="G146" s="17"/>
    </row>
    <row r="147" spans="1:8" ht="14.1" customHeight="1" x14ac:dyDescent="0.2">
      <c r="A147" s="18"/>
      <c r="B147" s="170" t="s">
        <v>106</v>
      </c>
      <c r="C147" s="170"/>
      <c r="D147" s="170"/>
      <c r="E147" s="170"/>
      <c r="F147" s="170"/>
      <c r="G147" s="20"/>
    </row>
    <row r="148" spans="1:8" ht="14.1" customHeight="1" x14ac:dyDescent="0.2">
      <c r="A148" s="18"/>
      <c r="B148" s="170" t="s">
        <v>106</v>
      </c>
      <c r="C148" s="170"/>
      <c r="D148" s="170"/>
      <c r="E148" s="170"/>
      <c r="F148" s="170"/>
      <c r="G148" s="20"/>
    </row>
    <row r="149" spans="1:8" ht="14.1" customHeight="1" x14ac:dyDescent="0.2">
      <c r="A149" s="18"/>
      <c r="B149" s="18"/>
      <c r="C149" s="18"/>
      <c r="D149" s="20"/>
      <c r="E149" s="20"/>
      <c r="F149" s="20"/>
      <c r="G149" s="20"/>
    </row>
    <row r="150" spans="1:8" ht="14.1" customHeight="1" x14ac:dyDescent="0.2">
      <c r="A150" s="18"/>
      <c r="B150" s="168" t="s">
        <v>133</v>
      </c>
      <c r="C150" s="169"/>
      <c r="D150" s="12" t="s">
        <v>106</v>
      </c>
      <c r="E150" s="21"/>
      <c r="F150" s="20"/>
      <c r="G150" s="20"/>
    </row>
    <row r="151" spans="1:8" ht="29.1" customHeight="1" x14ac:dyDescent="0.2">
      <c r="A151" s="18"/>
      <c r="B151" s="165" t="s">
        <v>134</v>
      </c>
      <c r="C151" s="166"/>
      <c r="D151" s="2" t="s">
        <v>135</v>
      </c>
      <c r="E151" s="21"/>
      <c r="F151" s="20"/>
      <c r="G151" s="20"/>
    </row>
    <row r="152" spans="1:8" ht="17.100000000000001" customHeight="1" x14ac:dyDescent="0.2">
      <c r="A152" s="18"/>
      <c r="B152" s="165" t="s">
        <v>136</v>
      </c>
      <c r="C152" s="166"/>
      <c r="D152" s="2" t="s">
        <v>135</v>
      </c>
      <c r="E152" s="21"/>
      <c r="F152" s="20"/>
      <c r="G152" s="20"/>
    </row>
    <row r="153" spans="1:8" ht="17.100000000000001" customHeight="1" x14ac:dyDescent="0.2">
      <c r="A153" s="18"/>
      <c r="B153" s="165" t="s">
        <v>137</v>
      </c>
      <c r="C153" s="166"/>
      <c r="D153" s="12" t="s">
        <v>106</v>
      </c>
      <c r="E153" s="21"/>
      <c r="F153" s="20"/>
      <c r="G153" s="20"/>
    </row>
    <row r="154" spans="1:8" ht="24" customHeight="1" x14ac:dyDescent="0.2">
      <c r="A154" s="22"/>
      <c r="B154" s="23" t="s">
        <v>106</v>
      </c>
      <c r="C154" s="23" t="s">
        <v>138</v>
      </c>
      <c r="D154" s="23" t="s">
        <v>139</v>
      </c>
      <c r="E154" s="22"/>
      <c r="F154" s="22"/>
      <c r="G154" s="22"/>
    </row>
    <row r="155" spans="1:8" ht="18" customHeight="1" x14ac:dyDescent="0.2">
      <c r="A155" s="22"/>
      <c r="B155" s="23" t="s">
        <v>140</v>
      </c>
      <c r="C155" s="23" t="s">
        <v>141</v>
      </c>
      <c r="D155" s="23" t="s">
        <v>142</v>
      </c>
      <c r="E155" s="22"/>
      <c r="F155" s="22"/>
      <c r="G155" s="22"/>
    </row>
    <row r="156" spans="1:8" ht="17.100000000000001" customHeight="1" x14ac:dyDescent="0.2">
      <c r="A156" s="22"/>
      <c r="B156" s="4" t="s">
        <v>143</v>
      </c>
      <c r="C156" s="24">
        <v>16.249300000000002</v>
      </c>
      <c r="D156" s="24">
        <v>16.356999999999999</v>
      </c>
      <c r="E156" s="22"/>
      <c r="F156" s="19"/>
      <c r="G156" s="25"/>
    </row>
    <row r="157" spans="1:8" ht="17.100000000000001" customHeight="1" x14ac:dyDescent="0.2">
      <c r="A157" s="22"/>
      <c r="B157" s="4" t="s">
        <v>988</v>
      </c>
      <c r="C157" s="24">
        <v>15.951000000000001</v>
      </c>
      <c r="D157" s="24">
        <v>16.0566</v>
      </c>
      <c r="E157" s="22"/>
      <c r="F157" s="19"/>
      <c r="G157" s="25"/>
    </row>
    <row r="158" spans="1:8" ht="17.100000000000001" customHeight="1" x14ac:dyDescent="0.2">
      <c r="A158" s="22"/>
      <c r="B158" s="4" t="s">
        <v>144</v>
      </c>
      <c r="C158" s="24">
        <v>15.821199999999999</v>
      </c>
      <c r="D158" s="24">
        <v>15.917899999999999</v>
      </c>
      <c r="E158" s="22"/>
      <c r="F158" s="19"/>
      <c r="G158" s="25"/>
    </row>
    <row r="159" spans="1:8" ht="17.100000000000001" customHeight="1" x14ac:dyDescent="0.2">
      <c r="A159" s="22"/>
      <c r="B159" s="4" t="s">
        <v>989</v>
      </c>
      <c r="C159" s="24">
        <v>15.523099999999999</v>
      </c>
      <c r="D159" s="24">
        <v>15.618</v>
      </c>
      <c r="E159" s="22"/>
      <c r="F159" s="19"/>
      <c r="G159" s="25"/>
    </row>
    <row r="160" spans="1:8" ht="14.1" customHeight="1" x14ac:dyDescent="0.2">
      <c r="A160" s="22"/>
      <c r="B160" s="22"/>
      <c r="C160" s="22"/>
      <c r="D160" s="22"/>
      <c r="E160" s="22"/>
      <c r="F160" s="22"/>
      <c r="G160" s="22"/>
    </row>
    <row r="161" spans="1:7" ht="17.100000000000001" customHeight="1" x14ac:dyDescent="0.2">
      <c r="A161" s="22"/>
      <c r="B161" s="165" t="s">
        <v>990</v>
      </c>
      <c r="C161" s="166"/>
      <c r="D161" s="2" t="s">
        <v>135</v>
      </c>
      <c r="E161" s="22"/>
      <c r="F161" s="22"/>
      <c r="G161" s="22"/>
    </row>
    <row r="162" spans="1:7" ht="18" customHeight="1" x14ac:dyDescent="0.2">
      <c r="A162" s="22"/>
      <c r="B162" s="26" t="s">
        <v>145</v>
      </c>
      <c r="C162" s="26" t="s">
        <v>145</v>
      </c>
      <c r="D162" s="26"/>
      <c r="E162" s="22"/>
      <c r="F162" s="22"/>
      <c r="G162" s="22"/>
    </row>
    <row r="163" spans="1:7" s="158" customFormat="1" x14ac:dyDescent="0.2">
      <c r="B163" s="167" t="s">
        <v>822</v>
      </c>
      <c r="C163" s="167"/>
      <c r="D163" s="167"/>
      <c r="E163" s="167"/>
      <c r="F163" s="167"/>
    </row>
    <row r="164" spans="1:7" ht="14.1" customHeight="1" x14ac:dyDescent="0.2">
      <c r="A164" s="22"/>
      <c r="B164" s="19"/>
      <c r="C164" s="19"/>
      <c r="D164" s="22"/>
      <c r="E164" s="22"/>
      <c r="F164" s="22"/>
      <c r="G164" s="22"/>
    </row>
    <row r="165" spans="1:7" ht="29.1" customHeight="1" x14ac:dyDescent="0.2">
      <c r="A165" s="22"/>
      <c r="B165" s="165" t="s">
        <v>146</v>
      </c>
      <c r="C165" s="166"/>
      <c r="D165" s="2" t="s">
        <v>135</v>
      </c>
      <c r="E165" s="22"/>
      <c r="F165" s="22"/>
      <c r="G165" s="22"/>
    </row>
    <row r="166" spans="1:7" ht="29.1" customHeight="1" x14ac:dyDescent="0.2">
      <c r="A166" s="22"/>
      <c r="B166" s="165" t="s">
        <v>147</v>
      </c>
      <c r="C166" s="166"/>
      <c r="D166" s="2" t="s">
        <v>135</v>
      </c>
      <c r="E166" s="22"/>
      <c r="F166" s="22"/>
      <c r="G166" s="22"/>
    </row>
    <row r="167" spans="1:7" ht="17.100000000000001" customHeight="1" x14ac:dyDescent="0.2">
      <c r="A167" s="22"/>
      <c r="B167" s="165" t="s">
        <v>148</v>
      </c>
      <c r="C167" s="166"/>
      <c r="D167" s="27">
        <v>0.45413167674081162</v>
      </c>
      <c r="E167" s="22"/>
      <c r="F167" s="19"/>
      <c r="G167" s="25"/>
    </row>
    <row r="168" spans="1:7" ht="17.100000000000001" customHeight="1" x14ac:dyDescent="0.2">
      <c r="A168" s="22"/>
      <c r="B168" s="165" t="s">
        <v>149</v>
      </c>
      <c r="C168" s="166"/>
      <c r="D168" s="2" t="s">
        <v>135</v>
      </c>
      <c r="E168" s="22"/>
      <c r="F168" s="22"/>
      <c r="G168" s="22"/>
    </row>
  </sheetData>
  <mergeCells count="15">
    <mergeCell ref="B150:C150"/>
    <mergeCell ref="B147:F147"/>
    <mergeCell ref="B148:F148"/>
    <mergeCell ref="A1:H1"/>
    <mergeCell ref="A2:H2"/>
    <mergeCell ref="A3:H3"/>
    <mergeCell ref="B167:C167"/>
    <mergeCell ref="B168:C168"/>
    <mergeCell ref="B151:C151"/>
    <mergeCell ref="B152:C152"/>
    <mergeCell ref="B153:C153"/>
    <mergeCell ref="B161:C161"/>
    <mergeCell ref="B165:C165"/>
    <mergeCell ref="B166:C166"/>
    <mergeCell ref="B163:F16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6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468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151</v>
      </c>
      <c r="C7" s="4" t="s">
        <v>152</v>
      </c>
      <c r="D7" s="4" t="s">
        <v>153</v>
      </c>
      <c r="E7" s="5">
        <v>15229</v>
      </c>
      <c r="F7" s="6">
        <v>613.363204</v>
      </c>
      <c r="G7" s="7">
        <v>3.4464348999999998E-2</v>
      </c>
      <c r="H7" s="67"/>
    </row>
    <row r="8" spans="1:8" x14ac:dyDescent="0.2">
      <c r="A8" s="3">
        <v>2</v>
      </c>
      <c r="B8" s="4" t="s">
        <v>25</v>
      </c>
      <c r="C8" s="4" t="s">
        <v>26</v>
      </c>
      <c r="D8" s="4" t="s">
        <v>27</v>
      </c>
      <c r="E8" s="5">
        <v>45249</v>
      </c>
      <c r="F8" s="6">
        <v>584.14196549999997</v>
      </c>
      <c r="G8" s="7">
        <v>3.2822432999999998E-2</v>
      </c>
      <c r="H8" s="67"/>
    </row>
    <row r="9" spans="1:8" x14ac:dyDescent="0.2">
      <c r="A9" s="3">
        <v>3</v>
      </c>
      <c r="B9" s="4" t="s">
        <v>154</v>
      </c>
      <c r="C9" s="4" t="s">
        <v>155</v>
      </c>
      <c r="D9" s="4" t="s">
        <v>81</v>
      </c>
      <c r="E9" s="5">
        <v>389455</v>
      </c>
      <c r="F9" s="6">
        <v>459.16744499999999</v>
      </c>
      <c r="G9" s="7">
        <v>2.5800223000000001E-2</v>
      </c>
      <c r="H9" s="67"/>
    </row>
    <row r="10" spans="1:8" x14ac:dyDescent="0.2">
      <c r="A10" s="3">
        <v>4</v>
      </c>
      <c r="B10" s="4" t="s">
        <v>158</v>
      </c>
      <c r="C10" s="4" t="s">
        <v>159</v>
      </c>
      <c r="D10" s="4" t="s">
        <v>27</v>
      </c>
      <c r="E10" s="5">
        <v>58698</v>
      </c>
      <c r="F10" s="6">
        <v>447.33745800000003</v>
      </c>
      <c r="G10" s="7">
        <v>2.5135505999999998E-2</v>
      </c>
      <c r="H10" s="67"/>
    </row>
    <row r="11" spans="1:8" x14ac:dyDescent="0.2">
      <c r="A11" s="3">
        <v>5</v>
      </c>
      <c r="B11" s="4" t="s">
        <v>296</v>
      </c>
      <c r="C11" s="4" t="s">
        <v>297</v>
      </c>
      <c r="D11" s="4" t="s">
        <v>27</v>
      </c>
      <c r="E11" s="5">
        <v>64998</v>
      </c>
      <c r="F11" s="6">
        <v>442.668879</v>
      </c>
      <c r="G11" s="7">
        <v>2.4873182000000001E-2</v>
      </c>
      <c r="H11" s="67"/>
    </row>
    <row r="12" spans="1:8" x14ac:dyDescent="0.2">
      <c r="A12" s="3">
        <v>6</v>
      </c>
      <c r="B12" s="4" t="s">
        <v>162</v>
      </c>
      <c r="C12" s="4" t="s">
        <v>163</v>
      </c>
      <c r="D12" s="4" t="s">
        <v>27</v>
      </c>
      <c r="E12" s="5">
        <v>53823</v>
      </c>
      <c r="F12" s="6">
        <v>411.44992350000001</v>
      </c>
      <c r="G12" s="7">
        <v>2.3119015999999999E-2</v>
      </c>
      <c r="H12" s="67"/>
    </row>
    <row r="13" spans="1:8" x14ac:dyDescent="0.2">
      <c r="A13" s="3">
        <v>7</v>
      </c>
      <c r="B13" s="4" t="s">
        <v>164</v>
      </c>
      <c r="C13" s="4" t="s">
        <v>165</v>
      </c>
      <c r="D13" s="4" t="s">
        <v>166</v>
      </c>
      <c r="E13" s="5">
        <v>120968</v>
      </c>
      <c r="F13" s="6">
        <v>407.42022400000002</v>
      </c>
      <c r="G13" s="7">
        <v>2.2892591E-2</v>
      </c>
      <c r="H13" s="67"/>
    </row>
    <row r="14" spans="1:8" x14ac:dyDescent="0.2">
      <c r="A14" s="3">
        <v>8</v>
      </c>
      <c r="B14" s="4" t="s">
        <v>466</v>
      </c>
      <c r="C14" s="4" t="s">
        <v>467</v>
      </c>
      <c r="D14" s="4" t="s">
        <v>187</v>
      </c>
      <c r="E14" s="5">
        <v>62069</v>
      </c>
      <c r="F14" s="6">
        <v>392.15194200000002</v>
      </c>
      <c r="G14" s="7">
        <v>2.2034679000000001E-2</v>
      </c>
      <c r="H14" s="67"/>
    </row>
    <row r="15" spans="1:8" x14ac:dyDescent="0.2">
      <c r="A15" s="3">
        <v>9</v>
      </c>
      <c r="B15" s="4" t="s">
        <v>37</v>
      </c>
      <c r="C15" s="4" t="s">
        <v>38</v>
      </c>
      <c r="D15" s="4" t="s">
        <v>27</v>
      </c>
      <c r="E15" s="5">
        <v>31667</v>
      </c>
      <c r="F15" s="6">
        <v>377.13813649999997</v>
      </c>
      <c r="G15" s="7">
        <v>2.1191067000000001E-2</v>
      </c>
      <c r="H15" s="67"/>
    </row>
    <row r="16" spans="1:8" ht="25.5" x14ac:dyDescent="0.2">
      <c r="A16" s="3">
        <v>10</v>
      </c>
      <c r="B16" s="4" t="s">
        <v>30</v>
      </c>
      <c r="C16" s="4" t="s">
        <v>998</v>
      </c>
      <c r="D16" s="4" t="s">
        <v>992</v>
      </c>
      <c r="E16" s="5">
        <v>10728</v>
      </c>
      <c r="F16" s="6">
        <v>350.95579199999997</v>
      </c>
      <c r="G16" s="7">
        <v>1.9719903E-2</v>
      </c>
      <c r="H16" s="67"/>
    </row>
    <row r="17" spans="1:8" x14ac:dyDescent="0.2">
      <c r="A17" s="3">
        <v>11</v>
      </c>
      <c r="B17" s="4" t="s">
        <v>167</v>
      </c>
      <c r="C17" s="4" t="s">
        <v>168</v>
      </c>
      <c r="D17" s="4" t="s">
        <v>166</v>
      </c>
      <c r="E17" s="5">
        <v>10158</v>
      </c>
      <c r="F17" s="6">
        <v>337.45383900000002</v>
      </c>
      <c r="G17" s="7">
        <v>1.8961240000000001E-2</v>
      </c>
      <c r="H17" s="67"/>
    </row>
    <row r="18" spans="1:8" x14ac:dyDescent="0.2">
      <c r="A18" s="3">
        <v>12</v>
      </c>
      <c r="B18" s="4" t="s">
        <v>448</v>
      </c>
      <c r="C18" s="4" t="s">
        <v>449</v>
      </c>
      <c r="D18" s="4" t="s">
        <v>55</v>
      </c>
      <c r="E18" s="5">
        <v>101250</v>
      </c>
      <c r="F18" s="6">
        <v>334.88437499999998</v>
      </c>
      <c r="G18" s="7">
        <v>1.8816863999999999E-2</v>
      </c>
      <c r="H18" s="67"/>
    </row>
    <row r="19" spans="1:8" x14ac:dyDescent="0.2">
      <c r="A19" s="3">
        <v>13</v>
      </c>
      <c r="B19" s="4" t="s">
        <v>174</v>
      </c>
      <c r="C19" s="4" t="s">
        <v>175</v>
      </c>
      <c r="D19" s="4" t="s">
        <v>55</v>
      </c>
      <c r="E19" s="5">
        <v>80777</v>
      </c>
      <c r="F19" s="6">
        <v>325.16781350000002</v>
      </c>
      <c r="G19" s="7">
        <v>1.8270899E-2</v>
      </c>
      <c r="H19" s="67"/>
    </row>
    <row r="20" spans="1:8" x14ac:dyDescent="0.2">
      <c r="A20" s="3">
        <v>14</v>
      </c>
      <c r="B20" s="4" t="s">
        <v>63</v>
      </c>
      <c r="C20" s="4" t="s">
        <v>64</v>
      </c>
      <c r="D20" s="4" t="s">
        <v>55</v>
      </c>
      <c r="E20" s="5">
        <v>117577</v>
      </c>
      <c r="F20" s="6">
        <v>304.52443</v>
      </c>
      <c r="G20" s="7">
        <v>1.7110964999999999E-2</v>
      </c>
      <c r="H20" s="67"/>
    </row>
    <row r="21" spans="1:8" x14ac:dyDescent="0.2">
      <c r="A21" s="3">
        <v>15</v>
      </c>
      <c r="B21" s="4" t="s">
        <v>180</v>
      </c>
      <c r="C21" s="4" t="s">
        <v>181</v>
      </c>
      <c r="D21" s="4" t="s">
        <v>171</v>
      </c>
      <c r="E21" s="5">
        <v>22184</v>
      </c>
      <c r="F21" s="6">
        <v>302.73395599999998</v>
      </c>
      <c r="G21" s="7">
        <v>1.7010359999999999E-2</v>
      </c>
      <c r="H21" s="67"/>
    </row>
    <row r="22" spans="1:8" x14ac:dyDescent="0.2">
      <c r="A22" s="3">
        <v>16</v>
      </c>
      <c r="B22" s="4" t="s">
        <v>177</v>
      </c>
      <c r="C22" s="4" t="s">
        <v>178</v>
      </c>
      <c r="D22" s="4" t="s">
        <v>179</v>
      </c>
      <c r="E22" s="5">
        <v>124748</v>
      </c>
      <c r="F22" s="6">
        <v>298.77145999999999</v>
      </c>
      <c r="G22" s="7">
        <v>1.6787711E-2</v>
      </c>
      <c r="H22" s="67"/>
    </row>
    <row r="23" spans="1:8" ht="25.5" x14ac:dyDescent="0.2">
      <c r="A23" s="3">
        <v>17</v>
      </c>
      <c r="B23" s="4" t="s">
        <v>176</v>
      </c>
      <c r="C23" s="4" t="s">
        <v>995</v>
      </c>
      <c r="D23" s="4" t="s">
        <v>992</v>
      </c>
      <c r="E23" s="5">
        <v>111054</v>
      </c>
      <c r="F23" s="6">
        <v>293.848884</v>
      </c>
      <c r="G23" s="7">
        <v>1.6511115E-2</v>
      </c>
      <c r="H23" s="67"/>
    </row>
    <row r="24" spans="1:8" x14ac:dyDescent="0.2">
      <c r="A24" s="3">
        <v>18</v>
      </c>
      <c r="B24" s="4" t="s">
        <v>192</v>
      </c>
      <c r="C24" s="4" t="s">
        <v>193</v>
      </c>
      <c r="D24" s="4" t="s">
        <v>81</v>
      </c>
      <c r="E24" s="5">
        <v>46566</v>
      </c>
      <c r="F24" s="6">
        <v>265.72887900000001</v>
      </c>
      <c r="G24" s="7">
        <v>1.4931076999999999E-2</v>
      </c>
      <c r="H24" s="67"/>
    </row>
    <row r="25" spans="1:8" x14ac:dyDescent="0.2">
      <c r="A25" s="3">
        <v>19</v>
      </c>
      <c r="B25" s="4" t="s">
        <v>188</v>
      </c>
      <c r="C25" s="4" t="s">
        <v>189</v>
      </c>
      <c r="D25" s="4" t="s">
        <v>166</v>
      </c>
      <c r="E25" s="5">
        <v>5528</v>
      </c>
      <c r="F25" s="6">
        <v>263.09963199999999</v>
      </c>
      <c r="G25" s="7">
        <v>1.4783341E-2</v>
      </c>
      <c r="H25" s="67"/>
    </row>
    <row r="26" spans="1:8" x14ac:dyDescent="0.2">
      <c r="A26" s="3">
        <v>20</v>
      </c>
      <c r="B26" s="4" t="s">
        <v>198</v>
      </c>
      <c r="C26" s="4" t="s">
        <v>199</v>
      </c>
      <c r="D26" s="4" t="s">
        <v>166</v>
      </c>
      <c r="E26" s="5">
        <v>26792</v>
      </c>
      <c r="F26" s="6">
        <v>261.87840399999999</v>
      </c>
      <c r="G26" s="7">
        <v>1.4714722E-2</v>
      </c>
      <c r="H26" s="67"/>
    </row>
    <row r="27" spans="1:8" ht="25.5" x14ac:dyDescent="0.2">
      <c r="A27" s="3">
        <v>21</v>
      </c>
      <c r="B27" s="4" t="s">
        <v>202</v>
      </c>
      <c r="C27" s="4" t="s">
        <v>203</v>
      </c>
      <c r="D27" s="4" t="s">
        <v>52</v>
      </c>
      <c r="E27" s="5">
        <v>55539</v>
      </c>
      <c r="F27" s="6">
        <v>258.95058749999998</v>
      </c>
      <c r="G27" s="7">
        <v>1.4550209999999999E-2</v>
      </c>
      <c r="H27" s="67"/>
    </row>
    <row r="28" spans="1:8" x14ac:dyDescent="0.2">
      <c r="A28" s="3">
        <v>22</v>
      </c>
      <c r="B28" s="4" t="s">
        <v>196</v>
      </c>
      <c r="C28" s="4" t="s">
        <v>197</v>
      </c>
      <c r="D28" s="4" t="s">
        <v>1004</v>
      </c>
      <c r="E28" s="5">
        <v>83551</v>
      </c>
      <c r="F28" s="6">
        <v>258.38146749999999</v>
      </c>
      <c r="G28" s="7">
        <v>1.4518232000000001E-2</v>
      </c>
      <c r="H28" s="67"/>
    </row>
    <row r="29" spans="1:8" x14ac:dyDescent="0.2">
      <c r="A29" s="3">
        <v>23</v>
      </c>
      <c r="B29" s="4" t="s">
        <v>456</v>
      </c>
      <c r="C29" s="4" t="s">
        <v>457</v>
      </c>
      <c r="D29" s="4" t="s">
        <v>212</v>
      </c>
      <c r="E29" s="5">
        <v>43487</v>
      </c>
      <c r="F29" s="6">
        <v>257.02991350000002</v>
      </c>
      <c r="G29" s="7">
        <v>1.4442289000000001E-2</v>
      </c>
      <c r="H29" s="67"/>
    </row>
    <row r="30" spans="1:8" ht="25.5" x14ac:dyDescent="0.2">
      <c r="A30" s="3">
        <v>24</v>
      </c>
      <c r="B30" s="4" t="s">
        <v>450</v>
      </c>
      <c r="C30" s="4" t="s">
        <v>451</v>
      </c>
      <c r="D30" s="4" t="s">
        <v>36</v>
      </c>
      <c r="E30" s="5">
        <v>17534</v>
      </c>
      <c r="F30" s="6">
        <v>254.53231099999999</v>
      </c>
      <c r="G30" s="7">
        <v>1.4301951E-2</v>
      </c>
      <c r="H30" s="67"/>
    </row>
    <row r="31" spans="1:8" x14ac:dyDescent="0.2">
      <c r="A31" s="3">
        <v>25</v>
      </c>
      <c r="B31" s="4" t="s">
        <v>208</v>
      </c>
      <c r="C31" s="4" t="s">
        <v>209</v>
      </c>
      <c r="D31" s="4" t="s">
        <v>1005</v>
      </c>
      <c r="E31" s="5">
        <v>30000</v>
      </c>
      <c r="F31" s="6">
        <v>254.05500000000001</v>
      </c>
      <c r="G31" s="7">
        <v>1.4275131E-2</v>
      </c>
      <c r="H31" s="67"/>
    </row>
    <row r="32" spans="1:8" x14ac:dyDescent="0.2">
      <c r="A32" s="3">
        <v>26</v>
      </c>
      <c r="B32" s="4" t="s">
        <v>185</v>
      </c>
      <c r="C32" s="4" t="s">
        <v>186</v>
      </c>
      <c r="D32" s="4" t="s">
        <v>187</v>
      </c>
      <c r="E32" s="5">
        <v>52345</v>
      </c>
      <c r="F32" s="6">
        <v>251.12513749999999</v>
      </c>
      <c r="G32" s="7">
        <v>1.4110505000000001E-2</v>
      </c>
      <c r="H32" s="67"/>
    </row>
    <row r="33" spans="1:8" x14ac:dyDescent="0.2">
      <c r="A33" s="3">
        <v>27</v>
      </c>
      <c r="B33" s="4" t="s">
        <v>206</v>
      </c>
      <c r="C33" s="4" t="s">
        <v>207</v>
      </c>
      <c r="D33" s="4" t="s">
        <v>187</v>
      </c>
      <c r="E33" s="5">
        <v>37335</v>
      </c>
      <c r="F33" s="6">
        <v>248.87511000000001</v>
      </c>
      <c r="G33" s="7">
        <v>1.3984078E-2</v>
      </c>
      <c r="H33" s="67"/>
    </row>
    <row r="34" spans="1:8" x14ac:dyDescent="0.2">
      <c r="A34" s="3">
        <v>28</v>
      </c>
      <c r="B34" s="4" t="s">
        <v>342</v>
      </c>
      <c r="C34" s="4" t="s">
        <v>343</v>
      </c>
      <c r="D34" s="4" t="s">
        <v>171</v>
      </c>
      <c r="E34" s="5">
        <v>6790</v>
      </c>
      <c r="F34" s="6">
        <v>248.01154</v>
      </c>
      <c r="G34" s="7">
        <v>1.3935555000000001E-2</v>
      </c>
      <c r="H34" s="67"/>
    </row>
    <row r="35" spans="1:8" x14ac:dyDescent="0.2">
      <c r="A35" s="3">
        <v>29</v>
      </c>
      <c r="B35" s="4" t="s">
        <v>204</v>
      </c>
      <c r="C35" s="4" t="s">
        <v>205</v>
      </c>
      <c r="D35" s="4" t="s">
        <v>27</v>
      </c>
      <c r="E35" s="5">
        <v>14859</v>
      </c>
      <c r="F35" s="6">
        <v>246.75598350000001</v>
      </c>
      <c r="G35" s="7">
        <v>1.3865005999999999E-2</v>
      </c>
      <c r="H35" s="67"/>
    </row>
    <row r="36" spans="1:8" x14ac:dyDescent="0.2">
      <c r="A36" s="3">
        <v>30</v>
      </c>
      <c r="B36" s="4" t="s">
        <v>194</v>
      </c>
      <c r="C36" s="4" t="s">
        <v>195</v>
      </c>
      <c r="D36" s="4" t="s">
        <v>55</v>
      </c>
      <c r="E36" s="5">
        <v>25415</v>
      </c>
      <c r="F36" s="6">
        <v>244.94977</v>
      </c>
      <c r="G36" s="7">
        <v>1.3763516E-2</v>
      </c>
      <c r="H36" s="67"/>
    </row>
    <row r="37" spans="1:8" x14ac:dyDescent="0.2">
      <c r="A37" s="3">
        <v>31</v>
      </c>
      <c r="B37" s="4" t="s">
        <v>169</v>
      </c>
      <c r="C37" s="4" t="s">
        <v>170</v>
      </c>
      <c r="D37" s="4" t="s">
        <v>171</v>
      </c>
      <c r="E37" s="5">
        <v>32998</v>
      </c>
      <c r="F37" s="6">
        <v>238.57553999999999</v>
      </c>
      <c r="G37" s="7">
        <v>1.3405354E-2</v>
      </c>
      <c r="H37" s="67"/>
    </row>
    <row r="38" spans="1:8" x14ac:dyDescent="0.2">
      <c r="A38" s="3">
        <v>32</v>
      </c>
      <c r="B38" s="4" t="s">
        <v>172</v>
      </c>
      <c r="C38" s="4" t="s">
        <v>173</v>
      </c>
      <c r="D38" s="4" t="s">
        <v>331</v>
      </c>
      <c r="E38" s="5">
        <v>24546</v>
      </c>
      <c r="F38" s="6">
        <v>234.03383700000001</v>
      </c>
      <c r="G38" s="7">
        <v>1.3150159E-2</v>
      </c>
      <c r="H38" s="67"/>
    </row>
    <row r="39" spans="1:8" ht="25.5" x14ac:dyDescent="0.2">
      <c r="A39" s="3">
        <v>33</v>
      </c>
      <c r="B39" s="4" t="s">
        <v>217</v>
      </c>
      <c r="C39" s="4" t="s">
        <v>218</v>
      </c>
      <c r="D39" s="4" t="s">
        <v>55</v>
      </c>
      <c r="E39" s="5">
        <v>10609</v>
      </c>
      <c r="F39" s="6">
        <v>232.7349375</v>
      </c>
      <c r="G39" s="7">
        <v>1.3077175E-2</v>
      </c>
      <c r="H39" s="67"/>
    </row>
    <row r="40" spans="1:8" x14ac:dyDescent="0.2">
      <c r="A40" s="3">
        <v>34</v>
      </c>
      <c r="B40" s="4" t="s">
        <v>213</v>
      </c>
      <c r="C40" s="4" t="s">
        <v>214</v>
      </c>
      <c r="D40" s="4" t="s">
        <v>81</v>
      </c>
      <c r="E40" s="5">
        <v>40036</v>
      </c>
      <c r="F40" s="6">
        <v>228.585542</v>
      </c>
      <c r="G40" s="7">
        <v>1.2844024000000001E-2</v>
      </c>
      <c r="H40" s="67"/>
    </row>
    <row r="41" spans="1:8" x14ac:dyDescent="0.2">
      <c r="A41" s="3">
        <v>35</v>
      </c>
      <c r="B41" s="4" t="s">
        <v>223</v>
      </c>
      <c r="C41" s="4" t="s">
        <v>224</v>
      </c>
      <c r="D41" s="4" t="s">
        <v>69</v>
      </c>
      <c r="E41" s="5">
        <v>26331</v>
      </c>
      <c r="F41" s="6">
        <v>227.1707025</v>
      </c>
      <c r="G41" s="7">
        <v>1.2764526E-2</v>
      </c>
      <c r="H41" s="67"/>
    </row>
    <row r="42" spans="1:8" x14ac:dyDescent="0.2">
      <c r="A42" s="3">
        <v>36</v>
      </c>
      <c r="B42" s="4" t="s">
        <v>210</v>
      </c>
      <c r="C42" s="4" t="s">
        <v>211</v>
      </c>
      <c r="D42" s="4" t="s">
        <v>212</v>
      </c>
      <c r="E42" s="5">
        <v>89345</v>
      </c>
      <c r="F42" s="6">
        <v>223.98791499999999</v>
      </c>
      <c r="G42" s="7">
        <v>1.2585687999999999E-2</v>
      </c>
      <c r="H42" s="67"/>
    </row>
    <row r="43" spans="1:8" x14ac:dyDescent="0.2">
      <c r="A43" s="3">
        <v>37</v>
      </c>
      <c r="B43" s="4" t="s">
        <v>452</v>
      </c>
      <c r="C43" s="4" t="s">
        <v>453</v>
      </c>
      <c r="D43" s="4" t="s">
        <v>27</v>
      </c>
      <c r="E43" s="5">
        <v>25628</v>
      </c>
      <c r="F43" s="6">
        <v>212.69958600000001</v>
      </c>
      <c r="G43" s="7">
        <v>1.1951405999999999E-2</v>
      </c>
      <c r="H43" s="67"/>
    </row>
    <row r="44" spans="1:8" x14ac:dyDescent="0.2">
      <c r="A44" s="3">
        <v>38</v>
      </c>
      <c r="B44" s="4" t="s">
        <v>219</v>
      </c>
      <c r="C44" s="4" t="s">
        <v>220</v>
      </c>
      <c r="D44" s="4" t="s">
        <v>55</v>
      </c>
      <c r="E44" s="5">
        <v>24424</v>
      </c>
      <c r="F44" s="6">
        <v>207.28648799999999</v>
      </c>
      <c r="G44" s="7">
        <v>1.1647249E-2</v>
      </c>
      <c r="H44" s="67"/>
    </row>
    <row r="45" spans="1:8" ht="25.5" x14ac:dyDescent="0.2">
      <c r="A45" s="3">
        <v>39</v>
      </c>
      <c r="B45" s="4" t="s">
        <v>221</v>
      </c>
      <c r="C45" s="4" t="s">
        <v>222</v>
      </c>
      <c r="D45" s="4" t="s">
        <v>36</v>
      </c>
      <c r="E45" s="5">
        <v>240780</v>
      </c>
      <c r="F45" s="6">
        <v>206.83001999999999</v>
      </c>
      <c r="G45" s="7">
        <v>1.1621599999999999E-2</v>
      </c>
      <c r="H45" s="67"/>
    </row>
    <row r="46" spans="1:8" x14ac:dyDescent="0.2">
      <c r="A46" s="3">
        <v>40</v>
      </c>
      <c r="B46" s="4" t="s">
        <v>215</v>
      </c>
      <c r="C46" s="4" t="s">
        <v>216</v>
      </c>
      <c r="D46" s="4" t="s">
        <v>69</v>
      </c>
      <c r="E46" s="5">
        <v>203257</v>
      </c>
      <c r="F46" s="6">
        <v>203.1553715</v>
      </c>
      <c r="G46" s="7">
        <v>1.1415125E-2</v>
      </c>
      <c r="H46" s="67"/>
    </row>
    <row r="47" spans="1:8" x14ac:dyDescent="0.2">
      <c r="A47" s="3">
        <v>41</v>
      </c>
      <c r="B47" s="4" t="s">
        <v>454</v>
      </c>
      <c r="C47" s="4" t="s">
        <v>455</v>
      </c>
      <c r="D47" s="4" t="s">
        <v>46</v>
      </c>
      <c r="E47" s="5">
        <v>47887</v>
      </c>
      <c r="F47" s="6">
        <v>195.666282</v>
      </c>
      <c r="G47" s="7">
        <v>1.099432E-2</v>
      </c>
      <c r="H47" s="67"/>
    </row>
    <row r="48" spans="1:8" x14ac:dyDescent="0.2">
      <c r="A48" s="3">
        <v>42</v>
      </c>
      <c r="B48" s="4" t="s">
        <v>182</v>
      </c>
      <c r="C48" s="4" t="s">
        <v>183</v>
      </c>
      <c r="D48" s="4" t="s">
        <v>184</v>
      </c>
      <c r="E48" s="5">
        <v>19644</v>
      </c>
      <c r="F48" s="6">
        <v>193.69966199999999</v>
      </c>
      <c r="G48" s="7">
        <v>1.0883817E-2</v>
      </c>
      <c r="H48" s="67"/>
    </row>
    <row r="49" spans="1:8" x14ac:dyDescent="0.2">
      <c r="A49" s="3">
        <v>43</v>
      </c>
      <c r="B49" s="4" t="s">
        <v>458</v>
      </c>
      <c r="C49" s="4" t="s">
        <v>459</v>
      </c>
      <c r="D49" s="4" t="s">
        <v>55</v>
      </c>
      <c r="E49" s="5">
        <v>24137</v>
      </c>
      <c r="F49" s="6">
        <v>187.04968149999999</v>
      </c>
      <c r="G49" s="7">
        <v>1.0510159999999999E-2</v>
      </c>
      <c r="H49" s="67"/>
    </row>
    <row r="50" spans="1:8" x14ac:dyDescent="0.2">
      <c r="A50" s="3">
        <v>44</v>
      </c>
      <c r="B50" s="4" t="s">
        <v>32</v>
      </c>
      <c r="C50" s="4" t="s">
        <v>33</v>
      </c>
      <c r="D50" s="4" t="s">
        <v>27</v>
      </c>
      <c r="E50" s="5">
        <v>8450</v>
      </c>
      <c r="F50" s="6">
        <v>186.42812499999999</v>
      </c>
      <c r="G50" s="7">
        <v>1.0475236000000001E-2</v>
      </c>
      <c r="H50" s="67"/>
    </row>
    <row r="51" spans="1:8" x14ac:dyDescent="0.2">
      <c r="A51" s="3">
        <v>45</v>
      </c>
      <c r="B51" s="4" t="s">
        <v>243</v>
      </c>
      <c r="C51" s="4" t="s">
        <v>244</v>
      </c>
      <c r="D51" s="4" t="s">
        <v>171</v>
      </c>
      <c r="E51" s="5">
        <v>50534</v>
      </c>
      <c r="F51" s="6">
        <v>183.18575000000001</v>
      </c>
      <c r="G51" s="7">
        <v>1.0293049E-2</v>
      </c>
      <c r="H51" s="67"/>
    </row>
    <row r="52" spans="1:8" x14ac:dyDescent="0.2">
      <c r="A52" s="3">
        <v>46</v>
      </c>
      <c r="B52" s="4" t="s">
        <v>290</v>
      </c>
      <c r="C52" s="4" t="s">
        <v>291</v>
      </c>
      <c r="D52" s="4" t="s">
        <v>27</v>
      </c>
      <c r="E52" s="5">
        <v>15183</v>
      </c>
      <c r="F52" s="6">
        <v>179.83504350000001</v>
      </c>
      <c r="G52" s="7">
        <v>1.0104775999999999E-2</v>
      </c>
      <c r="H52" s="67"/>
    </row>
    <row r="53" spans="1:8" x14ac:dyDescent="0.2">
      <c r="A53" s="3">
        <v>47</v>
      </c>
      <c r="B53" s="4" t="s">
        <v>227</v>
      </c>
      <c r="C53" s="4" t="s">
        <v>228</v>
      </c>
      <c r="D53" s="4" t="s">
        <v>229</v>
      </c>
      <c r="E53" s="5">
        <v>37439</v>
      </c>
      <c r="F53" s="6">
        <v>179.183054</v>
      </c>
      <c r="G53" s="7">
        <v>1.0068140999999999E-2</v>
      </c>
      <c r="H53" s="67"/>
    </row>
    <row r="54" spans="1:8" x14ac:dyDescent="0.2">
      <c r="A54" s="3">
        <v>48</v>
      </c>
      <c r="B54" s="4" t="s">
        <v>232</v>
      </c>
      <c r="C54" s="4" t="s">
        <v>233</v>
      </c>
      <c r="D54" s="4" t="s">
        <v>55</v>
      </c>
      <c r="E54" s="5">
        <v>70796</v>
      </c>
      <c r="F54" s="6">
        <v>179.14927800000001</v>
      </c>
      <c r="G54" s="7">
        <v>1.0066243000000001E-2</v>
      </c>
      <c r="H54" s="67"/>
    </row>
    <row r="55" spans="1:8" x14ac:dyDescent="0.2">
      <c r="A55" s="3">
        <v>49</v>
      </c>
      <c r="B55" s="4" t="s">
        <v>234</v>
      </c>
      <c r="C55" s="4" t="s">
        <v>235</v>
      </c>
      <c r="D55" s="4" t="s">
        <v>187</v>
      </c>
      <c r="E55" s="5">
        <v>10472</v>
      </c>
      <c r="F55" s="6">
        <v>178.30150800000001</v>
      </c>
      <c r="G55" s="7">
        <v>1.0018608E-2</v>
      </c>
      <c r="H55" s="67"/>
    </row>
    <row r="56" spans="1:8" x14ac:dyDescent="0.2">
      <c r="A56" s="3">
        <v>50</v>
      </c>
      <c r="B56" s="4" t="s">
        <v>462</v>
      </c>
      <c r="C56" s="4" t="s">
        <v>463</v>
      </c>
      <c r="D56" s="4" t="s">
        <v>1003</v>
      </c>
      <c r="E56" s="5">
        <v>190295</v>
      </c>
      <c r="F56" s="6">
        <v>177.83067750000001</v>
      </c>
      <c r="G56" s="7">
        <v>9.9921520000000007E-3</v>
      </c>
      <c r="H56" s="67"/>
    </row>
    <row r="57" spans="1:8" ht="25.5" x14ac:dyDescent="0.2">
      <c r="A57" s="3">
        <v>51</v>
      </c>
      <c r="B57" s="4" t="s">
        <v>230</v>
      </c>
      <c r="C57" s="4" t="s">
        <v>231</v>
      </c>
      <c r="D57" s="4" t="s">
        <v>52</v>
      </c>
      <c r="E57" s="5">
        <v>43436</v>
      </c>
      <c r="F57" s="6">
        <v>174.98192599999999</v>
      </c>
      <c r="G57" s="7">
        <v>9.8320830000000001E-3</v>
      </c>
      <c r="H57" s="67"/>
    </row>
    <row r="58" spans="1:8" ht="25.5" x14ac:dyDescent="0.2">
      <c r="A58" s="3">
        <v>52</v>
      </c>
      <c r="B58" s="4" t="s">
        <v>238</v>
      </c>
      <c r="C58" s="4" t="s">
        <v>239</v>
      </c>
      <c r="D58" s="4" t="s">
        <v>1006</v>
      </c>
      <c r="E58" s="5">
        <v>168751</v>
      </c>
      <c r="F58" s="6">
        <v>173.47602800000001</v>
      </c>
      <c r="G58" s="7">
        <v>9.7474680000000005E-3</v>
      </c>
      <c r="H58" s="67"/>
    </row>
    <row r="59" spans="1:8" x14ac:dyDescent="0.2">
      <c r="A59" s="3">
        <v>53</v>
      </c>
      <c r="B59" s="4" t="s">
        <v>245</v>
      </c>
      <c r="C59" s="4" t="s">
        <v>246</v>
      </c>
      <c r="D59" s="4" t="s">
        <v>81</v>
      </c>
      <c r="E59" s="5">
        <v>343505</v>
      </c>
      <c r="F59" s="6">
        <v>172.61126250000001</v>
      </c>
      <c r="G59" s="7">
        <v>9.6988779999999993E-3</v>
      </c>
      <c r="H59" s="67"/>
    </row>
    <row r="60" spans="1:8" x14ac:dyDescent="0.2">
      <c r="A60" s="3">
        <v>54</v>
      </c>
      <c r="B60" s="4" t="s">
        <v>247</v>
      </c>
      <c r="C60" s="4" t="s">
        <v>248</v>
      </c>
      <c r="D60" s="4" t="s">
        <v>1001</v>
      </c>
      <c r="E60" s="5">
        <v>30619</v>
      </c>
      <c r="F60" s="6">
        <v>168.57290449999999</v>
      </c>
      <c r="G60" s="7">
        <v>9.4719660000000001E-3</v>
      </c>
      <c r="H60" s="67"/>
    </row>
    <row r="61" spans="1:8" ht="25.5" x14ac:dyDescent="0.2">
      <c r="A61" s="3">
        <v>55</v>
      </c>
      <c r="B61" s="4" t="s">
        <v>240</v>
      </c>
      <c r="C61" s="4" t="s">
        <v>241</v>
      </c>
      <c r="D61" s="4" t="s">
        <v>52</v>
      </c>
      <c r="E61" s="5">
        <v>41627</v>
      </c>
      <c r="F61" s="6">
        <v>168.06901250000001</v>
      </c>
      <c r="G61" s="7">
        <v>9.4436529999999998E-3</v>
      </c>
      <c r="H61" s="67"/>
    </row>
    <row r="62" spans="1:8" x14ac:dyDescent="0.2">
      <c r="A62" s="3">
        <v>56</v>
      </c>
      <c r="B62" s="4" t="s">
        <v>190</v>
      </c>
      <c r="C62" s="4" t="s">
        <v>191</v>
      </c>
      <c r="D62" s="4" t="s">
        <v>41</v>
      </c>
      <c r="E62" s="5">
        <v>39951</v>
      </c>
      <c r="F62" s="6">
        <v>164.47826699999999</v>
      </c>
      <c r="G62" s="7">
        <v>9.2418919999999998E-3</v>
      </c>
      <c r="H62" s="67"/>
    </row>
    <row r="63" spans="1:8" x14ac:dyDescent="0.2">
      <c r="A63" s="3">
        <v>57</v>
      </c>
      <c r="B63" s="4" t="s">
        <v>253</v>
      </c>
      <c r="C63" s="4" t="s">
        <v>254</v>
      </c>
      <c r="D63" s="4" t="s">
        <v>49</v>
      </c>
      <c r="E63" s="5">
        <v>14169</v>
      </c>
      <c r="F63" s="6">
        <v>149.34126000000001</v>
      </c>
      <c r="G63" s="7">
        <v>8.3913570000000003E-3</v>
      </c>
      <c r="H63" s="67"/>
    </row>
    <row r="64" spans="1:8" x14ac:dyDescent="0.2">
      <c r="A64" s="3">
        <v>58</v>
      </c>
      <c r="B64" s="4" t="s">
        <v>262</v>
      </c>
      <c r="C64" s="4" t="s">
        <v>263</v>
      </c>
      <c r="D64" s="4" t="s">
        <v>171</v>
      </c>
      <c r="E64" s="5">
        <v>21471</v>
      </c>
      <c r="F64" s="6">
        <v>145.50896700000001</v>
      </c>
      <c r="G64" s="7">
        <v>8.1760229999999993E-3</v>
      </c>
      <c r="H64" s="67"/>
    </row>
    <row r="65" spans="1:8" x14ac:dyDescent="0.2">
      <c r="A65" s="3">
        <v>59</v>
      </c>
      <c r="B65" s="4" t="s">
        <v>259</v>
      </c>
      <c r="C65" s="4" t="s">
        <v>260</v>
      </c>
      <c r="D65" s="4" t="s">
        <v>261</v>
      </c>
      <c r="E65" s="5">
        <v>19334</v>
      </c>
      <c r="F65" s="6">
        <v>143.313275</v>
      </c>
      <c r="G65" s="7">
        <v>8.0526490000000003E-3</v>
      </c>
      <c r="H65" s="67"/>
    </row>
    <row r="66" spans="1:8" x14ac:dyDescent="0.2">
      <c r="A66" s="3">
        <v>60</v>
      </c>
      <c r="B66" s="4" t="s">
        <v>255</v>
      </c>
      <c r="C66" s="4" t="s">
        <v>256</v>
      </c>
      <c r="D66" s="4" t="s">
        <v>331</v>
      </c>
      <c r="E66" s="5">
        <v>9457</v>
      </c>
      <c r="F66" s="6">
        <v>140.76744500000001</v>
      </c>
      <c r="G66" s="7">
        <v>7.9096010000000005E-3</v>
      </c>
      <c r="H66" s="67"/>
    </row>
    <row r="67" spans="1:8" x14ac:dyDescent="0.2">
      <c r="A67" s="3">
        <v>61</v>
      </c>
      <c r="B67" s="4" t="s">
        <v>257</v>
      </c>
      <c r="C67" s="4" t="s">
        <v>258</v>
      </c>
      <c r="D67" s="4" t="s">
        <v>1001</v>
      </c>
      <c r="E67" s="5">
        <v>108405</v>
      </c>
      <c r="F67" s="6">
        <v>135.614655</v>
      </c>
      <c r="G67" s="7">
        <v>7.6200699999999996E-3</v>
      </c>
      <c r="H67" s="67"/>
    </row>
    <row r="68" spans="1:8" x14ac:dyDescent="0.2">
      <c r="A68" s="3">
        <v>62</v>
      </c>
      <c r="B68" s="4" t="s">
        <v>77</v>
      </c>
      <c r="C68" s="4" t="s">
        <v>78</v>
      </c>
      <c r="D68" s="4" t="s">
        <v>69</v>
      </c>
      <c r="E68" s="5">
        <v>40384</v>
      </c>
      <c r="F68" s="6">
        <v>135.064288</v>
      </c>
      <c r="G68" s="7">
        <v>7.5891459999999997E-3</v>
      </c>
      <c r="H68" s="67"/>
    </row>
    <row r="69" spans="1:8" x14ac:dyDescent="0.2">
      <c r="A69" s="3">
        <v>63</v>
      </c>
      <c r="B69" s="4" t="s">
        <v>460</v>
      </c>
      <c r="C69" s="4" t="s">
        <v>461</v>
      </c>
      <c r="D69" s="4" t="s">
        <v>81</v>
      </c>
      <c r="E69" s="5">
        <v>19196</v>
      </c>
      <c r="F69" s="6">
        <v>134.78471400000001</v>
      </c>
      <c r="G69" s="7">
        <v>7.5734369999999997E-3</v>
      </c>
      <c r="H69" s="67"/>
    </row>
    <row r="70" spans="1:8" x14ac:dyDescent="0.2">
      <c r="A70" s="3">
        <v>64</v>
      </c>
      <c r="B70" s="4" t="s">
        <v>225</v>
      </c>
      <c r="C70" s="4" t="s">
        <v>226</v>
      </c>
      <c r="D70" s="4" t="s">
        <v>166</v>
      </c>
      <c r="E70" s="5">
        <v>9429</v>
      </c>
      <c r="F70" s="6">
        <v>134.61783299999999</v>
      </c>
      <c r="G70" s="7">
        <v>7.5640600000000001E-3</v>
      </c>
      <c r="H70" s="67"/>
    </row>
    <row r="71" spans="1:8" x14ac:dyDescent="0.2">
      <c r="A71" s="3">
        <v>65</v>
      </c>
      <c r="B71" s="4" t="s">
        <v>277</v>
      </c>
      <c r="C71" s="4" t="s">
        <v>278</v>
      </c>
      <c r="D71" s="4" t="s">
        <v>187</v>
      </c>
      <c r="E71" s="5">
        <v>34046</v>
      </c>
      <c r="F71" s="6">
        <v>133.085814</v>
      </c>
      <c r="G71" s="7">
        <v>7.4779770000000002E-3</v>
      </c>
      <c r="H71" s="67"/>
    </row>
    <row r="72" spans="1:8" x14ac:dyDescent="0.2">
      <c r="A72" s="3">
        <v>66</v>
      </c>
      <c r="B72" s="4" t="s">
        <v>268</v>
      </c>
      <c r="C72" s="4" t="s">
        <v>269</v>
      </c>
      <c r="D72" s="4" t="s">
        <v>24</v>
      </c>
      <c r="E72" s="5">
        <v>140383</v>
      </c>
      <c r="F72" s="6">
        <v>129.36293449999999</v>
      </c>
      <c r="G72" s="7">
        <v>7.2687919999999996E-3</v>
      </c>
      <c r="H72" s="67"/>
    </row>
    <row r="73" spans="1:8" x14ac:dyDescent="0.2">
      <c r="A73" s="3">
        <v>67</v>
      </c>
      <c r="B73" s="4" t="s">
        <v>270</v>
      </c>
      <c r="C73" s="4" t="s">
        <v>271</v>
      </c>
      <c r="D73" s="4" t="s">
        <v>272</v>
      </c>
      <c r="E73" s="5">
        <v>52168</v>
      </c>
      <c r="F73" s="6">
        <v>118.55177999999999</v>
      </c>
      <c r="G73" s="7">
        <v>6.6613219999999999E-3</v>
      </c>
      <c r="H73" s="67"/>
    </row>
    <row r="74" spans="1:8" x14ac:dyDescent="0.2">
      <c r="A74" s="3">
        <v>68</v>
      </c>
      <c r="B74" s="4" t="s">
        <v>273</v>
      </c>
      <c r="C74" s="4" t="s">
        <v>274</v>
      </c>
      <c r="D74" s="4" t="s">
        <v>187</v>
      </c>
      <c r="E74" s="5">
        <v>2097</v>
      </c>
      <c r="F74" s="6">
        <v>114.064218</v>
      </c>
      <c r="G74" s="7">
        <v>6.4091699999999996E-3</v>
      </c>
      <c r="H74" s="67"/>
    </row>
    <row r="75" spans="1:8" x14ac:dyDescent="0.2">
      <c r="A75" s="3">
        <v>69</v>
      </c>
      <c r="B75" s="4" t="s">
        <v>279</v>
      </c>
      <c r="C75" s="4" t="s">
        <v>280</v>
      </c>
      <c r="D75" s="4" t="s">
        <v>1003</v>
      </c>
      <c r="E75" s="5">
        <v>6421</v>
      </c>
      <c r="F75" s="6">
        <v>97.441885499999998</v>
      </c>
      <c r="G75" s="7">
        <v>5.4751749999999997E-3</v>
      </c>
      <c r="H75" s="67"/>
    </row>
    <row r="76" spans="1:8" x14ac:dyDescent="0.2">
      <c r="A76" s="3">
        <v>70</v>
      </c>
      <c r="B76" s="4" t="s">
        <v>283</v>
      </c>
      <c r="C76" s="4" t="s">
        <v>284</v>
      </c>
      <c r="D76" s="4" t="s">
        <v>166</v>
      </c>
      <c r="E76" s="5">
        <v>19860</v>
      </c>
      <c r="F76" s="6">
        <v>89.975729999999999</v>
      </c>
      <c r="G76" s="7">
        <v>5.0556589999999997E-3</v>
      </c>
      <c r="H76" s="67"/>
    </row>
    <row r="77" spans="1:8" x14ac:dyDescent="0.2">
      <c r="A77" s="3">
        <v>71</v>
      </c>
      <c r="B77" s="4" t="s">
        <v>298</v>
      </c>
      <c r="C77" s="4" t="s">
        <v>299</v>
      </c>
      <c r="D77" s="4" t="s">
        <v>1001</v>
      </c>
      <c r="E77" s="5">
        <v>244905</v>
      </c>
      <c r="F77" s="6">
        <v>84.737129999999993</v>
      </c>
      <c r="G77" s="7">
        <v>4.7613059999999999E-3</v>
      </c>
      <c r="H77" s="67"/>
    </row>
    <row r="78" spans="1:8" x14ac:dyDescent="0.2">
      <c r="A78" s="3">
        <v>72</v>
      </c>
      <c r="B78" s="4" t="s">
        <v>285</v>
      </c>
      <c r="C78" s="4" t="s">
        <v>286</v>
      </c>
      <c r="D78" s="4" t="s">
        <v>153</v>
      </c>
      <c r="E78" s="5">
        <v>6324</v>
      </c>
      <c r="F78" s="6">
        <v>81.165378000000004</v>
      </c>
      <c r="G78" s="7">
        <v>4.5606129999999998E-3</v>
      </c>
      <c r="H78" s="67"/>
    </row>
    <row r="79" spans="1:8" x14ac:dyDescent="0.2">
      <c r="A79" s="3">
        <v>73</v>
      </c>
      <c r="B79" s="4" t="s">
        <v>287</v>
      </c>
      <c r="C79" s="4" t="s">
        <v>288</v>
      </c>
      <c r="D79" s="4" t="s">
        <v>1001</v>
      </c>
      <c r="E79" s="5">
        <v>8033</v>
      </c>
      <c r="F79" s="6">
        <v>36.152516499999997</v>
      </c>
      <c r="G79" s="7">
        <v>2.0313789999999998E-3</v>
      </c>
      <c r="H79" s="67"/>
    </row>
    <row r="80" spans="1:8" ht="25.5" x14ac:dyDescent="0.2">
      <c r="A80" s="3">
        <v>74</v>
      </c>
      <c r="B80" s="4" t="s">
        <v>264</v>
      </c>
      <c r="C80" s="4" t="s">
        <v>265</v>
      </c>
      <c r="D80" s="4" t="s">
        <v>153</v>
      </c>
      <c r="E80" s="5">
        <v>8242</v>
      </c>
      <c r="F80" s="6">
        <v>27.412891999999999</v>
      </c>
      <c r="G80" s="7">
        <v>1.5403070000000001E-3</v>
      </c>
      <c r="H80" s="67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9">
        <v>17105.094579500001</v>
      </c>
      <c r="G81" s="10">
        <v>0.96112050699999996</v>
      </c>
      <c r="H81" s="67"/>
    </row>
    <row r="82" spans="1:8" x14ac:dyDescent="0.2">
      <c r="A82" s="1"/>
      <c r="B82" s="1"/>
      <c r="C82" s="11"/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107</v>
      </c>
      <c r="D83" s="1"/>
      <c r="E83" s="1"/>
      <c r="F83" s="1"/>
      <c r="G83" s="1"/>
      <c r="H83" s="67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7"/>
    </row>
    <row r="85" spans="1:8" x14ac:dyDescent="0.2">
      <c r="A85" s="1"/>
      <c r="B85" s="1"/>
      <c r="C85" s="11"/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108</v>
      </c>
      <c r="D86" s="1"/>
      <c r="E86" s="1"/>
      <c r="F86" s="1"/>
      <c r="G86" s="1"/>
      <c r="H86" s="67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7"/>
    </row>
    <row r="88" spans="1:8" x14ac:dyDescent="0.2">
      <c r="A88" s="1"/>
      <c r="B88" s="1"/>
      <c r="C88" s="11"/>
      <c r="D88" s="1"/>
      <c r="E88" s="1"/>
      <c r="F88" s="12"/>
      <c r="G88" s="12"/>
      <c r="H88" s="67"/>
    </row>
    <row r="89" spans="1:8" x14ac:dyDescent="0.2">
      <c r="A89" s="1"/>
      <c r="B89" s="1"/>
      <c r="C89" s="2" t="s">
        <v>109</v>
      </c>
      <c r="D89" s="1"/>
      <c r="E89" s="1"/>
      <c r="F89" s="1"/>
      <c r="G89" s="1"/>
      <c r="H89" s="67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">
        <v>0</v>
      </c>
      <c r="H90" s="67"/>
    </row>
    <row r="91" spans="1:8" x14ac:dyDescent="0.2">
      <c r="A91" s="1"/>
      <c r="B91" s="1"/>
      <c r="C91" s="11"/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110</v>
      </c>
      <c r="D92" s="1"/>
      <c r="E92" s="1"/>
      <c r="F92" s="12"/>
      <c r="G92" s="12"/>
      <c r="H92" s="67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7"/>
    </row>
    <row r="94" spans="1:8" x14ac:dyDescent="0.2">
      <c r="A94" s="1"/>
      <c r="B94" s="1"/>
      <c r="C94" s="11"/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111</v>
      </c>
      <c r="D95" s="1"/>
      <c r="E95" s="1"/>
      <c r="F95" s="12"/>
      <c r="G95" s="12"/>
      <c r="H95" s="67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7"/>
    </row>
    <row r="97" spans="1:8" x14ac:dyDescent="0.2">
      <c r="A97" s="1"/>
      <c r="B97" s="1"/>
      <c r="C97" s="11"/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112</v>
      </c>
      <c r="D98" s="1"/>
      <c r="E98" s="1"/>
      <c r="F98" s="9">
        <v>17105.094579500001</v>
      </c>
      <c r="G98" s="10">
        <v>0.96112050699999996</v>
      </c>
      <c r="H98" s="67"/>
    </row>
    <row r="99" spans="1:8" x14ac:dyDescent="0.2">
      <c r="A99" s="1"/>
      <c r="B99" s="1"/>
      <c r="C99" s="11"/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113</v>
      </c>
      <c r="D100" s="1"/>
      <c r="E100" s="1"/>
      <c r="F100" s="12"/>
      <c r="G100" s="12"/>
      <c r="H100" s="67"/>
    </row>
    <row r="101" spans="1:8" ht="25.5" x14ac:dyDescent="0.2">
      <c r="A101" s="1"/>
      <c r="B101" s="1"/>
      <c r="C101" s="2" t="s">
        <v>10</v>
      </c>
      <c r="D101" s="1"/>
      <c r="E101" s="1"/>
      <c r="F101" s="12"/>
      <c r="G101" s="12"/>
      <c r="H101" s="67"/>
    </row>
    <row r="102" spans="1:8" x14ac:dyDescent="0.2">
      <c r="A102" s="1"/>
      <c r="B102" s="1"/>
      <c r="C102" s="2" t="s">
        <v>105</v>
      </c>
      <c r="D102" s="1"/>
      <c r="E102" s="1" t="s">
        <v>106</v>
      </c>
      <c r="F102" s="13">
        <v>0</v>
      </c>
      <c r="G102" s="14">
        <v>0</v>
      </c>
      <c r="H102" s="67"/>
    </row>
    <row r="103" spans="1:8" x14ac:dyDescent="0.2">
      <c r="A103" s="1"/>
      <c r="B103" s="1"/>
      <c r="C103" s="11"/>
      <c r="D103" s="1"/>
      <c r="E103" s="1"/>
      <c r="F103" s="12"/>
      <c r="G103" s="12"/>
      <c r="H103" s="67"/>
    </row>
    <row r="104" spans="1:8" x14ac:dyDescent="0.2">
      <c r="A104" s="1"/>
      <c r="B104" s="1"/>
      <c r="C104" s="2" t="s">
        <v>114</v>
      </c>
      <c r="D104" s="1"/>
      <c r="E104" s="1"/>
      <c r="F104" s="1"/>
      <c r="G104" s="1"/>
      <c r="H104" s="67"/>
    </row>
    <row r="105" spans="1:8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">
        <v>0</v>
      </c>
      <c r="H105" s="67"/>
    </row>
    <row r="106" spans="1:8" x14ac:dyDescent="0.2">
      <c r="A106" s="1"/>
      <c r="B106" s="1"/>
      <c r="C106" s="11"/>
      <c r="D106" s="1"/>
      <c r="E106" s="1"/>
      <c r="F106" s="12"/>
      <c r="G106" s="12"/>
      <c r="H106" s="67"/>
    </row>
    <row r="107" spans="1:8" x14ac:dyDescent="0.2">
      <c r="A107" s="1"/>
      <c r="B107" s="1"/>
      <c r="C107" s="2" t="s">
        <v>115</v>
      </c>
      <c r="D107" s="1"/>
      <c r="E107" s="1"/>
      <c r="F107" s="1"/>
      <c r="G107" s="1"/>
      <c r="H107" s="67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">
        <v>0</v>
      </c>
      <c r="H108" s="67"/>
    </row>
    <row r="109" spans="1:8" x14ac:dyDescent="0.2">
      <c r="A109" s="1"/>
      <c r="B109" s="1"/>
      <c r="C109" s="11"/>
      <c r="D109" s="1"/>
      <c r="E109" s="1"/>
      <c r="F109" s="12"/>
      <c r="G109" s="12"/>
      <c r="H109" s="67"/>
    </row>
    <row r="110" spans="1:8" x14ac:dyDescent="0.2">
      <c r="A110" s="1"/>
      <c r="B110" s="1"/>
      <c r="C110" s="2" t="s">
        <v>116</v>
      </c>
      <c r="D110" s="1"/>
      <c r="E110" s="1"/>
      <c r="F110" s="12"/>
      <c r="G110" s="12"/>
      <c r="H110" s="67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">
        <v>0</v>
      </c>
      <c r="H111" s="67"/>
    </row>
    <row r="112" spans="1:8" x14ac:dyDescent="0.2">
      <c r="A112" s="1"/>
      <c r="B112" s="1"/>
      <c r="C112" s="11"/>
      <c r="D112" s="1"/>
      <c r="E112" s="1"/>
      <c r="F112" s="12"/>
      <c r="G112" s="12"/>
      <c r="H112" s="67"/>
    </row>
    <row r="113" spans="1:8" x14ac:dyDescent="0.2">
      <c r="A113" s="1"/>
      <c r="B113" s="1"/>
      <c r="C113" s="2" t="s">
        <v>117</v>
      </c>
      <c r="D113" s="1"/>
      <c r="E113" s="1"/>
      <c r="F113" s="9">
        <v>0</v>
      </c>
      <c r="G113" s="10">
        <v>0</v>
      </c>
      <c r="H113" s="67"/>
    </row>
    <row r="114" spans="1:8" x14ac:dyDescent="0.2">
      <c r="A114" s="1"/>
      <c r="B114" s="1"/>
      <c r="C114" s="11"/>
      <c r="D114" s="1"/>
      <c r="E114" s="1"/>
      <c r="F114" s="12"/>
      <c r="G114" s="12"/>
      <c r="H114" s="67"/>
    </row>
    <row r="115" spans="1:8" x14ac:dyDescent="0.2">
      <c r="A115" s="1"/>
      <c r="B115" s="1"/>
      <c r="C115" s="2" t="s">
        <v>118</v>
      </c>
      <c r="D115" s="1"/>
      <c r="E115" s="1"/>
      <c r="F115" s="12"/>
      <c r="G115" s="12"/>
      <c r="H115" s="67"/>
    </row>
    <row r="116" spans="1:8" x14ac:dyDescent="0.2">
      <c r="A116" s="1"/>
      <c r="B116" s="1"/>
      <c r="C116" s="2" t="s">
        <v>119</v>
      </c>
      <c r="D116" s="1"/>
      <c r="E116" s="1"/>
      <c r="F116" s="12"/>
      <c r="G116" s="12"/>
      <c r="H116" s="67"/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13">
        <v>0</v>
      </c>
      <c r="G117" s="14">
        <v>0</v>
      </c>
      <c r="H117" s="67"/>
    </row>
    <row r="118" spans="1:8" x14ac:dyDescent="0.2">
      <c r="A118" s="1"/>
      <c r="B118" s="1"/>
      <c r="C118" s="11"/>
      <c r="D118" s="1"/>
      <c r="E118" s="1"/>
      <c r="F118" s="12"/>
      <c r="G118" s="12"/>
      <c r="H118" s="67"/>
    </row>
    <row r="119" spans="1:8" x14ac:dyDescent="0.2">
      <c r="A119" s="1"/>
      <c r="B119" s="1"/>
      <c r="C119" s="2" t="s">
        <v>120</v>
      </c>
      <c r="D119" s="1"/>
      <c r="E119" s="1"/>
      <c r="F119" s="12"/>
      <c r="G119" s="12"/>
      <c r="H119" s="67"/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13">
        <v>0</v>
      </c>
      <c r="G120" s="14">
        <v>0</v>
      </c>
      <c r="H120" s="67"/>
    </row>
    <row r="121" spans="1:8" x14ac:dyDescent="0.2">
      <c r="A121" s="1"/>
      <c r="B121" s="1"/>
      <c r="C121" s="11"/>
      <c r="D121" s="1"/>
      <c r="E121" s="1"/>
      <c r="F121" s="12"/>
      <c r="G121" s="12"/>
      <c r="H121" s="67"/>
    </row>
    <row r="122" spans="1:8" x14ac:dyDescent="0.2">
      <c r="A122" s="1"/>
      <c r="B122" s="1"/>
      <c r="C122" s="2" t="s">
        <v>121</v>
      </c>
      <c r="D122" s="1"/>
      <c r="E122" s="1"/>
      <c r="F122" s="12"/>
      <c r="G122" s="12"/>
      <c r="H122" s="67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7"/>
    </row>
    <row r="124" spans="1:8" x14ac:dyDescent="0.2">
      <c r="A124" s="1"/>
      <c r="B124" s="1"/>
      <c r="C124" s="11"/>
      <c r="D124" s="1"/>
      <c r="E124" s="1"/>
      <c r="F124" s="12"/>
      <c r="G124" s="12"/>
      <c r="H124" s="67"/>
    </row>
    <row r="125" spans="1:8" x14ac:dyDescent="0.2">
      <c r="A125" s="1"/>
      <c r="B125" s="1"/>
      <c r="C125" s="2" t="s">
        <v>122</v>
      </c>
      <c r="D125" s="1"/>
      <c r="E125" s="1"/>
      <c r="F125" s="12"/>
      <c r="G125" s="12"/>
      <c r="H125" s="67"/>
    </row>
    <row r="126" spans="1:8" x14ac:dyDescent="0.2">
      <c r="A126" s="3">
        <v>1</v>
      </c>
      <c r="B126" s="4"/>
      <c r="C126" s="4" t="s">
        <v>123</v>
      </c>
      <c r="D126" s="4"/>
      <c r="E126" s="8"/>
      <c r="F126" s="6">
        <v>693.50240989999998</v>
      </c>
      <c r="G126" s="7">
        <v>3.8967302000000002E-2</v>
      </c>
      <c r="H126" s="67">
        <v>3.1047477660654299</v>
      </c>
    </row>
    <row r="127" spans="1:8" x14ac:dyDescent="0.2">
      <c r="A127" s="1"/>
      <c r="B127" s="1"/>
      <c r="C127" s="2" t="s">
        <v>105</v>
      </c>
      <c r="D127" s="1"/>
      <c r="E127" s="1" t="s">
        <v>106</v>
      </c>
      <c r="F127" s="9">
        <v>693.50240989999998</v>
      </c>
      <c r="G127" s="10">
        <v>3.8967302000000002E-2</v>
      </c>
      <c r="H127" s="67"/>
    </row>
    <row r="128" spans="1:8" x14ac:dyDescent="0.2">
      <c r="A128" s="1"/>
      <c r="B128" s="1"/>
      <c r="C128" s="11"/>
      <c r="D128" s="1"/>
      <c r="E128" s="1"/>
      <c r="F128" s="12"/>
      <c r="G128" s="12"/>
      <c r="H128" s="67"/>
    </row>
    <row r="129" spans="1:8" x14ac:dyDescent="0.2">
      <c r="A129" s="1"/>
      <c r="B129" s="1"/>
      <c r="C129" s="2" t="s">
        <v>124</v>
      </c>
      <c r="D129" s="1"/>
      <c r="E129" s="1"/>
      <c r="F129" s="9">
        <v>693.50240989999998</v>
      </c>
      <c r="G129" s="10">
        <v>3.8967302000000002E-2</v>
      </c>
      <c r="H129" s="67"/>
    </row>
    <row r="130" spans="1:8" x14ac:dyDescent="0.2">
      <c r="A130" s="1"/>
      <c r="B130" s="1"/>
      <c r="C130" s="12"/>
      <c r="D130" s="1"/>
      <c r="E130" s="1"/>
      <c r="F130" s="1"/>
      <c r="G130" s="1"/>
      <c r="H130" s="67"/>
    </row>
    <row r="131" spans="1:8" x14ac:dyDescent="0.2">
      <c r="A131" s="1"/>
      <c r="B131" s="1"/>
      <c r="C131" s="2" t="s">
        <v>125</v>
      </c>
      <c r="D131" s="1"/>
      <c r="E131" s="1"/>
      <c r="F131" s="1"/>
      <c r="G131" s="1"/>
      <c r="H131" s="67"/>
    </row>
    <row r="132" spans="1:8" x14ac:dyDescent="0.2">
      <c r="A132" s="1"/>
      <c r="B132" s="1"/>
      <c r="C132" s="2" t="s">
        <v>126</v>
      </c>
      <c r="D132" s="1"/>
      <c r="E132" s="1"/>
      <c r="F132" s="1"/>
      <c r="G132" s="1"/>
      <c r="H132" s="67"/>
    </row>
    <row r="133" spans="1:8" x14ac:dyDescent="0.2">
      <c r="A133" s="1"/>
      <c r="B133" s="1"/>
      <c r="C133" s="2" t="s">
        <v>105</v>
      </c>
      <c r="D133" s="1"/>
      <c r="E133" s="1" t="s">
        <v>106</v>
      </c>
      <c r="F133" s="13">
        <v>0</v>
      </c>
      <c r="G133" s="14">
        <v>0</v>
      </c>
      <c r="H133" s="67"/>
    </row>
    <row r="134" spans="1:8" x14ac:dyDescent="0.2">
      <c r="A134" s="1"/>
      <c r="B134" s="1"/>
      <c r="C134" s="11"/>
      <c r="D134" s="1"/>
      <c r="E134" s="1"/>
      <c r="F134" s="12"/>
      <c r="G134" s="12"/>
      <c r="H134" s="67"/>
    </row>
    <row r="135" spans="1:8" x14ac:dyDescent="0.2">
      <c r="A135" s="1"/>
      <c r="B135" s="1"/>
      <c r="C135" s="2" t="s">
        <v>127</v>
      </c>
      <c r="D135" s="1"/>
      <c r="E135" s="1"/>
      <c r="F135" s="1"/>
      <c r="G135" s="1"/>
      <c r="H135" s="67"/>
    </row>
    <row r="136" spans="1:8" x14ac:dyDescent="0.2">
      <c r="A136" s="1"/>
      <c r="B136" s="1"/>
      <c r="C136" s="2" t="s">
        <v>128</v>
      </c>
      <c r="D136" s="1"/>
      <c r="E136" s="1"/>
      <c r="F136" s="1"/>
      <c r="G136" s="1"/>
      <c r="H136" s="67"/>
    </row>
    <row r="137" spans="1:8" x14ac:dyDescent="0.2">
      <c r="A137" s="1"/>
      <c r="B137" s="1"/>
      <c r="C137" s="2" t="s">
        <v>105</v>
      </c>
      <c r="D137" s="1"/>
      <c r="E137" s="1" t="s">
        <v>106</v>
      </c>
      <c r="F137" s="13">
        <v>0</v>
      </c>
      <c r="G137" s="14">
        <v>0</v>
      </c>
      <c r="H137" s="67"/>
    </row>
    <row r="138" spans="1:8" x14ac:dyDescent="0.2">
      <c r="A138" s="1"/>
      <c r="B138" s="1"/>
      <c r="C138" s="11"/>
      <c r="D138" s="1"/>
      <c r="E138" s="1"/>
      <c r="F138" s="12"/>
      <c r="G138" s="12"/>
      <c r="H138" s="67"/>
    </row>
    <row r="139" spans="1:8" x14ac:dyDescent="0.2">
      <c r="A139" s="1"/>
      <c r="B139" s="1"/>
      <c r="C139" s="11"/>
      <c r="D139" s="1"/>
      <c r="E139" s="1"/>
      <c r="F139" s="12"/>
      <c r="G139" s="12"/>
      <c r="H139" s="67"/>
    </row>
    <row r="140" spans="1:8" ht="25.5" x14ac:dyDescent="0.2">
      <c r="A140" s="1"/>
      <c r="B140" s="1"/>
      <c r="C140" s="2" t="s">
        <v>129</v>
      </c>
      <c r="D140" s="1"/>
      <c r="E140" s="1"/>
      <c r="F140" s="12"/>
      <c r="G140" s="12"/>
      <c r="H140" s="67"/>
    </row>
    <row r="141" spans="1:8" x14ac:dyDescent="0.2">
      <c r="A141" s="1"/>
      <c r="B141" s="1"/>
      <c r="C141" s="2" t="s">
        <v>105</v>
      </c>
      <c r="D141" s="1"/>
      <c r="E141" s="1" t="s">
        <v>106</v>
      </c>
      <c r="F141" s="13">
        <v>0</v>
      </c>
      <c r="G141" s="14">
        <v>0</v>
      </c>
      <c r="H141" s="67"/>
    </row>
    <row r="142" spans="1:8" x14ac:dyDescent="0.2">
      <c r="A142" s="1"/>
      <c r="B142" s="1"/>
      <c r="C142" s="11"/>
      <c r="D142" s="1"/>
      <c r="E142" s="1"/>
      <c r="F142" s="12"/>
      <c r="G142" s="12"/>
      <c r="H142" s="67"/>
    </row>
    <row r="143" spans="1:8" x14ac:dyDescent="0.2">
      <c r="A143" s="1"/>
      <c r="B143" s="4"/>
      <c r="C143" s="4"/>
      <c r="D143" s="2"/>
      <c r="E143" s="1"/>
      <c r="F143" s="4"/>
      <c r="G143" s="8"/>
      <c r="H143" s="67"/>
    </row>
    <row r="144" spans="1:8" x14ac:dyDescent="0.2">
      <c r="A144" s="8"/>
      <c r="B144" s="4"/>
      <c r="C144" s="4" t="s">
        <v>130</v>
      </c>
      <c r="D144" s="4"/>
      <c r="E144" s="8"/>
      <c r="F144" s="6">
        <v>-1.5628051999999999</v>
      </c>
      <c r="G144" s="7">
        <v>-8.7812999999999994E-5</v>
      </c>
      <c r="H144" s="67"/>
    </row>
    <row r="145" spans="1:8" x14ac:dyDescent="0.2">
      <c r="A145" s="11"/>
      <c r="B145" s="11"/>
      <c r="C145" s="2" t="s">
        <v>131</v>
      </c>
      <c r="D145" s="15"/>
      <c r="E145" s="15"/>
      <c r="F145" s="9">
        <v>17797.034184200002</v>
      </c>
      <c r="G145" s="10">
        <v>0.999999996</v>
      </c>
      <c r="H145" s="67"/>
    </row>
    <row r="146" spans="1:8" ht="14.1" customHeight="1" x14ac:dyDescent="0.2">
      <c r="A146" s="16"/>
      <c r="B146" s="16"/>
      <c r="C146" s="16"/>
      <c r="D146" s="17"/>
      <c r="E146" s="17"/>
      <c r="F146" s="17"/>
      <c r="G146" s="17"/>
    </row>
    <row r="147" spans="1:8" ht="14.1" customHeight="1" x14ac:dyDescent="0.2">
      <c r="A147" s="18"/>
      <c r="B147" s="170" t="s">
        <v>106</v>
      </c>
      <c r="C147" s="170"/>
      <c r="D147" s="170"/>
      <c r="E147" s="170"/>
      <c r="F147" s="170"/>
      <c r="G147" s="20"/>
    </row>
    <row r="148" spans="1:8" ht="14.1" customHeight="1" x14ac:dyDescent="0.2">
      <c r="A148" s="18"/>
      <c r="B148" s="170" t="s">
        <v>106</v>
      </c>
      <c r="C148" s="170"/>
      <c r="D148" s="170"/>
      <c r="E148" s="170"/>
      <c r="F148" s="170"/>
      <c r="G148" s="20"/>
    </row>
    <row r="149" spans="1:8" ht="14.1" customHeight="1" x14ac:dyDescent="0.2">
      <c r="A149" s="18"/>
      <c r="B149" s="18"/>
      <c r="C149" s="18"/>
      <c r="D149" s="20"/>
      <c r="E149" s="20"/>
      <c r="F149" s="20"/>
      <c r="G149" s="20"/>
    </row>
    <row r="150" spans="1:8" ht="14.1" customHeight="1" x14ac:dyDescent="0.2">
      <c r="A150" s="18"/>
      <c r="B150" s="168" t="s">
        <v>133</v>
      </c>
      <c r="C150" s="169"/>
      <c r="D150" s="12" t="s">
        <v>106</v>
      </c>
      <c r="E150" s="21"/>
      <c r="F150" s="20"/>
      <c r="G150" s="20"/>
    </row>
    <row r="151" spans="1:8" ht="29.1" customHeight="1" x14ac:dyDescent="0.2">
      <c r="A151" s="18"/>
      <c r="B151" s="165" t="s">
        <v>134</v>
      </c>
      <c r="C151" s="166"/>
      <c r="D151" s="2" t="s">
        <v>135</v>
      </c>
      <c r="E151" s="21"/>
      <c r="F151" s="20"/>
      <c r="G151" s="20"/>
    </row>
    <row r="152" spans="1:8" ht="17.100000000000001" customHeight="1" x14ac:dyDescent="0.2">
      <c r="A152" s="18"/>
      <c r="B152" s="165" t="s">
        <v>136</v>
      </c>
      <c r="C152" s="166"/>
      <c r="D152" s="2" t="s">
        <v>135</v>
      </c>
      <c r="E152" s="21"/>
      <c r="F152" s="20"/>
      <c r="G152" s="20"/>
    </row>
    <row r="153" spans="1:8" ht="17.100000000000001" customHeight="1" x14ac:dyDescent="0.2">
      <c r="A153" s="18"/>
      <c r="B153" s="165" t="s">
        <v>137</v>
      </c>
      <c r="C153" s="166"/>
      <c r="D153" s="12" t="s">
        <v>106</v>
      </c>
      <c r="E153" s="21"/>
      <c r="F153" s="20"/>
      <c r="G153" s="20"/>
    </row>
    <row r="154" spans="1:8" ht="24" customHeight="1" x14ac:dyDescent="0.2">
      <c r="A154" s="22"/>
      <c r="B154" s="23" t="s">
        <v>106</v>
      </c>
      <c r="C154" s="23" t="s">
        <v>138</v>
      </c>
      <c r="D154" s="23" t="s">
        <v>139</v>
      </c>
      <c r="E154" s="22"/>
      <c r="F154" s="22"/>
      <c r="G154" s="22"/>
    </row>
    <row r="155" spans="1:8" ht="18" customHeight="1" x14ac:dyDescent="0.2">
      <c r="A155" s="22"/>
      <c r="B155" s="23" t="s">
        <v>140</v>
      </c>
      <c r="C155" s="23" t="s">
        <v>141</v>
      </c>
      <c r="D155" s="23" t="s">
        <v>142</v>
      </c>
      <c r="E155" s="22"/>
      <c r="F155" s="22"/>
      <c r="G155" s="22"/>
    </row>
    <row r="156" spans="1:8" ht="17.100000000000001" customHeight="1" x14ac:dyDescent="0.2">
      <c r="A156" s="22"/>
      <c r="B156" s="4" t="s">
        <v>143</v>
      </c>
      <c r="C156" s="24">
        <v>16.7471</v>
      </c>
      <c r="D156" s="24">
        <v>16.832000000000001</v>
      </c>
      <c r="E156" s="22"/>
      <c r="F156" s="19"/>
      <c r="G156" s="25"/>
    </row>
    <row r="157" spans="1:8" ht="17.100000000000001" customHeight="1" x14ac:dyDescent="0.2">
      <c r="A157" s="22"/>
      <c r="B157" s="4" t="s">
        <v>988</v>
      </c>
      <c r="C157" s="24">
        <v>16.1495</v>
      </c>
      <c r="D157" s="24">
        <v>16.231400000000001</v>
      </c>
      <c r="E157" s="22"/>
      <c r="F157" s="19"/>
      <c r="G157" s="25"/>
    </row>
    <row r="158" spans="1:8" ht="17.100000000000001" customHeight="1" x14ac:dyDescent="0.2">
      <c r="A158" s="22"/>
      <c r="B158" s="4" t="s">
        <v>144</v>
      </c>
      <c r="C158" s="24">
        <v>16.3001</v>
      </c>
      <c r="D158" s="24">
        <v>16.374500000000001</v>
      </c>
      <c r="E158" s="22"/>
      <c r="F158" s="19"/>
      <c r="G158" s="25"/>
    </row>
    <row r="159" spans="1:8" ht="17.100000000000001" customHeight="1" x14ac:dyDescent="0.2">
      <c r="A159" s="22"/>
      <c r="B159" s="4" t="s">
        <v>989</v>
      </c>
      <c r="C159" s="24">
        <v>15.7034</v>
      </c>
      <c r="D159" s="24">
        <v>15.775</v>
      </c>
      <c r="E159" s="22"/>
      <c r="F159" s="19"/>
      <c r="G159" s="25"/>
    </row>
    <row r="160" spans="1:8" ht="14.1" customHeight="1" x14ac:dyDescent="0.2">
      <c r="A160" s="22"/>
      <c r="B160" s="22"/>
      <c r="C160" s="22"/>
      <c r="D160" s="22"/>
      <c r="E160" s="22"/>
      <c r="F160" s="22"/>
      <c r="G160" s="22"/>
    </row>
    <row r="161" spans="1:7" ht="17.100000000000001" customHeight="1" x14ac:dyDescent="0.2">
      <c r="A161" s="22"/>
      <c r="B161" s="165" t="s">
        <v>990</v>
      </c>
      <c r="C161" s="166"/>
      <c r="D161" s="2" t="s">
        <v>135</v>
      </c>
      <c r="E161" s="22"/>
      <c r="F161" s="22"/>
      <c r="G161" s="22"/>
    </row>
    <row r="162" spans="1:7" ht="18" customHeight="1" x14ac:dyDescent="0.2">
      <c r="A162" s="22"/>
      <c r="B162" s="26" t="s">
        <v>145</v>
      </c>
      <c r="C162" s="26" t="s">
        <v>145</v>
      </c>
      <c r="D162" s="26"/>
      <c r="E162" s="22"/>
      <c r="F162" s="22"/>
      <c r="G162" s="22"/>
    </row>
    <row r="163" spans="1:7" s="158" customFormat="1" x14ac:dyDescent="0.2">
      <c r="B163" s="167" t="s">
        <v>822</v>
      </c>
      <c r="C163" s="167"/>
      <c r="D163" s="167"/>
      <c r="E163" s="167"/>
      <c r="F163" s="167"/>
    </row>
    <row r="164" spans="1:7" ht="14.1" customHeight="1" x14ac:dyDescent="0.2">
      <c r="A164" s="22"/>
      <c r="B164" s="19"/>
      <c r="C164" s="19"/>
      <c r="D164" s="22"/>
      <c r="E164" s="22"/>
      <c r="F164" s="22"/>
      <c r="G164" s="22"/>
    </row>
    <row r="165" spans="1:7" ht="29.1" customHeight="1" x14ac:dyDescent="0.2">
      <c r="A165" s="22"/>
      <c r="B165" s="165" t="s">
        <v>146</v>
      </c>
      <c r="C165" s="166"/>
      <c r="D165" s="2" t="s">
        <v>135</v>
      </c>
      <c r="E165" s="22"/>
      <c r="F165" s="22"/>
      <c r="G165" s="22"/>
    </row>
    <row r="166" spans="1:7" ht="29.1" customHeight="1" x14ac:dyDescent="0.2">
      <c r="A166" s="22"/>
      <c r="B166" s="165" t="s">
        <v>147</v>
      </c>
      <c r="C166" s="166"/>
      <c r="D166" s="2" t="s">
        <v>135</v>
      </c>
      <c r="E166" s="22"/>
      <c r="F166" s="22"/>
      <c r="G166" s="22"/>
    </row>
    <row r="167" spans="1:7" ht="17.100000000000001" customHeight="1" x14ac:dyDescent="0.2">
      <c r="A167" s="22"/>
      <c r="B167" s="165" t="s">
        <v>148</v>
      </c>
      <c r="C167" s="166"/>
      <c r="D167" s="27">
        <v>0.44890099287456264</v>
      </c>
      <c r="E167" s="22"/>
      <c r="F167" s="19"/>
      <c r="G167" s="25"/>
    </row>
    <row r="168" spans="1:7" ht="17.100000000000001" customHeight="1" x14ac:dyDescent="0.2">
      <c r="A168" s="22"/>
      <c r="B168" s="165" t="s">
        <v>149</v>
      </c>
      <c r="C168" s="166"/>
      <c r="D168" s="2" t="s">
        <v>135</v>
      </c>
      <c r="E168" s="22"/>
      <c r="F168" s="22"/>
      <c r="G168" s="22"/>
    </row>
  </sheetData>
  <mergeCells count="15">
    <mergeCell ref="B150:C150"/>
    <mergeCell ref="B147:F147"/>
    <mergeCell ref="B148:F148"/>
    <mergeCell ref="A1:H1"/>
    <mergeCell ref="A2:H2"/>
    <mergeCell ref="A3:H3"/>
    <mergeCell ref="B167:C167"/>
    <mergeCell ref="B168:C168"/>
    <mergeCell ref="B151:C151"/>
    <mergeCell ref="B152:C152"/>
    <mergeCell ref="B153:C153"/>
    <mergeCell ref="B161:C161"/>
    <mergeCell ref="B165:C165"/>
    <mergeCell ref="B166:C166"/>
    <mergeCell ref="B163:F16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6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469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151</v>
      </c>
      <c r="C7" s="4" t="s">
        <v>152</v>
      </c>
      <c r="D7" s="4" t="s">
        <v>153</v>
      </c>
      <c r="E7" s="5">
        <v>5761</v>
      </c>
      <c r="F7" s="6">
        <v>232.030036</v>
      </c>
      <c r="G7" s="7">
        <v>3.4356071000000002E-2</v>
      </c>
      <c r="H7" s="67"/>
    </row>
    <row r="8" spans="1:8" x14ac:dyDescent="0.2">
      <c r="A8" s="3">
        <v>2</v>
      </c>
      <c r="B8" s="4" t="s">
        <v>25</v>
      </c>
      <c r="C8" s="4" t="s">
        <v>26</v>
      </c>
      <c r="D8" s="4" t="s">
        <v>27</v>
      </c>
      <c r="E8" s="5">
        <v>17048</v>
      </c>
      <c r="F8" s="6">
        <v>220.08115599999999</v>
      </c>
      <c r="G8" s="7">
        <v>3.2586832000000003E-2</v>
      </c>
      <c r="H8" s="67"/>
    </row>
    <row r="9" spans="1:8" x14ac:dyDescent="0.2">
      <c r="A9" s="3">
        <v>3</v>
      </c>
      <c r="B9" s="4" t="s">
        <v>466</v>
      </c>
      <c r="C9" s="4" t="s">
        <v>467</v>
      </c>
      <c r="D9" s="4" t="s">
        <v>187</v>
      </c>
      <c r="E9" s="5">
        <v>29590</v>
      </c>
      <c r="F9" s="6">
        <v>186.94962000000001</v>
      </c>
      <c r="G9" s="7">
        <v>2.7681133E-2</v>
      </c>
      <c r="H9" s="67"/>
    </row>
    <row r="10" spans="1:8" x14ac:dyDescent="0.2">
      <c r="A10" s="3">
        <v>4</v>
      </c>
      <c r="B10" s="4" t="s">
        <v>154</v>
      </c>
      <c r="C10" s="4" t="s">
        <v>155</v>
      </c>
      <c r="D10" s="4" t="s">
        <v>81</v>
      </c>
      <c r="E10" s="5">
        <v>145875</v>
      </c>
      <c r="F10" s="6">
        <v>171.986625</v>
      </c>
      <c r="G10" s="7">
        <v>2.5465602E-2</v>
      </c>
      <c r="H10" s="67"/>
    </row>
    <row r="11" spans="1:8" x14ac:dyDescent="0.2">
      <c r="A11" s="3">
        <v>5</v>
      </c>
      <c r="B11" s="4" t="s">
        <v>158</v>
      </c>
      <c r="C11" s="4" t="s">
        <v>159</v>
      </c>
      <c r="D11" s="4" t="s">
        <v>27</v>
      </c>
      <c r="E11" s="5">
        <v>22067</v>
      </c>
      <c r="F11" s="6">
        <v>168.172607</v>
      </c>
      <c r="G11" s="7">
        <v>2.4900871000000002E-2</v>
      </c>
      <c r="H11" s="67"/>
    </row>
    <row r="12" spans="1:8" x14ac:dyDescent="0.2">
      <c r="A12" s="3">
        <v>6</v>
      </c>
      <c r="B12" s="4" t="s">
        <v>296</v>
      </c>
      <c r="C12" s="4" t="s">
        <v>297</v>
      </c>
      <c r="D12" s="4" t="s">
        <v>27</v>
      </c>
      <c r="E12" s="5">
        <v>24026</v>
      </c>
      <c r="F12" s="6">
        <v>163.62907300000001</v>
      </c>
      <c r="G12" s="7">
        <v>2.4228122000000001E-2</v>
      </c>
      <c r="H12" s="67"/>
    </row>
    <row r="13" spans="1:8" x14ac:dyDescent="0.2">
      <c r="A13" s="3">
        <v>7</v>
      </c>
      <c r="B13" s="4" t="s">
        <v>162</v>
      </c>
      <c r="C13" s="4" t="s">
        <v>163</v>
      </c>
      <c r="D13" s="4" t="s">
        <v>27</v>
      </c>
      <c r="E13" s="5">
        <v>21271</v>
      </c>
      <c r="F13" s="6">
        <v>162.60615949999999</v>
      </c>
      <c r="G13" s="7">
        <v>2.4076661999999999E-2</v>
      </c>
      <c r="H13" s="67"/>
    </row>
    <row r="14" spans="1:8" x14ac:dyDescent="0.2">
      <c r="A14" s="3">
        <v>8</v>
      </c>
      <c r="B14" s="4" t="s">
        <v>164</v>
      </c>
      <c r="C14" s="4" t="s">
        <v>165</v>
      </c>
      <c r="D14" s="4" t="s">
        <v>166</v>
      </c>
      <c r="E14" s="5">
        <v>45429</v>
      </c>
      <c r="F14" s="6">
        <v>153.00487200000001</v>
      </c>
      <c r="G14" s="7">
        <v>2.2655024999999999E-2</v>
      </c>
      <c r="H14" s="67"/>
    </row>
    <row r="15" spans="1:8" x14ac:dyDescent="0.2">
      <c r="A15" s="3">
        <v>9</v>
      </c>
      <c r="B15" s="4" t="s">
        <v>37</v>
      </c>
      <c r="C15" s="4" t="s">
        <v>38</v>
      </c>
      <c r="D15" s="4" t="s">
        <v>27</v>
      </c>
      <c r="E15" s="5">
        <v>12093</v>
      </c>
      <c r="F15" s="6">
        <v>144.02158349999999</v>
      </c>
      <c r="G15" s="7">
        <v>2.1324893000000001E-2</v>
      </c>
      <c r="H15" s="67"/>
    </row>
    <row r="16" spans="1:8" ht="25.5" x14ac:dyDescent="0.2">
      <c r="A16" s="3">
        <v>10</v>
      </c>
      <c r="B16" s="4" t="s">
        <v>30</v>
      </c>
      <c r="C16" s="4" t="s">
        <v>998</v>
      </c>
      <c r="D16" s="4" t="s">
        <v>992</v>
      </c>
      <c r="E16" s="5">
        <v>4064</v>
      </c>
      <c r="F16" s="6">
        <v>132.94969599999999</v>
      </c>
      <c r="G16" s="7">
        <v>1.9685508000000001E-2</v>
      </c>
      <c r="H16" s="67"/>
    </row>
    <row r="17" spans="1:8" x14ac:dyDescent="0.2">
      <c r="A17" s="3">
        <v>11</v>
      </c>
      <c r="B17" s="4" t="s">
        <v>167</v>
      </c>
      <c r="C17" s="4" t="s">
        <v>168</v>
      </c>
      <c r="D17" s="4" t="s">
        <v>166</v>
      </c>
      <c r="E17" s="5">
        <v>3812</v>
      </c>
      <c r="F17" s="6">
        <v>126.636546</v>
      </c>
      <c r="G17" s="7">
        <v>1.8750737E-2</v>
      </c>
      <c r="H17" s="67"/>
    </row>
    <row r="18" spans="1:8" x14ac:dyDescent="0.2">
      <c r="A18" s="3">
        <v>12</v>
      </c>
      <c r="B18" s="4" t="s">
        <v>172</v>
      </c>
      <c r="C18" s="4" t="s">
        <v>173</v>
      </c>
      <c r="D18" s="4" t="s">
        <v>331</v>
      </c>
      <c r="E18" s="5">
        <v>12809</v>
      </c>
      <c r="F18" s="6">
        <v>122.1274105</v>
      </c>
      <c r="G18" s="7">
        <v>1.8083081000000001E-2</v>
      </c>
      <c r="H18" s="67"/>
    </row>
    <row r="19" spans="1:8" x14ac:dyDescent="0.2">
      <c r="A19" s="3">
        <v>13</v>
      </c>
      <c r="B19" s="4" t="s">
        <v>174</v>
      </c>
      <c r="C19" s="4" t="s">
        <v>175</v>
      </c>
      <c r="D19" s="4" t="s">
        <v>55</v>
      </c>
      <c r="E19" s="5">
        <v>30178</v>
      </c>
      <c r="F19" s="6">
        <v>121.481539</v>
      </c>
      <c r="G19" s="7">
        <v>1.7987448999999999E-2</v>
      </c>
      <c r="H19" s="67"/>
    </row>
    <row r="20" spans="1:8" x14ac:dyDescent="0.2">
      <c r="A20" s="3">
        <v>14</v>
      </c>
      <c r="B20" s="4" t="s">
        <v>342</v>
      </c>
      <c r="C20" s="4" t="s">
        <v>343</v>
      </c>
      <c r="D20" s="4" t="s">
        <v>171</v>
      </c>
      <c r="E20" s="5">
        <v>3172</v>
      </c>
      <c r="F20" s="6">
        <v>115.860472</v>
      </c>
      <c r="G20" s="7">
        <v>1.7155152E-2</v>
      </c>
      <c r="H20" s="67"/>
    </row>
    <row r="21" spans="1:8" x14ac:dyDescent="0.2">
      <c r="A21" s="3">
        <v>15</v>
      </c>
      <c r="B21" s="4" t="s">
        <v>63</v>
      </c>
      <c r="C21" s="4" t="s">
        <v>64</v>
      </c>
      <c r="D21" s="4" t="s">
        <v>55</v>
      </c>
      <c r="E21" s="5">
        <v>44599</v>
      </c>
      <c r="F21" s="6">
        <v>115.51141</v>
      </c>
      <c r="G21" s="7">
        <v>1.7103467000000001E-2</v>
      </c>
      <c r="H21" s="67"/>
    </row>
    <row r="22" spans="1:8" x14ac:dyDescent="0.2">
      <c r="A22" s="3">
        <v>16</v>
      </c>
      <c r="B22" s="4" t="s">
        <v>180</v>
      </c>
      <c r="C22" s="4" t="s">
        <v>181</v>
      </c>
      <c r="D22" s="4" t="s">
        <v>171</v>
      </c>
      <c r="E22" s="5">
        <v>8296</v>
      </c>
      <c r="F22" s="6">
        <v>113.211364</v>
      </c>
      <c r="G22" s="7">
        <v>1.6762906000000001E-2</v>
      </c>
      <c r="H22" s="67"/>
    </row>
    <row r="23" spans="1:8" x14ac:dyDescent="0.2">
      <c r="A23" s="3">
        <v>17</v>
      </c>
      <c r="B23" s="4" t="s">
        <v>177</v>
      </c>
      <c r="C23" s="4" t="s">
        <v>178</v>
      </c>
      <c r="D23" s="4" t="s">
        <v>179</v>
      </c>
      <c r="E23" s="5">
        <v>46520</v>
      </c>
      <c r="F23" s="6">
        <v>111.41540000000001</v>
      </c>
      <c r="G23" s="7">
        <v>1.6496982E-2</v>
      </c>
      <c r="H23" s="67"/>
    </row>
    <row r="24" spans="1:8" ht="25.5" x14ac:dyDescent="0.2">
      <c r="A24" s="3">
        <v>18</v>
      </c>
      <c r="B24" s="4" t="s">
        <v>176</v>
      </c>
      <c r="C24" s="4" t="s">
        <v>995</v>
      </c>
      <c r="D24" s="4" t="s">
        <v>992</v>
      </c>
      <c r="E24" s="5">
        <v>42002</v>
      </c>
      <c r="F24" s="6">
        <v>111.137292</v>
      </c>
      <c r="G24" s="7">
        <v>1.6455803000000001E-2</v>
      </c>
      <c r="H24" s="67"/>
    </row>
    <row r="25" spans="1:8" x14ac:dyDescent="0.2">
      <c r="A25" s="3">
        <v>19</v>
      </c>
      <c r="B25" s="4" t="s">
        <v>192</v>
      </c>
      <c r="C25" s="4" t="s">
        <v>193</v>
      </c>
      <c r="D25" s="4" t="s">
        <v>81</v>
      </c>
      <c r="E25" s="5">
        <v>17640</v>
      </c>
      <c r="F25" s="6">
        <v>100.66266</v>
      </c>
      <c r="G25" s="7">
        <v>1.4904852E-2</v>
      </c>
      <c r="H25" s="67"/>
    </row>
    <row r="26" spans="1:8" x14ac:dyDescent="0.2">
      <c r="A26" s="3">
        <v>20</v>
      </c>
      <c r="B26" s="4" t="s">
        <v>188</v>
      </c>
      <c r="C26" s="4" t="s">
        <v>189</v>
      </c>
      <c r="D26" s="4" t="s">
        <v>166</v>
      </c>
      <c r="E26" s="5">
        <v>2070</v>
      </c>
      <c r="F26" s="6">
        <v>98.519580000000005</v>
      </c>
      <c r="G26" s="7">
        <v>1.4587532E-2</v>
      </c>
      <c r="H26" s="67"/>
    </row>
    <row r="27" spans="1:8" ht="25.5" x14ac:dyDescent="0.2">
      <c r="A27" s="3">
        <v>21</v>
      </c>
      <c r="B27" s="4" t="s">
        <v>450</v>
      </c>
      <c r="C27" s="4" t="s">
        <v>451</v>
      </c>
      <c r="D27" s="4" t="s">
        <v>36</v>
      </c>
      <c r="E27" s="5">
        <v>6784</v>
      </c>
      <c r="F27" s="6">
        <v>98.479935999999995</v>
      </c>
      <c r="G27" s="7">
        <v>1.4581662E-2</v>
      </c>
      <c r="H27" s="67"/>
    </row>
    <row r="28" spans="1:8" x14ac:dyDescent="0.2">
      <c r="A28" s="3">
        <v>22</v>
      </c>
      <c r="B28" s="4" t="s">
        <v>198</v>
      </c>
      <c r="C28" s="4" t="s">
        <v>199</v>
      </c>
      <c r="D28" s="4" t="s">
        <v>166</v>
      </c>
      <c r="E28" s="5">
        <v>10021</v>
      </c>
      <c r="F28" s="6">
        <v>97.950264500000003</v>
      </c>
      <c r="G28" s="7">
        <v>1.4503235E-2</v>
      </c>
      <c r="H28" s="67"/>
    </row>
    <row r="29" spans="1:8" x14ac:dyDescent="0.2">
      <c r="A29" s="3">
        <v>23</v>
      </c>
      <c r="B29" s="4" t="s">
        <v>196</v>
      </c>
      <c r="C29" s="4" t="s">
        <v>197</v>
      </c>
      <c r="D29" s="4" t="s">
        <v>1004</v>
      </c>
      <c r="E29" s="5">
        <v>31617</v>
      </c>
      <c r="F29" s="6">
        <v>97.775572499999996</v>
      </c>
      <c r="G29" s="7">
        <v>1.4477369E-2</v>
      </c>
      <c r="H29" s="67"/>
    </row>
    <row r="30" spans="1:8" x14ac:dyDescent="0.2">
      <c r="A30" s="3">
        <v>24</v>
      </c>
      <c r="B30" s="4" t="s">
        <v>456</v>
      </c>
      <c r="C30" s="4" t="s">
        <v>457</v>
      </c>
      <c r="D30" s="4" t="s">
        <v>212</v>
      </c>
      <c r="E30" s="5">
        <v>16417</v>
      </c>
      <c r="F30" s="6">
        <v>97.032678500000003</v>
      </c>
      <c r="G30" s="7">
        <v>1.4367371E-2</v>
      </c>
      <c r="H30" s="67"/>
    </row>
    <row r="31" spans="1:8" ht="25.5" x14ac:dyDescent="0.2">
      <c r="A31" s="3">
        <v>25</v>
      </c>
      <c r="B31" s="4" t="s">
        <v>202</v>
      </c>
      <c r="C31" s="4" t="s">
        <v>203</v>
      </c>
      <c r="D31" s="4" t="s">
        <v>52</v>
      </c>
      <c r="E31" s="5">
        <v>20765</v>
      </c>
      <c r="F31" s="6">
        <v>96.816812499999997</v>
      </c>
      <c r="G31" s="7">
        <v>1.4335407999999999E-2</v>
      </c>
      <c r="H31" s="67"/>
    </row>
    <row r="32" spans="1:8" x14ac:dyDescent="0.2">
      <c r="A32" s="3">
        <v>26</v>
      </c>
      <c r="B32" s="4" t="s">
        <v>185</v>
      </c>
      <c r="C32" s="4" t="s">
        <v>186</v>
      </c>
      <c r="D32" s="4" t="s">
        <v>187</v>
      </c>
      <c r="E32" s="5">
        <v>19577</v>
      </c>
      <c r="F32" s="6">
        <v>93.920657500000004</v>
      </c>
      <c r="G32" s="7">
        <v>1.3906582000000001E-2</v>
      </c>
      <c r="H32" s="67"/>
    </row>
    <row r="33" spans="1:8" x14ac:dyDescent="0.2">
      <c r="A33" s="3">
        <v>27</v>
      </c>
      <c r="B33" s="4" t="s">
        <v>208</v>
      </c>
      <c r="C33" s="4" t="s">
        <v>209</v>
      </c>
      <c r="D33" s="4" t="s">
        <v>1005</v>
      </c>
      <c r="E33" s="5">
        <v>11000</v>
      </c>
      <c r="F33" s="6">
        <v>93.153499999999994</v>
      </c>
      <c r="G33" s="7">
        <v>1.3792990999999999E-2</v>
      </c>
      <c r="H33" s="67"/>
    </row>
    <row r="34" spans="1:8" x14ac:dyDescent="0.2">
      <c r="A34" s="3">
        <v>28</v>
      </c>
      <c r="B34" s="4" t="s">
        <v>206</v>
      </c>
      <c r="C34" s="4" t="s">
        <v>207</v>
      </c>
      <c r="D34" s="4" t="s">
        <v>187</v>
      </c>
      <c r="E34" s="5">
        <v>13902</v>
      </c>
      <c r="F34" s="6">
        <v>92.670732000000001</v>
      </c>
      <c r="G34" s="7">
        <v>1.3721509E-2</v>
      </c>
      <c r="H34" s="67"/>
    </row>
    <row r="35" spans="1:8" x14ac:dyDescent="0.2">
      <c r="A35" s="3">
        <v>29</v>
      </c>
      <c r="B35" s="4" t="s">
        <v>204</v>
      </c>
      <c r="C35" s="4" t="s">
        <v>205</v>
      </c>
      <c r="D35" s="4" t="s">
        <v>27</v>
      </c>
      <c r="E35" s="5">
        <v>5569</v>
      </c>
      <c r="F35" s="6">
        <v>92.481598500000004</v>
      </c>
      <c r="G35" s="7">
        <v>1.3693504E-2</v>
      </c>
      <c r="H35" s="67"/>
    </row>
    <row r="36" spans="1:8" x14ac:dyDescent="0.2">
      <c r="A36" s="3">
        <v>30</v>
      </c>
      <c r="B36" s="4" t="s">
        <v>194</v>
      </c>
      <c r="C36" s="4" t="s">
        <v>195</v>
      </c>
      <c r="D36" s="4" t="s">
        <v>55</v>
      </c>
      <c r="E36" s="5">
        <v>9562</v>
      </c>
      <c r="F36" s="6">
        <v>92.158556000000004</v>
      </c>
      <c r="G36" s="7">
        <v>1.3645671999999999E-2</v>
      </c>
      <c r="H36" s="67"/>
    </row>
    <row r="37" spans="1:8" x14ac:dyDescent="0.2">
      <c r="A37" s="3">
        <v>31</v>
      </c>
      <c r="B37" s="4" t="s">
        <v>169</v>
      </c>
      <c r="C37" s="4" t="s">
        <v>170</v>
      </c>
      <c r="D37" s="4" t="s">
        <v>171</v>
      </c>
      <c r="E37" s="5">
        <v>12334</v>
      </c>
      <c r="F37" s="6">
        <v>89.174819999999997</v>
      </c>
      <c r="G37" s="7">
        <v>1.3203879E-2</v>
      </c>
      <c r="H37" s="67"/>
    </row>
    <row r="38" spans="1:8" x14ac:dyDescent="0.2">
      <c r="A38" s="3">
        <v>32</v>
      </c>
      <c r="B38" s="4" t="s">
        <v>462</v>
      </c>
      <c r="C38" s="4" t="s">
        <v>463</v>
      </c>
      <c r="D38" s="4" t="s">
        <v>1003</v>
      </c>
      <c r="E38" s="5">
        <v>95295</v>
      </c>
      <c r="F38" s="6">
        <v>89.053177500000004</v>
      </c>
      <c r="G38" s="7">
        <v>1.3185867E-2</v>
      </c>
      <c r="H38" s="67"/>
    </row>
    <row r="39" spans="1:8" ht="25.5" x14ac:dyDescent="0.2">
      <c r="A39" s="3">
        <v>33</v>
      </c>
      <c r="B39" s="4" t="s">
        <v>217</v>
      </c>
      <c r="C39" s="4" t="s">
        <v>218</v>
      </c>
      <c r="D39" s="4" t="s">
        <v>55</v>
      </c>
      <c r="E39" s="5">
        <v>3957</v>
      </c>
      <c r="F39" s="6">
        <v>86.806687499999995</v>
      </c>
      <c r="G39" s="7">
        <v>1.2853234999999999E-2</v>
      </c>
      <c r="H39" s="67"/>
    </row>
    <row r="40" spans="1:8" x14ac:dyDescent="0.2">
      <c r="A40" s="3">
        <v>34</v>
      </c>
      <c r="B40" s="4" t="s">
        <v>213</v>
      </c>
      <c r="C40" s="4" t="s">
        <v>214</v>
      </c>
      <c r="D40" s="4" t="s">
        <v>81</v>
      </c>
      <c r="E40" s="5">
        <v>15169</v>
      </c>
      <c r="F40" s="6">
        <v>86.607405499999999</v>
      </c>
      <c r="G40" s="7">
        <v>1.2823728E-2</v>
      </c>
      <c r="H40" s="67"/>
    </row>
    <row r="41" spans="1:8" x14ac:dyDescent="0.2">
      <c r="A41" s="3">
        <v>35</v>
      </c>
      <c r="B41" s="4" t="s">
        <v>225</v>
      </c>
      <c r="C41" s="4" t="s">
        <v>226</v>
      </c>
      <c r="D41" s="4" t="s">
        <v>166</v>
      </c>
      <c r="E41" s="5">
        <v>5955</v>
      </c>
      <c r="F41" s="6">
        <v>85.019535000000005</v>
      </c>
      <c r="G41" s="7">
        <v>1.2588617E-2</v>
      </c>
      <c r="H41" s="67"/>
    </row>
    <row r="42" spans="1:8" x14ac:dyDescent="0.2">
      <c r="A42" s="3">
        <v>36</v>
      </c>
      <c r="B42" s="4" t="s">
        <v>223</v>
      </c>
      <c r="C42" s="4" t="s">
        <v>224</v>
      </c>
      <c r="D42" s="4" t="s">
        <v>69</v>
      </c>
      <c r="E42" s="5">
        <v>9799</v>
      </c>
      <c r="F42" s="6">
        <v>84.540872500000006</v>
      </c>
      <c r="G42" s="7">
        <v>1.2517742E-2</v>
      </c>
      <c r="H42" s="67"/>
    </row>
    <row r="43" spans="1:8" x14ac:dyDescent="0.2">
      <c r="A43" s="3">
        <v>37</v>
      </c>
      <c r="B43" s="4" t="s">
        <v>210</v>
      </c>
      <c r="C43" s="4" t="s">
        <v>211</v>
      </c>
      <c r="D43" s="4" t="s">
        <v>212</v>
      </c>
      <c r="E43" s="5">
        <v>33456</v>
      </c>
      <c r="F43" s="6">
        <v>83.874191999999994</v>
      </c>
      <c r="G43" s="7">
        <v>1.2419029E-2</v>
      </c>
      <c r="H43" s="67"/>
    </row>
    <row r="44" spans="1:8" x14ac:dyDescent="0.2">
      <c r="A44" s="3">
        <v>38</v>
      </c>
      <c r="B44" s="4" t="s">
        <v>452</v>
      </c>
      <c r="C44" s="4" t="s">
        <v>453</v>
      </c>
      <c r="D44" s="4" t="s">
        <v>27</v>
      </c>
      <c r="E44" s="5">
        <v>9582</v>
      </c>
      <c r="F44" s="6">
        <v>79.525808999999995</v>
      </c>
      <c r="G44" s="7">
        <v>1.1775175000000001E-2</v>
      </c>
      <c r="H44" s="67"/>
    </row>
    <row r="45" spans="1:8" x14ac:dyDescent="0.2">
      <c r="A45" s="3">
        <v>39</v>
      </c>
      <c r="B45" s="4" t="s">
        <v>219</v>
      </c>
      <c r="C45" s="4" t="s">
        <v>220</v>
      </c>
      <c r="D45" s="4" t="s">
        <v>55</v>
      </c>
      <c r="E45" s="5">
        <v>9133</v>
      </c>
      <c r="F45" s="6">
        <v>77.511770999999996</v>
      </c>
      <c r="G45" s="7">
        <v>1.1476962E-2</v>
      </c>
      <c r="H45" s="67"/>
    </row>
    <row r="46" spans="1:8" ht="25.5" x14ac:dyDescent="0.2">
      <c r="A46" s="3">
        <v>40</v>
      </c>
      <c r="B46" s="4" t="s">
        <v>221</v>
      </c>
      <c r="C46" s="4" t="s">
        <v>222</v>
      </c>
      <c r="D46" s="4" t="s">
        <v>36</v>
      </c>
      <c r="E46" s="5">
        <v>90123</v>
      </c>
      <c r="F46" s="6">
        <v>77.415656999999996</v>
      </c>
      <c r="G46" s="7">
        <v>1.1462731E-2</v>
      </c>
      <c r="H46" s="67"/>
    </row>
    <row r="47" spans="1:8" x14ac:dyDescent="0.2">
      <c r="A47" s="3">
        <v>41</v>
      </c>
      <c r="B47" s="4" t="s">
        <v>215</v>
      </c>
      <c r="C47" s="4" t="s">
        <v>216</v>
      </c>
      <c r="D47" s="4" t="s">
        <v>69</v>
      </c>
      <c r="E47" s="5">
        <v>75207</v>
      </c>
      <c r="F47" s="6">
        <v>75.169396500000005</v>
      </c>
      <c r="G47" s="7">
        <v>1.1130133E-2</v>
      </c>
      <c r="H47" s="67"/>
    </row>
    <row r="48" spans="1:8" x14ac:dyDescent="0.2">
      <c r="A48" s="3">
        <v>42</v>
      </c>
      <c r="B48" s="4" t="s">
        <v>454</v>
      </c>
      <c r="C48" s="4" t="s">
        <v>455</v>
      </c>
      <c r="D48" s="4" t="s">
        <v>46</v>
      </c>
      <c r="E48" s="5">
        <v>18007</v>
      </c>
      <c r="F48" s="6">
        <v>73.576601999999994</v>
      </c>
      <c r="G48" s="7">
        <v>1.0894292E-2</v>
      </c>
      <c r="H48" s="67"/>
    </row>
    <row r="49" spans="1:8" x14ac:dyDescent="0.2">
      <c r="A49" s="3">
        <v>43</v>
      </c>
      <c r="B49" s="4" t="s">
        <v>182</v>
      </c>
      <c r="C49" s="4" t="s">
        <v>183</v>
      </c>
      <c r="D49" s="4" t="s">
        <v>184</v>
      </c>
      <c r="E49" s="5">
        <v>7374</v>
      </c>
      <c r="F49" s="6">
        <v>72.711326999999997</v>
      </c>
      <c r="G49" s="7">
        <v>1.0766173E-2</v>
      </c>
      <c r="H49" s="67"/>
    </row>
    <row r="50" spans="1:8" x14ac:dyDescent="0.2">
      <c r="A50" s="3">
        <v>44</v>
      </c>
      <c r="B50" s="4" t="s">
        <v>32</v>
      </c>
      <c r="C50" s="4" t="s">
        <v>33</v>
      </c>
      <c r="D50" s="4" t="s">
        <v>27</v>
      </c>
      <c r="E50" s="5">
        <v>3200</v>
      </c>
      <c r="F50" s="6">
        <v>70.599999999999994</v>
      </c>
      <c r="G50" s="7">
        <v>1.0453554E-2</v>
      </c>
      <c r="H50" s="67"/>
    </row>
    <row r="51" spans="1:8" x14ac:dyDescent="0.2">
      <c r="A51" s="3">
        <v>45</v>
      </c>
      <c r="B51" s="4" t="s">
        <v>458</v>
      </c>
      <c r="C51" s="4" t="s">
        <v>459</v>
      </c>
      <c r="D51" s="4" t="s">
        <v>55</v>
      </c>
      <c r="E51" s="5">
        <v>8981</v>
      </c>
      <c r="F51" s="6">
        <v>69.598259499999998</v>
      </c>
      <c r="G51" s="7">
        <v>1.0305229000000001E-2</v>
      </c>
      <c r="H51" s="67"/>
    </row>
    <row r="52" spans="1:8" x14ac:dyDescent="0.2">
      <c r="A52" s="3">
        <v>46</v>
      </c>
      <c r="B52" s="4" t="s">
        <v>227</v>
      </c>
      <c r="C52" s="4" t="s">
        <v>228</v>
      </c>
      <c r="D52" s="4" t="s">
        <v>229</v>
      </c>
      <c r="E52" s="5">
        <v>14140</v>
      </c>
      <c r="F52" s="6">
        <v>67.674040000000005</v>
      </c>
      <c r="G52" s="7">
        <v>1.0020315E-2</v>
      </c>
      <c r="H52" s="67"/>
    </row>
    <row r="53" spans="1:8" x14ac:dyDescent="0.2">
      <c r="A53" s="3">
        <v>47</v>
      </c>
      <c r="B53" s="4" t="s">
        <v>290</v>
      </c>
      <c r="C53" s="4" t="s">
        <v>291</v>
      </c>
      <c r="D53" s="4" t="s">
        <v>27</v>
      </c>
      <c r="E53" s="5">
        <v>5669</v>
      </c>
      <c r="F53" s="6">
        <v>67.146470500000007</v>
      </c>
      <c r="G53" s="7">
        <v>9.9421990000000005E-3</v>
      </c>
      <c r="H53" s="67"/>
    </row>
    <row r="54" spans="1:8" x14ac:dyDescent="0.2">
      <c r="A54" s="3">
        <v>48</v>
      </c>
      <c r="B54" s="4" t="s">
        <v>232</v>
      </c>
      <c r="C54" s="4" t="s">
        <v>233</v>
      </c>
      <c r="D54" s="4" t="s">
        <v>55</v>
      </c>
      <c r="E54" s="5">
        <v>26481</v>
      </c>
      <c r="F54" s="6">
        <v>67.010170500000001</v>
      </c>
      <c r="G54" s="7">
        <v>9.9220179999999995E-3</v>
      </c>
      <c r="H54" s="67"/>
    </row>
    <row r="55" spans="1:8" x14ac:dyDescent="0.2">
      <c r="A55" s="3">
        <v>49</v>
      </c>
      <c r="B55" s="4" t="s">
        <v>234</v>
      </c>
      <c r="C55" s="4" t="s">
        <v>235</v>
      </c>
      <c r="D55" s="4" t="s">
        <v>187</v>
      </c>
      <c r="E55" s="5">
        <v>3920</v>
      </c>
      <c r="F55" s="6">
        <v>66.743880000000004</v>
      </c>
      <c r="G55" s="7">
        <v>9.8825890000000007E-3</v>
      </c>
      <c r="H55" s="67"/>
    </row>
    <row r="56" spans="1:8" ht="25.5" x14ac:dyDescent="0.2">
      <c r="A56" s="3">
        <v>50</v>
      </c>
      <c r="B56" s="4" t="s">
        <v>230</v>
      </c>
      <c r="C56" s="4" t="s">
        <v>231</v>
      </c>
      <c r="D56" s="4" t="s">
        <v>52</v>
      </c>
      <c r="E56" s="5">
        <v>16397</v>
      </c>
      <c r="F56" s="6">
        <v>66.055314499999994</v>
      </c>
      <c r="G56" s="7">
        <v>9.7806349999999993E-3</v>
      </c>
      <c r="H56" s="67"/>
    </row>
    <row r="57" spans="1:8" ht="25.5" x14ac:dyDescent="0.2">
      <c r="A57" s="3">
        <v>51</v>
      </c>
      <c r="B57" s="4" t="s">
        <v>238</v>
      </c>
      <c r="C57" s="4" t="s">
        <v>239</v>
      </c>
      <c r="D57" s="4" t="s">
        <v>1006</v>
      </c>
      <c r="E57" s="5">
        <v>63692</v>
      </c>
      <c r="F57" s="6">
        <v>65.475375999999997</v>
      </c>
      <c r="G57" s="7">
        <v>9.6947649999999993E-3</v>
      </c>
      <c r="H57" s="67"/>
    </row>
    <row r="58" spans="1:8" x14ac:dyDescent="0.2">
      <c r="A58" s="3">
        <v>52</v>
      </c>
      <c r="B58" s="4" t="s">
        <v>245</v>
      </c>
      <c r="C58" s="4" t="s">
        <v>246</v>
      </c>
      <c r="D58" s="4" t="s">
        <v>81</v>
      </c>
      <c r="E58" s="5">
        <v>128598</v>
      </c>
      <c r="F58" s="6">
        <v>64.620495000000005</v>
      </c>
      <c r="G58" s="7">
        <v>9.5681849999999999E-3</v>
      </c>
      <c r="H58" s="67"/>
    </row>
    <row r="59" spans="1:8" ht="25.5" x14ac:dyDescent="0.2">
      <c r="A59" s="3">
        <v>53</v>
      </c>
      <c r="B59" s="4" t="s">
        <v>240</v>
      </c>
      <c r="C59" s="4" t="s">
        <v>241</v>
      </c>
      <c r="D59" s="4" t="s">
        <v>52</v>
      </c>
      <c r="E59" s="5">
        <v>15722</v>
      </c>
      <c r="F59" s="6">
        <v>63.477575000000002</v>
      </c>
      <c r="G59" s="7">
        <v>9.398956E-3</v>
      </c>
      <c r="H59" s="67"/>
    </row>
    <row r="60" spans="1:8" x14ac:dyDescent="0.2">
      <c r="A60" s="3">
        <v>54</v>
      </c>
      <c r="B60" s="4" t="s">
        <v>243</v>
      </c>
      <c r="C60" s="4" t="s">
        <v>244</v>
      </c>
      <c r="D60" s="4" t="s">
        <v>171</v>
      </c>
      <c r="E60" s="5">
        <v>17494</v>
      </c>
      <c r="F60" s="6">
        <v>63.415750000000003</v>
      </c>
      <c r="G60" s="7">
        <v>9.3898019999999992E-3</v>
      </c>
      <c r="H60" s="67"/>
    </row>
    <row r="61" spans="1:8" x14ac:dyDescent="0.2">
      <c r="A61" s="3">
        <v>55</v>
      </c>
      <c r="B61" s="4" t="s">
        <v>247</v>
      </c>
      <c r="C61" s="4" t="s">
        <v>248</v>
      </c>
      <c r="D61" s="4" t="s">
        <v>1001</v>
      </c>
      <c r="E61" s="5">
        <v>11454</v>
      </c>
      <c r="F61" s="6">
        <v>63.059997000000003</v>
      </c>
      <c r="G61" s="7">
        <v>9.3371259999999994E-3</v>
      </c>
      <c r="H61" s="67"/>
    </row>
    <row r="62" spans="1:8" x14ac:dyDescent="0.2">
      <c r="A62" s="3">
        <v>56</v>
      </c>
      <c r="B62" s="4" t="s">
        <v>190</v>
      </c>
      <c r="C62" s="4" t="s">
        <v>191</v>
      </c>
      <c r="D62" s="4" t="s">
        <v>41</v>
      </c>
      <c r="E62" s="5">
        <v>15004</v>
      </c>
      <c r="F62" s="6">
        <v>61.771467999999999</v>
      </c>
      <c r="G62" s="7">
        <v>9.1463369999999992E-3</v>
      </c>
      <c r="H62" s="67"/>
    </row>
    <row r="63" spans="1:8" x14ac:dyDescent="0.2">
      <c r="A63" s="3">
        <v>57</v>
      </c>
      <c r="B63" s="4" t="s">
        <v>255</v>
      </c>
      <c r="C63" s="4" t="s">
        <v>256</v>
      </c>
      <c r="D63" s="4" t="s">
        <v>331</v>
      </c>
      <c r="E63" s="5">
        <v>3918</v>
      </c>
      <c r="F63" s="6">
        <v>58.319429999999997</v>
      </c>
      <c r="G63" s="7">
        <v>8.6352029999999993E-3</v>
      </c>
      <c r="H63" s="67"/>
    </row>
    <row r="64" spans="1:8" x14ac:dyDescent="0.2">
      <c r="A64" s="3">
        <v>58</v>
      </c>
      <c r="B64" s="4" t="s">
        <v>253</v>
      </c>
      <c r="C64" s="4" t="s">
        <v>254</v>
      </c>
      <c r="D64" s="4" t="s">
        <v>49</v>
      </c>
      <c r="E64" s="5">
        <v>5369</v>
      </c>
      <c r="F64" s="6">
        <v>56.589260000000003</v>
      </c>
      <c r="G64" s="7">
        <v>8.3790210000000004E-3</v>
      </c>
      <c r="H64" s="67"/>
    </row>
    <row r="65" spans="1:8" x14ac:dyDescent="0.2">
      <c r="A65" s="3">
        <v>59</v>
      </c>
      <c r="B65" s="4" t="s">
        <v>262</v>
      </c>
      <c r="C65" s="4" t="s">
        <v>263</v>
      </c>
      <c r="D65" s="4" t="s">
        <v>171</v>
      </c>
      <c r="E65" s="5">
        <v>8028</v>
      </c>
      <c r="F65" s="6">
        <v>54.405755999999997</v>
      </c>
      <c r="G65" s="7">
        <v>8.0557159999999992E-3</v>
      </c>
      <c r="H65" s="67"/>
    </row>
    <row r="66" spans="1:8" x14ac:dyDescent="0.2">
      <c r="A66" s="3">
        <v>60</v>
      </c>
      <c r="B66" s="4" t="s">
        <v>259</v>
      </c>
      <c r="C66" s="4" t="s">
        <v>260</v>
      </c>
      <c r="D66" s="4" t="s">
        <v>261</v>
      </c>
      <c r="E66" s="5">
        <v>7257</v>
      </c>
      <c r="F66" s="6">
        <v>53.792512500000001</v>
      </c>
      <c r="G66" s="7">
        <v>7.964914E-3</v>
      </c>
      <c r="H66" s="67"/>
    </row>
    <row r="67" spans="1:8" x14ac:dyDescent="0.2">
      <c r="A67" s="3">
        <v>61</v>
      </c>
      <c r="B67" s="4" t="s">
        <v>257</v>
      </c>
      <c r="C67" s="4" t="s">
        <v>258</v>
      </c>
      <c r="D67" s="4" t="s">
        <v>1001</v>
      </c>
      <c r="E67" s="5">
        <v>41085</v>
      </c>
      <c r="F67" s="6">
        <v>51.397334999999998</v>
      </c>
      <c r="G67" s="7">
        <v>7.6102670000000004E-3</v>
      </c>
      <c r="H67" s="67"/>
    </row>
    <row r="68" spans="1:8" x14ac:dyDescent="0.2">
      <c r="A68" s="3">
        <v>62</v>
      </c>
      <c r="B68" s="4" t="s">
        <v>460</v>
      </c>
      <c r="C68" s="4" t="s">
        <v>461</v>
      </c>
      <c r="D68" s="4" t="s">
        <v>81</v>
      </c>
      <c r="E68" s="5">
        <v>7194</v>
      </c>
      <c r="F68" s="6">
        <v>50.512670999999997</v>
      </c>
      <c r="G68" s="7">
        <v>7.4792770000000003E-3</v>
      </c>
      <c r="H68" s="67"/>
    </row>
    <row r="69" spans="1:8" x14ac:dyDescent="0.2">
      <c r="A69" s="3">
        <v>63</v>
      </c>
      <c r="B69" s="4" t="s">
        <v>277</v>
      </c>
      <c r="C69" s="4" t="s">
        <v>278</v>
      </c>
      <c r="D69" s="4" t="s">
        <v>187</v>
      </c>
      <c r="E69" s="5">
        <v>12902</v>
      </c>
      <c r="F69" s="6">
        <v>50.433917999999998</v>
      </c>
      <c r="G69" s="7">
        <v>7.4676159999999998E-3</v>
      </c>
      <c r="H69" s="67"/>
    </row>
    <row r="70" spans="1:8" x14ac:dyDescent="0.2">
      <c r="A70" s="3">
        <v>64</v>
      </c>
      <c r="B70" s="4" t="s">
        <v>268</v>
      </c>
      <c r="C70" s="4" t="s">
        <v>269</v>
      </c>
      <c r="D70" s="4" t="s">
        <v>24</v>
      </c>
      <c r="E70" s="5">
        <v>52374</v>
      </c>
      <c r="F70" s="6">
        <v>48.262641000000002</v>
      </c>
      <c r="G70" s="7">
        <v>7.1461210000000001E-3</v>
      </c>
      <c r="H70" s="67"/>
    </row>
    <row r="71" spans="1:8" x14ac:dyDescent="0.2">
      <c r="A71" s="3">
        <v>65</v>
      </c>
      <c r="B71" s="4" t="s">
        <v>270</v>
      </c>
      <c r="C71" s="4" t="s">
        <v>271</v>
      </c>
      <c r="D71" s="4" t="s">
        <v>272</v>
      </c>
      <c r="E71" s="5">
        <v>19523</v>
      </c>
      <c r="F71" s="6">
        <v>44.366017499999998</v>
      </c>
      <c r="G71" s="7">
        <v>6.5691580000000003E-3</v>
      </c>
      <c r="H71" s="67"/>
    </row>
    <row r="72" spans="1:8" x14ac:dyDescent="0.2">
      <c r="A72" s="3">
        <v>66</v>
      </c>
      <c r="B72" s="4" t="s">
        <v>273</v>
      </c>
      <c r="C72" s="4" t="s">
        <v>274</v>
      </c>
      <c r="D72" s="4" t="s">
        <v>187</v>
      </c>
      <c r="E72" s="5">
        <v>792</v>
      </c>
      <c r="F72" s="6">
        <v>43.080047999999998</v>
      </c>
      <c r="G72" s="7">
        <v>6.3787480000000001E-3</v>
      </c>
      <c r="H72" s="67"/>
    </row>
    <row r="73" spans="1:8" x14ac:dyDescent="0.2">
      <c r="A73" s="3">
        <v>67</v>
      </c>
      <c r="B73" s="4" t="s">
        <v>77</v>
      </c>
      <c r="C73" s="4" t="s">
        <v>78</v>
      </c>
      <c r="D73" s="4" t="s">
        <v>69</v>
      </c>
      <c r="E73" s="5">
        <v>10971</v>
      </c>
      <c r="F73" s="6">
        <v>36.6925095</v>
      </c>
      <c r="G73" s="7">
        <v>5.4329620000000004E-3</v>
      </c>
      <c r="H73" s="67"/>
    </row>
    <row r="74" spans="1:8" x14ac:dyDescent="0.2">
      <c r="A74" s="3">
        <v>68</v>
      </c>
      <c r="B74" s="4" t="s">
        <v>279</v>
      </c>
      <c r="C74" s="4" t="s">
        <v>280</v>
      </c>
      <c r="D74" s="4" t="s">
        <v>1003</v>
      </c>
      <c r="E74" s="5">
        <v>2402</v>
      </c>
      <c r="F74" s="6">
        <v>36.451551000000002</v>
      </c>
      <c r="G74" s="7">
        <v>5.3972839999999996E-3</v>
      </c>
      <c r="H74" s="67"/>
    </row>
    <row r="75" spans="1:8" x14ac:dyDescent="0.2">
      <c r="A75" s="3">
        <v>69</v>
      </c>
      <c r="B75" s="4" t="s">
        <v>283</v>
      </c>
      <c r="C75" s="4" t="s">
        <v>284</v>
      </c>
      <c r="D75" s="4" t="s">
        <v>166</v>
      </c>
      <c r="E75" s="5">
        <v>7455</v>
      </c>
      <c r="F75" s="6">
        <v>33.774877500000002</v>
      </c>
      <c r="G75" s="7">
        <v>5.000956E-3</v>
      </c>
      <c r="H75" s="67"/>
    </row>
    <row r="76" spans="1:8" x14ac:dyDescent="0.2">
      <c r="A76" s="3">
        <v>70</v>
      </c>
      <c r="B76" s="4" t="s">
        <v>298</v>
      </c>
      <c r="C76" s="4" t="s">
        <v>299</v>
      </c>
      <c r="D76" s="4" t="s">
        <v>1001</v>
      </c>
      <c r="E76" s="5">
        <v>93287</v>
      </c>
      <c r="F76" s="6">
        <v>32.277301999999999</v>
      </c>
      <c r="G76" s="7">
        <v>4.7792140000000004E-3</v>
      </c>
      <c r="H76" s="67"/>
    </row>
    <row r="77" spans="1:8" x14ac:dyDescent="0.2">
      <c r="A77" s="3">
        <v>71</v>
      </c>
      <c r="B77" s="4" t="s">
        <v>448</v>
      </c>
      <c r="C77" s="4" t="s">
        <v>449</v>
      </c>
      <c r="D77" s="4" t="s">
        <v>55</v>
      </c>
      <c r="E77" s="5">
        <v>8699</v>
      </c>
      <c r="F77" s="6">
        <v>28.771942500000002</v>
      </c>
      <c r="G77" s="7">
        <v>4.2601849999999997E-3</v>
      </c>
      <c r="H77" s="67"/>
    </row>
    <row r="78" spans="1:8" x14ac:dyDescent="0.2">
      <c r="A78" s="3">
        <v>72</v>
      </c>
      <c r="B78" s="4" t="s">
        <v>285</v>
      </c>
      <c r="C78" s="4" t="s">
        <v>286</v>
      </c>
      <c r="D78" s="4" t="s">
        <v>153</v>
      </c>
      <c r="E78" s="5">
        <v>1852</v>
      </c>
      <c r="F78" s="6">
        <v>23.769494000000002</v>
      </c>
      <c r="G78" s="7">
        <v>3.5194860000000001E-3</v>
      </c>
      <c r="H78" s="67"/>
    </row>
    <row r="79" spans="1:8" x14ac:dyDescent="0.2">
      <c r="A79" s="3">
        <v>73</v>
      </c>
      <c r="B79" s="4" t="s">
        <v>287</v>
      </c>
      <c r="C79" s="4" t="s">
        <v>288</v>
      </c>
      <c r="D79" s="4" t="s">
        <v>1001</v>
      </c>
      <c r="E79" s="5">
        <v>3032</v>
      </c>
      <c r="F79" s="6">
        <v>13.645516000000001</v>
      </c>
      <c r="G79" s="7">
        <v>2.020455E-3</v>
      </c>
      <c r="H79" s="67"/>
    </row>
    <row r="80" spans="1:8" ht="25.5" x14ac:dyDescent="0.2">
      <c r="A80" s="3">
        <v>74</v>
      </c>
      <c r="B80" s="4" t="s">
        <v>264</v>
      </c>
      <c r="C80" s="4" t="s">
        <v>265</v>
      </c>
      <c r="D80" s="4" t="s">
        <v>153</v>
      </c>
      <c r="E80" s="5">
        <v>3115</v>
      </c>
      <c r="F80" s="6">
        <v>10.36049</v>
      </c>
      <c r="G80" s="7">
        <v>1.5340499999999999E-3</v>
      </c>
      <c r="H80" s="67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9">
        <v>6468.9747294999997</v>
      </c>
      <c r="G81" s="10">
        <v>0.95784388899999995</v>
      </c>
      <c r="H81" s="67"/>
    </row>
    <row r="82" spans="1:8" x14ac:dyDescent="0.2">
      <c r="A82" s="1"/>
      <c r="B82" s="1"/>
      <c r="C82" s="11"/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107</v>
      </c>
      <c r="D83" s="1"/>
      <c r="E83" s="1"/>
      <c r="F83" s="1"/>
      <c r="G83" s="1"/>
      <c r="H83" s="67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7"/>
    </row>
    <row r="85" spans="1:8" x14ac:dyDescent="0.2">
      <c r="A85" s="1"/>
      <c r="B85" s="1"/>
      <c r="C85" s="11"/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108</v>
      </c>
      <c r="D86" s="1"/>
      <c r="E86" s="1"/>
      <c r="F86" s="1"/>
      <c r="G86" s="1"/>
      <c r="H86" s="67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7"/>
    </row>
    <row r="88" spans="1:8" x14ac:dyDescent="0.2">
      <c r="A88" s="1"/>
      <c r="B88" s="1"/>
      <c r="C88" s="11"/>
      <c r="D88" s="1"/>
      <c r="E88" s="1"/>
      <c r="F88" s="12"/>
      <c r="G88" s="12"/>
      <c r="H88" s="67"/>
    </row>
    <row r="89" spans="1:8" x14ac:dyDescent="0.2">
      <c r="A89" s="1"/>
      <c r="B89" s="1"/>
      <c r="C89" s="2" t="s">
        <v>109</v>
      </c>
      <c r="D89" s="1"/>
      <c r="E89" s="1"/>
      <c r="F89" s="1"/>
      <c r="G89" s="1"/>
      <c r="H89" s="67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">
        <v>0</v>
      </c>
      <c r="H90" s="67"/>
    </row>
    <row r="91" spans="1:8" x14ac:dyDescent="0.2">
      <c r="A91" s="1"/>
      <c r="B91" s="1"/>
      <c r="C91" s="11"/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110</v>
      </c>
      <c r="D92" s="1"/>
      <c r="E92" s="1"/>
      <c r="F92" s="12"/>
      <c r="G92" s="12"/>
      <c r="H92" s="67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7"/>
    </row>
    <row r="94" spans="1:8" x14ac:dyDescent="0.2">
      <c r="A94" s="1"/>
      <c r="B94" s="1"/>
      <c r="C94" s="11"/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111</v>
      </c>
      <c r="D95" s="1"/>
      <c r="E95" s="1"/>
      <c r="F95" s="12"/>
      <c r="G95" s="12"/>
      <c r="H95" s="67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7"/>
    </row>
    <row r="97" spans="1:8" x14ac:dyDescent="0.2">
      <c r="A97" s="1"/>
      <c r="B97" s="1"/>
      <c r="C97" s="11"/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112</v>
      </c>
      <c r="D98" s="1"/>
      <c r="E98" s="1"/>
      <c r="F98" s="9">
        <v>6468.9747294999997</v>
      </c>
      <c r="G98" s="10">
        <v>0.95784388899999995</v>
      </c>
      <c r="H98" s="67"/>
    </row>
    <row r="99" spans="1:8" x14ac:dyDescent="0.2">
      <c r="A99" s="1"/>
      <c r="B99" s="1"/>
      <c r="C99" s="11"/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113</v>
      </c>
      <c r="D100" s="1"/>
      <c r="E100" s="1"/>
      <c r="F100" s="12"/>
      <c r="G100" s="12"/>
      <c r="H100" s="67"/>
    </row>
    <row r="101" spans="1:8" ht="25.5" x14ac:dyDescent="0.2">
      <c r="A101" s="1"/>
      <c r="B101" s="1"/>
      <c r="C101" s="2" t="s">
        <v>10</v>
      </c>
      <c r="D101" s="1"/>
      <c r="E101" s="1"/>
      <c r="F101" s="12"/>
      <c r="G101" s="12"/>
      <c r="H101" s="67"/>
    </row>
    <row r="102" spans="1:8" x14ac:dyDescent="0.2">
      <c r="A102" s="1"/>
      <c r="B102" s="1"/>
      <c r="C102" s="2" t="s">
        <v>105</v>
      </c>
      <c r="D102" s="1"/>
      <c r="E102" s="1" t="s">
        <v>106</v>
      </c>
      <c r="F102" s="13">
        <v>0</v>
      </c>
      <c r="G102" s="14">
        <v>0</v>
      </c>
      <c r="H102" s="67"/>
    </row>
    <row r="103" spans="1:8" x14ac:dyDescent="0.2">
      <c r="A103" s="1"/>
      <c r="B103" s="1"/>
      <c r="C103" s="11"/>
      <c r="D103" s="1"/>
      <c r="E103" s="1"/>
      <c r="F103" s="12"/>
      <c r="G103" s="12"/>
      <c r="H103" s="67"/>
    </row>
    <row r="104" spans="1:8" x14ac:dyDescent="0.2">
      <c r="A104" s="1"/>
      <c r="B104" s="1"/>
      <c r="C104" s="2" t="s">
        <v>114</v>
      </c>
      <c r="D104" s="1"/>
      <c r="E104" s="1"/>
      <c r="F104" s="1"/>
      <c r="G104" s="1"/>
      <c r="H104" s="67"/>
    </row>
    <row r="105" spans="1:8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">
        <v>0</v>
      </c>
      <c r="H105" s="67"/>
    </row>
    <row r="106" spans="1:8" x14ac:dyDescent="0.2">
      <c r="A106" s="1"/>
      <c r="B106" s="1"/>
      <c r="C106" s="11"/>
      <c r="D106" s="1"/>
      <c r="E106" s="1"/>
      <c r="F106" s="12"/>
      <c r="G106" s="12"/>
      <c r="H106" s="67"/>
    </row>
    <row r="107" spans="1:8" x14ac:dyDescent="0.2">
      <c r="A107" s="1"/>
      <c r="B107" s="1"/>
      <c r="C107" s="2" t="s">
        <v>115</v>
      </c>
      <c r="D107" s="1"/>
      <c r="E107" s="1"/>
      <c r="F107" s="1"/>
      <c r="G107" s="1"/>
      <c r="H107" s="67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">
        <v>0</v>
      </c>
      <c r="H108" s="67"/>
    </row>
    <row r="109" spans="1:8" x14ac:dyDescent="0.2">
      <c r="A109" s="1"/>
      <c r="B109" s="1"/>
      <c r="C109" s="11"/>
      <c r="D109" s="1"/>
      <c r="E109" s="1"/>
      <c r="F109" s="12"/>
      <c r="G109" s="12"/>
      <c r="H109" s="67"/>
    </row>
    <row r="110" spans="1:8" x14ac:dyDescent="0.2">
      <c r="A110" s="1"/>
      <c r="B110" s="1"/>
      <c r="C110" s="2" t="s">
        <v>116</v>
      </c>
      <c r="D110" s="1"/>
      <c r="E110" s="1"/>
      <c r="F110" s="12"/>
      <c r="G110" s="12"/>
      <c r="H110" s="67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">
        <v>0</v>
      </c>
      <c r="H111" s="67"/>
    </row>
    <row r="112" spans="1:8" x14ac:dyDescent="0.2">
      <c r="A112" s="1"/>
      <c r="B112" s="1"/>
      <c r="C112" s="11"/>
      <c r="D112" s="1"/>
      <c r="E112" s="1"/>
      <c r="F112" s="12"/>
      <c r="G112" s="12"/>
      <c r="H112" s="67"/>
    </row>
    <row r="113" spans="1:8" x14ac:dyDescent="0.2">
      <c r="A113" s="1"/>
      <c r="B113" s="1"/>
      <c r="C113" s="2" t="s">
        <v>117</v>
      </c>
      <c r="D113" s="1"/>
      <c r="E113" s="1"/>
      <c r="F113" s="9">
        <v>0</v>
      </c>
      <c r="G113" s="10">
        <v>0</v>
      </c>
      <c r="H113" s="67"/>
    </row>
    <row r="114" spans="1:8" x14ac:dyDescent="0.2">
      <c r="A114" s="1"/>
      <c r="B114" s="1"/>
      <c r="C114" s="11"/>
      <c r="D114" s="1"/>
      <c r="E114" s="1"/>
      <c r="F114" s="12"/>
      <c r="G114" s="12"/>
      <c r="H114" s="67"/>
    </row>
    <row r="115" spans="1:8" x14ac:dyDescent="0.2">
      <c r="A115" s="1"/>
      <c r="B115" s="1"/>
      <c r="C115" s="2" t="s">
        <v>118</v>
      </c>
      <c r="D115" s="1"/>
      <c r="E115" s="1"/>
      <c r="F115" s="12"/>
      <c r="G115" s="12"/>
      <c r="H115" s="67"/>
    </row>
    <row r="116" spans="1:8" x14ac:dyDescent="0.2">
      <c r="A116" s="1"/>
      <c r="B116" s="1"/>
      <c r="C116" s="2" t="s">
        <v>119</v>
      </c>
      <c r="D116" s="1"/>
      <c r="E116" s="1"/>
      <c r="F116" s="12"/>
      <c r="G116" s="12"/>
      <c r="H116" s="67"/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13">
        <v>0</v>
      </c>
      <c r="G117" s="14">
        <v>0</v>
      </c>
      <c r="H117" s="67"/>
    </row>
    <row r="118" spans="1:8" x14ac:dyDescent="0.2">
      <c r="A118" s="1"/>
      <c r="B118" s="1"/>
      <c r="C118" s="11"/>
      <c r="D118" s="1"/>
      <c r="E118" s="1"/>
      <c r="F118" s="12"/>
      <c r="G118" s="12"/>
      <c r="H118" s="67"/>
    </row>
    <row r="119" spans="1:8" x14ac:dyDescent="0.2">
      <c r="A119" s="1"/>
      <c r="B119" s="1"/>
      <c r="C119" s="2" t="s">
        <v>120</v>
      </c>
      <c r="D119" s="1"/>
      <c r="E119" s="1"/>
      <c r="F119" s="12"/>
      <c r="G119" s="12"/>
      <c r="H119" s="67"/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13">
        <v>0</v>
      </c>
      <c r="G120" s="14">
        <v>0</v>
      </c>
      <c r="H120" s="67"/>
    </row>
    <row r="121" spans="1:8" x14ac:dyDescent="0.2">
      <c r="A121" s="1"/>
      <c r="B121" s="1"/>
      <c r="C121" s="11"/>
      <c r="D121" s="1"/>
      <c r="E121" s="1"/>
      <c r="F121" s="12"/>
      <c r="G121" s="12"/>
      <c r="H121" s="67"/>
    </row>
    <row r="122" spans="1:8" x14ac:dyDescent="0.2">
      <c r="A122" s="1"/>
      <c r="B122" s="1"/>
      <c r="C122" s="2" t="s">
        <v>121</v>
      </c>
      <c r="D122" s="1"/>
      <c r="E122" s="1"/>
      <c r="F122" s="12"/>
      <c r="G122" s="12"/>
      <c r="H122" s="67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7"/>
    </row>
    <row r="124" spans="1:8" x14ac:dyDescent="0.2">
      <c r="A124" s="1"/>
      <c r="B124" s="1"/>
      <c r="C124" s="11"/>
      <c r="D124" s="1"/>
      <c r="E124" s="1"/>
      <c r="F124" s="12"/>
      <c r="G124" s="12"/>
      <c r="H124" s="67"/>
    </row>
    <row r="125" spans="1:8" x14ac:dyDescent="0.2">
      <c r="A125" s="1"/>
      <c r="B125" s="1"/>
      <c r="C125" s="2" t="s">
        <v>122</v>
      </c>
      <c r="D125" s="1"/>
      <c r="E125" s="1"/>
      <c r="F125" s="12"/>
      <c r="G125" s="12"/>
      <c r="H125" s="67"/>
    </row>
    <row r="126" spans="1:8" x14ac:dyDescent="0.2">
      <c r="A126" s="3">
        <v>1</v>
      </c>
      <c r="B126" s="4"/>
      <c r="C126" s="4" t="s">
        <v>123</v>
      </c>
      <c r="D126" s="4"/>
      <c r="E126" s="8"/>
      <c r="F126" s="6">
        <v>284.14463009999997</v>
      </c>
      <c r="G126" s="7">
        <v>4.2072539999999999E-2</v>
      </c>
      <c r="H126" s="67">
        <v>3.1047477660654299</v>
      </c>
    </row>
    <row r="127" spans="1:8" x14ac:dyDescent="0.2">
      <c r="A127" s="1"/>
      <c r="B127" s="1"/>
      <c r="C127" s="2" t="s">
        <v>105</v>
      </c>
      <c r="D127" s="1"/>
      <c r="E127" s="1" t="s">
        <v>106</v>
      </c>
      <c r="F127" s="9">
        <v>284.14463009999997</v>
      </c>
      <c r="G127" s="10">
        <v>4.2072539999999999E-2</v>
      </c>
      <c r="H127" s="67"/>
    </row>
    <row r="128" spans="1:8" x14ac:dyDescent="0.2">
      <c r="A128" s="1"/>
      <c r="B128" s="1"/>
      <c r="C128" s="11"/>
      <c r="D128" s="1"/>
      <c r="E128" s="1"/>
      <c r="F128" s="12"/>
      <c r="G128" s="12"/>
      <c r="H128" s="67"/>
    </row>
    <row r="129" spans="1:8" x14ac:dyDescent="0.2">
      <c r="A129" s="1"/>
      <c r="B129" s="1"/>
      <c r="C129" s="2" t="s">
        <v>124</v>
      </c>
      <c r="D129" s="1"/>
      <c r="E129" s="1"/>
      <c r="F129" s="9">
        <v>284.14463009999997</v>
      </c>
      <c r="G129" s="10">
        <v>4.2072539999999999E-2</v>
      </c>
      <c r="H129" s="67"/>
    </row>
    <row r="130" spans="1:8" x14ac:dyDescent="0.2">
      <c r="A130" s="1"/>
      <c r="B130" s="1"/>
      <c r="C130" s="12"/>
      <c r="D130" s="1"/>
      <c r="E130" s="1"/>
      <c r="F130" s="1"/>
      <c r="G130" s="1"/>
      <c r="H130" s="67"/>
    </row>
    <row r="131" spans="1:8" x14ac:dyDescent="0.2">
      <c r="A131" s="1"/>
      <c r="B131" s="1"/>
      <c r="C131" s="2" t="s">
        <v>125</v>
      </c>
      <c r="D131" s="1"/>
      <c r="E131" s="1"/>
      <c r="F131" s="1"/>
      <c r="G131" s="1"/>
      <c r="H131" s="67"/>
    </row>
    <row r="132" spans="1:8" x14ac:dyDescent="0.2">
      <c r="A132" s="1"/>
      <c r="B132" s="1"/>
      <c r="C132" s="2" t="s">
        <v>126</v>
      </c>
      <c r="D132" s="1"/>
      <c r="E132" s="1"/>
      <c r="F132" s="1"/>
      <c r="G132" s="1"/>
      <c r="H132" s="67"/>
    </row>
    <row r="133" spans="1:8" x14ac:dyDescent="0.2">
      <c r="A133" s="1"/>
      <c r="B133" s="1"/>
      <c r="C133" s="2" t="s">
        <v>105</v>
      </c>
      <c r="D133" s="1"/>
      <c r="E133" s="1" t="s">
        <v>106</v>
      </c>
      <c r="F133" s="13">
        <v>0</v>
      </c>
      <c r="G133" s="14">
        <v>0</v>
      </c>
      <c r="H133" s="67"/>
    </row>
    <row r="134" spans="1:8" x14ac:dyDescent="0.2">
      <c r="A134" s="1"/>
      <c r="B134" s="1"/>
      <c r="C134" s="11"/>
      <c r="D134" s="1"/>
      <c r="E134" s="1"/>
      <c r="F134" s="12"/>
      <c r="G134" s="12"/>
      <c r="H134" s="67"/>
    </row>
    <row r="135" spans="1:8" x14ac:dyDescent="0.2">
      <c r="A135" s="1"/>
      <c r="B135" s="1"/>
      <c r="C135" s="2" t="s">
        <v>127</v>
      </c>
      <c r="D135" s="1"/>
      <c r="E135" s="1"/>
      <c r="F135" s="1"/>
      <c r="G135" s="1"/>
      <c r="H135" s="67"/>
    </row>
    <row r="136" spans="1:8" x14ac:dyDescent="0.2">
      <c r="A136" s="1"/>
      <c r="B136" s="1"/>
      <c r="C136" s="2" t="s">
        <v>128</v>
      </c>
      <c r="D136" s="1"/>
      <c r="E136" s="1"/>
      <c r="F136" s="1"/>
      <c r="G136" s="1"/>
      <c r="H136" s="67"/>
    </row>
    <row r="137" spans="1:8" x14ac:dyDescent="0.2">
      <c r="A137" s="1"/>
      <c r="B137" s="1"/>
      <c r="C137" s="2" t="s">
        <v>105</v>
      </c>
      <c r="D137" s="1"/>
      <c r="E137" s="1" t="s">
        <v>106</v>
      </c>
      <c r="F137" s="13">
        <v>0</v>
      </c>
      <c r="G137" s="14">
        <v>0</v>
      </c>
      <c r="H137" s="67"/>
    </row>
    <row r="138" spans="1:8" x14ac:dyDescent="0.2">
      <c r="A138" s="1"/>
      <c r="B138" s="1"/>
      <c r="C138" s="11"/>
      <c r="D138" s="1"/>
      <c r="E138" s="1"/>
      <c r="F138" s="12"/>
      <c r="G138" s="12"/>
      <c r="H138" s="67"/>
    </row>
    <row r="139" spans="1:8" x14ac:dyDescent="0.2">
      <c r="A139" s="1"/>
      <c r="B139" s="1"/>
      <c r="C139" s="11"/>
      <c r="D139" s="1"/>
      <c r="E139" s="1"/>
      <c r="F139" s="12"/>
      <c r="G139" s="12"/>
      <c r="H139" s="67"/>
    </row>
    <row r="140" spans="1:8" ht="25.5" x14ac:dyDescent="0.2">
      <c r="A140" s="1"/>
      <c r="B140" s="1"/>
      <c r="C140" s="2" t="s">
        <v>129</v>
      </c>
      <c r="D140" s="1"/>
      <c r="E140" s="1"/>
      <c r="F140" s="12"/>
      <c r="G140" s="12"/>
      <c r="H140" s="67"/>
    </row>
    <row r="141" spans="1:8" x14ac:dyDescent="0.2">
      <c r="A141" s="1"/>
      <c r="B141" s="1"/>
      <c r="C141" s="2" t="s">
        <v>105</v>
      </c>
      <c r="D141" s="1"/>
      <c r="E141" s="1" t="s">
        <v>106</v>
      </c>
      <c r="F141" s="13">
        <v>0</v>
      </c>
      <c r="G141" s="14">
        <v>0</v>
      </c>
      <c r="H141" s="67"/>
    </row>
    <row r="142" spans="1:8" x14ac:dyDescent="0.2">
      <c r="A142" s="1"/>
      <c r="B142" s="1"/>
      <c r="C142" s="11"/>
      <c r="D142" s="1"/>
      <c r="E142" s="1"/>
      <c r="F142" s="12"/>
      <c r="G142" s="12"/>
      <c r="H142" s="67"/>
    </row>
    <row r="143" spans="1:8" x14ac:dyDescent="0.2">
      <c r="A143" s="1"/>
      <c r="B143" s="4"/>
      <c r="C143" s="4"/>
      <c r="D143" s="2"/>
      <c r="E143" s="1"/>
      <c r="F143" s="4"/>
      <c r="G143" s="8"/>
      <c r="H143" s="67"/>
    </row>
    <row r="144" spans="1:8" x14ac:dyDescent="0.2">
      <c r="A144" s="8"/>
      <c r="B144" s="4"/>
      <c r="C144" s="4" t="s">
        <v>130</v>
      </c>
      <c r="D144" s="4"/>
      <c r="E144" s="8"/>
      <c r="F144" s="6">
        <v>0.56438661000000001</v>
      </c>
      <c r="G144" s="7">
        <v>8.3566999999999995E-5</v>
      </c>
      <c r="H144" s="67"/>
    </row>
    <row r="145" spans="1:8" x14ac:dyDescent="0.2">
      <c r="A145" s="11"/>
      <c r="B145" s="11"/>
      <c r="C145" s="2" t="s">
        <v>131</v>
      </c>
      <c r="D145" s="15"/>
      <c r="E145" s="15"/>
      <c r="F145" s="9">
        <v>6753.6837658100003</v>
      </c>
      <c r="G145" s="10">
        <v>0.99999999900000003</v>
      </c>
      <c r="H145" s="67"/>
    </row>
    <row r="146" spans="1:8" ht="14.1" customHeight="1" x14ac:dyDescent="0.2">
      <c r="A146" s="16"/>
      <c r="B146" s="16"/>
      <c r="C146" s="16"/>
      <c r="D146" s="17"/>
      <c r="E146" s="17"/>
      <c r="F146" s="17"/>
      <c r="G146" s="17"/>
    </row>
    <row r="147" spans="1:8" ht="14.1" customHeight="1" x14ac:dyDescent="0.2">
      <c r="A147" s="18"/>
      <c r="B147" s="170" t="s">
        <v>106</v>
      </c>
      <c r="C147" s="170"/>
      <c r="D147" s="170"/>
      <c r="E147" s="170"/>
      <c r="F147" s="170"/>
      <c r="G147" s="20"/>
    </row>
    <row r="148" spans="1:8" ht="14.1" customHeight="1" x14ac:dyDescent="0.2">
      <c r="A148" s="18"/>
      <c r="B148" s="18"/>
      <c r="C148" s="18"/>
      <c r="D148" s="20"/>
      <c r="E148" s="20"/>
      <c r="F148" s="20"/>
      <c r="G148" s="20"/>
    </row>
    <row r="149" spans="1:8" ht="14.1" customHeight="1" x14ac:dyDescent="0.2">
      <c r="A149" s="18"/>
      <c r="B149" s="168" t="s">
        <v>133</v>
      </c>
      <c r="C149" s="169"/>
      <c r="D149" s="12" t="s">
        <v>106</v>
      </c>
      <c r="E149" s="21"/>
      <c r="F149" s="20"/>
      <c r="G149" s="20"/>
    </row>
    <row r="150" spans="1:8" ht="29.1" customHeight="1" x14ac:dyDescent="0.2">
      <c r="A150" s="18"/>
      <c r="B150" s="165" t="s">
        <v>134</v>
      </c>
      <c r="C150" s="166"/>
      <c r="D150" s="2" t="s">
        <v>135</v>
      </c>
      <c r="E150" s="21"/>
      <c r="F150" s="20"/>
      <c r="G150" s="20"/>
    </row>
    <row r="151" spans="1:8" ht="17.100000000000001" customHeight="1" x14ac:dyDescent="0.2">
      <c r="A151" s="18"/>
      <c r="B151" s="165" t="s">
        <v>136</v>
      </c>
      <c r="C151" s="166"/>
      <c r="D151" s="2" t="s">
        <v>135</v>
      </c>
      <c r="E151" s="21"/>
      <c r="F151" s="20"/>
      <c r="G151" s="20"/>
    </row>
    <row r="152" spans="1:8" ht="17.100000000000001" customHeight="1" x14ac:dyDescent="0.2">
      <c r="A152" s="18"/>
      <c r="B152" s="165" t="s">
        <v>137</v>
      </c>
      <c r="C152" s="166"/>
      <c r="D152" s="12" t="s">
        <v>106</v>
      </c>
      <c r="E152" s="21"/>
      <c r="F152" s="20"/>
      <c r="G152" s="20"/>
    </row>
    <row r="153" spans="1:8" ht="24" customHeight="1" x14ac:dyDescent="0.2">
      <c r="A153" s="22"/>
      <c r="B153" s="23" t="s">
        <v>106</v>
      </c>
      <c r="C153" s="23" t="s">
        <v>138</v>
      </c>
      <c r="D153" s="23" t="s">
        <v>139</v>
      </c>
      <c r="E153" s="22"/>
      <c r="F153" s="22"/>
      <c r="G153" s="22"/>
    </row>
    <row r="154" spans="1:8" ht="18" customHeight="1" x14ac:dyDescent="0.2">
      <c r="A154" s="22"/>
      <c r="B154" s="23" t="s">
        <v>140</v>
      </c>
      <c r="C154" s="23" t="s">
        <v>141</v>
      </c>
      <c r="D154" s="23" t="s">
        <v>142</v>
      </c>
      <c r="E154" s="22"/>
      <c r="F154" s="22"/>
      <c r="G154" s="22"/>
    </row>
    <row r="155" spans="1:8" ht="17.100000000000001" customHeight="1" x14ac:dyDescent="0.2">
      <c r="A155" s="22"/>
      <c r="B155" s="4" t="s">
        <v>143</v>
      </c>
      <c r="C155" s="24">
        <v>16.883700000000001</v>
      </c>
      <c r="D155" s="24">
        <v>16.985099999999999</v>
      </c>
      <c r="E155" s="22"/>
      <c r="F155" s="19"/>
      <c r="G155" s="25"/>
    </row>
    <row r="156" spans="1:8" ht="17.100000000000001" customHeight="1" x14ac:dyDescent="0.2">
      <c r="A156" s="22"/>
      <c r="B156" s="4" t="s">
        <v>988</v>
      </c>
      <c r="C156" s="24">
        <v>16.283300000000001</v>
      </c>
      <c r="D156" s="24">
        <v>16.3812</v>
      </c>
      <c r="E156" s="22"/>
      <c r="F156" s="19"/>
      <c r="G156" s="25"/>
    </row>
    <row r="157" spans="1:8" ht="17.100000000000001" customHeight="1" x14ac:dyDescent="0.2">
      <c r="A157" s="22"/>
      <c r="B157" s="4" t="s">
        <v>144</v>
      </c>
      <c r="C157" s="24">
        <v>16.5825</v>
      </c>
      <c r="D157" s="24">
        <v>16.674299999999999</v>
      </c>
      <c r="E157" s="22"/>
      <c r="F157" s="19"/>
      <c r="G157" s="25"/>
    </row>
    <row r="158" spans="1:8" ht="17.100000000000001" customHeight="1" x14ac:dyDescent="0.2">
      <c r="A158" s="22"/>
      <c r="B158" s="4" t="s">
        <v>989</v>
      </c>
      <c r="C158" s="24">
        <v>15.982900000000001</v>
      </c>
      <c r="D158" s="24">
        <v>16.071300000000001</v>
      </c>
      <c r="E158" s="22"/>
      <c r="F158" s="19"/>
      <c r="G158" s="25"/>
    </row>
    <row r="159" spans="1:8" ht="14.1" customHeight="1" x14ac:dyDescent="0.2">
      <c r="A159" s="22"/>
      <c r="B159" s="22"/>
      <c r="C159" s="22"/>
      <c r="D159" s="22"/>
      <c r="E159" s="22"/>
      <c r="F159" s="22"/>
      <c r="G159" s="22"/>
    </row>
    <row r="160" spans="1:8" ht="17.100000000000001" customHeight="1" x14ac:dyDescent="0.2">
      <c r="A160" s="22"/>
      <c r="B160" s="165" t="s">
        <v>990</v>
      </c>
      <c r="C160" s="166"/>
      <c r="D160" s="2" t="s">
        <v>135</v>
      </c>
      <c r="E160" s="22"/>
      <c r="F160" s="22"/>
      <c r="G160" s="22"/>
    </row>
    <row r="161" spans="1:7" ht="18" customHeight="1" x14ac:dyDescent="0.2">
      <c r="A161" s="22"/>
      <c r="B161" s="26" t="s">
        <v>145</v>
      </c>
      <c r="C161" s="26" t="s">
        <v>145</v>
      </c>
      <c r="D161" s="26"/>
      <c r="E161" s="22"/>
      <c r="F161" s="22"/>
      <c r="G161" s="22"/>
    </row>
    <row r="162" spans="1:7" s="158" customFormat="1" x14ac:dyDescent="0.2">
      <c r="B162" s="167" t="s">
        <v>822</v>
      </c>
      <c r="C162" s="167"/>
      <c r="D162" s="167"/>
      <c r="E162" s="167"/>
      <c r="F162" s="167"/>
    </row>
    <row r="163" spans="1:7" ht="14.1" customHeight="1" x14ac:dyDescent="0.2">
      <c r="A163" s="22"/>
      <c r="B163" s="19"/>
      <c r="C163" s="19"/>
      <c r="D163" s="22"/>
      <c r="E163" s="22"/>
      <c r="F163" s="22"/>
      <c r="G163" s="22"/>
    </row>
    <row r="164" spans="1:7" ht="29.1" customHeight="1" x14ac:dyDescent="0.2">
      <c r="A164" s="22"/>
      <c r="B164" s="165" t="s">
        <v>146</v>
      </c>
      <c r="C164" s="166"/>
      <c r="D164" s="2" t="s">
        <v>135</v>
      </c>
      <c r="E164" s="22"/>
      <c r="F164" s="22"/>
      <c r="G164" s="22"/>
    </row>
    <row r="165" spans="1:7" ht="29.1" customHeight="1" x14ac:dyDescent="0.2">
      <c r="A165" s="22"/>
      <c r="B165" s="165" t="s">
        <v>147</v>
      </c>
      <c r="C165" s="166"/>
      <c r="D165" s="2" t="s">
        <v>135</v>
      </c>
      <c r="E165" s="22"/>
      <c r="F165" s="22"/>
      <c r="G165" s="22"/>
    </row>
    <row r="166" spans="1:7" ht="17.100000000000001" customHeight="1" x14ac:dyDescent="0.2">
      <c r="A166" s="22"/>
      <c r="B166" s="165" t="s">
        <v>148</v>
      </c>
      <c r="C166" s="166"/>
      <c r="D166" s="27">
        <v>0.44822266336103495</v>
      </c>
      <c r="E166" s="22"/>
      <c r="F166" s="19"/>
      <c r="G166" s="25"/>
    </row>
    <row r="167" spans="1:7" ht="17.100000000000001" customHeight="1" x14ac:dyDescent="0.2">
      <c r="A167" s="22"/>
      <c r="B167" s="165" t="s">
        <v>149</v>
      </c>
      <c r="C167" s="166"/>
      <c r="D167" s="2" t="s">
        <v>135</v>
      </c>
      <c r="E167" s="22"/>
      <c r="F167" s="22"/>
      <c r="G167" s="22"/>
    </row>
  </sheetData>
  <mergeCells count="14">
    <mergeCell ref="B149:C149"/>
    <mergeCell ref="B147:F147"/>
    <mergeCell ref="A1:H1"/>
    <mergeCell ref="A2:H2"/>
    <mergeCell ref="A3:H3"/>
    <mergeCell ref="B166:C166"/>
    <mergeCell ref="B167:C167"/>
    <mergeCell ref="B150:C150"/>
    <mergeCell ref="B151:C151"/>
    <mergeCell ref="B152:C152"/>
    <mergeCell ref="B160:C160"/>
    <mergeCell ref="B164:C164"/>
    <mergeCell ref="B165:C165"/>
    <mergeCell ref="B162:F16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16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470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151</v>
      </c>
      <c r="C7" s="4" t="s">
        <v>152</v>
      </c>
      <c r="D7" s="4" t="s">
        <v>153</v>
      </c>
      <c r="E7" s="5">
        <v>2987</v>
      </c>
      <c r="F7" s="6">
        <v>120.304412</v>
      </c>
      <c r="G7" s="7">
        <v>3.4387864999999997E-2</v>
      </c>
      <c r="H7" s="67"/>
    </row>
    <row r="8" spans="1:8" x14ac:dyDescent="0.2">
      <c r="A8" s="3">
        <v>2</v>
      </c>
      <c r="B8" s="4" t="s">
        <v>25</v>
      </c>
      <c r="C8" s="4" t="s">
        <v>26</v>
      </c>
      <c r="D8" s="4" t="s">
        <v>27</v>
      </c>
      <c r="E8" s="5">
        <v>8950</v>
      </c>
      <c r="F8" s="6">
        <v>115.540025</v>
      </c>
      <c r="G8" s="7">
        <v>3.3026011000000001E-2</v>
      </c>
      <c r="H8" s="67"/>
    </row>
    <row r="9" spans="1:8" x14ac:dyDescent="0.2">
      <c r="A9" s="3">
        <v>3</v>
      </c>
      <c r="B9" s="4" t="s">
        <v>158</v>
      </c>
      <c r="C9" s="4" t="s">
        <v>159</v>
      </c>
      <c r="D9" s="4" t="s">
        <v>27</v>
      </c>
      <c r="E9" s="5">
        <v>12939</v>
      </c>
      <c r="F9" s="6">
        <v>98.608119000000002</v>
      </c>
      <c r="G9" s="7">
        <v>2.8186188000000001E-2</v>
      </c>
      <c r="H9" s="67"/>
    </row>
    <row r="10" spans="1:8" x14ac:dyDescent="0.2">
      <c r="A10" s="3">
        <v>4</v>
      </c>
      <c r="B10" s="4" t="s">
        <v>466</v>
      </c>
      <c r="C10" s="4" t="s">
        <v>467</v>
      </c>
      <c r="D10" s="4" t="s">
        <v>187</v>
      </c>
      <c r="E10" s="5">
        <v>15201</v>
      </c>
      <c r="F10" s="6">
        <v>96.039918</v>
      </c>
      <c r="G10" s="7">
        <v>2.7452092000000001E-2</v>
      </c>
      <c r="H10" s="67"/>
    </row>
    <row r="11" spans="1:8" x14ac:dyDescent="0.2">
      <c r="A11" s="3">
        <v>5</v>
      </c>
      <c r="B11" s="4" t="s">
        <v>162</v>
      </c>
      <c r="C11" s="4" t="s">
        <v>163</v>
      </c>
      <c r="D11" s="4" t="s">
        <v>27</v>
      </c>
      <c r="E11" s="5">
        <v>12363</v>
      </c>
      <c r="F11" s="6">
        <v>94.508953500000004</v>
      </c>
      <c r="G11" s="7">
        <v>2.701448E-2</v>
      </c>
      <c r="H11" s="67"/>
    </row>
    <row r="12" spans="1:8" x14ac:dyDescent="0.2">
      <c r="A12" s="3">
        <v>6</v>
      </c>
      <c r="B12" s="4" t="s">
        <v>154</v>
      </c>
      <c r="C12" s="4" t="s">
        <v>155</v>
      </c>
      <c r="D12" s="4" t="s">
        <v>81</v>
      </c>
      <c r="E12" s="5">
        <v>77537</v>
      </c>
      <c r="F12" s="6">
        <v>91.416122999999999</v>
      </c>
      <c r="G12" s="7">
        <v>2.6130423999999999E-2</v>
      </c>
      <c r="H12" s="67"/>
    </row>
    <row r="13" spans="1:8" x14ac:dyDescent="0.2">
      <c r="A13" s="3">
        <v>7</v>
      </c>
      <c r="B13" s="4" t="s">
        <v>37</v>
      </c>
      <c r="C13" s="4" t="s">
        <v>38</v>
      </c>
      <c r="D13" s="4" t="s">
        <v>27</v>
      </c>
      <c r="E13" s="5">
        <v>7409</v>
      </c>
      <c r="F13" s="6">
        <v>88.237485500000005</v>
      </c>
      <c r="G13" s="7">
        <v>2.5221840999999998E-2</v>
      </c>
      <c r="H13" s="67"/>
    </row>
    <row r="14" spans="1:8" x14ac:dyDescent="0.2">
      <c r="A14" s="3">
        <v>8</v>
      </c>
      <c r="B14" s="4" t="s">
        <v>164</v>
      </c>
      <c r="C14" s="4" t="s">
        <v>165</v>
      </c>
      <c r="D14" s="4" t="s">
        <v>166</v>
      </c>
      <c r="E14" s="5">
        <v>24091</v>
      </c>
      <c r="F14" s="6">
        <v>81.138487999999995</v>
      </c>
      <c r="G14" s="7">
        <v>2.3192661E-2</v>
      </c>
      <c r="H14" s="67"/>
    </row>
    <row r="15" spans="1:8" x14ac:dyDescent="0.2">
      <c r="A15" s="3">
        <v>9</v>
      </c>
      <c r="B15" s="4" t="s">
        <v>448</v>
      </c>
      <c r="C15" s="4" t="s">
        <v>449</v>
      </c>
      <c r="D15" s="4" t="s">
        <v>55</v>
      </c>
      <c r="E15" s="5">
        <v>22660</v>
      </c>
      <c r="F15" s="6">
        <v>74.947950000000006</v>
      </c>
      <c r="G15" s="7">
        <v>2.1423154999999999E-2</v>
      </c>
      <c r="H15" s="67"/>
    </row>
    <row r="16" spans="1:8" ht="25.5" x14ac:dyDescent="0.2">
      <c r="A16" s="3">
        <v>10</v>
      </c>
      <c r="B16" s="4" t="s">
        <v>30</v>
      </c>
      <c r="C16" s="4" t="s">
        <v>998</v>
      </c>
      <c r="D16" s="4" t="s">
        <v>992</v>
      </c>
      <c r="E16" s="5">
        <v>2108</v>
      </c>
      <c r="F16" s="6">
        <v>68.961112</v>
      </c>
      <c r="G16" s="7">
        <v>1.9711874000000001E-2</v>
      </c>
      <c r="H16" s="67"/>
    </row>
    <row r="17" spans="1:8" x14ac:dyDescent="0.2">
      <c r="A17" s="3">
        <v>11</v>
      </c>
      <c r="B17" s="4" t="s">
        <v>167</v>
      </c>
      <c r="C17" s="4" t="s">
        <v>168</v>
      </c>
      <c r="D17" s="4" t="s">
        <v>166</v>
      </c>
      <c r="E17" s="5">
        <v>2021</v>
      </c>
      <c r="F17" s="6">
        <v>67.138630500000005</v>
      </c>
      <c r="G17" s="7">
        <v>1.9190934999999999E-2</v>
      </c>
      <c r="H17" s="67"/>
    </row>
    <row r="18" spans="1:8" x14ac:dyDescent="0.2">
      <c r="A18" s="3">
        <v>12</v>
      </c>
      <c r="B18" s="4" t="s">
        <v>174</v>
      </c>
      <c r="C18" s="4" t="s">
        <v>175</v>
      </c>
      <c r="D18" s="4" t="s">
        <v>55</v>
      </c>
      <c r="E18" s="5">
        <v>16012</v>
      </c>
      <c r="F18" s="6">
        <v>64.456305999999998</v>
      </c>
      <c r="G18" s="7">
        <v>1.8424218999999999E-2</v>
      </c>
      <c r="H18" s="67"/>
    </row>
    <row r="19" spans="1:8" x14ac:dyDescent="0.2">
      <c r="A19" s="3">
        <v>13</v>
      </c>
      <c r="B19" s="4" t="s">
        <v>180</v>
      </c>
      <c r="C19" s="4" t="s">
        <v>181</v>
      </c>
      <c r="D19" s="4" t="s">
        <v>171</v>
      </c>
      <c r="E19" s="5">
        <v>4415</v>
      </c>
      <c r="F19" s="6">
        <v>60.249297499999997</v>
      </c>
      <c r="G19" s="7">
        <v>1.7221685E-2</v>
      </c>
      <c r="H19" s="67"/>
    </row>
    <row r="20" spans="1:8" x14ac:dyDescent="0.2">
      <c r="A20" s="3">
        <v>14</v>
      </c>
      <c r="B20" s="4" t="s">
        <v>63</v>
      </c>
      <c r="C20" s="4" t="s">
        <v>64</v>
      </c>
      <c r="D20" s="4" t="s">
        <v>55</v>
      </c>
      <c r="E20" s="5">
        <v>23135</v>
      </c>
      <c r="F20" s="6">
        <v>59.919649999999997</v>
      </c>
      <c r="G20" s="7">
        <v>1.7127459000000001E-2</v>
      </c>
      <c r="H20" s="67"/>
    </row>
    <row r="21" spans="1:8" x14ac:dyDescent="0.2">
      <c r="A21" s="3">
        <v>15</v>
      </c>
      <c r="B21" s="4" t="s">
        <v>342</v>
      </c>
      <c r="C21" s="4" t="s">
        <v>343</v>
      </c>
      <c r="D21" s="4" t="s">
        <v>171</v>
      </c>
      <c r="E21" s="5">
        <v>1632</v>
      </c>
      <c r="F21" s="6">
        <v>59.610432000000003</v>
      </c>
      <c r="G21" s="7">
        <v>1.7039071999999999E-2</v>
      </c>
      <c r="H21" s="67"/>
    </row>
    <row r="22" spans="1:8" x14ac:dyDescent="0.2">
      <c r="A22" s="3">
        <v>16</v>
      </c>
      <c r="B22" s="4" t="s">
        <v>177</v>
      </c>
      <c r="C22" s="4" t="s">
        <v>178</v>
      </c>
      <c r="D22" s="4" t="s">
        <v>179</v>
      </c>
      <c r="E22" s="5">
        <v>24683</v>
      </c>
      <c r="F22" s="6">
        <v>59.115785000000002</v>
      </c>
      <c r="G22" s="7">
        <v>1.6897682000000001E-2</v>
      </c>
      <c r="H22" s="67"/>
    </row>
    <row r="23" spans="1:8" ht="25.5" x14ac:dyDescent="0.2">
      <c r="A23" s="3">
        <v>17</v>
      </c>
      <c r="B23" s="4" t="s">
        <v>176</v>
      </c>
      <c r="C23" s="4" t="s">
        <v>995</v>
      </c>
      <c r="D23" s="4" t="s">
        <v>992</v>
      </c>
      <c r="E23" s="5">
        <v>22301</v>
      </c>
      <c r="F23" s="6">
        <v>59.008445999999999</v>
      </c>
      <c r="G23" s="7">
        <v>1.6867E-2</v>
      </c>
      <c r="H23" s="67"/>
    </row>
    <row r="24" spans="1:8" x14ac:dyDescent="0.2">
      <c r="A24" s="3">
        <v>18</v>
      </c>
      <c r="B24" s="4" t="s">
        <v>456</v>
      </c>
      <c r="C24" s="4" t="s">
        <v>457</v>
      </c>
      <c r="D24" s="4" t="s">
        <v>212</v>
      </c>
      <c r="E24" s="5">
        <v>9098</v>
      </c>
      <c r="F24" s="6">
        <v>53.773729000000003</v>
      </c>
      <c r="G24" s="7">
        <v>1.5370706E-2</v>
      </c>
      <c r="H24" s="67"/>
    </row>
    <row r="25" spans="1:8" ht="25.5" x14ac:dyDescent="0.2">
      <c r="A25" s="3">
        <v>19</v>
      </c>
      <c r="B25" s="4" t="s">
        <v>450</v>
      </c>
      <c r="C25" s="4" t="s">
        <v>451</v>
      </c>
      <c r="D25" s="4" t="s">
        <v>36</v>
      </c>
      <c r="E25" s="5">
        <v>3630</v>
      </c>
      <c r="F25" s="6">
        <v>52.694895000000002</v>
      </c>
      <c r="G25" s="7">
        <v>1.5062331999999999E-2</v>
      </c>
      <c r="H25" s="67"/>
    </row>
    <row r="26" spans="1:8" x14ac:dyDescent="0.2">
      <c r="A26" s="3">
        <v>20</v>
      </c>
      <c r="B26" s="4" t="s">
        <v>188</v>
      </c>
      <c r="C26" s="4" t="s">
        <v>189</v>
      </c>
      <c r="D26" s="4" t="s">
        <v>166</v>
      </c>
      <c r="E26" s="5">
        <v>1104</v>
      </c>
      <c r="F26" s="6">
        <v>52.543776000000001</v>
      </c>
      <c r="G26" s="7">
        <v>1.5019136000000001E-2</v>
      </c>
      <c r="H26" s="67"/>
    </row>
    <row r="27" spans="1:8" x14ac:dyDescent="0.2">
      <c r="A27" s="3">
        <v>21</v>
      </c>
      <c r="B27" s="4" t="s">
        <v>192</v>
      </c>
      <c r="C27" s="4" t="s">
        <v>193</v>
      </c>
      <c r="D27" s="4" t="s">
        <v>81</v>
      </c>
      <c r="E27" s="5">
        <v>9147</v>
      </c>
      <c r="F27" s="6">
        <v>52.1973555</v>
      </c>
      <c r="G27" s="7">
        <v>1.4920114999999999E-2</v>
      </c>
      <c r="H27" s="67"/>
    </row>
    <row r="28" spans="1:8" x14ac:dyDescent="0.2">
      <c r="A28" s="3">
        <v>22</v>
      </c>
      <c r="B28" s="4" t="s">
        <v>198</v>
      </c>
      <c r="C28" s="4" t="s">
        <v>199</v>
      </c>
      <c r="D28" s="4" t="s">
        <v>166</v>
      </c>
      <c r="E28" s="5">
        <v>5305</v>
      </c>
      <c r="F28" s="6">
        <v>51.853722500000003</v>
      </c>
      <c r="G28" s="7">
        <v>1.4821891E-2</v>
      </c>
      <c r="H28" s="67"/>
    </row>
    <row r="29" spans="1:8" ht="25.5" x14ac:dyDescent="0.2">
      <c r="A29" s="3">
        <v>23</v>
      </c>
      <c r="B29" s="4" t="s">
        <v>202</v>
      </c>
      <c r="C29" s="4" t="s">
        <v>203</v>
      </c>
      <c r="D29" s="4" t="s">
        <v>52</v>
      </c>
      <c r="E29" s="5">
        <v>11014</v>
      </c>
      <c r="F29" s="6">
        <v>51.352775000000001</v>
      </c>
      <c r="G29" s="7">
        <v>1.4678699999999999E-2</v>
      </c>
      <c r="H29" s="67"/>
    </row>
    <row r="30" spans="1:8" x14ac:dyDescent="0.2">
      <c r="A30" s="3">
        <v>24</v>
      </c>
      <c r="B30" s="4" t="s">
        <v>196</v>
      </c>
      <c r="C30" s="4" t="s">
        <v>197</v>
      </c>
      <c r="D30" s="4" t="s">
        <v>1004</v>
      </c>
      <c r="E30" s="5">
        <v>16438</v>
      </c>
      <c r="F30" s="6">
        <v>50.834515000000003</v>
      </c>
      <c r="G30" s="7">
        <v>1.453056E-2</v>
      </c>
      <c r="H30" s="67"/>
    </row>
    <row r="31" spans="1:8" x14ac:dyDescent="0.2">
      <c r="A31" s="3">
        <v>25</v>
      </c>
      <c r="B31" s="4" t="s">
        <v>208</v>
      </c>
      <c r="C31" s="4" t="s">
        <v>209</v>
      </c>
      <c r="D31" s="4" t="s">
        <v>1005</v>
      </c>
      <c r="E31" s="5">
        <v>6000</v>
      </c>
      <c r="F31" s="6">
        <v>50.811</v>
      </c>
      <c r="G31" s="7">
        <v>1.4523838000000001E-2</v>
      </c>
      <c r="H31" s="67"/>
    </row>
    <row r="32" spans="1:8" ht="25.5" x14ac:dyDescent="0.2">
      <c r="A32" s="3">
        <v>26</v>
      </c>
      <c r="B32" s="4" t="s">
        <v>217</v>
      </c>
      <c r="C32" s="4" t="s">
        <v>218</v>
      </c>
      <c r="D32" s="4" t="s">
        <v>55</v>
      </c>
      <c r="E32" s="5">
        <v>2300</v>
      </c>
      <c r="F32" s="6">
        <v>50.456249999999997</v>
      </c>
      <c r="G32" s="7">
        <v>1.4422436E-2</v>
      </c>
      <c r="H32" s="67"/>
    </row>
    <row r="33" spans="1:8" x14ac:dyDescent="0.2">
      <c r="A33" s="3">
        <v>27</v>
      </c>
      <c r="B33" s="4" t="s">
        <v>185</v>
      </c>
      <c r="C33" s="4" t="s">
        <v>186</v>
      </c>
      <c r="D33" s="4" t="s">
        <v>187</v>
      </c>
      <c r="E33" s="5">
        <v>10421</v>
      </c>
      <c r="F33" s="6">
        <v>49.994747500000003</v>
      </c>
      <c r="G33" s="7">
        <v>1.4290519999999999E-2</v>
      </c>
      <c r="H33" s="67"/>
    </row>
    <row r="34" spans="1:8" x14ac:dyDescent="0.2">
      <c r="A34" s="3">
        <v>28</v>
      </c>
      <c r="B34" s="4" t="s">
        <v>206</v>
      </c>
      <c r="C34" s="4" t="s">
        <v>207</v>
      </c>
      <c r="D34" s="4" t="s">
        <v>187</v>
      </c>
      <c r="E34" s="5">
        <v>7372</v>
      </c>
      <c r="F34" s="6">
        <v>49.141751999999997</v>
      </c>
      <c r="G34" s="7">
        <v>1.4046700000000001E-2</v>
      </c>
      <c r="H34" s="67"/>
    </row>
    <row r="35" spans="1:8" x14ac:dyDescent="0.2">
      <c r="A35" s="3">
        <v>29</v>
      </c>
      <c r="B35" s="4" t="s">
        <v>204</v>
      </c>
      <c r="C35" s="4" t="s">
        <v>205</v>
      </c>
      <c r="D35" s="4" t="s">
        <v>27</v>
      </c>
      <c r="E35" s="5">
        <v>2958</v>
      </c>
      <c r="F35" s="6">
        <v>49.122027000000003</v>
      </c>
      <c r="G35" s="7">
        <v>1.4041062E-2</v>
      </c>
      <c r="H35" s="67"/>
    </row>
    <row r="36" spans="1:8" x14ac:dyDescent="0.2">
      <c r="A36" s="3">
        <v>30</v>
      </c>
      <c r="B36" s="4" t="s">
        <v>182</v>
      </c>
      <c r="C36" s="4" t="s">
        <v>183</v>
      </c>
      <c r="D36" s="4" t="s">
        <v>184</v>
      </c>
      <c r="E36" s="5">
        <v>4863</v>
      </c>
      <c r="F36" s="6">
        <v>47.951611499999999</v>
      </c>
      <c r="G36" s="7">
        <v>1.3706509E-2</v>
      </c>
      <c r="H36" s="67"/>
    </row>
    <row r="37" spans="1:8" x14ac:dyDescent="0.2">
      <c r="A37" s="3">
        <v>31</v>
      </c>
      <c r="B37" s="4" t="s">
        <v>223</v>
      </c>
      <c r="C37" s="4" t="s">
        <v>224</v>
      </c>
      <c r="D37" s="4" t="s">
        <v>69</v>
      </c>
      <c r="E37" s="5">
        <v>5426</v>
      </c>
      <c r="F37" s="6">
        <v>46.812815000000001</v>
      </c>
      <c r="G37" s="7">
        <v>1.3380995E-2</v>
      </c>
      <c r="H37" s="67"/>
    </row>
    <row r="38" spans="1:8" x14ac:dyDescent="0.2">
      <c r="A38" s="3">
        <v>32</v>
      </c>
      <c r="B38" s="4" t="s">
        <v>462</v>
      </c>
      <c r="C38" s="4" t="s">
        <v>463</v>
      </c>
      <c r="D38" s="4" t="s">
        <v>1003</v>
      </c>
      <c r="E38" s="5">
        <v>49937</v>
      </c>
      <c r="F38" s="6">
        <v>46.666126499999997</v>
      </c>
      <c r="G38" s="7">
        <v>1.3339066E-2</v>
      </c>
      <c r="H38" s="67"/>
    </row>
    <row r="39" spans="1:8" x14ac:dyDescent="0.2">
      <c r="A39" s="3">
        <v>33</v>
      </c>
      <c r="B39" s="4" t="s">
        <v>172</v>
      </c>
      <c r="C39" s="4" t="s">
        <v>173</v>
      </c>
      <c r="D39" s="4" t="s">
        <v>331</v>
      </c>
      <c r="E39" s="5">
        <v>4826</v>
      </c>
      <c r="F39" s="6">
        <v>46.013497000000001</v>
      </c>
      <c r="G39" s="7">
        <v>1.3152518E-2</v>
      </c>
      <c r="H39" s="67"/>
    </row>
    <row r="40" spans="1:8" x14ac:dyDescent="0.2">
      <c r="A40" s="3">
        <v>34</v>
      </c>
      <c r="B40" s="4" t="s">
        <v>213</v>
      </c>
      <c r="C40" s="4" t="s">
        <v>214</v>
      </c>
      <c r="D40" s="4" t="s">
        <v>81</v>
      </c>
      <c r="E40" s="5">
        <v>7884</v>
      </c>
      <c r="F40" s="6">
        <v>45.013697999999998</v>
      </c>
      <c r="G40" s="7">
        <v>1.2866735000000001E-2</v>
      </c>
      <c r="H40" s="67"/>
    </row>
    <row r="41" spans="1:8" x14ac:dyDescent="0.2">
      <c r="A41" s="3">
        <v>35</v>
      </c>
      <c r="B41" s="4" t="s">
        <v>210</v>
      </c>
      <c r="C41" s="4" t="s">
        <v>211</v>
      </c>
      <c r="D41" s="4" t="s">
        <v>212</v>
      </c>
      <c r="E41" s="5">
        <v>17729</v>
      </c>
      <c r="F41" s="6">
        <v>44.446603000000003</v>
      </c>
      <c r="G41" s="7">
        <v>1.2704636E-2</v>
      </c>
      <c r="H41" s="67"/>
    </row>
    <row r="42" spans="1:8" x14ac:dyDescent="0.2">
      <c r="A42" s="3">
        <v>36</v>
      </c>
      <c r="B42" s="4" t="s">
        <v>225</v>
      </c>
      <c r="C42" s="4" t="s">
        <v>226</v>
      </c>
      <c r="D42" s="4" t="s">
        <v>166</v>
      </c>
      <c r="E42" s="5">
        <v>3090</v>
      </c>
      <c r="F42" s="6">
        <v>44.115929999999999</v>
      </c>
      <c r="G42" s="7">
        <v>1.2610117000000001E-2</v>
      </c>
      <c r="H42" s="67"/>
    </row>
    <row r="43" spans="1:8" x14ac:dyDescent="0.2">
      <c r="A43" s="3">
        <v>37</v>
      </c>
      <c r="B43" s="4" t="s">
        <v>194</v>
      </c>
      <c r="C43" s="4" t="s">
        <v>195</v>
      </c>
      <c r="D43" s="4" t="s">
        <v>55</v>
      </c>
      <c r="E43" s="5">
        <v>4496</v>
      </c>
      <c r="F43" s="6">
        <v>43.332447999999999</v>
      </c>
      <c r="G43" s="7">
        <v>1.2386166000000001E-2</v>
      </c>
      <c r="H43" s="67"/>
    </row>
    <row r="44" spans="1:8" x14ac:dyDescent="0.2">
      <c r="A44" s="3">
        <v>38</v>
      </c>
      <c r="B44" s="4" t="s">
        <v>452</v>
      </c>
      <c r="C44" s="4" t="s">
        <v>453</v>
      </c>
      <c r="D44" s="4" t="s">
        <v>27</v>
      </c>
      <c r="E44" s="5">
        <v>5096</v>
      </c>
      <c r="F44" s="6">
        <v>42.294252</v>
      </c>
      <c r="G44" s="7">
        <v>1.2089407E-2</v>
      </c>
      <c r="H44" s="67"/>
    </row>
    <row r="45" spans="1:8" x14ac:dyDescent="0.2">
      <c r="A45" s="3">
        <v>39</v>
      </c>
      <c r="B45" s="4" t="s">
        <v>219</v>
      </c>
      <c r="C45" s="4" t="s">
        <v>220</v>
      </c>
      <c r="D45" s="4" t="s">
        <v>55</v>
      </c>
      <c r="E45" s="5">
        <v>4838</v>
      </c>
      <c r="F45" s="6">
        <v>41.060105999999998</v>
      </c>
      <c r="G45" s="7">
        <v>1.1736639E-2</v>
      </c>
      <c r="H45" s="67"/>
    </row>
    <row r="46" spans="1:8" x14ac:dyDescent="0.2">
      <c r="A46" s="3">
        <v>40</v>
      </c>
      <c r="B46" s="4" t="s">
        <v>296</v>
      </c>
      <c r="C46" s="4" t="s">
        <v>297</v>
      </c>
      <c r="D46" s="4" t="s">
        <v>27</v>
      </c>
      <c r="E46" s="5">
        <v>5737</v>
      </c>
      <c r="F46" s="6">
        <v>39.071838499999998</v>
      </c>
      <c r="G46" s="7">
        <v>1.1168311E-2</v>
      </c>
      <c r="H46" s="67"/>
    </row>
    <row r="47" spans="1:8" x14ac:dyDescent="0.2">
      <c r="A47" s="3">
        <v>41</v>
      </c>
      <c r="B47" s="4" t="s">
        <v>454</v>
      </c>
      <c r="C47" s="4" t="s">
        <v>455</v>
      </c>
      <c r="D47" s="4" t="s">
        <v>46</v>
      </c>
      <c r="E47" s="5">
        <v>9464</v>
      </c>
      <c r="F47" s="6">
        <v>38.669904000000002</v>
      </c>
      <c r="G47" s="7">
        <v>1.1053422E-2</v>
      </c>
      <c r="H47" s="67"/>
    </row>
    <row r="48" spans="1:8" x14ac:dyDescent="0.2">
      <c r="A48" s="3">
        <v>42</v>
      </c>
      <c r="B48" s="4" t="s">
        <v>247</v>
      </c>
      <c r="C48" s="4" t="s">
        <v>248</v>
      </c>
      <c r="D48" s="4" t="s">
        <v>1001</v>
      </c>
      <c r="E48" s="5">
        <v>7009</v>
      </c>
      <c r="F48" s="6">
        <v>38.588049499999997</v>
      </c>
      <c r="G48" s="7">
        <v>1.1030025000000001E-2</v>
      </c>
      <c r="H48" s="67"/>
    </row>
    <row r="49" spans="1:8" ht="25.5" x14ac:dyDescent="0.2">
      <c r="A49" s="3">
        <v>43</v>
      </c>
      <c r="B49" s="4" t="s">
        <v>221</v>
      </c>
      <c r="C49" s="4" t="s">
        <v>222</v>
      </c>
      <c r="D49" s="4" t="s">
        <v>36</v>
      </c>
      <c r="E49" s="5">
        <v>44355</v>
      </c>
      <c r="F49" s="6">
        <v>38.100945000000003</v>
      </c>
      <c r="G49" s="7">
        <v>1.0890791E-2</v>
      </c>
      <c r="H49" s="67"/>
    </row>
    <row r="50" spans="1:8" x14ac:dyDescent="0.2">
      <c r="A50" s="3">
        <v>44</v>
      </c>
      <c r="B50" s="4" t="s">
        <v>458</v>
      </c>
      <c r="C50" s="4" t="s">
        <v>459</v>
      </c>
      <c r="D50" s="4" t="s">
        <v>55</v>
      </c>
      <c r="E50" s="5">
        <v>4749</v>
      </c>
      <c r="F50" s="6">
        <v>36.802375499999997</v>
      </c>
      <c r="G50" s="7">
        <v>1.0519607E-2</v>
      </c>
      <c r="H50" s="67"/>
    </row>
    <row r="51" spans="1:8" x14ac:dyDescent="0.2">
      <c r="A51" s="3">
        <v>45</v>
      </c>
      <c r="B51" s="4" t="s">
        <v>290</v>
      </c>
      <c r="C51" s="4" t="s">
        <v>291</v>
      </c>
      <c r="D51" s="4" t="s">
        <v>27</v>
      </c>
      <c r="E51" s="5">
        <v>3047</v>
      </c>
      <c r="F51" s="6">
        <v>36.090191500000003</v>
      </c>
      <c r="G51" s="7">
        <v>1.0316036000000001E-2</v>
      </c>
      <c r="H51" s="67"/>
    </row>
    <row r="52" spans="1:8" x14ac:dyDescent="0.2">
      <c r="A52" s="3">
        <v>46</v>
      </c>
      <c r="B52" s="4" t="s">
        <v>234</v>
      </c>
      <c r="C52" s="4" t="s">
        <v>235</v>
      </c>
      <c r="D52" s="4" t="s">
        <v>187</v>
      </c>
      <c r="E52" s="5">
        <v>2084</v>
      </c>
      <c r="F52" s="6">
        <v>35.483226000000002</v>
      </c>
      <c r="G52" s="7">
        <v>1.0142541E-2</v>
      </c>
      <c r="H52" s="67"/>
    </row>
    <row r="53" spans="1:8" x14ac:dyDescent="0.2">
      <c r="A53" s="3">
        <v>47</v>
      </c>
      <c r="B53" s="4" t="s">
        <v>232</v>
      </c>
      <c r="C53" s="4" t="s">
        <v>233</v>
      </c>
      <c r="D53" s="4" t="s">
        <v>55</v>
      </c>
      <c r="E53" s="5">
        <v>14021</v>
      </c>
      <c r="F53" s="6">
        <v>35.480140499999997</v>
      </c>
      <c r="G53" s="7">
        <v>1.0141659000000001E-2</v>
      </c>
      <c r="H53" s="67"/>
    </row>
    <row r="54" spans="1:8" x14ac:dyDescent="0.2">
      <c r="A54" s="3">
        <v>48</v>
      </c>
      <c r="B54" s="4" t="s">
        <v>227</v>
      </c>
      <c r="C54" s="4" t="s">
        <v>228</v>
      </c>
      <c r="D54" s="4" t="s">
        <v>229</v>
      </c>
      <c r="E54" s="5">
        <v>7357</v>
      </c>
      <c r="F54" s="6">
        <v>35.210602000000002</v>
      </c>
      <c r="G54" s="7">
        <v>1.0064614E-2</v>
      </c>
      <c r="H54" s="67"/>
    </row>
    <row r="55" spans="1:8" ht="25.5" x14ac:dyDescent="0.2">
      <c r="A55" s="3">
        <v>49</v>
      </c>
      <c r="B55" s="4" t="s">
        <v>230</v>
      </c>
      <c r="C55" s="4" t="s">
        <v>231</v>
      </c>
      <c r="D55" s="4" t="s">
        <v>52</v>
      </c>
      <c r="E55" s="5">
        <v>8568</v>
      </c>
      <c r="F55" s="6">
        <v>34.516188</v>
      </c>
      <c r="G55" s="7">
        <v>9.8661219999999997E-3</v>
      </c>
      <c r="H55" s="67"/>
    </row>
    <row r="56" spans="1:8" x14ac:dyDescent="0.2">
      <c r="A56" s="3">
        <v>50</v>
      </c>
      <c r="B56" s="4" t="s">
        <v>245</v>
      </c>
      <c r="C56" s="4" t="s">
        <v>246</v>
      </c>
      <c r="D56" s="4" t="s">
        <v>81</v>
      </c>
      <c r="E56" s="5">
        <v>68251</v>
      </c>
      <c r="F56" s="6">
        <v>34.296127499999997</v>
      </c>
      <c r="G56" s="7">
        <v>9.8032199999999996E-3</v>
      </c>
      <c r="H56" s="67"/>
    </row>
    <row r="57" spans="1:8" ht="25.5" x14ac:dyDescent="0.2">
      <c r="A57" s="3">
        <v>51</v>
      </c>
      <c r="B57" s="4" t="s">
        <v>238</v>
      </c>
      <c r="C57" s="4" t="s">
        <v>239</v>
      </c>
      <c r="D57" s="4" t="s">
        <v>1006</v>
      </c>
      <c r="E57" s="5">
        <v>33148</v>
      </c>
      <c r="F57" s="6">
        <v>34.076143999999999</v>
      </c>
      <c r="G57" s="7">
        <v>9.7403400000000001E-3</v>
      </c>
      <c r="H57" s="67"/>
    </row>
    <row r="58" spans="1:8" x14ac:dyDescent="0.2">
      <c r="A58" s="3">
        <v>52</v>
      </c>
      <c r="B58" s="4" t="s">
        <v>243</v>
      </c>
      <c r="C58" s="4" t="s">
        <v>244</v>
      </c>
      <c r="D58" s="4" t="s">
        <v>171</v>
      </c>
      <c r="E58" s="5">
        <v>9322</v>
      </c>
      <c r="F58" s="6">
        <v>33.792250000000003</v>
      </c>
      <c r="G58" s="7">
        <v>9.6591909999999993E-3</v>
      </c>
      <c r="H58" s="67"/>
    </row>
    <row r="59" spans="1:8" x14ac:dyDescent="0.2">
      <c r="A59" s="3">
        <v>53</v>
      </c>
      <c r="B59" s="4" t="s">
        <v>190</v>
      </c>
      <c r="C59" s="4" t="s">
        <v>191</v>
      </c>
      <c r="D59" s="4" t="s">
        <v>41</v>
      </c>
      <c r="E59" s="5">
        <v>8109</v>
      </c>
      <c r="F59" s="6">
        <v>33.384753000000003</v>
      </c>
      <c r="G59" s="7">
        <v>9.5427120000000001E-3</v>
      </c>
      <c r="H59" s="67"/>
    </row>
    <row r="60" spans="1:8" ht="25.5" x14ac:dyDescent="0.2">
      <c r="A60" s="3">
        <v>54</v>
      </c>
      <c r="B60" s="4" t="s">
        <v>240</v>
      </c>
      <c r="C60" s="4" t="s">
        <v>241</v>
      </c>
      <c r="D60" s="4" t="s">
        <v>52</v>
      </c>
      <c r="E60" s="5">
        <v>8180</v>
      </c>
      <c r="F60" s="6">
        <v>33.02675</v>
      </c>
      <c r="G60" s="7">
        <v>9.4403809999999994E-3</v>
      </c>
      <c r="H60" s="67"/>
    </row>
    <row r="61" spans="1:8" x14ac:dyDescent="0.2">
      <c r="A61" s="3">
        <v>55</v>
      </c>
      <c r="B61" s="4" t="s">
        <v>255</v>
      </c>
      <c r="C61" s="4" t="s">
        <v>256</v>
      </c>
      <c r="D61" s="4" t="s">
        <v>331</v>
      </c>
      <c r="E61" s="5">
        <v>2029</v>
      </c>
      <c r="F61" s="6">
        <v>30.201664999999998</v>
      </c>
      <c r="G61" s="7">
        <v>8.6328570000000007E-3</v>
      </c>
      <c r="H61" s="67"/>
    </row>
    <row r="62" spans="1:8" x14ac:dyDescent="0.2">
      <c r="A62" s="3">
        <v>56</v>
      </c>
      <c r="B62" s="4" t="s">
        <v>253</v>
      </c>
      <c r="C62" s="4" t="s">
        <v>254</v>
      </c>
      <c r="D62" s="4" t="s">
        <v>49</v>
      </c>
      <c r="E62" s="5">
        <v>2788</v>
      </c>
      <c r="F62" s="6">
        <v>29.38552</v>
      </c>
      <c r="G62" s="7">
        <v>8.3995700000000003E-3</v>
      </c>
      <c r="H62" s="67"/>
    </row>
    <row r="63" spans="1:8" x14ac:dyDescent="0.2">
      <c r="A63" s="3">
        <v>57</v>
      </c>
      <c r="B63" s="4" t="s">
        <v>262</v>
      </c>
      <c r="C63" s="4" t="s">
        <v>263</v>
      </c>
      <c r="D63" s="4" t="s">
        <v>171</v>
      </c>
      <c r="E63" s="5">
        <v>4265</v>
      </c>
      <c r="F63" s="6">
        <v>28.903905000000002</v>
      </c>
      <c r="G63" s="7">
        <v>8.2619049999999999E-3</v>
      </c>
      <c r="H63" s="67"/>
    </row>
    <row r="64" spans="1:8" x14ac:dyDescent="0.2">
      <c r="A64" s="3">
        <v>58</v>
      </c>
      <c r="B64" s="4" t="s">
        <v>259</v>
      </c>
      <c r="C64" s="4" t="s">
        <v>260</v>
      </c>
      <c r="D64" s="4" t="s">
        <v>261</v>
      </c>
      <c r="E64" s="5">
        <v>3852</v>
      </c>
      <c r="F64" s="6">
        <v>28.552949999999999</v>
      </c>
      <c r="G64" s="7">
        <v>8.1615879999999991E-3</v>
      </c>
      <c r="H64" s="67"/>
    </row>
    <row r="65" spans="1:8" x14ac:dyDescent="0.2">
      <c r="A65" s="3">
        <v>59</v>
      </c>
      <c r="B65" s="4" t="s">
        <v>257</v>
      </c>
      <c r="C65" s="4" t="s">
        <v>258</v>
      </c>
      <c r="D65" s="4" t="s">
        <v>1001</v>
      </c>
      <c r="E65" s="5">
        <v>21285</v>
      </c>
      <c r="F65" s="6">
        <v>26.627535000000002</v>
      </c>
      <c r="G65" s="7">
        <v>7.6112259999999996E-3</v>
      </c>
      <c r="H65" s="67"/>
    </row>
    <row r="66" spans="1:8" x14ac:dyDescent="0.2">
      <c r="A66" s="3">
        <v>60</v>
      </c>
      <c r="B66" s="4" t="s">
        <v>460</v>
      </c>
      <c r="C66" s="4" t="s">
        <v>461</v>
      </c>
      <c r="D66" s="4" t="s">
        <v>81</v>
      </c>
      <c r="E66" s="5">
        <v>3781</v>
      </c>
      <c r="F66" s="6">
        <v>26.548291500000001</v>
      </c>
      <c r="G66" s="7">
        <v>7.5885750000000002E-3</v>
      </c>
      <c r="H66" s="67"/>
    </row>
    <row r="67" spans="1:8" x14ac:dyDescent="0.2">
      <c r="A67" s="3">
        <v>61</v>
      </c>
      <c r="B67" s="4" t="s">
        <v>277</v>
      </c>
      <c r="C67" s="4" t="s">
        <v>278</v>
      </c>
      <c r="D67" s="4" t="s">
        <v>187</v>
      </c>
      <c r="E67" s="5">
        <v>6683</v>
      </c>
      <c r="F67" s="6">
        <v>26.123847000000001</v>
      </c>
      <c r="G67" s="7">
        <v>7.4672519999999997E-3</v>
      </c>
      <c r="H67" s="67"/>
    </row>
    <row r="68" spans="1:8" x14ac:dyDescent="0.2">
      <c r="A68" s="3">
        <v>62</v>
      </c>
      <c r="B68" s="4" t="s">
        <v>268</v>
      </c>
      <c r="C68" s="4" t="s">
        <v>269</v>
      </c>
      <c r="D68" s="4" t="s">
        <v>24</v>
      </c>
      <c r="E68" s="5">
        <v>27737</v>
      </c>
      <c r="F68" s="6">
        <v>25.559645499999998</v>
      </c>
      <c r="G68" s="7">
        <v>7.3059800000000001E-3</v>
      </c>
      <c r="H68" s="67"/>
    </row>
    <row r="69" spans="1:8" x14ac:dyDescent="0.2">
      <c r="A69" s="3">
        <v>63</v>
      </c>
      <c r="B69" s="4" t="s">
        <v>270</v>
      </c>
      <c r="C69" s="4" t="s">
        <v>271</v>
      </c>
      <c r="D69" s="4" t="s">
        <v>272</v>
      </c>
      <c r="E69" s="5">
        <v>10365</v>
      </c>
      <c r="F69" s="6">
        <v>23.5544625</v>
      </c>
      <c r="G69" s="7">
        <v>6.7328179999999998E-3</v>
      </c>
      <c r="H69" s="67"/>
    </row>
    <row r="70" spans="1:8" x14ac:dyDescent="0.2">
      <c r="A70" s="3">
        <v>64</v>
      </c>
      <c r="B70" s="4" t="s">
        <v>32</v>
      </c>
      <c r="C70" s="4" t="s">
        <v>33</v>
      </c>
      <c r="D70" s="4" t="s">
        <v>27</v>
      </c>
      <c r="E70" s="5">
        <v>1047</v>
      </c>
      <c r="F70" s="6">
        <v>23.099437500000001</v>
      </c>
      <c r="G70" s="7">
        <v>6.6027530000000003E-3</v>
      </c>
      <c r="H70" s="67"/>
    </row>
    <row r="71" spans="1:8" x14ac:dyDescent="0.2">
      <c r="A71" s="3">
        <v>65</v>
      </c>
      <c r="B71" s="4" t="s">
        <v>273</v>
      </c>
      <c r="C71" s="4" t="s">
        <v>274</v>
      </c>
      <c r="D71" s="4" t="s">
        <v>187</v>
      </c>
      <c r="E71" s="5">
        <v>411</v>
      </c>
      <c r="F71" s="6">
        <v>22.355934000000001</v>
      </c>
      <c r="G71" s="7">
        <v>6.3902300000000002E-3</v>
      </c>
      <c r="H71" s="67"/>
    </row>
    <row r="72" spans="1:8" x14ac:dyDescent="0.2">
      <c r="A72" s="3">
        <v>66</v>
      </c>
      <c r="B72" s="4" t="s">
        <v>77</v>
      </c>
      <c r="C72" s="4" t="s">
        <v>78</v>
      </c>
      <c r="D72" s="4" t="s">
        <v>69</v>
      </c>
      <c r="E72" s="5">
        <v>5816</v>
      </c>
      <c r="F72" s="6">
        <v>19.451612000000001</v>
      </c>
      <c r="G72" s="7">
        <v>5.5600570000000002E-3</v>
      </c>
      <c r="H72" s="67"/>
    </row>
    <row r="73" spans="1:8" x14ac:dyDescent="0.2">
      <c r="A73" s="3">
        <v>67</v>
      </c>
      <c r="B73" s="4" t="s">
        <v>279</v>
      </c>
      <c r="C73" s="4" t="s">
        <v>280</v>
      </c>
      <c r="D73" s="4" t="s">
        <v>1003</v>
      </c>
      <c r="E73" s="5">
        <v>1276</v>
      </c>
      <c r="F73" s="6">
        <v>19.363938000000001</v>
      </c>
      <c r="G73" s="7">
        <v>5.5349960000000004E-3</v>
      </c>
      <c r="H73" s="67"/>
    </row>
    <row r="74" spans="1:8" x14ac:dyDescent="0.2">
      <c r="A74" s="3">
        <v>68</v>
      </c>
      <c r="B74" s="4" t="s">
        <v>283</v>
      </c>
      <c r="C74" s="4" t="s">
        <v>284</v>
      </c>
      <c r="D74" s="4" t="s">
        <v>166</v>
      </c>
      <c r="E74" s="5">
        <v>3956</v>
      </c>
      <c r="F74" s="6">
        <v>17.922657999999998</v>
      </c>
      <c r="G74" s="7">
        <v>5.1230199999999998E-3</v>
      </c>
      <c r="H74" s="67"/>
    </row>
    <row r="75" spans="1:8" x14ac:dyDescent="0.2">
      <c r="A75" s="3">
        <v>69</v>
      </c>
      <c r="B75" s="4" t="s">
        <v>298</v>
      </c>
      <c r="C75" s="4" t="s">
        <v>299</v>
      </c>
      <c r="D75" s="4" t="s">
        <v>1001</v>
      </c>
      <c r="E75" s="5">
        <v>47427</v>
      </c>
      <c r="F75" s="6">
        <v>16.409742000000001</v>
      </c>
      <c r="G75" s="7">
        <v>4.690568E-3</v>
      </c>
      <c r="H75" s="67"/>
    </row>
    <row r="76" spans="1:8" x14ac:dyDescent="0.2">
      <c r="A76" s="3">
        <v>70</v>
      </c>
      <c r="B76" s="4" t="s">
        <v>285</v>
      </c>
      <c r="C76" s="4" t="s">
        <v>286</v>
      </c>
      <c r="D76" s="4" t="s">
        <v>153</v>
      </c>
      <c r="E76" s="5">
        <v>982</v>
      </c>
      <c r="F76" s="6">
        <v>12.603479</v>
      </c>
      <c r="G76" s="7">
        <v>3.6025839999999998E-3</v>
      </c>
      <c r="H76" s="67"/>
    </row>
    <row r="77" spans="1:8" x14ac:dyDescent="0.2">
      <c r="A77" s="3">
        <v>71</v>
      </c>
      <c r="B77" s="4" t="s">
        <v>287</v>
      </c>
      <c r="C77" s="4" t="s">
        <v>288</v>
      </c>
      <c r="D77" s="4" t="s">
        <v>1001</v>
      </c>
      <c r="E77" s="5">
        <v>1579</v>
      </c>
      <c r="F77" s="6">
        <v>7.1062894999999999</v>
      </c>
      <c r="G77" s="7">
        <v>2.031265E-3</v>
      </c>
      <c r="H77" s="67"/>
    </row>
    <row r="78" spans="1:8" ht="25.5" x14ac:dyDescent="0.2">
      <c r="A78" s="3">
        <v>72</v>
      </c>
      <c r="B78" s="4" t="s">
        <v>264</v>
      </c>
      <c r="C78" s="4" t="s">
        <v>265</v>
      </c>
      <c r="D78" s="4" t="s">
        <v>153</v>
      </c>
      <c r="E78" s="5">
        <v>1622</v>
      </c>
      <c r="F78" s="6">
        <v>5.3947719999999997</v>
      </c>
      <c r="G78" s="7">
        <v>1.542044E-3</v>
      </c>
      <c r="H78" s="67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9">
        <v>3347.4399330000001</v>
      </c>
      <c r="G79" s="10">
        <v>0.95683368700000004</v>
      </c>
      <c r="H79" s="67"/>
    </row>
    <row r="80" spans="1:8" x14ac:dyDescent="0.2">
      <c r="A80" s="1"/>
      <c r="B80" s="1"/>
      <c r="C80" s="11"/>
      <c r="D80" s="1"/>
      <c r="E80" s="1"/>
      <c r="F80" s="12"/>
      <c r="G80" s="12"/>
      <c r="H80" s="67"/>
    </row>
    <row r="81" spans="1:8" x14ac:dyDescent="0.2">
      <c r="A81" s="1"/>
      <c r="B81" s="1"/>
      <c r="C81" s="2" t="s">
        <v>107</v>
      </c>
      <c r="D81" s="1"/>
      <c r="E81" s="1"/>
      <c r="F81" s="1"/>
      <c r="G81" s="1"/>
      <c r="H81" s="67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">
        <v>0</v>
      </c>
      <c r="H82" s="67"/>
    </row>
    <row r="83" spans="1:8" x14ac:dyDescent="0.2">
      <c r="A83" s="1"/>
      <c r="B83" s="1"/>
      <c r="C83" s="11"/>
      <c r="D83" s="1"/>
      <c r="E83" s="1"/>
      <c r="F83" s="12"/>
      <c r="G83" s="12"/>
      <c r="H83" s="67"/>
    </row>
    <row r="84" spans="1:8" x14ac:dyDescent="0.2">
      <c r="A84" s="1"/>
      <c r="B84" s="1"/>
      <c r="C84" s="2" t="s">
        <v>108</v>
      </c>
      <c r="D84" s="1"/>
      <c r="E84" s="1"/>
      <c r="F84" s="1"/>
      <c r="G84" s="1"/>
      <c r="H84" s="67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7"/>
    </row>
    <row r="86" spans="1:8" x14ac:dyDescent="0.2">
      <c r="A86" s="1"/>
      <c r="B86" s="1"/>
      <c r="C86" s="11"/>
      <c r="D86" s="1"/>
      <c r="E86" s="1"/>
      <c r="F86" s="12"/>
      <c r="G86" s="12"/>
      <c r="H86" s="67"/>
    </row>
    <row r="87" spans="1:8" x14ac:dyDescent="0.2">
      <c r="A87" s="1"/>
      <c r="B87" s="1"/>
      <c r="C87" s="2" t="s">
        <v>109</v>
      </c>
      <c r="D87" s="1"/>
      <c r="E87" s="1"/>
      <c r="F87" s="1"/>
      <c r="G87" s="1"/>
      <c r="H87" s="67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">
        <v>0</v>
      </c>
      <c r="H88" s="67"/>
    </row>
    <row r="89" spans="1:8" x14ac:dyDescent="0.2">
      <c r="A89" s="1"/>
      <c r="B89" s="1"/>
      <c r="C89" s="11"/>
      <c r="D89" s="1"/>
      <c r="E89" s="1"/>
      <c r="F89" s="12"/>
      <c r="G89" s="12"/>
      <c r="H89" s="67"/>
    </row>
    <row r="90" spans="1:8" x14ac:dyDescent="0.2">
      <c r="A90" s="1"/>
      <c r="B90" s="1"/>
      <c r="C90" s="2" t="s">
        <v>110</v>
      </c>
      <c r="D90" s="1"/>
      <c r="E90" s="1"/>
      <c r="F90" s="12"/>
      <c r="G90" s="12"/>
      <c r="H90" s="67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">
        <v>0</v>
      </c>
      <c r="H91" s="67"/>
    </row>
    <row r="92" spans="1:8" x14ac:dyDescent="0.2">
      <c r="A92" s="1"/>
      <c r="B92" s="1"/>
      <c r="C92" s="11"/>
      <c r="D92" s="1"/>
      <c r="E92" s="1"/>
      <c r="F92" s="12"/>
      <c r="G92" s="12"/>
      <c r="H92" s="67"/>
    </row>
    <row r="93" spans="1:8" x14ac:dyDescent="0.2">
      <c r="A93" s="1"/>
      <c r="B93" s="1"/>
      <c r="C93" s="2" t="s">
        <v>111</v>
      </c>
      <c r="D93" s="1"/>
      <c r="E93" s="1"/>
      <c r="F93" s="12"/>
      <c r="G93" s="12"/>
      <c r="H93" s="67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">
        <v>0</v>
      </c>
      <c r="H94" s="67"/>
    </row>
    <row r="95" spans="1:8" x14ac:dyDescent="0.2">
      <c r="A95" s="1"/>
      <c r="B95" s="1"/>
      <c r="C95" s="11"/>
      <c r="D95" s="1"/>
      <c r="E95" s="1"/>
      <c r="F95" s="12"/>
      <c r="G95" s="12"/>
      <c r="H95" s="67"/>
    </row>
    <row r="96" spans="1:8" x14ac:dyDescent="0.2">
      <c r="A96" s="1"/>
      <c r="B96" s="1"/>
      <c r="C96" s="2" t="s">
        <v>112</v>
      </c>
      <c r="D96" s="1"/>
      <c r="E96" s="1"/>
      <c r="F96" s="9">
        <v>3347.4399330000001</v>
      </c>
      <c r="G96" s="10">
        <v>0.95683368700000004</v>
      </c>
      <c r="H96" s="67"/>
    </row>
    <row r="97" spans="1:8" x14ac:dyDescent="0.2">
      <c r="A97" s="1"/>
      <c r="B97" s="1"/>
      <c r="C97" s="11"/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113</v>
      </c>
      <c r="D98" s="1"/>
      <c r="E98" s="1"/>
      <c r="F98" s="12"/>
      <c r="G98" s="12"/>
      <c r="H98" s="67"/>
    </row>
    <row r="99" spans="1:8" ht="25.5" x14ac:dyDescent="0.2">
      <c r="A99" s="1"/>
      <c r="B99" s="1"/>
      <c r="C99" s="2" t="s">
        <v>10</v>
      </c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7"/>
    </row>
    <row r="101" spans="1:8" x14ac:dyDescent="0.2">
      <c r="A101" s="1"/>
      <c r="B101" s="1"/>
      <c r="C101" s="11"/>
      <c r="D101" s="1"/>
      <c r="E101" s="1"/>
      <c r="F101" s="12"/>
      <c r="G101" s="12"/>
      <c r="H101" s="67"/>
    </row>
    <row r="102" spans="1:8" x14ac:dyDescent="0.2">
      <c r="A102" s="1"/>
      <c r="B102" s="1"/>
      <c r="C102" s="2" t="s">
        <v>114</v>
      </c>
      <c r="D102" s="1"/>
      <c r="E102" s="1"/>
      <c r="F102" s="1"/>
      <c r="G102" s="1"/>
      <c r="H102" s="67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">
        <v>0</v>
      </c>
      <c r="H103" s="67"/>
    </row>
    <row r="104" spans="1:8" x14ac:dyDescent="0.2">
      <c r="A104" s="1"/>
      <c r="B104" s="1"/>
      <c r="C104" s="11"/>
      <c r="D104" s="1"/>
      <c r="E104" s="1"/>
      <c r="F104" s="12"/>
      <c r="G104" s="12"/>
      <c r="H104" s="67"/>
    </row>
    <row r="105" spans="1:8" x14ac:dyDescent="0.2">
      <c r="A105" s="1"/>
      <c r="B105" s="1"/>
      <c r="C105" s="2" t="s">
        <v>115</v>
      </c>
      <c r="D105" s="1"/>
      <c r="E105" s="1"/>
      <c r="F105" s="1"/>
      <c r="G105" s="1"/>
      <c r="H105" s="67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">
        <v>0</v>
      </c>
      <c r="H106" s="67"/>
    </row>
    <row r="107" spans="1:8" x14ac:dyDescent="0.2">
      <c r="A107" s="1"/>
      <c r="B107" s="1"/>
      <c r="C107" s="11"/>
      <c r="D107" s="1"/>
      <c r="E107" s="1"/>
      <c r="F107" s="12"/>
      <c r="G107" s="12"/>
      <c r="H107" s="67"/>
    </row>
    <row r="108" spans="1:8" x14ac:dyDescent="0.2">
      <c r="A108" s="1"/>
      <c r="B108" s="1"/>
      <c r="C108" s="2" t="s">
        <v>116</v>
      </c>
      <c r="D108" s="1"/>
      <c r="E108" s="1"/>
      <c r="F108" s="12"/>
      <c r="G108" s="12"/>
      <c r="H108" s="67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">
        <v>0</v>
      </c>
      <c r="H109" s="67"/>
    </row>
    <row r="110" spans="1:8" x14ac:dyDescent="0.2">
      <c r="A110" s="1"/>
      <c r="B110" s="1"/>
      <c r="C110" s="11"/>
      <c r="D110" s="1"/>
      <c r="E110" s="1"/>
      <c r="F110" s="12"/>
      <c r="G110" s="12"/>
      <c r="H110" s="67"/>
    </row>
    <row r="111" spans="1:8" x14ac:dyDescent="0.2">
      <c r="A111" s="1"/>
      <c r="B111" s="1"/>
      <c r="C111" s="2" t="s">
        <v>117</v>
      </c>
      <c r="D111" s="1"/>
      <c r="E111" s="1"/>
      <c r="F111" s="9">
        <v>0</v>
      </c>
      <c r="G111" s="10">
        <v>0</v>
      </c>
      <c r="H111" s="67"/>
    </row>
    <row r="112" spans="1:8" x14ac:dyDescent="0.2">
      <c r="A112" s="1"/>
      <c r="B112" s="1"/>
      <c r="C112" s="11"/>
      <c r="D112" s="1"/>
      <c r="E112" s="1"/>
      <c r="F112" s="12"/>
      <c r="G112" s="12"/>
      <c r="H112" s="67"/>
    </row>
    <row r="113" spans="1:8" x14ac:dyDescent="0.2">
      <c r="A113" s="1"/>
      <c r="B113" s="1"/>
      <c r="C113" s="2" t="s">
        <v>118</v>
      </c>
      <c r="D113" s="1"/>
      <c r="E113" s="1"/>
      <c r="F113" s="12"/>
      <c r="G113" s="12"/>
      <c r="H113" s="67"/>
    </row>
    <row r="114" spans="1:8" x14ac:dyDescent="0.2">
      <c r="A114" s="1"/>
      <c r="B114" s="1"/>
      <c r="C114" s="2" t="s">
        <v>119</v>
      </c>
      <c r="D114" s="1"/>
      <c r="E114" s="1"/>
      <c r="F114" s="12"/>
      <c r="G114" s="12"/>
      <c r="H114" s="67"/>
    </row>
    <row r="115" spans="1:8" x14ac:dyDescent="0.2">
      <c r="A115" s="1"/>
      <c r="B115" s="1"/>
      <c r="C115" s="2" t="s">
        <v>105</v>
      </c>
      <c r="D115" s="1"/>
      <c r="E115" s="1" t="s">
        <v>106</v>
      </c>
      <c r="F115" s="13">
        <v>0</v>
      </c>
      <c r="G115" s="14">
        <v>0</v>
      </c>
      <c r="H115" s="67"/>
    </row>
    <row r="116" spans="1:8" x14ac:dyDescent="0.2">
      <c r="A116" s="1"/>
      <c r="B116" s="1"/>
      <c r="C116" s="11"/>
      <c r="D116" s="1"/>
      <c r="E116" s="1"/>
      <c r="F116" s="12"/>
      <c r="G116" s="12"/>
      <c r="H116" s="67"/>
    </row>
    <row r="117" spans="1:8" x14ac:dyDescent="0.2">
      <c r="A117" s="1"/>
      <c r="B117" s="1"/>
      <c r="C117" s="2" t="s">
        <v>120</v>
      </c>
      <c r="D117" s="1"/>
      <c r="E117" s="1"/>
      <c r="F117" s="12"/>
      <c r="G117" s="12"/>
      <c r="H117" s="67"/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">
        <v>0</v>
      </c>
      <c r="H118" s="67"/>
    </row>
    <row r="119" spans="1:8" x14ac:dyDescent="0.2">
      <c r="A119" s="1"/>
      <c r="B119" s="1"/>
      <c r="C119" s="11"/>
      <c r="D119" s="1"/>
      <c r="E119" s="1"/>
      <c r="F119" s="12"/>
      <c r="G119" s="12"/>
      <c r="H119" s="67"/>
    </row>
    <row r="120" spans="1:8" x14ac:dyDescent="0.2">
      <c r="A120" s="1"/>
      <c r="B120" s="1"/>
      <c r="C120" s="2" t="s">
        <v>121</v>
      </c>
      <c r="D120" s="1"/>
      <c r="E120" s="1"/>
      <c r="F120" s="12"/>
      <c r="G120" s="12"/>
      <c r="H120" s="67"/>
    </row>
    <row r="121" spans="1:8" x14ac:dyDescent="0.2">
      <c r="A121" s="1"/>
      <c r="B121" s="1"/>
      <c r="C121" s="2" t="s">
        <v>105</v>
      </c>
      <c r="D121" s="1"/>
      <c r="E121" s="1" t="s">
        <v>106</v>
      </c>
      <c r="F121" s="13">
        <v>0</v>
      </c>
      <c r="G121" s="14">
        <v>0</v>
      </c>
      <c r="H121" s="67"/>
    </row>
    <row r="122" spans="1:8" x14ac:dyDescent="0.2">
      <c r="A122" s="1"/>
      <c r="B122" s="1"/>
      <c r="C122" s="11"/>
      <c r="D122" s="1"/>
      <c r="E122" s="1"/>
      <c r="F122" s="12"/>
      <c r="G122" s="12"/>
      <c r="H122" s="67"/>
    </row>
    <row r="123" spans="1:8" x14ac:dyDescent="0.2">
      <c r="A123" s="1"/>
      <c r="B123" s="1"/>
      <c r="C123" s="2" t="s">
        <v>122</v>
      </c>
      <c r="D123" s="1"/>
      <c r="E123" s="1"/>
      <c r="F123" s="12"/>
      <c r="G123" s="12"/>
      <c r="H123" s="67"/>
    </row>
    <row r="124" spans="1:8" x14ac:dyDescent="0.2">
      <c r="A124" s="3">
        <v>1</v>
      </c>
      <c r="B124" s="4"/>
      <c r="C124" s="4" t="s">
        <v>123</v>
      </c>
      <c r="D124" s="4"/>
      <c r="E124" s="8"/>
      <c r="F124" s="6">
        <v>149.89494970000001</v>
      </c>
      <c r="G124" s="7">
        <v>4.2846038000000003E-2</v>
      </c>
      <c r="H124" s="67">
        <v>3.1047477660654299</v>
      </c>
    </row>
    <row r="125" spans="1:8" x14ac:dyDescent="0.2">
      <c r="A125" s="1"/>
      <c r="B125" s="1"/>
      <c r="C125" s="2" t="s">
        <v>105</v>
      </c>
      <c r="D125" s="1"/>
      <c r="E125" s="1" t="s">
        <v>106</v>
      </c>
      <c r="F125" s="9">
        <v>149.89494970000001</v>
      </c>
      <c r="G125" s="10">
        <v>4.2846038000000003E-2</v>
      </c>
      <c r="H125" s="67"/>
    </row>
    <row r="126" spans="1:8" x14ac:dyDescent="0.2">
      <c r="A126" s="1"/>
      <c r="B126" s="1"/>
      <c r="C126" s="11"/>
      <c r="D126" s="1"/>
      <c r="E126" s="1"/>
      <c r="F126" s="12"/>
      <c r="G126" s="12"/>
      <c r="H126" s="67"/>
    </row>
    <row r="127" spans="1:8" x14ac:dyDescent="0.2">
      <c r="A127" s="1"/>
      <c r="B127" s="1"/>
      <c r="C127" s="2" t="s">
        <v>124</v>
      </c>
      <c r="D127" s="1"/>
      <c r="E127" s="1"/>
      <c r="F127" s="9">
        <v>149.89494970000001</v>
      </c>
      <c r="G127" s="10">
        <v>4.2846038000000003E-2</v>
      </c>
      <c r="H127" s="67"/>
    </row>
    <row r="128" spans="1:8" x14ac:dyDescent="0.2">
      <c r="A128" s="1"/>
      <c r="B128" s="1"/>
      <c r="C128" s="12"/>
      <c r="D128" s="1"/>
      <c r="E128" s="1"/>
      <c r="F128" s="1"/>
      <c r="G128" s="1"/>
      <c r="H128" s="67"/>
    </row>
    <row r="129" spans="1:8" x14ac:dyDescent="0.2">
      <c r="A129" s="1"/>
      <c r="B129" s="1"/>
      <c r="C129" s="2" t="s">
        <v>125</v>
      </c>
      <c r="D129" s="1"/>
      <c r="E129" s="1"/>
      <c r="F129" s="1"/>
      <c r="G129" s="1"/>
      <c r="H129" s="67"/>
    </row>
    <row r="130" spans="1:8" x14ac:dyDescent="0.2">
      <c r="A130" s="1"/>
      <c r="B130" s="1"/>
      <c r="C130" s="2" t="s">
        <v>126</v>
      </c>
      <c r="D130" s="1"/>
      <c r="E130" s="1"/>
      <c r="F130" s="1"/>
      <c r="G130" s="1"/>
      <c r="H130" s="67"/>
    </row>
    <row r="131" spans="1:8" x14ac:dyDescent="0.2">
      <c r="A131" s="1"/>
      <c r="B131" s="1"/>
      <c r="C131" s="2" t="s">
        <v>105</v>
      </c>
      <c r="D131" s="1"/>
      <c r="E131" s="1" t="s">
        <v>106</v>
      </c>
      <c r="F131" s="13">
        <v>0</v>
      </c>
      <c r="G131" s="14">
        <v>0</v>
      </c>
      <c r="H131" s="67"/>
    </row>
    <row r="132" spans="1:8" x14ac:dyDescent="0.2">
      <c r="A132" s="1"/>
      <c r="B132" s="1"/>
      <c r="C132" s="11"/>
      <c r="D132" s="1"/>
      <c r="E132" s="1"/>
      <c r="F132" s="12"/>
      <c r="G132" s="12"/>
      <c r="H132" s="67"/>
    </row>
    <row r="133" spans="1:8" x14ac:dyDescent="0.2">
      <c r="A133" s="1"/>
      <c r="B133" s="1"/>
      <c r="C133" s="2" t="s">
        <v>127</v>
      </c>
      <c r="D133" s="1"/>
      <c r="E133" s="1"/>
      <c r="F133" s="1"/>
      <c r="G133" s="1"/>
      <c r="H133" s="67"/>
    </row>
    <row r="134" spans="1:8" x14ac:dyDescent="0.2">
      <c r="A134" s="1"/>
      <c r="B134" s="1"/>
      <c r="C134" s="2" t="s">
        <v>128</v>
      </c>
      <c r="D134" s="1"/>
      <c r="E134" s="1"/>
      <c r="F134" s="1"/>
      <c r="G134" s="1"/>
      <c r="H134" s="67"/>
    </row>
    <row r="135" spans="1:8" x14ac:dyDescent="0.2">
      <c r="A135" s="1"/>
      <c r="B135" s="1"/>
      <c r="C135" s="2" t="s">
        <v>105</v>
      </c>
      <c r="D135" s="1"/>
      <c r="E135" s="1" t="s">
        <v>106</v>
      </c>
      <c r="F135" s="13">
        <v>0</v>
      </c>
      <c r="G135" s="14">
        <v>0</v>
      </c>
      <c r="H135" s="67"/>
    </row>
    <row r="136" spans="1:8" x14ac:dyDescent="0.2">
      <c r="A136" s="1"/>
      <c r="B136" s="1"/>
      <c r="C136" s="11"/>
      <c r="D136" s="1"/>
      <c r="E136" s="1"/>
      <c r="F136" s="12"/>
      <c r="G136" s="12"/>
      <c r="H136" s="67"/>
    </row>
    <row r="137" spans="1:8" x14ac:dyDescent="0.2">
      <c r="A137" s="1"/>
      <c r="B137" s="1"/>
      <c r="C137" s="11"/>
      <c r="D137" s="1"/>
      <c r="E137" s="1"/>
      <c r="F137" s="12"/>
      <c r="G137" s="12"/>
      <c r="H137" s="67"/>
    </row>
    <row r="138" spans="1:8" ht="25.5" x14ac:dyDescent="0.2">
      <c r="A138" s="1"/>
      <c r="B138" s="1"/>
      <c r="C138" s="2" t="s">
        <v>129</v>
      </c>
      <c r="D138" s="1"/>
      <c r="E138" s="1"/>
      <c r="F138" s="12"/>
      <c r="G138" s="12"/>
      <c r="H138" s="67"/>
    </row>
    <row r="139" spans="1:8" x14ac:dyDescent="0.2">
      <c r="A139" s="1"/>
      <c r="B139" s="1"/>
      <c r="C139" s="2" t="s">
        <v>105</v>
      </c>
      <c r="D139" s="1"/>
      <c r="E139" s="1" t="s">
        <v>106</v>
      </c>
      <c r="F139" s="13">
        <v>0</v>
      </c>
      <c r="G139" s="14">
        <v>0</v>
      </c>
      <c r="H139" s="67"/>
    </row>
    <row r="140" spans="1:8" x14ac:dyDescent="0.2">
      <c r="A140" s="1"/>
      <c r="B140" s="1"/>
      <c r="C140" s="11"/>
      <c r="D140" s="1"/>
      <c r="E140" s="1"/>
      <c r="F140" s="12"/>
      <c r="G140" s="12"/>
      <c r="H140" s="67"/>
    </row>
    <row r="141" spans="1:8" x14ac:dyDescent="0.2">
      <c r="A141" s="1"/>
      <c r="B141" s="4"/>
      <c r="C141" s="4"/>
      <c r="D141" s="2"/>
      <c r="E141" s="1"/>
      <c r="F141" s="4"/>
      <c r="G141" s="8"/>
      <c r="H141" s="67"/>
    </row>
    <row r="142" spans="1:8" x14ac:dyDescent="0.2">
      <c r="A142" s="8"/>
      <c r="B142" s="4"/>
      <c r="C142" s="4" t="s">
        <v>130</v>
      </c>
      <c r="D142" s="4"/>
      <c r="E142" s="8"/>
      <c r="F142" s="6">
        <v>1.1204708999999999</v>
      </c>
      <c r="G142" s="7">
        <v>3.2027599999999998E-4</v>
      </c>
      <c r="H142" s="67"/>
    </row>
    <row r="143" spans="1:8" x14ac:dyDescent="0.2">
      <c r="A143" s="11"/>
      <c r="B143" s="11"/>
      <c r="C143" s="2" t="s">
        <v>131</v>
      </c>
      <c r="D143" s="15"/>
      <c r="E143" s="15"/>
      <c r="F143" s="9">
        <v>3498.4553535999999</v>
      </c>
      <c r="G143" s="10">
        <v>1.0000000010000001</v>
      </c>
      <c r="H143" s="67"/>
    </row>
    <row r="144" spans="1:8" ht="14.1" customHeight="1" x14ac:dyDescent="0.2">
      <c r="A144" s="16"/>
      <c r="B144" s="16"/>
      <c r="C144" s="16"/>
      <c r="D144" s="17"/>
      <c r="E144" s="17"/>
      <c r="F144" s="17"/>
      <c r="G144" s="17"/>
    </row>
    <row r="145" spans="1:7" ht="14.1" customHeight="1" x14ac:dyDescent="0.2">
      <c r="A145" s="18"/>
      <c r="B145" s="170" t="s">
        <v>106</v>
      </c>
      <c r="C145" s="170"/>
      <c r="D145" s="170"/>
      <c r="E145" s="170"/>
      <c r="F145" s="170"/>
      <c r="G145" s="20"/>
    </row>
    <row r="146" spans="1:7" ht="14.1" customHeight="1" x14ac:dyDescent="0.2">
      <c r="A146" s="18"/>
      <c r="B146" s="170" t="s">
        <v>106</v>
      </c>
      <c r="C146" s="170"/>
      <c r="D146" s="170"/>
      <c r="E146" s="170"/>
      <c r="F146" s="170"/>
      <c r="G146" s="20"/>
    </row>
    <row r="147" spans="1:7" ht="14.1" customHeight="1" x14ac:dyDescent="0.2">
      <c r="A147" s="18"/>
      <c r="B147" s="18"/>
      <c r="C147" s="18"/>
      <c r="D147" s="20"/>
      <c r="E147" s="20"/>
      <c r="F147" s="20"/>
      <c r="G147" s="20"/>
    </row>
    <row r="148" spans="1:7" ht="14.1" customHeight="1" x14ac:dyDescent="0.2">
      <c r="A148" s="18"/>
      <c r="B148" s="168" t="s">
        <v>133</v>
      </c>
      <c r="C148" s="169"/>
      <c r="D148" s="12" t="s">
        <v>106</v>
      </c>
      <c r="E148" s="21"/>
      <c r="F148" s="20"/>
      <c r="G148" s="20"/>
    </row>
    <row r="149" spans="1:7" ht="29.1" customHeight="1" x14ac:dyDescent="0.2">
      <c r="A149" s="18"/>
      <c r="B149" s="165" t="s">
        <v>134</v>
      </c>
      <c r="C149" s="166"/>
      <c r="D149" s="2" t="s">
        <v>135</v>
      </c>
      <c r="E149" s="21"/>
      <c r="F149" s="20"/>
      <c r="G149" s="20"/>
    </row>
    <row r="150" spans="1:7" ht="17.100000000000001" customHeight="1" x14ac:dyDescent="0.2">
      <c r="A150" s="18"/>
      <c r="B150" s="165" t="s">
        <v>136</v>
      </c>
      <c r="C150" s="166"/>
      <c r="D150" s="2" t="s">
        <v>135</v>
      </c>
      <c r="E150" s="21"/>
      <c r="F150" s="20"/>
      <c r="G150" s="20"/>
    </row>
    <row r="151" spans="1:7" ht="17.100000000000001" customHeight="1" x14ac:dyDescent="0.2">
      <c r="A151" s="18"/>
      <c r="B151" s="165" t="s">
        <v>137</v>
      </c>
      <c r="C151" s="166"/>
      <c r="D151" s="12" t="s">
        <v>106</v>
      </c>
      <c r="E151" s="21"/>
      <c r="F151" s="20"/>
      <c r="G151" s="20"/>
    </row>
    <row r="152" spans="1:7" ht="24" customHeight="1" x14ac:dyDescent="0.2">
      <c r="A152" s="22"/>
      <c r="B152" s="23" t="s">
        <v>106</v>
      </c>
      <c r="C152" s="23" t="s">
        <v>138</v>
      </c>
      <c r="D152" s="23" t="s">
        <v>139</v>
      </c>
      <c r="E152" s="22"/>
      <c r="F152" s="22"/>
      <c r="G152" s="22"/>
    </row>
    <row r="153" spans="1:7" ht="18" customHeight="1" x14ac:dyDescent="0.2">
      <c r="A153" s="22"/>
      <c r="B153" s="23" t="s">
        <v>140</v>
      </c>
      <c r="C153" s="23" t="s">
        <v>141</v>
      </c>
      <c r="D153" s="23" t="s">
        <v>142</v>
      </c>
      <c r="E153" s="22"/>
      <c r="F153" s="22"/>
      <c r="G153" s="22"/>
    </row>
    <row r="154" spans="1:7" ht="17.100000000000001" customHeight="1" x14ac:dyDescent="0.2">
      <c r="A154" s="22"/>
      <c r="B154" s="4" t="s">
        <v>143</v>
      </c>
      <c r="C154" s="24">
        <v>19.011900000000001</v>
      </c>
      <c r="D154" s="24">
        <v>19.111599999999999</v>
      </c>
      <c r="E154" s="22"/>
      <c r="F154" s="19"/>
      <c r="G154" s="25"/>
    </row>
    <row r="155" spans="1:7" ht="17.100000000000001" customHeight="1" x14ac:dyDescent="0.2">
      <c r="A155" s="22"/>
      <c r="B155" s="4" t="s">
        <v>988</v>
      </c>
      <c r="C155" s="24">
        <v>17.823</v>
      </c>
      <c r="D155" s="24">
        <v>17.916399999999999</v>
      </c>
      <c r="E155" s="22"/>
      <c r="F155" s="19"/>
      <c r="G155" s="25"/>
    </row>
    <row r="156" spans="1:7" ht="17.100000000000001" customHeight="1" x14ac:dyDescent="0.2">
      <c r="A156" s="22"/>
      <c r="B156" s="4" t="s">
        <v>144</v>
      </c>
      <c r="C156" s="24">
        <v>18.711300000000001</v>
      </c>
      <c r="D156" s="24">
        <v>18.8005</v>
      </c>
      <c r="E156" s="22"/>
      <c r="F156" s="19"/>
      <c r="G156" s="25"/>
    </row>
    <row r="157" spans="1:7" ht="17.100000000000001" customHeight="1" x14ac:dyDescent="0.2">
      <c r="A157" s="22"/>
      <c r="B157" s="4" t="s">
        <v>989</v>
      </c>
      <c r="C157" s="24">
        <v>17.523700000000002</v>
      </c>
      <c r="D157" s="24">
        <v>17.607299999999999</v>
      </c>
      <c r="E157" s="22"/>
      <c r="F157" s="19"/>
      <c r="G157" s="25"/>
    </row>
    <row r="158" spans="1:7" ht="14.1" customHeight="1" x14ac:dyDescent="0.2">
      <c r="A158" s="22"/>
      <c r="B158" s="22"/>
      <c r="C158" s="22"/>
      <c r="D158" s="22"/>
      <c r="E158" s="22"/>
      <c r="F158" s="22"/>
      <c r="G158" s="22"/>
    </row>
    <row r="159" spans="1:7" ht="17.100000000000001" customHeight="1" x14ac:dyDescent="0.2">
      <c r="A159" s="22"/>
      <c r="B159" s="165" t="s">
        <v>990</v>
      </c>
      <c r="C159" s="166"/>
      <c r="D159" s="2" t="s">
        <v>135</v>
      </c>
      <c r="E159" s="22"/>
      <c r="F159" s="22"/>
      <c r="G159" s="22"/>
    </row>
    <row r="160" spans="1:7" ht="18" customHeight="1" x14ac:dyDescent="0.2">
      <c r="A160" s="22"/>
      <c r="B160" s="26" t="s">
        <v>145</v>
      </c>
      <c r="C160" s="26" t="s">
        <v>145</v>
      </c>
      <c r="D160" s="26"/>
      <c r="E160" s="22"/>
      <c r="F160" s="22"/>
      <c r="G160" s="22"/>
    </row>
    <row r="161" spans="1:7" s="158" customFormat="1" x14ac:dyDescent="0.2">
      <c r="B161" s="167" t="s">
        <v>822</v>
      </c>
      <c r="C161" s="167"/>
      <c r="D161" s="167"/>
      <c r="E161" s="167"/>
      <c r="F161" s="167"/>
    </row>
    <row r="162" spans="1:7" ht="14.1" customHeight="1" x14ac:dyDescent="0.2">
      <c r="A162" s="22"/>
      <c r="B162" s="19"/>
      <c r="C162" s="19"/>
      <c r="D162" s="22"/>
      <c r="E162" s="22"/>
      <c r="F162" s="22"/>
      <c r="G162" s="22"/>
    </row>
    <row r="163" spans="1:7" ht="29.1" customHeight="1" x14ac:dyDescent="0.2">
      <c r="A163" s="22"/>
      <c r="B163" s="165" t="s">
        <v>146</v>
      </c>
      <c r="C163" s="166"/>
      <c r="D163" s="2" t="s">
        <v>135</v>
      </c>
      <c r="E163" s="22"/>
      <c r="F163" s="22"/>
      <c r="G163" s="22"/>
    </row>
    <row r="164" spans="1:7" ht="29.1" customHeight="1" x14ac:dyDescent="0.2">
      <c r="A164" s="22"/>
      <c r="B164" s="165" t="s">
        <v>147</v>
      </c>
      <c r="C164" s="166"/>
      <c r="D164" s="2" t="s">
        <v>135</v>
      </c>
      <c r="E164" s="22"/>
      <c r="F164" s="22"/>
      <c r="G164" s="22"/>
    </row>
    <row r="165" spans="1:7" ht="17.100000000000001" customHeight="1" x14ac:dyDescent="0.2">
      <c r="A165" s="22"/>
      <c r="B165" s="165" t="s">
        <v>148</v>
      </c>
      <c r="C165" s="166"/>
      <c r="D165" s="27">
        <v>0.43657665331354878</v>
      </c>
      <c r="E165" s="22"/>
      <c r="F165" s="19"/>
      <c r="G165" s="25"/>
    </row>
    <row r="166" spans="1:7" ht="17.100000000000001" customHeight="1" x14ac:dyDescent="0.2">
      <c r="A166" s="22"/>
      <c r="B166" s="165" t="s">
        <v>149</v>
      </c>
      <c r="C166" s="166"/>
      <c r="D166" s="2" t="s">
        <v>135</v>
      </c>
      <c r="E166" s="22"/>
      <c r="F166" s="22"/>
      <c r="G166" s="22"/>
    </row>
  </sheetData>
  <mergeCells count="15">
    <mergeCell ref="B148:C148"/>
    <mergeCell ref="B145:F145"/>
    <mergeCell ref="B146:F146"/>
    <mergeCell ref="A1:H1"/>
    <mergeCell ref="A2:H2"/>
    <mergeCell ref="A3:H3"/>
    <mergeCell ref="B165:C165"/>
    <mergeCell ref="B166:C166"/>
    <mergeCell ref="B149:C149"/>
    <mergeCell ref="B150:C150"/>
    <mergeCell ref="B151:C151"/>
    <mergeCell ref="B159:C159"/>
    <mergeCell ref="B163:C163"/>
    <mergeCell ref="B164:C164"/>
    <mergeCell ref="B161:F161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16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471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37</v>
      </c>
      <c r="C7" s="4" t="s">
        <v>38</v>
      </c>
      <c r="D7" s="4" t="s">
        <v>27</v>
      </c>
      <c r="E7" s="5">
        <v>37713</v>
      </c>
      <c r="F7" s="6">
        <v>449.14297349999998</v>
      </c>
      <c r="G7" s="7">
        <v>3.7013116999999998E-2</v>
      </c>
      <c r="H7" s="67"/>
    </row>
    <row r="8" spans="1:8" x14ac:dyDescent="0.2">
      <c r="A8" s="3">
        <v>2</v>
      </c>
      <c r="B8" s="4" t="s">
        <v>25</v>
      </c>
      <c r="C8" s="4" t="s">
        <v>26</v>
      </c>
      <c r="D8" s="4" t="s">
        <v>27</v>
      </c>
      <c r="E8" s="5">
        <v>33342</v>
      </c>
      <c r="F8" s="6">
        <v>430.42854899999998</v>
      </c>
      <c r="G8" s="7">
        <v>3.5470891999999997E-2</v>
      </c>
      <c r="H8" s="67"/>
    </row>
    <row r="9" spans="1:8" x14ac:dyDescent="0.2">
      <c r="A9" s="3">
        <v>3</v>
      </c>
      <c r="B9" s="4" t="s">
        <v>151</v>
      </c>
      <c r="C9" s="4" t="s">
        <v>152</v>
      </c>
      <c r="D9" s="4" t="s">
        <v>153</v>
      </c>
      <c r="E9" s="5">
        <v>10412</v>
      </c>
      <c r="F9" s="6">
        <v>419.35371199999997</v>
      </c>
      <c r="G9" s="7">
        <v>3.4558234E-2</v>
      </c>
      <c r="H9" s="67"/>
    </row>
    <row r="10" spans="1:8" ht="25.5" x14ac:dyDescent="0.2">
      <c r="A10" s="3">
        <v>4</v>
      </c>
      <c r="B10" s="4" t="s">
        <v>450</v>
      </c>
      <c r="C10" s="4" t="s">
        <v>451</v>
      </c>
      <c r="D10" s="4" t="s">
        <v>36</v>
      </c>
      <c r="E10" s="5">
        <v>25868</v>
      </c>
      <c r="F10" s="6">
        <v>375.51282200000003</v>
      </c>
      <c r="G10" s="7">
        <v>3.0945380000000001E-2</v>
      </c>
      <c r="H10" s="67"/>
    </row>
    <row r="11" spans="1:8" x14ac:dyDescent="0.2">
      <c r="A11" s="3">
        <v>5</v>
      </c>
      <c r="B11" s="4" t="s">
        <v>466</v>
      </c>
      <c r="C11" s="4" t="s">
        <v>467</v>
      </c>
      <c r="D11" s="4" t="s">
        <v>187</v>
      </c>
      <c r="E11" s="5">
        <v>58824</v>
      </c>
      <c r="F11" s="6">
        <v>371.65003200000001</v>
      </c>
      <c r="G11" s="7">
        <v>3.0627054000000001E-2</v>
      </c>
      <c r="H11" s="67"/>
    </row>
    <row r="12" spans="1:8" x14ac:dyDescent="0.2">
      <c r="A12" s="3">
        <v>6</v>
      </c>
      <c r="B12" s="4" t="s">
        <v>154</v>
      </c>
      <c r="C12" s="4" t="s">
        <v>155</v>
      </c>
      <c r="D12" s="4" t="s">
        <v>81</v>
      </c>
      <c r="E12" s="5">
        <v>281351</v>
      </c>
      <c r="F12" s="6">
        <v>331.712829</v>
      </c>
      <c r="G12" s="7">
        <v>2.7335895999999998E-2</v>
      </c>
      <c r="H12" s="67"/>
    </row>
    <row r="13" spans="1:8" x14ac:dyDescent="0.2">
      <c r="A13" s="3">
        <v>7</v>
      </c>
      <c r="B13" s="4" t="s">
        <v>204</v>
      </c>
      <c r="C13" s="4" t="s">
        <v>205</v>
      </c>
      <c r="D13" s="4" t="s">
        <v>27</v>
      </c>
      <c r="E13" s="5">
        <v>18691</v>
      </c>
      <c r="F13" s="6">
        <v>310.39209149999999</v>
      </c>
      <c r="G13" s="7">
        <v>2.557889E-2</v>
      </c>
      <c r="H13" s="67"/>
    </row>
    <row r="14" spans="1:8" x14ac:dyDescent="0.2">
      <c r="A14" s="3">
        <v>8</v>
      </c>
      <c r="B14" s="4" t="s">
        <v>177</v>
      </c>
      <c r="C14" s="4" t="s">
        <v>178</v>
      </c>
      <c r="D14" s="4" t="s">
        <v>179</v>
      </c>
      <c r="E14" s="5">
        <v>127326</v>
      </c>
      <c r="F14" s="6">
        <v>304.94576999999998</v>
      </c>
      <c r="G14" s="7">
        <v>2.5130067999999998E-2</v>
      </c>
      <c r="H14" s="67"/>
    </row>
    <row r="15" spans="1:8" x14ac:dyDescent="0.2">
      <c r="A15" s="3">
        <v>9</v>
      </c>
      <c r="B15" s="4" t="s">
        <v>448</v>
      </c>
      <c r="C15" s="4" t="s">
        <v>449</v>
      </c>
      <c r="D15" s="4" t="s">
        <v>55</v>
      </c>
      <c r="E15" s="5">
        <v>90401</v>
      </c>
      <c r="F15" s="6">
        <v>299.0013075</v>
      </c>
      <c r="G15" s="7">
        <v>2.4640195E-2</v>
      </c>
      <c r="H15" s="67"/>
    </row>
    <row r="16" spans="1:8" ht="25.5" x14ac:dyDescent="0.2">
      <c r="A16" s="3">
        <v>10</v>
      </c>
      <c r="B16" s="4" t="s">
        <v>176</v>
      </c>
      <c r="C16" s="4" t="s">
        <v>995</v>
      </c>
      <c r="D16" s="4" t="s">
        <v>992</v>
      </c>
      <c r="E16" s="5">
        <v>112163</v>
      </c>
      <c r="F16" s="6">
        <v>296.783298</v>
      </c>
      <c r="G16" s="7">
        <v>2.4457412000000001E-2</v>
      </c>
      <c r="H16" s="67"/>
    </row>
    <row r="17" spans="1:8" x14ac:dyDescent="0.2">
      <c r="A17" s="3">
        <v>11</v>
      </c>
      <c r="B17" s="4" t="s">
        <v>472</v>
      </c>
      <c r="C17" s="4" t="s">
        <v>473</v>
      </c>
      <c r="D17" s="4" t="s">
        <v>171</v>
      </c>
      <c r="E17" s="5">
        <v>90972</v>
      </c>
      <c r="F17" s="6">
        <v>284.96978999999999</v>
      </c>
      <c r="G17" s="7">
        <v>2.3483881000000002E-2</v>
      </c>
      <c r="H17" s="67"/>
    </row>
    <row r="18" spans="1:8" x14ac:dyDescent="0.2">
      <c r="A18" s="3">
        <v>12</v>
      </c>
      <c r="B18" s="4" t="s">
        <v>247</v>
      </c>
      <c r="C18" s="4" t="s">
        <v>248</v>
      </c>
      <c r="D18" s="4" t="s">
        <v>1001</v>
      </c>
      <c r="E18" s="5">
        <v>51380</v>
      </c>
      <c r="F18" s="6">
        <v>282.87259</v>
      </c>
      <c r="G18" s="7">
        <v>2.3311054000000001E-2</v>
      </c>
      <c r="H18" s="67"/>
    </row>
    <row r="19" spans="1:8" x14ac:dyDescent="0.2">
      <c r="A19" s="3">
        <v>13</v>
      </c>
      <c r="B19" s="4" t="s">
        <v>290</v>
      </c>
      <c r="C19" s="4" t="s">
        <v>291</v>
      </c>
      <c r="D19" s="4" t="s">
        <v>27</v>
      </c>
      <c r="E19" s="5">
        <v>20093</v>
      </c>
      <c r="F19" s="6">
        <v>237.99153849999999</v>
      </c>
      <c r="G19" s="7">
        <v>1.9612482000000001E-2</v>
      </c>
      <c r="H19" s="67"/>
    </row>
    <row r="20" spans="1:8" x14ac:dyDescent="0.2">
      <c r="A20" s="3">
        <v>14</v>
      </c>
      <c r="B20" s="4" t="s">
        <v>162</v>
      </c>
      <c r="C20" s="4" t="s">
        <v>163</v>
      </c>
      <c r="D20" s="4" t="s">
        <v>27</v>
      </c>
      <c r="E20" s="5">
        <v>30000</v>
      </c>
      <c r="F20" s="6">
        <v>229.33500000000001</v>
      </c>
      <c r="G20" s="7">
        <v>1.8899111E-2</v>
      </c>
      <c r="H20" s="67"/>
    </row>
    <row r="21" spans="1:8" x14ac:dyDescent="0.2">
      <c r="A21" s="3">
        <v>15</v>
      </c>
      <c r="B21" s="4" t="s">
        <v>180</v>
      </c>
      <c r="C21" s="4" t="s">
        <v>181</v>
      </c>
      <c r="D21" s="4" t="s">
        <v>171</v>
      </c>
      <c r="E21" s="5">
        <v>16680</v>
      </c>
      <c r="F21" s="6">
        <v>227.62361999999999</v>
      </c>
      <c r="G21" s="7">
        <v>1.8758079E-2</v>
      </c>
      <c r="H21" s="67"/>
    </row>
    <row r="22" spans="1:8" x14ac:dyDescent="0.2">
      <c r="A22" s="3">
        <v>16</v>
      </c>
      <c r="B22" s="4" t="s">
        <v>474</v>
      </c>
      <c r="C22" s="4" t="s">
        <v>475</v>
      </c>
      <c r="D22" s="4" t="s">
        <v>187</v>
      </c>
      <c r="E22" s="5">
        <v>2436</v>
      </c>
      <c r="F22" s="6">
        <v>219.576168</v>
      </c>
      <c r="G22" s="7">
        <v>1.8094902E-2</v>
      </c>
      <c r="H22" s="67"/>
    </row>
    <row r="23" spans="1:8" x14ac:dyDescent="0.2">
      <c r="A23" s="3">
        <v>17</v>
      </c>
      <c r="B23" s="4" t="s">
        <v>454</v>
      </c>
      <c r="C23" s="4" t="s">
        <v>455</v>
      </c>
      <c r="D23" s="4" t="s">
        <v>46</v>
      </c>
      <c r="E23" s="5">
        <v>53500</v>
      </c>
      <c r="F23" s="6">
        <v>218.601</v>
      </c>
      <c r="G23" s="7">
        <v>1.8014540999999998E-2</v>
      </c>
      <c r="H23" s="67"/>
    </row>
    <row r="24" spans="1:8" x14ac:dyDescent="0.2">
      <c r="A24" s="3">
        <v>18</v>
      </c>
      <c r="B24" s="4" t="s">
        <v>208</v>
      </c>
      <c r="C24" s="4" t="s">
        <v>209</v>
      </c>
      <c r="D24" s="4" t="s">
        <v>1005</v>
      </c>
      <c r="E24" s="5">
        <v>24745</v>
      </c>
      <c r="F24" s="6">
        <v>209.5530325</v>
      </c>
      <c r="G24" s="7">
        <v>1.7268913E-2</v>
      </c>
      <c r="H24" s="67"/>
    </row>
    <row r="25" spans="1:8" ht="25.5" x14ac:dyDescent="0.2">
      <c r="A25" s="3">
        <v>19</v>
      </c>
      <c r="B25" s="4" t="s">
        <v>217</v>
      </c>
      <c r="C25" s="4" t="s">
        <v>218</v>
      </c>
      <c r="D25" s="4" t="s">
        <v>55</v>
      </c>
      <c r="E25" s="5">
        <v>9500</v>
      </c>
      <c r="F25" s="6">
        <v>208.40625</v>
      </c>
      <c r="G25" s="7">
        <v>1.7174407999999999E-2</v>
      </c>
      <c r="H25" s="67"/>
    </row>
    <row r="26" spans="1:8" x14ac:dyDescent="0.2">
      <c r="A26" s="3">
        <v>20</v>
      </c>
      <c r="B26" s="4" t="s">
        <v>63</v>
      </c>
      <c r="C26" s="4" t="s">
        <v>64</v>
      </c>
      <c r="D26" s="4" t="s">
        <v>55</v>
      </c>
      <c r="E26" s="5">
        <v>80276</v>
      </c>
      <c r="F26" s="6">
        <v>207.91484</v>
      </c>
      <c r="G26" s="7">
        <v>1.7133912000000001E-2</v>
      </c>
      <c r="H26" s="67"/>
    </row>
    <row r="27" spans="1:8" x14ac:dyDescent="0.2">
      <c r="A27" s="3">
        <v>21</v>
      </c>
      <c r="B27" s="4" t="s">
        <v>198</v>
      </c>
      <c r="C27" s="4" t="s">
        <v>199</v>
      </c>
      <c r="D27" s="4" t="s">
        <v>166</v>
      </c>
      <c r="E27" s="5">
        <v>19362</v>
      </c>
      <c r="F27" s="6">
        <v>189.25386900000001</v>
      </c>
      <c r="G27" s="7">
        <v>1.5596093E-2</v>
      </c>
      <c r="H27" s="67"/>
    </row>
    <row r="28" spans="1:8" x14ac:dyDescent="0.2">
      <c r="A28" s="3">
        <v>22</v>
      </c>
      <c r="B28" s="4" t="s">
        <v>206</v>
      </c>
      <c r="C28" s="4" t="s">
        <v>207</v>
      </c>
      <c r="D28" s="4" t="s">
        <v>187</v>
      </c>
      <c r="E28" s="5">
        <v>27841</v>
      </c>
      <c r="F28" s="6">
        <v>185.58810600000001</v>
      </c>
      <c r="G28" s="7">
        <v>1.5294004E-2</v>
      </c>
      <c r="H28" s="67"/>
    </row>
    <row r="29" spans="1:8" x14ac:dyDescent="0.2">
      <c r="A29" s="3">
        <v>23</v>
      </c>
      <c r="B29" s="4" t="s">
        <v>188</v>
      </c>
      <c r="C29" s="4" t="s">
        <v>189</v>
      </c>
      <c r="D29" s="4" t="s">
        <v>166</v>
      </c>
      <c r="E29" s="5">
        <v>3880</v>
      </c>
      <c r="F29" s="6">
        <v>184.66471999999999</v>
      </c>
      <c r="G29" s="7">
        <v>1.5217909E-2</v>
      </c>
      <c r="H29" s="67"/>
    </row>
    <row r="30" spans="1:8" x14ac:dyDescent="0.2">
      <c r="A30" s="3">
        <v>24</v>
      </c>
      <c r="B30" s="4" t="s">
        <v>192</v>
      </c>
      <c r="C30" s="4" t="s">
        <v>193</v>
      </c>
      <c r="D30" s="4" t="s">
        <v>81</v>
      </c>
      <c r="E30" s="5">
        <v>31556</v>
      </c>
      <c r="F30" s="6">
        <v>180.07431399999999</v>
      </c>
      <c r="G30" s="7">
        <v>1.4839621000000001E-2</v>
      </c>
      <c r="H30" s="67"/>
    </row>
    <row r="31" spans="1:8" x14ac:dyDescent="0.2">
      <c r="A31" s="3">
        <v>25</v>
      </c>
      <c r="B31" s="4" t="s">
        <v>196</v>
      </c>
      <c r="C31" s="4" t="s">
        <v>197</v>
      </c>
      <c r="D31" s="4" t="s">
        <v>1004</v>
      </c>
      <c r="E31" s="5">
        <v>57720</v>
      </c>
      <c r="F31" s="6">
        <v>178.4991</v>
      </c>
      <c r="G31" s="7">
        <v>1.470981E-2</v>
      </c>
      <c r="H31" s="67"/>
    </row>
    <row r="32" spans="1:8" x14ac:dyDescent="0.2">
      <c r="A32" s="3">
        <v>26</v>
      </c>
      <c r="B32" s="4" t="s">
        <v>376</v>
      </c>
      <c r="C32" s="4" t="s">
        <v>377</v>
      </c>
      <c r="D32" s="4" t="s">
        <v>55</v>
      </c>
      <c r="E32" s="5">
        <v>8109</v>
      </c>
      <c r="F32" s="6">
        <v>172.73791800000001</v>
      </c>
      <c r="G32" s="7">
        <v>1.4235041E-2</v>
      </c>
      <c r="H32" s="67"/>
    </row>
    <row r="33" spans="1:8" x14ac:dyDescent="0.2">
      <c r="A33" s="3">
        <v>27</v>
      </c>
      <c r="B33" s="4" t="s">
        <v>223</v>
      </c>
      <c r="C33" s="4" t="s">
        <v>224</v>
      </c>
      <c r="D33" s="4" t="s">
        <v>69</v>
      </c>
      <c r="E33" s="5">
        <v>19637</v>
      </c>
      <c r="F33" s="6">
        <v>169.4182175</v>
      </c>
      <c r="G33" s="7">
        <v>1.396147E-2</v>
      </c>
      <c r="H33" s="67"/>
    </row>
    <row r="34" spans="1:8" ht="25.5" x14ac:dyDescent="0.2">
      <c r="A34" s="3">
        <v>28</v>
      </c>
      <c r="B34" s="4" t="s">
        <v>50</v>
      </c>
      <c r="C34" s="4" t="s">
        <v>51</v>
      </c>
      <c r="D34" s="4" t="s">
        <v>52</v>
      </c>
      <c r="E34" s="5">
        <v>26165</v>
      </c>
      <c r="F34" s="6">
        <v>162.10525749999999</v>
      </c>
      <c r="G34" s="7">
        <v>1.3358821E-2</v>
      </c>
      <c r="H34" s="67"/>
    </row>
    <row r="35" spans="1:8" x14ac:dyDescent="0.2">
      <c r="A35" s="3">
        <v>29</v>
      </c>
      <c r="B35" s="4" t="s">
        <v>172</v>
      </c>
      <c r="C35" s="4" t="s">
        <v>173</v>
      </c>
      <c r="D35" s="4" t="s">
        <v>331</v>
      </c>
      <c r="E35" s="5">
        <v>16794</v>
      </c>
      <c r="F35" s="6">
        <v>160.12239299999999</v>
      </c>
      <c r="G35" s="7">
        <v>1.3195416999999999E-2</v>
      </c>
      <c r="H35" s="67"/>
    </row>
    <row r="36" spans="1:8" x14ac:dyDescent="0.2">
      <c r="A36" s="3">
        <v>30</v>
      </c>
      <c r="B36" s="4" t="s">
        <v>452</v>
      </c>
      <c r="C36" s="4" t="s">
        <v>453</v>
      </c>
      <c r="D36" s="4" t="s">
        <v>27</v>
      </c>
      <c r="E36" s="5">
        <v>19126</v>
      </c>
      <c r="F36" s="6">
        <v>158.73623699999999</v>
      </c>
      <c r="G36" s="7">
        <v>1.3081186E-2</v>
      </c>
      <c r="H36" s="67"/>
    </row>
    <row r="37" spans="1:8" x14ac:dyDescent="0.2">
      <c r="A37" s="3">
        <v>31</v>
      </c>
      <c r="B37" s="4" t="s">
        <v>213</v>
      </c>
      <c r="C37" s="4" t="s">
        <v>214</v>
      </c>
      <c r="D37" s="4" t="s">
        <v>81</v>
      </c>
      <c r="E37" s="5">
        <v>27174</v>
      </c>
      <c r="F37" s="6">
        <v>155.14995300000001</v>
      </c>
      <c r="G37" s="7">
        <v>1.2785647000000001E-2</v>
      </c>
      <c r="H37" s="67"/>
    </row>
    <row r="38" spans="1:8" x14ac:dyDescent="0.2">
      <c r="A38" s="3">
        <v>32</v>
      </c>
      <c r="B38" s="4" t="s">
        <v>194</v>
      </c>
      <c r="C38" s="4" t="s">
        <v>195</v>
      </c>
      <c r="D38" s="4" t="s">
        <v>55</v>
      </c>
      <c r="E38" s="5">
        <v>16048</v>
      </c>
      <c r="F38" s="6">
        <v>154.670624</v>
      </c>
      <c r="G38" s="7">
        <v>1.2746146E-2</v>
      </c>
      <c r="H38" s="67"/>
    </row>
    <row r="39" spans="1:8" x14ac:dyDescent="0.2">
      <c r="A39" s="3">
        <v>33</v>
      </c>
      <c r="B39" s="4" t="s">
        <v>476</v>
      </c>
      <c r="C39" s="4" t="s">
        <v>477</v>
      </c>
      <c r="D39" s="4" t="s">
        <v>16</v>
      </c>
      <c r="E39" s="5">
        <v>108924</v>
      </c>
      <c r="F39" s="6">
        <v>145.95815999999999</v>
      </c>
      <c r="G39" s="7">
        <v>1.2028166E-2</v>
      </c>
      <c r="H39" s="67"/>
    </row>
    <row r="40" spans="1:8" ht="25.5" x14ac:dyDescent="0.2">
      <c r="A40" s="3">
        <v>34</v>
      </c>
      <c r="B40" s="4" t="s">
        <v>478</v>
      </c>
      <c r="C40" s="4" t="s">
        <v>479</v>
      </c>
      <c r="D40" s="4" t="s">
        <v>52</v>
      </c>
      <c r="E40" s="5">
        <v>20000</v>
      </c>
      <c r="F40" s="6">
        <v>143.03</v>
      </c>
      <c r="G40" s="7">
        <v>1.1786862E-2</v>
      </c>
      <c r="H40" s="67"/>
    </row>
    <row r="41" spans="1:8" ht="25.5" x14ac:dyDescent="0.2">
      <c r="A41" s="3">
        <v>35</v>
      </c>
      <c r="B41" s="4" t="s">
        <v>221</v>
      </c>
      <c r="C41" s="4" t="s">
        <v>222</v>
      </c>
      <c r="D41" s="4" t="s">
        <v>36</v>
      </c>
      <c r="E41" s="5">
        <v>162476</v>
      </c>
      <c r="F41" s="6">
        <v>139.56688399999999</v>
      </c>
      <c r="G41" s="7">
        <v>1.1501472E-2</v>
      </c>
      <c r="H41" s="67"/>
    </row>
    <row r="42" spans="1:8" x14ac:dyDescent="0.2">
      <c r="A42" s="3">
        <v>36</v>
      </c>
      <c r="B42" s="4" t="s">
        <v>182</v>
      </c>
      <c r="C42" s="4" t="s">
        <v>183</v>
      </c>
      <c r="D42" s="4" t="s">
        <v>184</v>
      </c>
      <c r="E42" s="5">
        <v>14087</v>
      </c>
      <c r="F42" s="6">
        <v>138.9048635</v>
      </c>
      <c r="G42" s="7">
        <v>1.1446916E-2</v>
      </c>
      <c r="H42" s="67"/>
    </row>
    <row r="43" spans="1:8" x14ac:dyDescent="0.2">
      <c r="A43" s="3">
        <v>37</v>
      </c>
      <c r="B43" s="4" t="s">
        <v>210</v>
      </c>
      <c r="C43" s="4" t="s">
        <v>211</v>
      </c>
      <c r="D43" s="4" t="s">
        <v>212</v>
      </c>
      <c r="E43" s="5">
        <v>54852</v>
      </c>
      <c r="F43" s="6">
        <v>137.51396399999999</v>
      </c>
      <c r="G43" s="7">
        <v>1.1332294E-2</v>
      </c>
      <c r="H43" s="67"/>
    </row>
    <row r="44" spans="1:8" x14ac:dyDescent="0.2">
      <c r="A44" s="3">
        <v>38</v>
      </c>
      <c r="B44" s="4" t="s">
        <v>234</v>
      </c>
      <c r="C44" s="4" t="s">
        <v>235</v>
      </c>
      <c r="D44" s="4" t="s">
        <v>187</v>
      </c>
      <c r="E44" s="5">
        <v>7795</v>
      </c>
      <c r="F44" s="6">
        <v>132.72156749999999</v>
      </c>
      <c r="G44" s="7">
        <v>1.0937361E-2</v>
      </c>
      <c r="H44" s="67"/>
    </row>
    <row r="45" spans="1:8" x14ac:dyDescent="0.2">
      <c r="A45" s="3">
        <v>39</v>
      </c>
      <c r="B45" s="4" t="s">
        <v>232</v>
      </c>
      <c r="C45" s="4" t="s">
        <v>233</v>
      </c>
      <c r="D45" s="4" t="s">
        <v>55</v>
      </c>
      <c r="E45" s="5">
        <v>51244</v>
      </c>
      <c r="F45" s="6">
        <v>129.67294200000001</v>
      </c>
      <c r="G45" s="7">
        <v>1.0686129000000001E-2</v>
      </c>
      <c r="H45" s="67"/>
    </row>
    <row r="46" spans="1:8" x14ac:dyDescent="0.2">
      <c r="A46" s="3">
        <v>40</v>
      </c>
      <c r="B46" s="4" t="s">
        <v>245</v>
      </c>
      <c r="C46" s="4" t="s">
        <v>246</v>
      </c>
      <c r="D46" s="4" t="s">
        <v>81</v>
      </c>
      <c r="E46" s="5">
        <v>254112</v>
      </c>
      <c r="F46" s="6">
        <v>127.69128000000001</v>
      </c>
      <c r="G46" s="7">
        <v>1.0522824E-2</v>
      </c>
      <c r="H46" s="67"/>
    </row>
    <row r="47" spans="1:8" x14ac:dyDescent="0.2">
      <c r="A47" s="3">
        <v>41</v>
      </c>
      <c r="B47" s="4" t="s">
        <v>460</v>
      </c>
      <c r="C47" s="4" t="s">
        <v>461</v>
      </c>
      <c r="D47" s="4" t="s">
        <v>81</v>
      </c>
      <c r="E47" s="5">
        <v>17966</v>
      </c>
      <c r="F47" s="6">
        <v>126.148269</v>
      </c>
      <c r="G47" s="7">
        <v>1.0395667000000001E-2</v>
      </c>
      <c r="H47" s="67"/>
    </row>
    <row r="48" spans="1:8" x14ac:dyDescent="0.2">
      <c r="A48" s="3">
        <v>42</v>
      </c>
      <c r="B48" s="4" t="s">
        <v>32</v>
      </c>
      <c r="C48" s="4" t="s">
        <v>33</v>
      </c>
      <c r="D48" s="4" t="s">
        <v>27</v>
      </c>
      <c r="E48" s="5">
        <v>5688</v>
      </c>
      <c r="F48" s="6">
        <v>125.4915</v>
      </c>
      <c r="G48" s="7">
        <v>1.0341543E-2</v>
      </c>
      <c r="H48" s="67"/>
    </row>
    <row r="49" spans="1:8" ht="25.5" x14ac:dyDescent="0.2">
      <c r="A49" s="3">
        <v>43</v>
      </c>
      <c r="B49" s="4" t="s">
        <v>327</v>
      </c>
      <c r="C49" s="4" t="s">
        <v>328</v>
      </c>
      <c r="D49" s="4" t="s">
        <v>55</v>
      </c>
      <c r="E49" s="5">
        <v>26486</v>
      </c>
      <c r="F49" s="6">
        <v>125.39796699999999</v>
      </c>
      <c r="G49" s="7">
        <v>1.0333835E-2</v>
      </c>
      <c r="H49" s="67"/>
    </row>
    <row r="50" spans="1:8" x14ac:dyDescent="0.2">
      <c r="A50" s="3">
        <v>44</v>
      </c>
      <c r="B50" s="4" t="s">
        <v>227</v>
      </c>
      <c r="C50" s="4" t="s">
        <v>228</v>
      </c>
      <c r="D50" s="4" t="s">
        <v>229</v>
      </c>
      <c r="E50" s="5">
        <v>25816</v>
      </c>
      <c r="F50" s="6">
        <v>123.555376</v>
      </c>
      <c r="G50" s="7">
        <v>1.0181991E-2</v>
      </c>
      <c r="H50" s="67"/>
    </row>
    <row r="51" spans="1:8" x14ac:dyDescent="0.2">
      <c r="A51" s="3">
        <v>45</v>
      </c>
      <c r="B51" s="4" t="s">
        <v>243</v>
      </c>
      <c r="C51" s="4" t="s">
        <v>244</v>
      </c>
      <c r="D51" s="4" t="s">
        <v>171</v>
      </c>
      <c r="E51" s="5">
        <v>33876</v>
      </c>
      <c r="F51" s="6">
        <v>122.8005</v>
      </c>
      <c r="G51" s="7">
        <v>1.0119783E-2</v>
      </c>
      <c r="H51" s="67"/>
    </row>
    <row r="52" spans="1:8" ht="25.5" x14ac:dyDescent="0.2">
      <c r="A52" s="3">
        <v>46</v>
      </c>
      <c r="B52" s="4" t="s">
        <v>230</v>
      </c>
      <c r="C52" s="4" t="s">
        <v>231</v>
      </c>
      <c r="D52" s="4" t="s">
        <v>52</v>
      </c>
      <c r="E52" s="5">
        <v>30368</v>
      </c>
      <c r="F52" s="6">
        <v>122.33748799999999</v>
      </c>
      <c r="G52" s="7">
        <v>1.0081626999999999E-2</v>
      </c>
      <c r="H52" s="67"/>
    </row>
    <row r="53" spans="1:8" ht="25.5" x14ac:dyDescent="0.2">
      <c r="A53" s="3">
        <v>47</v>
      </c>
      <c r="B53" s="4" t="s">
        <v>238</v>
      </c>
      <c r="C53" s="4" t="s">
        <v>239</v>
      </c>
      <c r="D53" s="4" t="s">
        <v>1006</v>
      </c>
      <c r="E53" s="5">
        <v>115940</v>
      </c>
      <c r="F53" s="6">
        <v>119.18631999999999</v>
      </c>
      <c r="G53" s="7">
        <v>9.8219440000000009E-3</v>
      </c>
      <c r="H53" s="67"/>
    </row>
    <row r="54" spans="1:8" x14ac:dyDescent="0.2">
      <c r="A54" s="3">
        <v>48</v>
      </c>
      <c r="B54" s="4" t="s">
        <v>225</v>
      </c>
      <c r="C54" s="4" t="s">
        <v>226</v>
      </c>
      <c r="D54" s="4" t="s">
        <v>166</v>
      </c>
      <c r="E54" s="5">
        <v>8261</v>
      </c>
      <c r="F54" s="6">
        <v>117.942297</v>
      </c>
      <c r="G54" s="7">
        <v>9.7194259999999998E-3</v>
      </c>
      <c r="H54" s="67"/>
    </row>
    <row r="55" spans="1:8" ht="25.5" x14ac:dyDescent="0.2">
      <c r="A55" s="3">
        <v>49</v>
      </c>
      <c r="B55" s="4" t="s">
        <v>240</v>
      </c>
      <c r="C55" s="4" t="s">
        <v>241</v>
      </c>
      <c r="D55" s="4" t="s">
        <v>52</v>
      </c>
      <c r="E55" s="5">
        <v>28703</v>
      </c>
      <c r="F55" s="6">
        <v>115.8883625</v>
      </c>
      <c r="G55" s="7">
        <v>9.5501649999999993E-3</v>
      </c>
      <c r="H55" s="67"/>
    </row>
    <row r="56" spans="1:8" x14ac:dyDescent="0.2">
      <c r="A56" s="3">
        <v>50</v>
      </c>
      <c r="B56" s="4" t="s">
        <v>480</v>
      </c>
      <c r="C56" s="4" t="s">
        <v>481</v>
      </c>
      <c r="D56" s="4" t="s">
        <v>187</v>
      </c>
      <c r="E56" s="5">
        <v>2024</v>
      </c>
      <c r="F56" s="6">
        <v>115.875012</v>
      </c>
      <c r="G56" s="7">
        <v>9.5490650000000007E-3</v>
      </c>
      <c r="H56" s="67"/>
    </row>
    <row r="57" spans="1:8" ht="25.5" x14ac:dyDescent="0.2">
      <c r="A57" s="3">
        <v>51</v>
      </c>
      <c r="B57" s="4" t="s">
        <v>482</v>
      </c>
      <c r="C57" s="4" t="s">
        <v>483</v>
      </c>
      <c r="D57" s="4" t="s">
        <v>52</v>
      </c>
      <c r="E57" s="5">
        <v>801</v>
      </c>
      <c r="F57" s="6">
        <v>111.12753600000001</v>
      </c>
      <c r="G57" s="7">
        <v>9.1578330000000006E-3</v>
      </c>
      <c r="H57" s="67"/>
    </row>
    <row r="58" spans="1:8" x14ac:dyDescent="0.2">
      <c r="A58" s="3">
        <v>52</v>
      </c>
      <c r="B58" s="4" t="s">
        <v>262</v>
      </c>
      <c r="C58" s="4" t="s">
        <v>263</v>
      </c>
      <c r="D58" s="4" t="s">
        <v>171</v>
      </c>
      <c r="E58" s="5">
        <v>16139</v>
      </c>
      <c r="F58" s="6">
        <v>109.374003</v>
      </c>
      <c r="G58" s="7">
        <v>9.0133279999999993E-3</v>
      </c>
      <c r="H58" s="67"/>
    </row>
    <row r="59" spans="1:8" ht="25.5" x14ac:dyDescent="0.2">
      <c r="A59" s="3">
        <v>53</v>
      </c>
      <c r="B59" s="4" t="s">
        <v>484</v>
      </c>
      <c r="C59" s="4" t="s">
        <v>996</v>
      </c>
      <c r="D59" s="4" t="s">
        <v>69</v>
      </c>
      <c r="E59" s="5">
        <v>138600</v>
      </c>
      <c r="F59" s="6">
        <v>108.4545</v>
      </c>
      <c r="G59" s="7">
        <v>8.9375530000000009E-3</v>
      </c>
      <c r="H59" s="67"/>
    </row>
    <row r="60" spans="1:8" x14ac:dyDescent="0.2">
      <c r="A60" s="3">
        <v>54</v>
      </c>
      <c r="B60" s="4" t="s">
        <v>485</v>
      </c>
      <c r="C60" s="4" t="s">
        <v>486</v>
      </c>
      <c r="D60" s="4" t="s">
        <v>46</v>
      </c>
      <c r="E60" s="5">
        <v>103230</v>
      </c>
      <c r="F60" s="6">
        <v>105.036525</v>
      </c>
      <c r="G60" s="7">
        <v>8.6558829999999996E-3</v>
      </c>
      <c r="H60" s="67"/>
    </row>
    <row r="61" spans="1:8" x14ac:dyDescent="0.2">
      <c r="A61" s="3">
        <v>55</v>
      </c>
      <c r="B61" s="4" t="s">
        <v>255</v>
      </c>
      <c r="C61" s="4" t="s">
        <v>256</v>
      </c>
      <c r="D61" s="4" t="s">
        <v>331</v>
      </c>
      <c r="E61" s="5">
        <v>7010</v>
      </c>
      <c r="F61" s="6">
        <v>104.34385</v>
      </c>
      <c r="G61" s="7">
        <v>8.5988009999999997E-3</v>
      </c>
      <c r="H61" s="67"/>
    </row>
    <row r="62" spans="1:8" x14ac:dyDescent="0.2">
      <c r="A62" s="3">
        <v>56</v>
      </c>
      <c r="B62" s="4" t="s">
        <v>259</v>
      </c>
      <c r="C62" s="4" t="s">
        <v>260</v>
      </c>
      <c r="D62" s="4" t="s">
        <v>261</v>
      </c>
      <c r="E62" s="5">
        <v>13982</v>
      </c>
      <c r="F62" s="6">
        <v>103.641575</v>
      </c>
      <c r="G62" s="7">
        <v>8.5409279999999997E-3</v>
      </c>
      <c r="H62" s="67"/>
    </row>
    <row r="63" spans="1:8" x14ac:dyDescent="0.2">
      <c r="A63" s="3">
        <v>57</v>
      </c>
      <c r="B63" s="4" t="s">
        <v>253</v>
      </c>
      <c r="C63" s="4" t="s">
        <v>254</v>
      </c>
      <c r="D63" s="4" t="s">
        <v>49</v>
      </c>
      <c r="E63" s="5">
        <v>9697</v>
      </c>
      <c r="F63" s="6">
        <v>102.20638</v>
      </c>
      <c r="G63" s="7">
        <v>8.4226560000000006E-3</v>
      </c>
      <c r="H63" s="67"/>
    </row>
    <row r="64" spans="1:8" x14ac:dyDescent="0.2">
      <c r="A64" s="3">
        <v>58</v>
      </c>
      <c r="B64" s="4" t="s">
        <v>257</v>
      </c>
      <c r="C64" s="4" t="s">
        <v>258</v>
      </c>
      <c r="D64" s="4" t="s">
        <v>1001</v>
      </c>
      <c r="E64" s="5">
        <v>73425</v>
      </c>
      <c r="F64" s="6">
        <v>91.854675</v>
      </c>
      <c r="G64" s="7">
        <v>7.5695889999999998E-3</v>
      </c>
      <c r="H64" s="67"/>
    </row>
    <row r="65" spans="1:8" x14ac:dyDescent="0.2">
      <c r="A65" s="3">
        <v>59</v>
      </c>
      <c r="B65" s="4" t="s">
        <v>277</v>
      </c>
      <c r="C65" s="4" t="s">
        <v>278</v>
      </c>
      <c r="D65" s="4" t="s">
        <v>187</v>
      </c>
      <c r="E65" s="5">
        <v>23079</v>
      </c>
      <c r="F65" s="6">
        <v>90.215811000000002</v>
      </c>
      <c r="G65" s="7">
        <v>7.4345330000000001E-3</v>
      </c>
      <c r="H65" s="67"/>
    </row>
    <row r="66" spans="1:8" x14ac:dyDescent="0.2">
      <c r="A66" s="3">
        <v>60</v>
      </c>
      <c r="B66" s="4" t="s">
        <v>270</v>
      </c>
      <c r="C66" s="4" t="s">
        <v>271</v>
      </c>
      <c r="D66" s="4" t="s">
        <v>272</v>
      </c>
      <c r="E66" s="5">
        <v>36994</v>
      </c>
      <c r="F66" s="6">
        <v>84.068865000000002</v>
      </c>
      <c r="G66" s="7">
        <v>6.9279739999999999E-3</v>
      </c>
      <c r="H66" s="67"/>
    </row>
    <row r="67" spans="1:8" x14ac:dyDescent="0.2">
      <c r="A67" s="3">
        <v>61</v>
      </c>
      <c r="B67" s="4" t="s">
        <v>273</v>
      </c>
      <c r="C67" s="4" t="s">
        <v>274</v>
      </c>
      <c r="D67" s="4" t="s">
        <v>187</v>
      </c>
      <c r="E67" s="5">
        <v>1438</v>
      </c>
      <c r="F67" s="6">
        <v>78.218571999999995</v>
      </c>
      <c r="G67" s="7">
        <v>6.4458609999999998E-3</v>
      </c>
      <c r="H67" s="67"/>
    </row>
    <row r="68" spans="1:8" x14ac:dyDescent="0.2">
      <c r="A68" s="3">
        <v>62</v>
      </c>
      <c r="B68" s="4" t="s">
        <v>279</v>
      </c>
      <c r="C68" s="4" t="s">
        <v>280</v>
      </c>
      <c r="D68" s="4" t="s">
        <v>1003</v>
      </c>
      <c r="E68" s="5">
        <v>4651</v>
      </c>
      <c r="F68" s="6">
        <v>70.581250499999996</v>
      </c>
      <c r="G68" s="7">
        <v>5.8164820000000004E-3</v>
      </c>
      <c r="H68" s="67"/>
    </row>
    <row r="69" spans="1:8" x14ac:dyDescent="0.2">
      <c r="A69" s="3">
        <v>63</v>
      </c>
      <c r="B69" s="4" t="s">
        <v>283</v>
      </c>
      <c r="C69" s="4" t="s">
        <v>284</v>
      </c>
      <c r="D69" s="4" t="s">
        <v>166</v>
      </c>
      <c r="E69" s="5">
        <v>14362</v>
      </c>
      <c r="F69" s="6">
        <v>65.067041000000003</v>
      </c>
      <c r="G69" s="7">
        <v>5.3620650000000001E-3</v>
      </c>
      <c r="H69" s="67"/>
    </row>
    <row r="70" spans="1:8" x14ac:dyDescent="0.2">
      <c r="A70" s="3">
        <v>64</v>
      </c>
      <c r="B70" s="4" t="s">
        <v>458</v>
      </c>
      <c r="C70" s="4" t="s">
        <v>459</v>
      </c>
      <c r="D70" s="4" t="s">
        <v>55</v>
      </c>
      <c r="E70" s="5">
        <v>6000</v>
      </c>
      <c r="F70" s="6">
        <v>46.497</v>
      </c>
      <c r="G70" s="7">
        <v>3.8317400000000001E-3</v>
      </c>
      <c r="H70" s="67"/>
    </row>
    <row r="71" spans="1:8" x14ac:dyDescent="0.2">
      <c r="A71" s="3">
        <v>65</v>
      </c>
      <c r="B71" s="4" t="s">
        <v>287</v>
      </c>
      <c r="C71" s="4" t="s">
        <v>288</v>
      </c>
      <c r="D71" s="4" t="s">
        <v>1001</v>
      </c>
      <c r="E71" s="5">
        <v>5520</v>
      </c>
      <c r="F71" s="6">
        <v>24.842759999999998</v>
      </c>
      <c r="G71" s="7">
        <v>2.04725E-3</v>
      </c>
      <c r="H71" s="67"/>
    </row>
    <row r="72" spans="1:8" ht="25.5" x14ac:dyDescent="0.2">
      <c r="A72" s="3">
        <v>66</v>
      </c>
      <c r="B72" s="4" t="s">
        <v>264</v>
      </c>
      <c r="C72" s="4" t="s">
        <v>265</v>
      </c>
      <c r="D72" s="4" t="s">
        <v>153</v>
      </c>
      <c r="E72" s="5">
        <v>5712</v>
      </c>
      <c r="F72" s="6">
        <v>18.998111999999999</v>
      </c>
      <c r="G72" s="7">
        <v>1.5656019999999999E-3</v>
      </c>
      <c r="H72" s="67"/>
    </row>
    <row r="73" spans="1:8" x14ac:dyDescent="0.2">
      <c r="A73" s="1"/>
      <c r="B73" s="1"/>
      <c r="C73" s="2" t="s">
        <v>105</v>
      </c>
      <c r="D73" s="1"/>
      <c r="E73" s="1" t="s">
        <v>106</v>
      </c>
      <c r="F73" s="9">
        <v>11590.9991305</v>
      </c>
      <c r="G73" s="10">
        <v>0.95519473399999999</v>
      </c>
      <c r="H73" s="67"/>
    </row>
    <row r="74" spans="1:8" x14ac:dyDescent="0.2">
      <c r="A74" s="1"/>
      <c r="B74" s="1"/>
      <c r="C74" s="11"/>
      <c r="D74" s="1"/>
      <c r="E74" s="1"/>
      <c r="F74" s="12"/>
      <c r="G74" s="12"/>
      <c r="H74" s="67"/>
    </row>
    <row r="75" spans="1:8" x14ac:dyDescent="0.2">
      <c r="A75" s="1"/>
      <c r="B75" s="1"/>
      <c r="C75" s="2" t="s">
        <v>107</v>
      </c>
      <c r="D75" s="1"/>
      <c r="E75" s="1"/>
      <c r="F75" s="1"/>
      <c r="G75" s="1"/>
      <c r="H75" s="67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">
        <v>0</v>
      </c>
      <c r="H76" s="67"/>
    </row>
    <row r="77" spans="1:8" x14ac:dyDescent="0.2">
      <c r="A77" s="1"/>
      <c r="B77" s="1"/>
      <c r="C77" s="11"/>
      <c r="D77" s="1"/>
      <c r="E77" s="1"/>
      <c r="F77" s="12"/>
      <c r="G77" s="12"/>
      <c r="H77" s="67"/>
    </row>
    <row r="78" spans="1:8" x14ac:dyDescent="0.2">
      <c r="A78" s="1"/>
      <c r="B78" s="1"/>
      <c r="C78" s="2" t="s">
        <v>108</v>
      </c>
      <c r="D78" s="1"/>
      <c r="E78" s="1"/>
      <c r="F78" s="1"/>
      <c r="G78" s="1"/>
      <c r="H78" s="67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">
        <v>0</v>
      </c>
      <c r="H79" s="67"/>
    </row>
    <row r="80" spans="1:8" x14ac:dyDescent="0.2">
      <c r="A80" s="1"/>
      <c r="B80" s="1"/>
      <c r="C80" s="11"/>
      <c r="D80" s="1"/>
      <c r="E80" s="1"/>
      <c r="F80" s="12"/>
      <c r="G80" s="12"/>
      <c r="H80" s="67"/>
    </row>
    <row r="81" spans="1:8" x14ac:dyDescent="0.2">
      <c r="A81" s="1"/>
      <c r="B81" s="1"/>
      <c r="C81" s="2" t="s">
        <v>109</v>
      </c>
      <c r="D81" s="1"/>
      <c r="E81" s="1"/>
      <c r="F81" s="1"/>
      <c r="G81" s="1"/>
      <c r="H81" s="67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">
        <v>0</v>
      </c>
      <c r="H82" s="67"/>
    </row>
    <row r="83" spans="1:8" x14ac:dyDescent="0.2">
      <c r="A83" s="1"/>
      <c r="B83" s="1"/>
      <c r="C83" s="11"/>
      <c r="D83" s="1"/>
      <c r="E83" s="1"/>
      <c r="F83" s="12"/>
      <c r="G83" s="12"/>
      <c r="H83" s="67"/>
    </row>
    <row r="84" spans="1:8" x14ac:dyDescent="0.2">
      <c r="A84" s="1"/>
      <c r="B84" s="1"/>
      <c r="C84" s="2" t="s">
        <v>110</v>
      </c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7"/>
    </row>
    <row r="86" spans="1:8" x14ac:dyDescent="0.2">
      <c r="A86" s="1"/>
      <c r="B86" s="1"/>
      <c r="C86" s="11"/>
      <c r="D86" s="1"/>
      <c r="E86" s="1"/>
      <c r="F86" s="12"/>
      <c r="G86" s="12"/>
      <c r="H86" s="67"/>
    </row>
    <row r="87" spans="1:8" x14ac:dyDescent="0.2">
      <c r="A87" s="1"/>
      <c r="B87" s="1"/>
      <c r="C87" s="2" t="s">
        <v>111</v>
      </c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">
        <v>0</v>
      </c>
      <c r="H88" s="67"/>
    </row>
    <row r="89" spans="1:8" x14ac:dyDescent="0.2">
      <c r="A89" s="1"/>
      <c r="B89" s="1"/>
      <c r="C89" s="11"/>
      <c r="D89" s="1"/>
      <c r="E89" s="1"/>
      <c r="F89" s="12"/>
      <c r="G89" s="12"/>
      <c r="H89" s="67"/>
    </row>
    <row r="90" spans="1:8" x14ac:dyDescent="0.2">
      <c r="A90" s="1"/>
      <c r="B90" s="1"/>
      <c r="C90" s="2" t="s">
        <v>112</v>
      </c>
      <c r="D90" s="1"/>
      <c r="E90" s="1"/>
      <c r="F90" s="9">
        <v>11590.9991305</v>
      </c>
      <c r="G90" s="10">
        <v>0.95519473399999999</v>
      </c>
      <c r="H90" s="67"/>
    </row>
    <row r="91" spans="1:8" x14ac:dyDescent="0.2">
      <c r="A91" s="1"/>
      <c r="B91" s="1"/>
      <c r="C91" s="11"/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113</v>
      </c>
      <c r="D92" s="1"/>
      <c r="E92" s="1"/>
      <c r="F92" s="12"/>
      <c r="G92" s="12"/>
      <c r="H92" s="67"/>
    </row>
    <row r="93" spans="1:8" ht="25.5" x14ac:dyDescent="0.2">
      <c r="A93" s="1"/>
      <c r="B93" s="1"/>
      <c r="C93" s="2" t="s">
        <v>10</v>
      </c>
      <c r="D93" s="1"/>
      <c r="E93" s="1"/>
      <c r="F93" s="12"/>
      <c r="G93" s="12"/>
      <c r="H93" s="67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">
        <v>0</v>
      </c>
      <c r="H94" s="67"/>
    </row>
    <row r="95" spans="1:8" x14ac:dyDescent="0.2">
      <c r="A95" s="1"/>
      <c r="B95" s="1"/>
      <c r="C95" s="11"/>
      <c r="D95" s="1"/>
      <c r="E95" s="1"/>
      <c r="F95" s="12"/>
      <c r="G95" s="12"/>
      <c r="H95" s="67"/>
    </row>
    <row r="96" spans="1:8" x14ac:dyDescent="0.2">
      <c r="A96" s="1"/>
      <c r="B96" s="1"/>
      <c r="C96" s="2" t="s">
        <v>114</v>
      </c>
      <c r="D96" s="1"/>
      <c r="E96" s="1"/>
      <c r="F96" s="1"/>
      <c r="G96" s="1"/>
      <c r="H96" s="67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">
        <v>0</v>
      </c>
      <c r="H97" s="67"/>
    </row>
    <row r="98" spans="1:8" x14ac:dyDescent="0.2">
      <c r="A98" s="1"/>
      <c r="B98" s="1"/>
      <c r="C98" s="11"/>
      <c r="D98" s="1"/>
      <c r="E98" s="1"/>
      <c r="F98" s="12"/>
      <c r="G98" s="12"/>
      <c r="H98" s="67"/>
    </row>
    <row r="99" spans="1:8" x14ac:dyDescent="0.2">
      <c r="A99" s="1"/>
      <c r="B99" s="1"/>
      <c r="C99" s="2" t="s">
        <v>115</v>
      </c>
      <c r="D99" s="1"/>
      <c r="E99" s="1"/>
      <c r="F99" s="1"/>
      <c r="G99" s="1"/>
      <c r="H99" s="67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7"/>
    </row>
    <row r="101" spans="1:8" x14ac:dyDescent="0.2">
      <c r="A101" s="1"/>
      <c r="B101" s="1"/>
      <c r="C101" s="11"/>
      <c r="D101" s="1"/>
      <c r="E101" s="1"/>
      <c r="F101" s="12"/>
      <c r="G101" s="12"/>
      <c r="H101" s="67"/>
    </row>
    <row r="102" spans="1:8" x14ac:dyDescent="0.2">
      <c r="A102" s="1"/>
      <c r="B102" s="1"/>
      <c r="C102" s="2" t="s">
        <v>116</v>
      </c>
      <c r="D102" s="1"/>
      <c r="E102" s="1"/>
      <c r="F102" s="12"/>
      <c r="G102" s="12"/>
      <c r="H102" s="67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">
        <v>0</v>
      </c>
      <c r="H103" s="67"/>
    </row>
    <row r="104" spans="1:8" x14ac:dyDescent="0.2">
      <c r="A104" s="1"/>
      <c r="B104" s="1"/>
      <c r="C104" s="11"/>
      <c r="D104" s="1"/>
      <c r="E104" s="1"/>
      <c r="F104" s="12"/>
      <c r="G104" s="12"/>
      <c r="H104" s="67"/>
    </row>
    <row r="105" spans="1:8" x14ac:dyDescent="0.2">
      <c r="A105" s="1"/>
      <c r="B105" s="1"/>
      <c r="C105" s="2" t="s">
        <v>117</v>
      </c>
      <c r="D105" s="1"/>
      <c r="E105" s="1"/>
      <c r="F105" s="9">
        <v>0</v>
      </c>
      <c r="G105" s="10">
        <v>0</v>
      </c>
      <c r="H105" s="67"/>
    </row>
    <row r="106" spans="1:8" x14ac:dyDescent="0.2">
      <c r="A106" s="1"/>
      <c r="B106" s="1"/>
      <c r="C106" s="11"/>
      <c r="D106" s="1"/>
      <c r="E106" s="1"/>
      <c r="F106" s="12"/>
      <c r="G106" s="12"/>
      <c r="H106" s="67"/>
    </row>
    <row r="107" spans="1:8" x14ac:dyDescent="0.2">
      <c r="A107" s="1"/>
      <c r="B107" s="1"/>
      <c r="C107" s="2" t="s">
        <v>118</v>
      </c>
      <c r="D107" s="1"/>
      <c r="E107" s="1"/>
      <c r="F107" s="12"/>
      <c r="G107" s="12"/>
      <c r="H107" s="67"/>
    </row>
    <row r="108" spans="1:8" x14ac:dyDescent="0.2">
      <c r="A108" s="1"/>
      <c r="B108" s="1"/>
      <c r="C108" s="2" t="s">
        <v>119</v>
      </c>
      <c r="D108" s="1"/>
      <c r="E108" s="1"/>
      <c r="F108" s="12"/>
      <c r="G108" s="12"/>
      <c r="H108" s="67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">
        <v>0</v>
      </c>
      <c r="H109" s="67"/>
    </row>
    <row r="110" spans="1:8" x14ac:dyDescent="0.2">
      <c r="A110" s="1"/>
      <c r="B110" s="1"/>
      <c r="C110" s="11"/>
      <c r="D110" s="1"/>
      <c r="E110" s="1"/>
      <c r="F110" s="12"/>
      <c r="G110" s="12"/>
      <c r="H110" s="67"/>
    </row>
    <row r="111" spans="1:8" x14ac:dyDescent="0.2">
      <c r="A111" s="1"/>
      <c r="B111" s="1"/>
      <c r="C111" s="2" t="s">
        <v>120</v>
      </c>
      <c r="D111" s="1"/>
      <c r="E111" s="1"/>
      <c r="F111" s="12"/>
      <c r="G111" s="12"/>
      <c r="H111" s="67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">
        <v>0</v>
      </c>
      <c r="H112" s="67"/>
    </row>
    <row r="113" spans="1:8" x14ac:dyDescent="0.2">
      <c r="A113" s="1"/>
      <c r="B113" s="1"/>
      <c r="C113" s="11"/>
      <c r="D113" s="1"/>
      <c r="E113" s="1"/>
      <c r="F113" s="12"/>
      <c r="G113" s="12"/>
      <c r="H113" s="67"/>
    </row>
    <row r="114" spans="1:8" x14ac:dyDescent="0.2">
      <c r="A114" s="1"/>
      <c r="B114" s="1"/>
      <c r="C114" s="2" t="s">
        <v>121</v>
      </c>
      <c r="D114" s="1"/>
      <c r="E114" s="1"/>
      <c r="F114" s="12"/>
      <c r="G114" s="12"/>
      <c r="H114" s="67"/>
    </row>
    <row r="115" spans="1:8" x14ac:dyDescent="0.2">
      <c r="A115" s="1"/>
      <c r="B115" s="1"/>
      <c r="C115" s="2" t="s">
        <v>105</v>
      </c>
      <c r="D115" s="1"/>
      <c r="E115" s="1" t="s">
        <v>106</v>
      </c>
      <c r="F115" s="13">
        <v>0</v>
      </c>
      <c r="G115" s="14">
        <v>0</v>
      </c>
      <c r="H115" s="67"/>
    </row>
    <row r="116" spans="1:8" x14ac:dyDescent="0.2">
      <c r="A116" s="1"/>
      <c r="B116" s="1"/>
      <c r="C116" s="11"/>
      <c r="D116" s="1"/>
      <c r="E116" s="1"/>
      <c r="F116" s="12"/>
      <c r="G116" s="12"/>
      <c r="H116" s="67"/>
    </row>
    <row r="117" spans="1:8" x14ac:dyDescent="0.2">
      <c r="A117" s="1"/>
      <c r="B117" s="1"/>
      <c r="C117" s="2" t="s">
        <v>122</v>
      </c>
      <c r="D117" s="1"/>
      <c r="E117" s="1"/>
      <c r="F117" s="12"/>
      <c r="G117" s="12"/>
      <c r="H117" s="67"/>
    </row>
    <row r="118" spans="1:8" x14ac:dyDescent="0.2">
      <c r="A118" s="3">
        <v>1</v>
      </c>
      <c r="B118" s="4"/>
      <c r="C118" s="4" t="s">
        <v>123</v>
      </c>
      <c r="D118" s="4"/>
      <c r="E118" s="8"/>
      <c r="F118" s="6">
        <v>542.65524100000005</v>
      </c>
      <c r="G118" s="7">
        <v>4.4719305000000001E-2</v>
      </c>
      <c r="H118" s="67">
        <v>3.1047477660654299</v>
      </c>
    </row>
    <row r="119" spans="1:8" x14ac:dyDescent="0.2">
      <c r="A119" s="1"/>
      <c r="B119" s="1"/>
      <c r="C119" s="2" t="s">
        <v>105</v>
      </c>
      <c r="D119" s="1"/>
      <c r="E119" s="1" t="s">
        <v>106</v>
      </c>
      <c r="F119" s="9">
        <v>542.65524100000005</v>
      </c>
      <c r="G119" s="10">
        <v>4.4719305000000001E-2</v>
      </c>
      <c r="H119" s="67"/>
    </row>
    <row r="120" spans="1:8" x14ac:dyDescent="0.2">
      <c r="A120" s="1"/>
      <c r="B120" s="1"/>
      <c r="C120" s="11"/>
      <c r="D120" s="1"/>
      <c r="E120" s="1"/>
      <c r="F120" s="12"/>
      <c r="G120" s="12"/>
      <c r="H120" s="67"/>
    </row>
    <row r="121" spans="1:8" x14ac:dyDescent="0.2">
      <c r="A121" s="1"/>
      <c r="B121" s="1"/>
      <c r="C121" s="2" t="s">
        <v>124</v>
      </c>
      <c r="D121" s="1"/>
      <c r="E121" s="1"/>
      <c r="F121" s="9">
        <v>542.65524100000005</v>
      </c>
      <c r="G121" s="10">
        <v>4.4719305000000001E-2</v>
      </c>
      <c r="H121" s="67"/>
    </row>
    <row r="122" spans="1:8" x14ac:dyDescent="0.2">
      <c r="A122" s="1"/>
      <c r="B122" s="1"/>
      <c r="C122" s="12"/>
      <c r="D122" s="1"/>
      <c r="E122" s="1"/>
      <c r="F122" s="1"/>
      <c r="G122" s="1"/>
      <c r="H122" s="67"/>
    </row>
    <row r="123" spans="1:8" x14ac:dyDescent="0.2">
      <c r="A123" s="1"/>
      <c r="B123" s="1"/>
      <c r="C123" s="2" t="s">
        <v>125</v>
      </c>
      <c r="D123" s="1"/>
      <c r="E123" s="1"/>
      <c r="F123" s="1"/>
      <c r="G123" s="1"/>
      <c r="H123" s="67"/>
    </row>
    <row r="124" spans="1:8" x14ac:dyDescent="0.2">
      <c r="A124" s="1"/>
      <c r="B124" s="1"/>
      <c r="C124" s="2" t="s">
        <v>126</v>
      </c>
      <c r="D124" s="1"/>
      <c r="E124" s="1"/>
      <c r="F124" s="1"/>
      <c r="G124" s="1"/>
      <c r="H124" s="67"/>
    </row>
    <row r="125" spans="1:8" x14ac:dyDescent="0.2">
      <c r="A125" s="1"/>
      <c r="B125" s="1"/>
      <c r="C125" s="2" t="s">
        <v>105</v>
      </c>
      <c r="D125" s="1"/>
      <c r="E125" s="1" t="s">
        <v>106</v>
      </c>
      <c r="F125" s="13">
        <v>0</v>
      </c>
      <c r="G125" s="14">
        <v>0</v>
      </c>
      <c r="H125" s="67"/>
    </row>
    <row r="126" spans="1:8" x14ac:dyDescent="0.2">
      <c r="A126" s="1"/>
      <c r="B126" s="1"/>
      <c r="C126" s="11"/>
      <c r="D126" s="1"/>
      <c r="E126" s="1"/>
      <c r="F126" s="12"/>
      <c r="G126" s="12"/>
      <c r="H126" s="67"/>
    </row>
    <row r="127" spans="1:8" x14ac:dyDescent="0.2">
      <c r="A127" s="1"/>
      <c r="B127" s="1"/>
      <c r="C127" s="2" t="s">
        <v>127</v>
      </c>
      <c r="D127" s="1"/>
      <c r="E127" s="1"/>
      <c r="F127" s="1"/>
      <c r="G127" s="1"/>
      <c r="H127" s="67"/>
    </row>
    <row r="128" spans="1:8" x14ac:dyDescent="0.2">
      <c r="A128" s="1"/>
      <c r="B128" s="1"/>
      <c r="C128" s="2" t="s">
        <v>128</v>
      </c>
      <c r="D128" s="1"/>
      <c r="E128" s="1"/>
      <c r="F128" s="1"/>
      <c r="G128" s="1"/>
      <c r="H128" s="67"/>
    </row>
    <row r="129" spans="1:8" x14ac:dyDescent="0.2">
      <c r="A129" s="1"/>
      <c r="B129" s="1"/>
      <c r="C129" s="2" t="s">
        <v>105</v>
      </c>
      <c r="D129" s="1"/>
      <c r="E129" s="1" t="s">
        <v>106</v>
      </c>
      <c r="F129" s="13">
        <v>0</v>
      </c>
      <c r="G129" s="14">
        <v>0</v>
      </c>
      <c r="H129" s="67"/>
    </row>
    <row r="130" spans="1:8" x14ac:dyDescent="0.2">
      <c r="A130" s="1"/>
      <c r="B130" s="1"/>
      <c r="C130" s="11"/>
      <c r="D130" s="1"/>
      <c r="E130" s="1"/>
      <c r="F130" s="12"/>
      <c r="G130" s="12"/>
      <c r="H130" s="67"/>
    </row>
    <row r="131" spans="1:8" x14ac:dyDescent="0.2">
      <c r="A131" s="1"/>
      <c r="B131" s="1"/>
      <c r="C131" s="11"/>
      <c r="D131" s="1"/>
      <c r="E131" s="1"/>
      <c r="F131" s="12"/>
      <c r="G131" s="12"/>
      <c r="H131" s="67"/>
    </row>
    <row r="132" spans="1:8" ht="25.5" x14ac:dyDescent="0.2">
      <c r="A132" s="1"/>
      <c r="B132" s="1"/>
      <c r="C132" s="2" t="s">
        <v>129</v>
      </c>
      <c r="D132" s="1"/>
      <c r="E132" s="1"/>
      <c r="F132" s="12"/>
      <c r="G132" s="12"/>
      <c r="H132" s="67"/>
    </row>
    <row r="133" spans="1:8" x14ac:dyDescent="0.2">
      <c r="A133" s="1"/>
      <c r="B133" s="1"/>
      <c r="C133" s="2" t="s">
        <v>105</v>
      </c>
      <c r="D133" s="1"/>
      <c r="E133" s="1" t="s">
        <v>106</v>
      </c>
      <c r="F133" s="13">
        <v>0</v>
      </c>
      <c r="G133" s="14">
        <v>0</v>
      </c>
      <c r="H133" s="67"/>
    </row>
    <row r="134" spans="1:8" x14ac:dyDescent="0.2">
      <c r="A134" s="1"/>
      <c r="B134" s="1"/>
      <c r="C134" s="11"/>
      <c r="D134" s="1"/>
      <c r="E134" s="1"/>
      <c r="F134" s="12"/>
      <c r="G134" s="12"/>
      <c r="H134" s="67"/>
    </row>
    <row r="135" spans="1:8" x14ac:dyDescent="0.2">
      <c r="A135" s="1"/>
      <c r="B135" s="4"/>
      <c r="C135" s="4"/>
      <c r="D135" s="2"/>
      <c r="E135" s="1"/>
      <c r="F135" s="4"/>
      <c r="G135" s="8"/>
      <c r="H135" s="67"/>
    </row>
    <row r="136" spans="1:8" x14ac:dyDescent="0.2">
      <c r="A136" s="8"/>
      <c r="B136" s="4"/>
      <c r="C136" s="4" t="s">
        <v>130</v>
      </c>
      <c r="D136" s="4"/>
      <c r="E136" s="8"/>
      <c r="F136" s="6">
        <v>1.0431233099999999</v>
      </c>
      <c r="G136" s="7">
        <v>8.5962000000000001E-5</v>
      </c>
      <c r="H136" s="67"/>
    </row>
    <row r="137" spans="1:8" x14ac:dyDescent="0.2">
      <c r="A137" s="11"/>
      <c r="B137" s="11"/>
      <c r="C137" s="2" t="s">
        <v>131</v>
      </c>
      <c r="D137" s="15"/>
      <c r="E137" s="15"/>
      <c r="F137" s="9">
        <v>12134.69749481</v>
      </c>
      <c r="G137" s="10">
        <v>1.0000000010000001</v>
      </c>
      <c r="H137" s="67"/>
    </row>
    <row r="138" spans="1:8" ht="14.1" customHeight="1" x14ac:dyDescent="0.2">
      <c r="A138" s="16"/>
      <c r="B138" s="16"/>
      <c r="C138" s="16"/>
      <c r="D138" s="17"/>
      <c r="E138" s="17"/>
      <c r="F138" s="17"/>
      <c r="G138" s="17"/>
    </row>
    <row r="139" spans="1:8" ht="14.1" customHeight="1" x14ac:dyDescent="0.2">
      <c r="A139" s="18"/>
      <c r="B139" s="170" t="s">
        <v>106</v>
      </c>
      <c r="C139" s="170"/>
      <c r="D139" s="170"/>
      <c r="E139" s="170"/>
      <c r="F139" s="170"/>
      <c r="G139" s="20"/>
    </row>
    <row r="140" spans="1:8" ht="14.1" customHeight="1" x14ac:dyDescent="0.2">
      <c r="A140" s="18"/>
      <c r="B140" s="170" t="s">
        <v>106</v>
      </c>
      <c r="C140" s="170"/>
      <c r="D140" s="170"/>
      <c r="E140" s="170"/>
      <c r="F140" s="170"/>
      <c r="G140" s="20"/>
    </row>
    <row r="141" spans="1:8" ht="14.1" customHeight="1" x14ac:dyDescent="0.2">
      <c r="A141" s="18"/>
      <c r="B141" s="18"/>
      <c r="C141" s="18"/>
      <c r="D141" s="20"/>
      <c r="E141" s="20"/>
      <c r="F141" s="20"/>
      <c r="G141" s="20"/>
    </row>
    <row r="142" spans="1:8" ht="14.1" customHeight="1" x14ac:dyDescent="0.2">
      <c r="A142" s="18"/>
      <c r="B142" s="168" t="s">
        <v>133</v>
      </c>
      <c r="C142" s="169"/>
      <c r="D142" s="12" t="s">
        <v>106</v>
      </c>
      <c r="E142" s="21"/>
      <c r="F142" s="20"/>
      <c r="G142" s="20"/>
    </row>
    <row r="143" spans="1:8" ht="29.1" customHeight="1" x14ac:dyDescent="0.2">
      <c r="A143" s="18"/>
      <c r="B143" s="165" t="s">
        <v>134</v>
      </c>
      <c r="C143" s="166"/>
      <c r="D143" s="2" t="s">
        <v>135</v>
      </c>
      <c r="E143" s="21"/>
      <c r="F143" s="20"/>
      <c r="G143" s="20"/>
    </row>
    <row r="144" spans="1:8" ht="17.100000000000001" customHeight="1" x14ac:dyDescent="0.2">
      <c r="A144" s="18"/>
      <c r="B144" s="165" t="s">
        <v>136</v>
      </c>
      <c r="C144" s="166"/>
      <c r="D144" s="2" t="s">
        <v>135</v>
      </c>
      <c r="E144" s="21"/>
      <c r="F144" s="20"/>
      <c r="G144" s="20"/>
    </row>
    <row r="145" spans="1:7" ht="17.100000000000001" customHeight="1" x14ac:dyDescent="0.2">
      <c r="A145" s="18"/>
      <c r="B145" s="165" t="s">
        <v>137</v>
      </c>
      <c r="C145" s="166"/>
      <c r="D145" s="12" t="s">
        <v>106</v>
      </c>
      <c r="E145" s="21"/>
      <c r="F145" s="20"/>
      <c r="G145" s="20"/>
    </row>
    <row r="146" spans="1:7" ht="24" customHeight="1" x14ac:dyDescent="0.2">
      <c r="A146" s="22"/>
      <c r="B146" s="23" t="s">
        <v>106</v>
      </c>
      <c r="C146" s="23" t="s">
        <v>138</v>
      </c>
      <c r="D146" s="23" t="s">
        <v>139</v>
      </c>
      <c r="E146" s="22"/>
      <c r="F146" s="22"/>
      <c r="G146" s="22"/>
    </row>
    <row r="147" spans="1:7" ht="18" customHeight="1" x14ac:dyDescent="0.2">
      <c r="A147" s="22"/>
      <c r="B147" s="23" t="s">
        <v>140</v>
      </c>
      <c r="C147" s="23" t="s">
        <v>141</v>
      </c>
      <c r="D147" s="23" t="s">
        <v>142</v>
      </c>
      <c r="E147" s="22"/>
      <c r="F147" s="22"/>
      <c r="G147" s="22"/>
    </row>
    <row r="148" spans="1:7" ht="17.100000000000001" customHeight="1" x14ac:dyDescent="0.2">
      <c r="A148" s="22"/>
      <c r="B148" s="4" t="s">
        <v>143</v>
      </c>
      <c r="C148" s="24">
        <v>18.950900000000001</v>
      </c>
      <c r="D148" s="24">
        <v>19.0838</v>
      </c>
      <c r="E148" s="22"/>
      <c r="F148" s="19"/>
      <c r="G148" s="25"/>
    </row>
    <row r="149" spans="1:7" ht="17.100000000000001" customHeight="1" x14ac:dyDescent="0.2">
      <c r="A149" s="22"/>
      <c r="B149" s="4" t="s">
        <v>988</v>
      </c>
      <c r="C149" s="24">
        <v>17.787199999999999</v>
      </c>
      <c r="D149" s="24">
        <v>17.912099999999999</v>
      </c>
      <c r="E149" s="22"/>
      <c r="F149" s="19"/>
      <c r="G149" s="25"/>
    </row>
    <row r="150" spans="1:7" ht="17.100000000000001" customHeight="1" x14ac:dyDescent="0.2">
      <c r="A150" s="22"/>
      <c r="B150" s="4" t="s">
        <v>144</v>
      </c>
      <c r="C150" s="24">
        <v>18.694400000000002</v>
      </c>
      <c r="D150" s="24">
        <v>18.818899999999999</v>
      </c>
      <c r="E150" s="22"/>
      <c r="F150" s="19"/>
      <c r="G150" s="25"/>
    </row>
    <row r="151" spans="1:7" ht="17.100000000000001" customHeight="1" x14ac:dyDescent="0.2">
      <c r="A151" s="22"/>
      <c r="B151" s="4" t="s">
        <v>989</v>
      </c>
      <c r="C151" s="24">
        <v>17.5318</v>
      </c>
      <c r="D151" s="24">
        <v>17.648599999999998</v>
      </c>
      <c r="E151" s="22"/>
      <c r="F151" s="19"/>
      <c r="G151" s="25"/>
    </row>
    <row r="152" spans="1:7" ht="14.1" customHeight="1" x14ac:dyDescent="0.2">
      <c r="A152" s="22"/>
      <c r="B152" s="22"/>
      <c r="C152" s="22"/>
      <c r="D152" s="22"/>
      <c r="E152" s="22"/>
      <c r="F152" s="22"/>
      <c r="G152" s="22"/>
    </row>
    <row r="153" spans="1:7" ht="17.100000000000001" customHeight="1" x14ac:dyDescent="0.2">
      <c r="A153" s="22"/>
      <c r="B153" s="165" t="s">
        <v>990</v>
      </c>
      <c r="C153" s="166"/>
      <c r="D153" s="2" t="s">
        <v>135</v>
      </c>
      <c r="E153" s="22"/>
      <c r="F153" s="22"/>
      <c r="G153" s="22"/>
    </row>
    <row r="154" spans="1:7" ht="18" customHeight="1" x14ac:dyDescent="0.2">
      <c r="A154" s="22"/>
      <c r="B154" s="26" t="s">
        <v>145</v>
      </c>
      <c r="C154" s="26" t="s">
        <v>145</v>
      </c>
      <c r="D154" s="26"/>
      <c r="E154" s="22"/>
      <c r="F154" s="22"/>
      <c r="G154" s="22"/>
    </row>
    <row r="155" spans="1:7" s="158" customFormat="1" x14ac:dyDescent="0.2">
      <c r="B155" s="167" t="s">
        <v>822</v>
      </c>
      <c r="C155" s="167"/>
      <c r="D155" s="167"/>
      <c r="E155" s="167"/>
      <c r="F155" s="167"/>
    </row>
    <row r="156" spans="1:7" ht="14.1" customHeight="1" x14ac:dyDescent="0.2">
      <c r="A156" s="22"/>
      <c r="B156" s="19"/>
      <c r="C156" s="19"/>
      <c r="D156" s="22"/>
      <c r="E156" s="22"/>
      <c r="F156" s="22"/>
      <c r="G156" s="22"/>
    </row>
    <row r="157" spans="1:7" ht="29.1" customHeight="1" x14ac:dyDescent="0.2">
      <c r="A157" s="22"/>
      <c r="B157" s="165" t="s">
        <v>146</v>
      </c>
      <c r="C157" s="166"/>
      <c r="D157" s="2" t="s">
        <v>135</v>
      </c>
      <c r="E157" s="22"/>
      <c r="F157" s="22"/>
      <c r="G157" s="22"/>
    </row>
    <row r="158" spans="1:7" ht="29.1" customHeight="1" x14ac:dyDescent="0.2">
      <c r="A158" s="22"/>
      <c r="B158" s="165" t="s">
        <v>147</v>
      </c>
      <c r="C158" s="166"/>
      <c r="D158" s="2" t="s">
        <v>135</v>
      </c>
      <c r="E158" s="22"/>
      <c r="F158" s="22"/>
      <c r="G158" s="22"/>
    </row>
    <row r="159" spans="1:7" ht="17.100000000000001" customHeight="1" x14ac:dyDescent="0.2">
      <c r="A159" s="22"/>
      <c r="B159" s="165" t="s">
        <v>148</v>
      </c>
      <c r="C159" s="166"/>
      <c r="D159" s="27">
        <v>0.50133860388274609</v>
      </c>
      <c r="E159" s="22"/>
      <c r="F159" s="19"/>
      <c r="G159" s="25"/>
    </row>
    <row r="160" spans="1:7" ht="17.100000000000001" customHeight="1" x14ac:dyDescent="0.2">
      <c r="A160" s="22"/>
      <c r="B160" s="165" t="s">
        <v>149</v>
      </c>
      <c r="C160" s="166"/>
      <c r="D160" s="2" t="s">
        <v>135</v>
      </c>
      <c r="E160" s="22"/>
      <c r="F160" s="22"/>
      <c r="G160" s="22"/>
    </row>
  </sheetData>
  <mergeCells count="15">
    <mergeCell ref="B142:C142"/>
    <mergeCell ref="B139:F139"/>
    <mergeCell ref="B140:F140"/>
    <mergeCell ref="A1:H1"/>
    <mergeCell ref="A2:H2"/>
    <mergeCell ref="A3:H3"/>
    <mergeCell ref="B159:C159"/>
    <mergeCell ref="B160:C160"/>
    <mergeCell ref="B143:C143"/>
    <mergeCell ref="B144:C144"/>
    <mergeCell ref="B145:C145"/>
    <mergeCell ref="B153:C153"/>
    <mergeCell ref="B157:C157"/>
    <mergeCell ref="B158:C158"/>
    <mergeCell ref="B155:F155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H12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487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22</v>
      </c>
      <c r="C7" s="4" t="s">
        <v>23</v>
      </c>
      <c r="D7" s="4" t="s">
        <v>24</v>
      </c>
      <c r="E7" s="5">
        <v>1862083</v>
      </c>
      <c r="F7" s="6">
        <v>13389.307811500001</v>
      </c>
      <c r="G7" s="7">
        <v>9.5774488000000005E-2</v>
      </c>
      <c r="H7" s="67"/>
    </row>
    <row r="8" spans="1:8" x14ac:dyDescent="0.2">
      <c r="A8" s="3">
        <v>2</v>
      </c>
      <c r="B8" s="4" t="s">
        <v>400</v>
      </c>
      <c r="C8" s="4" t="s">
        <v>401</v>
      </c>
      <c r="D8" s="4" t="s">
        <v>166</v>
      </c>
      <c r="E8" s="5">
        <v>773887</v>
      </c>
      <c r="F8" s="6">
        <v>13205.9947115</v>
      </c>
      <c r="G8" s="7">
        <v>9.4463239000000004E-2</v>
      </c>
      <c r="H8" s="67"/>
    </row>
    <row r="9" spans="1:8" x14ac:dyDescent="0.2">
      <c r="A9" s="3">
        <v>3</v>
      </c>
      <c r="B9" s="4" t="s">
        <v>398</v>
      </c>
      <c r="C9" s="4" t="s">
        <v>399</v>
      </c>
      <c r="D9" s="4" t="s">
        <v>24</v>
      </c>
      <c r="E9" s="5">
        <v>780385</v>
      </c>
      <c r="F9" s="6">
        <v>12341.008390000001</v>
      </c>
      <c r="G9" s="7">
        <v>8.8275941999999996E-2</v>
      </c>
      <c r="H9" s="67"/>
    </row>
    <row r="10" spans="1:8" x14ac:dyDescent="0.2">
      <c r="A10" s="3">
        <v>4</v>
      </c>
      <c r="B10" s="4" t="s">
        <v>11</v>
      </c>
      <c r="C10" s="4" t="s">
        <v>12</v>
      </c>
      <c r="D10" s="4" t="s">
        <v>13</v>
      </c>
      <c r="E10" s="5">
        <v>471874</v>
      </c>
      <c r="F10" s="6">
        <v>7890.6770280000001</v>
      </c>
      <c r="G10" s="7">
        <v>5.6442465999999997E-2</v>
      </c>
      <c r="H10" s="67"/>
    </row>
    <row r="11" spans="1:8" x14ac:dyDescent="0.2">
      <c r="A11" s="3">
        <v>5</v>
      </c>
      <c r="B11" s="4" t="s">
        <v>414</v>
      </c>
      <c r="C11" s="4" t="s">
        <v>415</v>
      </c>
      <c r="D11" s="4" t="s">
        <v>166</v>
      </c>
      <c r="E11" s="5">
        <v>193388</v>
      </c>
      <c r="F11" s="6">
        <v>7322.5399260000004</v>
      </c>
      <c r="G11" s="7">
        <v>5.2378549000000003E-2</v>
      </c>
      <c r="H11" s="67"/>
    </row>
    <row r="12" spans="1:8" x14ac:dyDescent="0.2">
      <c r="A12" s="3">
        <v>6</v>
      </c>
      <c r="B12" s="4" t="s">
        <v>354</v>
      </c>
      <c r="C12" s="4" t="s">
        <v>355</v>
      </c>
      <c r="D12" s="4" t="s">
        <v>24</v>
      </c>
      <c r="E12" s="5">
        <v>901060</v>
      </c>
      <c r="F12" s="6">
        <v>7086.8369000000002</v>
      </c>
      <c r="G12" s="7">
        <v>5.0692551000000002E-2</v>
      </c>
      <c r="H12" s="67"/>
    </row>
    <row r="13" spans="1:8" x14ac:dyDescent="0.2">
      <c r="A13" s="3">
        <v>7</v>
      </c>
      <c r="B13" s="4" t="s">
        <v>14</v>
      </c>
      <c r="C13" s="4" t="s">
        <v>15</v>
      </c>
      <c r="D13" s="4" t="s">
        <v>16</v>
      </c>
      <c r="E13" s="5">
        <v>309838</v>
      </c>
      <c r="F13" s="6">
        <v>6996.6067970000004</v>
      </c>
      <c r="G13" s="7">
        <v>5.0047130000000002E-2</v>
      </c>
      <c r="H13" s="67"/>
    </row>
    <row r="14" spans="1:8" x14ac:dyDescent="0.2">
      <c r="A14" s="3">
        <v>8</v>
      </c>
      <c r="B14" s="4" t="s">
        <v>404</v>
      </c>
      <c r="C14" s="4" t="s">
        <v>405</v>
      </c>
      <c r="D14" s="4" t="s">
        <v>24</v>
      </c>
      <c r="E14" s="5">
        <v>1616281</v>
      </c>
      <c r="F14" s="6">
        <v>6886.1652004999996</v>
      </c>
      <c r="G14" s="7">
        <v>4.9257135000000001E-2</v>
      </c>
      <c r="H14" s="67"/>
    </row>
    <row r="15" spans="1:8" ht="25.5" x14ac:dyDescent="0.2">
      <c r="A15" s="3">
        <v>9</v>
      </c>
      <c r="B15" s="4" t="s">
        <v>402</v>
      </c>
      <c r="C15" s="4" t="s">
        <v>403</v>
      </c>
      <c r="D15" s="4" t="s">
        <v>81</v>
      </c>
      <c r="E15" s="5">
        <v>207954</v>
      </c>
      <c r="F15" s="6">
        <v>5819.5926900000004</v>
      </c>
      <c r="G15" s="7">
        <v>4.1627880999999999E-2</v>
      </c>
      <c r="H15" s="67"/>
    </row>
    <row r="16" spans="1:8" x14ac:dyDescent="0.2">
      <c r="A16" s="3">
        <v>10</v>
      </c>
      <c r="B16" s="4" t="s">
        <v>364</v>
      </c>
      <c r="C16" s="4" t="s">
        <v>365</v>
      </c>
      <c r="D16" s="4" t="s">
        <v>166</v>
      </c>
      <c r="E16" s="5">
        <v>481547</v>
      </c>
      <c r="F16" s="6">
        <v>5693.3301810000003</v>
      </c>
      <c r="G16" s="7">
        <v>4.0724718E-2</v>
      </c>
      <c r="H16" s="67"/>
    </row>
    <row r="17" spans="1:8" x14ac:dyDescent="0.2">
      <c r="A17" s="3">
        <v>11</v>
      </c>
      <c r="B17" s="4" t="s">
        <v>388</v>
      </c>
      <c r="C17" s="4" t="s">
        <v>389</v>
      </c>
      <c r="D17" s="4" t="s">
        <v>1002</v>
      </c>
      <c r="E17" s="5">
        <v>30046</v>
      </c>
      <c r="F17" s="6">
        <v>5152.5134250000001</v>
      </c>
      <c r="G17" s="7">
        <v>3.6856224E-2</v>
      </c>
      <c r="H17" s="67"/>
    </row>
    <row r="18" spans="1:8" x14ac:dyDescent="0.2">
      <c r="A18" s="3">
        <v>12</v>
      </c>
      <c r="B18" s="4" t="s">
        <v>42</v>
      </c>
      <c r="C18" s="4" t="s">
        <v>43</v>
      </c>
      <c r="D18" s="4" t="s">
        <v>16</v>
      </c>
      <c r="E18" s="5">
        <v>1017395</v>
      </c>
      <c r="F18" s="6">
        <v>4798.5435175000002</v>
      </c>
      <c r="G18" s="7">
        <v>3.4324256999999997E-2</v>
      </c>
      <c r="H18" s="67"/>
    </row>
    <row r="19" spans="1:8" x14ac:dyDescent="0.2">
      <c r="A19" s="3">
        <v>13</v>
      </c>
      <c r="B19" s="4" t="s">
        <v>315</v>
      </c>
      <c r="C19" s="4" t="s">
        <v>316</v>
      </c>
      <c r="D19" s="4" t="s">
        <v>261</v>
      </c>
      <c r="E19" s="5">
        <v>127114</v>
      </c>
      <c r="F19" s="6">
        <v>4314.2491600000003</v>
      </c>
      <c r="G19" s="7">
        <v>3.0860071999999999E-2</v>
      </c>
      <c r="H19" s="67"/>
    </row>
    <row r="20" spans="1:8" x14ac:dyDescent="0.2">
      <c r="A20" s="3">
        <v>14</v>
      </c>
      <c r="B20" s="4" t="s">
        <v>416</v>
      </c>
      <c r="C20" s="4" t="s">
        <v>417</v>
      </c>
      <c r="D20" s="4" t="s">
        <v>187</v>
      </c>
      <c r="E20" s="5">
        <v>535314</v>
      </c>
      <c r="F20" s="6">
        <v>4250.660817</v>
      </c>
      <c r="G20" s="7">
        <v>3.0405221E-2</v>
      </c>
      <c r="H20" s="67"/>
    </row>
    <row r="21" spans="1:8" ht="25.5" x14ac:dyDescent="0.2">
      <c r="A21" s="3">
        <v>15</v>
      </c>
      <c r="B21" s="4" t="s">
        <v>321</v>
      </c>
      <c r="C21" s="4" t="s">
        <v>322</v>
      </c>
      <c r="D21" s="4" t="s">
        <v>52</v>
      </c>
      <c r="E21" s="5">
        <v>466265</v>
      </c>
      <c r="F21" s="6">
        <v>3949.0314174999999</v>
      </c>
      <c r="G21" s="7">
        <v>2.8247649E-2</v>
      </c>
      <c r="H21" s="67"/>
    </row>
    <row r="22" spans="1:8" x14ac:dyDescent="0.2">
      <c r="A22" s="3">
        <v>16</v>
      </c>
      <c r="B22" s="4" t="s">
        <v>17</v>
      </c>
      <c r="C22" s="4" t="s">
        <v>18</v>
      </c>
      <c r="D22" s="4" t="s">
        <v>19</v>
      </c>
      <c r="E22" s="5">
        <v>587991</v>
      </c>
      <c r="F22" s="6">
        <v>3904.5542354999998</v>
      </c>
      <c r="G22" s="7">
        <v>2.7929500999999999E-2</v>
      </c>
      <c r="H22" s="67"/>
    </row>
    <row r="23" spans="1:8" x14ac:dyDescent="0.2">
      <c r="A23" s="3">
        <v>17</v>
      </c>
      <c r="B23" s="4" t="s">
        <v>97</v>
      </c>
      <c r="C23" s="4" t="s">
        <v>98</v>
      </c>
      <c r="D23" s="4" t="s">
        <v>60</v>
      </c>
      <c r="E23" s="5">
        <v>601171</v>
      </c>
      <c r="F23" s="6">
        <v>3281.4919034999998</v>
      </c>
      <c r="G23" s="7">
        <v>2.3472699999999999E-2</v>
      </c>
      <c r="H23" s="67"/>
    </row>
    <row r="24" spans="1:8" ht="25.5" x14ac:dyDescent="0.2">
      <c r="A24" s="3">
        <v>18</v>
      </c>
      <c r="B24" s="4" t="s">
        <v>408</v>
      </c>
      <c r="C24" s="4" t="s">
        <v>409</v>
      </c>
      <c r="D24" s="4" t="s">
        <v>52</v>
      </c>
      <c r="E24" s="5">
        <v>111297</v>
      </c>
      <c r="F24" s="6">
        <v>3031.8415770000001</v>
      </c>
      <c r="G24" s="7">
        <v>2.1686937E-2</v>
      </c>
      <c r="H24" s="67"/>
    </row>
    <row r="25" spans="1:8" ht="25.5" x14ac:dyDescent="0.2">
      <c r="A25" s="3">
        <v>19</v>
      </c>
      <c r="B25" s="4" t="s">
        <v>31</v>
      </c>
      <c r="C25" s="4" t="s">
        <v>993</v>
      </c>
      <c r="D25" s="4" t="s">
        <v>992</v>
      </c>
      <c r="E25" s="5">
        <v>31653</v>
      </c>
      <c r="F25" s="6">
        <v>2479.2053984999998</v>
      </c>
      <c r="G25" s="7">
        <v>1.7733899000000001E-2</v>
      </c>
      <c r="H25" s="67"/>
    </row>
    <row r="26" spans="1:8" x14ac:dyDescent="0.2">
      <c r="A26" s="3">
        <v>20</v>
      </c>
      <c r="B26" s="4" t="s">
        <v>340</v>
      </c>
      <c r="C26" s="4" t="s">
        <v>341</v>
      </c>
      <c r="D26" s="4" t="s">
        <v>81</v>
      </c>
      <c r="E26" s="5">
        <v>167131</v>
      </c>
      <c r="F26" s="6">
        <v>2260.7810370000002</v>
      </c>
      <c r="G26" s="7">
        <v>1.6171497E-2</v>
      </c>
      <c r="H26" s="67"/>
    </row>
    <row r="27" spans="1:8" ht="25.5" x14ac:dyDescent="0.2">
      <c r="A27" s="3">
        <v>21</v>
      </c>
      <c r="B27" s="4" t="s">
        <v>384</v>
      </c>
      <c r="C27" s="4" t="s">
        <v>385</v>
      </c>
      <c r="D27" s="4" t="s">
        <v>52</v>
      </c>
      <c r="E27" s="5">
        <v>256497</v>
      </c>
      <c r="F27" s="6">
        <v>2218.5708015</v>
      </c>
      <c r="G27" s="7">
        <v>1.5869563999999999E-2</v>
      </c>
      <c r="H27" s="67"/>
    </row>
    <row r="28" spans="1:8" x14ac:dyDescent="0.2">
      <c r="A28" s="3">
        <v>22</v>
      </c>
      <c r="B28" s="4" t="s">
        <v>82</v>
      </c>
      <c r="C28" s="4" t="s">
        <v>83</v>
      </c>
      <c r="D28" s="4" t="s">
        <v>84</v>
      </c>
      <c r="E28" s="5">
        <v>1554073</v>
      </c>
      <c r="F28" s="6">
        <v>1907.6246074999999</v>
      </c>
      <c r="G28" s="7">
        <v>1.3645348E-2</v>
      </c>
      <c r="H28" s="67"/>
    </row>
    <row r="29" spans="1:8" x14ac:dyDescent="0.2">
      <c r="A29" s="3">
        <v>23</v>
      </c>
      <c r="B29" s="4" t="s">
        <v>301</v>
      </c>
      <c r="C29" s="4" t="s">
        <v>302</v>
      </c>
      <c r="D29" s="4" t="s">
        <v>166</v>
      </c>
      <c r="E29" s="5">
        <v>51711</v>
      </c>
      <c r="F29" s="6">
        <v>1875.6872475</v>
      </c>
      <c r="G29" s="7">
        <v>1.3416898999999999E-2</v>
      </c>
      <c r="H29" s="67"/>
    </row>
    <row r="30" spans="1:8" x14ac:dyDescent="0.2">
      <c r="A30" s="3">
        <v>24</v>
      </c>
      <c r="B30" s="4" t="s">
        <v>303</v>
      </c>
      <c r="C30" s="4" t="s">
        <v>304</v>
      </c>
      <c r="D30" s="4" t="s">
        <v>179</v>
      </c>
      <c r="E30" s="5">
        <v>36962</v>
      </c>
      <c r="F30" s="6">
        <v>1836.845071</v>
      </c>
      <c r="G30" s="7">
        <v>1.3139058E-2</v>
      </c>
      <c r="H30" s="67"/>
    </row>
    <row r="31" spans="1:8" x14ac:dyDescent="0.2">
      <c r="A31" s="3">
        <v>25</v>
      </c>
      <c r="B31" s="4" t="s">
        <v>445</v>
      </c>
      <c r="C31" s="4" t="s">
        <v>446</v>
      </c>
      <c r="D31" s="4" t="s">
        <v>171</v>
      </c>
      <c r="E31" s="5">
        <v>637374</v>
      </c>
      <c r="F31" s="6">
        <v>1393.2995639999999</v>
      </c>
      <c r="G31" s="7">
        <v>9.9663519999999995E-3</v>
      </c>
      <c r="H31" s="67"/>
    </row>
    <row r="32" spans="1:8" ht="25.5" x14ac:dyDescent="0.2">
      <c r="A32" s="3">
        <v>26</v>
      </c>
      <c r="B32" s="4" t="s">
        <v>488</v>
      </c>
      <c r="C32" s="4" t="s">
        <v>489</v>
      </c>
      <c r="D32" s="4" t="s">
        <v>52</v>
      </c>
      <c r="E32" s="5">
        <v>200000</v>
      </c>
      <c r="F32" s="6">
        <v>1243</v>
      </c>
      <c r="G32" s="7">
        <v>8.8912499999999998E-3</v>
      </c>
      <c r="H32" s="67"/>
    </row>
    <row r="33" spans="1:8" x14ac:dyDescent="0.2">
      <c r="A33" s="3">
        <v>27</v>
      </c>
      <c r="B33" s="4" t="s">
        <v>443</v>
      </c>
      <c r="C33" s="4" t="s">
        <v>444</v>
      </c>
      <c r="D33" s="4" t="s">
        <v>187</v>
      </c>
      <c r="E33" s="5">
        <v>122147</v>
      </c>
      <c r="F33" s="6">
        <v>1157.7092660000001</v>
      </c>
      <c r="G33" s="7">
        <v>8.2811610000000004E-3</v>
      </c>
      <c r="H33" s="67"/>
    </row>
    <row r="34" spans="1:8" x14ac:dyDescent="0.2">
      <c r="A34" s="3">
        <v>28</v>
      </c>
      <c r="B34" s="4" t="s">
        <v>433</v>
      </c>
      <c r="C34" s="4" t="s">
        <v>434</v>
      </c>
      <c r="D34" s="4" t="s">
        <v>24</v>
      </c>
      <c r="E34" s="5">
        <v>40494</v>
      </c>
      <c r="F34" s="6">
        <v>710.14327800000001</v>
      </c>
      <c r="G34" s="7">
        <v>5.0796959999999999E-3</v>
      </c>
      <c r="H34" s="67"/>
    </row>
    <row r="35" spans="1:8" ht="25.5" x14ac:dyDescent="0.2">
      <c r="A35" s="3">
        <v>29</v>
      </c>
      <c r="B35" s="4" t="s">
        <v>327</v>
      </c>
      <c r="C35" s="4" t="s">
        <v>328</v>
      </c>
      <c r="D35" s="4" t="s">
        <v>55</v>
      </c>
      <c r="E35" s="5">
        <v>114832</v>
      </c>
      <c r="F35" s="6">
        <v>543.67210399999999</v>
      </c>
      <c r="G35" s="7">
        <v>3.8889179999999999E-3</v>
      </c>
      <c r="H35" s="67"/>
    </row>
    <row r="36" spans="1:8" x14ac:dyDescent="0.2">
      <c r="A36" s="3">
        <v>30</v>
      </c>
      <c r="B36" s="4" t="s">
        <v>418</v>
      </c>
      <c r="C36" s="4" t="s">
        <v>419</v>
      </c>
      <c r="D36" s="4" t="s">
        <v>49</v>
      </c>
      <c r="E36" s="5">
        <v>28557</v>
      </c>
      <c r="F36" s="6">
        <v>414.14789250000001</v>
      </c>
      <c r="G36" s="7">
        <v>2.962424E-3</v>
      </c>
      <c r="H36" s="67"/>
    </row>
    <row r="37" spans="1:8" x14ac:dyDescent="0.2">
      <c r="A37" s="1"/>
      <c r="B37" s="1"/>
      <c r="C37" s="2" t="s">
        <v>105</v>
      </c>
      <c r="D37" s="1"/>
      <c r="E37" s="1" t="s">
        <v>106</v>
      </c>
      <c r="F37" s="9">
        <v>137355.631956</v>
      </c>
      <c r="G37" s="10">
        <v>0.98251272599999995</v>
      </c>
      <c r="H37" s="67"/>
    </row>
    <row r="38" spans="1:8" x14ac:dyDescent="0.2">
      <c r="A38" s="1"/>
      <c r="B38" s="1"/>
      <c r="C38" s="11"/>
      <c r="D38" s="1"/>
      <c r="E38" s="1"/>
      <c r="F38" s="12"/>
      <c r="G38" s="12"/>
      <c r="H38" s="67"/>
    </row>
    <row r="39" spans="1:8" x14ac:dyDescent="0.2">
      <c r="A39" s="1"/>
      <c r="B39" s="1"/>
      <c r="C39" s="2" t="s">
        <v>107</v>
      </c>
      <c r="D39" s="1"/>
      <c r="E39" s="1"/>
      <c r="F39" s="1"/>
      <c r="G39" s="1"/>
      <c r="H39" s="67"/>
    </row>
    <row r="40" spans="1:8" x14ac:dyDescent="0.2">
      <c r="A40" s="1"/>
      <c r="B40" s="1"/>
      <c r="C40" s="2" t="s">
        <v>105</v>
      </c>
      <c r="D40" s="1"/>
      <c r="E40" s="1" t="s">
        <v>106</v>
      </c>
      <c r="F40" s="13">
        <v>0</v>
      </c>
      <c r="G40" s="14">
        <v>0</v>
      </c>
      <c r="H40" s="67"/>
    </row>
    <row r="41" spans="1:8" x14ac:dyDescent="0.2">
      <c r="A41" s="1"/>
      <c r="B41" s="1"/>
      <c r="C41" s="11"/>
      <c r="D41" s="1"/>
      <c r="E41" s="1"/>
      <c r="F41" s="12"/>
      <c r="G41" s="12"/>
      <c r="H41" s="67"/>
    </row>
    <row r="42" spans="1:8" x14ac:dyDescent="0.2">
      <c r="A42" s="1"/>
      <c r="B42" s="1"/>
      <c r="C42" s="2" t="s">
        <v>108</v>
      </c>
      <c r="D42" s="1"/>
      <c r="E42" s="1"/>
      <c r="F42" s="1"/>
      <c r="G42" s="1"/>
      <c r="H42" s="67"/>
    </row>
    <row r="43" spans="1:8" x14ac:dyDescent="0.2">
      <c r="A43" s="1"/>
      <c r="B43" s="1"/>
      <c r="C43" s="2" t="s">
        <v>105</v>
      </c>
      <c r="D43" s="1"/>
      <c r="E43" s="1" t="s">
        <v>106</v>
      </c>
      <c r="F43" s="13">
        <v>0</v>
      </c>
      <c r="G43" s="14">
        <v>0</v>
      </c>
      <c r="H43" s="67"/>
    </row>
    <row r="44" spans="1:8" x14ac:dyDescent="0.2">
      <c r="A44" s="1"/>
      <c r="B44" s="1"/>
      <c r="C44" s="11"/>
      <c r="D44" s="1"/>
      <c r="E44" s="1"/>
      <c r="F44" s="12"/>
      <c r="G44" s="12"/>
      <c r="H44" s="67"/>
    </row>
    <row r="45" spans="1:8" x14ac:dyDescent="0.2">
      <c r="A45" s="1"/>
      <c r="B45" s="1"/>
      <c r="C45" s="2" t="s">
        <v>109</v>
      </c>
      <c r="D45" s="1"/>
      <c r="E45" s="1"/>
      <c r="F45" s="1"/>
      <c r="G45" s="1"/>
      <c r="H45" s="67"/>
    </row>
    <row r="46" spans="1:8" x14ac:dyDescent="0.2">
      <c r="A46" s="1"/>
      <c r="B46" s="1"/>
      <c r="C46" s="2" t="s">
        <v>105</v>
      </c>
      <c r="D46" s="1"/>
      <c r="E46" s="1" t="s">
        <v>106</v>
      </c>
      <c r="F46" s="13">
        <v>0</v>
      </c>
      <c r="G46" s="14">
        <v>0</v>
      </c>
      <c r="H46" s="67"/>
    </row>
    <row r="47" spans="1:8" x14ac:dyDescent="0.2">
      <c r="A47" s="1"/>
      <c r="B47" s="1"/>
      <c r="C47" s="11"/>
      <c r="D47" s="1"/>
      <c r="E47" s="1"/>
      <c r="F47" s="12"/>
      <c r="G47" s="12"/>
      <c r="H47" s="67"/>
    </row>
    <row r="48" spans="1:8" x14ac:dyDescent="0.2">
      <c r="A48" s="1"/>
      <c r="B48" s="1"/>
      <c r="C48" s="2" t="s">
        <v>110</v>
      </c>
      <c r="D48" s="1"/>
      <c r="E48" s="1"/>
      <c r="F48" s="12"/>
      <c r="G48" s="12"/>
      <c r="H48" s="67"/>
    </row>
    <row r="49" spans="1:8" x14ac:dyDescent="0.2">
      <c r="A49" s="1"/>
      <c r="B49" s="1"/>
      <c r="C49" s="2" t="s">
        <v>105</v>
      </c>
      <c r="D49" s="1"/>
      <c r="E49" s="1" t="s">
        <v>106</v>
      </c>
      <c r="F49" s="13">
        <v>0</v>
      </c>
      <c r="G49" s="14">
        <v>0</v>
      </c>
      <c r="H49" s="67"/>
    </row>
    <row r="50" spans="1:8" x14ac:dyDescent="0.2">
      <c r="A50" s="1"/>
      <c r="B50" s="1"/>
      <c r="C50" s="11"/>
      <c r="D50" s="1"/>
      <c r="E50" s="1"/>
      <c r="F50" s="12"/>
      <c r="G50" s="12"/>
      <c r="H50" s="67"/>
    </row>
    <row r="51" spans="1:8" x14ac:dyDescent="0.2">
      <c r="A51" s="1"/>
      <c r="B51" s="1"/>
      <c r="C51" s="2" t="s">
        <v>111</v>
      </c>
      <c r="D51" s="1"/>
      <c r="E51" s="1"/>
      <c r="F51" s="12"/>
      <c r="G51" s="12"/>
      <c r="H51" s="67"/>
    </row>
    <row r="52" spans="1:8" x14ac:dyDescent="0.2">
      <c r="A52" s="1"/>
      <c r="B52" s="1"/>
      <c r="C52" s="2" t="s">
        <v>105</v>
      </c>
      <c r="D52" s="1"/>
      <c r="E52" s="1" t="s">
        <v>106</v>
      </c>
      <c r="F52" s="13">
        <v>0</v>
      </c>
      <c r="G52" s="14">
        <v>0</v>
      </c>
      <c r="H52" s="67"/>
    </row>
    <row r="53" spans="1:8" x14ac:dyDescent="0.2">
      <c r="A53" s="1"/>
      <c r="B53" s="1"/>
      <c r="C53" s="11"/>
      <c r="D53" s="1"/>
      <c r="E53" s="1"/>
      <c r="F53" s="12"/>
      <c r="G53" s="12"/>
      <c r="H53" s="67"/>
    </row>
    <row r="54" spans="1:8" x14ac:dyDescent="0.2">
      <c r="A54" s="1"/>
      <c r="B54" s="1"/>
      <c r="C54" s="2" t="s">
        <v>112</v>
      </c>
      <c r="D54" s="1"/>
      <c r="E54" s="1"/>
      <c r="F54" s="9">
        <v>137355.631956</v>
      </c>
      <c r="G54" s="10">
        <v>0.98251272599999995</v>
      </c>
      <c r="H54" s="67"/>
    </row>
    <row r="55" spans="1:8" x14ac:dyDescent="0.2">
      <c r="A55" s="1"/>
      <c r="B55" s="1"/>
      <c r="C55" s="11"/>
      <c r="D55" s="1"/>
      <c r="E55" s="1"/>
      <c r="F55" s="12"/>
      <c r="G55" s="12"/>
      <c r="H55" s="67"/>
    </row>
    <row r="56" spans="1:8" x14ac:dyDescent="0.2">
      <c r="A56" s="1"/>
      <c r="B56" s="1"/>
      <c r="C56" s="2" t="s">
        <v>113</v>
      </c>
      <c r="D56" s="1"/>
      <c r="E56" s="1"/>
      <c r="F56" s="12"/>
      <c r="G56" s="12"/>
      <c r="H56" s="67"/>
    </row>
    <row r="57" spans="1:8" ht="25.5" x14ac:dyDescent="0.2">
      <c r="A57" s="1"/>
      <c r="B57" s="1"/>
      <c r="C57" s="2" t="s">
        <v>10</v>
      </c>
      <c r="D57" s="1"/>
      <c r="E57" s="1"/>
      <c r="F57" s="12"/>
      <c r="G57" s="12"/>
      <c r="H57" s="67"/>
    </row>
    <row r="58" spans="1:8" x14ac:dyDescent="0.2">
      <c r="A58" s="1"/>
      <c r="B58" s="1"/>
      <c r="C58" s="2" t="s">
        <v>105</v>
      </c>
      <c r="D58" s="1"/>
      <c r="E58" s="1" t="s">
        <v>106</v>
      </c>
      <c r="F58" s="13">
        <v>0</v>
      </c>
      <c r="G58" s="14">
        <v>0</v>
      </c>
      <c r="H58" s="67"/>
    </row>
    <row r="59" spans="1:8" x14ac:dyDescent="0.2">
      <c r="A59" s="1"/>
      <c r="B59" s="1"/>
      <c r="C59" s="11"/>
      <c r="D59" s="1"/>
      <c r="E59" s="1"/>
      <c r="F59" s="12"/>
      <c r="G59" s="12"/>
      <c r="H59" s="67"/>
    </row>
    <row r="60" spans="1:8" x14ac:dyDescent="0.2">
      <c r="A60" s="1"/>
      <c r="B60" s="1"/>
      <c r="C60" s="2" t="s">
        <v>114</v>
      </c>
      <c r="D60" s="1"/>
      <c r="E60" s="1"/>
      <c r="F60" s="1"/>
      <c r="G60" s="1"/>
      <c r="H60" s="67"/>
    </row>
    <row r="61" spans="1:8" x14ac:dyDescent="0.2">
      <c r="A61" s="1"/>
      <c r="B61" s="1"/>
      <c r="C61" s="2" t="s">
        <v>105</v>
      </c>
      <c r="D61" s="1"/>
      <c r="E61" s="1" t="s">
        <v>106</v>
      </c>
      <c r="F61" s="13">
        <v>0</v>
      </c>
      <c r="G61" s="14">
        <v>0</v>
      </c>
      <c r="H61" s="67"/>
    </row>
    <row r="62" spans="1:8" x14ac:dyDescent="0.2">
      <c r="A62" s="1"/>
      <c r="B62" s="1"/>
      <c r="C62" s="11"/>
      <c r="D62" s="1"/>
      <c r="E62" s="1"/>
      <c r="F62" s="12"/>
      <c r="G62" s="12"/>
      <c r="H62" s="67"/>
    </row>
    <row r="63" spans="1:8" x14ac:dyDescent="0.2">
      <c r="A63" s="1"/>
      <c r="B63" s="1"/>
      <c r="C63" s="2" t="s">
        <v>115</v>
      </c>
      <c r="D63" s="1"/>
      <c r="E63" s="1"/>
      <c r="F63" s="1"/>
      <c r="G63" s="1"/>
      <c r="H63" s="67"/>
    </row>
    <row r="64" spans="1:8" x14ac:dyDescent="0.2">
      <c r="A64" s="1"/>
      <c r="B64" s="1"/>
      <c r="C64" s="2" t="s">
        <v>105</v>
      </c>
      <c r="D64" s="1"/>
      <c r="E64" s="1" t="s">
        <v>106</v>
      </c>
      <c r="F64" s="13">
        <v>0</v>
      </c>
      <c r="G64" s="14">
        <v>0</v>
      </c>
      <c r="H64" s="67"/>
    </row>
    <row r="65" spans="1:8" x14ac:dyDescent="0.2">
      <c r="A65" s="1"/>
      <c r="B65" s="1"/>
      <c r="C65" s="11"/>
      <c r="D65" s="1"/>
      <c r="E65" s="1"/>
      <c r="F65" s="12"/>
      <c r="G65" s="12"/>
      <c r="H65" s="67"/>
    </row>
    <row r="66" spans="1:8" x14ac:dyDescent="0.2">
      <c r="A66" s="1"/>
      <c r="B66" s="1"/>
      <c r="C66" s="2" t="s">
        <v>116</v>
      </c>
      <c r="D66" s="1"/>
      <c r="E66" s="1"/>
      <c r="F66" s="12"/>
      <c r="G66" s="12"/>
      <c r="H66" s="67"/>
    </row>
    <row r="67" spans="1:8" x14ac:dyDescent="0.2">
      <c r="A67" s="1"/>
      <c r="B67" s="1"/>
      <c r="C67" s="2" t="s">
        <v>105</v>
      </c>
      <c r="D67" s="1"/>
      <c r="E67" s="1" t="s">
        <v>106</v>
      </c>
      <c r="F67" s="13">
        <v>0</v>
      </c>
      <c r="G67" s="14">
        <v>0</v>
      </c>
      <c r="H67" s="67"/>
    </row>
    <row r="68" spans="1:8" x14ac:dyDescent="0.2">
      <c r="A68" s="1"/>
      <c r="B68" s="1"/>
      <c r="C68" s="11"/>
      <c r="D68" s="1"/>
      <c r="E68" s="1"/>
      <c r="F68" s="12"/>
      <c r="G68" s="12"/>
      <c r="H68" s="67"/>
    </row>
    <row r="69" spans="1:8" x14ac:dyDescent="0.2">
      <c r="A69" s="1"/>
      <c r="B69" s="1"/>
      <c r="C69" s="2" t="s">
        <v>117</v>
      </c>
      <c r="D69" s="1"/>
      <c r="E69" s="1"/>
      <c r="F69" s="9">
        <v>0</v>
      </c>
      <c r="G69" s="10">
        <v>0</v>
      </c>
      <c r="H69" s="67"/>
    </row>
    <row r="70" spans="1:8" x14ac:dyDescent="0.2">
      <c r="A70" s="1"/>
      <c r="B70" s="1"/>
      <c r="C70" s="11"/>
      <c r="D70" s="1"/>
      <c r="E70" s="1"/>
      <c r="F70" s="12"/>
      <c r="G70" s="12"/>
      <c r="H70" s="67"/>
    </row>
    <row r="71" spans="1:8" x14ac:dyDescent="0.2">
      <c r="A71" s="1"/>
      <c r="B71" s="1"/>
      <c r="C71" s="2" t="s">
        <v>118</v>
      </c>
      <c r="D71" s="1"/>
      <c r="E71" s="1"/>
      <c r="F71" s="12"/>
      <c r="G71" s="12"/>
      <c r="H71" s="67"/>
    </row>
    <row r="72" spans="1:8" x14ac:dyDescent="0.2">
      <c r="A72" s="1"/>
      <c r="B72" s="1"/>
      <c r="C72" s="2" t="s">
        <v>119</v>
      </c>
      <c r="D72" s="1"/>
      <c r="E72" s="1"/>
      <c r="F72" s="12"/>
      <c r="G72" s="12"/>
      <c r="H72" s="67"/>
    </row>
    <row r="73" spans="1:8" x14ac:dyDescent="0.2">
      <c r="A73" s="1"/>
      <c r="B73" s="1"/>
      <c r="C73" s="2" t="s">
        <v>105</v>
      </c>
      <c r="D73" s="1"/>
      <c r="E73" s="1" t="s">
        <v>106</v>
      </c>
      <c r="F73" s="13">
        <v>0</v>
      </c>
      <c r="G73" s="14">
        <v>0</v>
      </c>
      <c r="H73" s="67"/>
    </row>
    <row r="74" spans="1:8" x14ac:dyDescent="0.2">
      <c r="A74" s="1"/>
      <c r="B74" s="1"/>
      <c r="C74" s="11"/>
      <c r="D74" s="1"/>
      <c r="E74" s="1"/>
      <c r="F74" s="12"/>
      <c r="G74" s="12"/>
      <c r="H74" s="67"/>
    </row>
    <row r="75" spans="1:8" x14ac:dyDescent="0.2">
      <c r="A75" s="1"/>
      <c r="B75" s="1"/>
      <c r="C75" s="2" t="s">
        <v>120</v>
      </c>
      <c r="D75" s="1"/>
      <c r="E75" s="1"/>
      <c r="F75" s="12"/>
      <c r="G75" s="12"/>
      <c r="H75" s="67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">
        <v>0</v>
      </c>
      <c r="H76" s="67"/>
    </row>
    <row r="77" spans="1:8" x14ac:dyDescent="0.2">
      <c r="A77" s="1"/>
      <c r="B77" s="1"/>
      <c r="C77" s="11"/>
      <c r="D77" s="1"/>
      <c r="E77" s="1"/>
      <c r="F77" s="12"/>
      <c r="G77" s="12"/>
      <c r="H77" s="67"/>
    </row>
    <row r="78" spans="1:8" x14ac:dyDescent="0.2">
      <c r="A78" s="1"/>
      <c r="B78" s="1"/>
      <c r="C78" s="2" t="s">
        <v>121</v>
      </c>
      <c r="D78" s="1"/>
      <c r="E78" s="1"/>
      <c r="F78" s="12"/>
      <c r="G78" s="12"/>
      <c r="H78" s="67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">
        <v>0</v>
      </c>
      <c r="H79" s="67"/>
    </row>
    <row r="80" spans="1:8" x14ac:dyDescent="0.2">
      <c r="A80" s="1"/>
      <c r="B80" s="1"/>
      <c r="C80" s="11"/>
      <c r="D80" s="1"/>
      <c r="E80" s="1"/>
      <c r="F80" s="12"/>
      <c r="G80" s="12"/>
      <c r="H80" s="67"/>
    </row>
    <row r="81" spans="1:8" x14ac:dyDescent="0.2">
      <c r="A81" s="1"/>
      <c r="B81" s="1"/>
      <c r="C81" s="2" t="s">
        <v>122</v>
      </c>
      <c r="D81" s="1"/>
      <c r="E81" s="1"/>
      <c r="F81" s="12"/>
      <c r="G81" s="12"/>
      <c r="H81" s="67"/>
    </row>
    <row r="82" spans="1:8" x14ac:dyDescent="0.2">
      <c r="A82" s="3">
        <v>1</v>
      </c>
      <c r="B82" s="4"/>
      <c r="C82" s="4" t="s">
        <v>123</v>
      </c>
      <c r="D82" s="4"/>
      <c r="E82" s="8"/>
      <c r="F82" s="6">
        <v>2518.3976818000001</v>
      </c>
      <c r="G82" s="7">
        <v>1.8014242999999999E-2</v>
      </c>
      <c r="H82" s="67">
        <v>3.1047477660654299</v>
      </c>
    </row>
    <row r="83" spans="1:8" x14ac:dyDescent="0.2">
      <c r="A83" s="1"/>
      <c r="B83" s="1"/>
      <c r="C83" s="2" t="s">
        <v>105</v>
      </c>
      <c r="D83" s="1"/>
      <c r="E83" s="1" t="s">
        <v>106</v>
      </c>
      <c r="F83" s="9">
        <v>2518.3976818000001</v>
      </c>
      <c r="G83" s="10">
        <v>1.8014242999999999E-2</v>
      </c>
      <c r="H83" s="67"/>
    </row>
    <row r="84" spans="1:8" x14ac:dyDescent="0.2">
      <c r="A84" s="1"/>
      <c r="B84" s="1"/>
      <c r="C84" s="11"/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124</v>
      </c>
      <c r="D85" s="1"/>
      <c r="E85" s="1"/>
      <c r="F85" s="9">
        <v>2518.3976818000001</v>
      </c>
      <c r="G85" s="10">
        <v>1.8014242999999999E-2</v>
      </c>
      <c r="H85" s="67"/>
    </row>
    <row r="86" spans="1:8" x14ac:dyDescent="0.2">
      <c r="A86" s="1"/>
      <c r="B86" s="1"/>
      <c r="C86" s="12"/>
      <c r="D86" s="1"/>
      <c r="E86" s="1"/>
      <c r="F86" s="1"/>
      <c r="G86" s="1"/>
      <c r="H86" s="67"/>
    </row>
    <row r="87" spans="1:8" x14ac:dyDescent="0.2">
      <c r="A87" s="1"/>
      <c r="B87" s="1"/>
      <c r="C87" s="2" t="s">
        <v>125</v>
      </c>
      <c r="D87" s="1"/>
      <c r="E87" s="1"/>
      <c r="F87" s="1"/>
      <c r="G87" s="1"/>
      <c r="H87" s="67"/>
    </row>
    <row r="88" spans="1:8" x14ac:dyDescent="0.2">
      <c r="A88" s="1"/>
      <c r="B88" s="1"/>
      <c r="C88" s="2" t="s">
        <v>126</v>
      </c>
      <c r="D88" s="1"/>
      <c r="E88" s="1"/>
      <c r="F88" s="1"/>
      <c r="G88" s="1"/>
      <c r="H88" s="67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">
        <v>0</v>
      </c>
      <c r="H89" s="67"/>
    </row>
    <row r="90" spans="1:8" x14ac:dyDescent="0.2">
      <c r="A90" s="1"/>
      <c r="B90" s="1"/>
      <c r="C90" s="11"/>
      <c r="D90" s="1"/>
      <c r="E90" s="1"/>
      <c r="F90" s="12"/>
      <c r="G90" s="12"/>
      <c r="H90" s="67"/>
    </row>
    <row r="91" spans="1:8" x14ac:dyDescent="0.2">
      <c r="A91" s="1"/>
      <c r="B91" s="1"/>
      <c r="C91" s="2" t="s">
        <v>127</v>
      </c>
      <c r="D91" s="1"/>
      <c r="E91" s="1"/>
      <c r="F91" s="1"/>
      <c r="G91" s="1"/>
      <c r="H91" s="67"/>
    </row>
    <row r="92" spans="1:8" x14ac:dyDescent="0.2">
      <c r="A92" s="1"/>
      <c r="B92" s="1"/>
      <c r="C92" s="2" t="s">
        <v>128</v>
      </c>
      <c r="D92" s="1"/>
      <c r="E92" s="1"/>
      <c r="F92" s="1"/>
      <c r="G92" s="1"/>
      <c r="H92" s="67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7"/>
    </row>
    <row r="94" spans="1:8" x14ac:dyDescent="0.2">
      <c r="A94" s="1"/>
      <c r="B94" s="1"/>
      <c r="C94" s="11"/>
      <c r="D94" s="1"/>
      <c r="E94" s="1"/>
      <c r="F94" s="12"/>
      <c r="G94" s="12"/>
      <c r="H94" s="67"/>
    </row>
    <row r="95" spans="1:8" x14ac:dyDescent="0.2">
      <c r="A95" s="1"/>
      <c r="B95" s="1"/>
      <c r="C95" s="11"/>
      <c r="D95" s="1"/>
      <c r="E95" s="1"/>
      <c r="F95" s="12"/>
      <c r="G95" s="12"/>
      <c r="H95" s="67"/>
    </row>
    <row r="96" spans="1:8" ht="25.5" x14ac:dyDescent="0.2">
      <c r="A96" s="1"/>
      <c r="B96" s="1"/>
      <c r="C96" s="2" t="s">
        <v>129</v>
      </c>
      <c r="D96" s="1"/>
      <c r="E96" s="1"/>
      <c r="F96" s="12"/>
      <c r="G96" s="12"/>
      <c r="H96" s="67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">
        <v>0</v>
      </c>
      <c r="H97" s="67"/>
    </row>
    <row r="98" spans="1:8" x14ac:dyDescent="0.2">
      <c r="A98" s="1"/>
      <c r="B98" s="1"/>
      <c r="C98" s="11"/>
      <c r="D98" s="1"/>
      <c r="E98" s="1"/>
      <c r="F98" s="12"/>
      <c r="G98" s="12"/>
      <c r="H98" s="67"/>
    </row>
    <row r="99" spans="1:8" x14ac:dyDescent="0.2">
      <c r="A99" s="1"/>
      <c r="B99" s="4"/>
      <c r="C99" s="4"/>
      <c r="D99" s="2"/>
      <c r="E99" s="1"/>
      <c r="F99" s="4"/>
      <c r="G99" s="8"/>
      <c r="H99" s="67"/>
    </row>
    <row r="100" spans="1:8" x14ac:dyDescent="0.2">
      <c r="A100" s="8"/>
      <c r="B100" s="4"/>
      <c r="C100" s="4" t="s">
        <v>130</v>
      </c>
      <c r="D100" s="4"/>
      <c r="E100" s="8"/>
      <c r="F100" s="6">
        <v>-73.670406319999998</v>
      </c>
      <c r="G100" s="7">
        <v>-5.2696899999999996E-4</v>
      </c>
      <c r="H100" s="67"/>
    </row>
    <row r="101" spans="1:8" x14ac:dyDescent="0.2">
      <c r="A101" s="11"/>
      <c r="B101" s="11"/>
      <c r="C101" s="2" t="s">
        <v>131</v>
      </c>
      <c r="D101" s="15"/>
      <c r="E101" s="15"/>
      <c r="F101" s="9">
        <v>139800.35923147999</v>
      </c>
      <c r="G101" s="10">
        <v>1</v>
      </c>
      <c r="H101" s="67"/>
    </row>
    <row r="102" spans="1:8" ht="14.1" customHeight="1" x14ac:dyDescent="0.2">
      <c r="A102" s="16"/>
      <c r="B102" s="16"/>
      <c r="C102" s="16"/>
      <c r="D102" s="17"/>
      <c r="E102" s="17"/>
      <c r="F102" s="17"/>
      <c r="G102" s="17"/>
    </row>
    <row r="103" spans="1:8" ht="14.1" customHeight="1" x14ac:dyDescent="0.2">
      <c r="A103" s="18"/>
      <c r="B103" s="170" t="s">
        <v>106</v>
      </c>
      <c r="C103" s="170"/>
      <c r="D103" s="170"/>
      <c r="E103" s="170"/>
      <c r="F103" s="170"/>
      <c r="G103" s="20"/>
    </row>
    <row r="104" spans="1:8" ht="14.1" customHeight="1" x14ac:dyDescent="0.2">
      <c r="A104" s="18"/>
      <c r="B104" s="170" t="s">
        <v>106</v>
      </c>
      <c r="C104" s="170"/>
      <c r="D104" s="170"/>
      <c r="E104" s="170"/>
      <c r="F104" s="170"/>
      <c r="G104" s="20"/>
    </row>
    <row r="105" spans="1:8" ht="14.1" customHeight="1" x14ac:dyDescent="0.2">
      <c r="A105" s="18"/>
      <c r="B105" s="18"/>
      <c r="C105" s="18"/>
      <c r="D105" s="20"/>
      <c r="E105" s="20"/>
      <c r="F105" s="20"/>
      <c r="G105" s="20"/>
    </row>
    <row r="106" spans="1:8" ht="14.1" customHeight="1" x14ac:dyDescent="0.2">
      <c r="A106" s="18"/>
      <c r="B106" s="168" t="s">
        <v>133</v>
      </c>
      <c r="C106" s="169"/>
      <c r="D106" s="12" t="s">
        <v>106</v>
      </c>
      <c r="E106" s="21"/>
      <c r="F106" s="20"/>
      <c r="G106" s="20"/>
    </row>
    <row r="107" spans="1:8" ht="29.1" customHeight="1" x14ac:dyDescent="0.2">
      <c r="A107" s="18"/>
      <c r="B107" s="165" t="s">
        <v>134</v>
      </c>
      <c r="C107" s="166"/>
      <c r="D107" s="2" t="s">
        <v>135</v>
      </c>
      <c r="E107" s="21"/>
      <c r="F107" s="20"/>
      <c r="G107" s="20"/>
    </row>
    <row r="108" spans="1:8" ht="17.100000000000001" customHeight="1" x14ac:dyDescent="0.2">
      <c r="A108" s="18"/>
      <c r="B108" s="165" t="s">
        <v>136</v>
      </c>
      <c r="C108" s="166"/>
      <c r="D108" s="2" t="s">
        <v>135</v>
      </c>
      <c r="E108" s="21"/>
      <c r="F108" s="20"/>
      <c r="G108" s="20"/>
    </row>
    <row r="109" spans="1:8" ht="17.100000000000001" customHeight="1" x14ac:dyDescent="0.2">
      <c r="A109" s="18"/>
      <c r="B109" s="165" t="s">
        <v>137</v>
      </c>
      <c r="C109" s="166"/>
      <c r="D109" s="12" t="s">
        <v>106</v>
      </c>
      <c r="E109" s="21"/>
      <c r="F109" s="20"/>
      <c r="G109" s="20"/>
    </row>
    <row r="110" spans="1:8" ht="24" customHeight="1" x14ac:dyDescent="0.2">
      <c r="A110" s="22"/>
      <c r="B110" s="23" t="s">
        <v>106</v>
      </c>
      <c r="C110" s="23" t="s">
        <v>138</v>
      </c>
      <c r="D110" s="23" t="s">
        <v>139</v>
      </c>
      <c r="E110" s="22"/>
      <c r="F110" s="22"/>
      <c r="G110" s="22"/>
    </row>
    <row r="111" spans="1:8" ht="18" customHeight="1" x14ac:dyDescent="0.2">
      <c r="A111" s="22"/>
      <c r="B111" s="23" t="s">
        <v>140</v>
      </c>
      <c r="C111" s="23" t="s">
        <v>141</v>
      </c>
      <c r="D111" s="23" t="s">
        <v>142</v>
      </c>
      <c r="E111" s="22"/>
      <c r="F111" s="22"/>
      <c r="G111" s="22"/>
    </row>
    <row r="112" spans="1:8" ht="17.100000000000001" customHeight="1" x14ac:dyDescent="0.2">
      <c r="A112" s="22"/>
      <c r="B112" s="4" t="s">
        <v>143</v>
      </c>
      <c r="C112" s="24">
        <v>265.78030000000001</v>
      </c>
      <c r="D112" s="24">
        <v>288.32510000000002</v>
      </c>
      <c r="E112" s="22"/>
      <c r="F112" s="19"/>
      <c r="G112" s="25"/>
    </row>
    <row r="113" spans="1:7" ht="17.100000000000001" customHeight="1" x14ac:dyDescent="0.2">
      <c r="A113" s="22"/>
      <c r="B113" s="4" t="s">
        <v>988</v>
      </c>
      <c r="C113" s="24">
        <v>17.5608</v>
      </c>
      <c r="D113" s="24">
        <v>19.0504</v>
      </c>
      <c r="E113" s="22"/>
      <c r="F113" s="19"/>
      <c r="G113" s="25"/>
    </row>
    <row r="114" spans="1:7" ht="29.1" customHeight="1" x14ac:dyDescent="0.2">
      <c r="A114" s="22"/>
      <c r="B114" s="4" t="s">
        <v>396</v>
      </c>
      <c r="C114" s="24">
        <v>271.65050000000002</v>
      </c>
      <c r="D114" s="24">
        <v>294.69319999999999</v>
      </c>
      <c r="E114" s="22"/>
      <c r="F114" s="19"/>
      <c r="G114" s="25"/>
    </row>
    <row r="115" spans="1:7" ht="17.100000000000001" customHeight="1" x14ac:dyDescent="0.2">
      <c r="A115" s="22"/>
      <c r="B115" s="4" t="s">
        <v>144</v>
      </c>
      <c r="C115" s="24">
        <v>249.3689</v>
      </c>
      <c r="D115" s="24">
        <v>270.29660000000001</v>
      </c>
      <c r="E115" s="22"/>
      <c r="F115" s="19"/>
      <c r="G115" s="25"/>
    </row>
    <row r="116" spans="1:7" ht="17.100000000000001" customHeight="1" x14ac:dyDescent="0.2">
      <c r="A116" s="22"/>
      <c r="B116" s="4" t="s">
        <v>989</v>
      </c>
      <c r="C116" s="24">
        <v>16.2834</v>
      </c>
      <c r="D116" s="24">
        <v>17.649899999999999</v>
      </c>
      <c r="E116" s="22"/>
      <c r="F116" s="19"/>
      <c r="G116" s="25"/>
    </row>
    <row r="117" spans="1:7" ht="14.1" customHeight="1" x14ac:dyDescent="0.2">
      <c r="A117" s="22"/>
      <c r="B117" s="22"/>
      <c r="C117" s="22"/>
      <c r="D117" s="22"/>
      <c r="E117" s="22"/>
      <c r="F117" s="22"/>
      <c r="G117" s="22"/>
    </row>
    <row r="118" spans="1:7" ht="17.100000000000001" customHeight="1" x14ac:dyDescent="0.2">
      <c r="A118" s="22"/>
      <c r="B118" s="165" t="s">
        <v>990</v>
      </c>
      <c r="C118" s="166"/>
      <c r="D118" s="2" t="s">
        <v>135</v>
      </c>
      <c r="E118" s="22"/>
      <c r="F118" s="22"/>
      <c r="G118" s="22"/>
    </row>
    <row r="119" spans="1:7" ht="18" customHeight="1" x14ac:dyDescent="0.2">
      <c r="A119" s="22"/>
      <c r="B119" s="26" t="s">
        <v>145</v>
      </c>
      <c r="C119" s="26" t="s">
        <v>145</v>
      </c>
      <c r="D119" s="26"/>
      <c r="E119" s="22"/>
      <c r="F119" s="22"/>
      <c r="G119" s="22"/>
    </row>
    <row r="120" spans="1:7" s="158" customFormat="1" x14ac:dyDescent="0.2">
      <c r="B120" s="167" t="s">
        <v>822</v>
      </c>
      <c r="C120" s="167"/>
      <c r="D120" s="167"/>
      <c r="E120" s="167"/>
      <c r="F120" s="167"/>
    </row>
    <row r="121" spans="1:7" ht="14.1" customHeight="1" x14ac:dyDescent="0.2">
      <c r="A121" s="22"/>
      <c r="B121" s="19"/>
      <c r="C121" s="19"/>
      <c r="D121" s="22"/>
      <c r="E121" s="22"/>
      <c r="F121" s="22"/>
      <c r="G121" s="22"/>
    </row>
    <row r="122" spans="1:7" ht="29.1" customHeight="1" x14ac:dyDescent="0.2">
      <c r="A122" s="22"/>
      <c r="B122" s="165" t="s">
        <v>146</v>
      </c>
      <c r="C122" s="166"/>
      <c r="D122" s="2" t="s">
        <v>135</v>
      </c>
      <c r="E122" s="22"/>
      <c r="F122" s="22"/>
      <c r="G122" s="22"/>
    </row>
    <row r="123" spans="1:7" ht="29.1" customHeight="1" x14ac:dyDescent="0.2">
      <c r="A123" s="22"/>
      <c r="B123" s="165" t="s">
        <v>147</v>
      </c>
      <c r="C123" s="166"/>
      <c r="D123" s="2" t="s">
        <v>135</v>
      </c>
      <c r="E123" s="22"/>
      <c r="F123" s="22"/>
      <c r="G123" s="22"/>
    </row>
    <row r="124" spans="1:7" ht="17.100000000000001" customHeight="1" x14ac:dyDescent="0.2">
      <c r="A124" s="22"/>
      <c r="B124" s="165" t="s">
        <v>148</v>
      </c>
      <c r="C124" s="166"/>
      <c r="D124" s="27">
        <v>0.52579254752640836</v>
      </c>
      <c r="E124" s="22"/>
      <c r="F124" s="19"/>
      <c r="G124" s="25"/>
    </row>
    <row r="125" spans="1:7" ht="17.100000000000001" customHeight="1" x14ac:dyDescent="0.2">
      <c r="A125" s="22"/>
      <c r="B125" s="165" t="s">
        <v>149</v>
      </c>
      <c r="C125" s="166"/>
      <c r="D125" s="2" t="s">
        <v>135</v>
      </c>
      <c r="E125" s="22"/>
      <c r="F125" s="22"/>
      <c r="G125" s="22"/>
    </row>
  </sheetData>
  <mergeCells count="15">
    <mergeCell ref="B106:C106"/>
    <mergeCell ref="B103:F103"/>
    <mergeCell ref="B104:F104"/>
    <mergeCell ref="A1:H1"/>
    <mergeCell ref="A2:H2"/>
    <mergeCell ref="A3:H3"/>
    <mergeCell ref="B124:C124"/>
    <mergeCell ref="B125:C125"/>
    <mergeCell ref="B107:C107"/>
    <mergeCell ref="B108:C108"/>
    <mergeCell ref="B109:C109"/>
    <mergeCell ref="B118:C118"/>
    <mergeCell ref="B122:C122"/>
    <mergeCell ref="B123:C123"/>
    <mergeCell ref="B120:F120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15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490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151</v>
      </c>
      <c r="C7" s="4" t="s">
        <v>152</v>
      </c>
      <c r="D7" s="4" t="s">
        <v>153</v>
      </c>
      <c r="E7" s="5">
        <v>3440</v>
      </c>
      <c r="F7" s="6">
        <v>138.54944</v>
      </c>
      <c r="G7" s="7">
        <v>3.1604796999999997E-2</v>
      </c>
      <c r="H7" s="67"/>
    </row>
    <row r="8" spans="1:8" x14ac:dyDescent="0.2">
      <c r="A8" s="3">
        <v>2</v>
      </c>
      <c r="B8" s="4" t="s">
        <v>158</v>
      </c>
      <c r="C8" s="4" t="s">
        <v>159</v>
      </c>
      <c r="D8" s="4" t="s">
        <v>27</v>
      </c>
      <c r="E8" s="5">
        <v>16971</v>
      </c>
      <c r="F8" s="6">
        <v>129.33599100000001</v>
      </c>
      <c r="G8" s="7">
        <v>2.9503099000000001E-2</v>
      </c>
      <c r="H8" s="67"/>
    </row>
    <row r="9" spans="1:8" x14ac:dyDescent="0.2">
      <c r="A9" s="3">
        <v>3</v>
      </c>
      <c r="B9" s="4" t="s">
        <v>37</v>
      </c>
      <c r="C9" s="4" t="s">
        <v>38</v>
      </c>
      <c r="D9" s="4" t="s">
        <v>27</v>
      </c>
      <c r="E9" s="5">
        <v>10772</v>
      </c>
      <c r="F9" s="6">
        <v>128.28913399999999</v>
      </c>
      <c r="G9" s="7">
        <v>2.9264298000000001E-2</v>
      </c>
      <c r="H9" s="67"/>
    </row>
    <row r="10" spans="1:8" x14ac:dyDescent="0.2">
      <c r="A10" s="3">
        <v>4</v>
      </c>
      <c r="B10" s="4" t="s">
        <v>162</v>
      </c>
      <c r="C10" s="4" t="s">
        <v>163</v>
      </c>
      <c r="D10" s="4" t="s">
        <v>27</v>
      </c>
      <c r="E10" s="5">
        <v>16187</v>
      </c>
      <c r="F10" s="6">
        <v>123.7415215</v>
      </c>
      <c r="G10" s="7">
        <v>2.8226932999999999E-2</v>
      </c>
      <c r="H10" s="67"/>
    </row>
    <row r="11" spans="1:8" x14ac:dyDescent="0.2">
      <c r="A11" s="3">
        <v>5</v>
      </c>
      <c r="B11" s="4" t="s">
        <v>154</v>
      </c>
      <c r="C11" s="4" t="s">
        <v>155</v>
      </c>
      <c r="D11" s="4" t="s">
        <v>81</v>
      </c>
      <c r="E11" s="5">
        <v>100031</v>
      </c>
      <c r="F11" s="6">
        <v>117.936549</v>
      </c>
      <c r="G11" s="7">
        <v>2.6902748000000001E-2</v>
      </c>
      <c r="H11" s="67"/>
    </row>
    <row r="12" spans="1:8" x14ac:dyDescent="0.2">
      <c r="A12" s="3">
        <v>6</v>
      </c>
      <c r="B12" s="4" t="s">
        <v>25</v>
      </c>
      <c r="C12" s="4" t="s">
        <v>26</v>
      </c>
      <c r="D12" s="4" t="s">
        <v>27</v>
      </c>
      <c r="E12" s="5">
        <v>9119</v>
      </c>
      <c r="F12" s="6">
        <v>117.72173050000001</v>
      </c>
      <c r="G12" s="7">
        <v>2.6853746000000001E-2</v>
      </c>
      <c r="H12" s="67"/>
    </row>
    <row r="13" spans="1:8" x14ac:dyDescent="0.2">
      <c r="A13" s="3">
        <v>7</v>
      </c>
      <c r="B13" s="4" t="s">
        <v>296</v>
      </c>
      <c r="C13" s="4" t="s">
        <v>297</v>
      </c>
      <c r="D13" s="4" t="s">
        <v>27</v>
      </c>
      <c r="E13" s="5">
        <v>17031</v>
      </c>
      <c r="F13" s="6">
        <v>115.9896255</v>
      </c>
      <c r="G13" s="7">
        <v>2.6458631999999999E-2</v>
      </c>
      <c r="H13" s="67"/>
    </row>
    <row r="14" spans="1:8" x14ac:dyDescent="0.2">
      <c r="A14" s="3">
        <v>8</v>
      </c>
      <c r="B14" s="4" t="s">
        <v>174</v>
      </c>
      <c r="C14" s="4" t="s">
        <v>175</v>
      </c>
      <c r="D14" s="4" t="s">
        <v>55</v>
      </c>
      <c r="E14" s="5">
        <v>28111</v>
      </c>
      <c r="F14" s="6">
        <v>113.1608305</v>
      </c>
      <c r="G14" s="7">
        <v>2.5813349999999999E-2</v>
      </c>
      <c r="H14" s="67"/>
    </row>
    <row r="15" spans="1:8" x14ac:dyDescent="0.2">
      <c r="A15" s="3">
        <v>9</v>
      </c>
      <c r="B15" s="4" t="s">
        <v>448</v>
      </c>
      <c r="C15" s="4" t="s">
        <v>449</v>
      </c>
      <c r="D15" s="4" t="s">
        <v>55</v>
      </c>
      <c r="E15" s="5">
        <v>33367</v>
      </c>
      <c r="F15" s="6">
        <v>110.3613525</v>
      </c>
      <c r="G15" s="7">
        <v>2.5174755E-2</v>
      </c>
      <c r="H15" s="67"/>
    </row>
    <row r="16" spans="1:8" x14ac:dyDescent="0.2">
      <c r="A16" s="3">
        <v>10</v>
      </c>
      <c r="B16" s="4" t="s">
        <v>466</v>
      </c>
      <c r="C16" s="4" t="s">
        <v>467</v>
      </c>
      <c r="D16" s="4" t="s">
        <v>187</v>
      </c>
      <c r="E16" s="5">
        <v>16548</v>
      </c>
      <c r="F16" s="6">
        <v>104.550264</v>
      </c>
      <c r="G16" s="7">
        <v>2.3849176E-2</v>
      </c>
      <c r="H16" s="67"/>
    </row>
    <row r="17" spans="1:8" ht="25.5" x14ac:dyDescent="0.2">
      <c r="A17" s="3">
        <v>11</v>
      </c>
      <c r="B17" s="4" t="s">
        <v>30</v>
      </c>
      <c r="C17" s="4" t="s">
        <v>998</v>
      </c>
      <c r="D17" s="4" t="s">
        <v>992</v>
      </c>
      <c r="E17" s="5">
        <v>2999</v>
      </c>
      <c r="F17" s="6">
        <v>98.109285999999997</v>
      </c>
      <c r="G17" s="7">
        <v>2.2379910999999999E-2</v>
      </c>
      <c r="H17" s="67"/>
    </row>
    <row r="18" spans="1:8" x14ac:dyDescent="0.2">
      <c r="A18" s="3">
        <v>12</v>
      </c>
      <c r="B18" s="4" t="s">
        <v>156</v>
      </c>
      <c r="C18" s="4" t="s">
        <v>157</v>
      </c>
      <c r="D18" s="4" t="s">
        <v>153</v>
      </c>
      <c r="E18" s="5">
        <v>6678</v>
      </c>
      <c r="F18" s="6">
        <v>93.712373999999997</v>
      </c>
      <c r="G18" s="7">
        <v>2.1376922E-2</v>
      </c>
      <c r="H18" s="67"/>
    </row>
    <row r="19" spans="1:8" x14ac:dyDescent="0.2">
      <c r="A19" s="3">
        <v>13</v>
      </c>
      <c r="B19" s="4" t="s">
        <v>342</v>
      </c>
      <c r="C19" s="4" t="s">
        <v>343</v>
      </c>
      <c r="D19" s="4" t="s">
        <v>171</v>
      </c>
      <c r="E19" s="5">
        <v>2466</v>
      </c>
      <c r="F19" s="6">
        <v>90.073115999999999</v>
      </c>
      <c r="G19" s="7">
        <v>2.0546763999999999E-2</v>
      </c>
      <c r="H19" s="67"/>
    </row>
    <row r="20" spans="1:8" x14ac:dyDescent="0.2">
      <c r="A20" s="3">
        <v>14</v>
      </c>
      <c r="B20" s="4" t="s">
        <v>167</v>
      </c>
      <c r="C20" s="4" t="s">
        <v>168</v>
      </c>
      <c r="D20" s="4" t="s">
        <v>166</v>
      </c>
      <c r="E20" s="5">
        <v>2635</v>
      </c>
      <c r="F20" s="6">
        <v>87.5360175</v>
      </c>
      <c r="G20" s="7">
        <v>1.9968020999999999E-2</v>
      </c>
      <c r="H20" s="67"/>
    </row>
    <row r="21" spans="1:8" x14ac:dyDescent="0.2">
      <c r="A21" s="3">
        <v>15</v>
      </c>
      <c r="B21" s="4" t="s">
        <v>164</v>
      </c>
      <c r="C21" s="4" t="s">
        <v>165</v>
      </c>
      <c r="D21" s="4" t="s">
        <v>166</v>
      </c>
      <c r="E21" s="5">
        <v>25698</v>
      </c>
      <c r="F21" s="6">
        <v>86.550864000000004</v>
      </c>
      <c r="G21" s="7">
        <v>1.9743295000000001E-2</v>
      </c>
      <c r="H21" s="67"/>
    </row>
    <row r="22" spans="1:8" ht="25.5" x14ac:dyDescent="0.2">
      <c r="A22" s="3">
        <v>16</v>
      </c>
      <c r="B22" s="4" t="s">
        <v>202</v>
      </c>
      <c r="C22" s="4" t="s">
        <v>203</v>
      </c>
      <c r="D22" s="4" t="s">
        <v>52</v>
      </c>
      <c r="E22" s="5">
        <v>18151</v>
      </c>
      <c r="F22" s="6">
        <v>84.629037499999995</v>
      </c>
      <c r="G22" s="7">
        <v>1.9304904000000001E-2</v>
      </c>
      <c r="H22" s="67"/>
    </row>
    <row r="23" spans="1:8" x14ac:dyDescent="0.2">
      <c r="A23" s="3">
        <v>17</v>
      </c>
      <c r="B23" s="4" t="s">
        <v>206</v>
      </c>
      <c r="C23" s="4" t="s">
        <v>207</v>
      </c>
      <c r="D23" s="4" t="s">
        <v>187</v>
      </c>
      <c r="E23" s="5">
        <v>12470</v>
      </c>
      <c r="F23" s="6">
        <v>83.125020000000006</v>
      </c>
      <c r="G23" s="7">
        <v>1.8961819000000001E-2</v>
      </c>
      <c r="H23" s="67"/>
    </row>
    <row r="24" spans="1:8" x14ac:dyDescent="0.2">
      <c r="A24" s="3">
        <v>18</v>
      </c>
      <c r="B24" s="4" t="s">
        <v>177</v>
      </c>
      <c r="C24" s="4" t="s">
        <v>178</v>
      </c>
      <c r="D24" s="4" t="s">
        <v>179</v>
      </c>
      <c r="E24" s="5">
        <v>33999</v>
      </c>
      <c r="F24" s="6">
        <v>81.427605</v>
      </c>
      <c r="G24" s="7">
        <v>1.8574618000000001E-2</v>
      </c>
      <c r="H24" s="67"/>
    </row>
    <row r="25" spans="1:8" x14ac:dyDescent="0.2">
      <c r="A25" s="3">
        <v>19</v>
      </c>
      <c r="B25" s="4" t="s">
        <v>198</v>
      </c>
      <c r="C25" s="4" t="s">
        <v>199</v>
      </c>
      <c r="D25" s="4" t="s">
        <v>166</v>
      </c>
      <c r="E25" s="5">
        <v>7999</v>
      </c>
      <c r="F25" s="6">
        <v>78.186225500000006</v>
      </c>
      <c r="G25" s="7">
        <v>1.7835220999999998E-2</v>
      </c>
      <c r="H25" s="67"/>
    </row>
    <row r="26" spans="1:8" x14ac:dyDescent="0.2">
      <c r="A26" s="3">
        <v>20</v>
      </c>
      <c r="B26" s="4" t="s">
        <v>196</v>
      </c>
      <c r="C26" s="4" t="s">
        <v>197</v>
      </c>
      <c r="D26" s="4" t="s">
        <v>1004</v>
      </c>
      <c r="E26" s="5">
        <v>25091</v>
      </c>
      <c r="F26" s="6">
        <v>77.593917500000003</v>
      </c>
      <c r="G26" s="7">
        <v>1.7700107999999999E-2</v>
      </c>
      <c r="H26" s="67"/>
    </row>
    <row r="27" spans="1:8" x14ac:dyDescent="0.2">
      <c r="A27" s="3">
        <v>21</v>
      </c>
      <c r="B27" s="4" t="s">
        <v>182</v>
      </c>
      <c r="C27" s="4" t="s">
        <v>183</v>
      </c>
      <c r="D27" s="4" t="s">
        <v>184</v>
      </c>
      <c r="E27" s="5">
        <v>7639</v>
      </c>
      <c r="F27" s="6">
        <v>75.3243595</v>
      </c>
      <c r="G27" s="7">
        <v>1.7182394E-2</v>
      </c>
      <c r="H27" s="67"/>
    </row>
    <row r="28" spans="1:8" ht="25.5" x14ac:dyDescent="0.2">
      <c r="A28" s="3">
        <v>22</v>
      </c>
      <c r="B28" s="4" t="s">
        <v>450</v>
      </c>
      <c r="C28" s="4" t="s">
        <v>451</v>
      </c>
      <c r="D28" s="4" t="s">
        <v>36</v>
      </c>
      <c r="E28" s="5">
        <v>5026</v>
      </c>
      <c r="F28" s="6">
        <v>72.959929000000002</v>
      </c>
      <c r="G28" s="7">
        <v>1.6643038999999998E-2</v>
      </c>
      <c r="H28" s="67"/>
    </row>
    <row r="29" spans="1:8" x14ac:dyDescent="0.2">
      <c r="A29" s="3">
        <v>23</v>
      </c>
      <c r="B29" s="4" t="s">
        <v>215</v>
      </c>
      <c r="C29" s="4" t="s">
        <v>216</v>
      </c>
      <c r="D29" s="4" t="s">
        <v>69</v>
      </c>
      <c r="E29" s="5">
        <v>72425</v>
      </c>
      <c r="F29" s="6">
        <v>72.388787500000007</v>
      </c>
      <c r="G29" s="7">
        <v>1.6512755E-2</v>
      </c>
      <c r="H29" s="67"/>
    </row>
    <row r="30" spans="1:8" x14ac:dyDescent="0.2">
      <c r="A30" s="3">
        <v>24</v>
      </c>
      <c r="B30" s="4" t="s">
        <v>219</v>
      </c>
      <c r="C30" s="4" t="s">
        <v>220</v>
      </c>
      <c r="D30" s="4" t="s">
        <v>55</v>
      </c>
      <c r="E30" s="5">
        <v>8499</v>
      </c>
      <c r="F30" s="6">
        <v>72.131012999999996</v>
      </c>
      <c r="G30" s="7">
        <v>1.6453954E-2</v>
      </c>
      <c r="H30" s="67"/>
    </row>
    <row r="31" spans="1:8" x14ac:dyDescent="0.2">
      <c r="A31" s="3">
        <v>25</v>
      </c>
      <c r="B31" s="4" t="s">
        <v>63</v>
      </c>
      <c r="C31" s="4" t="s">
        <v>64</v>
      </c>
      <c r="D31" s="4" t="s">
        <v>55</v>
      </c>
      <c r="E31" s="5">
        <v>27627</v>
      </c>
      <c r="F31" s="6">
        <v>71.553929999999994</v>
      </c>
      <c r="G31" s="7">
        <v>1.6322314000000001E-2</v>
      </c>
      <c r="H31" s="67"/>
    </row>
    <row r="32" spans="1:8" x14ac:dyDescent="0.2">
      <c r="A32" s="3">
        <v>26</v>
      </c>
      <c r="B32" s="4" t="s">
        <v>192</v>
      </c>
      <c r="C32" s="4" t="s">
        <v>193</v>
      </c>
      <c r="D32" s="4" t="s">
        <v>81</v>
      </c>
      <c r="E32" s="5">
        <v>12129</v>
      </c>
      <c r="F32" s="6">
        <v>69.214138500000004</v>
      </c>
      <c r="G32" s="7">
        <v>1.5788579000000001E-2</v>
      </c>
      <c r="H32" s="67"/>
    </row>
    <row r="33" spans="1:8" x14ac:dyDescent="0.2">
      <c r="A33" s="3">
        <v>27</v>
      </c>
      <c r="B33" s="4" t="s">
        <v>204</v>
      </c>
      <c r="C33" s="4" t="s">
        <v>205</v>
      </c>
      <c r="D33" s="4" t="s">
        <v>27</v>
      </c>
      <c r="E33" s="5">
        <v>4007</v>
      </c>
      <c r="F33" s="6">
        <v>66.542245500000007</v>
      </c>
      <c r="G33" s="7">
        <v>1.5179088E-2</v>
      </c>
      <c r="H33" s="67"/>
    </row>
    <row r="34" spans="1:8" x14ac:dyDescent="0.2">
      <c r="A34" s="3">
        <v>28</v>
      </c>
      <c r="B34" s="4" t="s">
        <v>194</v>
      </c>
      <c r="C34" s="4" t="s">
        <v>195</v>
      </c>
      <c r="D34" s="4" t="s">
        <v>55</v>
      </c>
      <c r="E34" s="5">
        <v>6780</v>
      </c>
      <c r="F34" s="6">
        <v>65.345640000000003</v>
      </c>
      <c r="G34" s="7">
        <v>1.4906127999999999E-2</v>
      </c>
      <c r="H34" s="67"/>
    </row>
    <row r="35" spans="1:8" x14ac:dyDescent="0.2">
      <c r="A35" s="3">
        <v>29</v>
      </c>
      <c r="B35" s="4" t="s">
        <v>185</v>
      </c>
      <c r="C35" s="4" t="s">
        <v>186</v>
      </c>
      <c r="D35" s="4" t="s">
        <v>187</v>
      </c>
      <c r="E35" s="5">
        <v>13550</v>
      </c>
      <c r="F35" s="6">
        <v>65.006124999999997</v>
      </c>
      <c r="G35" s="7">
        <v>1.4828681E-2</v>
      </c>
      <c r="H35" s="67"/>
    </row>
    <row r="36" spans="1:8" x14ac:dyDescent="0.2">
      <c r="A36" s="3">
        <v>30</v>
      </c>
      <c r="B36" s="4" t="s">
        <v>456</v>
      </c>
      <c r="C36" s="4" t="s">
        <v>457</v>
      </c>
      <c r="D36" s="4" t="s">
        <v>212</v>
      </c>
      <c r="E36" s="5">
        <v>10335</v>
      </c>
      <c r="F36" s="6">
        <v>61.085017499999999</v>
      </c>
      <c r="G36" s="7">
        <v>1.3934228999999999E-2</v>
      </c>
      <c r="H36" s="67"/>
    </row>
    <row r="37" spans="1:8" x14ac:dyDescent="0.2">
      <c r="A37" s="3">
        <v>31</v>
      </c>
      <c r="B37" s="4" t="s">
        <v>190</v>
      </c>
      <c r="C37" s="4" t="s">
        <v>191</v>
      </c>
      <c r="D37" s="4" t="s">
        <v>41</v>
      </c>
      <c r="E37" s="5">
        <v>14751</v>
      </c>
      <c r="F37" s="6">
        <v>60.729866999999999</v>
      </c>
      <c r="G37" s="7">
        <v>1.3853215E-2</v>
      </c>
      <c r="H37" s="67"/>
    </row>
    <row r="38" spans="1:8" x14ac:dyDescent="0.2">
      <c r="A38" s="3">
        <v>32</v>
      </c>
      <c r="B38" s="4" t="s">
        <v>213</v>
      </c>
      <c r="C38" s="4" t="s">
        <v>214</v>
      </c>
      <c r="D38" s="4" t="s">
        <v>81</v>
      </c>
      <c r="E38" s="5">
        <v>10566</v>
      </c>
      <c r="F38" s="6">
        <v>60.326577</v>
      </c>
      <c r="G38" s="7">
        <v>1.3761219E-2</v>
      </c>
      <c r="H38" s="67"/>
    </row>
    <row r="39" spans="1:8" x14ac:dyDescent="0.2">
      <c r="A39" s="3">
        <v>33</v>
      </c>
      <c r="B39" s="4" t="s">
        <v>290</v>
      </c>
      <c r="C39" s="4" t="s">
        <v>291</v>
      </c>
      <c r="D39" s="4" t="s">
        <v>27</v>
      </c>
      <c r="E39" s="5">
        <v>5065</v>
      </c>
      <c r="F39" s="6">
        <v>59.992392500000001</v>
      </c>
      <c r="G39" s="7">
        <v>1.3684988E-2</v>
      </c>
      <c r="H39" s="67"/>
    </row>
    <row r="40" spans="1:8" x14ac:dyDescent="0.2">
      <c r="A40" s="3">
        <v>34</v>
      </c>
      <c r="B40" s="4" t="s">
        <v>223</v>
      </c>
      <c r="C40" s="4" t="s">
        <v>224</v>
      </c>
      <c r="D40" s="4" t="s">
        <v>69</v>
      </c>
      <c r="E40" s="5">
        <v>6936</v>
      </c>
      <c r="F40" s="6">
        <v>59.840339999999998</v>
      </c>
      <c r="G40" s="7">
        <v>1.3650303000000001E-2</v>
      </c>
      <c r="H40" s="67"/>
    </row>
    <row r="41" spans="1:8" x14ac:dyDescent="0.2">
      <c r="A41" s="3">
        <v>35</v>
      </c>
      <c r="B41" s="4" t="s">
        <v>234</v>
      </c>
      <c r="C41" s="4" t="s">
        <v>235</v>
      </c>
      <c r="D41" s="4" t="s">
        <v>187</v>
      </c>
      <c r="E41" s="5">
        <v>3496</v>
      </c>
      <c r="F41" s="6">
        <v>59.524644000000002</v>
      </c>
      <c r="G41" s="7">
        <v>1.3578289E-2</v>
      </c>
      <c r="H41" s="67"/>
    </row>
    <row r="42" spans="1:8" x14ac:dyDescent="0.2">
      <c r="A42" s="3">
        <v>36</v>
      </c>
      <c r="B42" s="4" t="s">
        <v>210</v>
      </c>
      <c r="C42" s="4" t="s">
        <v>211</v>
      </c>
      <c r="D42" s="4" t="s">
        <v>212</v>
      </c>
      <c r="E42" s="5">
        <v>23472</v>
      </c>
      <c r="F42" s="6">
        <v>58.844304000000001</v>
      </c>
      <c r="G42" s="7">
        <v>1.3423094999999999E-2</v>
      </c>
      <c r="H42" s="67"/>
    </row>
    <row r="43" spans="1:8" x14ac:dyDescent="0.2">
      <c r="A43" s="3">
        <v>37</v>
      </c>
      <c r="B43" s="4" t="s">
        <v>247</v>
      </c>
      <c r="C43" s="4" t="s">
        <v>248</v>
      </c>
      <c r="D43" s="4" t="s">
        <v>1001</v>
      </c>
      <c r="E43" s="5">
        <v>10548</v>
      </c>
      <c r="F43" s="6">
        <v>58.072014000000003</v>
      </c>
      <c r="G43" s="7">
        <v>1.3246925999999999E-2</v>
      </c>
      <c r="H43" s="67"/>
    </row>
    <row r="44" spans="1:8" x14ac:dyDescent="0.2">
      <c r="A44" s="3">
        <v>38</v>
      </c>
      <c r="B44" s="4" t="s">
        <v>243</v>
      </c>
      <c r="C44" s="4" t="s">
        <v>244</v>
      </c>
      <c r="D44" s="4" t="s">
        <v>171</v>
      </c>
      <c r="E44" s="5">
        <v>15992</v>
      </c>
      <c r="F44" s="6">
        <v>57.970999999999997</v>
      </c>
      <c r="G44" s="7">
        <v>1.3223884E-2</v>
      </c>
      <c r="H44" s="67"/>
    </row>
    <row r="45" spans="1:8" x14ac:dyDescent="0.2">
      <c r="A45" s="3">
        <v>39</v>
      </c>
      <c r="B45" s="4" t="s">
        <v>245</v>
      </c>
      <c r="C45" s="4" t="s">
        <v>246</v>
      </c>
      <c r="D45" s="4" t="s">
        <v>81</v>
      </c>
      <c r="E45" s="5">
        <v>114515</v>
      </c>
      <c r="F45" s="6">
        <v>57.543787500000001</v>
      </c>
      <c r="G45" s="7">
        <v>1.3126432E-2</v>
      </c>
      <c r="H45" s="67"/>
    </row>
    <row r="46" spans="1:8" ht="25.5" x14ac:dyDescent="0.2">
      <c r="A46" s="3">
        <v>40</v>
      </c>
      <c r="B46" s="4" t="s">
        <v>221</v>
      </c>
      <c r="C46" s="4" t="s">
        <v>222</v>
      </c>
      <c r="D46" s="4" t="s">
        <v>36</v>
      </c>
      <c r="E46" s="5">
        <v>66888</v>
      </c>
      <c r="F46" s="6">
        <v>57.456792</v>
      </c>
      <c r="G46" s="7">
        <v>1.3106586999999999E-2</v>
      </c>
      <c r="H46" s="67"/>
    </row>
    <row r="47" spans="1:8" x14ac:dyDescent="0.2">
      <c r="A47" s="3">
        <v>41</v>
      </c>
      <c r="B47" s="4" t="s">
        <v>454</v>
      </c>
      <c r="C47" s="4" t="s">
        <v>455</v>
      </c>
      <c r="D47" s="4" t="s">
        <v>46</v>
      </c>
      <c r="E47" s="5">
        <v>13487</v>
      </c>
      <c r="F47" s="6">
        <v>55.107881999999996</v>
      </c>
      <c r="G47" s="7">
        <v>1.2570771999999999E-2</v>
      </c>
      <c r="H47" s="67"/>
    </row>
    <row r="48" spans="1:8" ht="25.5" x14ac:dyDescent="0.2">
      <c r="A48" s="3">
        <v>42</v>
      </c>
      <c r="B48" s="4" t="s">
        <v>230</v>
      </c>
      <c r="C48" s="4" t="s">
        <v>231</v>
      </c>
      <c r="D48" s="4" t="s">
        <v>52</v>
      </c>
      <c r="E48" s="5">
        <v>13540</v>
      </c>
      <c r="F48" s="6">
        <v>54.54589</v>
      </c>
      <c r="G48" s="7">
        <v>1.2442575000000001E-2</v>
      </c>
      <c r="H48" s="67"/>
    </row>
    <row r="49" spans="1:8" x14ac:dyDescent="0.2">
      <c r="A49" s="3">
        <v>43</v>
      </c>
      <c r="B49" s="4" t="s">
        <v>208</v>
      </c>
      <c r="C49" s="4" t="s">
        <v>209</v>
      </c>
      <c r="D49" s="4" t="s">
        <v>1005</v>
      </c>
      <c r="E49" s="5">
        <v>6263</v>
      </c>
      <c r="F49" s="6">
        <v>53.0382155</v>
      </c>
      <c r="G49" s="7">
        <v>1.2098655999999999E-2</v>
      </c>
      <c r="H49" s="67"/>
    </row>
    <row r="50" spans="1:8" ht="25.5" x14ac:dyDescent="0.2">
      <c r="A50" s="3">
        <v>44</v>
      </c>
      <c r="B50" s="4" t="s">
        <v>238</v>
      </c>
      <c r="C50" s="4" t="s">
        <v>239</v>
      </c>
      <c r="D50" s="4" t="s">
        <v>1006</v>
      </c>
      <c r="E50" s="5">
        <v>49629</v>
      </c>
      <c r="F50" s="6">
        <v>51.018611999999997</v>
      </c>
      <c r="G50" s="7">
        <v>1.1637959999999999E-2</v>
      </c>
      <c r="H50" s="67"/>
    </row>
    <row r="51" spans="1:8" x14ac:dyDescent="0.2">
      <c r="A51" s="3">
        <v>45</v>
      </c>
      <c r="B51" s="4" t="s">
        <v>232</v>
      </c>
      <c r="C51" s="4" t="s">
        <v>233</v>
      </c>
      <c r="D51" s="4" t="s">
        <v>55</v>
      </c>
      <c r="E51" s="5">
        <v>19491</v>
      </c>
      <c r="F51" s="6">
        <v>49.321975500000001</v>
      </c>
      <c r="G51" s="7">
        <v>1.1250937000000001E-2</v>
      </c>
      <c r="H51" s="67"/>
    </row>
    <row r="52" spans="1:8" ht="25.5" x14ac:dyDescent="0.2">
      <c r="A52" s="3">
        <v>46</v>
      </c>
      <c r="B52" s="4" t="s">
        <v>240</v>
      </c>
      <c r="C52" s="4" t="s">
        <v>241</v>
      </c>
      <c r="D52" s="4" t="s">
        <v>52</v>
      </c>
      <c r="E52" s="5">
        <v>12063</v>
      </c>
      <c r="F52" s="6">
        <v>48.704362500000002</v>
      </c>
      <c r="G52" s="7">
        <v>1.1110052E-2</v>
      </c>
      <c r="H52" s="67"/>
    </row>
    <row r="53" spans="1:8" x14ac:dyDescent="0.2">
      <c r="A53" s="3">
        <v>47</v>
      </c>
      <c r="B53" s="4" t="s">
        <v>270</v>
      </c>
      <c r="C53" s="4" t="s">
        <v>271</v>
      </c>
      <c r="D53" s="4" t="s">
        <v>272</v>
      </c>
      <c r="E53" s="5">
        <v>20978</v>
      </c>
      <c r="F53" s="6">
        <v>47.672505000000001</v>
      </c>
      <c r="G53" s="7">
        <v>1.0874673E-2</v>
      </c>
      <c r="H53" s="67"/>
    </row>
    <row r="54" spans="1:8" ht="25.5" x14ac:dyDescent="0.2">
      <c r="A54" s="3">
        <v>48</v>
      </c>
      <c r="B54" s="4" t="s">
        <v>176</v>
      </c>
      <c r="C54" s="4" t="s">
        <v>995</v>
      </c>
      <c r="D54" s="4" t="s">
        <v>992</v>
      </c>
      <c r="E54" s="5">
        <v>17243</v>
      </c>
      <c r="F54" s="6">
        <v>45.624977999999999</v>
      </c>
      <c r="G54" s="7">
        <v>1.0407606999999999E-2</v>
      </c>
      <c r="H54" s="67"/>
    </row>
    <row r="55" spans="1:8" x14ac:dyDescent="0.2">
      <c r="A55" s="3">
        <v>49</v>
      </c>
      <c r="B55" s="4" t="s">
        <v>452</v>
      </c>
      <c r="C55" s="4" t="s">
        <v>453</v>
      </c>
      <c r="D55" s="4" t="s">
        <v>27</v>
      </c>
      <c r="E55" s="5">
        <v>5485</v>
      </c>
      <c r="F55" s="6">
        <v>45.522757499999997</v>
      </c>
      <c r="G55" s="7">
        <v>1.0384289999999999E-2</v>
      </c>
      <c r="H55" s="67"/>
    </row>
    <row r="56" spans="1:8" x14ac:dyDescent="0.2">
      <c r="A56" s="3">
        <v>50</v>
      </c>
      <c r="B56" s="4" t="s">
        <v>460</v>
      </c>
      <c r="C56" s="4" t="s">
        <v>461</v>
      </c>
      <c r="D56" s="4" t="s">
        <v>81</v>
      </c>
      <c r="E56" s="5">
        <v>6433</v>
      </c>
      <c r="F56" s="6">
        <v>45.169309499999997</v>
      </c>
      <c r="G56" s="7">
        <v>1.0303664000000001E-2</v>
      </c>
      <c r="H56" s="67"/>
    </row>
    <row r="57" spans="1:8" x14ac:dyDescent="0.2">
      <c r="A57" s="3">
        <v>51</v>
      </c>
      <c r="B57" s="4" t="s">
        <v>77</v>
      </c>
      <c r="C57" s="4" t="s">
        <v>78</v>
      </c>
      <c r="D57" s="4" t="s">
        <v>69</v>
      </c>
      <c r="E57" s="5">
        <v>13250</v>
      </c>
      <c r="F57" s="6">
        <v>44.314624999999999</v>
      </c>
      <c r="G57" s="7">
        <v>1.01087E-2</v>
      </c>
      <c r="H57" s="67"/>
    </row>
    <row r="58" spans="1:8" x14ac:dyDescent="0.2">
      <c r="A58" s="3">
        <v>52</v>
      </c>
      <c r="B58" s="4" t="s">
        <v>253</v>
      </c>
      <c r="C58" s="4" t="s">
        <v>254</v>
      </c>
      <c r="D58" s="4" t="s">
        <v>49</v>
      </c>
      <c r="E58" s="5">
        <v>3908</v>
      </c>
      <c r="F58" s="6">
        <v>41.19032</v>
      </c>
      <c r="G58" s="7">
        <v>9.3960090000000003E-3</v>
      </c>
      <c r="H58" s="67"/>
    </row>
    <row r="59" spans="1:8" x14ac:dyDescent="0.2">
      <c r="A59" s="3">
        <v>53</v>
      </c>
      <c r="B59" s="4" t="s">
        <v>268</v>
      </c>
      <c r="C59" s="4" t="s">
        <v>269</v>
      </c>
      <c r="D59" s="4" t="s">
        <v>24</v>
      </c>
      <c r="E59" s="5">
        <v>44477</v>
      </c>
      <c r="F59" s="6">
        <v>40.985555499999997</v>
      </c>
      <c r="G59" s="7">
        <v>9.3492990000000002E-3</v>
      </c>
      <c r="H59" s="67"/>
    </row>
    <row r="60" spans="1:8" x14ac:dyDescent="0.2">
      <c r="A60" s="3">
        <v>54</v>
      </c>
      <c r="B60" s="4" t="s">
        <v>172</v>
      </c>
      <c r="C60" s="4" t="s">
        <v>173</v>
      </c>
      <c r="D60" s="4" t="s">
        <v>331</v>
      </c>
      <c r="E60" s="5">
        <v>4199</v>
      </c>
      <c r="F60" s="6">
        <v>40.035365499999997</v>
      </c>
      <c r="G60" s="7">
        <v>9.1325490000000002E-3</v>
      </c>
      <c r="H60" s="67"/>
    </row>
    <row r="61" spans="1:8" x14ac:dyDescent="0.2">
      <c r="A61" s="3">
        <v>55</v>
      </c>
      <c r="B61" s="4" t="s">
        <v>262</v>
      </c>
      <c r="C61" s="4" t="s">
        <v>263</v>
      </c>
      <c r="D61" s="4" t="s">
        <v>171</v>
      </c>
      <c r="E61" s="5">
        <v>5643</v>
      </c>
      <c r="F61" s="6">
        <v>38.242610999999997</v>
      </c>
      <c r="G61" s="7">
        <v>8.7236009999999992E-3</v>
      </c>
      <c r="H61" s="67"/>
    </row>
    <row r="62" spans="1:8" x14ac:dyDescent="0.2">
      <c r="A62" s="3">
        <v>56</v>
      </c>
      <c r="B62" s="4" t="s">
        <v>255</v>
      </c>
      <c r="C62" s="4" t="s">
        <v>256</v>
      </c>
      <c r="D62" s="4" t="s">
        <v>331</v>
      </c>
      <c r="E62" s="5">
        <v>2232</v>
      </c>
      <c r="F62" s="6">
        <v>33.223320000000001</v>
      </c>
      <c r="G62" s="7">
        <v>7.5786400000000002E-3</v>
      </c>
      <c r="H62" s="67"/>
    </row>
    <row r="63" spans="1:8" x14ac:dyDescent="0.2">
      <c r="A63" s="3">
        <v>57</v>
      </c>
      <c r="B63" s="4" t="s">
        <v>462</v>
      </c>
      <c r="C63" s="4" t="s">
        <v>463</v>
      </c>
      <c r="D63" s="4" t="s">
        <v>1003</v>
      </c>
      <c r="E63" s="5">
        <v>35218</v>
      </c>
      <c r="F63" s="6">
        <v>32.911220999999998</v>
      </c>
      <c r="G63" s="7">
        <v>7.5074460000000001E-3</v>
      </c>
      <c r="H63" s="67"/>
    </row>
    <row r="64" spans="1:8" x14ac:dyDescent="0.2">
      <c r="A64" s="3">
        <v>58</v>
      </c>
      <c r="B64" s="4" t="s">
        <v>273</v>
      </c>
      <c r="C64" s="4" t="s">
        <v>274</v>
      </c>
      <c r="D64" s="4" t="s">
        <v>187</v>
      </c>
      <c r="E64" s="5">
        <v>596</v>
      </c>
      <c r="F64" s="6">
        <v>32.418824000000001</v>
      </c>
      <c r="G64" s="7">
        <v>7.3951249999999998E-3</v>
      </c>
      <c r="H64" s="67"/>
    </row>
    <row r="65" spans="1:8" x14ac:dyDescent="0.2">
      <c r="A65" s="3">
        <v>59</v>
      </c>
      <c r="B65" s="4" t="s">
        <v>277</v>
      </c>
      <c r="C65" s="4" t="s">
        <v>278</v>
      </c>
      <c r="D65" s="4" t="s">
        <v>187</v>
      </c>
      <c r="E65" s="5">
        <v>8117</v>
      </c>
      <c r="F65" s="6">
        <v>31.729353</v>
      </c>
      <c r="G65" s="7">
        <v>7.2378479999999999E-3</v>
      </c>
      <c r="H65" s="67"/>
    </row>
    <row r="66" spans="1:8" x14ac:dyDescent="0.2">
      <c r="A66" s="3">
        <v>60</v>
      </c>
      <c r="B66" s="4" t="s">
        <v>279</v>
      </c>
      <c r="C66" s="4" t="s">
        <v>280</v>
      </c>
      <c r="D66" s="4" t="s">
        <v>1003</v>
      </c>
      <c r="E66" s="5">
        <v>2065</v>
      </c>
      <c r="F66" s="6">
        <v>31.337407500000001</v>
      </c>
      <c r="G66" s="7">
        <v>7.1484399999999998E-3</v>
      </c>
      <c r="H66" s="67"/>
    </row>
    <row r="67" spans="1:8" x14ac:dyDescent="0.2">
      <c r="A67" s="3">
        <v>61</v>
      </c>
      <c r="B67" s="4" t="s">
        <v>285</v>
      </c>
      <c r="C67" s="4" t="s">
        <v>286</v>
      </c>
      <c r="D67" s="4" t="s">
        <v>153</v>
      </c>
      <c r="E67" s="5">
        <v>2348</v>
      </c>
      <c r="F67" s="6">
        <v>30.135406</v>
      </c>
      <c r="G67" s="7">
        <v>6.8742489999999998E-3</v>
      </c>
      <c r="H67" s="67"/>
    </row>
    <row r="68" spans="1:8" x14ac:dyDescent="0.2">
      <c r="A68" s="3">
        <v>62</v>
      </c>
      <c r="B68" s="4" t="s">
        <v>283</v>
      </c>
      <c r="C68" s="4" t="s">
        <v>284</v>
      </c>
      <c r="D68" s="4" t="s">
        <v>166</v>
      </c>
      <c r="E68" s="5">
        <v>4487</v>
      </c>
      <c r="F68" s="6">
        <v>20.328353499999999</v>
      </c>
      <c r="G68" s="7">
        <v>4.6371420000000003E-3</v>
      </c>
      <c r="H68" s="67"/>
    </row>
    <row r="69" spans="1:8" x14ac:dyDescent="0.2">
      <c r="A69" s="3">
        <v>63</v>
      </c>
      <c r="B69" s="4" t="s">
        <v>287</v>
      </c>
      <c r="C69" s="4" t="s">
        <v>288</v>
      </c>
      <c r="D69" s="4" t="s">
        <v>1001</v>
      </c>
      <c r="E69" s="5">
        <v>1335</v>
      </c>
      <c r="F69" s="6">
        <v>6.0081674999999999</v>
      </c>
      <c r="G69" s="7">
        <v>1.370535E-3</v>
      </c>
      <c r="H69" s="67"/>
    </row>
    <row r="70" spans="1:8" x14ac:dyDescent="0.2">
      <c r="A70" s="1"/>
      <c r="B70" s="1"/>
      <c r="C70" s="2" t="s">
        <v>105</v>
      </c>
      <c r="D70" s="1"/>
      <c r="E70" s="1" t="s">
        <v>106</v>
      </c>
      <c r="F70" s="9">
        <v>4261.0198220000002</v>
      </c>
      <c r="G70" s="10">
        <v>0.971989985</v>
      </c>
      <c r="H70" s="67"/>
    </row>
    <row r="71" spans="1:8" x14ac:dyDescent="0.2">
      <c r="A71" s="1"/>
      <c r="B71" s="1"/>
      <c r="C71" s="11"/>
      <c r="D71" s="1"/>
      <c r="E71" s="1"/>
      <c r="F71" s="12"/>
      <c r="G71" s="12"/>
      <c r="H71" s="67"/>
    </row>
    <row r="72" spans="1:8" x14ac:dyDescent="0.2">
      <c r="A72" s="1"/>
      <c r="B72" s="1"/>
      <c r="C72" s="2" t="s">
        <v>107</v>
      </c>
      <c r="D72" s="1"/>
      <c r="E72" s="1"/>
      <c r="F72" s="1"/>
      <c r="G72" s="1"/>
      <c r="H72" s="67"/>
    </row>
    <row r="73" spans="1:8" x14ac:dyDescent="0.2">
      <c r="A73" s="1"/>
      <c r="B73" s="1"/>
      <c r="C73" s="2" t="s">
        <v>105</v>
      </c>
      <c r="D73" s="1"/>
      <c r="E73" s="1" t="s">
        <v>106</v>
      </c>
      <c r="F73" s="13">
        <v>0</v>
      </c>
      <c r="G73" s="14">
        <v>0</v>
      </c>
      <c r="H73" s="67"/>
    </row>
    <row r="74" spans="1:8" x14ac:dyDescent="0.2">
      <c r="A74" s="1"/>
      <c r="B74" s="1"/>
      <c r="C74" s="11"/>
      <c r="D74" s="1"/>
      <c r="E74" s="1"/>
      <c r="F74" s="12"/>
      <c r="G74" s="12"/>
      <c r="H74" s="67"/>
    </row>
    <row r="75" spans="1:8" x14ac:dyDescent="0.2">
      <c r="A75" s="1"/>
      <c r="B75" s="1"/>
      <c r="C75" s="2" t="s">
        <v>108</v>
      </c>
      <c r="D75" s="1"/>
      <c r="E75" s="1"/>
      <c r="F75" s="1"/>
      <c r="G75" s="1"/>
      <c r="H75" s="67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">
        <v>0</v>
      </c>
      <c r="H76" s="67"/>
    </row>
    <row r="77" spans="1:8" x14ac:dyDescent="0.2">
      <c r="A77" s="1"/>
      <c r="B77" s="1"/>
      <c r="C77" s="11"/>
      <c r="D77" s="1"/>
      <c r="E77" s="1"/>
      <c r="F77" s="12"/>
      <c r="G77" s="12"/>
      <c r="H77" s="67"/>
    </row>
    <row r="78" spans="1:8" x14ac:dyDescent="0.2">
      <c r="A78" s="1"/>
      <c r="B78" s="1"/>
      <c r="C78" s="2" t="s">
        <v>109</v>
      </c>
      <c r="D78" s="1"/>
      <c r="E78" s="1"/>
      <c r="F78" s="1"/>
      <c r="G78" s="1"/>
      <c r="H78" s="67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">
        <v>0</v>
      </c>
      <c r="H79" s="67"/>
    </row>
    <row r="80" spans="1:8" x14ac:dyDescent="0.2">
      <c r="A80" s="1"/>
      <c r="B80" s="1"/>
      <c r="C80" s="11"/>
      <c r="D80" s="1"/>
      <c r="E80" s="1"/>
      <c r="F80" s="12"/>
      <c r="G80" s="12"/>
      <c r="H80" s="67"/>
    </row>
    <row r="81" spans="1:8" x14ac:dyDescent="0.2">
      <c r="A81" s="1"/>
      <c r="B81" s="1"/>
      <c r="C81" s="2" t="s">
        <v>110</v>
      </c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">
        <v>0</v>
      </c>
      <c r="H82" s="67"/>
    </row>
    <row r="83" spans="1:8" x14ac:dyDescent="0.2">
      <c r="A83" s="1"/>
      <c r="B83" s="1"/>
      <c r="C83" s="11"/>
      <c r="D83" s="1"/>
      <c r="E83" s="1"/>
      <c r="F83" s="12"/>
      <c r="G83" s="12"/>
      <c r="H83" s="67"/>
    </row>
    <row r="84" spans="1:8" x14ac:dyDescent="0.2">
      <c r="A84" s="1"/>
      <c r="B84" s="1"/>
      <c r="C84" s="2" t="s">
        <v>111</v>
      </c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7"/>
    </row>
    <row r="86" spans="1:8" x14ac:dyDescent="0.2">
      <c r="A86" s="1"/>
      <c r="B86" s="1"/>
      <c r="C86" s="11"/>
      <c r="D86" s="1"/>
      <c r="E86" s="1"/>
      <c r="F86" s="12"/>
      <c r="G86" s="12"/>
      <c r="H86" s="67"/>
    </row>
    <row r="87" spans="1:8" x14ac:dyDescent="0.2">
      <c r="A87" s="1"/>
      <c r="B87" s="1"/>
      <c r="C87" s="2" t="s">
        <v>112</v>
      </c>
      <c r="D87" s="1"/>
      <c r="E87" s="1"/>
      <c r="F87" s="9">
        <v>4261.0198220000002</v>
      </c>
      <c r="G87" s="10">
        <v>0.971989985</v>
      </c>
      <c r="H87" s="67"/>
    </row>
    <row r="88" spans="1:8" x14ac:dyDescent="0.2">
      <c r="A88" s="1"/>
      <c r="B88" s="1"/>
      <c r="C88" s="11"/>
      <c r="D88" s="1"/>
      <c r="E88" s="1"/>
      <c r="F88" s="12"/>
      <c r="G88" s="12"/>
      <c r="H88" s="67"/>
    </row>
    <row r="89" spans="1:8" x14ac:dyDescent="0.2">
      <c r="A89" s="1"/>
      <c r="B89" s="1"/>
      <c r="C89" s="2" t="s">
        <v>113</v>
      </c>
      <c r="D89" s="1"/>
      <c r="E89" s="1"/>
      <c r="F89" s="12"/>
      <c r="G89" s="12"/>
      <c r="H89" s="67"/>
    </row>
    <row r="90" spans="1:8" ht="25.5" x14ac:dyDescent="0.2">
      <c r="A90" s="1"/>
      <c r="B90" s="1"/>
      <c r="C90" s="2" t="s">
        <v>10</v>
      </c>
      <c r="D90" s="1"/>
      <c r="E90" s="1"/>
      <c r="F90" s="12"/>
      <c r="G90" s="12"/>
      <c r="H90" s="67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">
        <v>0</v>
      </c>
      <c r="H91" s="67"/>
    </row>
    <row r="92" spans="1:8" x14ac:dyDescent="0.2">
      <c r="A92" s="1"/>
      <c r="B92" s="1"/>
      <c r="C92" s="11"/>
      <c r="D92" s="1"/>
      <c r="E92" s="1"/>
      <c r="F92" s="12"/>
      <c r="G92" s="12"/>
      <c r="H92" s="67"/>
    </row>
    <row r="93" spans="1:8" x14ac:dyDescent="0.2">
      <c r="A93" s="1"/>
      <c r="B93" s="1"/>
      <c r="C93" s="2" t="s">
        <v>114</v>
      </c>
      <c r="D93" s="1"/>
      <c r="E93" s="1"/>
      <c r="F93" s="1"/>
      <c r="G93" s="1"/>
      <c r="H93" s="67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">
        <v>0</v>
      </c>
      <c r="H94" s="67"/>
    </row>
    <row r="95" spans="1:8" x14ac:dyDescent="0.2">
      <c r="A95" s="1"/>
      <c r="B95" s="1"/>
      <c r="C95" s="11"/>
      <c r="D95" s="1"/>
      <c r="E95" s="1"/>
      <c r="F95" s="12"/>
      <c r="G95" s="12"/>
      <c r="H95" s="67"/>
    </row>
    <row r="96" spans="1:8" x14ac:dyDescent="0.2">
      <c r="A96" s="1"/>
      <c r="B96" s="1"/>
      <c r="C96" s="2" t="s">
        <v>115</v>
      </c>
      <c r="D96" s="1"/>
      <c r="E96" s="1"/>
      <c r="F96" s="1"/>
      <c r="G96" s="1"/>
      <c r="H96" s="67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">
        <v>0</v>
      </c>
      <c r="H97" s="67"/>
    </row>
    <row r="98" spans="1:8" x14ac:dyDescent="0.2">
      <c r="A98" s="1"/>
      <c r="B98" s="1"/>
      <c r="C98" s="11"/>
      <c r="D98" s="1"/>
      <c r="E98" s="1"/>
      <c r="F98" s="12"/>
      <c r="G98" s="12"/>
      <c r="H98" s="67"/>
    </row>
    <row r="99" spans="1:8" x14ac:dyDescent="0.2">
      <c r="A99" s="1"/>
      <c r="B99" s="1"/>
      <c r="C99" s="2" t="s">
        <v>116</v>
      </c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7"/>
    </row>
    <row r="101" spans="1:8" x14ac:dyDescent="0.2">
      <c r="A101" s="1"/>
      <c r="B101" s="1"/>
      <c r="C101" s="11"/>
      <c r="D101" s="1"/>
      <c r="E101" s="1"/>
      <c r="F101" s="12"/>
      <c r="G101" s="12"/>
      <c r="H101" s="67"/>
    </row>
    <row r="102" spans="1:8" x14ac:dyDescent="0.2">
      <c r="A102" s="1"/>
      <c r="B102" s="1"/>
      <c r="C102" s="2" t="s">
        <v>117</v>
      </c>
      <c r="D102" s="1"/>
      <c r="E102" s="1"/>
      <c r="F102" s="9">
        <v>0</v>
      </c>
      <c r="G102" s="10">
        <v>0</v>
      </c>
      <c r="H102" s="67"/>
    </row>
    <row r="103" spans="1:8" x14ac:dyDescent="0.2">
      <c r="A103" s="1"/>
      <c r="B103" s="1"/>
      <c r="C103" s="11"/>
      <c r="D103" s="1"/>
      <c r="E103" s="1"/>
      <c r="F103" s="12"/>
      <c r="G103" s="12"/>
      <c r="H103" s="67"/>
    </row>
    <row r="104" spans="1:8" x14ac:dyDescent="0.2">
      <c r="A104" s="1"/>
      <c r="B104" s="1"/>
      <c r="C104" s="2" t="s">
        <v>118</v>
      </c>
      <c r="D104" s="1"/>
      <c r="E104" s="1"/>
      <c r="F104" s="12"/>
      <c r="G104" s="12"/>
      <c r="H104" s="67"/>
    </row>
    <row r="105" spans="1:8" x14ac:dyDescent="0.2">
      <c r="A105" s="1"/>
      <c r="B105" s="1"/>
      <c r="C105" s="2" t="s">
        <v>119</v>
      </c>
      <c r="D105" s="1"/>
      <c r="E105" s="1"/>
      <c r="F105" s="12"/>
      <c r="G105" s="12"/>
      <c r="H105" s="67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">
        <v>0</v>
      </c>
      <c r="H106" s="67"/>
    </row>
    <row r="107" spans="1:8" x14ac:dyDescent="0.2">
      <c r="A107" s="1"/>
      <c r="B107" s="1"/>
      <c r="C107" s="11"/>
      <c r="D107" s="1"/>
      <c r="E107" s="1"/>
      <c r="F107" s="12"/>
      <c r="G107" s="12"/>
      <c r="H107" s="67"/>
    </row>
    <row r="108" spans="1:8" x14ac:dyDescent="0.2">
      <c r="A108" s="1"/>
      <c r="B108" s="1"/>
      <c r="C108" s="2" t="s">
        <v>120</v>
      </c>
      <c r="D108" s="1"/>
      <c r="E108" s="1"/>
      <c r="F108" s="12"/>
      <c r="G108" s="12"/>
      <c r="H108" s="67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">
        <v>0</v>
      </c>
      <c r="H109" s="67"/>
    </row>
    <row r="110" spans="1:8" x14ac:dyDescent="0.2">
      <c r="A110" s="1"/>
      <c r="B110" s="1"/>
      <c r="C110" s="11"/>
      <c r="D110" s="1"/>
      <c r="E110" s="1"/>
      <c r="F110" s="12"/>
      <c r="G110" s="12"/>
      <c r="H110" s="67"/>
    </row>
    <row r="111" spans="1:8" x14ac:dyDescent="0.2">
      <c r="A111" s="1"/>
      <c r="B111" s="1"/>
      <c r="C111" s="2" t="s">
        <v>121</v>
      </c>
      <c r="D111" s="1"/>
      <c r="E111" s="1"/>
      <c r="F111" s="12"/>
      <c r="G111" s="12"/>
      <c r="H111" s="67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">
        <v>0</v>
      </c>
      <c r="H112" s="67"/>
    </row>
    <row r="113" spans="1:8" x14ac:dyDescent="0.2">
      <c r="A113" s="1"/>
      <c r="B113" s="1"/>
      <c r="C113" s="11"/>
      <c r="D113" s="1"/>
      <c r="E113" s="1"/>
      <c r="F113" s="12"/>
      <c r="G113" s="12"/>
      <c r="H113" s="67"/>
    </row>
    <row r="114" spans="1:8" x14ac:dyDescent="0.2">
      <c r="A114" s="1"/>
      <c r="B114" s="1"/>
      <c r="C114" s="2" t="s">
        <v>122</v>
      </c>
      <c r="D114" s="1"/>
      <c r="E114" s="1"/>
      <c r="F114" s="12"/>
      <c r="G114" s="12"/>
      <c r="H114" s="67"/>
    </row>
    <row r="115" spans="1:8" x14ac:dyDescent="0.2">
      <c r="A115" s="3">
        <v>1</v>
      </c>
      <c r="B115" s="4"/>
      <c r="C115" s="4" t="s">
        <v>123</v>
      </c>
      <c r="D115" s="4"/>
      <c r="E115" s="8"/>
      <c r="F115" s="6">
        <v>128.4960701</v>
      </c>
      <c r="G115" s="7">
        <v>2.9311502999999999E-2</v>
      </c>
      <c r="H115" s="67">
        <v>3.1047477660654299</v>
      </c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9">
        <v>128.4960701</v>
      </c>
      <c r="G116" s="10">
        <v>2.9311502999999999E-2</v>
      </c>
      <c r="H116" s="67"/>
    </row>
    <row r="117" spans="1:8" x14ac:dyDescent="0.2">
      <c r="A117" s="1"/>
      <c r="B117" s="1"/>
      <c r="C117" s="11"/>
      <c r="D117" s="1"/>
      <c r="E117" s="1"/>
      <c r="F117" s="12"/>
      <c r="G117" s="12"/>
      <c r="H117" s="67"/>
    </row>
    <row r="118" spans="1:8" x14ac:dyDescent="0.2">
      <c r="A118" s="1"/>
      <c r="B118" s="1"/>
      <c r="C118" s="2" t="s">
        <v>124</v>
      </c>
      <c r="D118" s="1"/>
      <c r="E118" s="1"/>
      <c r="F118" s="9">
        <v>128.4960701</v>
      </c>
      <c r="G118" s="10">
        <v>2.9311502999999999E-2</v>
      </c>
      <c r="H118" s="67"/>
    </row>
    <row r="119" spans="1:8" x14ac:dyDescent="0.2">
      <c r="A119" s="1"/>
      <c r="B119" s="1"/>
      <c r="C119" s="12"/>
      <c r="D119" s="1"/>
      <c r="E119" s="1"/>
      <c r="F119" s="1"/>
      <c r="G119" s="1"/>
      <c r="H119" s="67"/>
    </row>
    <row r="120" spans="1:8" x14ac:dyDescent="0.2">
      <c r="A120" s="1"/>
      <c r="B120" s="1"/>
      <c r="C120" s="2" t="s">
        <v>125</v>
      </c>
      <c r="D120" s="1"/>
      <c r="E120" s="1"/>
      <c r="F120" s="1"/>
      <c r="G120" s="1"/>
      <c r="H120" s="67"/>
    </row>
    <row r="121" spans="1:8" x14ac:dyDescent="0.2">
      <c r="A121" s="1"/>
      <c r="B121" s="1"/>
      <c r="C121" s="2" t="s">
        <v>126</v>
      </c>
      <c r="D121" s="1"/>
      <c r="E121" s="1"/>
      <c r="F121" s="1"/>
      <c r="G121" s="1"/>
      <c r="H121" s="67"/>
    </row>
    <row r="122" spans="1:8" x14ac:dyDescent="0.2">
      <c r="A122" s="1"/>
      <c r="B122" s="1"/>
      <c r="C122" s="2" t="s">
        <v>105</v>
      </c>
      <c r="D122" s="1"/>
      <c r="E122" s="1" t="s">
        <v>106</v>
      </c>
      <c r="F122" s="13">
        <v>0</v>
      </c>
      <c r="G122" s="14">
        <v>0</v>
      </c>
      <c r="H122" s="67"/>
    </row>
    <row r="123" spans="1:8" x14ac:dyDescent="0.2">
      <c r="A123" s="1"/>
      <c r="B123" s="1"/>
      <c r="C123" s="11"/>
      <c r="D123" s="1"/>
      <c r="E123" s="1"/>
      <c r="F123" s="12"/>
      <c r="G123" s="12"/>
      <c r="H123" s="67"/>
    </row>
    <row r="124" spans="1:8" x14ac:dyDescent="0.2">
      <c r="A124" s="1"/>
      <c r="B124" s="1"/>
      <c r="C124" s="2" t="s">
        <v>127</v>
      </c>
      <c r="D124" s="1"/>
      <c r="E124" s="1"/>
      <c r="F124" s="1"/>
      <c r="G124" s="1"/>
      <c r="H124" s="67"/>
    </row>
    <row r="125" spans="1:8" x14ac:dyDescent="0.2">
      <c r="A125" s="1"/>
      <c r="B125" s="1"/>
      <c r="C125" s="2" t="s">
        <v>128</v>
      </c>
      <c r="D125" s="1"/>
      <c r="E125" s="1"/>
      <c r="F125" s="1"/>
      <c r="G125" s="1"/>
      <c r="H125" s="67"/>
    </row>
    <row r="126" spans="1:8" x14ac:dyDescent="0.2">
      <c r="A126" s="1"/>
      <c r="B126" s="1"/>
      <c r="C126" s="2" t="s">
        <v>105</v>
      </c>
      <c r="D126" s="1"/>
      <c r="E126" s="1" t="s">
        <v>106</v>
      </c>
      <c r="F126" s="13">
        <v>0</v>
      </c>
      <c r="G126" s="14">
        <v>0</v>
      </c>
      <c r="H126" s="67"/>
    </row>
    <row r="127" spans="1:8" x14ac:dyDescent="0.2">
      <c r="A127" s="1"/>
      <c r="B127" s="1"/>
      <c r="C127" s="11"/>
      <c r="D127" s="1"/>
      <c r="E127" s="1"/>
      <c r="F127" s="12"/>
      <c r="G127" s="12"/>
      <c r="H127" s="67"/>
    </row>
    <row r="128" spans="1:8" x14ac:dyDescent="0.2">
      <c r="A128" s="1"/>
      <c r="B128" s="1"/>
      <c r="C128" s="11"/>
      <c r="D128" s="1"/>
      <c r="E128" s="1"/>
      <c r="F128" s="12"/>
      <c r="G128" s="12"/>
      <c r="H128" s="67"/>
    </row>
    <row r="129" spans="1:8" ht="25.5" x14ac:dyDescent="0.2">
      <c r="A129" s="1"/>
      <c r="B129" s="1"/>
      <c r="C129" s="2" t="s">
        <v>129</v>
      </c>
      <c r="D129" s="1"/>
      <c r="E129" s="1"/>
      <c r="F129" s="12"/>
      <c r="G129" s="12"/>
      <c r="H129" s="67"/>
    </row>
    <row r="130" spans="1:8" x14ac:dyDescent="0.2">
      <c r="A130" s="1"/>
      <c r="B130" s="1"/>
      <c r="C130" s="2" t="s">
        <v>105</v>
      </c>
      <c r="D130" s="1"/>
      <c r="E130" s="1" t="s">
        <v>106</v>
      </c>
      <c r="F130" s="13">
        <v>0</v>
      </c>
      <c r="G130" s="14">
        <v>0</v>
      </c>
      <c r="H130" s="67"/>
    </row>
    <row r="131" spans="1:8" x14ac:dyDescent="0.2">
      <c r="A131" s="1"/>
      <c r="B131" s="1"/>
      <c r="C131" s="11"/>
      <c r="D131" s="1"/>
      <c r="E131" s="1"/>
      <c r="F131" s="12"/>
      <c r="G131" s="12"/>
      <c r="H131" s="67"/>
    </row>
    <row r="132" spans="1:8" x14ac:dyDescent="0.2">
      <c r="A132" s="1"/>
      <c r="B132" s="4"/>
      <c r="C132" s="4"/>
      <c r="D132" s="2"/>
      <c r="E132" s="1"/>
      <c r="F132" s="4"/>
      <c r="G132" s="8"/>
      <c r="H132" s="67"/>
    </row>
    <row r="133" spans="1:8" x14ac:dyDescent="0.2">
      <c r="A133" s="8"/>
      <c r="B133" s="4"/>
      <c r="C133" s="4" t="s">
        <v>130</v>
      </c>
      <c r="D133" s="4"/>
      <c r="E133" s="8"/>
      <c r="F133" s="6">
        <v>-5.7054769299999997</v>
      </c>
      <c r="G133" s="7">
        <v>-1.301488E-3</v>
      </c>
      <c r="H133" s="67"/>
    </row>
    <row r="134" spans="1:8" x14ac:dyDescent="0.2">
      <c r="A134" s="11"/>
      <c r="B134" s="11"/>
      <c r="C134" s="2" t="s">
        <v>131</v>
      </c>
      <c r="D134" s="15"/>
      <c r="E134" s="15"/>
      <c r="F134" s="9">
        <v>4383.8104151699999</v>
      </c>
      <c r="G134" s="10">
        <v>1</v>
      </c>
      <c r="H134" s="67"/>
    </row>
    <row r="135" spans="1:8" ht="14.1" customHeight="1" x14ac:dyDescent="0.2">
      <c r="A135" s="16"/>
      <c r="B135" s="16"/>
      <c r="C135" s="16"/>
      <c r="D135" s="17"/>
      <c r="E135" s="17"/>
      <c r="F135" s="17"/>
      <c r="G135" s="17"/>
    </row>
    <row r="136" spans="1:8" ht="14.1" customHeight="1" x14ac:dyDescent="0.2">
      <c r="A136" s="18"/>
      <c r="B136" s="170" t="s">
        <v>106</v>
      </c>
      <c r="C136" s="170"/>
      <c r="D136" s="170"/>
      <c r="E136" s="170"/>
      <c r="F136" s="170"/>
      <c r="G136" s="20"/>
    </row>
    <row r="137" spans="1:8" ht="14.1" customHeight="1" x14ac:dyDescent="0.2">
      <c r="A137" s="18"/>
      <c r="B137" s="170" t="s">
        <v>106</v>
      </c>
      <c r="C137" s="170"/>
      <c r="D137" s="170"/>
      <c r="E137" s="170"/>
      <c r="F137" s="170"/>
      <c r="G137" s="20"/>
    </row>
    <row r="138" spans="1:8" ht="14.1" customHeight="1" x14ac:dyDescent="0.2">
      <c r="A138" s="18"/>
      <c r="B138" s="18"/>
      <c r="C138" s="18"/>
      <c r="D138" s="20"/>
      <c r="E138" s="20"/>
      <c r="F138" s="20"/>
      <c r="G138" s="20"/>
    </row>
    <row r="139" spans="1:8" ht="14.1" customHeight="1" x14ac:dyDescent="0.2">
      <c r="A139" s="18"/>
      <c r="B139" s="168" t="s">
        <v>133</v>
      </c>
      <c r="C139" s="169"/>
      <c r="D139" s="12" t="s">
        <v>106</v>
      </c>
      <c r="E139" s="21"/>
      <c r="F139" s="20"/>
      <c r="G139" s="20"/>
    </row>
    <row r="140" spans="1:8" ht="29.1" customHeight="1" x14ac:dyDescent="0.2">
      <c r="A140" s="18"/>
      <c r="B140" s="165" t="s">
        <v>134</v>
      </c>
      <c r="C140" s="166"/>
      <c r="D140" s="2" t="s">
        <v>135</v>
      </c>
      <c r="E140" s="21"/>
      <c r="F140" s="20"/>
      <c r="G140" s="20"/>
    </row>
    <row r="141" spans="1:8" ht="17.100000000000001" customHeight="1" x14ac:dyDescent="0.2">
      <c r="A141" s="18"/>
      <c r="B141" s="165" t="s">
        <v>136</v>
      </c>
      <c r="C141" s="166"/>
      <c r="D141" s="2" t="s">
        <v>135</v>
      </c>
      <c r="E141" s="21"/>
      <c r="F141" s="20"/>
      <c r="G141" s="20"/>
    </row>
    <row r="142" spans="1:8" ht="17.100000000000001" customHeight="1" x14ac:dyDescent="0.2">
      <c r="A142" s="18"/>
      <c r="B142" s="165" t="s">
        <v>137</v>
      </c>
      <c r="C142" s="166"/>
      <c r="D142" s="12" t="s">
        <v>106</v>
      </c>
      <c r="E142" s="21"/>
      <c r="F142" s="20"/>
      <c r="G142" s="20"/>
    </row>
    <row r="143" spans="1:8" ht="24" customHeight="1" x14ac:dyDescent="0.2">
      <c r="A143" s="22"/>
      <c r="B143" s="23" t="s">
        <v>106</v>
      </c>
      <c r="C143" s="23" t="s">
        <v>138</v>
      </c>
      <c r="D143" s="23" t="s">
        <v>139</v>
      </c>
      <c r="E143" s="22"/>
      <c r="F143" s="22"/>
      <c r="G143" s="22"/>
    </row>
    <row r="144" spans="1:8" ht="18" customHeight="1" x14ac:dyDescent="0.2">
      <c r="A144" s="22"/>
      <c r="B144" s="23" t="s">
        <v>140</v>
      </c>
      <c r="C144" s="23" t="s">
        <v>141</v>
      </c>
      <c r="D144" s="23" t="s">
        <v>142</v>
      </c>
      <c r="E144" s="22"/>
      <c r="F144" s="22"/>
      <c r="G144" s="22"/>
    </row>
    <row r="145" spans="1:7" ht="17.100000000000001" customHeight="1" x14ac:dyDescent="0.2">
      <c r="A145" s="22"/>
      <c r="B145" s="4" t="s">
        <v>143</v>
      </c>
      <c r="C145" s="24">
        <v>14.291700000000001</v>
      </c>
      <c r="D145" s="24">
        <v>14.2852</v>
      </c>
      <c r="E145" s="22"/>
      <c r="F145" s="19"/>
      <c r="G145" s="25"/>
    </row>
    <row r="146" spans="1:7" ht="17.100000000000001" customHeight="1" x14ac:dyDescent="0.2">
      <c r="A146" s="22"/>
      <c r="B146" s="4" t="s">
        <v>988</v>
      </c>
      <c r="C146" s="24">
        <v>14.291700000000001</v>
      </c>
      <c r="D146" s="24">
        <v>14.2852</v>
      </c>
      <c r="E146" s="22"/>
      <c r="F146" s="19"/>
      <c r="G146" s="25"/>
    </row>
    <row r="147" spans="1:7" ht="17.100000000000001" customHeight="1" x14ac:dyDescent="0.2">
      <c r="A147" s="22"/>
      <c r="B147" s="4" t="s">
        <v>144</v>
      </c>
      <c r="C147" s="24">
        <v>13.973699999999999</v>
      </c>
      <c r="D147" s="24">
        <v>13.9626</v>
      </c>
      <c r="E147" s="22"/>
      <c r="F147" s="19"/>
      <c r="G147" s="25"/>
    </row>
    <row r="148" spans="1:7" ht="17.100000000000001" customHeight="1" x14ac:dyDescent="0.2">
      <c r="A148" s="22"/>
      <c r="B148" s="4" t="s">
        <v>989</v>
      </c>
      <c r="C148" s="24">
        <v>13.973699999999999</v>
      </c>
      <c r="D148" s="24">
        <v>13.9627</v>
      </c>
      <c r="E148" s="22"/>
      <c r="F148" s="19"/>
      <c r="G148" s="25"/>
    </row>
    <row r="149" spans="1:7" ht="14.1" customHeight="1" x14ac:dyDescent="0.2">
      <c r="A149" s="22"/>
      <c r="B149" s="22"/>
      <c r="C149" s="22"/>
      <c r="D149" s="22"/>
      <c r="E149" s="22"/>
      <c r="F149" s="22"/>
      <c r="G149" s="22"/>
    </row>
    <row r="150" spans="1:7" ht="17.100000000000001" customHeight="1" x14ac:dyDescent="0.2">
      <c r="A150" s="22"/>
      <c r="B150" s="165" t="s">
        <v>990</v>
      </c>
      <c r="C150" s="166"/>
      <c r="D150" s="2" t="s">
        <v>135</v>
      </c>
      <c r="E150" s="22"/>
      <c r="F150" s="22"/>
      <c r="G150" s="22"/>
    </row>
    <row r="151" spans="1:7" ht="18" customHeight="1" x14ac:dyDescent="0.2">
      <c r="A151" s="22"/>
      <c r="B151" s="26" t="s">
        <v>145</v>
      </c>
      <c r="C151" s="26" t="s">
        <v>145</v>
      </c>
      <c r="D151" s="26"/>
      <c r="E151" s="22"/>
      <c r="F151" s="22"/>
      <c r="G151" s="22"/>
    </row>
    <row r="152" spans="1:7" s="158" customFormat="1" x14ac:dyDescent="0.2">
      <c r="B152" s="167" t="s">
        <v>822</v>
      </c>
      <c r="C152" s="167"/>
      <c r="D152" s="167"/>
      <c r="E152" s="167"/>
      <c r="F152" s="167"/>
    </row>
    <row r="153" spans="1:7" ht="14.1" customHeight="1" x14ac:dyDescent="0.2">
      <c r="A153" s="22"/>
      <c r="B153" s="19"/>
      <c r="C153" s="19"/>
      <c r="D153" s="22"/>
      <c r="E153" s="22"/>
      <c r="F153" s="22"/>
      <c r="G153" s="22"/>
    </row>
    <row r="154" spans="1:7" ht="29.1" customHeight="1" x14ac:dyDescent="0.2">
      <c r="A154" s="22"/>
      <c r="B154" s="165" t="s">
        <v>146</v>
      </c>
      <c r="C154" s="166"/>
      <c r="D154" s="2" t="s">
        <v>135</v>
      </c>
      <c r="E154" s="22"/>
      <c r="F154" s="22"/>
      <c r="G154" s="22"/>
    </row>
    <row r="155" spans="1:7" ht="29.1" customHeight="1" x14ac:dyDescent="0.2">
      <c r="A155" s="22"/>
      <c r="B155" s="165" t="s">
        <v>147</v>
      </c>
      <c r="C155" s="166"/>
      <c r="D155" s="2" t="s">
        <v>135</v>
      </c>
      <c r="E155" s="22"/>
      <c r="F155" s="22"/>
      <c r="G155" s="22"/>
    </row>
    <row r="156" spans="1:7" ht="17.100000000000001" customHeight="1" x14ac:dyDescent="0.2">
      <c r="A156" s="22"/>
      <c r="B156" s="165" t="s">
        <v>148</v>
      </c>
      <c r="C156" s="166"/>
      <c r="D156" s="27">
        <v>0.37815985335140173</v>
      </c>
      <c r="E156" s="22"/>
      <c r="F156" s="19"/>
      <c r="G156" s="25"/>
    </row>
    <row r="157" spans="1:7" ht="17.100000000000001" customHeight="1" x14ac:dyDescent="0.2">
      <c r="A157" s="22"/>
      <c r="B157" s="165" t="s">
        <v>149</v>
      </c>
      <c r="C157" s="166"/>
      <c r="D157" s="2" t="s">
        <v>135</v>
      </c>
      <c r="E157" s="22"/>
      <c r="F157" s="22"/>
      <c r="G157" s="22"/>
    </row>
  </sheetData>
  <mergeCells count="15">
    <mergeCell ref="B139:C139"/>
    <mergeCell ref="B136:F136"/>
    <mergeCell ref="B137:F137"/>
    <mergeCell ref="A1:H1"/>
    <mergeCell ref="A2:H2"/>
    <mergeCell ref="A3:H3"/>
    <mergeCell ref="B156:C156"/>
    <mergeCell ref="B157:C157"/>
    <mergeCell ref="B140:C140"/>
    <mergeCell ref="B141:C141"/>
    <mergeCell ref="B142:C142"/>
    <mergeCell ref="B150:C150"/>
    <mergeCell ref="B154:C154"/>
    <mergeCell ref="B155:C155"/>
    <mergeCell ref="B152:F15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H15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491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25</v>
      </c>
      <c r="C7" s="4" t="s">
        <v>26</v>
      </c>
      <c r="D7" s="4" t="s">
        <v>27</v>
      </c>
      <c r="E7" s="5">
        <v>8024</v>
      </c>
      <c r="F7" s="6">
        <v>103.58582800000001</v>
      </c>
      <c r="G7" s="7">
        <v>3.5839375E-2</v>
      </c>
      <c r="H7" s="67"/>
    </row>
    <row r="8" spans="1:8" x14ac:dyDescent="0.2">
      <c r="A8" s="3">
        <v>2</v>
      </c>
      <c r="B8" s="4" t="s">
        <v>158</v>
      </c>
      <c r="C8" s="4" t="s">
        <v>159</v>
      </c>
      <c r="D8" s="4" t="s">
        <v>27</v>
      </c>
      <c r="E8" s="5">
        <v>11536</v>
      </c>
      <c r="F8" s="6">
        <v>87.915856000000005</v>
      </c>
      <c r="G8" s="7">
        <v>3.0417764999999999E-2</v>
      </c>
      <c r="H8" s="67"/>
    </row>
    <row r="9" spans="1:8" x14ac:dyDescent="0.2">
      <c r="A9" s="3">
        <v>3</v>
      </c>
      <c r="B9" s="4" t="s">
        <v>37</v>
      </c>
      <c r="C9" s="4" t="s">
        <v>38</v>
      </c>
      <c r="D9" s="4" t="s">
        <v>27</v>
      </c>
      <c r="E9" s="5">
        <v>6950</v>
      </c>
      <c r="F9" s="6">
        <v>82.771024999999995</v>
      </c>
      <c r="G9" s="7">
        <v>2.8637718999999999E-2</v>
      </c>
      <c r="H9" s="67"/>
    </row>
    <row r="10" spans="1:8" x14ac:dyDescent="0.2">
      <c r="A10" s="3">
        <v>4</v>
      </c>
      <c r="B10" s="4" t="s">
        <v>296</v>
      </c>
      <c r="C10" s="4" t="s">
        <v>297</v>
      </c>
      <c r="D10" s="4" t="s">
        <v>27</v>
      </c>
      <c r="E10" s="5">
        <v>11887</v>
      </c>
      <c r="F10" s="6">
        <v>80.956413499999996</v>
      </c>
      <c r="G10" s="7">
        <v>2.8009887000000001E-2</v>
      </c>
      <c r="H10" s="67"/>
    </row>
    <row r="11" spans="1:8" x14ac:dyDescent="0.2">
      <c r="A11" s="3">
        <v>5</v>
      </c>
      <c r="B11" s="4" t="s">
        <v>151</v>
      </c>
      <c r="C11" s="4" t="s">
        <v>152</v>
      </c>
      <c r="D11" s="4" t="s">
        <v>153</v>
      </c>
      <c r="E11" s="5">
        <v>1972</v>
      </c>
      <c r="F11" s="6">
        <v>79.424272000000002</v>
      </c>
      <c r="G11" s="7">
        <v>2.7479785E-2</v>
      </c>
      <c r="H11" s="67"/>
    </row>
    <row r="12" spans="1:8" x14ac:dyDescent="0.2">
      <c r="A12" s="3">
        <v>6</v>
      </c>
      <c r="B12" s="4" t="s">
        <v>154</v>
      </c>
      <c r="C12" s="4" t="s">
        <v>155</v>
      </c>
      <c r="D12" s="4" t="s">
        <v>81</v>
      </c>
      <c r="E12" s="5">
        <v>65451</v>
      </c>
      <c r="F12" s="6">
        <v>77.166729000000004</v>
      </c>
      <c r="G12" s="7">
        <v>2.6698704E-2</v>
      </c>
      <c r="H12" s="67"/>
    </row>
    <row r="13" spans="1:8" x14ac:dyDescent="0.2">
      <c r="A13" s="3">
        <v>7</v>
      </c>
      <c r="B13" s="4" t="s">
        <v>448</v>
      </c>
      <c r="C13" s="4" t="s">
        <v>449</v>
      </c>
      <c r="D13" s="4" t="s">
        <v>55</v>
      </c>
      <c r="E13" s="5">
        <v>22548</v>
      </c>
      <c r="F13" s="6">
        <v>74.577510000000004</v>
      </c>
      <c r="G13" s="7">
        <v>2.5802867E-2</v>
      </c>
      <c r="H13" s="67"/>
    </row>
    <row r="14" spans="1:8" x14ac:dyDescent="0.2">
      <c r="A14" s="3">
        <v>8</v>
      </c>
      <c r="B14" s="4" t="s">
        <v>162</v>
      </c>
      <c r="C14" s="4" t="s">
        <v>163</v>
      </c>
      <c r="D14" s="4" t="s">
        <v>27</v>
      </c>
      <c r="E14" s="5">
        <v>9617</v>
      </c>
      <c r="F14" s="6">
        <v>73.517156499999999</v>
      </c>
      <c r="G14" s="7">
        <v>2.5435999000000001E-2</v>
      </c>
      <c r="H14" s="67"/>
    </row>
    <row r="15" spans="1:8" x14ac:dyDescent="0.2">
      <c r="A15" s="3">
        <v>9</v>
      </c>
      <c r="B15" s="4" t="s">
        <v>466</v>
      </c>
      <c r="C15" s="4" t="s">
        <v>467</v>
      </c>
      <c r="D15" s="4" t="s">
        <v>187</v>
      </c>
      <c r="E15" s="5">
        <v>11546</v>
      </c>
      <c r="F15" s="6">
        <v>72.947627999999995</v>
      </c>
      <c r="G15" s="7">
        <v>2.5238949E-2</v>
      </c>
      <c r="H15" s="67"/>
    </row>
    <row r="16" spans="1:8" x14ac:dyDescent="0.2">
      <c r="A16" s="3">
        <v>10</v>
      </c>
      <c r="B16" s="4" t="s">
        <v>174</v>
      </c>
      <c r="C16" s="4" t="s">
        <v>175</v>
      </c>
      <c r="D16" s="4" t="s">
        <v>55</v>
      </c>
      <c r="E16" s="5">
        <v>17452</v>
      </c>
      <c r="F16" s="6">
        <v>70.253026000000006</v>
      </c>
      <c r="G16" s="7">
        <v>2.4306650999999999E-2</v>
      </c>
      <c r="H16" s="67"/>
    </row>
    <row r="17" spans="1:8" x14ac:dyDescent="0.2">
      <c r="A17" s="3">
        <v>11</v>
      </c>
      <c r="B17" s="4" t="s">
        <v>164</v>
      </c>
      <c r="C17" s="4" t="s">
        <v>165</v>
      </c>
      <c r="D17" s="4" t="s">
        <v>166</v>
      </c>
      <c r="E17" s="5">
        <v>18815</v>
      </c>
      <c r="F17" s="6">
        <v>63.368920000000003</v>
      </c>
      <c r="G17" s="7">
        <v>2.1924837999999999E-2</v>
      </c>
      <c r="H17" s="67"/>
    </row>
    <row r="18" spans="1:8" x14ac:dyDescent="0.2">
      <c r="A18" s="3">
        <v>12</v>
      </c>
      <c r="B18" s="4" t="s">
        <v>167</v>
      </c>
      <c r="C18" s="4" t="s">
        <v>168</v>
      </c>
      <c r="D18" s="4" t="s">
        <v>166</v>
      </c>
      <c r="E18" s="5">
        <v>1905</v>
      </c>
      <c r="F18" s="6">
        <v>63.285052499999999</v>
      </c>
      <c r="G18" s="7">
        <v>2.1895820999999999E-2</v>
      </c>
      <c r="H18" s="67"/>
    </row>
    <row r="19" spans="1:8" ht="25.5" x14ac:dyDescent="0.2">
      <c r="A19" s="3">
        <v>13</v>
      </c>
      <c r="B19" s="4" t="s">
        <v>30</v>
      </c>
      <c r="C19" s="4" t="s">
        <v>998</v>
      </c>
      <c r="D19" s="4" t="s">
        <v>992</v>
      </c>
      <c r="E19" s="5">
        <v>1926</v>
      </c>
      <c r="F19" s="6">
        <v>63.007164000000003</v>
      </c>
      <c r="G19" s="7">
        <v>2.1799675000000001E-2</v>
      </c>
      <c r="H19" s="67"/>
    </row>
    <row r="20" spans="1:8" x14ac:dyDescent="0.2">
      <c r="A20" s="3">
        <v>14</v>
      </c>
      <c r="B20" s="4" t="s">
        <v>342</v>
      </c>
      <c r="C20" s="4" t="s">
        <v>343</v>
      </c>
      <c r="D20" s="4" t="s">
        <v>171</v>
      </c>
      <c r="E20" s="5">
        <v>1511</v>
      </c>
      <c r="F20" s="6">
        <v>55.190786000000003</v>
      </c>
      <c r="G20" s="7">
        <v>1.9095307999999998E-2</v>
      </c>
      <c r="H20" s="67"/>
    </row>
    <row r="21" spans="1:8" x14ac:dyDescent="0.2">
      <c r="A21" s="3">
        <v>15</v>
      </c>
      <c r="B21" s="4" t="s">
        <v>177</v>
      </c>
      <c r="C21" s="4" t="s">
        <v>178</v>
      </c>
      <c r="D21" s="4" t="s">
        <v>179</v>
      </c>
      <c r="E21" s="5">
        <v>23006</v>
      </c>
      <c r="F21" s="6">
        <v>55.09937</v>
      </c>
      <c r="G21" s="7">
        <v>1.9063679E-2</v>
      </c>
      <c r="H21" s="67"/>
    </row>
    <row r="22" spans="1:8" x14ac:dyDescent="0.2">
      <c r="A22" s="3">
        <v>16</v>
      </c>
      <c r="B22" s="4" t="s">
        <v>210</v>
      </c>
      <c r="C22" s="4" t="s">
        <v>211</v>
      </c>
      <c r="D22" s="4" t="s">
        <v>212</v>
      </c>
      <c r="E22" s="5">
        <v>21111</v>
      </c>
      <c r="F22" s="6">
        <v>52.925277000000001</v>
      </c>
      <c r="G22" s="7">
        <v>1.8311470999999999E-2</v>
      </c>
      <c r="H22" s="67"/>
    </row>
    <row r="23" spans="1:8" x14ac:dyDescent="0.2">
      <c r="A23" s="3">
        <v>17</v>
      </c>
      <c r="B23" s="4" t="s">
        <v>196</v>
      </c>
      <c r="C23" s="4" t="s">
        <v>197</v>
      </c>
      <c r="D23" s="4" t="s">
        <v>1004</v>
      </c>
      <c r="E23" s="5">
        <v>17046</v>
      </c>
      <c r="F23" s="6">
        <v>52.714754999999997</v>
      </c>
      <c r="G23" s="7">
        <v>1.8238633000000001E-2</v>
      </c>
      <c r="H23" s="67"/>
    </row>
    <row r="24" spans="1:8" x14ac:dyDescent="0.2">
      <c r="A24" s="3">
        <v>18</v>
      </c>
      <c r="B24" s="4" t="s">
        <v>63</v>
      </c>
      <c r="C24" s="4" t="s">
        <v>64</v>
      </c>
      <c r="D24" s="4" t="s">
        <v>55</v>
      </c>
      <c r="E24" s="5">
        <v>20288</v>
      </c>
      <c r="F24" s="6">
        <v>52.545920000000002</v>
      </c>
      <c r="G24" s="7">
        <v>1.8180218000000001E-2</v>
      </c>
      <c r="H24" s="67"/>
    </row>
    <row r="25" spans="1:8" x14ac:dyDescent="0.2">
      <c r="A25" s="3">
        <v>19</v>
      </c>
      <c r="B25" s="4" t="s">
        <v>206</v>
      </c>
      <c r="C25" s="4" t="s">
        <v>207</v>
      </c>
      <c r="D25" s="4" t="s">
        <v>187</v>
      </c>
      <c r="E25" s="5">
        <v>7790</v>
      </c>
      <c r="F25" s="6">
        <v>51.928139999999999</v>
      </c>
      <c r="G25" s="7">
        <v>1.7966474E-2</v>
      </c>
      <c r="H25" s="67"/>
    </row>
    <row r="26" spans="1:8" x14ac:dyDescent="0.2">
      <c r="A26" s="3">
        <v>20</v>
      </c>
      <c r="B26" s="4" t="s">
        <v>223</v>
      </c>
      <c r="C26" s="4" t="s">
        <v>224</v>
      </c>
      <c r="D26" s="4" t="s">
        <v>69</v>
      </c>
      <c r="E26" s="5">
        <v>5932</v>
      </c>
      <c r="F26" s="6">
        <v>51.178330000000003</v>
      </c>
      <c r="G26" s="7">
        <v>1.7707048999999999E-2</v>
      </c>
      <c r="H26" s="67"/>
    </row>
    <row r="27" spans="1:8" ht="25.5" x14ac:dyDescent="0.2">
      <c r="A27" s="3">
        <v>21</v>
      </c>
      <c r="B27" s="4" t="s">
        <v>202</v>
      </c>
      <c r="C27" s="4" t="s">
        <v>203</v>
      </c>
      <c r="D27" s="4" t="s">
        <v>52</v>
      </c>
      <c r="E27" s="5">
        <v>10546</v>
      </c>
      <c r="F27" s="6">
        <v>49.170724999999997</v>
      </c>
      <c r="G27" s="7">
        <v>1.7012444000000002E-2</v>
      </c>
      <c r="H27" s="67"/>
    </row>
    <row r="28" spans="1:8" x14ac:dyDescent="0.2">
      <c r="A28" s="3">
        <v>22</v>
      </c>
      <c r="B28" s="4" t="s">
        <v>198</v>
      </c>
      <c r="C28" s="4" t="s">
        <v>199</v>
      </c>
      <c r="D28" s="4" t="s">
        <v>166</v>
      </c>
      <c r="E28" s="5">
        <v>5019</v>
      </c>
      <c r="F28" s="6">
        <v>49.058215500000003</v>
      </c>
      <c r="G28" s="7">
        <v>1.6973517E-2</v>
      </c>
      <c r="H28" s="67"/>
    </row>
    <row r="29" spans="1:8" x14ac:dyDescent="0.2">
      <c r="A29" s="3">
        <v>23</v>
      </c>
      <c r="B29" s="4" t="s">
        <v>188</v>
      </c>
      <c r="C29" s="4" t="s">
        <v>189</v>
      </c>
      <c r="D29" s="4" t="s">
        <v>166</v>
      </c>
      <c r="E29" s="5">
        <v>1013</v>
      </c>
      <c r="F29" s="6">
        <v>48.212721999999999</v>
      </c>
      <c r="G29" s="7">
        <v>1.6680987000000001E-2</v>
      </c>
      <c r="H29" s="67"/>
    </row>
    <row r="30" spans="1:8" x14ac:dyDescent="0.2">
      <c r="A30" s="3">
        <v>24</v>
      </c>
      <c r="B30" s="4" t="s">
        <v>208</v>
      </c>
      <c r="C30" s="4" t="s">
        <v>209</v>
      </c>
      <c r="D30" s="4" t="s">
        <v>1005</v>
      </c>
      <c r="E30" s="5">
        <v>5612</v>
      </c>
      <c r="F30" s="6">
        <v>47.525221999999999</v>
      </c>
      <c r="G30" s="7">
        <v>1.6443121000000002E-2</v>
      </c>
      <c r="H30" s="67"/>
    </row>
    <row r="31" spans="1:8" x14ac:dyDescent="0.2">
      <c r="A31" s="3">
        <v>25</v>
      </c>
      <c r="B31" s="4" t="s">
        <v>204</v>
      </c>
      <c r="C31" s="4" t="s">
        <v>205</v>
      </c>
      <c r="D31" s="4" t="s">
        <v>27</v>
      </c>
      <c r="E31" s="5">
        <v>2783</v>
      </c>
      <c r="F31" s="6">
        <v>46.215889500000003</v>
      </c>
      <c r="G31" s="7">
        <v>1.5990107999999999E-2</v>
      </c>
      <c r="H31" s="67"/>
    </row>
    <row r="32" spans="1:8" x14ac:dyDescent="0.2">
      <c r="A32" s="3">
        <v>26</v>
      </c>
      <c r="B32" s="4" t="s">
        <v>192</v>
      </c>
      <c r="C32" s="4" t="s">
        <v>193</v>
      </c>
      <c r="D32" s="4" t="s">
        <v>81</v>
      </c>
      <c r="E32" s="5">
        <v>8031</v>
      </c>
      <c r="F32" s="6">
        <v>45.828901500000001</v>
      </c>
      <c r="G32" s="7">
        <v>1.5856215E-2</v>
      </c>
      <c r="H32" s="67"/>
    </row>
    <row r="33" spans="1:8" x14ac:dyDescent="0.2">
      <c r="A33" s="3">
        <v>27</v>
      </c>
      <c r="B33" s="4" t="s">
        <v>454</v>
      </c>
      <c r="C33" s="4" t="s">
        <v>455</v>
      </c>
      <c r="D33" s="4" t="s">
        <v>46</v>
      </c>
      <c r="E33" s="5">
        <v>11205</v>
      </c>
      <c r="F33" s="6">
        <v>45.783630000000002</v>
      </c>
      <c r="G33" s="7">
        <v>1.5840552000000001E-2</v>
      </c>
      <c r="H33" s="67"/>
    </row>
    <row r="34" spans="1:8" x14ac:dyDescent="0.2">
      <c r="A34" s="3">
        <v>28</v>
      </c>
      <c r="B34" s="4" t="s">
        <v>215</v>
      </c>
      <c r="C34" s="4" t="s">
        <v>216</v>
      </c>
      <c r="D34" s="4" t="s">
        <v>69</v>
      </c>
      <c r="E34" s="5">
        <v>45511</v>
      </c>
      <c r="F34" s="6">
        <v>45.4882445</v>
      </c>
      <c r="G34" s="7">
        <v>1.5738352000000001E-2</v>
      </c>
      <c r="H34" s="67"/>
    </row>
    <row r="35" spans="1:8" x14ac:dyDescent="0.2">
      <c r="A35" s="3">
        <v>29</v>
      </c>
      <c r="B35" s="4" t="s">
        <v>182</v>
      </c>
      <c r="C35" s="4" t="s">
        <v>183</v>
      </c>
      <c r="D35" s="4" t="s">
        <v>184</v>
      </c>
      <c r="E35" s="5">
        <v>4594</v>
      </c>
      <c r="F35" s="6">
        <v>45.299137000000002</v>
      </c>
      <c r="G35" s="7">
        <v>1.5672924000000001E-2</v>
      </c>
      <c r="H35" s="67"/>
    </row>
    <row r="36" spans="1:8" x14ac:dyDescent="0.2">
      <c r="A36" s="3">
        <v>30</v>
      </c>
      <c r="B36" s="4" t="s">
        <v>290</v>
      </c>
      <c r="C36" s="4" t="s">
        <v>291</v>
      </c>
      <c r="D36" s="4" t="s">
        <v>27</v>
      </c>
      <c r="E36" s="5">
        <v>3753</v>
      </c>
      <c r="F36" s="6">
        <v>44.452408499999997</v>
      </c>
      <c r="G36" s="7">
        <v>1.5379966E-2</v>
      </c>
      <c r="H36" s="67"/>
    </row>
    <row r="37" spans="1:8" x14ac:dyDescent="0.2">
      <c r="A37" s="3">
        <v>31</v>
      </c>
      <c r="B37" s="4" t="s">
        <v>213</v>
      </c>
      <c r="C37" s="4" t="s">
        <v>214</v>
      </c>
      <c r="D37" s="4" t="s">
        <v>81</v>
      </c>
      <c r="E37" s="5">
        <v>7207</v>
      </c>
      <c r="F37" s="6">
        <v>41.148366500000002</v>
      </c>
      <c r="G37" s="7">
        <v>1.4236810000000001E-2</v>
      </c>
      <c r="H37" s="67"/>
    </row>
    <row r="38" spans="1:8" ht="25.5" x14ac:dyDescent="0.2">
      <c r="A38" s="3">
        <v>32</v>
      </c>
      <c r="B38" s="4" t="s">
        <v>450</v>
      </c>
      <c r="C38" s="4" t="s">
        <v>451</v>
      </c>
      <c r="D38" s="4" t="s">
        <v>36</v>
      </c>
      <c r="E38" s="5">
        <v>2832</v>
      </c>
      <c r="F38" s="6">
        <v>41.110728000000002</v>
      </c>
      <c r="G38" s="7">
        <v>1.4223787999999999E-2</v>
      </c>
      <c r="H38" s="67"/>
    </row>
    <row r="39" spans="1:8" ht="25.5" x14ac:dyDescent="0.2">
      <c r="A39" s="3">
        <v>33</v>
      </c>
      <c r="B39" s="4" t="s">
        <v>221</v>
      </c>
      <c r="C39" s="4" t="s">
        <v>222</v>
      </c>
      <c r="D39" s="4" t="s">
        <v>36</v>
      </c>
      <c r="E39" s="5">
        <v>47600</v>
      </c>
      <c r="F39" s="6">
        <v>40.888399999999997</v>
      </c>
      <c r="G39" s="7">
        <v>1.4146865E-2</v>
      </c>
      <c r="H39" s="67"/>
    </row>
    <row r="40" spans="1:8" x14ac:dyDescent="0.2">
      <c r="A40" s="3">
        <v>34</v>
      </c>
      <c r="B40" s="4" t="s">
        <v>456</v>
      </c>
      <c r="C40" s="4" t="s">
        <v>457</v>
      </c>
      <c r="D40" s="4" t="s">
        <v>212</v>
      </c>
      <c r="E40" s="5">
        <v>6911</v>
      </c>
      <c r="F40" s="6">
        <v>40.847465499999998</v>
      </c>
      <c r="G40" s="7">
        <v>1.4132702E-2</v>
      </c>
      <c r="H40" s="67"/>
    </row>
    <row r="41" spans="1:8" x14ac:dyDescent="0.2">
      <c r="A41" s="3">
        <v>35</v>
      </c>
      <c r="B41" s="4" t="s">
        <v>219</v>
      </c>
      <c r="C41" s="4" t="s">
        <v>220</v>
      </c>
      <c r="D41" s="4" t="s">
        <v>55</v>
      </c>
      <c r="E41" s="5">
        <v>4578</v>
      </c>
      <c r="F41" s="6">
        <v>38.853485999999997</v>
      </c>
      <c r="G41" s="7">
        <v>1.3442811000000001E-2</v>
      </c>
      <c r="H41" s="67"/>
    </row>
    <row r="42" spans="1:8" x14ac:dyDescent="0.2">
      <c r="A42" s="3">
        <v>36</v>
      </c>
      <c r="B42" s="4" t="s">
        <v>185</v>
      </c>
      <c r="C42" s="4" t="s">
        <v>186</v>
      </c>
      <c r="D42" s="4" t="s">
        <v>187</v>
      </c>
      <c r="E42" s="5">
        <v>7956</v>
      </c>
      <c r="F42" s="6">
        <v>38.168909999999997</v>
      </c>
      <c r="G42" s="7">
        <v>1.3205956E-2</v>
      </c>
      <c r="H42" s="67"/>
    </row>
    <row r="43" spans="1:8" x14ac:dyDescent="0.2">
      <c r="A43" s="3">
        <v>37</v>
      </c>
      <c r="B43" s="4" t="s">
        <v>190</v>
      </c>
      <c r="C43" s="4" t="s">
        <v>191</v>
      </c>
      <c r="D43" s="4" t="s">
        <v>41</v>
      </c>
      <c r="E43" s="5">
        <v>8553</v>
      </c>
      <c r="F43" s="6">
        <v>35.212701000000003</v>
      </c>
      <c r="G43" s="7">
        <v>1.2183144999999999E-2</v>
      </c>
      <c r="H43" s="67"/>
    </row>
    <row r="44" spans="1:8" ht="25.5" x14ac:dyDescent="0.2">
      <c r="A44" s="3">
        <v>38</v>
      </c>
      <c r="B44" s="4" t="s">
        <v>238</v>
      </c>
      <c r="C44" s="4" t="s">
        <v>239</v>
      </c>
      <c r="D44" s="4" t="s">
        <v>1006</v>
      </c>
      <c r="E44" s="5">
        <v>34070</v>
      </c>
      <c r="F44" s="6">
        <v>35.023960000000002</v>
      </c>
      <c r="G44" s="7">
        <v>1.2117843E-2</v>
      </c>
      <c r="H44" s="67"/>
    </row>
    <row r="45" spans="1:8" x14ac:dyDescent="0.2">
      <c r="A45" s="3">
        <v>39</v>
      </c>
      <c r="B45" s="4" t="s">
        <v>234</v>
      </c>
      <c r="C45" s="4" t="s">
        <v>235</v>
      </c>
      <c r="D45" s="4" t="s">
        <v>187</v>
      </c>
      <c r="E45" s="5">
        <v>1980</v>
      </c>
      <c r="F45" s="6">
        <v>33.712470000000003</v>
      </c>
      <c r="G45" s="7">
        <v>1.1664084999999999E-2</v>
      </c>
      <c r="H45" s="67"/>
    </row>
    <row r="46" spans="1:8" ht="25.5" x14ac:dyDescent="0.2">
      <c r="A46" s="3">
        <v>40</v>
      </c>
      <c r="B46" s="4" t="s">
        <v>230</v>
      </c>
      <c r="C46" s="4" t="s">
        <v>231</v>
      </c>
      <c r="D46" s="4" t="s">
        <v>52</v>
      </c>
      <c r="E46" s="5">
        <v>8336</v>
      </c>
      <c r="F46" s="6">
        <v>33.581575999999998</v>
      </c>
      <c r="G46" s="7">
        <v>1.1618797E-2</v>
      </c>
      <c r="H46" s="67"/>
    </row>
    <row r="47" spans="1:8" x14ac:dyDescent="0.2">
      <c r="A47" s="3">
        <v>41</v>
      </c>
      <c r="B47" s="4" t="s">
        <v>232</v>
      </c>
      <c r="C47" s="4" t="s">
        <v>233</v>
      </c>
      <c r="D47" s="4" t="s">
        <v>55</v>
      </c>
      <c r="E47" s="5">
        <v>13253</v>
      </c>
      <c r="F47" s="6">
        <v>33.536716499999997</v>
      </c>
      <c r="G47" s="7">
        <v>1.1603275999999999E-2</v>
      </c>
      <c r="H47" s="67"/>
    </row>
    <row r="48" spans="1:8" x14ac:dyDescent="0.2">
      <c r="A48" s="3">
        <v>42</v>
      </c>
      <c r="B48" s="4" t="s">
        <v>194</v>
      </c>
      <c r="C48" s="4" t="s">
        <v>195</v>
      </c>
      <c r="D48" s="4" t="s">
        <v>55</v>
      </c>
      <c r="E48" s="5">
        <v>3397</v>
      </c>
      <c r="F48" s="6">
        <v>32.740285999999998</v>
      </c>
      <c r="G48" s="7">
        <v>1.1327721000000001E-2</v>
      </c>
      <c r="H48" s="67"/>
    </row>
    <row r="49" spans="1:8" x14ac:dyDescent="0.2">
      <c r="A49" s="3">
        <v>43</v>
      </c>
      <c r="B49" s="4" t="s">
        <v>245</v>
      </c>
      <c r="C49" s="4" t="s">
        <v>246</v>
      </c>
      <c r="D49" s="4" t="s">
        <v>81</v>
      </c>
      <c r="E49" s="5">
        <v>64507</v>
      </c>
      <c r="F49" s="6">
        <v>32.414767500000004</v>
      </c>
      <c r="G49" s="7">
        <v>1.1215096000000001E-2</v>
      </c>
      <c r="H49" s="67"/>
    </row>
    <row r="50" spans="1:8" ht="25.5" x14ac:dyDescent="0.2">
      <c r="A50" s="3">
        <v>44</v>
      </c>
      <c r="B50" s="4" t="s">
        <v>240</v>
      </c>
      <c r="C50" s="4" t="s">
        <v>241</v>
      </c>
      <c r="D50" s="4" t="s">
        <v>52</v>
      </c>
      <c r="E50" s="5">
        <v>7956</v>
      </c>
      <c r="F50" s="6">
        <v>32.122349999999997</v>
      </c>
      <c r="G50" s="7">
        <v>1.1113923E-2</v>
      </c>
      <c r="H50" s="67"/>
    </row>
    <row r="51" spans="1:8" x14ac:dyDescent="0.2">
      <c r="A51" s="3">
        <v>45</v>
      </c>
      <c r="B51" s="4" t="s">
        <v>247</v>
      </c>
      <c r="C51" s="4" t="s">
        <v>248</v>
      </c>
      <c r="D51" s="4" t="s">
        <v>1001</v>
      </c>
      <c r="E51" s="5">
        <v>5772</v>
      </c>
      <c r="F51" s="6">
        <v>31.777746</v>
      </c>
      <c r="G51" s="7">
        <v>1.0994695000000001E-2</v>
      </c>
      <c r="H51" s="67"/>
    </row>
    <row r="52" spans="1:8" x14ac:dyDescent="0.2">
      <c r="A52" s="3">
        <v>46</v>
      </c>
      <c r="B52" s="4" t="s">
        <v>243</v>
      </c>
      <c r="C52" s="4" t="s">
        <v>244</v>
      </c>
      <c r="D52" s="4" t="s">
        <v>171</v>
      </c>
      <c r="E52" s="5">
        <v>8735</v>
      </c>
      <c r="F52" s="6">
        <v>31.664375</v>
      </c>
      <c r="G52" s="7">
        <v>1.095547E-2</v>
      </c>
      <c r="H52" s="67"/>
    </row>
    <row r="53" spans="1:8" x14ac:dyDescent="0.2">
      <c r="A53" s="3">
        <v>47</v>
      </c>
      <c r="B53" s="4" t="s">
        <v>262</v>
      </c>
      <c r="C53" s="4" t="s">
        <v>263</v>
      </c>
      <c r="D53" s="4" t="s">
        <v>171</v>
      </c>
      <c r="E53" s="5">
        <v>4540</v>
      </c>
      <c r="F53" s="6">
        <v>30.767579999999999</v>
      </c>
      <c r="G53" s="7">
        <v>1.0645190000000001E-2</v>
      </c>
      <c r="H53" s="67"/>
    </row>
    <row r="54" spans="1:8" ht="25.5" x14ac:dyDescent="0.2">
      <c r="A54" s="3">
        <v>48</v>
      </c>
      <c r="B54" s="4" t="s">
        <v>176</v>
      </c>
      <c r="C54" s="4" t="s">
        <v>995</v>
      </c>
      <c r="D54" s="4" t="s">
        <v>992</v>
      </c>
      <c r="E54" s="5">
        <v>11598</v>
      </c>
      <c r="F54" s="6">
        <v>30.688307999999999</v>
      </c>
      <c r="G54" s="7">
        <v>1.0617763000000001E-2</v>
      </c>
      <c r="H54" s="67"/>
    </row>
    <row r="55" spans="1:8" x14ac:dyDescent="0.2">
      <c r="A55" s="3">
        <v>49</v>
      </c>
      <c r="B55" s="4" t="s">
        <v>452</v>
      </c>
      <c r="C55" s="4" t="s">
        <v>453</v>
      </c>
      <c r="D55" s="4" t="s">
        <v>27</v>
      </c>
      <c r="E55" s="5">
        <v>3629</v>
      </c>
      <c r="F55" s="6">
        <v>30.118885500000001</v>
      </c>
      <c r="G55" s="7">
        <v>1.0420749999999999E-2</v>
      </c>
      <c r="H55" s="67"/>
    </row>
    <row r="56" spans="1:8" x14ac:dyDescent="0.2">
      <c r="A56" s="3">
        <v>50</v>
      </c>
      <c r="B56" s="4" t="s">
        <v>77</v>
      </c>
      <c r="C56" s="4" t="s">
        <v>78</v>
      </c>
      <c r="D56" s="4" t="s">
        <v>69</v>
      </c>
      <c r="E56" s="5">
        <v>8602</v>
      </c>
      <c r="F56" s="6">
        <v>28.769389</v>
      </c>
      <c r="G56" s="7">
        <v>9.9538419999999992E-3</v>
      </c>
      <c r="H56" s="67"/>
    </row>
    <row r="57" spans="1:8" x14ac:dyDescent="0.2">
      <c r="A57" s="3">
        <v>51</v>
      </c>
      <c r="B57" s="4" t="s">
        <v>273</v>
      </c>
      <c r="C57" s="4" t="s">
        <v>274</v>
      </c>
      <c r="D57" s="4" t="s">
        <v>187</v>
      </c>
      <c r="E57" s="5">
        <v>514</v>
      </c>
      <c r="F57" s="6">
        <v>27.958515999999999</v>
      </c>
      <c r="G57" s="7">
        <v>9.6732899999999993E-3</v>
      </c>
      <c r="H57" s="67"/>
    </row>
    <row r="58" spans="1:8" x14ac:dyDescent="0.2">
      <c r="A58" s="3">
        <v>52</v>
      </c>
      <c r="B58" s="4" t="s">
        <v>253</v>
      </c>
      <c r="C58" s="4" t="s">
        <v>254</v>
      </c>
      <c r="D58" s="4" t="s">
        <v>49</v>
      </c>
      <c r="E58" s="5">
        <v>2549</v>
      </c>
      <c r="F58" s="6">
        <v>26.86646</v>
      </c>
      <c r="G58" s="7">
        <v>9.2954530000000004E-3</v>
      </c>
      <c r="H58" s="67"/>
    </row>
    <row r="59" spans="1:8" x14ac:dyDescent="0.2">
      <c r="A59" s="3">
        <v>53</v>
      </c>
      <c r="B59" s="4" t="s">
        <v>172</v>
      </c>
      <c r="C59" s="4" t="s">
        <v>173</v>
      </c>
      <c r="D59" s="4" t="s">
        <v>331</v>
      </c>
      <c r="E59" s="5">
        <v>2741</v>
      </c>
      <c r="F59" s="6">
        <v>26.134064500000001</v>
      </c>
      <c r="G59" s="7">
        <v>9.0420529999999995E-3</v>
      </c>
      <c r="H59" s="67"/>
    </row>
    <row r="60" spans="1:8" x14ac:dyDescent="0.2">
      <c r="A60" s="3">
        <v>54</v>
      </c>
      <c r="B60" s="4" t="s">
        <v>460</v>
      </c>
      <c r="C60" s="4" t="s">
        <v>461</v>
      </c>
      <c r="D60" s="4" t="s">
        <v>81</v>
      </c>
      <c r="E60" s="5">
        <v>3631</v>
      </c>
      <c r="F60" s="6">
        <v>25.4950665</v>
      </c>
      <c r="G60" s="7">
        <v>8.8209680000000002E-3</v>
      </c>
      <c r="H60" s="67"/>
    </row>
    <row r="61" spans="1:8" x14ac:dyDescent="0.2">
      <c r="A61" s="3">
        <v>55</v>
      </c>
      <c r="B61" s="4" t="s">
        <v>270</v>
      </c>
      <c r="C61" s="4" t="s">
        <v>271</v>
      </c>
      <c r="D61" s="4" t="s">
        <v>272</v>
      </c>
      <c r="E61" s="5">
        <v>10967</v>
      </c>
      <c r="F61" s="6">
        <v>24.922507499999998</v>
      </c>
      <c r="G61" s="7">
        <v>8.6228699999999995E-3</v>
      </c>
      <c r="H61" s="67"/>
    </row>
    <row r="62" spans="1:8" x14ac:dyDescent="0.2">
      <c r="A62" s="3">
        <v>56</v>
      </c>
      <c r="B62" s="4" t="s">
        <v>268</v>
      </c>
      <c r="C62" s="4" t="s">
        <v>269</v>
      </c>
      <c r="D62" s="4" t="s">
        <v>24</v>
      </c>
      <c r="E62" s="5">
        <v>26378</v>
      </c>
      <c r="F62" s="6">
        <v>24.307327000000001</v>
      </c>
      <c r="G62" s="7">
        <v>8.4100249999999998E-3</v>
      </c>
      <c r="H62" s="67"/>
    </row>
    <row r="63" spans="1:8" x14ac:dyDescent="0.2">
      <c r="A63" s="3">
        <v>57</v>
      </c>
      <c r="B63" s="4" t="s">
        <v>462</v>
      </c>
      <c r="C63" s="4" t="s">
        <v>463</v>
      </c>
      <c r="D63" s="4" t="s">
        <v>1003</v>
      </c>
      <c r="E63" s="5">
        <v>25056</v>
      </c>
      <c r="F63" s="6">
        <v>23.414832000000001</v>
      </c>
      <c r="G63" s="7">
        <v>8.1012329999999994E-3</v>
      </c>
      <c r="H63" s="67"/>
    </row>
    <row r="64" spans="1:8" x14ac:dyDescent="0.2">
      <c r="A64" s="3">
        <v>58</v>
      </c>
      <c r="B64" s="4" t="s">
        <v>255</v>
      </c>
      <c r="C64" s="4" t="s">
        <v>256</v>
      </c>
      <c r="D64" s="4" t="s">
        <v>331</v>
      </c>
      <c r="E64" s="5">
        <v>1566</v>
      </c>
      <c r="F64" s="6">
        <v>23.309909999999999</v>
      </c>
      <c r="G64" s="7">
        <v>8.0649320000000004E-3</v>
      </c>
      <c r="H64" s="67"/>
    </row>
    <row r="65" spans="1:8" x14ac:dyDescent="0.2">
      <c r="A65" s="3">
        <v>59</v>
      </c>
      <c r="B65" s="4" t="s">
        <v>277</v>
      </c>
      <c r="C65" s="4" t="s">
        <v>278</v>
      </c>
      <c r="D65" s="4" t="s">
        <v>187</v>
      </c>
      <c r="E65" s="5">
        <v>5701</v>
      </c>
      <c r="F65" s="6">
        <v>22.285208999999998</v>
      </c>
      <c r="G65" s="7">
        <v>7.7103980000000003E-3</v>
      </c>
      <c r="H65" s="67"/>
    </row>
    <row r="66" spans="1:8" x14ac:dyDescent="0.2">
      <c r="A66" s="3">
        <v>60</v>
      </c>
      <c r="B66" s="4" t="s">
        <v>279</v>
      </c>
      <c r="C66" s="4" t="s">
        <v>280</v>
      </c>
      <c r="D66" s="4" t="s">
        <v>1003</v>
      </c>
      <c r="E66" s="5">
        <v>1417</v>
      </c>
      <c r="F66" s="6">
        <v>21.503683500000001</v>
      </c>
      <c r="G66" s="7">
        <v>7.4400000000000004E-3</v>
      </c>
      <c r="H66" s="67"/>
    </row>
    <row r="67" spans="1:8" x14ac:dyDescent="0.2">
      <c r="A67" s="3">
        <v>61</v>
      </c>
      <c r="B67" s="4" t="s">
        <v>285</v>
      </c>
      <c r="C67" s="4" t="s">
        <v>286</v>
      </c>
      <c r="D67" s="4" t="s">
        <v>153</v>
      </c>
      <c r="E67" s="5">
        <v>1227</v>
      </c>
      <c r="F67" s="6">
        <v>15.7479315</v>
      </c>
      <c r="G67" s="7">
        <v>5.4485829999999999E-3</v>
      </c>
      <c r="H67" s="67"/>
    </row>
    <row r="68" spans="1:8" x14ac:dyDescent="0.2">
      <c r="A68" s="3">
        <v>62</v>
      </c>
      <c r="B68" s="4" t="s">
        <v>283</v>
      </c>
      <c r="C68" s="4" t="s">
        <v>284</v>
      </c>
      <c r="D68" s="4" t="s">
        <v>166</v>
      </c>
      <c r="E68" s="5">
        <v>2982</v>
      </c>
      <c r="F68" s="6">
        <v>13.509950999999999</v>
      </c>
      <c r="G68" s="7">
        <v>4.6742709999999998E-3</v>
      </c>
      <c r="H68" s="67"/>
    </row>
    <row r="69" spans="1:8" x14ac:dyDescent="0.2">
      <c r="A69" s="1"/>
      <c r="B69" s="1"/>
      <c r="C69" s="2" t="s">
        <v>105</v>
      </c>
      <c r="D69" s="1"/>
      <c r="E69" s="1" t="s">
        <v>106</v>
      </c>
      <c r="F69" s="9">
        <v>2799.9981790000002</v>
      </c>
      <c r="G69" s="10">
        <v>0.968763657</v>
      </c>
      <c r="H69" s="67"/>
    </row>
    <row r="70" spans="1:8" x14ac:dyDescent="0.2">
      <c r="A70" s="1"/>
      <c r="B70" s="1"/>
      <c r="C70" s="11"/>
      <c r="D70" s="1"/>
      <c r="E70" s="1"/>
      <c r="F70" s="12"/>
      <c r="G70" s="12"/>
      <c r="H70" s="67"/>
    </row>
    <row r="71" spans="1:8" x14ac:dyDescent="0.2">
      <c r="A71" s="1"/>
      <c r="B71" s="1"/>
      <c r="C71" s="2" t="s">
        <v>107</v>
      </c>
      <c r="D71" s="1"/>
      <c r="E71" s="1"/>
      <c r="F71" s="1"/>
      <c r="G71" s="1"/>
      <c r="H71" s="67"/>
    </row>
    <row r="72" spans="1:8" x14ac:dyDescent="0.2">
      <c r="A72" s="1"/>
      <c r="B72" s="1"/>
      <c r="C72" s="2" t="s">
        <v>105</v>
      </c>
      <c r="D72" s="1"/>
      <c r="E72" s="1" t="s">
        <v>106</v>
      </c>
      <c r="F72" s="13">
        <v>0</v>
      </c>
      <c r="G72" s="14">
        <v>0</v>
      </c>
      <c r="H72" s="67"/>
    </row>
    <row r="73" spans="1:8" x14ac:dyDescent="0.2">
      <c r="A73" s="1"/>
      <c r="B73" s="1"/>
      <c r="C73" s="11"/>
      <c r="D73" s="1"/>
      <c r="E73" s="1"/>
      <c r="F73" s="12"/>
      <c r="G73" s="12"/>
      <c r="H73" s="67"/>
    </row>
    <row r="74" spans="1:8" x14ac:dyDescent="0.2">
      <c r="A74" s="1"/>
      <c r="B74" s="1"/>
      <c r="C74" s="2" t="s">
        <v>108</v>
      </c>
      <c r="D74" s="1"/>
      <c r="E74" s="1"/>
      <c r="F74" s="1"/>
      <c r="G74" s="1"/>
      <c r="H74" s="67"/>
    </row>
    <row r="75" spans="1:8" x14ac:dyDescent="0.2">
      <c r="A75" s="1"/>
      <c r="B75" s="1"/>
      <c r="C75" s="2" t="s">
        <v>105</v>
      </c>
      <c r="D75" s="1"/>
      <c r="E75" s="1" t="s">
        <v>106</v>
      </c>
      <c r="F75" s="13">
        <v>0</v>
      </c>
      <c r="G75" s="14">
        <v>0</v>
      </c>
      <c r="H75" s="67"/>
    </row>
    <row r="76" spans="1:8" x14ac:dyDescent="0.2">
      <c r="A76" s="1"/>
      <c r="B76" s="1"/>
      <c r="C76" s="11"/>
      <c r="D76" s="1"/>
      <c r="E76" s="1"/>
      <c r="F76" s="12"/>
      <c r="G76" s="12"/>
      <c r="H76" s="67"/>
    </row>
    <row r="77" spans="1:8" x14ac:dyDescent="0.2">
      <c r="A77" s="1"/>
      <c r="B77" s="1"/>
      <c r="C77" s="2" t="s">
        <v>109</v>
      </c>
      <c r="D77" s="1"/>
      <c r="E77" s="1"/>
      <c r="F77" s="1"/>
      <c r="G77" s="1"/>
      <c r="H77" s="67"/>
    </row>
    <row r="78" spans="1:8" x14ac:dyDescent="0.2">
      <c r="A78" s="1"/>
      <c r="B78" s="1"/>
      <c r="C78" s="2" t="s">
        <v>105</v>
      </c>
      <c r="D78" s="1"/>
      <c r="E78" s="1" t="s">
        <v>106</v>
      </c>
      <c r="F78" s="13">
        <v>0</v>
      </c>
      <c r="G78" s="14">
        <v>0</v>
      </c>
      <c r="H78" s="67"/>
    </row>
    <row r="79" spans="1:8" x14ac:dyDescent="0.2">
      <c r="A79" s="1"/>
      <c r="B79" s="1"/>
      <c r="C79" s="11"/>
      <c r="D79" s="1"/>
      <c r="E79" s="1"/>
      <c r="F79" s="12"/>
      <c r="G79" s="12"/>
      <c r="H79" s="67"/>
    </row>
    <row r="80" spans="1:8" x14ac:dyDescent="0.2">
      <c r="A80" s="1"/>
      <c r="B80" s="1"/>
      <c r="C80" s="2" t="s">
        <v>110</v>
      </c>
      <c r="D80" s="1"/>
      <c r="E80" s="1"/>
      <c r="F80" s="12"/>
      <c r="G80" s="12"/>
      <c r="H80" s="67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13">
        <v>0</v>
      </c>
      <c r="G81" s="14">
        <v>0</v>
      </c>
      <c r="H81" s="67"/>
    </row>
    <row r="82" spans="1:8" x14ac:dyDescent="0.2">
      <c r="A82" s="1"/>
      <c r="B82" s="1"/>
      <c r="C82" s="11"/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111</v>
      </c>
      <c r="D83" s="1"/>
      <c r="E83" s="1"/>
      <c r="F83" s="12"/>
      <c r="G83" s="12"/>
      <c r="H83" s="67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7"/>
    </row>
    <row r="85" spans="1:8" x14ac:dyDescent="0.2">
      <c r="A85" s="1"/>
      <c r="B85" s="1"/>
      <c r="C85" s="11"/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112</v>
      </c>
      <c r="D86" s="1"/>
      <c r="E86" s="1"/>
      <c r="F86" s="9">
        <v>2799.9981790000002</v>
      </c>
      <c r="G86" s="10">
        <v>0.968763657</v>
      </c>
      <c r="H86" s="67"/>
    </row>
    <row r="87" spans="1:8" x14ac:dyDescent="0.2">
      <c r="A87" s="1"/>
      <c r="B87" s="1"/>
      <c r="C87" s="11"/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113</v>
      </c>
      <c r="D88" s="1"/>
      <c r="E88" s="1"/>
      <c r="F88" s="12"/>
      <c r="G88" s="12"/>
      <c r="H88" s="67"/>
    </row>
    <row r="89" spans="1:8" ht="25.5" x14ac:dyDescent="0.2">
      <c r="A89" s="1"/>
      <c r="B89" s="1"/>
      <c r="C89" s="2" t="s">
        <v>10</v>
      </c>
      <c r="D89" s="1"/>
      <c r="E89" s="1"/>
      <c r="F89" s="12"/>
      <c r="G89" s="12"/>
      <c r="H89" s="67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">
        <v>0</v>
      </c>
      <c r="H90" s="67"/>
    </row>
    <row r="91" spans="1:8" x14ac:dyDescent="0.2">
      <c r="A91" s="1"/>
      <c r="B91" s="1"/>
      <c r="C91" s="11"/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114</v>
      </c>
      <c r="D92" s="1"/>
      <c r="E92" s="1"/>
      <c r="F92" s="1"/>
      <c r="G92" s="1"/>
      <c r="H92" s="67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7"/>
    </row>
    <row r="94" spans="1:8" x14ac:dyDescent="0.2">
      <c r="A94" s="1"/>
      <c r="B94" s="1"/>
      <c r="C94" s="11"/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115</v>
      </c>
      <c r="D95" s="1"/>
      <c r="E95" s="1"/>
      <c r="F95" s="1"/>
      <c r="G95" s="1"/>
      <c r="H95" s="67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7"/>
    </row>
    <row r="97" spans="1:8" x14ac:dyDescent="0.2">
      <c r="A97" s="1"/>
      <c r="B97" s="1"/>
      <c r="C97" s="11"/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116</v>
      </c>
      <c r="D98" s="1"/>
      <c r="E98" s="1"/>
      <c r="F98" s="12"/>
      <c r="G98" s="12"/>
      <c r="H98" s="67"/>
    </row>
    <row r="99" spans="1:8" x14ac:dyDescent="0.2">
      <c r="A99" s="1"/>
      <c r="B99" s="1"/>
      <c r="C99" s="2" t="s">
        <v>105</v>
      </c>
      <c r="D99" s="1"/>
      <c r="E99" s="1" t="s">
        <v>106</v>
      </c>
      <c r="F99" s="13">
        <v>0</v>
      </c>
      <c r="G99" s="14">
        <v>0</v>
      </c>
      <c r="H99" s="67"/>
    </row>
    <row r="100" spans="1:8" x14ac:dyDescent="0.2">
      <c r="A100" s="1"/>
      <c r="B100" s="1"/>
      <c r="C100" s="11"/>
      <c r="D100" s="1"/>
      <c r="E100" s="1"/>
      <c r="F100" s="12"/>
      <c r="G100" s="12"/>
      <c r="H100" s="67"/>
    </row>
    <row r="101" spans="1:8" x14ac:dyDescent="0.2">
      <c r="A101" s="1"/>
      <c r="B101" s="1"/>
      <c r="C101" s="2" t="s">
        <v>117</v>
      </c>
      <c r="D101" s="1"/>
      <c r="E101" s="1"/>
      <c r="F101" s="9">
        <v>0</v>
      </c>
      <c r="G101" s="10">
        <v>0</v>
      </c>
      <c r="H101" s="67"/>
    </row>
    <row r="102" spans="1:8" x14ac:dyDescent="0.2">
      <c r="A102" s="1"/>
      <c r="B102" s="1"/>
      <c r="C102" s="11"/>
      <c r="D102" s="1"/>
      <c r="E102" s="1"/>
      <c r="F102" s="12"/>
      <c r="G102" s="12"/>
      <c r="H102" s="67"/>
    </row>
    <row r="103" spans="1:8" x14ac:dyDescent="0.2">
      <c r="A103" s="1"/>
      <c r="B103" s="1"/>
      <c r="C103" s="2" t="s">
        <v>118</v>
      </c>
      <c r="D103" s="1"/>
      <c r="E103" s="1"/>
      <c r="F103" s="12"/>
      <c r="G103" s="12"/>
      <c r="H103" s="67"/>
    </row>
    <row r="104" spans="1:8" x14ac:dyDescent="0.2">
      <c r="A104" s="1"/>
      <c r="B104" s="1"/>
      <c r="C104" s="2" t="s">
        <v>119</v>
      </c>
      <c r="D104" s="1"/>
      <c r="E104" s="1"/>
      <c r="F104" s="12"/>
      <c r="G104" s="12"/>
      <c r="H104" s="67"/>
    </row>
    <row r="105" spans="1:8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">
        <v>0</v>
      </c>
      <c r="H105" s="67"/>
    </row>
    <row r="106" spans="1:8" x14ac:dyDescent="0.2">
      <c r="A106" s="1"/>
      <c r="B106" s="1"/>
      <c r="C106" s="11"/>
      <c r="D106" s="1"/>
      <c r="E106" s="1"/>
      <c r="F106" s="12"/>
      <c r="G106" s="12"/>
      <c r="H106" s="67"/>
    </row>
    <row r="107" spans="1:8" x14ac:dyDescent="0.2">
      <c r="A107" s="1"/>
      <c r="B107" s="1"/>
      <c r="C107" s="2" t="s">
        <v>120</v>
      </c>
      <c r="D107" s="1"/>
      <c r="E107" s="1"/>
      <c r="F107" s="12"/>
      <c r="G107" s="12"/>
      <c r="H107" s="67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">
        <v>0</v>
      </c>
      <c r="H108" s="67"/>
    </row>
    <row r="109" spans="1:8" x14ac:dyDescent="0.2">
      <c r="A109" s="1"/>
      <c r="B109" s="1"/>
      <c r="C109" s="11"/>
      <c r="D109" s="1"/>
      <c r="E109" s="1"/>
      <c r="F109" s="12"/>
      <c r="G109" s="12"/>
      <c r="H109" s="67"/>
    </row>
    <row r="110" spans="1:8" x14ac:dyDescent="0.2">
      <c r="A110" s="1"/>
      <c r="B110" s="1"/>
      <c r="C110" s="2" t="s">
        <v>121</v>
      </c>
      <c r="D110" s="1"/>
      <c r="E110" s="1"/>
      <c r="F110" s="12"/>
      <c r="G110" s="12"/>
      <c r="H110" s="67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">
        <v>0</v>
      </c>
      <c r="H111" s="67"/>
    </row>
    <row r="112" spans="1:8" x14ac:dyDescent="0.2">
      <c r="A112" s="1"/>
      <c r="B112" s="1"/>
      <c r="C112" s="11"/>
      <c r="D112" s="1"/>
      <c r="E112" s="1"/>
      <c r="F112" s="12"/>
      <c r="G112" s="12"/>
      <c r="H112" s="67"/>
    </row>
    <row r="113" spans="1:8" x14ac:dyDescent="0.2">
      <c r="A113" s="1"/>
      <c r="B113" s="1"/>
      <c r="C113" s="2" t="s">
        <v>122</v>
      </c>
      <c r="D113" s="1"/>
      <c r="E113" s="1"/>
      <c r="F113" s="12"/>
      <c r="G113" s="12"/>
      <c r="H113" s="67"/>
    </row>
    <row r="114" spans="1:8" x14ac:dyDescent="0.2">
      <c r="A114" s="3">
        <v>1</v>
      </c>
      <c r="B114" s="4"/>
      <c r="C114" s="4" t="s">
        <v>123</v>
      </c>
      <c r="D114" s="4"/>
      <c r="E114" s="8"/>
      <c r="F114" s="6">
        <v>105.21395029999999</v>
      </c>
      <c r="G114" s="7">
        <v>3.6402684999999997E-2</v>
      </c>
      <c r="H114" s="67">
        <v>3.1047477660654299</v>
      </c>
    </row>
    <row r="115" spans="1:8" x14ac:dyDescent="0.2">
      <c r="A115" s="1"/>
      <c r="B115" s="1"/>
      <c r="C115" s="2" t="s">
        <v>105</v>
      </c>
      <c r="D115" s="1"/>
      <c r="E115" s="1" t="s">
        <v>106</v>
      </c>
      <c r="F115" s="9">
        <v>105.21395029999999</v>
      </c>
      <c r="G115" s="10">
        <v>3.6402684999999997E-2</v>
      </c>
      <c r="H115" s="67"/>
    </row>
    <row r="116" spans="1:8" x14ac:dyDescent="0.2">
      <c r="A116" s="1"/>
      <c r="B116" s="1"/>
      <c r="C116" s="11"/>
      <c r="D116" s="1"/>
      <c r="E116" s="1"/>
      <c r="F116" s="12"/>
      <c r="G116" s="12"/>
      <c r="H116" s="67"/>
    </row>
    <row r="117" spans="1:8" x14ac:dyDescent="0.2">
      <c r="A117" s="1"/>
      <c r="B117" s="1"/>
      <c r="C117" s="2" t="s">
        <v>124</v>
      </c>
      <c r="D117" s="1"/>
      <c r="E117" s="1"/>
      <c r="F117" s="9">
        <v>105.21395029999999</v>
      </c>
      <c r="G117" s="10">
        <v>3.6402684999999997E-2</v>
      </c>
      <c r="H117" s="67"/>
    </row>
    <row r="118" spans="1:8" x14ac:dyDescent="0.2">
      <c r="A118" s="1"/>
      <c r="B118" s="1"/>
      <c r="C118" s="12"/>
      <c r="D118" s="1"/>
      <c r="E118" s="1"/>
      <c r="F118" s="1"/>
      <c r="G118" s="1"/>
      <c r="H118" s="67"/>
    </row>
    <row r="119" spans="1:8" x14ac:dyDescent="0.2">
      <c r="A119" s="1"/>
      <c r="B119" s="1"/>
      <c r="C119" s="2" t="s">
        <v>125</v>
      </c>
      <c r="D119" s="1"/>
      <c r="E119" s="1"/>
      <c r="F119" s="1"/>
      <c r="G119" s="1"/>
      <c r="H119" s="67"/>
    </row>
    <row r="120" spans="1:8" x14ac:dyDescent="0.2">
      <c r="A120" s="1"/>
      <c r="B120" s="1"/>
      <c r="C120" s="2" t="s">
        <v>126</v>
      </c>
      <c r="D120" s="1"/>
      <c r="E120" s="1"/>
      <c r="F120" s="1"/>
      <c r="G120" s="1"/>
      <c r="H120" s="67"/>
    </row>
    <row r="121" spans="1:8" x14ac:dyDescent="0.2">
      <c r="A121" s="1"/>
      <c r="B121" s="1"/>
      <c r="C121" s="2" t="s">
        <v>105</v>
      </c>
      <c r="D121" s="1"/>
      <c r="E121" s="1" t="s">
        <v>106</v>
      </c>
      <c r="F121" s="13">
        <v>0</v>
      </c>
      <c r="G121" s="14">
        <v>0</v>
      </c>
      <c r="H121" s="67"/>
    </row>
    <row r="122" spans="1:8" x14ac:dyDescent="0.2">
      <c r="A122" s="1"/>
      <c r="B122" s="1"/>
      <c r="C122" s="11"/>
      <c r="D122" s="1"/>
      <c r="E122" s="1"/>
      <c r="F122" s="12"/>
      <c r="G122" s="12"/>
      <c r="H122" s="67"/>
    </row>
    <row r="123" spans="1:8" x14ac:dyDescent="0.2">
      <c r="A123" s="1"/>
      <c r="B123" s="1"/>
      <c r="C123" s="2" t="s">
        <v>127</v>
      </c>
      <c r="D123" s="1"/>
      <c r="E123" s="1"/>
      <c r="F123" s="1"/>
      <c r="G123" s="1"/>
      <c r="H123" s="67"/>
    </row>
    <row r="124" spans="1:8" x14ac:dyDescent="0.2">
      <c r="A124" s="1"/>
      <c r="B124" s="1"/>
      <c r="C124" s="2" t="s">
        <v>128</v>
      </c>
      <c r="D124" s="1"/>
      <c r="E124" s="1"/>
      <c r="F124" s="1"/>
      <c r="G124" s="1"/>
      <c r="H124" s="67"/>
    </row>
    <row r="125" spans="1:8" x14ac:dyDescent="0.2">
      <c r="A125" s="1"/>
      <c r="B125" s="1"/>
      <c r="C125" s="2" t="s">
        <v>105</v>
      </c>
      <c r="D125" s="1"/>
      <c r="E125" s="1" t="s">
        <v>106</v>
      </c>
      <c r="F125" s="13">
        <v>0</v>
      </c>
      <c r="G125" s="14">
        <v>0</v>
      </c>
      <c r="H125" s="67"/>
    </row>
    <row r="126" spans="1:8" x14ac:dyDescent="0.2">
      <c r="A126" s="1"/>
      <c r="B126" s="1"/>
      <c r="C126" s="11"/>
      <c r="D126" s="1"/>
      <c r="E126" s="1"/>
      <c r="F126" s="12"/>
      <c r="G126" s="12"/>
      <c r="H126" s="67"/>
    </row>
    <row r="127" spans="1:8" x14ac:dyDescent="0.2">
      <c r="A127" s="1"/>
      <c r="B127" s="1"/>
      <c r="C127" s="11"/>
      <c r="D127" s="1"/>
      <c r="E127" s="1"/>
      <c r="F127" s="12"/>
      <c r="G127" s="12"/>
      <c r="H127" s="67"/>
    </row>
    <row r="128" spans="1:8" ht="25.5" x14ac:dyDescent="0.2">
      <c r="A128" s="1"/>
      <c r="B128" s="1"/>
      <c r="C128" s="2" t="s">
        <v>129</v>
      </c>
      <c r="D128" s="1"/>
      <c r="E128" s="1"/>
      <c r="F128" s="12"/>
      <c r="G128" s="12"/>
      <c r="H128" s="67"/>
    </row>
    <row r="129" spans="1:8" x14ac:dyDescent="0.2">
      <c r="A129" s="1"/>
      <c r="B129" s="1"/>
      <c r="C129" s="2" t="s">
        <v>105</v>
      </c>
      <c r="D129" s="1"/>
      <c r="E129" s="1" t="s">
        <v>106</v>
      </c>
      <c r="F129" s="13">
        <v>0</v>
      </c>
      <c r="G129" s="14">
        <v>0</v>
      </c>
      <c r="H129" s="67"/>
    </row>
    <row r="130" spans="1:8" x14ac:dyDescent="0.2">
      <c r="A130" s="1"/>
      <c r="B130" s="1"/>
      <c r="C130" s="11"/>
      <c r="D130" s="1"/>
      <c r="E130" s="1"/>
      <c r="F130" s="12"/>
      <c r="G130" s="12"/>
      <c r="H130" s="67"/>
    </row>
    <row r="131" spans="1:8" x14ac:dyDescent="0.2">
      <c r="A131" s="1"/>
      <c r="B131" s="4"/>
      <c r="C131" s="4"/>
      <c r="D131" s="2"/>
      <c r="E131" s="1"/>
      <c r="F131" s="4"/>
      <c r="G131" s="8"/>
      <c r="H131" s="67"/>
    </row>
    <row r="132" spans="1:8" x14ac:dyDescent="0.2">
      <c r="A132" s="8"/>
      <c r="B132" s="4"/>
      <c r="C132" s="4" t="s">
        <v>130</v>
      </c>
      <c r="D132" s="4"/>
      <c r="E132" s="8"/>
      <c r="F132" s="6">
        <v>-14.932179509999999</v>
      </c>
      <c r="G132" s="7">
        <v>-5.1663439999999998E-3</v>
      </c>
      <c r="H132" s="67"/>
    </row>
    <row r="133" spans="1:8" x14ac:dyDescent="0.2">
      <c r="A133" s="11"/>
      <c r="B133" s="11"/>
      <c r="C133" s="2" t="s">
        <v>131</v>
      </c>
      <c r="D133" s="15"/>
      <c r="E133" s="15"/>
      <c r="F133" s="9">
        <v>2890.27994979</v>
      </c>
      <c r="G133" s="10">
        <v>0.99999999799999995</v>
      </c>
      <c r="H133" s="67"/>
    </row>
    <row r="134" spans="1:8" ht="14.1" customHeight="1" x14ac:dyDescent="0.2">
      <c r="A134" s="16"/>
      <c r="B134" s="16"/>
      <c r="C134" s="16"/>
      <c r="D134" s="17"/>
      <c r="E134" s="17"/>
      <c r="F134" s="17"/>
      <c r="G134" s="17"/>
    </row>
    <row r="135" spans="1:8" ht="14.1" customHeight="1" x14ac:dyDescent="0.2">
      <c r="A135" s="18"/>
      <c r="B135" s="170" t="s">
        <v>106</v>
      </c>
      <c r="C135" s="170"/>
      <c r="D135" s="170"/>
      <c r="E135" s="170"/>
      <c r="F135" s="170"/>
      <c r="G135" s="20"/>
    </row>
    <row r="136" spans="1:8" ht="14.1" customHeight="1" x14ac:dyDescent="0.2">
      <c r="A136" s="18"/>
      <c r="B136" s="170" t="s">
        <v>106</v>
      </c>
      <c r="C136" s="170"/>
      <c r="D136" s="170"/>
      <c r="E136" s="170"/>
      <c r="F136" s="170"/>
      <c r="G136" s="20"/>
    </row>
    <row r="137" spans="1:8" ht="14.1" customHeight="1" x14ac:dyDescent="0.2">
      <c r="A137" s="18"/>
      <c r="B137" s="18"/>
      <c r="C137" s="18"/>
      <c r="D137" s="20"/>
      <c r="E137" s="20"/>
      <c r="F137" s="20"/>
      <c r="G137" s="20"/>
    </row>
    <row r="138" spans="1:8" ht="14.1" customHeight="1" x14ac:dyDescent="0.2">
      <c r="A138" s="18"/>
      <c r="B138" s="168" t="s">
        <v>133</v>
      </c>
      <c r="C138" s="169"/>
      <c r="D138" s="12" t="s">
        <v>106</v>
      </c>
      <c r="E138" s="21"/>
      <c r="F138" s="20"/>
      <c r="G138" s="20"/>
    </row>
    <row r="139" spans="1:8" ht="29.1" customHeight="1" x14ac:dyDescent="0.2">
      <c r="A139" s="18"/>
      <c r="B139" s="165" t="s">
        <v>134</v>
      </c>
      <c r="C139" s="166"/>
      <c r="D139" s="2" t="s">
        <v>135</v>
      </c>
      <c r="E139" s="21"/>
      <c r="F139" s="20"/>
      <c r="G139" s="20"/>
    </row>
    <row r="140" spans="1:8" ht="17.100000000000001" customHeight="1" x14ac:dyDescent="0.2">
      <c r="A140" s="18"/>
      <c r="B140" s="165" t="s">
        <v>136</v>
      </c>
      <c r="C140" s="166"/>
      <c r="D140" s="2" t="s">
        <v>135</v>
      </c>
      <c r="E140" s="21"/>
      <c r="F140" s="20"/>
      <c r="G140" s="20"/>
    </row>
    <row r="141" spans="1:8" ht="17.100000000000001" customHeight="1" x14ac:dyDescent="0.2">
      <c r="A141" s="18"/>
      <c r="B141" s="165" t="s">
        <v>137</v>
      </c>
      <c r="C141" s="166"/>
      <c r="D141" s="12" t="s">
        <v>106</v>
      </c>
      <c r="E141" s="21"/>
      <c r="F141" s="20"/>
      <c r="G141" s="20"/>
    </row>
    <row r="142" spans="1:8" ht="24" customHeight="1" x14ac:dyDescent="0.2">
      <c r="A142" s="22"/>
      <c r="B142" s="23" t="s">
        <v>106</v>
      </c>
      <c r="C142" s="23" t="s">
        <v>138</v>
      </c>
      <c r="D142" s="23" t="s">
        <v>139</v>
      </c>
      <c r="E142" s="22"/>
      <c r="F142" s="22"/>
      <c r="G142" s="22"/>
    </row>
    <row r="143" spans="1:8" ht="18" customHeight="1" x14ac:dyDescent="0.2">
      <c r="A143" s="22"/>
      <c r="B143" s="23" t="s">
        <v>140</v>
      </c>
      <c r="C143" s="23" t="s">
        <v>141</v>
      </c>
      <c r="D143" s="23" t="s">
        <v>142</v>
      </c>
      <c r="E143" s="22"/>
      <c r="F143" s="22"/>
      <c r="G143" s="22"/>
    </row>
    <row r="144" spans="1:8" ht="17.100000000000001" customHeight="1" x14ac:dyDescent="0.2">
      <c r="A144" s="22"/>
      <c r="B144" s="4" t="s">
        <v>143</v>
      </c>
      <c r="C144" s="24">
        <v>16.351600000000001</v>
      </c>
      <c r="D144" s="24">
        <v>16.3125</v>
      </c>
      <c r="E144" s="22"/>
      <c r="F144" s="19"/>
      <c r="G144" s="25"/>
    </row>
    <row r="145" spans="1:7" ht="17.100000000000001" customHeight="1" x14ac:dyDescent="0.2">
      <c r="A145" s="22"/>
      <c r="B145" s="4" t="s">
        <v>988</v>
      </c>
      <c r="C145" s="24">
        <v>15.79</v>
      </c>
      <c r="D145" s="24">
        <v>15.7523</v>
      </c>
      <c r="E145" s="22"/>
      <c r="F145" s="19"/>
      <c r="G145" s="25"/>
    </row>
    <row r="146" spans="1:7" ht="17.100000000000001" customHeight="1" x14ac:dyDescent="0.2">
      <c r="A146" s="22"/>
      <c r="B146" s="4" t="s">
        <v>144</v>
      </c>
      <c r="C146" s="24">
        <v>16.167999999999999</v>
      </c>
      <c r="D146" s="24">
        <v>16.122900000000001</v>
      </c>
      <c r="E146" s="22"/>
      <c r="F146" s="19"/>
      <c r="G146" s="25"/>
    </row>
    <row r="147" spans="1:7" ht="17.100000000000001" customHeight="1" x14ac:dyDescent="0.2">
      <c r="A147" s="22"/>
      <c r="B147" s="4" t="s">
        <v>989</v>
      </c>
      <c r="C147" s="24">
        <v>15.607100000000001</v>
      </c>
      <c r="D147" s="24">
        <v>15.563499999999999</v>
      </c>
      <c r="E147" s="22"/>
      <c r="F147" s="19"/>
      <c r="G147" s="25"/>
    </row>
    <row r="148" spans="1:7" ht="14.1" customHeight="1" x14ac:dyDescent="0.2">
      <c r="A148" s="22"/>
      <c r="B148" s="22"/>
      <c r="C148" s="22"/>
      <c r="D148" s="22"/>
      <c r="E148" s="22"/>
      <c r="F148" s="22"/>
      <c r="G148" s="22"/>
    </row>
    <row r="149" spans="1:7" ht="17.100000000000001" customHeight="1" x14ac:dyDescent="0.2">
      <c r="A149" s="22"/>
      <c r="B149" s="165" t="s">
        <v>990</v>
      </c>
      <c r="C149" s="166"/>
      <c r="D149" s="2" t="s">
        <v>135</v>
      </c>
      <c r="E149" s="22"/>
      <c r="F149" s="22"/>
      <c r="G149" s="22"/>
    </row>
    <row r="150" spans="1:7" ht="18" customHeight="1" x14ac:dyDescent="0.2">
      <c r="A150" s="22"/>
      <c r="B150" s="26" t="s">
        <v>145</v>
      </c>
      <c r="C150" s="26" t="s">
        <v>145</v>
      </c>
      <c r="D150" s="26"/>
      <c r="E150" s="22"/>
      <c r="F150" s="22"/>
      <c r="G150" s="22"/>
    </row>
    <row r="151" spans="1:7" s="158" customFormat="1" x14ac:dyDescent="0.2">
      <c r="B151" s="167" t="s">
        <v>822</v>
      </c>
      <c r="C151" s="167"/>
      <c r="D151" s="167"/>
      <c r="E151" s="167"/>
      <c r="F151" s="167"/>
    </row>
    <row r="152" spans="1:7" ht="14.1" customHeight="1" x14ac:dyDescent="0.2">
      <c r="A152" s="22"/>
      <c r="B152" s="19"/>
      <c r="C152" s="19"/>
      <c r="D152" s="22"/>
      <c r="E152" s="22"/>
      <c r="F152" s="22"/>
      <c r="G152" s="22"/>
    </row>
    <row r="153" spans="1:7" ht="29.1" customHeight="1" x14ac:dyDescent="0.2">
      <c r="A153" s="22"/>
      <c r="B153" s="165" t="s">
        <v>146</v>
      </c>
      <c r="C153" s="166"/>
      <c r="D153" s="2" t="s">
        <v>135</v>
      </c>
      <c r="E153" s="22"/>
      <c r="F153" s="22"/>
      <c r="G153" s="22"/>
    </row>
    <row r="154" spans="1:7" ht="29.1" customHeight="1" x14ac:dyDescent="0.2">
      <c r="A154" s="22"/>
      <c r="B154" s="165" t="s">
        <v>147</v>
      </c>
      <c r="C154" s="166"/>
      <c r="D154" s="2" t="s">
        <v>135</v>
      </c>
      <c r="E154" s="22"/>
      <c r="F154" s="22"/>
      <c r="G154" s="22"/>
    </row>
    <row r="155" spans="1:7" ht="17.100000000000001" customHeight="1" x14ac:dyDescent="0.2">
      <c r="A155" s="22"/>
      <c r="B155" s="165" t="s">
        <v>148</v>
      </c>
      <c r="C155" s="166"/>
      <c r="D155" s="27">
        <v>0.39952915541540734</v>
      </c>
      <c r="E155" s="22"/>
      <c r="F155" s="19"/>
      <c r="G155" s="25"/>
    </row>
    <row r="156" spans="1:7" ht="17.100000000000001" customHeight="1" x14ac:dyDescent="0.2">
      <c r="A156" s="22"/>
      <c r="B156" s="165" t="s">
        <v>149</v>
      </c>
      <c r="C156" s="166"/>
      <c r="D156" s="2" t="s">
        <v>135</v>
      </c>
      <c r="E156" s="22"/>
      <c r="F156" s="22"/>
      <c r="G156" s="22"/>
    </row>
  </sheetData>
  <mergeCells count="15">
    <mergeCell ref="B138:C138"/>
    <mergeCell ref="B135:F135"/>
    <mergeCell ref="B136:F136"/>
    <mergeCell ref="A1:H1"/>
    <mergeCell ref="A2:H2"/>
    <mergeCell ref="A3:H3"/>
    <mergeCell ref="B155:C155"/>
    <mergeCell ref="B156:C156"/>
    <mergeCell ref="B139:C139"/>
    <mergeCell ref="B140:C140"/>
    <mergeCell ref="B141:C141"/>
    <mergeCell ref="B149:C149"/>
    <mergeCell ref="B153:C153"/>
    <mergeCell ref="B154:C154"/>
    <mergeCell ref="B151:F151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13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492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22</v>
      </c>
      <c r="C7" s="4" t="s">
        <v>23</v>
      </c>
      <c r="D7" s="4" t="s">
        <v>24</v>
      </c>
      <c r="E7" s="5">
        <v>20627</v>
      </c>
      <c r="F7" s="6">
        <v>148.3184435</v>
      </c>
      <c r="G7" s="7">
        <v>8.0051925999999995E-2</v>
      </c>
      <c r="H7" s="67"/>
    </row>
    <row r="8" spans="1:8" x14ac:dyDescent="0.2">
      <c r="A8" s="3">
        <v>2</v>
      </c>
      <c r="B8" s="4" t="s">
        <v>400</v>
      </c>
      <c r="C8" s="4" t="s">
        <v>401</v>
      </c>
      <c r="D8" s="4" t="s">
        <v>166</v>
      </c>
      <c r="E8" s="5">
        <v>8300</v>
      </c>
      <c r="F8" s="6">
        <v>141.63534999999999</v>
      </c>
      <c r="G8" s="7">
        <v>7.6444859000000004E-2</v>
      </c>
      <c r="H8" s="67"/>
    </row>
    <row r="9" spans="1:8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5610</v>
      </c>
      <c r="F9" s="6">
        <v>126.682215</v>
      </c>
      <c r="G9" s="7">
        <v>6.8374202999999995E-2</v>
      </c>
      <c r="H9" s="67"/>
    </row>
    <row r="10" spans="1:8" x14ac:dyDescent="0.2">
      <c r="A10" s="3">
        <v>4</v>
      </c>
      <c r="B10" s="4" t="s">
        <v>398</v>
      </c>
      <c r="C10" s="4" t="s">
        <v>399</v>
      </c>
      <c r="D10" s="4" t="s">
        <v>24</v>
      </c>
      <c r="E10" s="5">
        <v>7820</v>
      </c>
      <c r="F10" s="6">
        <v>123.66548</v>
      </c>
      <c r="G10" s="7">
        <v>6.6745979999999996E-2</v>
      </c>
      <c r="H10" s="67"/>
    </row>
    <row r="11" spans="1:8" ht="25.5" x14ac:dyDescent="0.2">
      <c r="A11" s="3">
        <v>5</v>
      </c>
      <c r="B11" s="4" t="s">
        <v>402</v>
      </c>
      <c r="C11" s="4" t="s">
        <v>403</v>
      </c>
      <c r="D11" s="4" t="s">
        <v>81</v>
      </c>
      <c r="E11" s="5">
        <v>3376</v>
      </c>
      <c r="F11" s="6">
        <v>94.477360000000004</v>
      </c>
      <c r="G11" s="7">
        <v>5.0992273999999997E-2</v>
      </c>
      <c r="H11" s="67"/>
    </row>
    <row r="12" spans="1:8" ht="25.5" x14ac:dyDescent="0.2">
      <c r="A12" s="3">
        <v>6</v>
      </c>
      <c r="B12" s="4" t="s">
        <v>321</v>
      </c>
      <c r="C12" s="4" t="s">
        <v>322</v>
      </c>
      <c r="D12" s="4" t="s">
        <v>52</v>
      </c>
      <c r="E12" s="5">
        <v>8598</v>
      </c>
      <c r="F12" s="6">
        <v>72.820761000000005</v>
      </c>
      <c r="G12" s="7">
        <v>3.9303556000000003E-2</v>
      </c>
      <c r="H12" s="67"/>
    </row>
    <row r="13" spans="1:8" x14ac:dyDescent="0.2">
      <c r="A13" s="3">
        <v>7</v>
      </c>
      <c r="B13" s="4" t="s">
        <v>404</v>
      </c>
      <c r="C13" s="4" t="s">
        <v>405</v>
      </c>
      <c r="D13" s="4" t="s">
        <v>24</v>
      </c>
      <c r="E13" s="5">
        <v>16051</v>
      </c>
      <c r="F13" s="6">
        <v>68.385285499999995</v>
      </c>
      <c r="G13" s="7">
        <v>3.6909596000000003E-2</v>
      </c>
      <c r="H13" s="67"/>
    </row>
    <row r="14" spans="1:8" x14ac:dyDescent="0.2">
      <c r="A14" s="3">
        <v>8</v>
      </c>
      <c r="B14" s="4" t="s">
        <v>354</v>
      </c>
      <c r="C14" s="4" t="s">
        <v>355</v>
      </c>
      <c r="D14" s="4" t="s">
        <v>24</v>
      </c>
      <c r="E14" s="5">
        <v>8341</v>
      </c>
      <c r="F14" s="6">
        <v>65.601965000000007</v>
      </c>
      <c r="G14" s="7">
        <v>3.5407354000000002E-2</v>
      </c>
      <c r="H14" s="67"/>
    </row>
    <row r="15" spans="1:8" ht="25.5" x14ac:dyDescent="0.2">
      <c r="A15" s="3">
        <v>9</v>
      </c>
      <c r="B15" s="4" t="s">
        <v>31</v>
      </c>
      <c r="C15" s="4" t="s">
        <v>993</v>
      </c>
      <c r="D15" s="4" t="s">
        <v>992</v>
      </c>
      <c r="E15" s="5">
        <v>825</v>
      </c>
      <c r="F15" s="6">
        <v>64.617712499999996</v>
      </c>
      <c r="G15" s="7">
        <v>3.4876123000000002E-2</v>
      </c>
      <c r="H15" s="67"/>
    </row>
    <row r="16" spans="1:8" x14ac:dyDescent="0.2">
      <c r="A16" s="3">
        <v>10</v>
      </c>
      <c r="B16" s="4" t="s">
        <v>151</v>
      </c>
      <c r="C16" s="4" t="s">
        <v>152</v>
      </c>
      <c r="D16" s="4" t="s">
        <v>153</v>
      </c>
      <c r="E16" s="5">
        <v>1505</v>
      </c>
      <c r="F16" s="6">
        <v>60.615380000000002</v>
      </c>
      <c r="G16" s="7">
        <v>3.2715943999999997E-2</v>
      </c>
      <c r="H16" s="67"/>
    </row>
    <row r="17" spans="1:8" x14ac:dyDescent="0.2">
      <c r="A17" s="3">
        <v>11</v>
      </c>
      <c r="B17" s="4" t="s">
        <v>11</v>
      </c>
      <c r="C17" s="4" t="s">
        <v>12</v>
      </c>
      <c r="D17" s="4" t="s">
        <v>13</v>
      </c>
      <c r="E17" s="5">
        <v>3340</v>
      </c>
      <c r="F17" s="6">
        <v>55.851480000000002</v>
      </c>
      <c r="G17" s="7">
        <v>3.0144724000000001E-2</v>
      </c>
      <c r="H17" s="67"/>
    </row>
    <row r="18" spans="1:8" x14ac:dyDescent="0.2">
      <c r="A18" s="3">
        <v>12</v>
      </c>
      <c r="B18" s="4" t="s">
        <v>364</v>
      </c>
      <c r="C18" s="4" t="s">
        <v>365</v>
      </c>
      <c r="D18" s="4" t="s">
        <v>166</v>
      </c>
      <c r="E18" s="5">
        <v>3900</v>
      </c>
      <c r="F18" s="6">
        <v>46.109699999999997</v>
      </c>
      <c r="G18" s="7">
        <v>2.4886792000000001E-2</v>
      </c>
      <c r="H18" s="67"/>
    </row>
    <row r="19" spans="1:8" x14ac:dyDescent="0.2">
      <c r="A19" s="3">
        <v>13</v>
      </c>
      <c r="B19" s="4" t="s">
        <v>17</v>
      </c>
      <c r="C19" s="4" t="s">
        <v>18</v>
      </c>
      <c r="D19" s="4" t="s">
        <v>19</v>
      </c>
      <c r="E19" s="5">
        <v>6757</v>
      </c>
      <c r="F19" s="6">
        <v>44.869858499999999</v>
      </c>
      <c r="G19" s="7">
        <v>2.4217612999999999E-2</v>
      </c>
      <c r="H19" s="67"/>
    </row>
    <row r="20" spans="1:8" x14ac:dyDescent="0.2">
      <c r="A20" s="3">
        <v>14</v>
      </c>
      <c r="B20" s="4" t="s">
        <v>406</v>
      </c>
      <c r="C20" s="4" t="s">
        <v>407</v>
      </c>
      <c r="D20" s="4" t="s">
        <v>1002</v>
      </c>
      <c r="E20" s="5">
        <v>3435</v>
      </c>
      <c r="F20" s="6">
        <v>40.946917499999998</v>
      </c>
      <c r="G20" s="7">
        <v>2.2100282999999998E-2</v>
      </c>
      <c r="H20" s="67"/>
    </row>
    <row r="21" spans="1:8" x14ac:dyDescent="0.2">
      <c r="A21" s="3">
        <v>15</v>
      </c>
      <c r="B21" s="4" t="s">
        <v>177</v>
      </c>
      <c r="C21" s="4" t="s">
        <v>178</v>
      </c>
      <c r="D21" s="4" t="s">
        <v>179</v>
      </c>
      <c r="E21" s="5">
        <v>16375</v>
      </c>
      <c r="F21" s="6">
        <v>39.218125000000001</v>
      </c>
      <c r="G21" s="7">
        <v>2.1167202E-2</v>
      </c>
      <c r="H21" s="67"/>
    </row>
    <row r="22" spans="1:8" x14ac:dyDescent="0.2">
      <c r="A22" s="3">
        <v>16</v>
      </c>
      <c r="B22" s="4" t="s">
        <v>42</v>
      </c>
      <c r="C22" s="4" t="s">
        <v>43</v>
      </c>
      <c r="D22" s="4" t="s">
        <v>16</v>
      </c>
      <c r="E22" s="5">
        <v>8136</v>
      </c>
      <c r="F22" s="6">
        <v>38.373443999999999</v>
      </c>
      <c r="G22" s="7">
        <v>2.0711302000000001E-2</v>
      </c>
      <c r="H22" s="67"/>
    </row>
    <row r="23" spans="1:8" x14ac:dyDescent="0.2">
      <c r="A23" s="3">
        <v>17</v>
      </c>
      <c r="B23" s="4" t="s">
        <v>368</v>
      </c>
      <c r="C23" s="4" t="s">
        <v>369</v>
      </c>
      <c r="D23" s="4" t="s">
        <v>242</v>
      </c>
      <c r="E23" s="5">
        <v>4800</v>
      </c>
      <c r="F23" s="6">
        <v>38.059199999999997</v>
      </c>
      <c r="G23" s="7">
        <v>2.0541694999999999E-2</v>
      </c>
      <c r="H23" s="67"/>
    </row>
    <row r="24" spans="1:8" ht="25.5" x14ac:dyDescent="0.2">
      <c r="A24" s="3">
        <v>18</v>
      </c>
      <c r="B24" s="4" t="s">
        <v>493</v>
      </c>
      <c r="C24" s="4" t="s">
        <v>494</v>
      </c>
      <c r="D24" s="4" t="s">
        <v>992</v>
      </c>
      <c r="E24" s="5">
        <v>2750</v>
      </c>
      <c r="F24" s="6">
        <v>37.237749999999998</v>
      </c>
      <c r="G24" s="7">
        <v>2.0098333999999999E-2</v>
      </c>
      <c r="H24" s="67"/>
    </row>
    <row r="25" spans="1:8" x14ac:dyDescent="0.2">
      <c r="A25" s="3">
        <v>19</v>
      </c>
      <c r="B25" s="4" t="s">
        <v>414</v>
      </c>
      <c r="C25" s="4" t="s">
        <v>415</v>
      </c>
      <c r="D25" s="4" t="s">
        <v>166</v>
      </c>
      <c r="E25" s="5">
        <v>969</v>
      </c>
      <c r="F25" s="6">
        <v>36.690700499999998</v>
      </c>
      <c r="G25" s="7">
        <v>1.9803075E-2</v>
      </c>
      <c r="H25" s="67"/>
    </row>
    <row r="26" spans="1:8" x14ac:dyDescent="0.2">
      <c r="A26" s="3">
        <v>20</v>
      </c>
      <c r="B26" s="4" t="s">
        <v>70</v>
      </c>
      <c r="C26" s="4" t="s">
        <v>71</v>
      </c>
      <c r="D26" s="4" t="s">
        <v>27</v>
      </c>
      <c r="E26" s="5">
        <v>3462</v>
      </c>
      <c r="F26" s="6">
        <v>34.590572999999999</v>
      </c>
      <c r="G26" s="7">
        <v>1.8669572999999998E-2</v>
      </c>
      <c r="H26" s="67"/>
    </row>
    <row r="27" spans="1:8" x14ac:dyDescent="0.2">
      <c r="A27" s="3">
        <v>21</v>
      </c>
      <c r="B27" s="4" t="s">
        <v>208</v>
      </c>
      <c r="C27" s="4" t="s">
        <v>209</v>
      </c>
      <c r="D27" s="4" t="s">
        <v>1005</v>
      </c>
      <c r="E27" s="5">
        <v>4000</v>
      </c>
      <c r="F27" s="6">
        <v>33.874000000000002</v>
      </c>
      <c r="G27" s="7">
        <v>1.8282817E-2</v>
      </c>
      <c r="H27" s="67"/>
    </row>
    <row r="28" spans="1:8" x14ac:dyDescent="0.2">
      <c r="A28" s="3">
        <v>22</v>
      </c>
      <c r="B28" s="4" t="s">
        <v>350</v>
      </c>
      <c r="C28" s="4" t="s">
        <v>351</v>
      </c>
      <c r="D28" s="4" t="s">
        <v>46</v>
      </c>
      <c r="E28" s="5">
        <v>4814</v>
      </c>
      <c r="F28" s="6">
        <v>32.713537000000002</v>
      </c>
      <c r="G28" s="7">
        <v>1.7656479999999999E-2</v>
      </c>
      <c r="H28" s="67"/>
    </row>
    <row r="29" spans="1:8" x14ac:dyDescent="0.2">
      <c r="A29" s="3">
        <v>23</v>
      </c>
      <c r="B29" s="4" t="s">
        <v>433</v>
      </c>
      <c r="C29" s="4" t="s">
        <v>434</v>
      </c>
      <c r="D29" s="4" t="s">
        <v>24</v>
      </c>
      <c r="E29" s="5">
        <v>1570</v>
      </c>
      <c r="F29" s="6">
        <v>27.533090000000001</v>
      </c>
      <c r="G29" s="7">
        <v>1.4860437000000001E-2</v>
      </c>
      <c r="H29" s="67"/>
    </row>
    <row r="30" spans="1:8" x14ac:dyDescent="0.2">
      <c r="A30" s="3">
        <v>24</v>
      </c>
      <c r="B30" s="4" t="s">
        <v>495</v>
      </c>
      <c r="C30" s="4" t="s">
        <v>496</v>
      </c>
      <c r="D30" s="4" t="s">
        <v>55</v>
      </c>
      <c r="E30" s="5">
        <v>1421</v>
      </c>
      <c r="F30" s="6">
        <v>27.305935999999999</v>
      </c>
      <c r="G30" s="7">
        <v>1.4737834999999999E-2</v>
      </c>
      <c r="H30" s="67"/>
    </row>
    <row r="31" spans="1:8" ht="25.5" x14ac:dyDescent="0.2">
      <c r="A31" s="3">
        <v>25</v>
      </c>
      <c r="B31" s="4" t="s">
        <v>429</v>
      </c>
      <c r="C31" s="4" t="s">
        <v>430</v>
      </c>
      <c r="D31" s="4" t="s">
        <v>52</v>
      </c>
      <c r="E31" s="5">
        <v>12606</v>
      </c>
      <c r="F31" s="6">
        <v>26.636478</v>
      </c>
      <c r="G31" s="7">
        <v>1.4376509000000001E-2</v>
      </c>
      <c r="H31" s="67"/>
    </row>
    <row r="32" spans="1:8" x14ac:dyDescent="0.2">
      <c r="A32" s="3">
        <v>26</v>
      </c>
      <c r="B32" s="4" t="s">
        <v>497</v>
      </c>
      <c r="C32" s="4" t="s">
        <v>498</v>
      </c>
      <c r="D32" s="4" t="s">
        <v>84</v>
      </c>
      <c r="E32" s="5">
        <v>9000</v>
      </c>
      <c r="F32" s="6">
        <v>25.856999999999999</v>
      </c>
      <c r="G32" s="7">
        <v>1.3955801E-2</v>
      </c>
      <c r="H32" s="67"/>
    </row>
    <row r="33" spans="1:8" x14ac:dyDescent="0.2">
      <c r="A33" s="3">
        <v>27</v>
      </c>
      <c r="B33" s="4" t="s">
        <v>344</v>
      </c>
      <c r="C33" s="4" t="s">
        <v>345</v>
      </c>
      <c r="D33" s="4" t="s">
        <v>49</v>
      </c>
      <c r="E33" s="5">
        <v>6000</v>
      </c>
      <c r="F33" s="6">
        <v>22.617000000000001</v>
      </c>
      <c r="G33" s="7">
        <v>1.2207075E-2</v>
      </c>
      <c r="H33" s="67"/>
    </row>
    <row r="34" spans="1:8" x14ac:dyDescent="0.2">
      <c r="A34" s="3">
        <v>28</v>
      </c>
      <c r="B34" s="4" t="s">
        <v>418</v>
      </c>
      <c r="C34" s="4" t="s">
        <v>419</v>
      </c>
      <c r="D34" s="4" t="s">
        <v>49</v>
      </c>
      <c r="E34" s="5">
        <v>1501</v>
      </c>
      <c r="F34" s="6">
        <v>21.768252499999999</v>
      </c>
      <c r="G34" s="7">
        <v>1.1748981E-2</v>
      </c>
      <c r="H34" s="67"/>
    </row>
    <row r="35" spans="1:8" ht="25.5" x14ac:dyDescent="0.2">
      <c r="A35" s="3">
        <v>29</v>
      </c>
      <c r="B35" s="4" t="s">
        <v>384</v>
      </c>
      <c r="C35" s="4" t="s">
        <v>385</v>
      </c>
      <c r="D35" s="4" t="s">
        <v>52</v>
      </c>
      <c r="E35" s="5">
        <v>2500</v>
      </c>
      <c r="F35" s="6">
        <v>21.623750000000001</v>
      </c>
      <c r="G35" s="7">
        <v>1.1670988E-2</v>
      </c>
      <c r="H35" s="67"/>
    </row>
    <row r="36" spans="1:8" ht="25.5" x14ac:dyDescent="0.2">
      <c r="A36" s="3">
        <v>30</v>
      </c>
      <c r="B36" s="4" t="s">
        <v>408</v>
      </c>
      <c r="C36" s="4" t="s">
        <v>409</v>
      </c>
      <c r="D36" s="4" t="s">
        <v>52</v>
      </c>
      <c r="E36" s="5">
        <v>788</v>
      </c>
      <c r="F36" s="6">
        <v>21.465907999999999</v>
      </c>
      <c r="G36" s="7">
        <v>1.1585796000000001E-2</v>
      </c>
      <c r="H36" s="67"/>
    </row>
    <row r="37" spans="1:8" x14ac:dyDescent="0.2">
      <c r="A37" s="3">
        <v>31</v>
      </c>
      <c r="B37" s="4" t="s">
        <v>416</v>
      </c>
      <c r="C37" s="4" t="s">
        <v>417</v>
      </c>
      <c r="D37" s="4" t="s">
        <v>187</v>
      </c>
      <c r="E37" s="5">
        <v>2650</v>
      </c>
      <c r="F37" s="6">
        <v>21.042325000000002</v>
      </c>
      <c r="G37" s="7">
        <v>1.1357176E-2</v>
      </c>
      <c r="H37" s="67"/>
    </row>
    <row r="38" spans="1:8" x14ac:dyDescent="0.2">
      <c r="A38" s="3">
        <v>32</v>
      </c>
      <c r="B38" s="4" t="s">
        <v>443</v>
      </c>
      <c r="C38" s="4" t="s">
        <v>444</v>
      </c>
      <c r="D38" s="4" t="s">
        <v>187</v>
      </c>
      <c r="E38" s="5">
        <v>2158</v>
      </c>
      <c r="F38" s="6">
        <v>20.453524000000002</v>
      </c>
      <c r="G38" s="7">
        <v>1.1039382E-2</v>
      </c>
      <c r="H38" s="67"/>
    </row>
    <row r="39" spans="1:8" x14ac:dyDescent="0.2">
      <c r="A39" s="3">
        <v>33</v>
      </c>
      <c r="B39" s="4" t="s">
        <v>338</v>
      </c>
      <c r="C39" s="4" t="s">
        <v>339</v>
      </c>
      <c r="D39" s="4" t="s">
        <v>24</v>
      </c>
      <c r="E39" s="5">
        <v>25000</v>
      </c>
      <c r="F39" s="6">
        <v>20.3125</v>
      </c>
      <c r="G39" s="7">
        <v>1.0963267E-2</v>
      </c>
      <c r="H39" s="67"/>
    </row>
    <row r="40" spans="1:8" x14ac:dyDescent="0.2">
      <c r="A40" s="3">
        <v>34</v>
      </c>
      <c r="B40" s="4" t="s">
        <v>356</v>
      </c>
      <c r="C40" s="4" t="s">
        <v>357</v>
      </c>
      <c r="D40" s="4" t="s">
        <v>24</v>
      </c>
      <c r="E40" s="5">
        <v>25574</v>
      </c>
      <c r="F40" s="6">
        <v>19.781489000000001</v>
      </c>
      <c r="G40" s="7">
        <v>1.0676665E-2</v>
      </c>
      <c r="H40" s="67"/>
    </row>
    <row r="41" spans="1:8" x14ac:dyDescent="0.2">
      <c r="A41" s="3">
        <v>35</v>
      </c>
      <c r="B41" s="4" t="s">
        <v>454</v>
      </c>
      <c r="C41" s="4" t="s">
        <v>455</v>
      </c>
      <c r="D41" s="4" t="s">
        <v>46</v>
      </c>
      <c r="E41" s="5">
        <v>4424</v>
      </c>
      <c r="F41" s="6">
        <v>18.076464000000001</v>
      </c>
      <c r="G41" s="7">
        <v>9.7564109999999996E-3</v>
      </c>
      <c r="H41" s="67"/>
    </row>
    <row r="42" spans="1:8" x14ac:dyDescent="0.2">
      <c r="A42" s="3">
        <v>36</v>
      </c>
      <c r="B42" s="4" t="s">
        <v>91</v>
      </c>
      <c r="C42" s="4" t="s">
        <v>92</v>
      </c>
      <c r="D42" s="4" t="s">
        <v>27</v>
      </c>
      <c r="E42" s="5">
        <v>248</v>
      </c>
      <c r="F42" s="6">
        <v>17.981487999999999</v>
      </c>
      <c r="G42" s="7">
        <v>9.7051499999999992E-3</v>
      </c>
      <c r="H42" s="67"/>
    </row>
    <row r="43" spans="1:8" x14ac:dyDescent="0.2">
      <c r="A43" s="3">
        <v>37</v>
      </c>
      <c r="B43" s="4" t="s">
        <v>394</v>
      </c>
      <c r="C43" s="4" t="s">
        <v>395</v>
      </c>
      <c r="D43" s="4" t="s">
        <v>331</v>
      </c>
      <c r="E43" s="5">
        <v>7968</v>
      </c>
      <c r="F43" s="6">
        <v>16.581408</v>
      </c>
      <c r="G43" s="7">
        <v>8.9494850000000001E-3</v>
      </c>
      <c r="H43" s="67"/>
    </row>
    <row r="44" spans="1:8" x14ac:dyDescent="0.2">
      <c r="A44" s="3">
        <v>38</v>
      </c>
      <c r="B44" s="4" t="s">
        <v>412</v>
      </c>
      <c r="C44" s="4" t="s">
        <v>413</v>
      </c>
      <c r="D44" s="4" t="s">
        <v>166</v>
      </c>
      <c r="E44" s="5">
        <v>2582</v>
      </c>
      <c r="F44" s="6">
        <v>16.549329</v>
      </c>
      <c r="G44" s="7">
        <v>8.9321709999999992E-3</v>
      </c>
      <c r="H44" s="67"/>
    </row>
    <row r="45" spans="1:8" x14ac:dyDescent="0.2">
      <c r="A45" s="3">
        <v>39</v>
      </c>
      <c r="B45" s="4" t="s">
        <v>58</v>
      </c>
      <c r="C45" s="4" t="s">
        <v>59</v>
      </c>
      <c r="D45" s="4" t="s">
        <v>60</v>
      </c>
      <c r="E45" s="5">
        <v>10893</v>
      </c>
      <c r="F45" s="6">
        <v>15.9201195</v>
      </c>
      <c r="G45" s="7">
        <v>8.5925670000000006E-3</v>
      </c>
      <c r="H45" s="67"/>
    </row>
    <row r="46" spans="1:8" x14ac:dyDescent="0.2">
      <c r="A46" s="3">
        <v>40</v>
      </c>
      <c r="B46" s="4" t="s">
        <v>334</v>
      </c>
      <c r="C46" s="4" t="s">
        <v>335</v>
      </c>
      <c r="D46" s="4" t="s">
        <v>187</v>
      </c>
      <c r="E46" s="5">
        <v>280</v>
      </c>
      <c r="F46" s="6">
        <v>10.90292</v>
      </c>
      <c r="G46" s="7">
        <v>5.8846339999999997E-3</v>
      </c>
      <c r="H46" s="67"/>
    </row>
    <row r="47" spans="1:8" x14ac:dyDescent="0.2">
      <c r="A47" s="3">
        <v>41</v>
      </c>
      <c r="B47" s="4" t="s">
        <v>499</v>
      </c>
      <c r="C47" s="4" t="s">
        <v>500</v>
      </c>
      <c r="D47" s="4" t="s">
        <v>187</v>
      </c>
      <c r="E47" s="5">
        <v>200</v>
      </c>
      <c r="F47" s="6">
        <v>9.4080999999999992</v>
      </c>
      <c r="G47" s="7">
        <v>5.0778350000000002E-3</v>
      </c>
      <c r="H47" s="67"/>
    </row>
    <row r="48" spans="1:8" x14ac:dyDescent="0.2">
      <c r="A48" s="1"/>
      <c r="B48" s="1"/>
      <c r="C48" s="2" t="s">
        <v>105</v>
      </c>
      <c r="D48" s="1"/>
      <c r="E48" s="1" t="s">
        <v>106</v>
      </c>
      <c r="F48" s="9">
        <v>1827.172319</v>
      </c>
      <c r="G48" s="10">
        <v>0.98617986999999996</v>
      </c>
      <c r="H48" s="67"/>
    </row>
    <row r="49" spans="1:8" x14ac:dyDescent="0.2">
      <c r="A49" s="1"/>
      <c r="B49" s="1"/>
      <c r="C49" s="11"/>
      <c r="D49" s="1"/>
      <c r="E49" s="1"/>
      <c r="F49" s="12"/>
      <c r="G49" s="12"/>
      <c r="H49" s="67"/>
    </row>
    <row r="50" spans="1:8" x14ac:dyDescent="0.2">
      <c r="A50" s="1"/>
      <c r="B50" s="1"/>
      <c r="C50" s="2" t="s">
        <v>107</v>
      </c>
      <c r="D50" s="1"/>
      <c r="E50" s="1"/>
      <c r="F50" s="1"/>
      <c r="G50" s="1"/>
      <c r="H50" s="67"/>
    </row>
    <row r="51" spans="1:8" x14ac:dyDescent="0.2">
      <c r="A51" s="1"/>
      <c r="B51" s="1"/>
      <c r="C51" s="2" t="s">
        <v>105</v>
      </c>
      <c r="D51" s="1"/>
      <c r="E51" s="1" t="s">
        <v>106</v>
      </c>
      <c r="F51" s="13">
        <v>0</v>
      </c>
      <c r="G51" s="14">
        <v>0</v>
      </c>
      <c r="H51" s="67"/>
    </row>
    <row r="52" spans="1:8" x14ac:dyDescent="0.2">
      <c r="A52" s="1"/>
      <c r="B52" s="1"/>
      <c r="C52" s="11"/>
      <c r="D52" s="1"/>
      <c r="E52" s="1"/>
      <c r="F52" s="12"/>
      <c r="G52" s="12"/>
      <c r="H52" s="67"/>
    </row>
    <row r="53" spans="1:8" x14ac:dyDescent="0.2">
      <c r="A53" s="1"/>
      <c r="B53" s="1"/>
      <c r="C53" s="2" t="s">
        <v>108</v>
      </c>
      <c r="D53" s="1"/>
      <c r="E53" s="1"/>
      <c r="F53" s="1"/>
      <c r="G53" s="1"/>
      <c r="H53" s="67"/>
    </row>
    <row r="54" spans="1:8" x14ac:dyDescent="0.2">
      <c r="A54" s="1"/>
      <c r="B54" s="1"/>
      <c r="C54" s="2" t="s">
        <v>105</v>
      </c>
      <c r="D54" s="1"/>
      <c r="E54" s="1" t="s">
        <v>106</v>
      </c>
      <c r="F54" s="13">
        <v>0</v>
      </c>
      <c r="G54" s="14">
        <v>0</v>
      </c>
      <c r="H54" s="67"/>
    </row>
    <row r="55" spans="1:8" x14ac:dyDescent="0.2">
      <c r="A55" s="1"/>
      <c r="B55" s="1"/>
      <c r="C55" s="11"/>
      <c r="D55" s="1"/>
      <c r="E55" s="1"/>
      <c r="F55" s="12"/>
      <c r="G55" s="12"/>
      <c r="H55" s="67"/>
    </row>
    <row r="56" spans="1:8" x14ac:dyDescent="0.2">
      <c r="A56" s="1"/>
      <c r="B56" s="1"/>
      <c r="C56" s="2" t="s">
        <v>109</v>
      </c>
      <c r="D56" s="1"/>
      <c r="E56" s="1"/>
      <c r="F56" s="1"/>
      <c r="G56" s="1"/>
      <c r="H56" s="67"/>
    </row>
    <row r="57" spans="1:8" x14ac:dyDescent="0.2">
      <c r="A57" s="1"/>
      <c r="B57" s="1"/>
      <c r="C57" s="2" t="s">
        <v>105</v>
      </c>
      <c r="D57" s="1"/>
      <c r="E57" s="1" t="s">
        <v>106</v>
      </c>
      <c r="F57" s="13">
        <v>0</v>
      </c>
      <c r="G57" s="14">
        <v>0</v>
      </c>
      <c r="H57" s="67"/>
    </row>
    <row r="58" spans="1:8" x14ac:dyDescent="0.2">
      <c r="A58" s="1"/>
      <c r="B58" s="1"/>
      <c r="C58" s="11"/>
      <c r="D58" s="1"/>
      <c r="E58" s="1"/>
      <c r="F58" s="12"/>
      <c r="G58" s="12"/>
      <c r="H58" s="67"/>
    </row>
    <row r="59" spans="1:8" x14ac:dyDescent="0.2">
      <c r="A59" s="1"/>
      <c r="B59" s="1"/>
      <c r="C59" s="2" t="s">
        <v>110</v>
      </c>
      <c r="D59" s="1"/>
      <c r="E59" s="1"/>
      <c r="F59" s="12"/>
      <c r="G59" s="12"/>
      <c r="H59" s="67"/>
    </row>
    <row r="60" spans="1:8" x14ac:dyDescent="0.2">
      <c r="A60" s="1"/>
      <c r="B60" s="1"/>
      <c r="C60" s="2" t="s">
        <v>105</v>
      </c>
      <c r="D60" s="1"/>
      <c r="E60" s="1" t="s">
        <v>106</v>
      </c>
      <c r="F60" s="13">
        <v>0</v>
      </c>
      <c r="G60" s="14">
        <v>0</v>
      </c>
      <c r="H60" s="67"/>
    </row>
    <row r="61" spans="1:8" x14ac:dyDescent="0.2">
      <c r="A61" s="1"/>
      <c r="B61" s="1"/>
      <c r="C61" s="11"/>
      <c r="D61" s="1"/>
      <c r="E61" s="1"/>
      <c r="F61" s="12"/>
      <c r="G61" s="12"/>
      <c r="H61" s="67"/>
    </row>
    <row r="62" spans="1:8" x14ac:dyDescent="0.2">
      <c r="A62" s="1"/>
      <c r="B62" s="1"/>
      <c r="C62" s="2" t="s">
        <v>111</v>
      </c>
      <c r="D62" s="1"/>
      <c r="E62" s="1"/>
      <c r="F62" s="12"/>
      <c r="G62" s="12"/>
      <c r="H62" s="67"/>
    </row>
    <row r="63" spans="1:8" x14ac:dyDescent="0.2">
      <c r="A63" s="1"/>
      <c r="B63" s="1"/>
      <c r="C63" s="2" t="s">
        <v>105</v>
      </c>
      <c r="D63" s="1"/>
      <c r="E63" s="1" t="s">
        <v>106</v>
      </c>
      <c r="F63" s="13">
        <v>0</v>
      </c>
      <c r="G63" s="14">
        <v>0</v>
      </c>
      <c r="H63" s="67"/>
    </row>
    <row r="64" spans="1:8" x14ac:dyDescent="0.2">
      <c r="A64" s="1"/>
      <c r="B64" s="1"/>
      <c r="C64" s="11"/>
      <c r="D64" s="1"/>
      <c r="E64" s="1"/>
      <c r="F64" s="12"/>
      <c r="G64" s="12"/>
      <c r="H64" s="67"/>
    </row>
    <row r="65" spans="1:8" x14ac:dyDescent="0.2">
      <c r="A65" s="1"/>
      <c r="B65" s="1"/>
      <c r="C65" s="2" t="s">
        <v>112</v>
      </c>
      <c r="D65" s="1"/>
      <c r="E65" s="1"/>
      <c r="F65" s="9">
        <v>1827.172319</v>
      </c>
      <c r="G65" s="10">
        <v>0.98617986999999996</v>
      </c>
      <c r="H65" s="67"/>
    </row>
    <row r="66" spans="1:8" x14ac:dyDescent="0.2">
      <c r="A66" s="1"/>
      <c r="B66" s="1"/>
      <c r="C66" s="11"/>
      <c r="D66" s="1"/>
      <c r="E66" s="1"/>
      <c r="F66" s="12"/>
      <c r="G66" s="12"/>
      <c r="H66" s="67"/>
    </row>
    <row r="67" spans="1:8" x14ac:dyDescent="0.2">
      <c r="A67" s="1"/>
      <c r="B67" s="1"/>
      <c r="C67" s="2" t="s">
        <v>113</v>
      </c>
      <c r="D67" s="1"/>
      <c r="E67" s="1"/>
      <c r="F67" s="12"/>
      <c r="G67" s="12"/>
      <c r="H67" s="67"/>
    </row>
    <row r="68" spans="1:8" ht="25.5" x14ac:dyDescent="0.2">
      <c r="A68" s="1"/>
      <c r="B68" s="1"/>
      <c r="C68" s="2" t="s">
        <v>10</v>
      </c>
      <c r="D68" s="1"/>
      <c r="E68" s="1"/>
      <c r="F68" s="12"/>
      <c r="G68" s="12"/>
      <c r="H68" s="67"/>
    </row>
    <row r="69" spans="1:8" x14ac:dyDescent="0.2">
      <c r="A69" s="1"/>
      <c r="B69" s="1"/>
      <c r="C69" s="2" t="s">
        <v>105</v>
      </c>
      <c r="D69" s="1"/>
      <c r="E69" s="1" t="s">
        <v>106</v>
      </c>
      <c r="F69" s="13">
        <v>0</v>
      </c>
      <c r="G69" s="14">
        <v>0</v>
      </c>
      <c r="H69" s="67"/>
    </row>
    <row r="70" spans="1:8" x14ac:dyDescent="0.2">
      <c r="A70" s="1"/>
      <c r="B70" s="1"/>
      <c r="C70" s="11"/>
      <c r="D70" s="1"/>
      <c r="E70" s="1"/>
      <c r="F70" s="12"/>
      <c r="G70" s="12"/>
      <c r="H70" s="67"/>
    </row>
    <row r="71" spans="1:8" x14ac:dyDescent="0.2">
      <c r="A71" s="1"/>
      <c r="B71" s="1"/>
      <c r="C71" s="2" t="s">
        <v>114</v>
      </c>
      <c r="D71" s="1"/>
      <c r="E71" s="1"/>
      <c r="F71" s="1"/>
      <c r="G71" s="1"/>
      <c r="H71" s="67"/>
    </row>
    <row r="72" spans="1:8" x14ac:dyDescent="0.2">
      <c r="A72" s="1"/>
      <c r="B72" s="1"/>
      <c r="C72" s="2" t="s">
        <v>105</v>
      </c>
      <c r="D72" s="1"/>
      <c r="E72" s="1" t="s">
        <v>106</v>
      </c>
      <c r="F72" s="13">
        <v>0</v>
      </c>
      <c r="G72" s="14">
        <v>0</v>
      </c>
      <c r="H72" s="67"/>
    </row>
    <row r="73" spans="1:8" x14ac:dyDescent="0.2">
      <c r="A73" s="1"/>
      <c r="B73" s="1"/>
      <c r="C73" s="11"/>
      <c r="D73" s="1"/>
      <c r="E73" s="1"/>
      <c r="F73" s="12"/>
      <c r="G73" s="12"/>
      <c r="H73" s="67"/>
    </row>
    <row r="74" spans="1:8" x14ac:dyDescent="0.2">
      <c r="A74" s="1"/>
      <c r="B74" s="1"/>
      <c r="C74" s="2" t="s">
        <v>115</v>
      </c>
      <c r="D74" s="1"/>
      <c r="E74" s="1"/>
      <c r="F74" s="1"/>
      <c r="G74" s="1"/>
      <c r="H74" s="67"/>
    </row>
    <row r="75" spans="1:8" x14ac:dyDescent="0.2">
      <c r="A75" s="1"/>
      <c r="B75" s="1"/>
      <c r="C75" s="2" t="s">
        <v>105</v>
      </c>
      <c r="D75" s="1"/>
      <c r="E75" s="1" t="s">
        <v>106</v>
      </c>
      <c r="F75" s="13">
        <v>0</v>
      </c>
      <c r="G75" s="14">
        <v>0</v>
      </c>
      <c r="H75" s="67"/>
    </row>
    <row r="76" spans="1:8" x14ac:dyDescent="0.2">
      <c r="A76" s="1"/>
      <c r="B76" s="1"/>
      <c r="C76" s="11"/>
      <c r="D76" s="1"/>
      <c r="E76" s="1"/>
      <c r="F76" s="12"/>
      <c r="G76" s="12"/>
      <c r="H76" s="67"/>
    </row>
    <row r="77" spans="1:8" x14ac:dyDescent="0.2">
      <c r="A77" s="1"/>
      <c r="B77" s="1"/>
      <c r="C77" s="2" t="s">
        <v>116</v>
      </c>
      <c r="D77" s="1"/>
      <c r="E77" s="1"/>
      <c r="F77" s="12"/>
      <c r="G77" s="12"/>
      <c r="H77" s="67"/>
    </row>
    <row r="78" spans="1:8" x14ac:dyDescent="0.2">
      <c r="A78" s="1"/>
      <c r="B78" s="1"/>
      <c r="C78" s="2" t="s">
        <v>105</v>
      </c>
      <c r="D78" s="1"/>
      <c r="E78" s="1" t="s">
        <v>106</v>
      </c>
      <c r="F78" s="13">
        <v>0</v>
      </c>
      <c r="G78" s="14">
        <v>0</v>
      </c>
      <c r="H78" s="67"/>
    </row>
    <row r="79" spans="1:8" x14ac:dyDescent="0.2">
      <c r="A79" s="1"/>
      <c r="B79" s="1"/>
      <c r="C79" s="11"/>
      <c r="D79" s="1"/>
      <c r="E79" s="1"/>
      <c r="F79" s="12"/>
      <c r="G79" s="12"/>
      <c r="H79" s="67"/>
    </row>
    <row r="80" spans="1:8" x14ac:dyDescent="0.2">
      <c r="A80" s="1"/>
      <c r="B80" s="1"/>
      <c r="C80" s="2" t="s">
        <v>117</v>
      </c>
      <c r="D80" s="1"/>
      <c r="E80" s="1"/>
      <c r="F80" s="9">
        <v>0</v>
      </c>
      <c r="G80" s="10">
        <v>0</v>
      </c>
      <c r="H80" s="67"/>
    </row>
    <row r="81" spans="1:8" x14ac:dyDescent="0.2">
      <c r="A81" s="1"/>
      <c r="B81" s="1"/>
      <c r="C81" s="11"/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118</v>
      </c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119</v>
      </c>
      <c r="D83" s="1"/>
      <c r="E83" s="1"/>
      <c r="F83" s="12"/>
      <c r="G83" s="12"/>
      <c r="H83" s="67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7"/>
    </row>
    <row r="85" spans="1:8" x14ac:dyDescent="0.2">
      <c r="A85" s="1"/>
      <c r="B85" s="1"/>
      <c r="C85" s="11"/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120</v>
      </c>
      <c r="D86" s="1"/>
      <c r="E86" s="1"/>
      <c r="F86" s="12"/>
      <c r="G86" s="12"/>
      <c r="H86" s="67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7"/>
    </row>
    <row r="88" spans="1:8" x14ac:dyDescent="0.2">
      <c r="A88" s="1"/>
      <c r="B88" s="1"/>
      <c r="C88" s="11"/>
      <c r="D88" s="1"/>
      <c r="E88" s="1"/>
      <c r="F88" s="12"/>
      <c r="G88" s="12"/>
      <c r="H88" s="67"/>
    </row>
    <row r="89" spans="1:8" x14ac:dyDescent="0.2">
      <c r="A89" s="1"/>
      <c r="B89" s="1"/>
      <c r="C89" s="2" t="s">
        <v>121</v>
      </c>
      <c r="D89" s="1"/>
      <c r="E89" s="1"/>
      <c r="F89" s="12"/>
      <c r="G89" s="12"/>
      <c r="H89" s="67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">
        <v>0</v>
      </c>
      <c r="H90" s="67"/>
    </row>
    <row r="91" spans="1:8" x14ac:dyDescent="0.2">
      <c r="A91" s="1"/>
      <c r="B91" s="1"/>
      <c r="C91" s="11"/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122</v>
      </c>
      <c r="D92" s="1"/>
      <c r="E92" s="1"/>
      <c r="F92" s="12"/>
      <c r="G92" s="12"/>
      <c r="H92" s="67"/>
    </row>
    <row r="93" spans="1:8" x14ac:dyDescent="0.2">
      <c r="A93" s="3">
        <v>1</v>
      </c>
      <c r="B93" s="4"/>
      <c r="C93" s="4" t="s">
        <v>123</v>
      </c>
      <c r="D93" s="4"/>
      <c r="E93" s="8"/>
      <c r="F93" s="6">
        <v>10.3936159</v>
      </c>
      <c r="G93" s="7">
        <v>5.609747E-3</v>
      </c>
      <c r="H93" s="67">
        <v>3.1047477660654299</v>
      </c>
    </row>
    <row r="94" spans="1:8" x14ac:dyDescent="0.2">
      <c r="A94" s="1"/>
      <c r="B94" s="1"/>
      <c r="C94" s="2" t="s">
        <v>105</v>
      </c>
      <c r="D94" s="1"/>
      <c r="E94" s="1" t="s">
        <v>106</v>
      </c>
      <c r="F94" s="9">
        <v>10.3936159</v>
      </c>
      <c r="G94" s="10">
        <v>5.609747E-3</v>
      </c>
      <c r="H94" s="67"/>
    </row>
    <row r="95" spans="1:8" x14ac:dyDescent="0.2">
      <c r="A95" s="1"/>
      <c r="B95" s="1"/>
      <c r="C95" s="11"/>
      <c r="D95" s="1"/>
      <c r="E95" s="1"/>
      <c r="F95" s="12"/>
      <c r="G95" s="12"/>
      <c r="H95" s="67"/>
    </row>
    <row r="96" spans="1:8" x14ac:dyDescent="0.2">
      <c r="A96" s="1"/>
      <c r="B96" s="1"/>
      <c r="C96" s="2" t="s">
        <v>124</v>
      </c>
      <c r="D96" s="1"/>
      <c r="E96" s="1"/>
      <c r="F96" s="9">
        <v>10.3936159</v>
      </c>
      <c r="G96" s="10">
        <v>5.609747E-3</v>
      </c>
      <c r="H96" s="67"/>
    </row>
    <row r="97" spans="1:8" x14ac:dyDescent="0.2">
      <c r="A97" s="1"/>
      <c r="B97" s="1"/>
      <c r="C97" s="12"/>
      <c r="D97" s="1"/>
      <c r="E97" s="1"/>
      <c r="F97" s="1"/>
      <c r="G97" s="1"/>
      <c r="H97" s="67"/>
    </row>
    <row r="98" spans="1:8" x14ac:dyDescent="0.2">
      <c r="A98" s="1"/>
      <c r="B98" s="1"/>
      <c r="C98" s="2" t="s">
        <v>125</v>
      </c>
      <c r="D98" s="1"/>
      <c r="E98" s="1"/>
      <c r="F98" s="1"/>
      <c r="G98" s="1"/>
      <c r="H98" s="67"/>
    </row>
    <row r="99" spans="1:8" x14ac:dyDescent="0.2">
      <c r="A99" s="1"/>
      <c r="B99" s="1"/>
      <c r="C99" s="2" t="s">
        <v>126</v>
      </c>
      <c r="D99" s="1"/>
      <c r="E99" s="1"/>
      <c r="F99" s="1"/>
      <c r="G99" s="1"/>
      <c r="H99" s="67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7"/>
    </row>
    <row r="101" spans="1:8" x14ac:dyDescent="0.2">
      <c r="A101" s="1"/>
      <c r="B101" s="1"/>
      <c r="C101" s="11"/>
      <c r="D101" s="1"/>
      <c r="E101" s="1"/>
      <c r="F101" s="12"/>
      <c r="G101" s="12"/>
      <c r="H101" s="67"/>
    </row>
    <row r="102" spans="1:8" x14ac:dyDescent="0.2">
      <c r="A102" s="1"/>
      <c r="B102" s="1"/>
      <c r="C102" s="2" t="s">
        <v>127</v>
      </c>
      <c r="D102" s="1"/>
      <c r="E102" s="1"/>
      <c r="F102" s="1"/>
      <c r="G102" s="1"/>
      <c r="H102" s="67"/>
    </row>
    <row r="103" spans="1:8" x14ac:dyDescent="0.2">
      <c r="A103" s="1"/>
      <c r="B103" s="1"/>
      <c r="C103" s="2" t="s">
        <v>128</v>
      </c>
      <c r="D103" s="1"/>
      <c r="E103" s="1"/>
      <c r="F103" s="1"/>
      <c r="G103" s="1"/>
      <c r="H103" s="67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">
        <v>0</v>
      </c>
      <c r="H104" s="67"/>
    </row>
    <row r="105" spans="1:8" x14ac:dyDescent="0.2">
      <c r="A105" s="1"/>
      <c r="B105" s="1"/>
      <c r="C105" s="11"/>
      <c r="D105" s="1"/>
      <c r="E105" s="1"/>
      <c r="F105" s="12"/>
      <c r="G105" s="12"/>
      <c r="H105" s="67"/>
    </row>
    <row r="106" spans="1:8" x14ac:dyDescent="0.2">
      <c r="A106" s="1"/>
      <c r="B106" s="1"/>
      <c r="C106" s="11"/>
      <c r="D106" s="1"/>
      <c r="E106" s="1"/>
      <c r="F106" s="12"/>
      <c r="G106" s="12"/>
      <c r="H106" s="67"/>
    </row>
    <row r="107" spans="1:8" ht="25.5" x14ac:dyDescent="0.2">
      <c r="A107" s="1"/>
      <c r="B107" s="1"/>
      <c r="C107" s="2" t="s">
        <v>129</v>
      </c>
      <c r="D107" s="1"/>
      <c r="E107" s="1"/>
      <c r="F107" s="12"/>
      <c r="G107" s="12"/>
      <c r="H107" s="67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">
        <v>0</v>
      </c>
      <c r="H108" s="67"/>
    </row>
    <row r="109" spans="1:8" x14ac:dyDescent="0.2">
      <c r="A109" s="1"/>
      <c r="B109" s="1"/>
      <c r="C109" s="11"/>
      <c r="D109" s="1"/>
      <c r="E109" s="1"/>
      <c r="F109" s="12"/>
      <c r="G109" s="12"/>
      <c r="H109" s="67"/>
    </row>
    <row r="110" spans="1:8" x14ac:dyDescent="0.2">
      <c r="A110" s="1"/>
      <c r="B110" s="4"/>
      <c r="C110" s="4"/>
      <c r="D110" s="2"/>
      <c r="E110" s="1"/>
      <c r="F110" s="4"/>
      <c r="G110" s="8"/>
      <c r="H110" s="67"/>
    </row>
    <row r="111" spans="1:8" x14ac:dyDescent="0.2">
      <c r="A111" s="8"/>
      <c r="B111" s="4"/>
      <c r="C111" s="4" t="s">
        <v>130</v>
      </c>
      <c r="D111" s="4"/>
      <c r="E111" s="8"/>
      <c r="F111" s="6">
        <v>15.212014679999999</v>
      </c>
      <c r="G111" s="7">
        <v>8.2103820000000004E-3</v>
      </c>
      <c r="H111" s="67"/>
    </row>
    <row r="112" spans="1:8" x14ac:dyDescent="0.2">
      <c r="A112" s="11"/>
      <c r="B112" s="11"/>
      <c r="C112" s="2" t="s">
        <v>131</v>
      </c>
      <c r="D112" s="15"/>
      <c r="E112" s="15"/>
      <c r="F112" s="9">
        <v>1852.77794958</v>
      </c>
      <c r="G112" s="10">
        <v>0.99999999900000003</v>
      </c>
      <c r="H112" s="67"/>
    </row>
    <row r="113" spans="1:7" ht="14.1" customHeight="1" x14ac:dyDescent="0.2">
      <c r="A113" s="16"/>
      <c r="B113" s="16"/>
      <c r="C113" s="16"/>
      <c r="D113" s="17"/>
      <c r="E113" s="17"/>
      <c r="F113" s="17"/>
      <c r="G113" s="17"/>
    </row>
    <row r="114" spans="1:7" ht="14.1" customHeight="1" x14ac:dyDescent="0.2">
      <c r="A114" s="18"/>
      <c r="B114" s="170" t="s">
        <v>106</v>
      </c>
      <c r="C114" s="170"/>
      <c r="D114" s="170"/>
      <c r="E114" s="170"/>
      <c r="F114" s="170"/>
      <c r="G114" s="20"/>
    </row>
    <row r="115" spans="1:7" ht="14.1" customHeight="1" x14ac:dyDescent="0.2">
      <c r="A115" s="18"/>
      <c r="B115" s="170" t="s">
        <v>106</v>
      </c>
      <c r="C115" s="170"/>
      <c r="D115" s="170"/>
      <c r="E115" s="170"/>
      <c r="F115" s="170"/>
      <c r="G115" s="20"/>
    </row>
    <row r="116" spans="1:7" ht="14.1" customHeight="1" x14ac:dyDescent="0.2">
      <c r="A116" s="18"/>
      <c r="B116" s="18"/>
      <c r="C116" s="18"/>
      <c r="D116" s="20"/>
      <c r="E116" s="20"/>
      <c r="F116" s="20"/>
      <c r="G116" s="20"/>
    </row>
    <row r="117" spans="1:7" ht="14.1" customHeight="1" x14ac:dyDescent="0.2">
      <c r="A117" s="18"/>
      <c r="B117" s="168" t="s">
        <v>133</v>
      </c>
      <c r="C117" s="169"/>
      <c r="D117" s="12" t="s">
        <v>106</v>
      </c>
      <c r="E117" s="21"/>
      <c r="F117" s="20"/>
      <c r="G117" s="20"/>
    </row>
    <row r="118" spans="1:7" ht="29.1" customHeight="1" x14ac:dyDescent="0.2">
      <c r="A118" s="18"/>
      <c r="B118" s="165" t="s">
        <v>134</v>
      </c>
      <c r="C118" s="166"/>
      <c r="D118" s="2" t="s">
        <v>135</v>
      </c>
      <c r="E118" s="21"/>
      <c r="F118" s="20"/>
      <c r="G118" s="20"/>
    </row>
    <row r="119" spans="1:7" ht="17.100000000000001" customHeight="1" x14ac:dyDescent="0.2">
      <c r="A119" s="18"/>
      <c r="B119" s="165" t="s">
        <v>136</v>
      </c>
      <c r="C119" s="166"/>
      <c r="D119" s="2" t="s">
        <v>135</v>
      </c>
      <c r="E119" s="21"/>
      <c r="F119" s="20"/>
      <c r="G119" s="20"/>
    </row>
    <row r="120" spans="1:7" ht="17.100000000000001" customHeight="1" x14ac:dyDescent="0.2">
      <c r="A120" s="18"/>
      <c r="B120" s="165" t="s">
        <v>137</v>
      </c>
      <c r="C120" s="166"/>
      <c r="D120" s="12" t="s">
        <v>106</v>
      </c>
      <c r="E120" s="21"/>
      <c r="F120" s="20"/>
      <c r="G120" s="20"/>
    </row>
    <row r="121" spans="1:7" ht="24" customHeight="1" x14ac:dyDescent="0.2">
      <c r="A121" s="22"/>
      <c r="B121" s="23" t="s">
        <v>106</v>
      </c>
      <c r="C121" s="23" t="s">
        <v>138</v>
      </c>
      <c r="D121" s="23" t="s">
        <v>139</v>
      </c>
      <c r="E121" s="22"/>
      <c r="F121" s="22"/>
      <c r="G121" s="22"/>
    </row>
    <row r="122" spans="1:7" ht="18" customHeight="1" x14ac:dyDescent="0.2">
      <c r="A122" s="22"/>
      <c r="B122" s="23" t="s">
        <v>140</v>
      </c>
      <c r="C122" s="23" t="s">
        <v>141</v>
      </c>
      <c r="D122" s="23" t="s">
        <v>142</v>
      </c>
      <c r="E122" s="22"/>
      <c r="F122" s="22"/>
      <c r="G122" s="22"/>
    </row>
    <row r="123" spans="1:7" ht="17.100000000000001" customHeight="1" x14ac:dyDescent="0.2">
      <c r="A123" s="22"/>
      <c r="B123" s="4" t="s">
        <v>143</v>
      </c>
      <c r="C123" s="24">
        <v>20.142800000000001</v>
      </c>
      <c r="D123" s="24">
        <v>21.256499999999999</v>
      </c>
      <c r="E123" s="22"/>
      <c r="F123" s="19"/>
      <c r="G123" s="25"/>
    </row>
    <row r="124" spans="1:7" ht="17.100000000000001" customHeight="1" x14ac:dyDescent="0.2">
      <c r="A124" s="22"/>
      <c r="B124" s="4" t="s">
        <v>988</v>
      </c>
      <c r="C124" s="24">
        <v>16.779800000000002</v>
      </c>
      <c r="D124" s="24">
        <v>17.7075</v>
      </c>
      <c r="E124" s="22"/>
      <c r="F124" s="19"/>
      <c r="G124" s="25"/>
    </row>
    <row r="125" spans="1:7" ht="17.100000000000001" customHeight="1" x14ac:dyDescent="0.2">
      <c r="A125" s="22"/>
      <c r="B125" s="4" t="s">
        <v>144</v>
      </c>
      <c r="C125" s="24">
        <v>19.714200000000002</v>
      </c>
      <c r="D125" s="24">
        <v>20.797899999999998</v>
      </c>
      <c r="E125" s="22"/>
      <c r="F125" s="19"/>
      <c r="G125" s="25"/>
    </row>
    <row r="126" spans="1:7" ht="17.100000000000001" customHeight="1" x14ac:dyDescent="0.2">
      <c r="A126" s="22"/>
      <c r="B126" s="4" t="s">
        <v>989</v>
      </c>
      <c r="C126" s="24">
        <v>16.366599999999998</v>
      </c>
      <c r="D126" s="24">
        <v>17.266300000000001</v>
      </c>
      <c r="E126" s="22"/>
      <c r="F126" s="19"/>
      <c r="G126" s="25"/>
    </row>
    <row r="127" spans="1:7" ht="14.1" customHeight="1" x14ac:dyDescent="0.2">
      <c r="A127" s="22"/>
      <c r="B127" s="22"/>
      <c r="C127" s="22"/>
      <c r="D127" s="22"/>
      <c r="E127" s="22"/>
      <c r="F127" s="22"/>
      <c r="G127" s="22"/>
    </row>
    <row r="128" spans="1:7" ht="17.100000000000001" customHeight="1" x14ac:dyDescent="0.2">
      <c r="A128" s="22"/>
      <c r="B128" s="165" t="s">
        <v>990</v>
      </c>
      <c r="C128" s="166"/>
      <c r="D128" s="2" t="s">
        <v>135</v>
      </c>
      <c r="E128" s="22"/>
      <c r="F128" s="22"/>
      <c r="G128" s="22"/>
    </row>
    <row r="129" spans="1:7" ht="18" customHeight="1" x14ac:dyDescent="0.2">
      <c r="A129" s="22"/>
      <c r="B129" s="26" t="s">
        <v>145</v>
      </c>
      <c r="C129" s="26" t="s">
        <v>145</v>
      </c>
      <c r="D129" s="26"/>
      <c r="E129" s="22"/>
      <c r="F129" s="22"/>
      <c r="G129" s="22"/>
    </row>
    <row r="130" spans="1:7" s="158" customFormat="1" x14ac:dyDescent="0.2">
      <c r="B130" s="167" t="s">
        <v>822</v>
      </c>
      <c r="C130" s="167"/>
      <c r="D130" s="167"/>
      <c r="E130" s="167"/>
      <c r="F130" s="167"/>
    </row>
    <row r="131" spans="1:7" ht="14.1" customHeight="1" x14ac:dyDescent="0.2">
      <c r="A131" s="22"/>
      <c r="B131" s="19"/>
      <c r="C131" s="19"/>
      <c r="D131" s="22"/>
      <c r="E131" s="22"/>
      <c r="F131" s="22"/>
      <c r="G131" s="22"/>
    </row>
    <row r="132" spans="1:7" ht="29.1" customHeight="1" x14ac:dyDescent="0.2">
      <c r="A132" s="22"/>
      <c r="B132" s="165" t="s">
        <v>146</v>
      </c>
      <c r="C132" s="166"/>
      <c r="D132" s="2" t="s">
        <v>135</v>
      </c>
      <c r="E132" s="22"/>
      <c r="F132" s="22"/>
      <c r="G132" s="22"/>
    </row>
    <row r="133" spans="1:7" ht="29.1" customHeight="1" x14ac:dyDescent="0.2">
      <c r="A133" s="22"/>
      <c r="B133" s="165" t="s">
        <v>147</v>
      </c>
      <c r="C133" s="166"/>
      <c r="D133" s="2" t="s">
        <v>135</v>
      </c>
      <c r="E133" s="22"/>
      <c r="F133" s="22"/>
      <c r="G133" s="22"/>
    </row>
    <row r="134" spans="1:7" ht="17.100000000000001" customHeight="1" x14ac:dyDescent="0.2">
      <c r="A134" s="22"/>
      <c r="B134" s="165" t="s">
        <v>148</v>
      </c>
      <c r="C134" s="166"/>
      <c r="D134" s="27">
        <v>0.27545704234630763</v>
      </c>
      <c r="E134" s="22"/>
      <c r="F134" s="19"/>
      <c r="G134" s="25"/>
    </row>
    <row r="135" spans="1:7" ht="17.100000000000001" customHeight="1" x14ac:dyDescent="0.2">
      <c r="A135" s="22"/>
      <c r="B135" s="165" t="s">
        <v>149</v>
      </c>
      <c r="C135" s="166"/>
      <c r="D135" s="2" t="s">
        <v>135</v>
      </c>
      <c r="E135" s="22"/>
      <c r="F135" s="22"/>
      <c r="G135" s="22"/>
    </row>
  </sheetData>
  <mergeCells count="15">
    <mergeCell ref="B117:C117"/>
    <mergeCell ref="B114:F114"/>
    <mergeCell ref="B115:F115"/>
    <mergeCell ref="A1:H1"/>
    <mergeCell ref="A2:H2"/>
    <mergeCell ref="A3:H3"/>
    <mergeCell ref="B134:C134"/>
    <mergeCell ref="B135:C135"/>
    <mergeCell ref="B118:C118"/>
    <mergeCell ref="B119:C119"/>
    <mergeCell ref="B120:C120"/>
    <mergeCell ref="B128:C128"/>
    <mergeCell ref="B132:C132"/>
    <mergeCell ref="B133:C133"/>
    <mergeCell ref="B130:F130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H13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501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22</v>
      </c>
      <c r="C7" s="4" t="s">
        <v>23</v>
      </c>
      <c r="D7" s="4" t="s">
        <v>24</v>
      </c>
      <c r="E7" s="5">
        <v>14816</v>
      </c>
      <c r="F7" s="6">
        <v>106.534448</v>
      </c>
      <c r="G7" s="7">
        <v>7.9116117999999999E-2</v>
      </c>
      <c r="H7" s="67"/>
    </row>
    <row r="8" spans="1:8" x14ac:dyDescent="0.2">
      <c r="A8" s="3">
        <v>2</v>
      </c>
      <c r="B8" s="4" t="s">
        <v>400</v>
      </c>
      <c r="C8" s="4" t="s">
        <v>401</v>
      </c>
      <c r="D8" s="4" t="s">
        <v>166</v>
      </c>
      <c r="E8" s="5">
        <v>6220</v>
      </c>
      <c r="F8" s="6">
        <v>106.14118999999999</v>
      </c>
      <c r="G8" s="7">
        <v>7.8824071999999995E-2</v>
      </c>
      <c r="H8" s="67"/>
    </row>
    <row r="9" spans="1:8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4029</v>
      </c>
      <c r="F9" s="6">
        <v>90.980863499999998</v>
      </c>
      <c r="G9" s="7">
        <v>6.7565496000000003E-2</v>
      </c>
      <c r="H9" s="67"/>
    </row>
    <row r="10" spans="1:8" x14ac:dyDescent="0.2">
      <c r="A10" s="3">
        <v>4</v>
      </c>
      <c r="B10" s="4" t="s">
        <v>398</v>
      </c>
      <c r="C10" s="4" t="s">
        <v>399</v>
      </c>
      <c r="D10" s="4" t="s">
        <v>24</v>
      </c>
      <c r="E10" s="5">
        <v>5620</v>
      </c>
      <c r="F10" s="6">
        <v>88.874679999999998</v>
      </c>
      <c r="G10" s="7">
        <v>6.6001372000000003E-2</v>
      </c>
      <c r="H10" s="67"/>
    </row>
    <row r="11" spans="1:8" ht="25.5" x14ac:dyDescent="0.2">
      <c r="A11" s="3">
        <v>5</v>
      </c>
      <c r="B11" s="4" t="s">
        <v>402</v>
      </c>
      <c r="C11" s="4" t="s">
        <v>403</v>
      </c>
      <c r="D11" s="4" t="s">
        <v>81</v>
      </c>
      <c r="E11" s="5">
        <v>2510</v>
      </c>
      <c r="F11" s="6">
        <v>70.242350000000002</v>
      </c>
      <c r="G11" s="7">
        <v>5.2164367000000003E-2</v>
      </c>
      <c r="H11" s="67"/>
    </row>
    <row r="12" spans="1:8" ht="25.5" x14ac:dyDescent="0.2">
      <c r="A12" s="3">
        <v>6</v>
      </c>
      <c r="B12" s="4" t="s">
        <v>321</v>
      </c>
      <c r="C12" s="4" t="s">
        <v>322</v>
      </c>
      <c r="D12" s="4" t="s">
        <v>52</v>
      </c>
      <c r="E12" s="5">
        <v>6172</v>
      </c>
      <c r="F12" s="6">
        <v>52.273753999999997</v>
      </c>
      <c r="G12" s="7">
        <v>3.8820274000000002E-2</v>
      </c>
      <c r="H12" s="67"/>
    </row>
    <row r="13" spans="1:8" x14ac:dyDescent="0.2">
      <c r="A13" s="3">
        <v>7</v>
      </c>
      <c r="B13" s="4" t="s">
        <v>404</v>
      </c>
      <c r="C13" s="4" t="s">
        <v>405</v>
      </c>
      <c r="D13" s="4" t="s">
        <v>24</v>
      </c>
      <c r="E13" s="5">
        <v>12121</v>
      </c>
      <c r="F13" s="6">
        <v>51.641520499999999</v>
      </c>
      <c r="G13" s="7">
        <v>3.8350756E-2</v>
      </c>
      <c r="H13" s="67"/>
    </row>
    <row r="14" spans="1:8" ht="25.5" x14ac:dyDescent="0.2">
      <c r="A14" s="3">
        <v>8</v>
      </c>
      <c r="B14" s="4" t="s">
        <v>31</v>
      </c>
      <c r="C14" s="4" t="s">
        <v>993</v>
      </c>
      <c r="D14" s="4" t="s">
        <v>992</v>
      </c>
      <c r="E14" s="5">
        <v>596</v>
      </c>
      <c r="F14" s="6">
        <v>46.681401999999999</v>
      </c>
      <c r="G14" s="7">
        <v>3.4667203000000001E-2</v>
      </c>
      <c r="H14" s="67"/>
    </row>
    <row r="15" spans="1:8" x14ac:dyDescent="0.2">
      <c r="A15" s="3">
        <v>9</v>
      </c>
      <c r="B15" s="4" t="s">
        <v>354</v>
      </c>
      <c r="C15" s="4" t="s">
        <v>355</v>
      </c>
      <c r="D15" s="4" t="s">
        <v>24</v>
      </c>
      <c r="E15" s="5">
        <v>5742</v>
      </c>
      <c r="F15" s="6">
        <v>45.160829999999997</v>
      </c>
      <c r="G15" s="7">
        <v>3.3537973999999998E-2</v>
      </c>
      <c r="H15" s="67"/>
    </row>
    <row r="16" spans="1:8" x14ac:dyDescent="0.2">
      <c r="A16" s="3">
        <v>10</v>
      </c>
      <c r="B16" s="4" t="s">
        <v>151</v>
      </c>
      <c r="C16" s="4" t="s">
        <v>152</v>
      </c>
      <c r="D16" s="4" t="s">
        <v>153</v>
      </c>
      <c r="E16" s="5">
        <v>1104</v>
      </c>
      <c r="F16" s="6">
        <v>44.464703999999998</v>
      </c>
      <c r="G16" s="7">
        <v>3.3021006999999998E-2</v>
      </c>
      <c r="H16" s="67"/>
    </row>
    <row r="17" spans="1:8" x14ac:dyDescent="0.2">
      <c r="A17" s="3">
        <v>11</v>
      </c>
      <c r="B17" s="4" t="s">
        <v>11</v>
      </c>
      <c r="C17" s="4" t="s">
        <v>12</v>
      </c>
      <c r="D17" s="4" t="s">
        <v>13</v>
      </c>
      <c r="E17" s="5">
        <v>2403</v>
      </c>
      <c r="F17" s="6">
        <v>40.182966</v>
      </c>
      <c r="G17" s="7">
        <v>2.9841243E-2</v>
      </c>
      <c r="H17" s="67"/>
    </row>
    <row r="18" spans="1:8" x14ac:dyDescent="0.2">
      <c r="A18" s="3">
        <v>12</v>
      </c>
      <c r="B18" s="4" t="s">
        <v>364</v>
      </c>
      <c r="C18" s="4" t="s">
        <v>365</v>
      </c>
      <c r="D18" s="4" t="s">
        <v>166</v>
      </c>
      <c r="E18" s="5">
        <v>2813</v>
      </c>
      <c r="F18" s="6">
        <v>33.258099000000001</v>
      </c>
      <c r="G18" s="7">
        <v>2.4698600000000001E-2</v>
      </c>
      <c r="H18" s="67"/>
    </row>
    <row r="19" spans="1:8" ht="25.5" x14ac:dyDescent="0.2">
      <c r="A19" s="3">
        <v>13</v>
      </c>
      <c r="B19" s="4" t="s">
        <v>493</v>
      </c>
      <c r="C19" s="4" t="s">
        <v>494</v>
      </c>
      <c r="D19" s="4" t="s">
        <v>992</v>
      </c>
      <c r="E19" s="5">
        <v>2456</v>
      </c>
      <c r="F19" s="6">
        <v>33.256695999999998</v>
      </c>
      <c r="G19" s="7">
        <v>2.4697558000000001E-2</v>
      </c>
      <c r="H19" s="67"/>
    </row>
    <row r="20" spans="1:8" x14ac:dyDescent="0.2">
      <c r="A20" s="3">
        <v>14</v>
      </c>
      <c r="B20" s="4" t="s">
        <v>17</v>
      </c>
      <c r="C20" s="4" t="s">
        <v>18</v>
      </c>
      <c r="D20" s="4" t="s">
        <v>19</v>
      </c>
      <c r="E20" s="5">
        <v>4918</v>
      </c>
      <c r="F20" s="6">
        <v>32.657978999999997</v>
      </c>
      <c r="G20" s="7">
        <v>2.4252929999999999E-2</v>
      </c>
      <c r="H20" s="67"/>
    </row>
    <row r="21" spans="1:8" x14ac:dyDescent="0.2">
      <c r="A21" s="3">
        <v>15</v>
      </c>
      <c r="B21" s="4" t="s">
        <v>368</v>
      </c>
      <c r="C21" s="4" t="s">
        <v>369</v>
      </c>
      <c r="D21" s="4" t="s">
        <v>242</v>
      </c>
      <c r="E21" s="5">
        <v>4040</v>
      </c>
      <c r="F21" s="6">
        <v>32.033160000000002</v>
      </c>
      <c r="G21" s="7">
        <v>2.3788917999999999E-2</v>
      </c>
      <c r="H21" s="67"/>
    </row>
    <row r="22" spans="1:8" x14ac:dyDescent="0.2">
      <c r="A22" s="3">
        <v>16</v>
      </c>
      <c r="B22" s="4" t="s">
        <v>208</v>
      </c>
      <c r="C22" s="4" t="s">
        <v>209</v>
      </c>
      <c r="D22" s="4" t="s">
        <v>1005</v>
      </c>
      <c r="E22" s="5">
        <v>3606</v>
      </c>
      <c r="F22" s="6">
        <v>30.537410999999999</v>
      </c>
      <c r="G22" s="7">
        <v>2.2678124000000001E-2</v>
      </c>
      <c r="H22" s="67"/>
    </row>
    <row r="23" spans="1:8" x14ac:dyDescent="0.2">
      <c r="A23" s="3">
        <v>17</v>
      </c>
      <c r="B23" s="4" t="s">
        <v>42</v>
      </c>
      <c r="C23" s="4" t="s">
        <v>43</v>
      </c>
      <c r="D23" s="4" t="s">
        <v>16</v>
      </c>
      <c r="E23" s="5">
        <v>6145</v>
      </c>
      <c r="F23" s="6">
        <v>28.982892499999998</v>
      </c>
      <c r="G23" s="7">
        <v>2.1523686E-2</v>
      </c>
      <c r="H23" s="67"/>
    </row>
    <row r="24" spans="1:8" x14ac:dyDescent="0.2">
      <c r="A24" s="3">
        <v>18</v>
      </c>
      <c r="B24" s="4" t="s">
        <v>70</v>
      </c>
      <c r="C24" s="4" t="s">
        <v>71</v>
      </c>
      <c r="D24" s="4" t="s">
        <v>27</v>
      </c>
      <c r="E24" s="5">
        <v>2788</v>
      </c>
      <c r="F24" s="6">
        <v>27.856301999999999</v>
      </c>
      <c r="G24" s="7">
        <v>2.0687041E-2</v>
      </c>
      <c r="H24" s="67"/>
    </row>
    <row r="25" spans="1:8" x14ac:dyDescent="0.2">
      <c r="A25" s="3">
        <v>19</v>
      </c>
      <c r="B25" s="4" t="s">
        <v>414</v>
      </c>
      <c r="C25" s="4" t="s">
        <v>415</v>
      </c>
      <c r="D25" s="4" t="s">
        <v>166</v>
      </c>
      <c r="E25" s="5">
        <v>729</v>
      </c>
      <c r="F25" s="6">
        <v>27.603220499999999</v>
      </c>
      <c r="G25" s="7">
        <v>2.0499093999999999E-2</v>
      </c>
      <c r="H25" s="67"/>
    </row>
    <row r="26" spans="1:8" x14ac:dyDescent="0.2">
      <c r="A26" s="3">
        <v>20</v>
      </c>
      <c r="B26" s="4" t="s">
        <v>406</v>
      </c>
      <c r="C26" s="4" t="s">
        <v>407</v>
      </c>
      <c r="D26" s="4" t="s">
        <v>1002</v>
      </c>
      <c r="E26" s="5">
        <v>2300</v>
      </c>
      <c r="F26" s="6">
        <v>27.417149999999999</v>
      </c>
      <c r="G26" s="7">
        <v>2.0360911999999998E-2</v>
      </c>
      <c r="H26" s="67"/>
    </row>
    <row r="27" spans="1:8" x14ac:dyDescent="0.2">
      <c r="A27" s="3">
        <v>21</v>
      </c>
      <c r="B27" s="4" t="s">
        <v>177</v>
      </c>
      <c r="C27" s="4" t="s">
        <v>178</v>
      </c>
      <c r="D27" s="4" t="s">
        <v>179</v>
      </c>
      <c r="E27" s="5">
        <v>11000</v>
      </c>
      <c r="F27" s="6">
        <v>26.344999999999999</v>
      </c>
      <c r="G27" s="7">
        <v>1.9564695999999999E-2</v>
      </c>
      <c r="H27" s="67"/>
    </row>
    <row r="28" spans="1:8" x14ac:dyDescent="0.2">
      <c r="A28" s="3">
        <v>22</v>
      </c>
      <c r="B28" s="4" t="s">
        <v>350</v>
      </c>
      <c r="C28" s="4" t="s">
        <v>351</v>
      </c>
      <c r="D28" s="4" t="s">
        <v>46</v>
      </c>
      <c r="E28" s="5">
        <v>3496</v>
      </c>
      <c r="F28" s="6">
        <v>23.757068</v>
      </c>
      <c r="G28" s="7">
        <v>1.7642809999999998E-2</v>
      </c>
      <c r="H28" s="67"/>
    </row>
    <row r="29" spans="1:8" x14ac:dyDescent="0.2">
      <c r="A29" s="3">
        <v>23</v>
      </c>
      <c r="B29" s="4" t="s">
        <v>497</v>
      </c>
      <c r="C29" s="4" t="s">
        <v>498</v>
      </c>
      <c r="D29" s="4" t="s">
        <v>84</v>
      </c>
      <c r="E29" s="5">
        <v>8169</v>
      </c>
      <c r="F29" s="6">
        <v>23.469536999999999</v>
      </c>
      <c r="G29" s="7">
        <v>1.7429278999999999E-2</v>
      </c>
      <c r="H29" s="67"/>
    </row>
    <row r="30" spans="1:8" x14ac:dyDescent="0.2">
      <c r="A30" s="3">
        <v>24</v>
      </c>
      <c r="B30" s="4" t="s">
        <v>433</v>
      </c>
      <c r="C30" s="4" t="s">
        <v>434</v>
      </c>
      <c r="D30" s="4" t="s">
        <v>24</v>
      </c>
      <c r="E30" s="5">
        <v>1305</v>
      </c>
      <c r="F30" s="6">
        <v>22.885784999999998</v>
      </c>
      <c r="G30" s="7">
        <v>1.6995764999999999E-2</v>
      </c>
      <c r="H30" s="67"/>
    </row>
    <row r="31" spans="1:8" ht="25.5" x14ac:dyDescent="0.2">
      <c r="A31" s="3">
        <v>25</v>
      </c>
      <c r="B31" s="4" t="s">
        <v>384</v>
      </c>
      <c r="C31" s="4" t="s">
        <v>385</v>
      </c>
      <c r="D31" s="4" t="s">
        <v>52</v>
      </c>
      <c r="E31" s="5">
        <v>2443</v>
      </c>
      <c r="F31" s="6">
        <v>21.1307285</v>
      </c>
      <c r="G31" s="7">
        <v>1.5692399999999999E-2</v>
      </c>
      <c r="H31" s="67"/>
    </row>
    <row r="32" spans="1:8" x14ac:dyDescent="0.2">
      <c r="A32" s="3">
        <v>26</v>
      </c>
      <c r="B32" s="4" t="s">
        <v>495</v>
      </c>
      <c r="C32" s="4" t="s">
        <v>496</v>
      </c>
      <c r="D32" s="4" t="s">
        <v>55</v>
      </c>
      <c r="E32" s="5">
        <v>1032</v>
      </c>
      <c r="F32" s="6">
        <v>19.830912000000001</v>
      </c>
      <c r="G32" s="7">
        <v>1.4727112000000001E-2</v>
      </c>
      <c r="H32" s="67"/>
    </row>
    <row r="33" spans="1:8" ht="25.5" x14ac:dyDescent="0.2">
      <c r="A33" s="3">
        <v>27</v>
      </c>
      <c r="B33" s="4" t="s">
        <v>429</v>
      </c>
      <c r="C33" s="4" t="s">
        <v>430</v>
      </c>
      <c r="D33" s="4" t="s">
        <v>52</v>
      </c>
      <c r="E33" s="5">
        <v>9339</v>
      </c>
      <c r="F33" s="6">
        <v>19.733307</v>
      </c>
      <c r="G33" s="7">
        <v>1.4654627999999999E-2</v>
      </c>
      <c r="H33" s="67"/>
    </row>
    <row r="34" spans="1:8" x14ac:dyDescent="0.2">
      <c r="A34" s="3">
        <v>28</v>
      </c>
      <c r="B34" s="4" t="s">
        <v>338</v>
      </c>
      <c r="C34" s="4" t="s">
        <v>339</v>
      </c>
      <c r="D34" s="4" t="s">
        <v>24</v>
      </c>
      <c r="E34" s="5">
        <v>22387</v>
      </c>
      <c r="F34" s="6">
        <v>18.1894375</v>
      </c>
      <c r="G34" s="7">
        <v>1.3508097E-2</v>
      </c>
      <c r="H34" s="67"/>
    </row>
    <row r="35" spans="1:8" x14ac:dyDescent="0.2">
      <c r="A35" s="3">
        <v>29</v>
      </c>
      <c r="B35" s="4" t="s">
        <v>344</v>
      </c>
      <c r="C35" s="4" t="s">
        <v>345</v>
      </c>
      <c r="D35" s="4" t="s">
        <v>49</v>
      </c>
      <c r="E35" s="5">
        <v>4100</v>
      </c>
      <c r="F35" s="6">
        <v>15.45495</v>
      </c>
      <c r="G35" s="7">
        <v>1.1477374E-2</v>
      </c>
      <c r="H35" s="67"/>
    </row>
    <row r="36" spans="1:8" x14ac:dyDescent="0.2">
      <c r="A36" s="3">
        <v>30</v>
      </c>
      <c r="B36" s="4" t="s">
        <v>356</v>
      </c>
      <c r="C36" s="4" t="s">
        <v>357</v>
      </c>
      <c r="D36" s="4" t="s">
        <v>24</v>
      </c>
      <c r="E36" s="5">
        <v>19598</v>
      </c>
      <c r="F36" s="6">
        <v>15.159053</v>
      </c>
      <c r="G36" s="7">
        <v>1.1257629999999999E-2</v>
      </c>
      <c r="H36" s="67"/>
    </row>
    <row r="37" spans="1:8" ht="25.5" x14ac:dyDescent="0.2">
      <c r="A37" s="3">
        <v>31</v>
      </c>
      <c r="B37" s="4" t="s">
        <v>408</v>
      </c>
      <c r="C37" s="4" t="s">
        <v>409</v>
      </c>
      <c r="D37" s="4" t="s">
        <v>52</v>
      </c>
      <c r="E37" s="5">
        <v>556</v>
      </c>
      <c r="F37" s="6">
        <v>15.145996</v>
      </c>
      <c r="G37" s="7">
        <v>1.1247933999999999E-2</v>
      </c>
      <c r="H37" s="67"/>
    </row>
    <row r="38" spans="1:8" x14ac:dyDescent="0.2">
      <c r="A38" s="3">
        <v>32</v>
      </c>
      <c r="B38" s="4" t="s">
        <v>443</v>
      </c>
      <c r="C38" s="4" t="s">
        <v>444</v>
      </c>
      <c r="D38" s="4" t="s">
        <v>187</v>
      </c>
      <c r="E38" s="5">
        <v>1593</v>
      </c>
      <c r="F38" s="6">
        <v>15.098454</v>
      </c>
      <c r="G38" s="7">
        <v>1.1212626999999999E-2</v>
      </c>
      <c r="H38" s="67"/>
    </row>
    <row r="39" spans="1:8" x14ac:dyDescent="0.2">
      <c r="A39" s="3">
        <v>33</v>
      </c>
      <c r="B39" s="4" t="s">
        <v>454</v>
      </c>
      <c r="C39" s="4" t="s">
        <v>455</v>
      </c>
      <c r="D39" s="4" t="s">
        <v>46</v>
      </c>
      <c r="E39" s="5">
        <v>3235</v>
      </c>
      <c r="F39" s="6">
        <v>13.218209999999999</v>
      </c>
      <c r="G39" s="7">
        <v>9.8162939999999997E-3</v>
      </c>
      <c r="H39" s="67"/>
    </row>
    <row r="40" spans="1:8" x14ac:dyDescent="0.2">
      <c r="A40" s="3">
        <v>34</v>
      </c>
      <c r="B40" s="4" t="s">
        <v>91</v>
      </c>
      <c r="C40" s="4" t="s">
        <v>92</v>
      </c>
      <c r="D40" s="4" t="s">
        <v>27</v>
      </c>
      <c r="E40" s="5">
        <v>178</v>
      </c>
      <c r="F40" s="6">
        <v>12.906067999999999</v>
      </c>
      <c r="G40" s="7">
        <v>9.5844869999999992E-3</v>
      </c>
      <c r="H40" s="67"/>
    </row>
    <row r="41" spans="1:8" x14ac:dyDescent="0.2">
      <c r="A41" s="3">
        <v>35</v>
      </c>
      <c r="B41" s="4" t="s">
        <v>499</v>
      </c>
      <c r="C41" s="4" t="s">
        <v>500</v>
      </c>
      <c r="D41" s="4" t="s">
        <v>187</v>
      </c>
      <c r="E41" s="5">
        <v>260</v>
      </c>
      <c r="F41" s="6">
        <v>12.23053</v>
      </c>
      <c r="G41" s="7">
        <v>9.0828090000000007E-3</v>
      </c>
      <c r="H41" s="67"/>
    </row>
    <row r="42" spans="1:8" x14ac:dyDescent="0.2">
      <c r="A42" s="3">
        <v>36</v>
      </c>
      <c r="B42" s="4" t="s">
        <v>412</v>
      </c>
      <c r="C42" s="4" t="s">
        <v>413</v>
      </c>
      <c r="D42" s="4" t="s">
        <v>166</v>
      </c>
      <c r="E42" s="5">
        <v>1875</v>
      </c>
      <c r="F42" s="6">
        <v>12.0178125</v>
      </c>
      <c r="G42" s="7">
        <v>8.9248379999999992E-3</v>
      </c>
      <c r="H42" s="67"/>
    </row>
    <row r="43" spans="1:8" x14ac:dyDescent="0.2">
      <c r="A43" s="3">
        <v>37</v>
      </c>
      <c r="B43" s="4" t="s">
        <v>394</v>
      </c>
      <c r="C43" s="4" t="s">
        <v>395</v>
      </c>
      <c r="D43" s="4" t="s">
        <v>331</v>
      </c>
      <c r="E43" s="5">
        <v>5689</v>
      </c>
      <c r="F43" s="6">
        <v>11.838808999999999</v>
      </c>
      <c r="G43" s="7">
        <v>8.7919039999999997E-3</v>
      </c>
      <c r="H43" s="67"/>
    </row>
    <row r="44" spans="1:8" x14ac:dyDescent="0.2">
      <c r="A44" s="3">
        <v>38</v>
      </c>
      <c r="B44" s="4" t="s">
        <v>334</v>
      </c>
      <c r="C44" s="4" t="s">
        <v>335</v>
      </c>
      <c r="D44" s="4" t="s">
        <v>187</v>
      </c>
      <c r="E44" s="5">
        <v>202</v>
      </c>
      <c r="F44" s="6">
        <v>7.8656779999999999</v>
      </c>
      <c r="G44" s="7">
        <v>5.841321E-3</v>
      </c>
      <c r="H44" s="67"/>
    </row>
    <row r="45" spans="1:8" x14ac:dyDescent="0.2">
      <c r="A45" s="1"/>
      <c r="B45" s="1"/>
      <c r="C45" s="2" t="s">
        <v>105</v>
      </c>
      <c r="D45" s="1"/>
      <c r="E45" s="1" t="s">
        <v>106</v>
      </c>
      <c r="F45" s="9">
        <v>1323.0589534999999</v>
      </c>
      <c r="G45" s="10">
        <v>0.98254874999999997</v>
      </c>
      <c r="H45" s="67"/>
    </row>
    <row r="46" spans="1:8" x14ac:dyDescent="0.2">
      <c r="A46" s="1"/>
      <c r="B46" s="1"/>
      <c r="C46" s="11"/>
      <c r="D46" s="1"/>
      <c r="E46" s="1"/>
      <c r="F46" s="12"/>
      <c r="G46" s="12"/>
      <c r="H46" s="67"/>
    </row>
    <row r="47" spans="1:8" x14ac:dyDescent="0.2">
      <c r="A47" s="1"/>
      <c r="B47" s="1"/>
      <c r="C47" s="2" t="s">
        <v>107</v>
      </c>
      <c r="D47" s="1"/>
      <c r="E47" s="1"/>
      <c r="F47" s="1"/>
      <c r="G47" s="1"/>
      <c r="H47" s="67"/>
    </row>
    <row r="48" spans="1:8" x14ac:dyDescent="0.2">
      <c r="A48" s="1"/>
      <c r="B48" s="1"/>
      <c r="C48" s="2" t="s">
        <v>105</v>
      </c>
      <c r="D48" s="1"/>
      <c r="E48" s="1" t="s">
        <v>106</v>
      </c>
      <c r="F48" s="13">
        <v>0</v>
      </c>
      <c r="G48" s="14">
        <v>0</v>
      </c>
      <c r="H48" s="67"/>
    </row>
    <row r="49" spans="1:8" x14ac:dyDescent="0.2">
      <c r="A49" s="1"/>
      <c r="B49" s="1"/>
      <c r="C49" s="11"/>
      <c r="D49" s="1"/>
      <c r="E49" s="1"/>
      <c r="F49" s="12"/>
      <c r="G49" s="12"/>
      <c r="H49" s="67"/>
    </row>
    <row r="50" spans="1:8" x14ac:dyDescent="0.2">
      <c r="A50" s="1"/>
      <c r="B50" s="1"/>
      <c r="C50" s="2" t="s">
        <v>108</v>
      </c>
      <c r="D50" s="1"/>
      <c r="E50" s="1"/>
      <c r="F50" s="1"/>
      <c r="G50" s="1"/>
      <c r="H50" s="67"/>
    </row>
    <row r="51" spans="1:8" x14ac:dyDescent="0.2">
      <c r="A51" s="1"/>
      <c r="B51" s="1"/>
      <c r="C51" s="2" t="s">
        <v>105</v>
      </c>
      <c r="D51" s="1"/>
      <c r="E51" s="1" t="s">
        <v>106</v>
      </c>
      <c r="F51" s="13">
        <v>0</v>
      </c>
      <c r="G51" s="14">
        <v>0</v>
      </c>
      <c r="H51" s="67"/>
    </row>
    <row r="52" spans="1:8" x14ac:dyDescent="0.2">
      <c r="A52" s="1"/>
      <c r="B52" s="1"/>
      <c r="C52" s="11"/>
      <c r="D52" s="1"/>
      <c r="E52" s="1"/>
      <c r="F52" s="12"/>
      <c r="G52" s="12"/>
      <c r="H52" s="67"/>
    </row>
    <row r="53" spans="1:8" x14ac:dyDescent="0.2">
      <c r="A53" s="1"/>
      <c r="B53" s="1"/>
      <c r="C53" s="2" t="s">
        <v>109</v>
      </c>
      <c r="D53" s="1"/>
      <c r="E53" s="1"/>
      <c r="F53" s="1"/>
      <c r="G53" s="1"/>
      <c r="H53" s="67"/>
    </row>
    <row r="54" spans="1:8" x14ac:dyDescent="0.2">
      <c r="A54" s="1"/>
      <c r="B54" s="1"/>
      <c r="C54" s="2" t="s">
        <v>105</v>
      </c>
      <c r="D54" s="1"/>
      <c r="E54" s="1" t="s">
        <v>106</v>
      </c>
      <c r="F54" s="13">
        <v>0</v>
      </c>
      <c r="G54" s="14">
        <v>0</v>
      </c>
      <c r="H54" s="67"/>
    </row>
    <row r="55" spans="1:8" x14ac:dyDescent="0.2">
      <c r="A55" s="1"/>
      <c r="B55" s="1"/>
      <c r="C55" s="11"/>
      <c r="D55" s="1"/>
      <c r="E55" s="1"/>
      <c r="F55" s="12"/>
      <c r="G55" s="12"/>
      <c r="H55" s="67"/>
    </row>
    <row r="56" spans="1:8" x14ac:dyDescent="0.2">
      <c r="A56" s="1"/>
      <c r="B56" s="1"/>
      <c r="C56" s="2" t="s">
        <v>110</v>
      </c>
      <c r="D56" s="1"/>
      <c r="E56" s="1"/>
      <c r="F56" s="12"/>
      <c r="G56" s="12"/>
      <c r="H56" s="67"/>
    </row>
    <row r="57" spans="1:8" x14ac:dyDescent="0.2">
      <c r="A57" s="1"/>
      <c r="B57" s="1"/>
      <c r="C57" s="2" t="s">
        <v>105</v>
      </c>
      <c r="D57" s="1"/>
      <c r="E57" s="1" t="s">
        <v>106</v>
      </c>
      <c r="F57" s="13">
        <v>0</v>
      </c>
      <c r="G57" s="14">
        <v>0</v>
      </c>
      <c r="H57" s="67"/>
    </row>
    <row r="58" spans="1:8" x14ac:dyDescent="0.2">
      <c r="A58" s="1"/>
      <c r="B58" s="1"/>
      <c r="C58" s="11"/>
      <c r="D58" s="1"/>
      <c r="E58" s="1"/>
      <c r="F58" s="12"/>
      <c r="G58" s="12"/>
      <c r="H58" s="67"/>
    </row>
    <row r="59" spans="1:8" x14ac:dyDescent="0.2">
      <c r="A59" s="1"/>
      <c r="B59" s="1"/>
      <c r="C59" s="2" t="s">
        <v>111</v>
      </c>
      <c r="D59" s="1"/>
      <c r="E59" s="1"/>
      <c r="F59" s="12"/>
      <c r="G59" s="12"/>
      <c r="H59" s="67"/>
    </row>
    <row r="60" spans="1:8" x14ac:dyDescent="0.2">
      <c r="A60" s="1"/>
      <c r="B60" s="1"/>
      <c r="C60" s="2" t="s">
        <v>105</v>
      </c>
      <c r="D60" s="1"/>
      <c r="E60" s="1" t="s">
        <v>106</v>
      </c>
      <c r="F60" s="13">
        <v>0</v>
      </c>
      <c r="G60" s="14">
        <v>0</v>
      </c>
      <c r="H60" s="67"/>
    </row>
    <row r="61" spans="1:8" x14ac:dyDescent="0.2">
      <c r="A61" s="1"/>
      <c r="B61" s="1"/>
      <c r="C61" s="11"/>
      <c r="D61" s="1"/>
      <c r="E61" s="1"/>
      <c r="F61" s="12"/>
      <c r="G61" s="12"/>
      <c r="H61" s="67"/>
    </row>
    <row r="62" spans="1:8" x14ac:dyDescent="0.2">
      <c r="A62" s="1"/>
      <c r="B62" s="1"/>
      <c r="C62" s="2" t="s">
        <v>112</v>
      </c>
      <c r="D62" s="1"/>
      <c r="E62" s="1"/>
      <c r="F62" s="9">
        <v>1323.0589534999999</v>
      </c>
      <c r="G62" s="10">
        <v>0.98254874999999997</v>
      </c>
      <c r="H62" s="67"/>
    </row>
    <row r="63" spans="1:8" x14ac:dyDescent="0.2">
      <c r="A63" s="1"/>
      <c r="B63" s="1"/>
      <c r="C63" s="11"/>
      <c r="D63" s="1"/>
      <c r="E63" s="1"/>
      <c r="F63" s="12"/>
      <c r="G63" s="12"/>
      <c r="H63" s="67"/>
    </row>
    <row r="64" spans="1:8" x14ac:dyDescent="0.2">
      <c r="A64" s="1"/>
      <c r="B64" s="1"/>
      <c r="C64" s="2" t="s">
        <v>113</v>
      </c>
      <c r="D64" s="1"/>
      <c r="E64" s="1"/>
      <c r="F64" s="12"/>
      <c r="G64" s="12"/>
      <c r="H64" s="67"/>
    </row>
    <row r="65" spans="1:8" ht="25.5" x14ac:dyDescent="0.2">
      <c r="A65" s="1"/>
      <c r="B65" s="1"/>
      <c r="C65" s="2" t="s">
        <v>10</v>
      </c>
      <c r="D65" s="1"/>
      <c r="E65" s="1"/>
      <c r="F65" s="12"/>
      <c r="G65" s="12"/>
      <c r="H65" s="67"/>
    </row>
    <row r="66" spans="1:8" x14ac:dyDescent="0.2">
      <c r="A66" s="1"/>
      <c r="B66" s="1"/>
      <c r="C66" s="2" t="s">
        <v>105</v>
      </c>
      <c r="D66" s="1"/>
      <c r="E66" s="1" t="s">
        <v>106</v>
      </c>
      <c r="F66" s="13">
        <v>0</v>
      </c>
      <c r="G66" s="14">
        <v>0</v>
      </c>
      <c r="H66" s="67"/>
    </row>
    <row r="67" spans="1:8" x14ac:dyDescent="0.2">
      <c r="A67" s="1"/>
      <c r="B67" s="1"/>
      <c r="C67" s="11"/>
      <c r="D67" s="1"/>
      <c r="E67" s="1"/>
      <c r="F67" s="12"/>
      <c r="G67" s="12"/>
      <c r="H67" s="67"/>
    </row>
    <row r="68" spans="1:8" x14ac:dyDescent="0.2">
      <c r="A68" s="1"/>
      <c r="B68" s="1"/>
      <c r="C68" s="2" t="s">
        <v>114</v>
      </c>
      <c r="D68" s="1"/>
      <c r="E68" s="1"/>
      <c r="F68" s="1"/>
      <c r="G68" s="1"/>
      <c r="H68" s="67"/>
    </row>
    <row r="69" spans="1:8" x14ac:dyDescent="0.2">
      <c r="A69" s="1"/>
      <c r="B69" s="1"/>
      <c r="C69" s="2" t="s">
        <v>105</v>
      </c>
      <c r="D69" s="1"/>
      <c r="E69" s="1" t="s">
        <v>106</v>
      </c>
      <c r="F69" s="13">
        <v>0</v>
      </c>
      <c r="G69" s="14">
        <v>0</v>
      </c>
      <c r="H69" s="67"/>
    </row>
    <row r="70" spans="1:8" x14ac:dyDescent="0.2">
      <c r="A70" s="1"/>
      <c r="B70" s="1"/>
      <c r="C70" s="11"/>
      <c r="D70" s="1"/>
      <c r="E70" s="1"/>
      <c r="F70" s="12"/>
      <c r="G70" s="12"/>
      <c r="H70" s="67"/>
    </row>
    <row r="71" spans="1:8" x14ac:dyDescent="0.2">
      <c r="A71" s="1"/>
      <c r="B71" s="1"/>
      <c r="C71" s="2" t="s">
        <v>115</v>
      </c>
      <c r="D71" s="1"/>
      <c r="E71" s="1"/>
      <c r="F71" s="1"/>
      <c r="G71" s="1"/>
      <c r="H71" s="67"/>
    </row>
    <row r="72" spans="1:8" x14ac:dyDescent="0.2">
      <c r="A72" s="1"/>
      <c r="B72" s="1"/>
      <c r="C72" s="2" t="s">
        <v>105</v>
      </c>
      <c r="D72" s="1"/>
      <c r="E72" s="1" t="s">
        <v>106</v>
      </c>
      <c r="F72" s="13">
        <v>0</v>
      </c>
      <c r="G72" s="14">
        <v>0</v>
      </c>
      <c r="H72" s="67"/>
    </row>
    <row r="73" spans="1:8" x14ac:dyDescent="0.2">
      <c r="A73" s="1"/>
      <c r="B73" s="1"/>
      <c r="C73" s="11"/>
      <c r="D73" s="1"/>
      <c r="E73" s="1"/>
      <c r="F73" s="12"/>
      <c r="G73" s="12"/>
      <c r="H73" s="67"/>
    </row>
    <row r="74" spans="1:8" x14ac:dyDescent="0.2">
      <c r="A74" s="1"/>
      <c r="B74" s="1"/>
      <c r="C74" s="2" t="s">
        <v>116</v>
      </c>
      <c r="D74" s="1"/>
      <c r="E74" s="1"/>
      <c r="F74" s="12"/>
      <c r="G74" s="12"/>
      <c r="H74" s="67"/>
    </row>
    <row r="75" spans="1:8" x14ac:dyDescent="0.2">
      <c r="A75" s="1"/>
      <c r="B75" s="1"/>
      <c r="C75" s="2" t="s">
        <v>105</v>
      </c>
      <c r="D75" s="1"/>
      <c r="E75" s="1" t="s">
        <v>106</v>
      </c>
      <c r="F75" s="13">
        <v>0</v>
      </c>
      <c r="G75" s="14">
        <v>0</v>
      </c>
      <c r="H75" s="67"/>
    </row>
    <row r="76" spans="1:8" x14ac:dyDescent="0.2">
      <c r="A76" s="1"/>
      <c r="B76" s="1"/>
      <c r="C76" s="11"/>
      <c r="D76" s="1"/>
      <c r="E76" s="1"/>
      <c r="F76" s="12"/>
      <c r="G76" s="12"/>
      <c r="H76" s="67"/>
    </row>
    <row r="77" spans="1:8" x14ac:dyDescent="0.2">
      <c r="A77" s="1"/>
      <c r="B77" s="1"/>
      <c r="C77" s="2" t="s">
        <v>117</v>
      </c>
      <c r="D77" s="1"/>
      <c r="E77" s="1"/>
      <c r="F77" s="9">
        <v>0</v>
      </c>
      <c r="G77" s="10">
        <v>0</v>
      </c>
      <c r="H77" s="67"/>
    </row>
    <row r="78" spans="1:8" x14ac:dyDescent="0.2">
      <c r="A78" s="1"/>
      <c r="B78" s="1"/>
      <c r="C78" s="11"/>
      <c r="D78" s="1"/>
      <c r="E78" s="1"/>
      <c r="F78" s="12"/>
      <c r="G78" s="12"/>
      <c r="H78" s="67"/>
    </row>
    <row r="79" spans="1:8" x14ac:dyDescent="0.2">
      <c r="A79" s="1"/>
      <c r="B79" s="1"/>
      <c r="C79" s="2" t="s">
        <v>118</v>
      </c>
      <c r="D79" s="1"/>
      <c r="E79" s="1"/>
      <c r="F79" s="12"/>
      <c r="G79" s="12"/>
      <c r="H79" s="67"/>
    </row>
    <row r="80" spans="1:8" x14ac:dyDescent="0.2">
      <c r="A80" s="1"/>
      <c r="B80" s="1"/>
      <c r="C80" s="2" t="s">
        <v>119</v>
      </c>
      <c r="D80" s="1"/>
      <c r="E80" s="1"/>
      <c r="F80" s="12"/>
      <c r="G80" s="12"/>
      <c r="H80" s="67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13">
        <v>0</v>
      </c>
      <c r="G81" s="14">
        <v>0</v>
      </c>
      <c r="H81" s="67"/>
    </row>
    <row r="82" spans="1:8" x14ac:dyDescent="0.2">
      <c r="A82" s="1"/>
      <c r="B82" s="1"/>
      <c r="C82" s="11"/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120</v>
      </c>
      <c r="D83" s="1"/>
      <c r="E83" s="1"/>
      <c r="F83" s="12"/>
      <c r="G83" s="12"/>
      <c r="H83" s="67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7"/>
    </row>
    <row r="85" spans="1:8" x14ac:dyDescent="0.2">
      <c r="A85" s="1"/>
      <c r="B85" s="1"/>
      <c r="C85" s="11"/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121</v>
      </c>
      <c r="D86" s="1"/>
      <c r="E86" s="1"/>
      <c r="F86" s="12"/>
      <c r="G86" s="12"/>
      <c r="H86" s="67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7"/>
    </row>
    <row r="88" spans="1:8" x14ac:dyDescent="0.2">
      <c r="A88" s="1"/>
      <c r="B88" s="1"/>
      <c r="C88" s="11"/>
      <c r="D88" s="1"/>
      <c r="E88" s="1"/>
      <c r="F88" s="12"/>
      <c r="G88" s="12"/>
      <c r="H88" s="67"/>
    </row>
    <row r="89" spans="1:8" x14ac:dyDescent="0.2">
      <c r="A89" s="1"/>
      <c r="B89" s="1"/>
      <c r="C89" s="2" t="s">
        <v>122</v>
      </c>
      <c r="D89" s="1"/>
      <c r="E89" s="1"/>
      <c r="F89" s="12"/>
      <c r="G89" s="12"/>
      <c r="H89" s="67"/>
    </row>
    <row r="90" spans="1:8" x14ac:dyDescent="0.2">
      <c r="A90" s="3">
        <v>1</v>
      </c>
      <c r="B90" s="4"/>
      <c r="C90" s="4" t="s">
        <v>123</v>
      </c>
      <c r="D90" s="4"/>
      <c r="E90" s="8"/>
      <c r="F90" s="6">
        <v>21.651758300000001</v>
      </c>
      <c r="G90" s="7">
        <v>1.6079335E-2</v>
      </c>
      <c r="H90" s="67">
        <v>3.1047477660654299</v>
      </c>
    </row>
    <row r="91" spans="1:8" x14ac:dyDescent="0.2">
      <c r="A91" s="1"/>
      <c r="B91" s="1"/>
      <c r="C91" s="2" t="s">
        <v>105</v>
      </c>
      <c r="D91" s="1"/>
      <c r="E91" s="1" t="s">
        <v>106</v>
      </c>
      <c r="F91" s="9">
        <v>21.651758300000001</v>
      </c>
      <c r="G91" s="10">
        <v>1.6079335E-2</v>
      </c>
      <c r="H91" s="67"/>
    </row>
    <row r="92" spans="1:8" x14ac:dyDescent="0.2">
      <c r="A92" s="1"/>
      <c r="B92" s="1"/>
      <c r="C92" s="11"/>
      <c r="D92" s="1"/>
      <c r="E92" s="1"/>
      <c r="F92" s="12"/>
      <c r="G92" s="12"/>
      <c r="H92" s="67"/>
    </row>
    <row r="93" spans="1:8" x14ac:dyDescent="0.2">
      <c r="A93" s="1"/>
      <c r="B93" s="1"/>
      <c r="C93" s="2" t="s">
        <v>124</v>
      </c>
      <c r="D93" s="1"/>
      <c r="E93" s="1"/>
      <c r="F93" s="9">
        <v>21.651758300000001</v>
      </c>
      <c r="G93" s="10">
        <v>1.6079335E-2</v>
      </c>
      <c r="H93" s="67"/>
    </row>
    <row r="94" spans="1:8" x14ac:dyDescent="0.2">
      <c r="A94" s="1"/>
      <c r="B94" s="1"/>
      <c r="C94" s="12"/>
      <c r="D94" s="1"/>
      <c r="E94" s="1"/>
      <c r="F94" s="1"/>
      <c r="G94" s="1"/>
      <c r="H94" s="67"/>
    </row>
    <row r="95" spans="1:8" x14ac:dyDescent="0.2">
      <c r="A95" s="1"/>
      <c r="B95" s="1"/>
      <c r="C95" s="2" t="s">
        <v>125</v>
      </c>
      <c r="D95" s="1"/>
      <c r="E95" s="1"/>
      <c r="F95" s="1"/>
      <c r="G95" s="1"/>
      <c r="H95" s="67"/>
    </row>
    <row r="96" spans="1:8" x14ac:dyDescent="0.2">
      <c r="A96" s="1"/>
      <c r="B96" s="1"/>
      <c r="C96" s="2" t="s">
        <v>126</v>
      </c>
      <c r="D96" s="1"/>
      <c r="E96" s="1"/>
      <c r="F96" s="1"/>
      <c r="G96" s="1"/>
      <c r="H96" s="67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">
        <v>0</v>
      </c>
      <c r="H97" s="67"/>
    </row>
    <row r="98" spans="1:8" x14ac:dyDescent="0.2">
      <c r="A98" s="1"/>
      <c r="B98" s="1"/>
      <c r="C98" s="11"/>
      <c r="D98" s="1"/>
      <c r="E98" s="1"/>
      <c r="F98" s="12"/>
      <c r="G98" s="12"/>
      <c r="H98" s="67"/>
    </row>
    <row r="99" spans="1:8" x14ac:dyDescent="0.2">
      <c r="A99" s="1"/>
      <c r="B99" s="1"/>
      <c r="C99" s="2" t="s">
        <v>127</v>
      </c>
      <c r="D99" s="1"/>
      <c r="E99" s="1"/>
      <c r="F99" s="1"/>
      <c r="G99" s="1"/>
      <c r="H99" s="67"/>
    </row>
    <row r="100" spans="1:8" x14ac:dyDescent="0.2">
      <c r="A100" s="1"/>
      <c r="B100" s="1"/>
      <c r="C100" s="2" t="s">
        <v>128</v>
      </c>
      <c r="D100" s="1"/>
      <c r="E100" s="1"/>
      <c r="F100" s="1"/>
      <c r="G100" s="1"/>
      <c r="H100" s="67"/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">
        <v>0</v>
      </c>
      <c r="H101" s="67"/>
    </row>
    <row r="102" spans="1:8" x14ac:dyDescent="0.2">
      <c r="A102" s="1"/>
      <c r="B102" s="1"/>
      <c r="C102" s="11"/>
      <c r="D102" s="1"/>
      <c r="E102" s="1"/>
      <c r="F102" s="12"/>
      <c r="G102" s="12"/>
      <c r="H102" s="67"/>
    </row>
    <row r="103" spans="1:8" x14ac:dyDescent="0.2">
      <c r="A103" s="1"/>
      <c r="B103" s="1"/>
      <c r="C103" s="11"/>
      <c r="D103" s="1"/>
      <c r="E103" s="1"/>
      <c r="F103" s="12"/>
      <c r="G103" s="12"/>
      <c r="H103" s="67"/>
    </row>
    <row r="104" spans="1:8" ht="25.5" x14ac:dyDescent="0.2">
      <c r="A104" s="1"/>
      <c r="B104" s="1"/>
      <c r="C104" s="2" t="s">
        <v>129</v>
      </c>
      <c r="D104" s="1"/>
      <c r="E104" s="1"/>
      <c r="F104" s="12"/>
      <c r="G104" s="12"/>
      <c r="H104" s="67"/>
    </row>
    <row r="105" spans="1:8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">
        <v>0</v>
      </c>
      <c r="H105" s="67"/>
    </row>
    <row r="106" spans="1:8" x14ac:dyDescent="0.2">
      <c r="A106" s="1"/>
      <c r="B106" s="1"/>
      <c r="C106" s="11"/>
      <c r="D106" s="1"/>
      <c r="E106" s="1"/>
      <c r="F106" s="12"/>
      <c r="G106" s="12"/>
      <c r="H106" s="67"/>
    </row>
    <row r="107" spans="1:8" x14ac:dyDescent="0.2">
      <c r="A107" s="1"/>
      <c r="B107" s="4"/>
      <c r="C107" s="4"/>
      <c r="D107" s="2"/>
      <c r="E107" s="1"/>
      <c r="F107" s="4"/>
      <c r="G107" s="8"/>
      <c r="H107" s="67"/>
    </row>
    <row r="108" spans="1:8" x14ac:dyDescent="0.2">
      <c r="A108" s="8"/>
      <c r="B108" s="4"/>
      <c r="C108" s="4" t="s">
        <v>130</v>
      </c>
      <c r="D108" s="4"/>
      <c r="E108" s="8"/>
      <c r="F108" s="6">
        <v>1.8473606</v>
      </c>
      <c r="G108" s="7">
        <v>1.371913E-3</v>
      </c>
      <c r="H108" s="67"/>
    </row>
    <row r="109" spans="1:8" x14ac:dyDescent="0.2">
      <c r="A109" s="11"/>
      <c r="B109" s="11"/>
      <c r="C109" s="2" t="s">
        <v>131</v>
      </c>
      <c r="D109" s="15"/>
      <c r="E109" s="15"/>
      <c r="F109" s="9">
        <v>1346.5580723999999</v>
      </c>
      <c r="G109" s="10">
        <v>0.99999999799999995</v>
      </c>
      <c r="H109" s="67"/>
    </row>
    <row r="110" spans="1:8" ht="14.1" customHeight="1" x14ac:dyDescent="0.2">
      <c r="A110" s="16"/>
      <c r="B110" s="16"/>
      <c r="C110" s="16"/>
      <c r="D110" s="17"/>
      <c r="E110" s="17"/>
      <c r="F110" s="17"/>
      <c r="G110" s="17"/>
    </row>
    <row r="111" spans="1:8" ht="14.1" customHeight="1" x14ac:dyDescent="0.2">
      <c r="A111" s="18"/>
      <c r="B111" s="170" t="s">
        <v>106</v>
      </c>
      <c r="C111" s="170"/>
      <c r="D111" s="170"/>
      <c r="E111" s="170"/>
      <c r="F111" s="170"/>
      <c r="G111" s="20"/>
    </row>
    <row r="112" spans="1:8" ht="14.1" customHeight="1" x14ac:dyDescent="0.2">
      <c r="A112" s="18"/>
      <c r="B112" s="170" t="s">
        <v>106</v>
      </c>
      <c r="C112" s="170"/>
      <c r="D112" s="170"/>
      <c r="E112" s="170"/>
      <c r="F112" s="170"/>
      <c r="G112" s="20"/>
    </row>
    <row r="113" spans="1:7" ht="14.1" customHeight="1" x14ac:dyDescent="0.2">
      <c r="A113" s="18"/>
      <c r="B113" s="18"/>
      <c r="C113" s="18"/>
      <c r="D113" s="20"/>
      <c r="E113" s="20"/>
      <c r="F113" s="20"/>
      <c r="G113" s="20"/>
    </row>
    <row r="114" spans="1:7" ht="14.1" customHeight="1" x14ac:dyDescent="0.2">
      <c r="A114" s="18"/>
      <c r="B114" s="168" t="s">
        <v>133</v>
      </c>
      <c r="C114" s="169"/>
      <c r="D114" s="12" t="s">
        <v>106</v>
      </c>
      <c r="E114" s="21"/>
      <c r="F114" s="20"/>
      <c r="G114" s="20"/>
    </row>
    <row r="115" spans="1:7" ht="29.1" customHeight="1" x14ac:dyDescent="0.2">
      <c r="A115" s="18"/>
      <c r="B115" s="165" t="s">
        <v>134</v>
      </c>
      <c r="C115" s="166"/>
      <c r="D115" s="2" t="s">
        <v>135</v>
      </c>
      <c r="E115" s="21"/>
      <c r="F115" s="20"/>
      <c r="G115" s="20"/>
    </row>
    <row r="116" spans="1:7" ht="17.100000000000001" customHeight="1" x14ac:dyDescent="0.2">
      <c r="A116" s="18"/>
      <c r="B116" s="165" t="s">
        <v>136</v>
      </c>
      <c r="C116" s="166"/>
      <c r="D116" s="2" t="s">
        <v>135</v>
      </c>
      <c r="E116" s="21"/>
      <c r="F116" s="20"/>
      <c r="G116" s="20"/>
    </row>
    <row r="117" spans="1:7" ht="17.100000000000001" customHeight="1" x14ac:dyDescent="0.2">
      <c r="A117" s="18"/>
      <c r="B117" s="165" t="s">
        <v>137</v>
      </c>
      <c r="C117" s="166"/>
      <c r="D117" s="12" t="s">
        <v>106</v>
      </c>
      <c r="E117" s="21"/>
      <c r="F117" s="20"/>
      <c r="G117" s="20"/>
    </row>
    <row r="118" spans="1:7" ht="24" customHeight="1" x14ac:dyDescent="0.2">
      <c r="A118" s="22"/>
      <c r="B118" s="23" t="s">
        <v>106</v>
      </c>
      <c r="C118" s="23" t="s">
        <v>138</v>
      </c>
      <c r="D118" s="23" t="s">
        <v>139</v>
      </c>
      <c r="E118" s="22"/>
      <c r="F118" s="22"/>
      <c r="G118" s="22"/>
    </row>
    <row r="119" spans="1:7" ht="18" customHeight="1" x14ac:dyDescent="0.2">
      <c r="A119" s="22"/>
      <c r="B119" s="23" t="s">
        <v>140</v>
      </c>
      <c r="C119" s="23" t="s">
        <v>141</v>
      </c>
      <c r="D119" s="23" t="s">
        <v>142</v>
      </c>
      <c r="E119" s="22"/>
      <c r="F119" s="22"/>
      <c r="G119" s="22"/>
    </row>
    <row r="120" spans="1:7" ht="17.100000000000001" customHeight="1" x14ac:dyDescent="0.2">
      <c r="A120" s="22"/>
      <c r="B120" s="4" t="s">
        <v>143</v>
      </c>
      <c r="C120" s="24">
        <v>21.910599999999999</v>
      </c>
      <c r="D120" s="24">
        <v>23.122299999999999</v>
      </c>
      <c r="E120" s="22"/>
      <c r="F120" s="19"/>
      <c r="G120" s="25"/>
    </row>
    <row r="121" spans="1:7" ht="17.100000000000001" customHeight="1" x14ac:dyDescent="0.2">
      <c r="A121" s="22"/>
      <c r="B121" s="4" t="s">
        <v>988</v>
      </c>
      <c r="C121" s="24">
        <v>17.752800000000001</v>
      </c>
      <c r="D121" s="24">
        <v>18.7346</v>
      </c>
      <c r="E121" s="22"/>
      <c r="F121" s="19"/>
      <c r="G121" s="25"/>
    </row>
    <row r="122" spans="1:7" ht="17.100000000000001" customHeight="1" x14ac:dyDescent="0.2">
      <c r="A122" s="22"/>
      <c r="B122" s="4" t="s">
        <v>144</v>
      </c>
      <c r="C122" s="24">
        <v>21.428100000000001</v>
      </c>
      <c r="D122" s="24">
        <v>22.6096</v>
      </c>
      <c r="E122" s="22"/>
      <c r="F122" s="19"/>
      <c r="G122" s="25"/>
    </row>
    <row r="123" spans="1:7" ht="17.100000000000001" customHeight="1" x14ac:dyDescent="0.2">
      <c r="A123" s="22"/>
      <c r="B123" s="4" t="s">
        <v>989</v>
      </c>
      <c r="C123" s="24">
        <v>17.295200000000001</v>
      </c>
      <c r="D123" s="24">
        <v>18.248799999999999</v>
      </c>
      <c r="E123" s="22"/>
      <c r="F123" s="19"/>
      <c r="G123" s="25"/>
    </row>
    <row r="124" spans="1:7" ht="14.1" customHeight="1" x14ac:dyDescent="0.2">
      <c r="A124" s="22"/>
      <c r="B124" s="22"/>
      <c r="C124" s="22"/>
      <c r="D124" s="22"/>
      <c r="E124" s="22"/>
      <c r="F124" s="22"/>
      <c r="G124" s="22"/>
    </row>
    <row r="125" spans="1:7" ht="17.100000000000001" customHeight="1" x14ac:dyDescent="0.2">
      <c r="A125" s="22"/>
      <c r="B125" s="165" t="s">
        <v>990</v>
      </c>
      <c r="C125" s="166"/>
      <c r="D125" s="2" t="s">
        <v>135</v>
      </c>
      <c r="E125" s="22"/>
      <c r="F125" s="22"/>
      <c r="G125" s="22"/>
    </row>
    <row r="126" spans="1:7" ht="18" customHeight="1" x14ac:dyDescent="0.2">
      <c r="A126" s="22"/>
      <c r="B126" s="26" t="s">
        <v>145</v>
      </c>
      <c r="C126" s="26" t="s">
        <v>145</v>
      </c>
      <c r="D126" s="26"/>
      <c r="E126" s="22"/>
      <c r="F126" s="22"/>
      <c r="G126" s="22"/>
    </row>
    <row r="127" spans="1:7" s="158" customFormat="1" x14ac:dyDescent="0.2">
      <c r="B127" s="167" t="s">
        <v>822</v>
      </c>
      <c r="C127" s="167"/>
      <c r="D127" s="167"/>
      <c r="E127" s="167"/>
      <c r="F127" s="167"/>
    </row>
    <row r="128" spans="1:7" ht="14.1" customHeight="1" x14ac:dyDescent="0.2">
      <c r="A128" s="22"/>
      <c r="B128" s="19"/>
      <c r="C128" s="19"/>
      <c r="D128" s="22"/>
      <c r="E128" s="22"/>
      <c r="F128" s="22"/>
      <c r="G128" s="22"/>
    </row>
    <row r="129" spans="1:7" ht="29.1" customHeight="1" x14ac:dyDescent="0.2">
      <c r="A129" s="22"/>
      <c r="B129" s="165" t="s">
        <v>146</v>
      </c>
      <c r="C129" s="166"/>
      <c r="D129" s="2" t="s">
        <v>135</v>
      </c>
      <c r="E129" s="22"/>
      <c r="F129" s="22"/>
      <c r="G129" s="22"/>
    </row>
    <row r="130" spans="1:7" ht="29.1" customHeight="1" x14ac:dyDescent="0.2">
      <c r="A130" s="22"/>
      <c r="B130" s="165" t="s">
        <v>147</v>
      </c>
      <c r="C130" s="166"/>
      <c r="D130" s="2" t="s">
        <v>135</v>
      </c>
      <c r="E130" s="22"/>
      <c r="F130" s="22"/>
      <c r="G130" s="22"/>
    </row>
    <row r="131" spans="1:7" ht="17.100000000000001" customHeight="1" x14ac:dyDescent="0.2">
      <c r="A131" s="22"/>
      <c r="B131" s="165" t="s">
        <v>148</v>
      </c>
      <c r="C131" s="166"/>
      <c r="D131" s="27">
        <v>0.24595901015723751</v>
      </c>
      <c r="E131" s="22"/>
      <c r="F131" s="19"/>
      <c r="G131" s="25"/>
    </row>
    <row r="132" spans="1:7" ht="17.100000000000001" customHeight="1" x14ac:dyDescent="0.2">
      <c r="A132" s="22"/>
      <c r="B132" s="165" t="s">
        <v>149</v>
      </c>
      <c r="C132" s="166"/>
      <c r="D132" s="2" t="s">
        <v>135</v>
      </c>
      <c r="E132" s="22"/>
      <c r="F132" s="22"/>
      <c r="G132" s="22"/>
    </row>
  </sheetData>
  <mergeCells count="15">
    <mergeCell ref="B114:C114"/>
    <mergeCell ref="B111:F111"/>
    <mergeCell ref="B112:F112"/>
    <mergeCell ref="A1:H1"/>
    <mergeCell ref="A2:H2"/>
    <mergeCell ref="A3:H3"/>
    <mergeCell ref="B131:C131"/>
    <mergeCell ref="B132:C132"/>
    <mergeCell ref="B115:C115"/>
    <mergeCell ref="B116:C116"/>
    <mergeCell ref="B117:C117"/>
    <mergeCell ref="B125:C125"/>
    <mergeCell ref="B129:C129"/>
    <mergeCell ref="B130:C130"/>
    <mergeCell ref="B127:F127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H15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502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25</v>
      </c>
      <c r="C7" s="4" t="s">
        <v>26</v>
      </c>
      <c r="D7" s="4" t="s">
        <v>27</v>
      </c>
      <c r="E7" s="5">
        <v>23204</v>
      </c>
      <c r="F7" s="6">
        <v>299.55203799999998</v>
      </c>
      <c r="G7" s="7">
        <v>3.6800757000000003E-2</v>
      </c>
      <c r="H7" s="67"/>
    </row>
    <row r="8" spans="1:8" x14ac:dyDescent="0.2">
      <c r="A8" s="3">
        <v>2</v>
      </c>
      <c r="B8" s="4" t="s">
        <v>160</v>
      </c>
      <c r="C8" s="4" t="s">
        <v>161</v>
      </c>
      <c r="D8" s="4" t="s">
        <v>1003</v>
      </c>
      <c r="E8" s="5">
        <v>23395</v>
      </c>
      <c r="F8" s="6">
        <v>282.47122999999999</v>
      </c>
      <c r="G8" s="7">
        <v>3.4702335000000001E-2</v>
      </c>
      <c r="H8" s="67"/>
    </row>
    <row r="9" spans="1:8" x14ac:dyDescent="0.2">
      <c r="A9" s="3">
        <v>3</v>
      </c>
      <c r="B9" s="4" t="s">
        <v>151</v>
      </c>
      <c r="C9" s="4" t="s">
        <v>152</v>
      </c>
      <c r="D9" s="4" t="s">
        <v>153</v>
      </c>
      <c r="E9" s="5">
        <v>6492</v>
      </c>
      <c r="F9" s="6">
        <v>261.47179199999999</v>
      </c>
      <c r="G9" s="7">
        <v>3.2122498999999999E-2</v>
      </c>
      <c r="H9" s="67"/>
    </row>
    <row r="10" spans="1:8" x14ac:dyDescent="0.2">
      <c r="A10" s="3">
        <v>4</v>
      </c>
      <c r="B10" s="4" t="s">
        <v>169</v>
      </c>
      <c r="C10" s="4" t="s">
        <v>170</v>
      </c>
      <c r="D10" s="4" t="s">
        <v>171</v>
      </c>
      <c r="E10" s="5">
        <v>35470</v>
      </c>
      <c r="F10" s="6">
        <v>256.44810000000001</v>
      </c>
      <c r="G10" s="7">
        <v>3.1505325000000001E-2</v>
      </c>
      <c r="H10" s="67"/>
    </row>
    <row r="11" spans="1:8" x14ac:dyDescent="0.2">
      <c r="A11" s="3">
        <v>5</v>
      </c>
      <c r="B11" s="4" t="s">
        <v>164</v>
      </c>
      <c r="C11" s="4" t="s">
        <v>165</v>
      </c>
      <c r="D11" s="4" t="s">
        <v>166</v>
      </c>
      <c r="E11" s="5">
        <v>70770</v>
      </c>
      <c r="F11" s="6">
        <v>238.35336000000001</v>
      </c>
      <c r="G11" s="7">
        <v>2.9282338000000002E-2</v>
      </c>
      <c r="H11" s="67"/>
    </row>
    <row r="12" spans="1:8" x14ac:dyDescent="0.2">
      <c r="A12" s="3">
        <v>6</v>
      </c>
      <c r="B12" s="4" t="s">
        <v>158</v>
      </c>
      <c r="C12" s="4" t="s">
        <v>159</v>
      </c>
      <c r="D12" s="4" t="s">
        <v>27</v>
      </c>
      <c r="E12" s="5">
        <v>30438</v>
      </c>
      <c r="F12" s="6">
        <v>231.96799799999999</v>
      </c>
      <c r="G12" s="7">
        <v>2.849788E-2</v>
      </c>
      <c r="H12" s="67"/>
    </row>
    <row r="13" spans="1:8" x14ac:dyDescent="0.2">
      <c r="A13" s="3">
        <v>7</v>
      </c>
      <c r="B13" s="4" t="s">
        <v>154</v>
      </c>
      <c r="C13" s="4" t="s">
        <v>155</v>
      </c>
      <c r="D13" s="4" t="s">
        <v>81</v>
      </c>
      <c r="E13" s="5">
        <v>193699</v>
      </c>
      <c r="F13" s="6">
        <v>228.37112099999999</v>
      </c>
      <c r="G13" s="7">
        <v>2.8055994000000001E-2</v>
      </c>
      <c r="H13" s="67"/>
    </row>
    <row r="14" spans="1:8" x14ac:dyDescent="0.2">
      <c r="A14" s="3">
        <v>8</v>
      </c>
      <c r="B14" s="4" t="s">
        <v>162</v>
      </c>
      <c r="C14" s="4" t="s">
        <v>163</v>
      </c>
      <c r="D14" s="4" t="s">
        <v>27</v>
      </c>
      <c r="E14" s="5">
        <v>29750</v>
      </c>
      <c r="F14" s="6">
        <v>227.42387500000001</v>
      </c>
      <c r="G14" s="7">
        <v>2.7939622000000001E-2</v>
      </c>
      <c r="H14" s="67"/>
    </row>
    <row r="15" spans="1:8" x14ac:dyDescent="0.2">
      <c r="A15" s="3">
        <v>9</v>
      </c>
      <c r="B15" s="4" t="s">
        <v>466</v>
      </c>
      <c r="C15" s="4" t="s">
        <v>467</v>
      </c>
      <c r="D15" s="4" t="s">
        <v>187</v>
      </c>
      <c r="E15" s="5">
        <v>35767</v>
      </c>
      <c r="F15" s="6">
        <v>225.97590600000001</v>
      </c>
      <c r="G15" s="7">
        <v>2.7761735999999999E-2</v>
      </c>
      <c r="H15" s="67"/>
    </row>
    <row r="16" spans="1:8" x14ac:dyDescent="0.2">
      <c r="A16" s="3">
        <v>10</v>
      </c>
      <c r="B16" s="4" t="s">
        <v>210</v>
      </c>
      <c r="C16" s="4" t="s">
        <v>211</v>
      </c>
      <c r="D16" s="4" t="s">
        <v>212</v>
      </c>
      <c r="E16" s="5">
        <v>83608</v>
      </c>
      <c r="F16" s="6">
        <v>209.605256</v>
      </c>
      <c r="G16" s="7">
        <v>2.5750558E-2</v>
      </c>
      <c r="H16" s="67"/>
    </row>
    <row r="17" spans="1:8" x14ac:dyDescent="0.2">
      <c r="A17" s="3">
        <v>11</v>
      </c>
      <c r="B17" s="4" t="s">
        <v>185</v>
      </c>
      <c r="C17" s="4" t="s">
        <v>186</v>
      </c>
      <c r="D17" s="4" t="s">
        <v>187</v>
      </c>
      <c r="E17" s="5">
        <v>42854</v>
      </c>
      <c r="F17" s="6">
        <v>205.59206499999999</v>
      </c>
      <c r="G17" s="7">
        <v>2.5257526999999998E-2</v>
      </c>
      <c r="H17" s="67"/>
    </row>
    <row r="18" spans="1:8" x14ac:dyDescent="0.2">
      <c r="A18" s="3">
        <v>12</v>
      </c>
      <c r="B18" s="4" t="s">
        <v>177</v>
      </c>
      <c r="C18" s="4" t="s">
        <v>178</v>
      </c>
      <c r="D18" s="4" t="s">
        <v>179</v>
      </c>
      <c r="E18" s="5">
        <v>82902</v>
      </c>
      <c r="F18" s="6">
        <v>198.55028999999999</v>
      </c>
      <c r="G18" s="7">
        <v>2.4392425999999998E-2</v>
      </c>
      <c r="H18" s="67"/>
    </row>
    <row r="19" spans="1:8" x14ac:dyDescent="0.2">
      <c r="A19" s="3">
        <v>13</v>
      </c>
      <c r="B19" s="4" t="s">
        <v>174</v>
      </c>
      <c r="C19" s="4" t="s">
        <v>175</v>
      </c>
      <c r="D19" s="4" t="s">
        <v>55</v>
      </c>
      <c r="E19" s="5">
        <v>47942</v>
      </c>
      <c r="F19" s="6">
        <v>192.990521</v>
      </c>
      <c r="G19" s="7">
        <v>2.3709394000000002E-2</v>
      </c>
      <c r="H19" s="67"/>
    </row>
    <row r="20" spans="1:8" x14ac:dyDescent="0.2">
      <c r="A20" s="3">
        <v>14</v>
      </c>
      <c r="B20" s="4" t="s">
        <v>190</v>
      </c>
      <c r="C20" s="4" t="s">
        <v>191</v>
      </c>
      <c r="D20" s="4" t="s">
        <v>41</v>
      </c>
      <c r="E20" s="5">
        <v>44883</v>
      </c>
      <c r="F20" s="6">
        <v>184.783311</v>
      </c>
      <c r="G20" s="7">
        <v>2.2701117E-2</v>
      </c>
      <c r="H20" s="67"/>
    </row>
    <row r="21" spans="1:8" ht="25.5" x14ac:dyDescent="0.2">
      <c r="A21" s="3">
        <v>15</v>
      </c>
      <c r="B21" s="4" t="s">
        <v>202</v>
      </c>
      <c r="C21" s="4" t="s">
        <v>203</v>
      </c>
      <c r="D21" s="4" t="s">
        <v>52</v>
      </c>
      <c r="E21" s="5">
        <v>38459</v>
      </c>
      <c r="F21" s="6">
        <v>179.3150875</v>
      </c>
      <c r="G21" s="7">
        <v>2.2029330999999999E-2</v>
      </c>
      <c r="H21" s="67"/>
    </row>
    <row r="22" spans="1:8" ht="25.5" x14ac:dyDescent="0.2">
      <c r="A22" s="3">
        <v>16</v>
      </c>
      <c r="B22" s="4" t="s">
        <v>30</v>
      </c>
      <c r="C22" s="4" t="s">
        <v>998</v>
      </c>
      <c r="D22" s="4" t="s">
        <v>992</v>
      </c>
      <c r="E22" s="5">
        <v>5414</v>
      </c>
      <c r="F22" s="6">
        <v>177.113596</v>
      </c>
      <c r="G22" s="7">
        <v>2.1758871999999999E-2</v>
      </c>
      <c r="H22" s="67"/>
    </row>
    <row r="23" spans="1:8" ht="25.5" x14ac:dyDescent="0.2">
      <c r="A23" s="3">
        <v>17</v>
      </c>
      <c r="B23" s="4" t="s">
        <v>450</v>
      </c>
      <c r="C23" s="4" t="s">
        <v>451</v>
      </c>
      <c r="D23" s="4" t="s">
        <v>36</v>
      </c>
      <c r="E23" s="5">
        <v>11046</v>
      </c>
      <c r="F23" s="6">
        <v>160.34925899999999</v>
      </c>
      <c r="G23" s="7">
        <v>1.9699329000000002E-2</v>
      </c>
      <c r="H23" s="67"/>
    </row>
    <row r="24" spans="1:8" x14ac:dyDescent="0.2">
      <c r="A24" s="3">
        <v>18</v>
      </c>
      <c r="B24" s="4" t="s">
        <v>198</v>
      </c>
      <c r="C24" s="4" t="s">
        <v>199</v>
      </c>
      <c r="D24" s="4" t="s">
        <v>166</v>
      </c>
      <c r="E24" s="5">
        <v>15206</v>
      </c>
      <c r="F24" s="6">
        <v>148.631047</v>
      </c>
      <c r="G24" s="7">
        <v>1.8259715999999999E-2</v>
      </c>
      <c r="H24" s="67"/>
    </row>
    <row r="25" spans="1:8" x14ac:dyDescent="0.2">
      <c r="A25" s="3">
        <v>19</v>
      </c>
      <c r="B25" s="4" t="s">
        <v>37</v>
      </c>
      <c r="C25" s="4" t="s">
        <v>38</v>
      </c>
      <c r="D25" s="4" t="s">
        <v>27</v>
      </c>
      <c r="E25" s="5">
        <v>12434</v>
      </c>
      <c r="F25" s="6">
        <v>148.08272299999999</v>
      </c>
      <c r="G25" s="7">
        <v>1.8192353000000001E-2</v>
      </c>
      <c r="H25" s="67"/>
    </row>
    <row r="26" spans="1:8" ht="25.5" x14ac:dyDescent="0.2">
      <c r="A26" s="3">
        <v>20</v>
      </c>
      <c r="B26" s="4" t="s">
        <v>176</v>
      </c>
      <c r="C26" s="4" t="s">
        <v>995</v>
      </c>
      <c r="D26" s="4" t="s">
        <v>992</v>
      </c>
      <c r="E26" s="5">
        <v>54769</v>
      </c>
      <c r="F26" s="6">
        <v>144.91877400000001</v>
      </c>
      <c r="G26" s="7">
        <v>1.7803652999999999E-2</v>
      </c>
      <c r="H26" s="67"/>
    </row>
    <row r="27" spans="1:8" x14ac:dyDescent="0.2">
      <c r="A27" s="3">
        <v>21</v>
      </c>
      <c r="B27" s="4" t="s">
        <v>77</v>
      </c>
      <c r="C27" s="4" t="s">
        <v>78</v>
      </c>
      <c r="D27" s="4" t="s">
        <v>69</v>
      </c>
      <c r="E27" s="5">
        <v>40332</v>
      </c>
      <c r="F27" s="6">
        <v>134.89037400000001</v>
      </c>
      <c r="G27" s="7">
        <v>1.6571638E-2</v>
      </c>
      <c r="H27" s="67"/>
    </row>
    <row r="28" spans="1:8" x14ac:dyDescent="0.2">
      <c r="A28" s="3">
        <v>22</v>
      </c>
      <c r="B28" s="4" t="s">
        <v>63</v>
      </c>
      <c r="C28" s="4" t="s">
        <v>64</v>
      </c>
      <c r="D28" s="4" t="s">
        <v>55</v>
      </c>
      <c r="E28" s="5">
        <v>51989</v>
      </c>
      <c r="F28" s="6">
        <v>134.65151</v>
      </c>
      <c r="G28" s="7">
        <v>1.6542293E-2</v>
      </c>
      <c r="H28" s="67"/>
    </row>
    <row r="29" spans="1:8" x14ac:dyDescent="0.2">
      <c r="A29" s="3">
        <v>23</v>
      </c>
      <c r="B29" s="4" t="s">
        <v>192</v>
      </c>
      <c r="C29" s="4" t="s">
        <v>193</v>
      </c>
      <c r="D29" s="4" t="s">
        <v>81</v>
      </c>
      <c r="E29" s="5">
        <v>23275</v>
      </c>
      <c r="F29" s="6">
        <v>132.81878750000001</v>
      </c>
      <c r="G29" s="7">
        <v>1.6317137999999998E-2</v>
      </c>
      <c r="H29" s="67"/>
    </row>
    <row r="30" spans="1:8" x14ac:dyDescent="0.2">
      <c r="A30" s="3">
        <v>24</v>
      </c>
      <c r="B30" s="4" t="s">
        <v>196</v>
      </c>
      <c r="C30" s="4" t="s">
        <v>197</v>
      </c>
      <c r="D30" s="4" t="s">
        <v>1004</v>
      </c>
      <c r="E30" s="5">
        <v>42844</v>
      </c>
      <c r="F30" s="6">
        <v>132.49507</v>
      </c>
      <c r="G30" s="7">
        <v>1.6277368E-2</v>
      </c>
      <c r="H30" s="67"/>
    </row>
    <row r="31" spans="1:8" x14ac:dyDescent="0.2">
      <c r="A31" s="3">
        <v>25</v>
      </c>
      <c r="B31" s="4" t="s">
        <v>53</v>
      </c>
      <c r="C31" s="4" t="s">
        <v>54</v>
      </c>
      <c r="D31" s="4" t="s">
        <v>55</v>
      </c>
      <c r="E31" s="5">
        <v>4397</v>
      </c>
      <c r="F31" s="6">
        <v>127.288753</v>
      </c>
      <c r="G31" s="7">
        <v>1.5637759000000001E-2</v>
      </c>
      <c r="H31" s="67"/>
    </row>
    <row r="32" spans="1:8" ht="25.5" x14ac:dyDescent="0.2">
      <c r="A32" s="3">
        <v>26</v>
      </c>
      <c r="B32" s="4" t="s">
        <v>221</v>
      </c>
      <c r="C32" s="4" t="s">
        <v>222</v>
      </c>
      <c r="D32" s="4" t="s">
        <v>36</v>
      </c>
      <c r="E32" s="5">
        <v>134113</v>
      </c>
      <c r="F32" s="6">
        <v>115.203067</v>
      </c>
      <c r="G32" s="7">
        <v>1.4153000000000001E-2</v>
      </c>
      <c r="H32" s="67"/>
    </row>
    <row r="33" spans="1:8" x14ac:dyDescent="0.2">
      <c r="A33" s="3">
        <v>27</v>
      </c>
      <c r="B33" s="4" t="s">
        <v>213</v>
      </c>
      <c r="C33" s="4" t="s">
        <v>214</v>
      </c>
      <c r="D33" s="4" t="s">
        <v>81</v>
      </c>
      <c r="E33" s="5">
        <v>19955</v>
      </c>
      <c r="F33" s="6">
        <v>113.93307249999999</v>
      </c>
      <c r="G33" s="7">
        <v>1.3996978E-2</v>
      </c>
      <c r="H33" s="67"/>
    </row>
    <row r="34" spans="1:8" x14ac:dyDescent="0.2">
      <c r="A34" s="3">
        <v>28</v>
      </c>
      <c r="B34" s="4" t="s">
        <v>85</v>
      </c>
      <c r="C34" s="4" t="s">
        <v>86</v>
      </c>
      <c r="D34" s="4" t="s">
        <v>1000</v>
      </c>
      <c r="E34" s="5">
        <v>74125</v>
      </c>
      <c r="F34" s="6">
        <v>112.9665</v>
      </c>
      <c r="G34" s="7">
        <v>1.3878232000000001E-2</v>
      </c>
      <c r="H34" s="67"/>
    </row>
    <row r="35" spans="1:8" ht="25.5" x14ac:dyDescent="0.2">
      <c r="A35" s="3">
        <v>29</v>
      </c>
      <c r="B35" s="4" t="s">
        <v>217</v>
      </c>
      <c r="C35" s="4" t="s">
        <v>218</v>
      </c>
      <c r="D35" s="4" t="s">
        <v>55</v>
      </c>
      <c r="E35" s="5">
        <v>5046</v>
      </c>
      <c r="F35" s="6">
        <v>110.696625</v>
      </c>
      <c r="G35" s="7">
        <v>1.3599372E-2</v>
      </c>
      <c r="H35" s="67"/>
    </row>
    <row r="36" spans="1:8" ht="25.5" x14ac:dyDescent="0.2">
      <c r="A36" s="3">
        <v>30</v>
      </c>
      <c r="B36" s="4" t="s">
        <v>238</v>
      </c>
      <c r="C36" s="4" t="s">
        <v>239</v>
      </c>
      <c r="D36" s="4" t="s">
        <v>1006</v>
      </c>
      <c r="E36" s="5">
        <v>107569</v>
      </c>
      <c r="F36" s="6">
        <v>110.580932</v>
      </c>
      <c r="G36" s="7">
        <v>1.3585158999999999E-2</v>
      </c>
      <c r="H36" s="67"/>
    </row>
    <row r="37" spans="1:8" x14ac:dyDescent="0.2">
      <c r="A37" s="3">
        <v>31</v>
      </c>
      <c r="B37" s="4" t="s">
        <v>215</v>
      </c>
      <c r="C37" s="4" t="s">
        <v>216</v>
      </c>
      <c r="D37" s="4" t="s">
        <v>69</v>
      </c>
      <c r="E37" s="5">
        <v>108993</v>
      </c>
      <c r="F37" s="6">
        <v>108.9385035</v>
      </c>
      <c r="G37" s="7">
        <v>1.3383381999999999E-2</v>
      </c>
      <c r="H37" s="67"/>
    </row>
    <row r="38" spans="1:8" x14ac:dyDescent="0.2">
      <c r="A38" s="3">
        <v>32</v>
      </c>
      <c r="B38" s="4" t="s">
        <v>182</v>
      </c>
      <c r="C38" s="4" t="s">
        <v>183</v>
      </c>
      <c r="D38" s="4" t="s">
        <v>184</v>
      </c>
      <c r="E38" s="5">
        <v>10328</v>
      </c>
      <c r="F38" s="6">
        <v>101.83924399999999</v>
      </c>
      <c r="G38" s="7">
        <v>1.2511219000000001E-2</v>
      </c>
      <c r="H38" s="67"/>
    </row>
    <row r="39" spans="1:8" x14ac:dyDescent="0.2">
      <c r="A39" s="3">
        <v>33</v>
      </c>
      <c r="B39" s="4" t="s">
        <v>247</v>
      </c>
      <c r="C39" s="4" t="s">
        <v>248</v>
      </c>
      <c r="D39" s="4" t="s">
        <v>1001</v>
      </c>
      <c r="E39" s="5">
        <v>18393</v>
      </c>
      <c r="F39" s="6">
        <v>101.26266149999999</v>
      </c>
      <c r="G39" s="7">
        <v>1.2440385E-2</v>
      </c>
      <c r="H39" s="67"/>
    </row>
    <row r="40" spans="1:8" x14ac:dyDescent="0.2">
      <c r="A40" s="3">
        <v>34</v>
      </c>
      <c r="B40" s="4" t="s">
        <v>262</v>
      </c>
      <c r="C40" s="4" t="s">
        <v>263</v>
      </c>
      <c r="D40" s="4" t="s">
        <v>171</v>
      </c>
      <c r="E40" s="5">
        <v>14616</v>
      </c>
      <c r="F40" s="6">
        <v>99.052632000000003</v>
      </c>
      <c r="G40" s="7">
        <v>1.2168877E-2</v>
      </c>
      <c r="H40" s="67"/>
    </row>
    <row r="41" spans="1:8" x14ac:dyDescent="0.2">
      <c r="A41" s="3">
        <v>35</v>
      </c>
      <c r="B41" s="4" t="s">
        <v>290</v>
      </c>
      <c r="C41" s="4" t="s">
        <v>291</v>
      </c>
      <c r="D41" s="4" t="s">
        <v>27</v>
      </c>
      <c r="E41" s="5">
        <v>8330</v>
      </c>
      <c r="F41" s="6">
        <v>98.664685000000006</v>
      </c>
      <c r="G41" s="7">
        <v>1.2121217E-2</v>
      </c>
      <c r="H41" s="67"/>
    </row>
    <row r="42" spans="1:8" ht="25.5" x14ac:dyDescent="0.2">
      <c r="A42" s="3">
        <v>36</v>
      </c>
      <c r="B42" s="4" t="s">
        <v>65</v>
      </c>
      <c r="C42" s="4" t="s">
        <v>66</v>
      </c>
      <c r="D42" s="4" t="s">
        <v>36</v>
      </c>
      <c r="E42" s="5">
        <v>12851</v>
      </c>
      <c r="F42" s="6">
        <v>93.5745565</v>
      </c>
      <c r="G42" s="7">
        <v>1.1495880999999999E-2</v>
      </c>
      <c r="H42" s="67"/>
    </row>
    <row r="43" spans="1:8" x14ac:dyDescent="0.2">
      <c r="A43" s="3">
        <v>37</v>
      </c>
      <c r="B43" s="4" t="s">
        <v>243</v>
      </c>
      <c r="C43" s="4" t="s">
        <v>244</v>
      </c>
      <c r="D43" s="4" t="s">
        <v>171</v>
      </c>
      <c r="E43" s="5">
        <v>25572</v>
      </c>
      <c r="F43" s="6">
        <v>92.698499999999996</v>
      </c>
      <c r="G43" s="7">
        <v>1.1388255E-2</v>
      </c>
      <c r="H43" s="67"/>
    </row>
    <row r="44" spans="1:8" x14ac:dyDescent="0.2">
      <c r="A44" s="3">
        <v>38</v>
      </c>
      <c r="B44" s="4" t="s">
        <v>227</v>
      </c>
      <c r="C44" s="4" t="s">
        <v>228</v>
      </c>
      <c r="D44" s="4" t="s">
        <v>229</v>
      </c>
      <c r="E44" s="5">
        <v>19323</v>
      </c>
      <c r="F44" s="6">
        <v>92.479877999999999</v>
      </c>
      <c r="G44" s="7">
        <v>1.1361397000000001E-2</v>
      </c>
      <c r="H44" s="67"/>
    </row>
    <row r="45" spans="1:8" ht="25.5" x14ac:dyDescent="0.2">
      <c r="A45" s="3">
        <v>39</v>
      </c>
      <c r="B45" s="4" t="s">
        <v>230</v>
      </c>
      <c r="C45" s="4" t="s">
        <v>231</v>
      </c>
      <c r="D45" s="4" t="s">
        <v>52</v>
      </c>
      <c r="E45" s="5">
        <v>22731</v>
      </c>
      <c r="F45" s="6">
        <v>91.571833499999997</v>
      </c>
      <c r="G45" s="7">
        <v>1.1249841E-2</v>
      </c>
      <c r="H45" s="67"/>
    </row>
    <row r="46" spans="1:8" x14ac:dyDescent="0.2">
      <c r="A46" s="3">
        <v>40</v>
      </c>
      <c r="B46" s="4" t="s">
        <v>225</v>
      </c>
      <c r="C46" s="4" t="s">
        <v>226</v>
      </c>
      <c r="D46" s="4" t="s">
        <v>166</v>
      </c>
      <c r="E46" s="5">
        <v>6375</v>
      </c>
      <c r="F46" s="6">
        <v>91.015874999999994</v>
      </c>
      <c r="G46" s="7">
        <v>1.118154E-2</v>
      </c>
      <c r="H46" s="67"/>
    </row>
    <row r="47" spans="1:8" x14ac:dyDescent="0.2">
      <c r="A47" s="3">
        <v>41</v>
      </c>
      <c r="B47" s="4" t="s">
        <v>194</v>
      </c>
      <c r="C47" s="4" t="s">
        <v>195</v>
      </c>
      <c r="D47" s="4" t="s">
        <v>55</v>
      </c>
      <c r="E47" s="5">
        <v>9272</v>
      </c>
      <c r="F47" s="6">
        <v>89.363535999999996</v>
      </c>
      <c r="G47" s="7">
        <v>1.0978546E-2</v>
      </c>
      <c r="H47" s="67"/>
    </row>
    <row r="48" spans="1:8" x14ac:dyDescent="0.2">
      <c r="A48" s="3">
        <v>42</v>
      </c>
      <c r="B48" s="4" t="s">
        <v>200</v>
      </c>
      <c r="C48" s="4" t="s">
        <v>201</v>
      </c>
      <c r="D48" s="4" t="s">
        <v>49</v>
      </c>
      <c r="E48" s="5">
        <v>35622</v>
      </c>
      <c r="F48" s="6">
        <v>86.757380999999995</v>
      </c>
      <c r="G48" s="7">
        <v>1.0658373E-2</v>
      </c>
      <c r="H48" s="67"/>
    </row>
    <row r="49" spans="1:8" ht="25.5" x14ac:dyDescent="0.2">
      <c r="A49" s="3">
        <v>43</v>
      </c>
      <c r="B49" s="4" t="s">
        <v>240</v>
      </c>
      <c r="C49" s="4" t="s">
        <v>241</v>
      </c>
      <c r="D49" s="4" t="s">
        <v>52</v>
      </c>
      <c r="E49" s="5">
        <v>21059</v>
      </c>
      <c r="F49" s="6">
        <v>85.025712499999997</v>
      </c>
      <c r="G49" s="7">
        <v>1.0445632999999999E-2</v>
      </c>
      <c r="H49" s="67"/>
    </row>
    <row r="50" spans="1:8" x14ac:dyDescent="0.2">
      <c r="A50" s="3">
        <v>44</v>
      </c>
      <c r="B50" s="4" t="s">
        <v>275</v>
      </c>
      <c r="C50" s="4" t="s">
        <v>276</v>
      </c>
      <c r="D50" s="4" t="s">
        <v>1001</v>
      </c>
      <c r="E50" s="5">
        <v>65797</v>
      </c>
      <c r="F50" s="6">
        <v>80.634223500000004</v>
      </c>
      <c r="G50" s="7">
        <v>9.9061270000000007E-3</v>
      </c>
      <c r="H50" s="67"/>
    </row>
    <row r="51" spans="1:8" x14ac:dyDescent="0.2">
      <c r="A51" s="3">
        <v>45</v>
      </c>
      <c r="B51" s="4" t="s">
        <v>204</v>
      </c>
      <c r="C51" s="4" t="s">
        <v>205</v>
      </c>
      <c r="D51" s="4" t="s">
        <v>27</v>
      </c>
      <c r="E51" s="5">
        <v>4791</v>
      </c>
      <c r="F51" s="6">
        <v>79.561741499999997</v>
      </c>
      <c r="G51" s="7">
        <v>9.7743699999999992E-3</v>
      </c>
      <c r="H51" s="67"/>
    </row>
    <row r="52" spans="1:8" x14ac:dyDescent="0.2">
      <c r="A52" s="3">
        <v>46</v>
      </c>
      <c r="B52" s="4" t="s">
        <v>270</v>
      </c>
      <c r="C52" s="4" t="s">
        <v>271</v>
      </c>
      <c r="D52" s="4" t="s">
        <v>272</v>
      </c>
      <c r="E52" s="5">
        <v>33525</v>
      </c>
      <c r="F52" s="6">
        <v>76.185562500000003</v>
      </c>
      <c r="G52" s="7">
        <v>9.3595970000000007E-3</v>
      </c>
      <c r="H52" s="67"/>
    </row>
    <row r="53" spans="1:8" x14ac:dyDescent="0.2">
      <c r="A53" s="3">
        <v>47</v>
      </c>
      <c r="B53" s="4" t="s">
        <v>268</v>
      </c>
      <c r="C53" s="4" t="s">
        <v>269</v>
      </c>
      <c r="D53" s="4" t="s">
        <v>24</v>
      </c>
      <c r="E53" s="5">
        <v>82133</v>
      </c>
      <c r="F53" s="6">
        <v>75.685559499999997</v>
      </c>
      <c r="G53" s="7">
        <v>9.2981699999999997E-3</v>
      </c>
      <c r="H53" s="67"/>
    </row>
    <row r="54" spans="1:8" x14ac:dyDescent="0.2">
      <c r="A54" s="3">
        <v>48</v>
      </c>
      <c r="B54" s="4" t="s">
        <v>253</v>
      </c>
      <c r="C54" s="4" t="s">
        <v>254</v>
      </c>
      <c r="D54" s="4" t="s">
        <v>49</v>
      </c>
      <c r="E54" s="5">
        <v>7165</v>
      </c>
      <c r="F54" s="6">
        <v>75.519099999999995</v>
      </c>
      <c r="G54" s="7">
        <v>9.2777199999999997E-3</v>
      </c>
      <c r="H54" s="67"/>
    </row>
    <row r="55" spans="1:8" x14ac:dyDescent="0.2">
      <c r="A55" s="3">
        <v>49</v>
      </c>
      <c r="B55" s="4" t="s">
        <v>259</v>
      </c>
      <c r="C55" s="4" t="s">
        <v>260</v>
      </c>
      <c r="D55" s="4" t="s">
        <v>261</v>
      </c>
      <c r="E55" s="5">
        <v>10077</v>
      </c>
      <c r="F55" s="6">
        <v>74.695762500000001</v>
      </c>
      <c r="G55" s="7">
        <v>9.1765709999999997E-3</v>
      </c>
      <c r="H55" s="67"/>
    </row>
    <row r="56" spans="1:8" x14ac:dyDescent="0.2">
      <c r="A56" s="3">
        <v>50</v>
      </c>
      <c r="B56" s="4" t="s">
        <v>172</v>
      </c>
      <c r="C56" s="4" t="s">
        <v>173</v>
      </c>
      <c r="D56" s="4" t="s">
        <v>331</v>
      </c>
      <c r="E56" s="5">
        <v>7743</v>
      </c>
      <c r="F56" s="6">
        <v>73.825633499999995</v>
      </c>
      <c r="G56" s="7">
        <v>9.0696739999999998E-3</v>
      </c>
      <c r="H56" s="67"/>
    </row>
    <row r="57" spans="1:8" x14ac:dyDescent="0.2">
      <c r="A57" s="3">
        <v>51</v>
      </c>
      <c r="B57" s="4" t="s">
        <v>462</v>
      </c>
      <c r="C57" s="4" t="s">
        <v>463</v>
      </c>
      <c r="D57" s="4" t="s">
        <v>1003</v>
      </c>
      <c r="E57" s="5">
        <v>75633</v>
      </c>
      <c r="F57" s="6">
        <v>70.679038500000004</v>
      </c>
      <c r="G57" s="7">
        <v>8.6831059999999995E-3</v>
      </c>
      <c r="H57" s="67"/>
    </row>
    <row r="58" spans="1:8" x14ac:dyDescent="0.2">
      <c r="A58" s="3">
        <v>52</v>
      </c>
      <c r="B58" s="4" t="s">
        <v>257</v>
      </c>
      <c r="C58" s="4" t="s">
        <v>258</v>
      </c>
      <c r="D58" s="4" t="s">
        <v>1001</v>
      </c>
      <c r="E58" s="5">
        <v>54120</v>
      </c>
      <c r="F58" s="6">
        <v>67.704120000000003</v>
      </c>
      <c r="G58" s="7">
        <v>8.3176299999999995E-3</v>
      </c>
      <c r="H58" s="67"/>
    </row>
    <row r="59" spans="1:8" x14ac:dyDescent="0.2">
      <c r="A59" s="3">
        <v>53</v>
      </c>
      <c r="B59" s="4" t="s">
        <v>255</v>
      </c>
      <c r="C59" s="4" t="s">
        <v>256</v>
      </c>
      <c r="D59" s="4" t="s">
        <v>331</v>
      </c>
      <c r="E59" s="5">
        <v>4284</v>
      </c>
      <c r="F59" s="6">
        <v>63.767339999999997</v>
      </c>
      <c r="G59" s="7">
        <v>7.8339859999999994E-3</v>
      </c>
      <c r="H59" s="67"/>
    </row>
    <row r="60" spans="1:8" x14ac:dyDescent="0.2">
      <c r="A60" s="3">
        <v>54</v>
      </c>
      <c r="B60" s="4" t="s">
        <v>281</v>
      </c>
      <c r="C60" s="4" t="s">
        <v>282</v>
      </c>
      <c r="D60" s="4" t="s">
        <v>55</v>
      </c>
      <c r="E60" s="5">
        <v>38073</v>
      </c>
      <c r="F60" s="6">
        <v>61.735369499999997</v>
      </c>
      <c r="G60" s="7">
        <v>7.5843530000000003E-3</v>
      </c>
      <c r="H60" s="67"/>
    </row>
    <row r="61" spans="1:8" x14ac:dyDescent="0.2">
      <c r="A61" s="3">
        <v>55</v>
      </c>
      <c r="B61" s="4" t="s">
        <v>67</v>
      </c>
      <c r="C61" s="4" t="s">
        <v>68</v>
      </c>
      <c r="D61" s="4" t="s">
        <v>69</v>
      </c>
      <c r="E61" s="5">
        <v>39491</v>
      </c>
      <c r="F61" s="6">
        <v>58.900826500000001</v>
      </c>
      <c r="G61" s="7">
        <v>7.2361220000000002E-3</v>
      </c>
      <c r="H61" s="67"/>
    </row>
    <row r="62" spans="1:8" x14ac:dyDescent="0.2">
      <c r="A62" s="3">
        <v>56</v>
      </c>
      <c r="B62" s="4" t="s">
        <v>273</v>
      </c>
      <c r="C62" s="4" t="s">
        <v>274</v>
      </c>
      <c r="D62" s="4" t="s">
        <v>187</v>
      </c>
      <c r="E62" s="5">
        <v>1052</v>
      </c>
      <c r="F62" s="6">
        <v>57.222487999999998</v>
      </c>
      <c r="G62" s="7">
        <v>7.0299330000000004E-3</v>
      </c>
      <c r="H62" s="67"/>
    </row>
    <row r="63" spans="1:8" x14ac:dyDescent="0.2">
      <c r="A63" s="3">
        <v>57</v>
      </c>
      <c r="B63" s="4" t="s">
        <v>232</v>
      </c>
      <c r="C63" s="4" t="s">
        <v>233</v>
      </c>
      <c r="D63" s="4" t="s">
        <v>55</v>
      </c>
      <c r="E63" s="5">
        <v>20113</v>
      </c>
      <c r="F63" s="6">
        <v>50.895946500000001</v>
      </c>
      <c r="G63" s="7">
        <v>6.2527010000000003E-3</v>
      </c>
      <c r="H63" s="67"/>
    </row>
    <row r="64" spans="1:8" x14ac:dyDescent="0.2">
      <c r="A64" s="3">
        <v>58</v>
      </c>
      <c r="B64" s="4" t="s">
        <v>245</v>
      </c>
      <c r="C64" s="4" t="s">
        <v>246</v>
      </c>
      <c r="D64" s="4" t="s">
        <v>81</v>
      </c>
      <c r="E64" s="5">
        <v>94633</v>
      </c>
      <c r="F64" s="6">
        <v>47.553082500000002</v>
      </c>
      <c r="G64" s="7">
        <v>5.8420210000000002E-3</v>
      </c>
      <c r="H64" s="67"/>
    </row>
    <row r="65" spans="1:8" x14ac:dyDescent="0.2">
      <c r="A65" s="3">
        <v>59</v>
      </c>
      <c r="B65" s="4" t="s">
        <v>285</v>
      </c>
      <c r="C65" s="4" t="s">
        <v>286</v>
      </c>
      <c r="D65" s="4" t="s">
        <v>153</v>
      </c>
      <c r="E65" s="5">
        <v>3563</v>
      </c>
      <c r="F65" s="6">
        <v>45.7293235</v>
      </c>
      <c r="G65" s="7">
        <v>5.6179680000000001E-3</v>
      </c>
      <c r="H65" s="67"/>
    </row>
    <row r="66" spans="1:8" x14ac:dyDescent="0.2">
      <c r="A66" s="3">
        <v>60</v>
      </c>
      <c r="B66" s="4" t="s">
        <v>266</v>
      </c>
      <c r="C66" s="4" t="s">
        <v>267</v>
      </c>
      <c r="D66" s="4" t="s">
        <v>41</v>
      </c>
      <c r="E66" s="5">
        <v>40010</v>
      </c>
      <c r="F66" s="6">
        <v>41.370339999999999</v>
      </c>
      <c r="G66" s="7">
        <v>5.0824549999999996E-3</v>
      </c>
      <c r="H66" s="67"/>
    </row>
    <row r="67" spans="1:8" x14ac:dyDescent="0.2">
      <c r="A67" s="3">
        <v>61</v>
      </c>
      <c r="B67" s="4" t="s">
        <v>283</v>
      </c>
      <c r="C67" s="4" t="s">
        <v>284</v>
      </c>
      <c r="D67" s="4" t="s">
        <v>166</v>
      </c>
      <c r="E67" s="5">
        <v>7394</v>
      </c>
      <c r="F67" s="6">
        <v>33.498517</v>
      </c>
      <c r="G67" s="7">
        <v>4.1153810000000004E-3</v>
      </c>
      <c r="H67" s="67"/>
    </row>
    <row r="68" spans="1:8" x14ac:dyDescent="0.2">
      <c r="A68" s="3">
        <v>62</v>
      </c>
      <c r="B68" s="4" t="s">
        <v>236</v>
      </c>
      <c r="C68" s="4" t="s">
        <v>237</v>
      </c>
      <c r="D68" s="4" t="s">
        <v>1000</v>
      </c>
      <c r="E68" s="5">
        <v>2309</v>
      </c>
      <c r="F68" s="6">
        <v>29.261956999999999</v>
      </c>
      <c r="G68" s="7">
        <v>3.5949089999999999E-3</v>
      </c>
      <c r="H68" s="67"/>
    </row>
    <row r="69" spans="1:8" x14ac:dyDescent="0.2">
      <c r="A69" s="3">
        <v>63</v>
      </c>
      <c r="B69" s="4" t="s">
        <v>287</v>
      </c>
      <c r="C69" s="4" t="s">
        <v>288</v>
      </c>
      <c r="D69" s="4" t="s">
        <v>1001</v>
      </c>
      <c r="E69" s="5">
        <v>2103</v>
      </c>
      <c r="F69" s="6">
        <v>9.4645515000000007</v>
      </c>
      <c r="G69" s="7">
        <v>1.162745E-3</v>
      </c>
      <c r="H69" s="67"/>
    </row>
    <row r="70" spans="1:8" x14ac:dyDescent="0.2">
      <c r="A70" s="3">
        <v>64</v>
      </c>
      <c r="B70" s="4" t="s">
        <v>277</v>
      </c>
      <c r="C70" s="4" t="s">
        <v>278</v>
      </c>
      <c r="D70" s="4" t="s">
        <v>187</v>
      </c>
      <c r="E70" s="5">
        <v>1627</v>
      </c>
      <c r="F70" s="6">
        <v>6.3599430000000003</v>
      </c>
      <c r="G70" s="7">
        <v>7.8133599999999999E-4</v>
      </c>
      <c r="H70" s="67"/>
    </row>
    <row r="71" spans="1:8" x14ac:dyDescent="0.2">
      <c r="A71" s="1"/>
      <c r="B71" s="1"/>
      <c r="C71" s="2" t="s">
        <v>105</v>
      </c>
      <c r="D71" s="1"/>
      <c r="E71" s="1" t="s">
        <v>106</v>
      </c>
      <c r="F71" s="9">
        <v>7839.9874655000003</v>
      </c>
      <c r="G71" s="10">
        <v>0.96316312000000004</v>
      </c>
      <c r="H71" s="67"/>
    </row>
    <row r="72" spans="1:8" x14ac:dyDescent="0.2">
      <c r="A72" s="1"/>
      <c r="B72" s="1"/>
      <c r="C72" s="11"/>
      <c r="D72" s="1"/>
      <c r="E72" s="1"/>
      <c r="F72" s="12"/>
      <c r="G72" s="12"/>
      <c r="H72" s="67"/>
    </row>
    <row r="73" spans="1:8" x14ac:dyDescent="0.2">
      <c r="A73" s="1"/>
      <c r="B73" s="1"/>
      <c r="C73" s="2" t="s">
        <v>107</v>
      </c>
      <c r="D73" s="1"/>
      <c r="E73" s="1"/>
      <c r="F73" s="1"/>
      <c r="G73" s="1"/>
      <c r="H73" s="67"/>
    </row>
    <row r="74" spans="1:8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">
        <v>0</v>
      </c>
      <c r="H74" s="67"/>
    </row>
    <row r="75" spans="1:8" x14ac:dyDescent="0.2">
      <c r="A75" s="1"/>
      <c r="B75" s="1"/>
      <c r="C75" s="11"/>
      <c r="D75" s="1"/>
      <c r="E75" s="1"/>
      <c r="F75" s="12"/>
      <c r="G75" s="12"/>
      <c r="H75" s="67"/>
    </row>
    <row r="76" spans="1:8" x14ac:dyDescent="0.2">
      <c r="A76" s="1"/>
      <c r="B76" s="1"/>
      <c r="C76" s="2" t="s">
        <v>108</v>
      </c>
      <c r="D76" s="1"/>
      <c r="E76" s="1"/>
      <c r="F76" s="1"/>
      <c r="G76" s="1"/>
      <c r="H76" s="67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7"/>
    </row>
    <row r="78" spans="1:8" x14ac:dyDescent="0.2">
      <c r="A78" s="1"/>
      <c r="B78" s="1"/>
      <c r="C78" s="11"/>
      <c r="D78" s="1"/>
      <c r="E78" s="1"/>
      <c r="F78" s="12"/>
      <c r="G78" s="12"/>
      <c r="H78" s="67"/>
    </row>
    <row r="79" spans="1:8" x14ac:dyDescent="0.2">
      <c r="A79" s="1"/>
      <c r="B79" s="1"/>
      <c r="C79" s="2" t="s">
        <v>109</v>
      </c>
      <c r="D79" s="1"/>
      <c r="E79" s="1"/>
      <c r="F79" s="1"/>
      <c r="G79" s="1"/>
      <c r="H79" s="67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7"/>
    </row>
    <row r="81" spans="1:8" x14ac:dyDescent="0.2">
      <c r="A81" s="1"/>
      <c r="B81" s="1"/>
      <c r="C81" s="11"/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110</v>
      </c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7"/>
    </row>
    <row r="84" spans="1:8" x14ac:dyDescent="0.2">
      <c r="A84" s="1"/>
      <c r="B84" s="1"/>
      <c r="C84" s="11"/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111</v>
      </c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7"/>
    </row>
    <row r="87" spans="1:8" x14ac:dyDescent="0.2">
      <c r="A87" s="1"/>
      <c r="B87" s="1"/>
      <c r="C87" s="11"/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112</v>
      </c>
      <c r="D88" s="1"/>
      <c r="E88" s="1"/>
      <c r="F88" s="9">
        <v>7839.9874655000003</v>
      </c>
      <c r="G88" s="10">
        <v>0.96316312000000004</v>
      </c>
      <c r="H88" s="67"/>
    </row>
    <row r="89" spans="1:8" x14ac:dyDescent="0.2">
      <c r="A89" s="1"/>
      <c r="B89" s="1"/>
      <c r="C89" s="11"/>
      <c r="D89" s="1"/>
      <c r="E89" s="1"/>
      <c r="F89" s="12"/>
      <c r="G89" s="12"/>
      <c r="H89" s="67"/>
    </row>
    <row r="90" spans="1:8" x14ac:dyDescent="0.2">
      <c r="A90" s="1"/>
      <c r="B90" s="1"/>
      <c r="C90" s="2" t="s">
        <v>113</v>
      </c>
      <c r="D90" s="1"/>
      <c r="E90" s="1"/>
      <c r="F90" s="12"/>
      <c r="G90" s="12"/>
      <c r="H90" s="67"/>
    </row>
    <row r="91" spans="1:8" ht="25.5" x14ac:dyDescent="0.2">
      <c r="A91" s="1"/>
      <c r="B91" s="1"/>
      <c r="C91" s="2" t="s">
        <v>10</v>
      </c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7"/>
    </row>
    <row r="93" spans="1:8" x14ac:dyDescent="0.2">
      <c r="A93" s="1"/>
      <c r="B93" s="1"/>
      <c r="C93" s="11"/>
      <c r="D93" s="1"/>
      <c r="E93" s="1"/>
      <c r="F93" s="12"/>
      <c r="G93" s="12"/>
      <c r="H93" s="67"/>
    </row>
    <row r="94" spans="1:8" x14ac:dyDescent="0.2">
      <c r="A94" s="1"/>
      <c r="B94" s="1"/>
      <c r="C94" s="2" t="s">
        <v>114</v>
      </c>
      <c r="D94" s="1"/>
      <c r="E94" s="1"/>
      <c r="F94" s="1"/>
      <c r="G94" s="1"/>
      <c r="H94" s="67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7"/>
    </row>
    <row r="96" spans="1:8" x14ac:dyDescent="0.2">
      <c r="A96" s="1"/>
      <c r="B96" s="1"/>
      <c r="C96" s="11"/>
      <c r="D96" s="1"/>
      <c r="E96" s="1"/>
      <c r="F96" s="12"/>
      <c r="G96" s="12"/>
      <c r="H96" s="67"/>
    </row>
    <row r="97" spans="1:8" x14ac:dyDescent="0.2">
      <c r="A97" s="1"/>
      <c r="B97" s="1"/>
      <c r="C97" s="2" t="s">
        <v>115</v>
      </c>
      <c r="D97" s="1"/>
      <c r="E97" s="1"/>
      <c r="F97" s="1"/>
      <c r="G97" s="1"/>
      <c r="H97" s="67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7"/>
    </row>
    <row r="99" spans="1:8" x14ac:dyDescent="0.2">
      <c r="A99" s="1"/>
      <c r="B99" s="1"/>
      <c r="C99" s="11"/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116</v>
      </c>
      <c r="D100" s="1"/>
      <c r="E100" s="1"/>
      <c r="F100" s="12"/>
      <c r="G100" s="12"/>
      <c r="H100" s="67"/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">
        <v>0</v>
      </c>
      <c r="H101" s="67"/>
    </row>
    <row r="102" spans="1:8" x14ac:dyDescent="0.2">
      <c r="A102" s="1"/>
      <c r="B102" s="1"/>
      <c r="C102" s="11"/>
      <c r="D102" s="1"/>
      <c r="E102" s="1"/>
      <c r="F102" s="12"/>
      <c r="G102" s="12"/>
      <c r="H102" s="67"/>
    </row>
    <row r="103" spans="1:8" x14ac:dyDescent="0.2">
      <c r="A103" s="1"/>
      <c r="B103" s="1"/>
      <c r="C103" s="2" t="s">
        <v>117</v>
      </c>
      <c r="D103" s="1"/>
      <c r="E103" s="1"/>
      <c r="F103" s="9">
        <v>0</v>
      </c>
      <c r="G103" s="10">
        <v>0</v>
      </c>
      <c r="H103" s="67"/>
    </row>
    <row r="104" spans="1:8" x14ac:dyDescent="0.2">
      <c r="A104" s="1"/>
      <c r="B104" s="1"/>
      <c r="C104" s="11"/>
      <c r="D104" s="1"/>
      <c r="E104" s="1"/>
      <c r="F104" s="12"/>
      <c r="G104" s="12"/>
      <c r="H104" s="67"/>
    </row>
    <row r="105" spans="1:8" x14ac:dyDescent="0.2">
      <c r="A105" s="1"/>
      <c r="B105" s="1"/>
      <c r="C105" s="2" t="s">
        <v>118</v>
      </c>
      <c r="D105" s="1"/>
      <c r="E105" s="1"/>
      <c r="F105" s="12"/>
      <c r="G105" s="12"/>
      <c r="H105" s="67"/>
    </row>
    <row r="106" spans="1:8" x14ac:dyDescent="0.2">
      <c r="A106" s="1"/>
      <c r="B106" s="1"/>
      <c r="C106" s="2" t="s">
        <v>119</v>
      </c>
      <c r="D106" s="1"/>
      <c r="E106" s="1"/>
      <c r="F106" s="12"/>
      <c r="G106" s="12"/>
      <c r="H106" s="67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">
        <v>0</v>
      </c>
      <c r="H107" s="67"/>
    </row>
    <row r="108" spans="1:8" x14ac:dyDescent="0.2">
      <c r="A108" s="1"/>
      <c r="B108" s="1"/>
      <c r="C108" s="11"/>
      <c r="D108" s="1"/>
      <c r="E108" s="1"/>
      <c r="F108" s="12"/>
      <c r="G108" s="12"/>
      <c r="H108" s="67"/>
    </row>
    <row r="109" spans="1:8" x14ac:dyDescent="0.2">
      <c r="A109" s="1"/>
      <c r="B109" s="1"/>
      <c r="C109" s="2" t="s">
        <v>120</v>
      </c>
      <c r="D109" s="1"/>
      <c r="E109" s="1"/>
      <c r="F109" s="12"/>
      <c r="G109" s="12"/>
      <c r="H109" s="67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7"/>
    </row>
    <row r="111" spans="1:8" x14ac:dyDescent="0.2">
      <c r="A111" s="1"/>
      <c r="B111" s="1"/>
      <c r="C111" s="11"/>
      <c r="D111" s="1"/>
      <c r="E111" s="1"/>
      <c r="F111" s="12"/>
      <c r="G111" s="12"/>
      <c r="H111" s="67"/>
    </row>
    <row r="112" spans="1:8" x14ac:dyDescent="0.2">
      <c r="A112" s="1"/>
      <c r="B112" s="1"/>
      <c r="C112" s="2" t="s">
        <v>121</v>
      </c>
      <c r="D112" s="1"/>
      <c r="E112" s="1"/>
      <c r="F112" s="12"/>
      <c r="G112" s="12"/>
      <c r="H112" s="67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">
        <v>0</v>
      </c>
      <c r="H113" s="67"/>
    </row>
    <row r="114" spans="1:8" x14ac:dyDescent="0.2">
      <c r="A114" s="1"/>
      <c r="B114" s="1"/>
      <c r="C114" s="11"/>
      <c r="D114" s="1"/>
      <c r="E114" s="1"/>
      <c r="F114" s="12"/>
      <c r="G114" s="12"/>
      <c r="H114" s="67"/>
    </row>
    <row r="115" spans="1:8" x14ac:dyDescent="0.2">
      <c r="A115" s="1"/>
      <c r="B115" s="1"/>
      <c r="C115" s="2" t="s">
        <v>122</v>
      </c>
      <c r="D115" s="1"/>
      <c r="E115" s="1"/>
      <c r="F115" s="12"/>
      <c r="G115" s="12"/>
      <c r="H115" s="67"/>
    </row>
    <row r="116" spans="1:8" x14ac:dyDescent="0.2">
      <c r="A116" s="3">
        <v>1</v>
      </c>
      <c r="B116" s="4"/>
      <c r="C116" s="4" t="s">
        <v>123</v>
      </c>
      <c r="D116" s="4"/>
      <c r="E116" s="8"/>
      <c r="F116" s="6">
        <v>305.39822249999997</v>
      </c>
      <c r="G116" s="7">
        <v>3.7518976000000002E-2</v>
      </c>
      <c r="H116" s="67">
        <v>3.1047477660654299</v>
      </c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9">
        <v>305.39822249999997</v>
      </c>
      <c r="G117" s="10">
        <v>3.7518976000000002E-2</v>
      </c>
      <c r="H117" s="67"/>
    </row>
    <row r="118" spans="1:8" x14ac:dyDescent="0.2">
      <c r="A118" s="1"/>
      <c r="B118" s="1"/>
      <c r="C118" s="11"/>
      <c r="D118" s="1"/>
      <c r="E118" s="1"/>
      <c r="F118" s="12"/>
      <c r="G118" s="12"/>
      <c r="H118" s="67"/>
    </row>
    <row r="119" spans="1:8" x14ac:dyDescent="0.2">
      <c r="A119" s="1"/>
      <c r="B119" s="1"/>
      <c r="C119" s="2" t="s">
        <v>124</v>
      </c>
      <c r="D119" s="1"/>
      <c r="E119" s="1"/>
      <c r="F119" s="9">
        <v>305.39822249999997</v>
      </c>
      <c r="G119" s="10">
        <v>3.7518976000000002E-2</v>
      </c>
      <c r="H119" s="67"/>
    </row>
    <row r="120" spans="1:8" x14ac:dyDescent="0.2">
      <c r="A120" s="1"/>
      <c r="B120" s="1"/>
      <c r="C120" s="12"/>
      <c r="D120" s="1"/>
      <c r="E120" s="1"/>
      <c r="F120" s="1"/>
      <c r="G120" s="1"/>
      <c r="H120" s="67"/>
    </row>
    <row r="121" spans="1:8" x14ac:dyDescent="0.2">
      <c r="A121" s="1"/>
      <c r="B121" s="1"/>
      <c r="C121" s="2" t="s">
        <v>125</v>
      </c>
      <c r="D121" s="1"/>
      <c r="E121" s="1"/>
      <c r="F121" s="1"/>
      <c r="G121" s="1"/>
      <c r="H121" s="67"/>
    </row>
    <row r="122" spans="1:8" x14ac:dyDescent="0.2">
      <c r="A122" s="1"/>
      <c r="B122" s="1"/>
      <c r="C122" s="2" t="s">
        <v>126</v>
      </c>
      <c r="D122" s="1"/>
      <c r="E122" s="1"/>
      <c r="F122" s="1"/>
      <c r="G122" s="1"/>
      <c r="H122" s="67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7"/>
    </row>
    <row r="124" spans="1:8" x14ac:dyDescent="0.2">
      <c r="A124" s="1"/>
      <c r="B124" s="1"/>
      <c r="C124" s="11"/>
      <c r="D124" s="1"/>
      <c r="E124" s="1"/>
      <c r="F124" s="12"/>
      <c r="G124" s="12"/>
      <c r="H124" s="67"/>
    </row>
    <row r="125" spans="1:8" x14ac:dyDescent="0.2">
      <c r="A125" s="1"/>
      <c r="B125" s="1"/>
      <c r="C125" s="2" t="s">
        <v>127</v>
      </c>
      <c r="D125" s="1"/>
      <c r="E125" s="1"/>
      <c r="F125" s="1"/>
      <c r="G125" s="1"/>
      <c r="H125" s="67"/>
    </row>
    <row r="126" spans="1:8" x14ac:dyDescent="0.2">
      <c r="A126" s="1"/>
      <c r="B126" s="1"/>
      <c r="C126" s="2" t="s">
        <v>128</v>
      </c>
      <c r="D126" s="1"/>
      <c r="E126" s="1"/>
      <c r="F126" s="1"/>
      <c r="G126" s="1"/>
      <c r="H126" s="67"/>
    </row>
    <row r="127" spans="1:8" x14ac:dyDescent="0.2">
      <c r="A127" s="1"/>
      <c r="B127" s="1"/>
      <c r="C127" s="2" t="s">
        <v>105</v>
      </c>
      <c r="D127" s="1"/>
      <c r="E127" s="1" t="s">
        <v>106</v>
      </c>
      <c r="F127" s="13">
        <v>0</v>
      </c>
      <c r="G127" s="14">
        <v>0</v>
      </c>
      <c r="H127" s="67"/>
    </row>
    <row r="128" spans="1:8" x14ac:dyDescent="0.2">
      <c r="A128" s="1"/>
      <c r="B128" s="1"/>
      <c r="C128" s="11"/>
      <c r="D128" s="1"/>
      <c r="E128" s="1"/>
      <c r="F128" s="12"/>
      <c r="G128" s="12"/>
      <c r="H128" s="67"/>
    </row>
    <row r="129" spans="1:8" x14ac:dyDescent="0.2">
      <c r="A129" s="1"/>
      <c r="B129" s="1"/>
      <c r="C129" s="11"/>
      <c r="D129" s="1"/>
      <c r="E129" s="1"/>
      <c r="F129" s="12"/>
      <c r="G129" s="12"/>
      <c r="H129" s="67"/>
    </row>
    <row r="130" spans="1:8" ht="25.5" x14ac:dyDescent="0.2">
      <c r="A130" s="1"/>
      <c r="B130" s="1"/>
      <c r="C130" s="2" t="s">
        <v>129</v>
      </c>
      <c r="D130" s="1"/>
      <c r="E130" s="1"/>
      <c r="F130" s="12"/>
      <c r="G130" s="12"/>
      <c r="H130" s="67"/>
    </row>
    <row r="131" spans="1:8" x14ac:dyDescent="0.2">
      <c r="A131" s="1"/>
      <c r="B131" s="1"/>
      <c r="C131" s="2" t="s">
        <v>105</v>
      </c>
      <c r="D131" s="1"/>
      <c r="E131" s="1" t="s">
        <v>106</v>
      </c>
      <c r="F131" s="13">
        <v>0</v>
      </c>
      <c r="G131" s="14">
        <v>0</v>
      </c>
      <c r="H131" s="67"/>
    </row>
    <row r="132" spans="1:8" x14ac:dyDescent="0.2">
      <c r="A132" s="1"/>
      <c r="B132" s="1"/>
      <c r="C132" s="11"/>
      <c r="D132" s="1"/>
      <c r="E132" s="1"/>
      <c r="F132" s="12"/>
      <c r="G132" s="12"/>
      <c r="H132" s="67"/>
    </row>
    <row r="133" spans="1:8" x14ac:dyDescent="0.2">
      <c r="A133" s="1"/>
      <c r="B133" s="4"/>
      <c r="C133" s="4"/>
      <c r="D133" s="2"/>
      <c r="E133" s="1"/>
      <c r="F133" s="4"/>
      <c r="G133" s="8"/>
      <c r="H133" s="67"/>
    </row>
    <row r="134" spans="1:8" x14ac:dyDescent="0.2">
      <c r="A134" s="8"/>
      <c r="B134" s="4"/>
      <c r="C134" s="4" t="s">
        <v>130</v>
      </c>
      <c r="D134" s="4"/>
      <c r="E134" s="8"/>
      <c r="F134" s="6">
        <v>-5.55214038</v>
      </c>
      <c r="G134" s="7">
        <v>-6.8209499999999997E-4</v>
      </c>
      <c r="H134" s="67"/>
    </row>
    <row r="135" spans="1:8" x14ac:dyDescent="0.2">
      <c r="A135" s="11"/>
      <c r="B135" s="11"/>
      <c r="C135" s="2" t="s">
        <v>131</v>
      </c>
      <c r="D135" s="15"/>
      <c r="E135" s="15"/>
      <c r="F135" s="9">
        <v>8139.83354762</v>
      </c>
      <c r="G135" s="10">
        <v>1.0000000010000001</v>
      </c>
      <c r="H135" s="67"/>
    </row>
    <row r="136" spans="1:8" ht="14.1" customHeight="1" x14ac:dyDescent="0.2">
      <c r="A136" s="16"/>
      <c r="B136" s="16"/>
      <c r="C136" s="16"/>
      <c r="D136" s="17"/>
      <c r="E136" s="17"/>
      <c r="F136" s="17"/>
      <c r="G136" s="17"/>
    </row>
    <row r="137" spans="1:8" ht="14.1" customHeight="1" x14ac:dyDescent="0.2">
      <c r="A137" s="18"/>
      <c r="B137" s="170" t="s">
        <v>106</v>
      </c>
      <c r="C137" s="170"/>
      <c r="D137" s="170"/>
      <c r="E137" s="170"/>
      <c r="F137" s="170"/>
      <c r="G137" s="20"/>
    </row>
    <row r="138" spans="1:8" ht="14.1" customHeight="1" x14ac:dyDescent="0.2">
      <c r="A138" s="18"/>
      <c r="B138" s="170" t="s">
        <v>106</v>
      </c>
      <c r="C138" s="170"/>
      <c r="D138" s="170"/>
      <c r="E138" s="170"/>
      <c r="F138" s="170"/>
      <c r="G138" s="20"/>
    </row>
    <row r="139" spans="1:8" ht="14.1" customHeight="1" x14ac:dyDescent="0.2">
      <c r="A139" s="18"/>
      <c r="B139" s="18"/>
      <c r="C139" s="18"/>
      <c r="D139" s="20"/>
      <c r="E139" s="20"/>
      <c r="F139" s="20"/>
      <c r="G139" s="20"/>
    </row>
    <row r="140" spans="1:8" ht="14.1" customHeight="1" x14ac:dyDescent="0.2">
      <c r="A140" s="18"/>
      <c r="B140" s="168" t="s">
        <v>133</v>
      </c>
      <c r="C140" s="169"/>
      <c r="D140" s="12" t="s">
        <v>106</v>
      </c>
      <c r="E140" s="21"/>
      <c r="F140" s="20"/>
      <c r="G140" s="20"/>
    </row>
    <row r="141" spans="1:8" ht="29.1" customHeight="1" x14ac:dyDescent="0.2">
      <c r="A141" s="18"/>
      <c r="B141" s="165" t="s">
        <v>134</v>
      </c>
      <c r="C141" s="166"/>
      <c r="D141" s="2" t="s">
        <v>135</v>
      </c>
      <c r="E141" s="21"/>
      <c r="F141" s="20"/>
      <c r="G141" s="20"/>
    </row>
    <row r="142" spans="1:8" ht="17.100000000000001" customHeight="1" x14ac:dyDescent="0.2">
      <c r="A142" s="18"/>
      <c r="B142" s="165" t="s">
        <v>136</v>
      </c>
      <c r="C142" s="166"/>
      <c r="D142" s="2" t="s">
        <v>135</v>
      </c>
      <c r="E142" s="21"/>
      <c r="F142" s="20"/>
      <c r="G142" s="20"/>
    </row>
    <row r="143" spans="1:8" ht="17.100000000000001" customHeight="1" x14ac:dyDescent="0.2">
      <c r="A143" s="18"/>
      <c r="B143" s="165" t="s">
        <v>137</v>
      </c>
      <c r="C143" s="166"/>
      <c r="D143" s="12" t="s">
        <v>106</v>
      </c>
      <c r="E143" s="21"/>
      <c r="F143" s="20"/>
      <c r="G143" s="20"/>
    </row>
    <row r="144" spans="1:8" ht="24" customHeight="1" x14ac:dyDescent="0.2">
      <c r="A144" s="22"/>
      <c r="B144" s="23" t="s">
        <v>106</v>
      </c>
      <c r="C144" s="23" t="s">
        <v>138</v>
      </c>
      <c r="D144" s="23" t="s">
        <v>139</v>
      </c>
      <c r="E144" s="22"/>
      <c r="F144" s="22"/>
      <c r="G144" s="22"/>
    </row>
    <row r="145" spans="1:7" ht="18" customHeight="1" x14ac:dyDescent="0.2">
      <c r="A145" s="22"/>
      <c r="B145" s="23" t="s">
        <v>140</v>
      </c>
      <c r="C145" s="23" t="s">
        <v>141</v>
      </c>
      <c r="D145" s="23" t="s">
        <v>142</v>
      </c>
      <c r="E145" s="22"/>
      <c r="F145" s="22"/>
      <c r="G145" s="22"/>
    </row>
    <row r="146" spans="1:7" ht="17.100000000000001" customHeight="1" x14ac:dyDescent="0.2">
      <c r="A146" s="22"/>
      <c r="B146" s="4" t="s">
        <v>143</v>
      </c>
      <c r="C146" s="24">
        <v>17.483899999999998</v>
      </c>
      <c r="D146" s="24">
        <v>17.327999999999999</v>
      </c>
      <c r="E146" s="22"/>
      <c r="F146" s="19"/>
      <c r="G146" s="25"/>
    </row>
    <row r="147" spans="1:7" ht="17.100000000000001" customHeight="1" x14ac:dyDescent="0.2">
      <c r="A147" s="22"/>
      <c r="B147" s="4" t="s">
        <v>988</v>
      </c>
      <c r="C147" s="24">
        <v>16.103899999999999</v>
      </c>
      <c r="D147" s="24">
        <v>15.9603</v>
      </c>
      <c r="E147" s="22"/>
      <c r="F147" s="19"/>
      <c r="G147" s="25"/>
    </row>
    <row r="148" spans="1:7" ht="17.100000000000001" customHeight="1" x14ac:dyDescent="0.2">
      <c r="A148" s="22"/>
      <c r="B148" s="4" t="s">
        <v>144</v>
      </c>
      <c r="C148" s="24">
        <v>17.097000000000001</v>
      </c>
      <c r="D148" s="24">
        <v>16.9422</v>
      </c>
      <c r="E148" s="22"/>
      <c r="F148" s="19"/>
      <c r="G148" s="25"/>
    </row>
    <row r="149" spans="1:7" ht="17.100000000000001" customHeight="1" x14ac:dyDescent="0.2">
      <c r="A149" s="22"/>
      <c r="B149" s="4" t="s">
        <v>989</v>
      </c>
      <c r="C149" s="24">
        <v>15.732900000000001</v>
      </c>
      <c r="D149" s="24">
        <v>15.590299999999999</v>
      </c>
      <c r="E149" s="22"/>
      <c r="F149" s="19"/>
      <c r="G149" s="25"/>
    </row>
    <row r="150" spans="1:7" ht="14.1" customHeight="1" x14ac:dyDescent="0.2">
      <c r="A150" s="22"/>
      <c r="B150" s="22"/>
      <c r="C150" s="22"/>
      <c r="D150" s="22"/>
      <c r="E150" s="22"/>
      <c r="F150" s="22"/>
      <c r="G150" s="22"/>
    </row>
    <row r="151" spans="1:7" ht="17.100000000000001" customHeight="1" x14ac:dyDescent="0.2">
      <c r="A151" s="22"/>
      <c r="B151" s="165" t="s">
        <v>990</v>
      </c>
      <c r="C151" s="166"/>
      <c r="D151" s="2" t="s">
        <v>135</v>
      </c>
      <c r="E151" s="22"/>
      <c r="F151" s="22"/>
      <c r="G151" s="22"/>
    </row>
    <row r="152" spans="1:7" ht="18" customHeight="1" x14ac:dyDescent="0.2">
      <c r="A152" s="22"/>
      <c r="B152" s="26" t="s">
        <v>145</v>
      </c>
      <c r="C152" s="26" t="s">
        <v>145</v>
      </c>
      <c r="D152" s="26"/>
      <c r="E152" s="22"/>
      <c r="F152" s="22"/>
      <c r="G152" s="22"/>
    </row>
    <row r="153" spans="1:7" s="158" customFormat="1" x14ac:dyDescent="0.2">
      <c r="B153" s="167" t="s">
        <v>822</v>
      </c>
      <c r="C153" s="167"/>
      <c r="D153" s="167"/>
      <c r="E153" s="167"/>
      <c r="F153" s="167"/>
    </row>
    <row r="154" spans="1:7" ht="14.1" customHeight="1" x14ac:dyDescent="0.2">
      <c r="A154" s="22"/>
      <c r="B154" s="19"/>
      <c r="C154" s="19"/>
      <c r="D154" s="22"/>
      <c r="E154" s="22"/>
      <c r="F154" s="22"/>
      <c r="G154" s="22"/>
    </row>
    <row r="155" spans="1:7" ht="29.1" customHeight="1" x14ac:dyDescent="0.2">
      <c r="A155" s="22"/>
      <c r="B155" s="165" t="s">
        <v>146</v>
      </c>
      <c r="C155" s="166"/>
      <c r="D155" s="2" t="s">
        <v>135</v>
      </c>
      <c r="E155" s="22"/>
      <c r="F155" s="22"/>
      <c r="G155" s="22"/>
    </row>
    <row r="156" spans="1:7" ht="29.1" customHeight="1" x14ac:dyDescent="0.2">
      <c r="A156" s="22"/>
      <c r="B156" s="165" t="s">
        <v>147</v>
      </c>
      <c r="C156" s="166"/>
      <c r="D156" s="2" t="s">
        <v>135</v>
      </c>
      <c r="E156" s="22"/>
      <c r="F156" s="22"/>
      <c r="G156" s="22"/>
    </row>
    <row r="157" spans="1:7" ht="17.100000000000001" customHeight="1" x14ac:dyDescent="0.2">
      <c r="A157" s="22"/>
      <c r="B157" s="165" t="s">
        <v>148</v>
      </c>
      <c r="C157" s="166"/>
      <c r="D157" s="27">
        <v>0.37772818304768357</v>
      </c>
      <c r="E157" s="22"/>
      <c r="F157" s="19"/>
      <c r="G157" s="25"/>
    </row>
    <row r="158" spans="1:7" ht="17.100000000000001" customHeight="1" x14ac:dyDescent="0.2">
      <c r="A158" s="22"/>
      <c r="B158" s="165" t="s">
        <v>149</v>
      </c>
      <c r="C158" s="166"/>
      <c r="D158" s="2" t="s">
        <v>135</v>
      </c>
      <c r="E158" s="22"/>
      <c r="F158" s="22"/>
      <c r="G158" s="22"/>
    </row>
  </sheetData>
  <mergeCells count="15">
    <mergeCell ref="B140:C140"/>
    <mergeCell ref="B137:F137"/>
    <mergeCell ref="B138:F138"/>
    <mergeCell ref="A1:H1"/>
    <mergeCell ref="A2:H2"/>
    <mergeCell ref="A3:H3"/>
    <mergeCell ref="B157:C157"/>
    <mergeCell ref="B158:C158"/>
    <mergeCell ref="B141:C141"/>
    <mergeCell ref="B142:C142"/>
    <mergeCell ref="B143:C143"/>
    <mergeCell ref="B151:C151"/>
    <mergeCell ref="B155:C155"/>
    <mergeCell ref="B156:C156"/>
    <mergeCell ref="B153:F15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H15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503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151</v>
      </c>
      <c r="C7" s="4" t="s">
        <v>152</v>
      </c>
      <c r="D7" s="4" t="s">
        <v>153</v>
      </c>
      <c r="E7" s="5">
        <v>3734</v>
      </c>
      <c r="F7" s="6">
        <v>150.39058399999999</v>
      </c>
      <c r="G7" s="7">
        <v>3.7040032000000001E-2</v>
      </c>
      <c r="H7" s="67"/>
    </row>
    <row r="8" spans="1:8" x14ac:dyDescent="0.2">
      <c r="A8" s="3">
        <v>2</v>
      </c>
      <c r="B8" s="4" t="s">
        <v>25</v>
      </c>
      <c r="C8" s="4" t="s">
        <v>26</v>
      </c>
      <c r="D8" s="4" t="s">
        <v>27</v>
      </c>
      <c r="E8" s="5">
        <v>11284</v>
      </c>
      <c r="F8" s="6">
        <v>145.67079799999999</v>
      </c>
      <c r="G8" s="7">
        <v>3.5877586000000003E-2</v>
      </c>
      <c r="H8" s="67"/>
    </row>
    <row r="9" spans="1:8" x14ac:dyDescent="0.2">
      <c r="A9" s="3">
        <v>3</v>
      </c>
      <c r="B9" s="4" t="s">
        <v>160</v>
      </c>
      <c r="C9" s="4" t="s">
        <v>161</v>
      </c>
      <c r="D9" s="4" t="s">
        <v>1003</v>
      </c>
      <c r="E9" s="5">
        <v>11047</v>
      </c>
      <c r="F9" s="6">
        <v>133.38147799999999</v>
      </c>
      <c r="G9" s="7">
        <v>3.2850822000000002E-2</v>
      </c>
      <c r="H9" s="67"/>
    </row>
    <row r="10" spans="1:8" x14ac:dyDescent="0.2">
      <c r="A10" s="3">
        <v>4</v>
      </c>
      <c r="B10" s="4" t="s">
        <v>158</v>
      </c>
      <c r="C10" s="4" t="s">
        <v>159</v>
      </c>
      <c r="D10" s="4" t="s">
        <v>27</v>
      </c>
      <c r="E10" s="5">
        <v>16510</v>
      </c>
      <c r="F10" s="6">
        <v>125.82271</v>
      </c>
      <c r="G10" s="7">
        <v>3.0989156E-2</v>
      </c>
      <c r="H10" s="67"/>
    </row>
    <row r="11" spans="1:8" x14ac:dyDescent="0.2">
      <c r="A11" s="3">
        <v>5</v>
      </c>
      <c r="B11" s="4" t="s">
        <v>169</v>
      </c>
      <c r="C11" s="4" t="s">
        <v>170</v>
      </c>
      <c r="D11" s="4" t="s">
        <v>171</v>
      </c>
      <c r="E11" s="5">
        <v>17373</v>
      </c>
      <c r="F11" s="6">
        <v>125.60679</v>
      </c>
      <c r="G11" s="7">
        <v>3.0935976E-2</v>
      </c>
      <c r="H11" s="67"/>
    </row>
    <row r="12" spans="1:8" x14ac:dyDescent="0.2">
      <c r="A12" s="3">
        <v>6</v>
      </c>
      <c r="B12" s="4" t="s">
        <v>154</v>
      </c>
      <c r="C12" s="4" t="s">
        <v>155</v>
      </c>
      <c r="D12" s="4" t="s">
        <v>81</v>
      </c>
      <c r="E12" s="5">
        <v>94764</v>
      </c>
      <c r="F12" s="6">
        <v>111.72675599999999</v>
      </c>
      <c r="G12" s="7">
        <v>2.7517432000000001E-2</v>
      </c>
      <c r="H12" s="67"/>
    </row>
    <row r="13" spans="1:8" x14ac:dyDescent="0.2">
      <c r="A13" s="3">
        <v>7</v>
      </c>
      <c r="B13" s="4" t="s">
        <v>466</v>
      </c>
      <c r="C13" s="4" t="s">
        <v>467</v>
      </c>
      <c r="D13" s="4" t="s">
        <v>187</v>
      </c>
      <c r="E13" s="5">
        <v>17560</v>
      </c>
      <c r="F13" s="6">
        <v>110.94408</v>
      </c>
      <c r="G13" s="7">
        <v>2.7324665000000001E-2</v>
      </c>
      <c r="H13" s="67"/>
    </row>
    <row r="14" spans="1:8" x14ac:dyDescent="0.2">
      <c r="A14" s="3">
        <v>8</v>
      </c>
      <c r="B14" s="4" t="s">
        <v>162</v>
      </c>
      <c r="C14" s="4" t="s">
        <v>163</v>
      </c>
      <c r="D14" s="4" t="s">
        <v>27</v>
      </c>
      <c r="E14" s="5">
        <v>14420</v>
      </c>
      <c r="F14" s="6">
        <v>110.23369</v>
      </c>
      <c r="G14" s="7">
        <v>2.7149700999999998E-2</v>
      </c>
      <c r="H14" s="67"/>
    </row>
    <row r="15" spans="1:8" x14ac:dyDescent="0.2">
      <c r="A15" s="3">
        <v>9</v>
      </c>
      <c r="B15" s="4" t="s">
        <v>164</v>
      </c>
      <c r="C15" s="4" t="s">
        <v>165</v>
      </c>
      <c r="D15" s="4" t="s">
        <v>166</v>
      </c>
      <c r="E15" s="5">
        <v>32178</v>
      </c>
      <c r="F15" s="6">
        <v>108.37550400000001</v>
      </c>
      <c r="G15" s="7">
        <v>2.6692045000000001E-2</v>
      </c>
      <c r="H15" s="67"/>
    </row>
    <row r="16" spans="1:8" x14ac:dyDescent="0.2">
      <c r="A16" s="3">
        <v>10</v>
      </c>
      <c r="B16" s="4" t="s">
        <v>177</v>
      </c>
      <c r="C16" s="4" t="s">
        <v>178</v>
      </c>
      <c r="D16" s="4" t="s">
        <v>179</v>
      </c>
      <c r="E16" s="5">
        <v>42955</v>
      </c>
      <c r="F16" s="6">
        <v>102.877225</v>
      </c>
      <c r="G16" s="7">
        <v>2.5337861E-2</v>
      </c>
      <c r="H16" s="67"/>
    </row>
    <row r="17" spans="1:8" x14ac:dyDescent="0.2">
      <c r="A17" s="3">
        <v>11</v>
      </c>
      <c r="B17" s="4" t="s">
        <v>185</v>
      </c>
      <c r="C17" s="4" t="s">
        <v>186</v>
      </c>
      <c r="D17" s="4" t="s">
        <v>187</v>
      </c>
      <c r="E17" s="5">
        <v>21423</v>
      </c>
      <c r="F17" s="6">
        <v>102.7768425</v>
      </c>
      <c r="G17" s="7">
        <v>2.5313137999999999E-2</v>
      </c>
      <c r="H17" s="67"/>
    </row>
    <row r="18" spans="1:8" x14ac:dyDescent="0.2">
      <c r="A18" s="3">
        <v>12</v>
      </c>
      <c r="B18" s="4" t="s">
        <v>210</v>
      </c>
      <c r="C18" s="4" t="s">
        <v>211</v>
      </c>
      <c r="D18" s="4" t="s">
        <v>212</v>
      </c>
      <c r="E18" s="5">
        <v>40589</v>
      </c>
      <c r="F18" s="6">
        <v>101.756623</v>
      </c>
      <c r="G18" s="7">
        <v>2.5061865999999999E-2</v>
      </c>
      <c r="H18" s="67"/>
    </row>
    <row r="19" spans="1:8" x14ac:dyDescent="0.2">
      <c r="A19" s="3">
        <v>13</v>
      </c>
      <c r="B19" s="4" t="s">
        <v>174</v>
      </c>
      <c r="C19" s="4" t="s">
        <v>175</v>
      </c>
      <c r="D19" s="4" t="s">
        <v>55</v>
      </c>
      <c r="E19" s="5">
        <v>24349</v>
      </c>
      <c r="F19" s="6">
        <v>98.016899499999994</v>
      </c>
      <c r="G19" s="7">
        <v>2.4140801E-2</v>
      </c>
      <c r="H19" s="67"/>
    </row>
    <row r="20" spans="1:8" ht="25.5" x14ac:dyDescent="0.2">
      <c r="A20" s="3">
        <v>14</v>
      </c>
      <c r="B20" s="4" t="s">
        <v>202</v>
      </c>
      <c r="C20" s="4" t="s">
        <v>203</v>
      </c>
      <c r="D20" s="4" t="s">
        <v>52</v>
      </c>
      <c r="E20" s="5">
        <v>19076</v>
      </c>
      <c r="F20" s="6">
        <v>88.941850000000002</v>
      </c>
      <c r="G20" s="7">
        <v>2.1905687E-2</v>
      </c>
      <c r="H20" s="67"/>
    </row>
    <row r="21" spans="1:8" ht="25.5" x14ac:dyDescent="0.2">
      <c r="A21" s="3">
        <v>15</v>
      </c>
      <c r="B21" s="4" t="s">
        <v>30</v>
      </c>
      <c r="C21" s="4" t="s">
        <v>998</v>
      </c>
      <c r="D21" s="4" t="s">
        <v>992</v>
      </c>
      <c r="E21" s="5">
        <v>2641</v>
      </c>
      <c r="F21" s="6">
        <v>86.397673999999995</v>
      </c>
      <c r="G21" s="7">
        <v>2.1279076000000001E-2</v>
      </c>
      <c r="H21" s="67"/>
    </row>
    <row r="22" spans="1:8" ht="25.5" x14ac:dyDescent="0.2">
      <c r="A22" s="3">
        <v>16</v>
      </c>
      <c r="B22" s="4" t="s">
        <v>450</v>
      </c>
      <c r="C22" s="4" t="s">
        <v>451</v>
      </c>
      <c r="D22" s="4" t="s">
        <v>36</v>
      </c>
      <c r="E22" s="5">
        <v>5475</v>
      </c>
      <c r="F22" s="6">
        <v>79.477837500000007</v>
      </c>
      <c r="G22" s="7">
        <v>1.9574774E-2</v>
      </c>
      <c r="H22" s="67"/>
    </row>
    <row r="23" spans="1:8" ht="25.5" x14ac:dyDescent="0.2">
      <c r="A23" s="3">
        <v>17</v>
      </c>
      <c r="B23" s="4" t="s">
        <v>176</v>
      </c>
      <c r="C23" s="4" t="s">
        <v>995</v>
      </c>
      <c r="D23" s="4" t="s">
        <v>992</v>
      </c>
      <c r="E23" s="5">
        <v>29729</v>
      </c>
      <c r="F23" s="6">
        <v>78.662934000000007</v>
      </c>
      <c r="G23" s="7">
        <v>1.9374069000000001E-2</v>
      </c>
      <c r="H23" s="67"/>
    </row>
    <row r="24" spans="1:8" x14ac:dyDescent="0.2">
      <c r="A24" s="3">
        <v>18</v>
      </c>
      <c r="B24" s="4" t="s">
        <v>190</v>
      </c>
      <c r="C24" s="4" t="s">
        <v>191</v>
      </c>
      <c r="D24" s="4" t="s">
        <v>41</v>
      </c>
      <c r="E24" s="5">
        <v>18293</v>
      </c>
      <c r="F24" s="6">
        <v>75.312280999999999</v>
      </c>
      <c r="G24" s="7">
        <v>1.8548829999999999E-2</v>
      </c>
      <c r="H24" s="67"/>
    </row>
    <row r="25" spans="1:8" x14ac:dyDescent="0.2">
      <c r="A25" s="3">
        <v>19</v>
      </c>
      <c r="B25" s="4" t="s">
        <v>198</v>
      </c>
      <c r="C25" s="4" t="s">
        <v>199</v>
      </c>
      <c r="D25" s="4" t="s">
        <v>166</v>
      </c>
      <c r="E25" s="5">
        <v>7691</v>
      </c>
      <c r="F25" s="6">
        <v>75.175679500000001</v>
      </c>
      <c r="G25" s="7">
        <v>1.8515185999999999E-2</v>
      </c>
      <c r="H25" s="67"/>
    </row>
    <row r="26" spans="1:8" x14ac:dyDescent="0.2">
      <c r="A26" s="3">
        <v>20</v>
      </c>
      <c r="B26" s="4" t="s">
        <v>37</v>
      </c>
      <c r="C26" s="4" t="s">
        <v>38</v>
      </c>
      <c r="D26" s="4" t="s">
        <v>27</v>
      </c>
      <c r="E26" s="5">
        <v>6141</v>
      </c>
      <c r="F26" s="6">
        <v>73.136239500000002</v>
      </c>
      <c r="G26" s="7">
        <v>1.8012888000000001E-2</v>
      </c>
      <c r="H26" s="67"/>
    </row>
    <row r="27" spans="1:8" x14ac:dyDescent="0.2">
      <c r="A27" s="3">
        <v>21</v>
      </c>
      <c r="B27" s="4" t="s">
        <v>194</v>
      </c>
      <c r="C27" s="4" t="s">
        <v>195</v>
      </c>
      <c r="D27" s="4" t="s">
        <v>55</v>
      </c>
      <c r="E27" s="5">
        <v>7179</v>
      </c>
      <c r="F27" s="6">
        <v>69.191202000000004</v>
      </c>
      <c r="G27" s="7">
        <v>1.7041255000000002E-2</v>
      </c>
      <c r="H27" s="67"/>
    </row>
    <row r="28" spans="1:8" x14ac:dyDescent="0.2">
      <c r="A28" s="3">
        <v>22</v>
      </c>
      <c r="B28" s="4" t="s">
        <v>77</v>
      </c>
      <c r="C28" s="4" t="s">
        <v>78</v>
      </c>
      <c r="D28" s="4" t="s">
        <v>69</v>
      </c>
      <c r="E28" s="5">
        <v>19628</v>
      </c>
      <c r="F28" s="6">
        <v>65.645846000000006</v>
      </c>
      <c r="G28" s="7">
        <v>1.6168062E-2</v>
      </c>
      <c r="H28" s="67"/>
    </row>
    <row r="29" spans="1:8" x14ac:dyDescent="0.2">
      <c r="A29" s="3">
        <v>23</v>
      </c>
      <c r="B29" s="4" t="s">
        <v>63</v>
      </c>
      <c r="C29" s="4" t="s">
        <v>64</v>
      </c>
      <c r="D29" s="4" t="s">
        <v>55</v>
      </c>
      <c r="E29" s="5">
        <v>25339</v>
      </c>
      <c r="F29" s="6">
        <v>65.628010000000003</v>
      </c>
      <c r="G29" s="7">
        <v>1.6163668999999999E-2</v>
      </c>
      <c r="H29" s="67"/>
    </row>
    <row r="30" spans="1:8" x14ac:dyDescent="0.2">
      <c r="A30" s="3">
        <v>24</v>
      </c>
      <c r="B30" s="4" t="s">
        <v>196</v>
      </c>
      <c r="C30" s="4" t="s">
        <v>197</v>
      </c>
      <c r="D30" s="4" t="s">
        <v>1004</v>
      </c>
      <c r="E30" s="5">
        <v>21095</v>
      </c>
      <c r="F30" s="6">
        <v>65.236287500000003</v>
      </c>
      <c r="G30" s="7">
        <v>1.6067191000000001E-2</v>
      </c>
      <c r="H30" s="67"/>
    </row>
    <row r="31" spans="1:8" x14ac:dyDescent="0.2">
      <c r="A31" s="3">
        <v>25</v>
      </c>
      <c r="B31" s="4" t="s">
        <v>192</v>
      </c>
      <c r="C31" s="4" t="s">
        <v>193</v>
      </c>
      <c r="D31" s="4" t="s">
        <v>81</v>
      </c>
      <c r="E31" s="5">
        <v>11263</v>
      </c>
      <c r="F31" s="6">
        <v>64.272309500000006</v>
      </c>
      <c r="G31" s="7">
        <v>1.582977E-2</v>
      </c>
      <c r="H31" s="67"/>
    </row>
    <row r="32" spans="1:8" x14ac:dyDescent="0.2">
      <c r="A32" s="3">
        <v>26</v>
      </c>
      <c r="B32" s="4" t="s">
        <v>204</v>
      </c>
      <c r="C32" s="4" t="s">
        <v>205</v>
      </c>
      <c r="D32" s="4" t="s">
        <v>27</v>
      </c>
      <c r="E32" s="5">
        <v>3769</v>
      </c>
      <c r="F32" s="6">
        <v>62.589898499999997</v>
      </c>
      <c r="G32" s="7">
        <v>1.5415406E-2</v>
      </c>
      <c r="H32" s="67"/>
    </row>
    <row r="33" spans="1:8" x14ac:dyDescent="0.2">
      <c r="A33" s="3">
        <v>27</v>
      </c>
      <c r="B33" s="4" t="s">
        <v>53</v>
      </c>
      <c r="C33" s="4" t="s">
        <v>54</v>
      </c>
      <c r="D33" s="4" t="s">
        <v>55</v>
      </c>
      <c r="E33" s="5">
        <v>2133</v>
      </c>
      <c r="F33" s="6">
        <v>61.748216999999997</v>
      </c>
      <c r="G33" s="7">
        <v>1.5208106000000001E-2</v>
      </c>
      <c r="H33" s="67"/>
    </row>
    <row r="34" spans="1:8" x14ac:dyDescent="0.2">
      <c r="A34" s="3">
        <v>28</v>
      </c>
      <c r="B34" s="4" t="s">
        <v>85</v>
      </c>
      <c r="C34" s="4" t="s">
        <v>86</v>
      </c>
      <c r="D34" s="4" t="s">
        <v>1000</v>
      </c>
      <c r="E34" s="5">
        <v>38950</v>
      </c>
      <c r="F34" s="6">
        <v>59.3598</v>
      </c>
      <c r="G34" s="7">
        <v>1.4619857999999999E-2</v>
      </c>
      <c r="H34" s="67"/>
    </row>
    <row r="35" spans="1:8" ht="25.5" x14ac:dyDescent="0.2">
      <c r="A35" s="3">
        <v>29</v>
      </c>
      <c r="B35" s="4" t="s">
        <v>221</v>
      </c>
      <c r="C35" s="4" t="s">
        <v>222</v>
      </c>
      <c r="D35" s="4" t="s">
        <v>36</v>
      </c>
      <c r="E35" s="5">
        <v>67085</v>
      </c>
      <c r="F35" s="6">
        <v>57.626015000000002</v>
      </c>
      <c r="G35" s="7">
        <v>1.419284E-2</v>
      </c>
      <c r="H35" s="67"/>
    </row>
    <row r="36" spans="1:8" x14ac:dyDescent="0.2">
      <c r="A36" s="3">
        <v>30</v>
      </c>
      <c r="B36" s="4" t="s">
        <v>215</v>
      </c>
      <c r="C36" s="4" t="s">
        <v>216</v>
      </c>
      <c r="D36" s="4" t="s">
        <v>69</v>
      </c>
      <c r="E36" s="5">
        <v>55673</v>
      </c>
      <c r="F36" s="6">
        <v>55.645163500000002</v>
      </c>
      <c r="G36" s="7">
        <v>1.3704971E-2</v>
      </c>
      <c r="H36" s="67"/>
    </row>
    <row r="37" spans="1:8" x14ac:dyDescent="0.2">
      <c r="A37" s="3">
        <v>31</v>
      </c>
      <c r="B37" s="4" t="s">
        <v>213</v>
      </c>
      <c r="C37" s="4" t="s">
        <v>214</v>
      </c>
      <c r="D37" s="4" t="s">
        <v>81</v>
      </c>
      <c r="E37" s="5">
        <v>9689</v>
      </c>
      <c r="F37" s="6">
        <v>55.319345499999997</v>
      </c>
      <c r="G37" s="7">
        <v>1.3624725000000001E-2</v>
      </c>
      <c r="H37" s="67"/>
    </row>
    <row r="38" spans="1:8" x14ac:dyDescent="0.2">
      <c r="A38" s="3">
        <v>32</v>
      </c>
      <c r="B38" s="4" t="s">
        <v>247</v>
      </c>
      <c r="C38" s="4" t="s">
        <v>248</v>
      </c>
      <c r="D38" s="4" t="s">
        <v>1001</v>
      </c>
      <c r="E38" s="5">
        <v>9270</v>
      </c>
      <c r="F38" s="6">
        <v>51.035984999999997</v>
      </c>
      <c r="G38" s="7">
        <v>1.2569767000000001E-2</v>
      </c>
      <c r="H38" s="67"/>
    </row>
    <row r="39" spans="1:8" x14ac:dyDescent="0.2">
      <c r="A39" s="3">
        <v>33</v>
      </c>
      <c r="B39" s="4" t="s">
        <v>182</v>
      </c>
      <c r="C39" s="4" t="s">
        <v>183</v>
      </c>
      <c r="D39" s="4" t="s">
        <v>184</v>
      </c>
      <c r="E39" s="5">
        <v>5085</v>
      </c>
      <c r="F39" s="6">
        <v>50.140642499999998</v>
      </c>
      <c r="G39" s="7">
        <v>1.2349251E-2</v>
      </c>
      <c r="H39" s="67"/>
    </row>
    <row r="40" spans="1:8" x14ac:dyDescent="0.2">
      <c r="A40" s="3">
        <v>34</v>
      </c>
      <c r="B40" s="4" t="s">
        <v>262</v>
      </c>
      <c r="C40" s="4" t="s">
        <v>263</v>
      </c>
      <c r="D40" s="4" t="s">
        <v>171</v>
      </c>
      <c r="E40" s="5">
        <v>7210</v>
      </c>
      <c r="F40" s="6">
        <v>48.862169999999999</v>
      </c>
      <c r="G40" s="7">
        <v>1.2034372999999999E-2</v>
      </c>
      <c r="H40" s="67"/>
    </row>
    <row r="41" spans="1:8" ht="25.5" x14ac:dyDescent="0.2">
      <c r="A41" s="3">
        <v>35</v>
      </c>
      <c r="B41" s="4" t="s">
        <v>238</v>
      </c>
      <c r="C41" s="4" t="s">
        <v>239</v>
      </c>
      <c r="D41" s="4" t="s">
        <v>1006</v>
      </c>
      <c r="E41" s="5">
        <v>47409</v>
      </c>
      <c r="F41" s="6">
        <v>48.736452</v>
      </c>
      <c r="G41" s="7">
        <v>1.2003409E-2</v>
      </c>
      <c r="H41" s="67"/>
    </row>
    <row r="42" spans="1:8" ht="25.5" x14ac:dyDescent="0.2">
      <c r="A42" s="3">
        <v>36</v>
      </c>
      <c r="B42" s="4" t="s">
        <v>217</v>
      </c>
      <c r="C42" s="4" t="s">
        <v>218</v>
      </c>
      <c r="D42" s="4" t="s">
        <v>55</v>
      </c>
      <c r="E42" s="5">
        <v>2210</v>
      </c>
      <c r="F42" s="6">
        <v>48.481875000000002</v>
      </c>
      <c r="G42" s="7">
        <v>1.1940709000000001E-2</v>
      </c>
      <c r="H42" s="67"/>
    </row>
    <row r="43" spans="1:8" x14ac:dyDescent="0.2">
      <c r="A43" s="3">
        <v>37</v>
      </c>
      <c r="B43" s="4" t="s">
        <v>200</v>
      </c>
      <c r="C43" s="4" t="s">
        <v>201</v>
      </c>
      <c r="D43" s="4" t="s">
        <v>49</v>
      </c>
      <c r="E43" s="5">
        <v>19005</v>
      </c>
      <c r="F43" s="6">
        <v>46.286677500000003</v>
      </c>
      <c r="G43" s="7">
        <v>1.1400049000000001E-2</v>
      </c>
      <c r="H43" s="67"/>
    </row>
    <row r="44" spans="1:8" ht="25.5" x14ac:dyDescent="0.2">
      <c r="A44" s="3">
        <v>38</v>
      </c>
      <c r="B44" s="4" t="s">
        <v>230</v>
      </c>
      <c r="C44" s="4" t="s">
        <v>231</v>
      </c>
      <c r="D44" s="4" t="s">
        <v>52</v>
      </c>
      <c r="E44" s="5">
        <v>11256</v>
      </c>
      <c r="F44" s="6">
        <v>45.344796000000002</v>
      </c>
      <c r="G44" s="7">
        <v>1.1168071E-2</v>
      </c>
      <c r="H44" s="67"/>
    </row>
    <row r="45" spans="1:8" ht="25.5" x14ac:dyDescent="0.2">
      <c r="A45" s="3">
        <v>39</v>
      </c>
      <c r="B45" s="4" t="s">
        <v>65</v>
      </c>
      <c r="C45" s="4" t="s">
        <v>66</v>
      </c>
      <c r="D45" s="4" t="s">
        <v>36</v>
      </c>
      <c r="E45" s="5">
        <v>6214</v>
      </c>
      <c r="F45" s="6">
        <v>45.247241000000002</v>
      </c>
      <c r="G45" s="7">
        <v>1.1144044000000001E-2</v>
      </c>
      <c r="H45" s="67"/>
    </row>
    <row r="46" spans="1:8" x14ac:dyDescent="0.2">
      <c r="A46" s="3">
        <v>40</v>
      </c>
      <c r="B46" s="4" t="s">
        <v>227</v>
      </c>
      <c r="C46" s="4" t="s">
        <v>228</v>
      </c>
      <c r="D46" s="4" t="s">
        <v>229</v>
      </c>
      <c r="E46" s="5">
        <v>9440</v>
      </c>
      <c r="F46" s="6">
        <v>45.179839999999999</v>
      </c>
      <c r="G46" s="7">
        <v>1.1127444E-2</v>
      </c>
      <c r="H46" s="67"/>
    </row>
    <row r="47" spans="1:8" x14ac:dyDescent="0.2">
      <c r="A47" s="3">
        <v>41</v>
      </c>
      <c r="B47" s="4" t="s">
        <v>290</v>
      </c>
      <c r="C47" s="4" t="s">
        <v>291</v>
      </c>
      <c r="D47" s="4" t="s">
        <v>27</v>
      </c>
      <c r="E47" s="5">
        <v>3789</v>
      </c>
      <c r="F47" s="6">
        <v>44.8788105</v>
      </c>
      <c r="G47" s="7">
        <v>1.1053301999999999E-2</v>
      </c>
      <c r="H47" s="67"/>
    </row>
    <row r="48" spans="1:8" x14ac:dyDescent="0.2">
      <c r="A48" s="3">
        <v>42</v>
      </c>
      <c r="B48" s="4" t="s">
        <v>225</v>
      </c>
      <c r="C48" s="4" t="s">
        <v>226</v>
      </c>
      <c r="D48" s="4" t="s">
        <v>166</v>
      </c>
      <c r="E48" s="5">
        <v>3077</v>
      </c>
      <c r="F48" s="6">
        <v>43.930329</v>
      </c>
      <c r="G48" s="7">
        <v>1.0819699E-2</v>
      </c>
      <c r="H48" s="67"/>
    </row>
    <row r="49" spans="1:8" ht="25.5" x14ac:dyDescent="0.2">
      <c r="A49" s="3">
        <v>43</v>
      </c>
      <c r="B49" s="4" t="s">
        <v>240</v>
      </c>
      <c r="C49" s="4" t="s">
        <v>241</v>
      </c>
      <c r="D49" s="4" t="s">
        <v>52</v>
      </c>
      <c r="E49" s="5">
        <v>10229</v>
      </c>
      <c r="F49" s="6">
        <v>41.299587500000001</v>
      </c>
      <c r="G49" s="7">
        <v>1.0171767999999999E-2</v>
      </c>
      <c r="H49" s="67"/>
    </row>
    <row r="50" spans="1:8" x14ac:dyDescent="0.2">
      <c r="A50" s="3">
        <v>44</v>
      </c>
      <c r="B50" s="4" t="s">
        <v>275</v>
      </c>
      <c r="C50" s="4" t="s">
        <v>276</v>
      </c>
      <c r="D50" s="4" t="s">
        <v>1001</v>
      </c>
      <c r="E50" s="5">
        <v>33289</v>
      </c>
      <c r="F50" s="6">
        <v>40.795669500000002</v>
      </c>
      <c r="G50" s="7">
        <v>1.0047656E-2</v>
      </c>
      <c r="H50" s="67"/>
    </row>
    <row r="51" spans="1:8" x14ac:dyDescent="0.2">
      <c r="A51" s="3">
        <v>45</v>
      </c>
      <c r="B51" s="4" t="s">
        <v>270</v>
      </c>
      <c r="C51" s="4" t="s">
        <v>271</v>
      </c>
      <c r="D51" s="4" t="s">
        <v>272</v>
      </c>
      <c r="E51" s="5">
        <v>17355</v>
      </c>
      <c r="F51" s="6">
        <v>39.439237499999997</v>
      </c>
      <c r="G51" s="7">
        <v>9.7135780000000005E-3</v>
      </c>
      <c r="H51" s="67"/>
    </row>
    <row r="52" spans="1:8" x14ac:dyDescent="0.2">
      <c r="A52" s="3">
        <v>46</v>
      </c>
      <c r="B52" s="4" t="s">
        <v>268</v>
      </c>
      <c r="C52" s="4" t="s">
        <v>269</v>
      </c>
      <c r="D52" s="4" t="s">
        <v>24</v>
      </c>
      <c r="E52" s="5">
        <v>41278</v>
      </c>
      <c r="F52" s="6">
        <v>38.037677000000002</v>
      </c>
      <c r="G52" s="7">
        <v>9.3683840000000004E-3</v>
      </c>
      <c r="H52" s="67"/>
    </row>
    <row r="53" spans="1:8" x14ac:dyDescent="0.2">
      <c r="A53" s="3">
        <v>47</v>
      </c>
      <c r="B53" s="4" t="s">
        <v>259</v>
      </c>
      <c r="C53" s="4" t="s">
        <v>260</v>
      </c>
      <c r="D53" s="4" t="s">
        <v>261</v>
      </c>
      <c r="E53" s="5">
        <v>4967</v>
      </c>
      <c r="F53" s="6">
        <v>36.817887499999998</v>
      </c>
      <c r="G53" s="7">
        <v>9.0679599999999999E-3</v>
      </c>
      <c r="H53" s="67"/>
    </row>
    <row r="54" spans="1:8" x14ac:dyDescent="0.2">
      <c r="A54" s="3">
        <v>48</v>
      </c>
      <c r="B54" s="4" t="s">
        <v>253</v>
      </c>
      <c r="C54" s="4" t="s">
        <v>254</v>
      </c>
      <c r="D54" s="4" t="s">
        <v>49</v>
      </c>
      <c r="E54" s="5">
        <v>3459</v>
      </c>
      <c r="F54" s="6">
        <v>36.457859999999997</v>
      </c>
      <c r="G54" s="7">
        <v>8.9792880000000002E-3</v>
      </c>
      <c r="H54" s="67"/>
    </row>
    <row r="55" spans="1:8" x14ac:dyDescent="0.2">
      <c r="A55" s="3">
        <v>49</v>
      </c>
      <c r="B55" s="4" t="s">
        <v>236</v>
      </c>
      <c r="C55" s="4" t="s">
        <v>237</v>
      </c>
      <c r="D55" s="4" t="s">
        <v>1000</v>
      </c>
      <c r="E55" s="5">
        <v>2822</v>
      </c>
      <c r="F55" s="6">
        <v>35.763205999999997</v>
      </c>
      <c r="G55" s="7">
        <v>8.8082000000000004E-3</v>
      </c>
      <c r="H55" s="67"/>
    </row>
    <row r="56" spans="1:8" x14ac:dyDescent="0.2">
      <c r="A56" s="3">
        <v>50</v>
      </c>
      <c r="B56" s="4" t="s">
        <v>172</v>
      </c>
      <c r="C56" s="4" t="s">
        <v>173</v>
      </c>
      <c r="D56" s="4" t="s">
        <v>331</v>
      </c>
      <c r="E56" s="5">
        <v>3741</v>
      </c>
      <c r="F56" s="6">
        <v>35.668564500000002</v>
      </c>
      <c r="G56" s="7">
        <v>8.7848900000000001E-3</v>
      </c>
      <c r="H56" s="67"/>
    </row>
    <row r="57" spans="1:8" x14ac:dyDescent="0.2">
      <c r="A57" s="3">
        <v>51</v>
      </c>
      <c r="B57" s="4" t="s">
        <v>243</v>
      </c>
      <c r="C57" s="4" t="s">
        <v>244</v>
      </c>
      <c r="D57" s="4" t="s">
        <v>171</v>
      </c>
      <c r="E57" s="5">
        <v>9613</v>
      </c>
      <c r="F57" s="6">
        <v>34.847124999999998</v>
      </c>
      <c r="G57" s="7">
        <v>8.5825759999999997E-3</v>
      </c>
      <c r="H57" s="67"/>
    </row>
    <row r="58" spans="1:8" x14ac:dyDescent="0.2">
      <c r="A58" s="3">
        <v>52</v>
      </c>
      <c r="B58" s="4" t="s">
        <v>462</v>
      </c>
      <c r="C58" s="4" t="s">
        <v>463</v>
      </c>
      <c r="D58" s="4" t="s">
        <v>1003</v>
      </c>
      <c r="E58" s="5">
        <v>36674</v>
      </c>
      <c r="F58" s="6">
        <v>34.271853</v>
      </c>
      <c r="G58" s="7">
        <v>8.4408910000000007E-3</v>
      </c>
      <c r="H58" s="67"/>
    </row>
    <row r="59" spans="1:8" x14ac:dyDescent="0.2">
      <c r="A59" s="3">
        <v>53</v>
      </c>
      <c r="B59" s="4" t="s">
        <v>257</v>
      </c>
      <c r="C59" s="4" t="s">
        <v>258</v>
      </c>
      <c r="D59" s="4" t="s">
        <v>1001</v>
      </c>
      <c r="E59" s="5">
        <v>26235</v>
      </c>
      <c r="F59" s="6">
        <v>32.819985000000003</v>
      </c>
      <c r="G59" s="7">
        <v>8.0833069999999996E-3</v>
      </c>
      <c r="H59" s="67"/>
    </row>
    <row r="60" spans="1:8" x14ac:dyDescent="0.2">
      <c r="A60" s="3">
        <v>54</v>
      </c>
      <c r="B60" s="4" t="s">
        <v>255</v>
      </c>
      <c r="C60" s="4" t="s">
        <v>256</v>
      </c>
      <c r="D60" s="4" t="s">
        <v>331</v>
      </c>
      <c r="E60" s="5">
        <v>2079</v>
      </c>
      <c r="F60" s="6">
        <v>30.945914999999999</v>
      </c>
      <c r="G60" s="7">
        <v>7.6217380000000003E-3</v>
      </c>
      <c r="H60" s="67"/>
    </row>
    <row r="61" spans="1:8" x14ac:dyDescent="0.2">
      <c r="A61" s="3">
        <v>55</v>
      </c>
      <c r="B61" s="4" t="s">
        <v>281</v>
      </c>
      <c r="C61" s="4" t="s">
        <v>282</v>
      </c>
      <c r="D61" s="4" t="s">
        <v>55</v>
      </c>
      <c r="E61" s="5">
        <v>19014</v>
      </c>
      <c r="F61" s="6">
        <v>30.831201</v>
      </c>
      <c r="G61" s="7">
        <v>7.5934849999999996E-3</v>
      </c>
      <c r="H61" s="67"/>
    </row>
    <row r="62" spans="1:8" x14ac:dyDescent="0.2">
      <c r="A62" s="3">
        <v>56</v>
      </c>
      <c r="B62" s="4" t="s">
        <v>273</v>
      </c>
      <c r="C62" s="4" t="s">
        <v>274</v>
      </c>
      <c r="D62" s="4" t="s">
        <v>187</v>
      </c>
      <c r="E62" s="5">
        <v>513</v>
      </c>
      <c r="F62" s="6">
        <v>27.904122000000001</v>
      </c>
      <c r="G62" s="7">
        <v>6.8725679999999999E-3</v>
      </c>
      <c r="H62" s="67"/>
    </row>
    <row r="63" spans="1:8" x14ac:dyDescent="0.2">
      <c r="A63" s="3">
        <v>57</v>
      </c>
      <c r="B63" s="4" t="s">
        <v>67</v>
      </c>
      <c r="C63" s="4" t="s">
        <v>68</v>
      </c>
      <c r="D63" s="4" t="s">
        <v>69</v>
      </c>
      <c r="E63" s="5">
        <v>17008</v>
      </c>
      <c r="F63" s="6">
        <v>25.367432000000001</v>
      </c>
      <c r="G63" s="7">
        <v>6.2478009999999999E-3</v>
      </c>
      <c r="H63" s="67"/>
    </row>
    <row r="64" spans="1:8" x14ac:dyDescent="0.2">
      <c r="A64" s="3">
        <v>58</v>
      </c>
      <c r="B64" s="4" t="s">
        <v>245</v>
      </c>
      <c r="C64" s="4" t="s">
        <v>246</v>
      </c>
      <c r="D64" s="4" t="s">
        <v>81</v>
      </c>
      <c r="E64" s="5">
        <v>47615</v>
      </c>
      <c r="F64" s="6">
        <v>23.926537499999998</v>
      </c>
      <c r="G64" s="7">
        <v>5.8929200000000003E-3</v>
      </c>
      <c r="H64" s="67"/>
    </row>
    <row r="65" spans="1:8" x14ac:dyDescent="0.2">
      <c r="A65" s="3">
        <v>59</v>
      </c>
      <c r="B65" s="4" t="s">
        <v>285</v>
      </c>
      <c r="C65" s="4" t="s">
        <v>286</v>
      </c>
      <c r="D65" s="4" t="s">
        <v>153</v>
      </c>
      <c r="E65" s="5">
        <v>1858</v>
      </c>
      <c r="F65" s="6">
        <v>23.846501</v>
      </c>
      <c r="G65" s="7">
        <v>5.8732080000000004E-3</v>
      </c>
      <c r="H65" s="67"/>
    </row>
    <row r="66" spans="1:8" ht="25.5" x14ac:dyDescent="0.2">
      <c r="A66" s="3">
        <v>60</v>
      </c>
      <c r="B66" s="4" t="s">
        <v>251</v>
      </c>
      <c r="C66" s="4" t="s">
        <v>252</v>
      </c>
      <c r="D66" s="4" t="s">
        <v>992</v>
      </c>
      <c r="E66" s="5">
        <v>10702</v>
      </c>
      <c r="F66" s="6">
        <v>17.508472000000001</v>
      </c>
      <c r="G66" s="7">
        <v>4.3122009999999999E-3</v>
      </c>
      <c r="H66" s="67"/>
    </row>
    <row r="67" spans="1:8" x14ac:dyDescent="0.2">
      <c r="A67" s="3">
        <v>61</v>
      </c>
      <c r="B67" s="4" t="s">
        <v>283</v>
      </c>
      <c r="C67" s="4" t="s">
        <v>284</v>
      </c>
      <c r="D67" s="4" t="s">
        <v>166</v>
      </c>
      <c r="E67" s="5">
        <v>3644</v>
      </c>
      <c r="F67" s="6">
        <v>16.509142000000001</v>
      </c>
      <c r="G67" s="7">
        <v>4.0660729999999999E-3</v>
      </c>
      <c r="H67" s="67"/>
    </row>
    <row r="68" spans="1:8" x14ac:dyDescent="0.2">
      <c r="A68" s="3">
        <v>62</v>
      </c>
      <c r="B68" s="4" t="s">
        <v>287</v>
      </c>
      <c r="C68" s="4" t="s">
        <v>288</v>
      </c>
      <c r="D68" s="4" t="s">
        <v>1001</v>
      </c>
      <c r="E68" s="5">
        <v>1021</v>
      </c>
      <c r="F68" s="6">
        <v>4.5950104999999999</v>
      </c>
      <c r="G68" s="7">
        <v>1.1317149999999999E-3</v>
      </c>
      <c r="H68" s="67"/>
    </row>
    <row r="69" spans="1:8" x14ac:dyDescent="0.2">
      <c r="A69" s="3">
        <v>63</v>
      </c>
      <c r="B69" s="4" t="s">
        <v>277</v>
      </c>
      <c r="C69" s="4" t="s">
        <v>278</v>
      </c>
      <c r="D69" s="4" t="s">
        <v>187</v>
      </c>
      <c r="E69" s="5">
        <v>800</v>
      </c>
      <c r="F69" s="6">
        <v>3.1272000000000002</v>
      </c>
      <c r="G69" s="7">
        <v>7.7020500000000004E-4</v>
      </c>
      <c r="H69" s="67"/>
    </row>
    <row r="70" spans="1:8" x14ac:dyDescent="0.2">
      <c r="A70" s="1"/>
      <c r="B70" s="1"/>
      <c r="C70" s="2" t="s">
        <v>105</v>
      </c>
      <c r="D70" s="1"/>
      <c r="E70" s="1" t="s">
        <v>106</v>
      </c>
      <c r="F70" s="9">
        <v>3895.8515739999998</v>
      </c>
      <c r="G70" s="10">
        <v>0.95951797400000005</v>
      </c>
      <c r="H70" s="67"/>
    </row>
    <row r="71" spans="1:8" x14ac:dyDescent="0.2">
      <c r="A71" s="1"/>
      <c r="B71" s="1"/>
      <c r="C71" s="11"/>
      <c r="D71" s="1"/>
      <c r="E71" s="1"/>
      <c r="F71" s="12"/>
      <c r="G71" s="12"/>
      <c r="H71" s="67"/>
    </row>
    <row r="72" spans="1:8" x14ac:dyDescent="0.2">
      <c r="A72" s="1"/>
      <c r="B72" s="1"/>
      <c r="C72" s="2" t="s">
        <v>107</v>
      </c>
      <c r="D72" s="1"/>
      <c r="E72" s="1"/>
      <c r="F72" s="1"/>
      <c r="G72" s="1"/>
      <c r="H72" s="67"/>
    </row>
    <row r="73" spans="1:8" x14ac:dyDescent="0.2">
      <c r="A73" s="1"/>
      <c r="B73" s="1"/>
      <c r="C73" s="2" t="s">
        <v>105</v>
      </c>
      <c r="D73" s="1"/>
      <c r="E73" s="1" t="s">
        <v>106</v>
      </c>
      <c r="F73" s="13">
        <v>0</v>
      </c>
      <c r="G73" s="14">
        <v>0</v>
      </c>
      <c r="H73" s="67"/>
    </row>
    <row r="74" spans="1:8" x14ac:dyDescent="0.2">
      <c r="A74" s="1"/>
      <c r="B74" s="1"/>
      <c r="C74" s="11"/>
      <c r="D74" s="1"/>
      <c r="E74" s="1"/>
      <c r="F74" s="12"/>
      <c r="G74" s="12"/>
      <c r="H74" s="67"/>
    </row>
    <row r="75" spans="1:8" x14ac:dyDescent="0.2">
      <c r="A75" s="1"/>
      <c r="B75" s="1"/>
      <c r="C75" s="2" t="s">
        <v>108</v>
      </c>
      <c r="D75" s="1"/>
      <c r="E75" s="1"/>
      <c r="F75" s="1"/>
      <c r="G75" s="1"/>
      <c r="H75" s="67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">
        <v>0</v>
      </c>
      <c r="H76" s="67"/>
    </row>
    <row r="77" spans="1:8" x14ac:dyDescent="0.2">
      <c r="A77" s="1"/>
      <c r="B77" s="1"/>
      <c r="C77" s="11"/>
      <c r="D77" s="1"/>
      <c r="E77" s="1"/>
      <c r="F77" s="12"/>
      <c r="G77" s="12"/>
      <c r="H77" s="67"/>
    </row>
    <row r="78" spans="1:8" x14ac:dyDescent="0.2">
      <c r="A78" s="1"/>
      <c r="B78" s="1"/>
      <c r="C78" s="2" t="s">
        <v>109</v>
      </c>
      <c r="D78" s="1"/>
      <c r="E78" s="1"/>
      <c r="F78" s="1"/>
      <c r="G78" s="1"/>
      <c r="H78" s="67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">
        <v>0</v>
      </c>
      <c r="H79" s="67"/>
    </row>
    <row r="80" spans="1:8" x14ac:dyDescent="0.2">
      <c r="A80" s="1"/>
      <c r="B80" s="1"/>
      <c r="C80" s="11"/>
      <c r="D80" s="1"/>
      <c r="E80" s="1"/>
      <c r="F80" s="12"/>
      <c r="G80" s="12"/>
      <c r="H80" s="67"/>
    </row>
    <row r="81" spans="1:8" x14ac:dyDescent="0.2">
      <c r="A81" s="1"/>
      <c r="B81" s="1"/>
      <c r="C81" s="2" t="s">
        <v>110</v>
      </c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">
        <v>0</v>
      </c>
      <c r="H82" s="67"/>
    </row>
    <row r="83" spans="1:8" x14ac:dyDescent="0.2">
      <c r="A83" s="1"/>
      <c r="B83" s="1"/>
      <c r="C83" s="11"/>
      <c r="D83" s="1"/>
      <c r="E83" s="1"/>
      <c r="F83" s="12"/>
      <c r="G83" s="12"/>
      <c r="H83" s="67"/>
    </row>
    <row r="84" spans="1:8" x14ac:dyDescent="0.2">
      <c r="A84" s="1"/>
      <c r="B84" s="1"/>
      <c r="C84" s="2" t="s">
        <v>111</v>
      </c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7"/>
    </row>
    <row r="86" spans="1:8" x14ac:dyDescent="0.2">
      <c r="A86" s="1"/>
      <c r="B86" s="1"/>
      <c r="C86" s="11"/>
      <c r="D86" s="1"/>
      <c r="E86" s="1"/>
      <c r="F86" s="12"/>
      <c r="G86" s="12"/>
      <c r="H86" s="67"/>
    </row>
    <row r="87" spans="1:8" x14ac:dyDescent="0.2">
      <c r="A87" s="1"/>
      <c r="B87" s="1"/>
      <c r="C87" s="2" t="s">
        <v>112</v>
      </c>
      <c r="D87" s="1"/>
      <c r="E87" s="1"/>
      <c r="F87" s="9">
        <v>3895.8515739999998</v>
      </c>
      <c r="G87" s="10">
        <v>0.95951797400000005</v>
      </c>
      <c r="H87" s="67"/>
    </row>
    <row r="88" spans="1:8" x14ac:dyDescent="0.2">
      <c r="A88" s="1"/>
      <c r="B88" s="1"/>
      <c r="C88" s="11"/>
      <c r="D88" s="1"/>
      <c r="E88" s="1"/>
      <c r="F88" s="12"/>
      <c r="G88" s="12"/>
      <c r="H88" s="67"/>
    </row>
    <row r="89" spans="1:8" x14ac:dyDescent="0.2">
      <c r="A89" s="1"/>
      <c r="B89" s="1"/>
      <c r="C89" s="2" t="s">
        <v>113</v>
      </c>
      <c r="D89" s="1"/>
      <c r="E89" s="1"/>
      <c r="F89" s="12"/>
      <c r="G89" s="12"/>
      <c r="H89" s="67"/>
    </row>
    <row r="90" spans="1:8" ht="25.5" x14ac:dyDescent="0.2">
      <c r="A90" s="1"/>
      <c r="B90" s="1"/>
      <c r="C90" s="2" t="s">
        <v>10</v>
      </c>
      <c r="D90" s="1"/>
      <c r="E90" s="1"/>
      <c r="F90" s="12"/>
      <c r="G90" s="12"/>
      <c r="H90" s="67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">
        <v>0</v>
      </c>
      <c r="H91" s="67"/>
    </row>
    <row r="92" spans="1:8" x14ac:dyDescent="0.2">
      <c r="A92" s="1"/>
      <c r="B92" s="1"/>
      <c r="C92" s="11"/>
      <c r="D92" s="1"/>
      <c r="E92" s="1"/>
      <c r="F92" s="12"/>
      <c r="G92" s="12"/>
      <c r="H92" s="67"/>
    </row>
    <row r="93" spans="1:8" x14ac:dyDescent="0.2">
      <c r="A93" s="1"/>
      <c r="B93" s="1"/>
      <c r="C93" s="2" t="s">
        <v>114</v>
      </c>
      <c r="D93" s="1"/>
      <c r="E93" s="1"/>
      <c r="F93" s="1"/>
      <c r="G93" s="1"/>
      <c r="H93" s="67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">
        <v>0</v>
      </c>
      <c r="H94" s="67"/>
    </row>
    <row r="95" spans="1:8" x14ac:dyDescent="0.2">
      <c r="A95" s="1"/>
      <c r="B95" s="1"/>
      <c r="C95" s="11"/>
      <c r="D95" s="1"/>
      <c r="E95" s="1"/>
      <c r="F95" s="12"/>
      <c r="G95" s="12"/>
      <c r="H95" s="67"/>
    </row>
    <row r="96" spans="1:8" x14ac:dyDescent="0.2">
      <c r="A96" s="1"/>
      <c r="B96" s="1"/>
      <c r="C96" s="2" t="s">
        <v>115</v>
      </c>
      <c r="D96" s="1"/>
      <c r="E96" s="1"/>
      <c r="F96" s="1"/>
      <c r="G96" s="1"/>
      <c r="H96" s="67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">
        <v>0</v>
      </c>
      <c r="H97" s="67"/>
    </row>
    <row r="98" spans="1:8" x14ac:dyDescent="0.2">
      <c r="A98" s="1"/>
      <c r="B98" s="1"/>
      <c r="C98" s="11"/>
      <c r="D98" s="1"/>
      <c r="E98" s="1"/>
      <c r="F98" s="12"/>
      <c r="G98" s="12"/>
      <c r="H98" s="67"/>
    </row>
    <row r="99" spans="1:8" x14ac:dyDescent="0.2">
      <c r="A99" s="1"/>
      <c r="B99" s="1"/>
      <c r="C99" s="2" t="s">
        <v>116</v>
      </c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7"/>
    </row>
    <row r="101" spans="1:8" x14ac:dyDescent="0.2">
      <c r="A101" s="1"/>
      <c r="B101" s="1"/>
      <c r="C101" s="11"/>
      <c r="D101" s="1"/>
      <c r="E101" s="1"/>
      <c r="F101" s="12"/>
      <c r="G101" s="12"/>
      <c r="H101" s="67"/>
    </row>
    <row r="102" spans="1:8" x14ac:dyDescent="0.2">
      <c r="A102" s="1"/>
      <c r="B102" s="1"/>
      <c r="C102" s="2" t="s">
        <v>117</v>
      </c>
      <c r="D102" s="1"/>
      <c r="E102" s="1"/>
      <c r="F102" s="9">
        <v>0</v>
      </c>
      <c r="G102" s="10">
        <v>0</v>
      </c>
      <c r="H102" s="67"/>
    </row>
    <row r="103" spans="1:8" x14ac:dyDescent="0.2">
      <c r="A103" s="1"/>
      <c r="B103" s="1"/>
      <c r="C103" s="11"/>
      <c r="D103" s="1"/>
      <c r="E103" s="1"/>
      <c r="F103" s="12"/>
      <c r="G103" s="12"/>
      <c r="H103" s="67"/>
    </row>
    <row r="104" spans="1:8" x14ac:dyDescent="0.2">
      <c r="A104" s="1"/>
      <c r="B104" s="1"/>
      <c r="C104" s="2" t="s">
        <v>118</v>
      </c>
      <c r="D104" s="1"/>
      <c r="E104" s="1"/>
      <c r="F104" s="12"/>
      <c r="G104" s="12"/>
      <c r="H104" s="67"/>
    </row>
    <row r="105" spans="1:8" x14ac:dyDescent="0.2">
      <c r="A105" s="1"/>
      <c r="B105" s="1"/>
      <c r="C105" s="2" t="s">
        <v>119</v>
      </c>
      <c r="D105" s="1"/>
      <c r="E105" s="1"/>
      <c r="F105" s="12"/>
      <c r="G105" s="12"/>
      <c r="H105" s="67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">
        <v>0</v>
      </c>
      <c r="H106" s="67"/>
    </row>
    <row r="107" spans="1:8" x14ac:dyDescent="0.2">
      <c r="A107" s="1"/>
      <c r="B107" s="1"/>
      <c r="C107" s="11"/>
      <c r="D107" s="1"/>
      <c r="E107" s="1"/>
      <c r="F107" s="12"/>
      <c r="G107" s="12"/>
      <c r="H107" s="67"/>
    </row>
    <row r="108" spans="1:8" x14ac:dyDescent="0.2">
      <c r="A108" s="1"/>
      <c r="B108" s="1"/>
      <c r="C108" s="2" t="s">
        <v>120</v>
      </c>
      <c r="D108" s="1"/>
      <c r="E108" s="1"/>
      <c r="F108" s="12"/>
      <c r="G108" s="12"/>
      <c r="H108" s="67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">
        <v>0</v>
      </c>
      <c r="H109" s="67"/>
    </row>
    <row r="110" spans="1:8" x14ac:dyDescent="0.2">
      <c r="A110" s="1"/>
      <c r="B110" s="1"/>
      <c r="C110" s="11"/>
      <c r="D110" s="1"/>
      <c r="E110" s="1"/>
      <c r="F110" s="12"/>
      <c r="G110" s="12"/>
      <c r="H110" s="67"/>
    </row>
    <row r="111" spans="1:8" x14ac:dyDescent="0.2">
      <c r="A111" s="1"/>
      <c r="B111" s="1"/>
      <c r="C111" s="2" t="s">
        <v>121</v>
      </c>
      <c r="D111" s="1"/>
      <c r="E111" s="1"/>
      <c r="F111" s="12"/>
      <c r="G111" s="12"/>
      <c r="H111" s="67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">
        <v>0</v>
      </c>
      <c r="H112" s="67"/>
    </row>
    <row r="113" spans="1:8" x14ac:dyDescent="0.2">
      <c r="A113" s="1"/>
      <c r="B113" s="1"/>
      <c r="C113" s="11"/>
      <c r="D113" s="1"/>
      <c r="E113" s="1"/>
      <c r="F113" s="12"/>
      <c r="G113" s="12"/>
      <c r="H113" s="67"/>
    </row>
    <row r="114" spans="1:8" x14ac:dyDescent="0.2">
      <c r="A114" s="1"/>
      <c r="B114" s="1"/>
      <c r="C114" s="2" t="s">
        <v>122</v>
      </c>
      <c r="D114" s="1"/>
      <c r="E114" s="1"/>
      <c r="F114" s="12"/>
      <c r="G114" s="12"/>
      <c r="H114" s="67"/>
    </row>
    <row r="115" spans="1:8" x14ac:dyDescent="0.2">
      <c r="A115" s="3">
        <v>1</v>
      </c>
      <c r="B115" s="4"/>
      <c r="C115" s="4" t="s">
        <v>123</v>
      </c>
      <c r="D115" s="4"/>
      <c r="E115" s="8"/>
      <c r="F115" s="6">
        <v>170.45560080000001</v>
      </c>
      <c r="G115" s="7">
        <v>4.1981890000000001E-2</v>
      </c>
      <c r="H115" s="67">
        <v>3.1047477660654299</v>
      </c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9">
        <v>170.45560080000001</v>
      </c>
      <c r="G116" s="10">
        <v>4.1981890000000001E-2</v>
      </c>
      <c r="H116" s="67"/>
    </row>
    <row r="117" spans="1:8" x14ac:dyDescent="0.2">
      <c r="A117" s="1"/>
      <c r="B117" s="1"/>
      <c r="C117" s="11"/>
      <c r="D117" s="1"/>
      <c r="E117" s="1"/>
      <c r="F117" s="12"/>
      <c r="G117" s="12"/>
      <c r="H117" s="67"/>
    </row>
    <row r="118" spans="1:8" x14ac:dyDescent="0.2">
      <c r="A118" s="1"/>
      <c r="B118" s="1"/>
      <c r="C118" s="2" t="s">
        <v>124</v>
      </c>
      <c r="D118" s="1"/>
      <c r="E118" s="1"/>
      <c r="F118" s="9">
        <v>170.45560080000001</v>
      </c>
      <c r="G118" s="10">
        <v>4.1981890000000001E-2</v>
      </c>
      <c r="H118" s="67"/>
    </row>
    <row r="119" spans="1:8" x14ac:dyDescent="0.2">
      <c r="A119" s="1"/>
      <c r="B119" s="1"/>
      <c r="C119" s="12"/>
      <c r="D119" s="1"/>
      <c r="E119" s="1"/>
      <c r="F119" s="1"/>
      <c r="G119" s="1"/>
      <c r="H119" s="67"/>
    </row>
    <row r="120" spans="1:8" x14ac:dyDescent="0.2">
      <c r="A120" s="1"/>
      <c r="B120" s="1"/>
      <c r="C120" s="2" t="s">
        <v>125</v>
      </c>
      <c r="D120" s="1"/>
      <c r="E120" s="1"/>
      <c r="F120" s="1"/>
      <c r="G120" s="1"/>
      <c r="H120" s="67"/>
    </row>
    <row r="121" spans="1:8" x14ac:dyDescent="0.2">
      <c r="A121" s="1"/>
      <c r="B121" s="1"/>
      <c r="C121" s="2" t="s">
        <v>126</v>
      </c>
      <c r="D121" s="1"/>
      <c r="E121" s="1"/>
      <c r="F121" s="1"/>
      <c r="G121" s="1"/>
      <c r="H121" s="67"/>
    </row>
    <row r="122" spans="1:8" x14ac:dyDescent="0.2">
      <c r="A122" s="1"/>
      <c r="B122" s="1"/>
      <c r="C122" s="2" t="s">
        <v>105</v>
      </c>
      <c r="D122" s="1"/>
      <c r="E122" s="1" t="s">
        <v>106</v>
      </c>
      <c r="F122" s="13">
        <v>0</v>
      </c>
      <c r="G122" s="14">
        <v>0</v>
      </c>
      <c r="H122" s="67"/>
    </row>
    <row r="123" spans="1:8" x14ac:dyDescent="0.2">
      <c r="A123" s="1"/>
      <c r="B123" s="1"/>
      <c r="C123" s="11"/>
      <c r="D123" s="1"/>
      <c r="E123" s="1"/>
      <c r="F123" s="12"/>
      <c r="G123" s="12"/>
      <c r="H123" s="67"/>
    </row>
    <row r="124" spans="1:8" x14ac:dyDescent="0.2">
      <c r="A124" s="1"/>
      <c r="B124" s="1"/>
      <c r="C124" s="2" t="s">
        <v>127</v>
      </c>
      <c r="D124" s="1"/>
      <c r="E124" s="1"/>
      <c r="F124" s="1"/>
      <c r="G124" s="1"/>
      <c r="H124" s="67"/>
    </row>
    <row r="125" spans="1:8" x14ac:dyDescent="0.2">
      <c r="A125" s="1"/>
      <c r="B125" s="1"/>
      <c r="C125" s="2" t="s">
        <v>128</v>
      </c>
      <c r="D125" s="1"/>
      <c r="E125" s="1"/>
      <c r="F125" s="1"/>
      <c r="G125" s="1"/>
      <c r="H125" s="67"/>
    </row>
    <row r="126" spans="1:8" x14ac:dyDescent="0.2">
      <c r="A126" s="1"/>
      <c r="B126" s="1"/>
      <c r="C126" s="2" t="s">
        <v>105</v>
      </c>
      <c r="D126" s="1"/>
      <c r="E126" s="1" t="s">
        <v>106</v>
      </c>
      <c r="F126" s="13">
        <v>0</v>
      </c>
      <c r="G126" s="14">
        <v>0</v>
      </c>
      <c r="H126" s="67"/>
    </row>
    <row r="127" spans="1:8" x14ac:dyDescent="0.2">
      <c r="A127" s="1"/>
      <c r="B127" s="1"/>
      <c r="C127" s="11"/>
      <c r="D127" s="1"/>
      <c r="E127" s="1"/>
      <c r="F127" s="12"/>
      <c r="G127" s="12"/>
      <c r="H127" s="67"/>
    </row>
    <row r="128" spans="1:8" x14ac:dyDescent="0.2">
      <c r="A128" s="1"/>
      <c r="B128" s="1"/>
      <c r="C128" s="11"/>
      <c r="D128" s="1"/>
      <c r="E128" s="1"/>
      <c r="F128" s="12"/>
      <c r="G128" s="12"/>
      <c r="H128" s="67"/>
    </row>
    <row r="129" spans="1:8" ht="25.5" x14ac:dyDescent="0.2">
      <c r="A129" s="1"/>
      <c r="B129" s="1"/>
      <c r="C129" s="2" t="s">
        <v>129</v>
      </c>
      <c r="D129" s="1"/>
      <c r="E129" s="1"/>
      <c r="F129" s="12"/>
      <c r="G129" s="12"/>
      <c r="H129" s="67"/>
    </row>
    <row r="130" spans="1:8" x14ac:dyDescent="0.2">
      <c r="A130" s="1"/>
      <c r="B130" s="1"/>
      <c r="C130" s="2" t="s">
        <v>105</v>
      </c>
      <c r="D130" s="1"/>
      <c r="E130" s="1" t="s">
        <v>106</v>
      </c>
      <c r="F130" s="13">
        <v>0</v>
      </c>
      <c r="G130" s="14">
        <v>0</v>
      </c>
      <c r="H130" s="67"/>
    </row>
    <row r="131" spans="1:8" x14ac:dyDescent="0.2">
      <c r="A131" s="1"/>
      <c r="B131" s="1"/>
      <c r="C131" s="11"/>
      <c r="D131" s="1"/>
      <c r="E131" s="1"/>
      <c r="F131" s="12"/>
      <c r="G131" s="12"/>
      <c r="H131" s="67"/>
    </row>
    <row r="132" spans="1:8" x14ac:dyDescent="0.2">
      <c r="A132" s="1"/>
      <c r="B132" s="4"/>
      <c r="C132" s="4"/>
      <c r="D132" s="2"/>
      <c r="E132" s="1"/>
      <c r="F132" s="4"/>
      <c r="G132" s="8"/>
      <c r="H132" s="67"/>
    </row>
    <row r="133" spans="1:8" x14ac:dyDescent="0.2">
      <c r="A133" s="8"/>
      <c r="B133" s="4"/>
      <c r="C133" s="4" t="s">
        <v>130</v>
      </c>
      <c r="D133" s="4"/>
      <c r="E133" s="8"/>
      <c r="F133" s="6">
        <v>-6.0897674000000004</v>
      </c>
      <c r="G133" s="7">
        <v>-1.499862E-3</v>
      </c>
      <c r="H133" s="67"/>
    </row>
    <row r="134" spans="1:8" x14ac:dyDescent="0.2">
      <c r="A134" s="11"/>
      <c r="B134" s="11"/>
      <c r="C134" s="2" t="s">
        <v>131</v>
      </c>
      <c r="D134" s="15"/>
      <c r="E134" s="15"/>
      <c r="F134" s="9">
        <v>4060.2174074</v>
      </c>
      <c r="G134" s="10">
        <v>1.0000000019999999</v>
      </c>
      <c r="H134" s="67"/>
    </row>
    <row r="135" spans="1:8" ht="14.1" customHeight="1" x14ac:dyDescent="0.2">
      <c r="A135" s="16"/>
      <c r="B135" s="16"/>
      <c r="C135" s="16"/>
      <c r="D135" s="17"/>
      <c r="E135" s="17"/>
      <c r="F135" s="17"/>
      <c r="G135" s="17"/>
    </row>
    <row r="136" spans="1:8" ht="14.1" customHeight="1" x14ac:dyDescent="0.2">
      <c r="A136" s="18"/>
      <c r="B136" s="170" t="s">
        <v>106</v>
      </c>
      <c r="C136" s="170"/>
      <c r="D136" s="170"/>
      <c r="E136" s="170"/>
      <c r="F136" s="170"/>
      <c r="G136" s="20"/>
    </row>
    <row r="137" spans="1:8" ht="14.1" customHeight="1" x14ac:dyDescent="0.2">
      <c r="A137" s="18"/>
      <c r="B137" s="170" t="s">
        <v>106</v>
      </c>
      <c r="C137" s="170"/>
      <c r="D137" s="170"/>
      <c r="E137" s="170"/>
      <c r="F137" s="170"/>
      <c r="G137" s="20"/>
    </row>
    <row r="138" spans="1:8" ht="14.1" customHeight="1" x14ac:dyDescent="0.2">
      <c r="A138" s="18"/>
      <c r="B138" s="18"/>
      <c r="C138" s="18"/>
      <c r="D138" s="20"/>
      <c r="E138" s="20"/>
      <c r="F138" s="20"/>
      <c r="G138" s="20"/>
    </row>
    <row r="139" spans="1:8" ht="14.1" customHeight="1" x14ac:dyDescent="0.2">
      <c r="A139" s="18"/>
      <c r="B139" s="168" t="s">
        <v>133</v>
      </c>
      <c r="C139" s="169"/>
      <c r="D139" s="12" t="s">
        <v>106</v>
      </c>
      <c r="E139" s="21"/>
      <c r="F139" s="20"/>
      <c r="G139" s="20"/>
    </row>
    <row r="140" spans="1:8" ht="29.1" customHeight="1" x14ac:dyDescent="0.2">
      <c r="A140" s="18"/>
      <c r="B140" s="165" t="s">
        <v>134</v>
      </c>
      <c r="C140" s="166"/>
      <c r="D140" s="2" t="s">
        <v>135</v>
      </c>
      <c r="E140" s="21"/>
      <c r="F140" s="20"/>
      <c r="G140" s="20"/>
    </row>
    <row r="141" spans="1:8" ht="17.100000000000001" customHeight="1" x14ac:dyDescent="0.2">
      <c r="A141" s="18"/>
      <c r="B141" s="165" t="s">
        <v>136</v>
      </c>
      <c r="C141" s="166"/>
      <c r="D141" s="2" t="s">
        <v>135</v>
      </c>
      <c r="E141" s="21"/>
      <c r="F141" s="20"/>
      <c r="G141" s="20"/>
    </row>
    <row r="142" spans="1:8" ht="17.100000000000001" customHeight="1" x14ac:dyDescent="0.2">
      <c r="A142" s="18"/>
      <c r="B142" s="165" t="s">
        <v>137</v>
      </c>
      <c r="C142" s="166"/>
      <c r="D142" s="12" t="s">
        <v>106</v>
      </c>
      <c r="E142" s="21"/>
      <c r="F142" s="20"/>
      <c r="G142" s="20"/>
    </row>
    <row r="143" spans="1:8" ht="24" customHeight="1" x14ac:dyDescent="0.2">
      <c r="A143" s="22"/>
      <c r="B143" s="23" t="s">
        <v>106</v>
      </c>
      <c r="C143" s="23" t="s">
        <v>138</v>
      </c>
      <c r="D143" s="23" t="s">
        <v>139</v>
      </c>
      <c r="E143" s="22"/>
      <c r="F143" s="22"/>
      <c r="G143" s="22"/>
    </row>
    <row r="144" spans="1:8" ht="18" customHeight="1" x14ac:dyDescent="0.2">
      <c r="A144" s="22"/>
      <c r="B144" s="23" t="s">
        <v>140</v>
      </c>
      <c r="C144" s="23" t="s">
        <v>141</v>
      </c>
      <c r="D144" s="23" t="s">
        <v>142</v>
      </c>
      <c r="E144" s="22"/>
      <c r="F144" s="22"/>
      <c r="G144" s="22"/>
    </row>
    <row r="145" spans="1:7" ht="17.100000000000001" customHeight="1" x14ac:dyDescent="0.2">
      <c r="A145" s="22"/>
      <c r="B145" s="4" t="s">
        <v>143</v>
      </c>
      <c r="C145" s="24">
        <v>14.9709</v>
      </c>
      <c r="D145" s="24">
        <v>14.8583</v>
      </c>
      <c r="E145" s="22"/>
      <c r="F145" s="19"/>
      <c r="G145" s="25"/>
    </row>
    <row r="146" spans="1:7" ht="17.100000000000001" customHeight="1" x14ac:dyDescent="0.2">
      <c r="A146" s="22"/>
      <c r="B146" s="4" t="s">
        <v>988</v>
      </c>
      <c r="C146" s="24">
        <v>14.9709</v>
      </c>
      <c r="D146" s="24">
        <v>14.8583</v>
      </c>
      <c r="E146" s="22"/>
      <c r="F146" s="19"/>
      <c r="G146" s="25"/>
    </row>
    <row r="147" spans="1:7" ht="17.100000000000001" customHeight="1" x14ac:dyDescent="0.2">
      <c r="A147" s="22"/>
      <c r="B147" s="4" t="s">
        <v>144</v>
      </c>
      <c r="C147" s="24">
        <v>14.705299999999999</v>
      </c>
      <c r="D147" s="24">
        <v>14.593299999999999</v>
      </c>
      <c r="E147" s="22"/>
      <c r="F147" s="19"/>
      <c r="G147" s="25"/>
    </row>
    <row r="148" spans="1:7" ht="17.100000000000001" customHeight="1" x14ac:dyDescent="0.2">
      <c r="A148" s="22"/>
      <c r="B148" s="4" t="s">
        <v>989</v>
      </c>
      <c r="C148" s="24">
        <v>14.7051</v>
      </c>
      <c r="D148" s="24">
        <v>14.5932</v>
      </c>
      <c r="E148" s="22"/>
      <c r="F148" s="19"/>
      <c r="G148" s="25"/>
    </row>
    <row r="149" spans="1:7" ht="14.1" customHeight="1" x14ac:dyDescent="0.2">
      <c r="A149" s="22"/>
      <c r="B149" s="22"/>
      <c r="C149" s="22"/>
      <c r="D149" s="22"/>
      <c r="E149" s="22"/>
      <c r="F149" s="22"/>
      <c r="G149" s="22"/>
    </row>
    <row r="150" spans="1:7" ht="17.100000000000001" customHeight="1" x14ac:dyDescent="0.2">
      <c r="A150" s="22"/>
      <c r="B150" s="165" t="s">
        <v>990</v>
      </c>
      <c r="C150" s="166"/>
      <c r="D150" s="2" t="s">
        <v>135</v>
      </c>
      <c r="E150" s="22"/>
      <c r="F150" s="22"/>
      <c r="G150" s="22"/>
    </row>
    <row r="151" spans="1:7" ht="18" customHeight="1" x14ac:dyDescent="0.2">
      <c r="A151" s="22"/>
      <c r="B151" s="26" t="s">
        <v>145</v>
      </c>
      <c r="C151" s="26" t="s">
        <v>145</v>
      </c>
      <c r="D151" s="26"/>
      <c r="E151" s="22"/>
      <c r="F151" s="22"/>
      <c r="G151" s="22"/>
    </row>
    <row r="152" spans="1:7" s="158" customFormat="1" x14ac:dyDescent="0.2">
      <c r="B152" s="167" t="s">
        <v>822</v>
      </c>
      <c r="C152" s="167"/>
      <c r="D152" s="167"/>
      <c r="E152" s="167"/>
      <c r="F152" s="167"/>
    </row>
    <row r="153" spans="1:7" ht="14.1" customHeight="1" x14ac:dyDescent="0.2">
      <c r="A153" s="22"/>
      <c r="B153" s="19"/>
      <c r="C153" s="19"/>
      <c r="D153" s="22"/>
      <c r="E153" s="22"/>
      <c r="F153" s="22"/>
      <c r="G153" s="22"/>
    </row>
    <row r="154" spans="1:7" ht="29.1" customHeight="1" x14ac:dyDescent="0.2">
      <c r="A154" s="22"/>
      <c r="B154" s="165" t="s">
        <v>146</v>
      </c>
      <c r="C154" s="166"/>
      <c r="D154" s="2" t="s">
        <v>135</v>
      </c>
      <c r="E154" s="22"/>
      <c r="F154" s="22"/>
      <c r="G154" s="22"/>
    </row>
    <row r="155" spans="1:7" ht="29.1" customHeight="1" x14ac:dyDescent="0.2">
      <c r="A155" s="22"/>
      <c r="B155" s="165" t="s">
        <v>147</v>
      </c>
      <c r="C155" s="166"/>
      <c r="D155" s="2" t="s">
        <v>135</v>
      </c>
      <c r="E155" s="22"/>
      <c r="F155" s="22"/>
      <c r="G155" s="22"/>
    </row>
    <row r="156" spans="1:7" ht="17.100000000000001" customHeight="1" x14ac:dyDescent="0.2">
      <c r="A156" s="22"/>
      <c r="B156" s="165" t="s">
        <v>148</v>
      </c>
      <c r="C156" s="166"/>
      <c r="D156" s="27">
        <v>0.3486631732141367</v>
      </c>
      <c r="E156" s="22"/>
      <c r="F156" s="19"/>
      <c r="G156" s="25"/>
    </row>
    <row r="157" spans="1:7" ht="17.100000000000001" customHeight="1" x14ac:dyDescent="0.2">
      <c r="A157" s="22"/>
      <c r="B157" s="165" t="s">
        <v>149</v>
      </c>
      <c r="C157" s="166"/>
      <c r="D157" s="2" t="s">
        <v>135</v>
      </c>
      <c r="E157" s="22"/>
      <c r="F157" s="22"/>
      <c r="G157" s="22"/>
    </row>
  </sheetData>
  <mergeCells count="15">
    <mergeCell ref="B139:C139"/>
    <mergeCell ref="B136:F136"/>
    <mergeCell ref="B137:F137"/>
    <mergeCell ref="A1:H1"/>
    <mergeCell ref="A2:H2"/>
    <mergeCell ref="A3:H3"/>
    <mergeCell ref="B156:C156"/>
    <mergeCell ref="B157:C157"/>
    <mergeCell ref="B140:C140"/>
    <mergeCell ref="B141:C141"/>
    <mergeCell ref="B142:C142"/>
    <mergeCell ref="B150:C150"/>
    <mergeCell ref="B154:C154"/>
    <mergeCell ref="B155:C155"/>
    <mergeCell ref="B152:F15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H15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504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160</v>
      </c>
      <c r="C7" s="4" t="s">
        <v>161</v>
      </c>
      <c r="D7" s="4" t="s">
        <v>1003</v>
      </c>
      <c r="E7" s="5">
        <v>11979</v>
      </c>
      <c r="F7" s="6">
        <v>144.634446</v>
      </c>
      <c r="G7" s="7">
        <v>3.5786882999999999E-2</v>
      </c>
      <c r="H7" s="67"/>
    </row>
    <row r="8" spans="1:8" x14ac:dyDescent="0.2">
      <c r="A8" s="3">
        <v>2</v>
      </c>
      <c r="B8" s="4" t="s">
        <v>25</v>
      </c>
      <c r="C8" s="4" t="s">
        <v>26</v>
      </c>
      <c r="D8" s="4" t="s">
        <v>27</v>
      </c>
      <c r="E8" s="5">
        <v>10757</v>
      </c>
      <c r="F8" s="6">
        <v>138.8674915</v>
      </c>
      <c r="G8" s="7">
        <v>3.4359965999999999E-2</v>
      </c>
      <c r="H8" s="67"/>
    </row>
    <row r="9" spans="1:8" x14ac:dyDescent="0.2">
      <c r="A9" s="3">
        <v>3</v>
      </c>
      <c r="B9" s="4" t="s">
        <v>151</v>
      </c>
      <c r="C9" s="4" t="s">
        <v>152</v>
      </c>
      <c r="D9" s="4" t="s">
        <v>153</v>
      </c>
      <c r="E9" s="5">
        <v>3276</v>
      </c>
      <c r="F9" s="6">
        <v>131.944176</v>
      </c>
      <c r="G9" s="7">
        <v>3.2646930999999997E-2</v>
      </c>
      <c r="H9" s="67"/>
    </row>
    <row r="10" spans="1:8" x14ac:dyDescent="0.2">
      <c r="A10" s="3">
        <v>4</v>
      </c>
      <c r="B10" s="4" t="s">
        <v>158</v>
      </c>
      <c r="C10" s="4" t="s">
        <v>159</v>
      </c>
      <c r="D10" s="4" t="s">
        <v>27</v>
      </c>
      <c r="E10" s="5">
        <v>17000</v>
      </c>
      <c r="F10" s="6">
        <v>129.55699999999999</v>
      </c>
      <c r="G10" s="7">
        <v>3.2056271999999997E-2</v>
      </c>
      <c r="H10" s="67"/>
    </row>
    <row r="11" spans="1:8" x14ac:dyDescent="0.2">
      <c r="A11" s="3">
        <v>5</v>
      </c>
      <c r="B11" s="4" t="s">
        <v>169</v>
      </c>
      <c r="C11" s="4" t="s">
        <v>170</v>
      </c>
      <c r="D11" s="4" t="s">
        <v>171</v>
      </c>
      <c r="E11" s="5">
        <v>17798</v>
      </c>
      <c r="F11" s="6">
        <v>128.67954</v>
      </c>
      <c r="G11" s="7">
        <v>3.1839161999999997E-2</v>
      </c>
      <c r="H11" s="67"/>
    </row>
    <row r="12" spans="1:8" x14ac:dyDescent="0.2">
      <c r="A12" s="3">
        <v>6</v>
      </c>
      <c r="B12" s="4" t="s">
        <v>154</v>
      </c>
      <c r="C12" s="4" t="s">
        <v>155</v>
      </c>
      <c r="D12" s="4" t="s">
        <v>81</v>
      </c>
      <c r="E12" s="5">
        <v>100136</v>
      </c>
      <c r="F12" s="6">
        <v>118.060344</v>
      </c>
      <c r="G12" s="7">
        <v>2.9211655999999999E-2</v>
      </c>
      <c r="H12" s="67"/>
    </row>
    <row r="13" spans="1:8" x14ac:dyDescent="0.2">
      <c r="A13" s="3">
        <v>7</v>
      </c>
      <c r="B13" s="4" t="s">
        <v>162</v>
      </c>
      <c r="C13" s="4" t="s">
        <v>163</v>
      </c>
      <c r="D13" s="4" t="s">
        <v>27</v>
      </c>
      <c r="E13" s="5">
        <v>14411</v>
      </c>
      <c r="F13" s="6">
        <v>110.1648895</v>
      </c>
      <c r="G13" s="7">
        <v>2.7258085000000001E-2</v>
      </c>
      <c r="H13" s="67"/>
    </row>
    <row r="14" spans="1:8" x14ac:dyDescent="0.2">
      <c r="A14" s="3">
        <v>8</v>
      </c>
      <c r="B14" s="4" t="s">
        <v>466</v>
      </c>
      <c r="C14" s="4" t="s">
        <v>467</v>
      </c>
      <c r="D14" s="4" t="s">
        <v>187</v>
      </c>
      <c r="E14" s="5">
        <v>16726</v>
      </c>
      <c r="F14" s="6">
        <v>105.674868</v>
      </c>
      <c r="G14" s="7">
        <v>2.6147119E-2</v>
      </c>
      <c r="H14" s="67"/>
    </row>
    <row r="15" spans="1:8" x14ac:dyDescent="0.2">
      <c r="A15" s="3">
        <v>9</v>
      </c>
      <c r="B15" s="4" t="s">
        <v>174</v>
      </c>
      <c r="C15" s="4" t="s">
        <v>175</v>
      </c>
      <c r="D15" s="4" t="s">
        <v>55</v>
      </c>
      <c r="E15" s="5">
        <v>24926</v>
      </c>
      <c r="F15" s="6">
        <v>100.339613</v>
      </c>
      <c r="G15" s="7">
        <v>2.4827017999999999E-2</v>
      </c>
      <c r="H15" s="67"/>
    </row>
    <row r="16" spans="1:8" x14ac:dyDescent="0.2">
      <c r="A16" s="3">
        <v>10</v>
      </c>
      <c r="B16" s="4" t="s">
        <v>164</v>
      </c>
      <c r="C16" s="4" t="s">
        <v>165</v>
      </c>
      <c r="D16" s="4" t="s">
        <v>166</v>
      </c>
      <c r="E16" s="5">
        <v>27156</v>
      </c>
      <c r="F16" s="6">
        <v>91.461408000000006</v>
      </c>
      <c r="G16" s="7">
        <v>2.2630285E-2</v>
      </c>
      <c r="H16" s="67"/>
    </row>
    <row r="17" spans="1:8" ht="25.5" x14ac:dyDescent="0.2">
      <c r="A17" s="3">
        <v>11</v>
      </c>
      <c r="B17" s="4" t="s">
        <v>30</v>
      </c>
      <c r="C17" s="4" t="s">
        <v>998</v>
      </c>
      <c r="D17" s="4" t="s">
        <v>992</v>
      </c>
      <c r="E17" s="5">
        <v>2754</v>
      </c>
      <c r="F17" s="6">
        <v>90.094356000000005</v>
      </c>
      <c r="G17" s="7">
        <v>2.2292035000000002E-2</v>
      </c>
      <c r="H17" s="67"/>
    </row>
    <row r="18" spans="1:8" ht="25.5" x14ac:dyDescent="0.2">
      <c r="A18" s="3">
        <v>12</v>
      </c>
      <c r="B18" s="4" t="s">
        <v>202</v>
      </c>
      <c r="C18" s="4" t="s">
        <v>203</v>
      </c>
      <c r="D18" s="4" t="s">
        <v>52</v>
      </c>
      <c r="E18" s="5">
        <v>18738</v>
      </c>
      <c r="F18" s="6">
        <v>87.365925000000004</v>
      </c>
      <c r="G18" s="7">
        <v>2.1616940000000001E-2</v>
      </c>
      <c r="H18" s="67"/>
    </row>
    <row r="19" spans="1:8" x14ac:dyDescent="0.2">
      <c r="A19" s="3">
        <v>13</v>
      </c>
      <c r="B19" s="4" t="s">
        <v>177</v>
      </c>
      <c r="C19" s="4" t="s">
        <v>178</v>
      </c>
      <c r="D19" s="4" t="s">
        <v>179</v>
      </c>
      <c r="E19" s="5">
        <v>35495</v>
      </c>
      <c r="F19" s="6">
        <v>85.010525000000001</v>
      </c>
      <c r="G19" s="7">
        <v>2.1034144000000001E-2</v>
      </c>
      <c r="H19" s="67"/>
    </row>
    <row r="20" spans="1:8" x14ac:dyDescent="0.2">
      <c r="A20" s="3">
        <v>14</v>
      </c>
      <c r="B20" s="4" t="s">
        <v>185</v>
      </c>
      <c r="C20" s="4" t="s">
        <v>186</v>
      </c>
      <c r="D20" s="4" t="s">
        <v>187</v>
      </c>
      <c r="E20" s="5">
        <v>17579</v>
      </c>
      <c r="F20" s="6">
        <v>84.335252499999996</v>
      </c>
      <c r="G20" s="7">
        <v>2.0867060999999999E-2</v>
      </c>
      <c r="H20" s="67"/>
    </row>
    <row r="21" spans="1:8" x14ac:dyDescent="0.2">
      <c r="A21" s="3">
        <v>15</v>
      </c>
      <c r="B21" s="4" t="s">
        <v>210</v>
      </c>
      <c r="C21" s="4" t="s">
        <v>211</v>
      </c>
      <c r="D21" s="4" t="s">
        <v>212</v>
      </c>
      <c r="E21" s="5">
        <v>32045</v>
      </c>
      <c r="F21" s="6">
        <v>80.336815000000001</v>
      </c>
      <c r="G21" s="7">
        <v>1.9877728000000001E-2</v>
      </c>
      <c r="H21" s="67"/>
    </row>
    <row r="22" spans="1:8" ht="25.5" x14ac:dyDescent="0.2">
      <c r="A22" s="3">
        <v>16</v>
      </c>
      <c r="B22" s="4" t="s">
        <v>450</v>
      </c>
      <c r="C22" s="4" t="s">
        <v>451</v>
      </c>
      <c r="D22" s="4" t="s">
        <v>36</v>
      </c>
      <c r="E22" s="5">
        <v>5518</v>
      </c>
      <c r="F22" s="6">
        <v>80.102046999999999</v>
      </c>
      <c r="G22" s="7">
        <v>1.9819639E-2</v>
      </c>
      <c r="H22" s="67"/>
    </row>
    <row r="23" spans="1:8" x14ac:dyDescent="0.2">
      <c r="A23" s="3">
        <v>17</v>
      </c>
      <c r="B23" s="4" t="s">
        <v>190</v>
      </c>
      <c r="C23" s="4" t="s">
        <v>191</v>
      </c>
      <c r="D23" s="4" t="s">
        <v>41</v>
      </c>
      <c r="E23" s="5">
        <v>19016</v>
      </c>
      <c r="F23" s="6">
        <v>78.288871999999998</v>
      </c>
      <c r="G23" s="7">
        <v>1.9371006E-2</v>
      </c>
      <c r="H23" s="67"/>
    </row>
    <row r="24" spans="1:8" x14ac:dyDescent="0.2">
      <c r="A24" s="3">
        <v>18</v>
      </c>
      <c r="B24" s="4" t="s">
        <v>167</v>
      </c>
      <c r="C24" s="4" t="s">
        <v>168</v>
      </c>
      <c r="D24" s="4" t="s">
        <v>166</v>
      </c>
      <c r="E24" s="5">
        <v>2343</v>
      </c>
      <c r="F24" s="6">
        <v>77.835631500000005</v>
      </c>
      <c r="G24" s="7">
        <v>1.9258860999999999E-2</v>
      </c>
      <c r="H24" s="67"/>
    </row>
    <row r="25" spans="1:8" x14ac:dyDescent="0.2">
      <c r="A25" s="3">
        <v>19</v>
      </c>
      <c r="B25" s="4" t="s">
        <v>37</v>
      </c>
      <c r="C25" s="4" t="s">
        <v>38</v>
      </c>
      <c r="D25" s="4" t="s">
        <v>27</v>
      </c>
      <c r="E25" s="5">
        <v>6458</v>
      </c>
      <c r="F25" s="6">
        <v>76.911551000000003</v>
      </c>
      <c r="G25" s="7">
        <v>1.9030215E-2</v>
      </c>
      <c r="H25" s="67"/>
    </row>
    <row r="26" spans="1:8" x14ac:dyDescent="0.2">
      <c r="A26" s="3">
        <v>20</v>
      </c>
      <c r="B26" s="4" t="s">
        <v>198</v>
      </c>
      <c r="C26" s="4" t="s">
        <v>199</v>
      </c>
      <c r="D26" s="4" t="s">
        <v>166</v>
      </c>
      <c r="E26" s="5">
        <v>7863</v>
      </c>
      <c r="F26" s="6">
        <v>76.856893499999998</v>
      </c>
      <c r="G26" s="7">
        <v>1.9016690999999999E-2</v>
      </c>
      <c r="H26" s="67"/>
    </row>
    <row r="27" spans="1:8" x14ac:dyDescent="0.2">
      <c r="A27" s="3">
        <v>21</v>
      </c>
      <c r="B27" s="4" t="s">
        <v>206</v>
      </c>
      <c r="C27" s="4" t="s">
        <v>207</v>
      </c>
      <c r="D27" s="4" t="s">
        <v>187</v>
      </c>
      <c r="E27" s="5">
        <v>11402</v>
      </c>
      <c r="F27" s="6">
        <v>76.005731999999995</v>
      </c>
      <c r="G27" s="7">
        <v>1.8806089000000002E-2</v>
      </c>
      <c r="H27" s="67"/>
    </row>
    <row r="28" spans="1:8" x14ac:dyDescent="0.2">
      <c r="A28" s="3">
        <v>22</v>
      </c>
      <c r="B28" s="4" t="s">
        <v>194</v>
      </c>
      <c r="C28" s="4" t="s">
        <v>195</v>
      </c>
      <c r="D28" s="4" t="s">
        <v>55</v>
      </c>
      <c r="E28" s="5">
        <v>7594</v>
      </c>
      <c r="F28" s="6">
        <v>73.190972000000002</v>
      </c>
      <c r="G28" s="7">
        <v>1.8109633E-2</v>
      </c>
      <c r="H28" s="67"/>
    </row>
    <row r="29" spans="1:8" x14ac:dyDescent="0.2">
      <c r="A29" s="3">
        <v>23</v>
      </c>
      <c r="B29" s="4" t="s">
        <v>196</v>
      </c>
      <c r="C29" s="4" t="s">
        <v>197</v>
      </c>
      <c r="D29" s="4" t="s">
        <v>1004</v>
      </c>
      <c r="E29" s="5">
        <v>22271</v>
      </c>
      <c r="F29" s="6">
        <v>68.873067500000005</v>
      </c>
      <c r="G29" s="7">
        <v>1.7041253999999999E-2</v>
      </c>
      <c r="H29" s="67"/>
    </row>
    <row r="30" spans="1:8" x14ac:dyDescent="0.2">
      <c r="A30" s="3">
        <v>24</v>
      </c>
      <c r="B30" s="4" t="s">
        <v>77</v>
      </c>
      <c r="C30" s="4" t="s">
        <v>78</v>
      </c>
      <c r="D30" s="4" t="s">
        <v>69</v>
      </c>
      <c r="E30" s="5">
        <v>20448</v>
      </c>
      <c r="F30" s="6">
        <v>68.388335999999995</v>
      </c>
      <c r="G30" s="7">
        <v>1.6921317000000002E-2</v>
      </c>
      <c r="H30" s="67"/>
    </row>
    <row r="31" spans="1:8" x14ac:dyDescent="0.2">
      <c r="A31" s="3">
        <v>25</v>
      </c>
      <c r="B31" s="4" t="s">
        <v>63</v>
      </c>
      <c r="C31" s="4" t="s">
        <v>64</v>
      </c>
      <c r="D31" s="4" t="s">
        <v>55</v>
      </c>
      <c r="E31" s="5">
        <v>26395</v>
      </c>
      <c r="F31" s="6">
        <v>68.363050000000001</v>
      </c>
      <c r="G31" s="7">
        <v>1.6915060999999999E-2</v>
      </c>
      <c r="H31" s="67"/>
    </row>
    <row r="32" spans="1:8" x14ac:dyDescent="0.2">
      <c r="A32" s="3">
        <v>26</v>
      </c>
      <c r="B32" s="4" t="s">
        <v>192</v>
      </c>
      <c r="C32" s="4" t="s">
        <v>193</v>
      </c>
      <c r="D32" s="4" t="s">
        <v>81</v>
      </c>
      <c r="E32" s="5">
        <v>11753</v>
      </c>
      <c r="F32" s="6">
        <v>67.0684945</v>
      </c>
      <c r="G32" s="7">
        <v>1.6594748999999999E-2</v>
      </c>
      <c r="H32" s="67"/>
    </row>
    <row r="33" spans="1:8" x14ac:dyDescent="0.2">
      <c r="A33" s="3">
        <v>27</v>
      </c>
      <c r="B33" s="4" t="s">
        <v>53</v>
      </c>
      <c r="C33" s="4" t="s">
        <v>54</v>
      </c>
      <c r="D33" s="4" t="s">
        <v>55</v>
      </c>
      <c r="E33" s="5">
        <v>2243</v>
      </c>
      <c r="F33" s="6">
        <v>64.932607000000004</v>
      </c>
      <c r="G33" s="7">
        <v>1.6066266999999999E-2</v>
      </c>
      <c r="H33" s="67"/>
    </row>
    <row r="34" spans="1:8" x14ac:dyDescent="0.2">
      <c r="A34" s="3">
        <v>28</v>
      </c>
      <c r="B34" s="4" t="s">
        <v>208</v>
      </c>
      <c r="C34" s="4" t="s">
        <v>209</v>
      </c>
      <c r="D34" s="4" t="s">
        <v>1005</v>
      </c>
      <c r="E34" s="5">
        <v>7162</v>
      </c>
      <c r="F34" s="6">
        <v>60.651397000000003</v>
      </c>
      <c r="G34" s="7">
        <v>1.5006968000000001E-2</v>
      </c>
      <c r="H34" s="67"/>
    </row>
    <row r="35" spans="1:8" ht="25.5" x14ac:dyDescent="0.2">
      <c r="A35" s="3">
        <v>29</v>
      </c>
      <c r="B35" s="4" t="s">
        <v>221</v>
      </c>
      <c r="C35" s="4" t="s">
        <v>222</v>
      </c>
      <c r="D35" s="4" t="s">
        <v>36</v>
      </c>
      <c r="E35" s="5">
        <v>68857</v>
      </c>
      <c r="F35" s="6">
        <v>59.148162999999997</v>
      </c>
      <c r="G35" s="7">
        <v>1.4635023E-2</v>
      </c>
      <c r="H35" s="67"/>
    </row>
    <row r="36" spans="1:8" x14ac:dyDescent="0.2">
      <c r="A36" s="3">
        <v>30</v>
      </c>
      <c r="B36" s="4" t="s">
        <v>247</v>
      </c>
      <c r="C36" s="4" t="s">
        <v>248</v>
      </c>
      <c r="D36" s="4" t="s">
        <v>1001</v>
      </c>
      <c r="E36" s="5">
        <v>10737</v>
      </c>
      <c r="F36" s="6">
        <v>59.112553499999997</v>
      </c>
      <c r="G36" s="7">
        <v>1.4626212E-2</v>
      </c>
      <c r="H36" s="67"/>
    </row>
    <row r="37" spans="1:8" x14ac:dyDescent="0.2">
      <c r="A37" s="3">
        <v>31</v>
      </c>
      <c r="B37" s="4" t="s">
        <v>213</v>
      </c>
      <c r="C37" s="4" t="s">
        <v>214</v>
      </c>
      <c r="D37" s="4" t="s">
        <v>81</v>
      </c>
      <c r="E37" s="5">
        <v>10108</v>
      </c>
      <c r="F37" s="6">
        <v>57.711626000000003</v>
      </c>
      <c r="G37" s="7">
        <v>1.427958E-2</v>
      </c>
      <c r="H37" s="67"/>
    </row>
    <row r="38" spans="1:8" x14ac:dyDescent="0.2">
      <c r="A38" s="3">
        <v>32</v>
      </c>
      <c r="B38" s="4" t="s">
        <v>245</v>
      </c>
      <c r="C38" s="4" t="s">
        <v>246</v>
      </c>
      <c r="D38" s="4" t="s">
        <v>81</v>
      </c>
      <c r="E38" s="5">
        <v>108845</v>
      </c>
      <c r="F38" s="6">
        <v>54.694612499999998</v>
      </c>
      <c r="G38" s="7">
        <v>1.3533081000000001E-2</v>
      </c>
      <c r="H38" s="67"/>
    </row>
    <row r="39" spans="1:8" x14ac:dyDescent="0.2">
      <c r="A39" s="3">
        <v>33</v>
      </c>
      <c r="B39" s="4" t="s">
        <v>215</v>
      </c>
      <c r="C39" s="4" t="s">
        <v>216</v>
      </c>
      <c r="D39" s="4" t="s">
        <v>69</v>
      </c>
      <c r="E39" s="5">
        <v>54093</v>
      </c>
      <c r="F39" s="6">
        <v>54.065953499999999</v>
      </c>
      <c r="G39" s="7">
        <v>1.3377531999999999E-2</v>
      </c>
      <c r="H39" s="67"/>
    </row>
    <row r="40" spans="1:8" x14ac:dyDescent="0.2">
      <c r="A40" s="3">
        <v>34</v>
      </c>
      <c r="B40" s="4" t="s">
        <v>182</v>
      </c>
      <c r="C40" s="4" t="s">
        <v>183</v>
      </c>
      <c r="D40" s="4" t="s">
        <v>184</v>
      </c>
      <c r="E40" s="5">
        <v>5370</v>
      </c>
      <c r="F40" s="6">
        <v>52.950885</v>
      </c>
      <c r="G40" s="7">
        <v>1.3101631000000001E-2</v>
      </c>
      <c r="H40" s="67"/>
    </row>
    <row r="41" spans="1:8" ht="25.5" x14ac:dyDescent="0.2">
      <c r="A41" s="3">
        <v>35</v>
      </c>
      <c r="B41" s="4" t="s">
        <v>217</v>
      </c>
      <c r="C41" s="4" t="s">
        <v>218</v>
      </c>
      <c r="D41" s="4" t="s">
        <v>55</v>
      </c>
      <c r="E41" s="5">
        <v>2262</v>
      </c>
      <c r="F41" s="6">
        <v>49.622624999999999</v>
      </c>
      <c r="G41" s="7">
        <v>1.227812E-2</v>
      </c>
      <c r="H41" s="67"/>
    </row>
    <row r="42" spans="1:8" x14ac:dyDescent="0.2">
      <c r="A42" s="3">
        <v>36</v>
      </c>
      <c r="B42" s="4" t="s">
        <v>262</v>
      </c>
      <c r="C42" s="4" t="s">
        <v>263</v>
      </c>
      <c r="D42" s="4" t="s">
        <v>171</v>
      </c>
      <c r="E42" s="5">
        <v>7135</v>
      </c>
      <c r="F42" s="6">
        <v>48.353895000000001</v>
      </c>
      <c r="G42" s="7">
        <v>1.1964198000000001E-2</v>
      </c>
      <c r="H42" s="67"/>
    </row>
    <row r="43" spans="1:8" ht="25.5" x14ac:dyDescent="0.2">
      <c r="A43" s="3">
        <v>37</v>
      </c>
      <c r="B43" s="4" t="s">
        <v>230</v>
      </c>
      <c r="C43" s="4" t="s">
        <v>231</v>
      </c>
      <c r="D43" s="4" t="s">
        <v>52</v>
      </c>
      <c r="E43" s="5">
        <v>11863</v>
      </c>
      <c r="F43" s="6">
        <v>47.7900955</v>
      </c>
      <c r="G43" s="7">
        <v>1.1824697E-2</v>
      </c>
      <c r="H43" s="67"/>
    </row>
    <row r="44" spans="1:8" x14ac:dyDescent="0.2">
      <c r="A44" s="3">
        <v>38</v>
      </c>
      <c r="B44" s="4" t="s">
        <v>227</v>
      </c>
      <c r="C44" s="4" t="s">
        <v>228</v>
      </c>
      <c r="D44" s="4" t="s">
        <v>229</v>
      </c>
      <c r="E44" s="5">
        <v>9854</v>
      </c>
      <c r="F44" s="6">
        <v>47.161244000000003</v>
      </c>
      <c r="G44" s="7">
        <v>1.1669100999999999E-2</v>
      </c>
      <c r="H44" s="67"/>
    </row>
    <row r="45" spans="1:8" x14ac:dyDescent="0.2">
      <c r="A45" s="3">
        <v>39</v>
      </c>
      <c r="B45" s="4" t="s">
        <v>200</v>
      </c>
      <c r="C45" s="4" t="s">
        <v>201</v>
      </c>
      <c r="D45" s="4" t="s">
        <v>49</v>
      </c>
      <c r="E45" s="5">
        <v>19089</v>
      </c>
      <c r="F45" s="6">
        <v>46.491259499999998</v>
      </c>
      <c r="G45" s="7">
        <v>1.1503325999999999E-2</v>
      </c>
      <c r="H45" s="67"/>
    </row>
    <row r="46" spans="1:8" x14ac:dyDescent="0.2">
      <c r="A46" s="3">
        <v>40</v>
      </c>
      <c r="B46" s="4" t="s">
        <v>290</v>
      </c>
      <c r="C46" s="4" t="s">
        <v>291</v>
      </c>
      <c r="D46" s="4" t="s">
        <v>27</v>
      </c>
      <c r="E46" s="5">
        <v>3843</v>
      </c>
      <c r="F46" s="6">
        <v>45.518413500000001</v>
      </c>
      <c r="G46" s="7">
        <v>1.1262615E-2</v>
      </c>
      <c r="H46" s="67"/>
    </row>
    <row r="47" spans="1:8" ht="25.5" x14ac:dyDescent="0.2">
      <c r="A47" s="3">
        <v>41</v>
      </c>
      <c r="B47" s="4" t="s">
        <v>238</v>
      </c>
      <c r="C47" s="4" t="s">
        <v>239</v>
      </c>
      <c r="D47" s="4" t="s">
        <v>1006</v>
      </c>
      <c r="E47" s="5">
        <v>43509</v>
      </c>
      <c r="F47" s="6">
        <v>44.727252</v>
      </c>
      <c r="G47" s="7">
        <v>1.1066858000000001E-2</v>
      </c>
      <c r="H47" s="67"/>
    </row>
    <row r="48" spans="1:8" ht="25.5" x14ac:dyDescent="0.2">
      <c r="A48" s="3">
        <v>42</v>
      </c>
      <c r="B48" s="4" t="s">
        <v>176</v>
      </c>
      <c r="C48" s="4" t="s">
        <v>995</v>
      </c>
      <c r="D48" s="4" t="s">
        <v>992</v>
      </c>
      <c r="E48" s="5">
        <v>16531</v>
      </c>
      <c r="F48" s="6">
        <v>43.741025999999998</v>
      </c>
      <c r="G48" s="7">
        <v>1.0822837E-2</v>
      </c>
      <c r="H48" s="67"/>
    </row>
    <row r="49" spans="1:8" ht="25.5" x14ac:dyDescent="0.2">
      <c r="A49" s="3">
        <v>43</v>
      </c>
      <c r="B49" s="4" t="s">
        <v>240</v>
      </c>
      <c r="C49" s="4" t="s">
        <v>241</v>
      </c>
      <c r="D49" s="4" t="s">
        <v>52</v>
      </c>
      <c r="E49" s="5">
        <v>10717</v>
      </c>
      <c r="F49" s="6">
        <v>43.269887500000003</v>
      </c>
      <c r="G49" s="7">
        <v>1.0706263000000001E-2</v>
      </c>
      <c r="H49" s="67"/>
    </row>
    <row r="50" spans="1:8" x14ac:dyDescent="0.2">
      <c r="A50" s="3">
        <v>44</v>
      </c>
      <c r="B50" s="4" t="s">
        <v>275</v>
      </c>
      <c r="C50" s="4" t="s">
        <v>276</v>
      </c>
      <c r="D50" s="4" t="s">
        <v>1001</v>
      </c>
      <c r="E50" s="5">
        <v>33431</v>
      </c>
      <c r="F50" s="6">
        <v>40.969690499999999</v>
      </c>
      <c r="G50" s="7">
        <v>1.0137125E-2</v>
      </c>
      <c r="H50" s="67"/>
    </row>
    <row r="51" spans="1:8" x14ac:dyDescent="0.2">
      <c r="A51" s="3">
        <v>45</v>
      </c>
      <c r="B51" s="4" t="s">
        <v>270</v>
      </c>
      <c r="C51" s="4" t="s">
        <v>271</v>
      </c>
      <c r="D51" s="4" t="s">
        <v>272</v>
      </c>
      <c r="E51" s="5">
        <v>17156</v>
      </c>
      <c r="F51" s="6">
        <v>38.987009999999998</v>
      </c>
      <c r="G51" s="7">
        <v>9.6465509999999997E-3</v>
      </c>
      <c r="H51" s="67"/>
    </row>
    <row r="52" spans="1:8" x14ac:dyDescent="0.2">
      <c r="A52" s="3">
        <v>46</v>
      </c>
      <c r="B52" s="4" t="s">
        <v>268</v>
      </c>
      <c r="C52" s="4" t="s">
        <v>269</v>
      </c>
      <c r="D52" s="4" t="s">
        <v>24</v>
      </c>
      <c r="E52" s="5">
        <v>41531</v>
      </c>
      <c r="F52" s="6">
        <v>38.270816500000002</v>
      </c>
      <c r="G52" s="7">
        <v>9.4693429999999999E-3</v>
      </c>
      <c r="H52" s="67"/>
    </row>
    <row r="53" spans="1:8" x14ac:dyDescent="0.2">
      <c r="A53" s="3">
        <v>47</v>
      </c>
      <c r="B53" s="4" t="s">
        <v>253</v>
      </c>
      <c r="C53" s="4" t="s">
        <v>254</v>
      </c>
      <c r="D53" s="4" t="s">
        <v>49</v>
      </c>
      <c r="E53" s="5">
        <v>3629</v>
      </c>
      <c r="F53" s="6">
        <v>38.249659999999999</v>
      </c>
      <c r="G53" s="7">
        <v>9.4641090000000001E-3</v>
      </c>
      <c r="H53" s="67"/>
    </row>
    <row r="54" spans="1:8" x14ac:dyDescent="0.2">
      <c r="A54" s="3">
        <v>48</v>
      </c>
      <c r="B54" s="4" t="s">
        <v>85</v>
      </c>
      <c r="C54" s="4" t="s">
        <v>86</v>
      </c>
      <c r="D54" s="4" t="s">
        <v>1000</v>
      </c>
      <c r="E54" s="5">
        <v>24617</v>
      </c>
      <c r="F54" s="6">
        <v>37.516308000000002</v>
      </c>
      <c r="G54" s="7">
        <v>9.2826550000000008E-3</v>
      </c>
      <c r="H54" s="67"/>
    </row>
    <row r="55" spans="1:8" x14ac:dyDescent="0.2">
      <c r="A55" s="3">
        <v>49</v>
      </c>
      <c r="B55" s="4" t="s">
        <v>172</v>
      </c>
      <c r="C55" s="4" t="s">
        <v>173</v>
      </c>
      <c r="D55" s="4" t="s">
        <v>331</v>
      </c>
      <c r="E55" s="5">
        <v>3897</v>
      </c>
      <c r="F55" s="6">
        <v>37.155946499999999</v>
      </c>
      <c r="G55" s="7">
        <v>9.1934909999999998E-3</v>
      </c>
      <c r="H55" s="67"/>
    </row>
    <row r="56" spans="1:8" x14ac:dyDescent="0.2">
      <c r="A56" s="3">
        <v>50</v>
      </c>
      <c r="B56" s="4" t="s">
        <v>243</v>
      </c>
      <c r="C56" s="4" t="s">
        <v>244</v>
      </c>
      <c r="D56" s="4" t="s">
        <v>171</v>
      </c>
      <c r="E56" s="5">
        <v>10008</v>
      </c>
      <c r="F56" s="6">
        <v>36.279000000000003</v>
      </c>
      <c r="G56" s="7">
        <v>8.9765079999999994E-3</v>
      </c>
      <c r="H56" s="67"/>
    </row>
    <row r="57" spans="1:8" x14ac:dyDescent="0.2">
      <c r="A57" s="3">
        <v>51</v>
      </c>
      <c r="B57" s="4" t="s">
        <v>462</v>
      </c>
      <c r="C57" s="4" t="s">
        <v>463</v>
      </c>
      <c r="D57" s="4" t="s">
        <v>1003</v>
      </c>
      <c r="E57" s="5">
        <v>38111</v>
      </c>
      <c r="F57" s="6">
        <v>35.614729500000003</v>
      </c>
      <c r="G57" s="7">
        <v>8.8121480000000006E-3</v>
      </c>
      <c r="H57" s="67"/>
    </row>
    <row r="58" spans="1:8" x14ac:dyDescent="0.2">
      <c r="A58" s="3">
        <v>52</v>
      </c>
      <c r="B58" s="4" t="s">
        <v>225</v>
      </c>
      <c r="C58" s="4" t="s">
        <v>226</v>
      </c>
      <c r="D58" s="4" t="s">
        <v>166</v>
      </c>
      <c r="E58" s="5">
        <v>2474</v>
      </c>
      <c r="F58" s="6">
        <v>35.321297999999999</v>
      </c>
      <c r="G58" s="7">
        <v>8.7395440000000001E-3</v>
      </c>
      <c r="H58" s="67"/>
    </row>
    <row r="59" spans="1:8" x14ac:dyDescent="0.2">
      <c r="A59" s="3">
        <v>53</v>
      </c>
      <c r="B59" s="4" t="s">
        <v>257</v>
      </c>
      <c r="C59" s="4" t="s">
        <v>258</v>
      </c>
      <c r="D59" s="4" t="s">
        <v>1001</v>
      </c>
      <c r="E59" s="5">
        <v>27390</v>
      </c>
      <c r="F59" s="6">
        <v>34.264890000000001</v>
      </c>
      <c r="G59" s="7">
        <v>8.4781570000000001E-3</v>
      </c>
      <c r="H59" s="67"/>
    </row>
    <row r="60" spans="1:8" x14ac:dyDescent="0.2">
      <c r="A60" s="3">
        <v>54</v>
      </c>
      <c r="B60" s="4" t="s">
        <v>234</v>
      </c>
      <c r="C60" s="4" t="s">
        <v>235</v>
      </c>
      <c r="D60" s="4" t="s">
        <v>187</v>
      </c>
      <c r="E60" s="5">
        <v>1976</v>
      </c>
      <c r="F60" s="6">
        <v>33.644364000000003</v>
      </c>
      <c r="G60" s="7">
        <v>8.3246210000000008E-3</v>
      </c>
      <c r="H60" s="67"/>
    </row>
    <row r="61" spans="1:8" x14ac:dyDescent="0.2">
      <c r="A61" s="3">
        <v>55</v>
      </c>
      <c r="B61" s="4" t="s">
        <v>255</v>
      </c>
      <c r="C61" s="4" t="s">
        <v>256</v>
      </c>
      <c r="D61" s="4" t="s">
        <v>331</v>
      </c>
      <c r="E61" s="5">
        <v>2169</v>
      </c>
      <c r="F61" s="6">
        <v>32.285564999999998</v>
      </c>
      <c r="G61" s="7">
        <v>7.9884129999999998E-3</v>
      </c>
      <c r="H61" s="67"/>
    </row>
    <row r="62" spans="1:8" x14ac:dyDescent="0.2">
      <c r="A62" s="3">
        <v>56</v>
      </c>
      <c r="B62" s="4" t="s">
        <v>281</v>
      </c>
      <c r="C62" s="4" t="s">
        <v>282</v>
      </c>
      <c r="D62" s="4" t="s">
        <v>55</v>
      </c>
      <c r="E62" s="5">
        <v>18897</v>
      </c>
      <c r="F62" s="6">
        <v>30.641485500000002</v>
      </c>
      <c r="G62" s="7">
        <v>7.5816190000000004E-3</v>
      </c>
      <c r="H62" s="67"/>
    </row>
    <row r="63" spans="1:8" ht="25.5" x14ac:dyDescent="0.2">
      <c r="A63" s="3">
        <v>57</v>
      </c>
      <c r="B63" s="4" t="s">
        <v>65</v>
      </c>
      <c r="C63" s="4" t="s">
        <v>66</v>
      </c>
      <c r="D63" s="4" t="s">
        <v>36</v>
      </c>
      <c r="E63" s="5">
        <v>4127</v>
      </c>
      <c r="F63" s="6">
        <v>30.050750499999999</v>
      </c>
      <c r="G63" s="7">
        <v>7.4354529999999999E-3</v>
      </c>
      <c r="H63" s="67"/>
    </row>
    <row r="64" spans="1:8" x14ac:dyDescent="0.2">
      <c r="A64" s="3">
        <v>58</v>
      </c>
      <c r="B64" s="4" t="s">
        <v>273</v>
      </c>
      <c r="C64" s="4" t="s">
        <v>274</v>
      </c>
      <c r="D64" s="4" t="s">
        <v>187</v>
      </c>
      <c r="E64" s="5">
        <v>536</v>
      </c>
      <c r="F64" s="6">
        <v>29.155183999999998</v>
      </c>
      <c r="G64" s="7">
        <v>7.2138640000000004E-3</v>
      </c>
      <c r="H64" s="67"/>
    </row>
    <row r="65" spans="1:8" x14ac:dyDescent="0.2">
      <c r="A65" s="3">
        <v>59</v>
      </c>
      <c r="B65" s="4" t="s">
        <v>232</v>
      </c>
      <c r="C65" s="4" t="s">
        <v>233</v>
      </c>
      <c r="D65" s="4" t="s">
        <v>55</v>
      </c>
      <c r="E65" s="5">
        <v>11000</v>
      </c>
      <c r="F65" s="6">
        <v>27.8355</v>
      </c>
      <c r="G65" s="7">
        <v>6.8873340000000002E-3</v>
      </c>
      <c r="H65" s="67"/>
    </row>
    <row r="66" spans="1:8" x14ac:dyDescent="0.2">
      <c r="A66" s="3">
        <v>60</v>
      </c>
      <c r="B66" s="4" t="s">
        <v>285</v>
      </c>
      <c r="C66" s="4" t="s">
        <v>286</v>
      </c>
      <c r="D66" s="4" t="s">
        <v>153</v>
      </c>
      <c r="E66" s="5">
        <v>1926</v>
      </c>
      <c r="F66" s="6">
        <v>24.719246999999999</v>
      </c>
      <c r="G66" s="7">
        <v>6.11628E-3</v>
      </c>
      <c r="H66" s="67"/>
    </row>
    <row r="67" spans="1:8" x14ac:dyDescent="0.2">
      <c r="A67" s="3">
        <v>61</v>
      </c>
      <c r="B67" s="4" t="s">
        <v>67</v>
      </c>
      <c r="C67" s="4" t="s">
        <v>68</v>
      </c>
      <c r="D67" s="4" t="s">
        <v>69</v>
      </c>
      <c r="E67" s="5">
        <v>15361</v>
      </c>
      <c r="F67" s="6">
        <v>22.9109315</v>
      </c>
      <c r="G67" s="7">
        <v>5.6688490000000001E-3</v>
      </c>
      <c r="H67" s="67"/>
    </row>
    <row r="68" spans="1:8" x14ac:dyDescent="0.2">
      <c r="A68" s="3">
        <v>62</v>
      </c>
      <c r="B68" s="4" t="s">
        <v>283</v>
      </c>
      <c r="C68" s="4" t="s">
        <v>284</v>
      </c>
      <c r="D68" s="4" t="s">
        <v>166</v>
      </c>
      <c r="E68" s="5">
        <v>3830</v>
      </c>
      <c r="F68" s="6">
        <v>17.351814999999998</v>
      </c>
      <c r="G68" s="7">
        <v>4.2933570000000002E-3</v>
      </c>
      <c r="H68" s="67"/>
    </row>
    <row r="69" spans="1:8" x14ac:dyDescent="0.2">
      <c r="A69" s="3">
        <v>63</v>
      </c>
      <c r="B69" s="4" t="s">
        <v>287</v>
      </c>
      <c r="C69" s="4" t="s">
        <v>288</v>
      </c>
      <c r="D69" s="4" t="s">
        <v>1001</v>
      </c>
      <c r="E69" s="5">
        <v>1014</v>
      </c>
      <c r="F69" s="6">
        <v>4.5635070000000004</v>
      </c>
      <c r="G69" s="7">
        <v>1.129148E-3</v>
      </c>
      <c r="H69" s="67"/>
    </row>
    <row r="70" spans="1:8" x14ac:dyDescent="0.2">
      <c r="A70" s="3">
        <v>64</v>
      </c>
      <c r="B70" s="4" t="s">
        <v>277</v>
      </c>
      <c r="C70" s="4" t="s">
        <v>278</v>
      </c>
      <c r="D70" s="4" t="s">
        <v>187</v>
      </c>
      <c r="E70" s="5">
        <v>831</v>
      </c>
      <c r="F70" s="6">
        <v>3.2483789999999999</v>
      </c>
      <c r="G70" s="7">
        <v>8.0374600000000004E-4</v>
      </c>
      <c r="H70" s="67"/>
    </row>
    <row r="71" spans="1:8" x14ac:dyDescent="0.2">
      <c r="A71" s="1"/>
      <c r="B71" s="1"/>
      <c r="C71" s="2" t="s">
        <v>105</v>
      </c>
      <c r="D71" s="1"/>
      <c r="E71" s="1" t="s">
        <v>106</v>
      </c>
      <c r="F71" s="9">
        <v>3947.3908695</v>
      </c>
      <c r="G71" s="10">
        <v>0.97670242399999996</v>
      </c>
      <c r="H71" s="67"/>
    </row>
    <row r="72" spans="1:8" x14ac:dyDescent="0.2">
      <c r="A72" s="1"/>
      <c r="B72" s="1"/>
      <c r="C72" s="11"/>
      <c r="D72" s="1"/>
      <c r="E72" s="1"/>
      <c r="F72" s="12"/>
      <c r="G72" s="12"/>
      <c r="H72" s="67"/>
    </row>
    <row r="73" spans="1:8" x14ac:dyDescent="0.2">
      <c r="A73" s="1"/>
      <c r="B73" s="1"/>
      <c r="C73" s="2" t="s">
        <v>107</v>
      </c>
      <c r="D73" s="1"/>
      <c r="E73" s="1"/>
      <c r="F73" s="1"/>
      <c r="G73" s="1"/>
      <c r="H73" s="67"/>
    </row>
    <row r="74" spans="1:8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">
        <v>0</v>
      </c>
      <c r="H74" s="67"/>
    </row>
    <row r="75" spans="1:8" x14ac:dyDescent="0.2">
      <c r="A75" s="1"/>
      <c r="B75" s="1"/>
      <c r="C75" s="11"/>
      <c r="D75" s="1"/>
      <c r="E75" s="1"/>
      <c r="F75" s="12"/>
      <c r="G75" s="12"/>
      <c r="H75" s="67"/>
    </row>
    <row r="76" spans="1:8" x14ac:dyDescent="0.2">
      <c r="A76" s="1"/>
      <c r="B76" s="1"/>
      <c r="C76" s="2" t="s">
        <v>108</v>
      </c>
      <c r="D76" s="1"/>
      <c r="E76" s="1"/>
      <c r="F76" s="1"/>
      <c r="G76" s="1"/>
      <c r="H76" s="67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7"/>
    </row>
    <row r="78" spans="1:8" x14ac:dyDescent="0.2">
      <c r="A78" s="1"/>
      <c r="B78" s="1"/>
      <c r="C78" s="11"/>
      <c r="D78" s="1"/>
      <c r="E78" s="1"/>
      <c r="F78" s="12"/>
      <c r="G78" s="12"/>
      <c r="H78" s="67"/>
    </row>
    <row r="79" spans="1:8" x14ac:dyDescent="0.2">
      <c r="A79" s="1"/>
      <c r="B79" s="1"/>
      <c r="C79" s="2" t="s">
        <v>109</v>
      </c>
      <c r="D79" s="1"/>
      <c r="E79" s="1"/>
      <c r="F79" s="1"/>
      <c r="G79" s="1"/>
      <c r="H79" s="67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7"/>
    </row>
    <row r="81" spans="1:8" x14ac:dyDescent="0.2">
      <c r="A81" s="1"/>
      <c r="B81" s="1"/>
      <c r="C81" s="11"/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110</v>
      </c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7"/>
    </row>
    <row r="84" spans="1:8" x14ac:dyDescent="0.2">
      <c r="A84" s="1"/>
      <c r="B84" s="1"/>
      <c r="C84" s="11"/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111</v>
      </c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7"/>
    </row>
    <row r="87" spans="1:8" x14ac:dyDescent="0.2">
      <c r="A87" s="1"/>
      <c r="B87" s="1"/>
      <c r="C87" s="11"/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112</v>
      </c>
      <c r="D88" s="1"/>
      <c r="E88" s="1"/>
      <c r="F88" s="9">
        <v>3947.3908695</v>
      </c>
      <c r="G88" s="10">
        <v>0.97670242399999996</v>
      </c>
      <c r="H88" s="67"/>
    </row>
    <row r="89" spans="1:8" x14ac:dyDescent="0.2">
      <c r="A89" s="1"/>
      <c r="B89" s="1"/>
      <c r="C89" s="11"/>
      <c r="D89" s="1"/>
      <c r="E89" s="1"/>
      <c r="F89" s="12"/>
      <c r="G89" s="12"/>
      <c r="H89" s="67"/>
    </row>
    <row r="90" spans="1:8" x14ac:dyDescent="0.2">
      <c r="A90" s="1"/>
      <c r="B90" s="1"/>
      <c r="C90" s="2" t="s">
        <v>113</v>
      </c>
      <c r="D90" s="1"/>
      <c r="E90" s="1"/>
      <c r="F90" s="12"/>
      <c r="G90" s="12"/>
      <c r="H90" s="67"/>
    </row>
    <row r="91" spans="1:8" ht="25.5" x14ac:dyDescent="0.2">
      <c r="A91" s="1"/>
      <c r="B91" s="1"/>
      <c r="C91" s="2" t="s">
        <v>10</v>
      </c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7"/>
    </row>
    <row r="93" spans="1:8" x14ac:dyDescent="0.2">
      <c r="A93" s="1"/>
      <c r="B93" s="1"/>
      <c r="C93" s="11"/>
      <c r="D93" s="1"/>
      <c r="E93" s="1"/>
      <c r="F93" s="12"/>
      <c r="G93" s="12"/>
      <c r="H93" s="67"/>
    </row>
    <row r="94" spans="1:8" x14ac:dyDescent="0.2">
      <c r="A94" s="1"/>
      <c r="B94" s="1"/>
      <c r="C94" s="2" t="s">
        <v>114</v>
      </c>
      <c r="D94" s="1"/>
      <c r="E94" s="1"/>
      <c r="F94" s="1"/>
      <c r="G94" s="1"/>
      <c r="H94" s="67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7"/>
    </row>
    <row r="96" spans="1:8" x14ac:dyDescent="0.2">
      <c r="A96" s="1"/>
      <c r="B96" s="1"/>
      <c r="C96" s="11"/>
      <c r="D96" s="1"/>
      <c r="E96" s="1"/>
      <c r="F96" s="12"/>
      <c r="G96" s="12"/>
      <c r="H96" s="67"/>
    </row>
    <row r="97" spans="1:8" x14ac:dyDescent="0.2">
      <c r="A97" s="1"/>
      <c r="B97" s="1"/>
      <c r="C97" s="2" t="s">
        <v>115</v>
      </c>
      <c r="D97" s="1"/>
      <c r="E97" s="1"/>
      <c r="F97" s="1"/>
      <c r="G97" s="1"/>
      <c r="H97" s="67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7"/>
    </row>
    <row r="99" spans="1:8" x14ac:dyDescent="0.2">
      <c r="A99" s="1"/>
      <c r="B99" s="1"/>
      <c r="C99" s="11"/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116</v>
      </c>
      <c r="D100" s="1"/>
      <c r="E100" s="1"/>
      <c r="F100" s="12"/>
      <c r="G100" s="12"/>
      <c r="H100" s="67"/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">
        <v>0</v>
      </c>
      <c r="H101" s="67"/>
    </row>
    <row r="102" spans="1:8" x14ac:dyDescent="0.2">
      <c r="A102" s="1"/>
      <c r="B102" s="1"/>
      <c r="C102" s="11"/>
      <c r="D102" s="1"/>
      <c r="E102" s="1"/>
      <c r="F102" s="12"/>
      <c r="G102" s="12"/>
      <c r="H102" s="67"/>
    </row>
    <row r="103" spans="1:8" x14ac:dyDescent="0.2">
      <c r="A103" s="1"/>
      <c r="B103" s="1"/>
      <c r="C103" s="2" t="s">
        <v>117</v>
      </c>
      <c r="D103" s="1"/>
      <c r="E103" s="1"/>
      <c r="F103" s="9">
        <v>0</v>
      </c>
      <c r="G103" s="10">
        <v>0</v>
      </c>
      <c r="H103" s="67"/>
    </row>
    <row r="104" spans="1:8" x14ac:dyDescent="0.2">
      <c r="A104" s="1"/>
      <c r="B104" s="1"/>
      <c r="C104" s="11"/>
      <c r="D104" s="1"/>
      <c r="E104" s="1"/>
      <c r="F104" s="12"/>
      <c r="G104" s="12"/>
      <c r="H104" s="67"/>
    </row>
    <row r="105" spans="1:8" x14ac:dyDescent="0.2">
      <c r="A105" s="1"/>
      <c r="B105" s="1"/>
      <c r="C105" s="2" t="s">
        <v>118</v>
      </c>
      <c r="D105" s="1"/>
      <c r="E105" s="1"/>
      <c r="F105" s="12"/>
      <c r="G105" s="12"/>
      <c r="H105" s="67"/>
    </row>
    <row r="106" spans="1:8" x14ac:dyDescent="0.2">
      <c r="A106" s="1"/>
      <c r="B106" s="1"/>
      <c r="C106" s="2" t="s">
        <v>119</v>
      </c>
      <c r="D106" s="1"/>
      <c r="E106" s="1"/>
      <c r="F106" s="12"/>
      <c r="G106" s="12"/>
      <c r="H106" s="67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">
        <v>0</v>
      </c>
      <c r="H107" s="67"/>
    </row>
    <row r="108" spans="1:8" x14ac:dyDescent="0.2">
      <c r="A108" s="1"/>
      <c r="B108" s="1"/>
      <c r="C108" s="11"/>
      <c r="D108" s="1"/>
      <c r="E108" s="1"/>
      <c r="F108" s="12"/>
      <c r="G108" s="12"/>
      <c r="H108" s="67"/>
    </row>
    <row r="109" spans="1:8" x14ac:dyDescent="0.2">
      <c r="A109" s="1"/>
      <c r="B109" s="1"/>
      <c r="C109" s="2" t="s">
        <v>120</v>
      </c>
      <c r="D109" s="1"/>
      <c r="E109" s="1"/>
      <c r="F109" s="12"/>
      <c r="G109" s="12"/>
      <c r="H109" s="67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7"/>
    </row>
    <row r="111" spans="1:8" x14ac:dyDescent="0.2">
      <c r="A111" s="1"/>
      <c r="B111" s="1"/>
      <c r="C111" s="11"/>
      <c r="D111" s="1"/>
      <c r="E111" s="1"/>
      <c r="F111" s="12"/>
      <c r="G111" s="12"/>
      <c r="H111" s="67"/>
    </row>
    <row r="112" spans="1:8" x14ac:dyDescent="0.2">
      <c r="A112" s="1"/>
      <c r="B112" s="1"/>
      <c r="C112" s="2" t="s">
        <v>121</v>
      </c>
      <c r="D112" s="1"/>
      <c r="E112" s="1"/>
      <c r="F112" s="12"/>
      <c r="G112" s="12"/>
      <c r="H112" s="67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">
        <v>0</v>
      </c>
      <c r="H113" s="67"/>
    </row>
    <row r="114" spans="1:8" x14ac:dyDescent="0.2">
      <c r="A114" s="1"/>
      <c r="B114" s="1"/>
      <c r="C114" s="11"/>
      <c r="D114" s="1"/>
      <c r="E114" s="1"/>
      <c r="F114" s="12"/>
      <c r="G114" s="12"/>
      <c r="H114" s="67"/>
    </row>
    <row r="115" spans="1:8" x14ac:dyDescent="0.2">
      <c r="A115" s="1"/>
      <c r="B115" s="1"/>
      <c r="C115" s="2" t="s">
        <v>122</v>
      </c>
      <c r="D115" s="1"/>
      <c r="E115" s="1"/>
      <c r="F115" s="12"/>
      <c r="G115" s="12"/>
      <c r="H115" s="67"/>
    </row>
    <row r="116" spans="1:8" x14ac:dyDescent="0.2">
      <c r="A116" s="3">
        <v>1</v>
      </c>
      <c r="B116" s="4"/>
      <c r="C116" s="4" t="s">
        <v>123</v>
      </c>
      <c r="D116" s="4"/>
      <c r="E116" s="8"/>
      <c r="F116" s="6">
        <v>103.27461529999999</v>
      </c>
      <c r="G116" s="7">
        <v>2.5553224999999999E-2</v>
      </c>
      <c r="H116" s="67">
        <v>3.1047477660654299</v>
      </c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9">
        <v>103.27461529999999</v>
      </c>
      <c r="G117" s="10">
        <v>2.5553224999999999E-2</v>
      </c>
      <c r="H117" s="67"/>
    </row>
    <row r="118" spans="1:8" x14ac:dyDescent="0.2">
      <c r="A118" s="1"/>
      <c r="B118" s="1"/>
      <c r="C118" s="11"/>
      <c r="D118" s="1"/>
      <c r="E118" s="1"/>
      <c r="F118" s="12"/>
      <c r="G118" s="12"/>
      <c r="H118" s="67"/>
    </row>
    <row r="119" spans="1:8" x14ac:dyDescent="0.2">
      <c r="A119" s="1"/>
      <c r="B119" s="1"/>
      <c r="C119" s="2" t="s">
        <v>124</v>
      </c>
      <c r="D119" s="1"/>
      <c r="E119" s="1"/>
      <c r="F119" s="9">
        <v>103.27461529999999</v>
      </c>
      <c r="G119" s="10">
        <v>2.5553224999999999E-2</v>
      </c>
      <c r="H119" s="67"/>
    </row>
    <row r="120" spans="1:8" x14ac:dyDescent="0.2">
      <c r="A120" s="1"/>
      <c r="B120" s="1"/>
      <c r="C120" s="12"/>
      <c r="D120" s="1"/>
      <c r="E120" s="1"/>
      <c r="F120" s="1"/>
      <c r="G120" s="1"/>
      <c r="H120" s="67"/>
    </row>
    <row r="121" spans="1:8" x14ac:dyDescent="0.2">
      <c r="A121" s="1"/>
      <c r="B121" s="1"/>
      <c r="C121" s="2" t="s">
        <v>125</v>
      </c>
      <c r="D121" s="1"/>
      <c r="E121" s="1"/>
      <c r="F121" s="1"/>
      <c r="G121" s="1"/>
      <c r="H121" s="67"/>
    </row>
    <row r="122" spans="1:8" x14ac:dyDescent="0.2">
      <c r="A122" s="1"/>
      <c r="B122" s="1"/>
      <c r="C122" s="2" t="s">
        <v>126</v>
      </c>
      <c r="D122" s="1"/>
      <c r="E122" s="1"/>
      <c r="F122" s="1"/>
      <c r="G122" s="1"/>
      <c r="H122" s="67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7"/>
    </row>
    <row r="124" spans="1:8" x14ac:dyDescent="0.2">
      <c r="A124" s="1"/>
      <c r="B124" s="1"/>
      <c r="C124" s="11"/>
      <c r="D124" s="1"/>
      <c r="E124" s="1"/>
      <c r="F124" s="12"/>
      <c r="G124" s="12"/>
      <c r="H124" s="67"/>
    </row>
    <row r="125" spans="1:8" x14ac:dyDescent="0.2">
      <c r="A125" s="1"/>
      <c r="B125" s="1"/>
      <c r="C125" s="2" t="s">
        <v>127</v>
      </c>
      <c r="D125" s="1"/>
      <c r="E125" s="1"/>
      <c r="F125" s="1"/>
      <c r="G125" s="1"/>
      <c r="H125" s="67"/>
    </row>
    <row r="126" spans="1:8" x14ac:dyDescent="0.2">
      <c r="A126" s="1"/>
      <c r="B126" s="1"/>
      <c r="C126" s="2" t="s">
        <v>128</v>
      </c>
      <c r="D126" s="1"/>
      <c r="E126" s="1"/>
      <c r="F126" s="1"/>
      <c r="G126" s="1"/>
      <c r="H126" s="67"/>
    </row>
    <row r="127" spans="1:8" x14ac:dyDescent="0.2">
      <c r="A127" s="1"/>
      <c r="B127" s="1"/>
      <c r="C127" s="2" t="s">
        <v>105</v>
      </c>
      <c r="D127" s="1"/>
      <c r="E127" s="1" t="s">
        <v>106</v>
      </c>
      <c r="F127" s="13">
        <v>0</v>
      </c>
      <c r="G127" s="14">
        <v>0</v>
      </c>
      <c r="H127" s="67"/>
    </row>
    <row r="128" spans="1:8" x14ac:dyDescent="0.2">
      <c r="A128" s="1"/>
      <c r="B128" s="1"/>
      <c r="C128" s="11"/>
      <c r="D128" s="1"/>
      <c r="E128" s="1"/>
      <c r="F128" s="12"/>
      <c r="G128" s="12"/>
      <c r="H128" s="67"/>
    </row>
    <row r="129" spans="1:8" x14ac:dyDescent="0.2">
      <c r="A129" s="1"/>
      <c r="B129" s="1"/>
      <c r="C129" s="11"/>
      <c r="D129" s="1"/>
      <c r="E129" s="1"/>
      <c r="F129" s="12"/>
      <c r="G129" s="12"/>
      <c r="H129" s="67"/>
    </row>
    <row r="130" spans="1:8" ht="25.5" x14ac:dyDescent="0.2">
      <c r="A130" s="1"/>
      <c r="B130" s="1"/>
      <c r="C130" s="2" t="s">
        <v>129</v>
      </c>
      <c r="D130" s="1"/>
      <c r="E130" s="1"/>
      <c r="F130" s="12"/>
      <c r="G130" s="12"/>
      <c r="H130" s="67"/>
    </row>
    <row r="131" spans="1:8" x14ac:dyDescent="0.2">
      <c r="A131" s="1"/>
      <c r="B131" s="1"/>
      <c r="C131" s="2" t="s">
        <v>105</v>
      </c>
      <c r="D131" s="1"/>
      <c r="E131" s="1" t="s">
        <v>106</v>
      </c>
      <c r="F131" s="13">
        <v>0</v>
      </c>
      <c r="G131" s="14">
        <v>0</v>
      </c>
      <c r="H131" s="67"/>
    </row>
    <row r="132" spans="1:8" x14ac:dyDescent="0.2">
      <c r="A132" s="1"/>
      <c r="B132" s="1"/>
      <c r="C132" s="11"/>
      <c r="D132" s="1"/>
      <c r="E132" s="1"/>
      <c r="F132" s="12"/>
      <c r="G132" s="12"/>
      <c r="H132" s="67"/>
    </row>
    <row r="133" spans="1:8" x14ac:dyDescent="0.2">
      <c r="A133" s="1"/>
      <c r="B133" s="4"/>
      <c r="C133" s="4"/>
      <c r="D133" s="2"/>
      <c r="E133" s="1"/>
      <c r="F133" s="4"/>
      <c r="G133" s="8"/>
      <c r="H133" s="67"/>
    </row>
    <row r="134" spans="1:8" x14ac:dyDescent="0.2">
      <c r="A134" s="8"/>
      <c r="B134" s="4"/>
      <c r="C134" s="4" t="s">
        <v>130</v>
      </c>
      <c r="D134" s="4"/>
      <c r="E134" s="8"/>
      <c r="F134" s="6">
        <v>-9.1163252900000007</v>
      </c>
      <c r="G134" s="7">
        <v>-2.255651E-3</v>
      </c>
      <c r="H134" s="67"/>
    </row>
    <row r="135" spans="1:8" x14ac:dyDescent="0.2">
      <c r="A135" s="11"/>
      <c r="B135" s="11"/>
      <c r="C135" s="2" t="s">
        <v>131</v>
      </c>
      <c r="D135" s="15"/>
      <c r="E135" s="15"/>
      <c r="F135" s="9">
        <v>4041.5491595100002</v>
      </c>
      <c r="G135" s="10">
        <v>0.99999999799999995</v>
      </c>
      <c r="H135" s="67"/>
    </row>
    <row r="136" spans="1:8" ht="14.1" customHeight="1" x14ac:dyDescent="0.2">
      <c r="A136" s="16"/>
      <c r="B136" s="16"/>
      <c r="C136" s="16"/>
      <c r="D136" s="17"/>
      <c r="E136" s="17"/>
      <c r="F136" s="17"/>
      <c r="G136" s="17"/>
    </row>
    <row r="137" spans="1:8" ht="14.1" customHeight="1" x14ac:dyDescent="0.2">
      <c r="A137" s="18"/>
      <c r="B137" s="170" t="s">
        <v>106</v>
      </c>
      <c r="C137" s="170"/>
      <c r="D137" s="170"/>
      <c r="E137" s="170"/>
      <c r="F137" s="170"/>
      <c r="G137" s="20"/>
    </row>
    <row r="138" spans="1:8" ht="14.1" customHeight="1" x14ac:dyDescent="0.2">
      <c r="A138" s="18"/>
      <c r="B138" s="170" t="s">
        <v>106</v>
      </c>
      <c r="C138" s="170"/>
      <c r="D138" s="170"/>
      <c r="E138" s="170"/>
      <c r="F138" s="170"/>
      <c r="G138" s="20"/>
    </row>
    <row r="139" spans="1:8" ht="14.1" customHeight="1" x14ac:dyDescent="0.2">
      <c r="A139" s="18"/>
      <c r="B139" s="18"/>
      <c r="C139" s="18"/>
      <c r="D139" s="20"/>
      <c r="E139" s="20"/>
      <c r="F139" s="20"/>
      <c r="G139" s="20"/>
    </row>
    <row r="140" spans="1:8" ht="14.1" customHeight="1" x14ac:dyDescent="0.2">
      <c r="A140" s="18"/>
      <c r="B140" s="168" t="s">
        <v>133</v>
      </c>
      <c r="C140" s="169"/>
      <c r="D140" s="12" t="s">
        <v>106</v>
      </c>
      <c r="E140" s="21"/>
      <c r="F140" s="20"/>
      <c r="G140" s="20"/>
    </row>
    <row r="141" spans="1:8" ht="29.1" customHeight="1" x14ac:dyDescent="0.2">
      <c r="A141" s="18"/>
      <c r="B141" s="165" t="s">
        <v>134</v>
      </c>
      <c r="C141" s="166"/>
      <c r="D141" s="2" t="s">
        <v>135</v>
      </c>
      <c r="E141" s="21"/>
      <c r="F141" s="20"/>
      <c r="G141" s="20"/>
    </row>
    <row r="142" spans="1:8" ht="17.100000000000001" customHeight="1" x14ac:dyDescent="0.2">
      <c r="A142" s="18"/>
      <c r="B142" s="165" t="s">
        <v>136</v>
      </c>
      <c r="C142" s="166"/>
      <c r="D142" s="2" t="s">
        <v>135</v>
      </c>
      <c r="E142" s="21"/>
      <c r="F142" s="20"/>
      <c r="G142" s="20"/>
    </row>
    <row r="143" spans="1:8" ht="17.100000000000001" customHeight="1" x14ac:dyDescent="0.2">
      <c r="A143" s="18"/>
      <c r="B143" s="165" t="s">
        <v>137</v>
      </c>
      <c r="C143" s="166"/>
      <c r="D143" s="12" t="s">
        <v>106</v>
      </c>
      <c r="E143" s="21"/>
      <c r="F143" s="20"/>
      <c r="G143" s="20"/>
    </row>
    <row r="144" spans="1:8" ht="24" customHeight="1" x14ac:dyDescent="0.2">
      <c r="A144" s="22"/>
      <c r="B144" s="23" t="s">
        <v>106</v>
      </c>
      <c r="C144" s="23" t="s">
        <v>138</v>
      </c>
      <c r="D144" s="23" t="s">
        <v>139</v>
      </c>
      <c r="E144" s="22"/>
      <c r="F144" s="22"/>
      <c r="G144" s="22"/>
    </row>
    <row r="145" spans="1:7" ht="18" customHeight="1" x14ac:dyDescent="0.2">
      <c r="A145" s="22"/>
      <c r="B145" s="23" t="s">
        <v>140</v>
      </c>
      <c r="C145" s="23" t="s">
        <v>141</v>
      </c>
      <c r="D145" s="23" t="s">
        <v>142</v>
      </c>
      <c r="E145" s="22"/>
      <c r="F145" s="22"/>
      <c r="G145" s="22"/>
    </row>
    <row r="146" spans="1:7" ht="17.100000000000001" customHeight="1" x14ac:dyDescent="0.2">
      <c r="A146" s="22"/>
      <c r="B146" s="4" t="s">
        <v>143</v>
      </c>
      <c r="C146" s="24">
        <v>14.959300000000001</v>
      </c>
      <c r="D146" s="24">
        <v>14.841200000000001</v>
      </c>
      <c r="E146" s="22"/>
      <c r="F146" s="19"/>
      <c r="G146" s="25"/>
    </row>
    <row r="147" spans="1:7" ht="17.100000000000001" customHeight="1" x14ac:dyDescent="0.2">
      <c r="A147" s="22"/>
      <c r="B147" s="4" t="s">
        <v>988</v>
      </c>
      <c r="C147" s="24">
        <v>14.9594</v>
      </c>
      <c r="D147" s="24">
        <v>14.841200000000001</v>
      </c>
      <c r="E147" s="22"/>
      <c r="F147" s="19"/>
      <c r="G147" s="25"/>
    </row>
    <row r="148" spans="1:7" ht="17.100000000000001" customHeight="1" x14ac:dyDescent="0.2">
      <c r="A148" s="22"/>
      <c r="B148" s="4" t="s">
        <v>144</v>
      </c>
      <c r="C148" s="24">
        <v>14.672700000000001</v>
      </c>
      <c r="D148" s="24">
        <v>14.554500000000001</v>
      </c>
      <c r="E148" s="22"/>
      <c r="F148" s="19"/>
      <c r="G148" s="25"/>
    </row>
    <row r="149" spans="1:7" ht="17.100000000000001" customHeight="1" x14ac:dyDescent="0.2">
      <c r="A149" s="22"/>
      <c r="B149" s="4" t="s">
        <v>989</v>
      </c>
      <c r="C149" s="24">
        <v>14.672700000000001</v>
      </c>
      <c r="D149" s="24">
        <v>14.554500000000001</v>
      </c>
      <c r="E149" s="22"/>
      <c r="F149" s="19"/>
      <c r="G149" s="25"/>
    </row>
    <row r="150" spans="1:7" ht="14.1" customHeight="1" x14ac:dyDescent="0.2">
      <c r="A150" s="22"/>
      <c r="B150" s="22"/>
      <c r="C150" s="22"/>
      <c r="D150" s="22"/>
      <c r="E150" s="22"/>
      <c r="F150" s="22"/>
      <c r="G150" s="22"/>
    </row>
    <row r="151" spans="1:7" ht="17.100000000000001" customHeight="1" x14ac:dyDescent="0.2">
      <c r="A151" s="22"/>
      <c r="B151" s="165" t="s">
        <v>990</v>
      </c>
      <c r="C151" s="166"/>
      <c r="D151" s="2" t="s">
        <v>135</v>
      </c>
      <c r="E151" s="22"/>
      <c r="F151" s="22"/>
      <c r="G151" s="22"/>
    </row>
    <row r="152" spans="1:7" ht="18" customHeight="1" x14ac:dyDescent="0.2">
      <c r="A152" s="22"/>
      <c r="B152" s="26" t="s">
        <v>145</v>
      </c>
      <c r="C152" s="26" t="s">
        <v>145</v>
      </c>
      <c r="D152" s="26"/>
      <c r="E152" s="22"/>
      <c r="F152" s="22"/>
      <c r="G152" s="22"/>
    </row>
    <row r="153" spans="1:7" s="158" customFormat="1" x14ac:dyDescent="0.2">
      <c r="B153" s="167" t="s">
        <v>822</v>
      </c>
      <c r="C153" s="167"/>
      <c r="D153" s="167"/>
      <c r="E153" s="167"/>
      <c r="F153" s="167"/>
    </row>
    <row r="154" spans="1:7" ht="14.1" customHeight="1" x14ac:dyDescent="0.2">
      <c r="A154" s="22"/>
      <c r="B154" s="19"/>
      <c r="C154" s="19"/>
      <c r="D154" s="22"/>
      <c r="E154" s="22"/>
      <c r="F154" s="22"/>
      <c r="G154" s="22"/>
    </row>
    <row r="155" spans="1:7" ht="29.1" customHeight="1" x14ac:dyDescent="0.2">
      <c r="A155" s="22"/>
      <c r="B155" s="165" t="s">
        <v>146</v>
      </c>
      <c r="C155" s="166"/>
      <c r="D155" s="2" t="s">
        <v>135</v>
      </c>
      <c r="E155" s="22"/>
      <c r="F155" s="22"/>
      <c r="G155" s="22"/>
    </row>
    <row r="156" spans="1:7" ht="29.1" customHeight="1" x14ac:dyDescent="0.2">
      <c r="A156" s="22"/>
      <c r="B156" s="165" t="s">
        <v>147</v>
      </c>
      <c r="C156" s="166"/>
      <c r="D156" s="2" t="s">
        <v>135</v>
      </c>
      <c r="E156" s="22"/>
      <c r="F156" s="22"/>
      <c r="G156" s="22"/>
    </row>
    <row r="157" spans="1:7" ht="17.100000000000001" customHeight="1" x14ac:dyDescent="0.2">
      <c r="A157" s="22"/>
      <c r="B157" s="165" t="s">
        <v>148</v>
      </c>
      <c r="C157" s="166"/>
      <c r="D157" s="27">
        <v>0.38576102441848314</v>
      </c>
      <c r="E157" s="22"/>
      <c r="F157" s="19"/>
      <c r="G157" s="25"/>
    </row>
    <row r="158" spans="1:7" ht="17.100000000000001" customHeight="1" x14ac:dyDescent="0.2">
      <c r="A158" s="22"/>
      <c r="B158" s="165" t="s">
        <v>149</v>
      </c>
      <c r="C158" s="166"/>
      <c r="D158" s="2" t="s">
        <v>135</v>
      </c>
      <c r="E158" s="22"/>
      <c r="F158" s="22"/>
      <c r="G158" s="22"/>
    </row>
  </sheetData>
  <mergeCells count="15">
    <mergeCell ref="B140:C140"/>
    <mergeCell ref="B137:F137"/>
    <mergeCell ref="B138:F138"/>
    <mergeCell ref="A1:H1"/>
    <mergeCell ref="A2:H2"/>
    <mergeCell ref="A3:H3"/>
    <mergeCell ref="B157:C157"/>
    <mergeCell ref="B158:C158"/>
    <mergeCell ref="B141:C141"/>
    <mergeCell ref="B142:C142"/>
    <mergeCell ref="B143:C143"/>
    <mergeCell ref="B151:C151"/>
    <mergeCell ref="B155:C155"/>
    <mergeCell ref="B156:C156"/>
    <mergeCell ref="B153:F15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H16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505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160</v>
      </c>
      <c r="C7" s="4" t="s">
        <v>161</v>
      </c>
      <c r="D7" s="4" t="s">
        <v>1003</v>
      </c>
      <c r="E7" s="5">
        <v>11809</v>
      </c>
      <c r="F7" s="6">
        <v>142.58186599999999</v>
      </c>
      <c r="G7" s="7">
        <v>3.3993354000000003E-2</v>
      </c>
      <c r="H7" s="67"/>
    </row>
    <row r="8" spans="1:8" x14ac:dyDescent="0.2">
      <c r="A8" s="3">
        <v>2</v>
      </c>
      <c r="B8" s="4" t="s">
        <v>151</v>
      </c>
      <c r="C8" s="4" t="s">
        <v>152</v>
      </c>
      <c r="D8" s="4" t="s">
        <v>153</v>
      </c>
      <c r="E8" s="5">
        <v>3379</v>
      </c>
      <c r="F8" s="6">
        <v>136.09260399999999</v>
      </c>
      <c r="G8" s="7">
        <v>3.244623E-2</v>
      </c>
      <c r="H8" s="67"/>
    </row>
    <row r="9" spans="1:8" x14ac:dyDescent="0.2">
      <c r="A9" s="3">
        <v>3</v>
      </c>
      <c r="B9" s="4" t="s">
        <v>158</v>
      </c>
      <c r="C9" s="4" t="s">
        <v>159</v>
      </c>
      <c r="D9" s="4" t="s">
        <v>27</v>
      </c>
      <c r="E9" s="5">
        <v>17182</v>
      </c>
      <c r="F9" s="6">
        <v>130.94402199999999</v>
      </c>
      <c r="G9" s="7">
        <v>3.1218742000000001E-2</v>
      </c>
      <c r="H9" s="67"/>
    </row>
    <row r="10" spans="1:8" x14ac:dyDescent="0.2">
      <c r="A10" s="3">
        <v>4</v>
      </c>
      <c r="B10" s="4" t="s">
        <v>169</v>
      </c>
      <c r="C10" s="4" t="s">
        <v>170</v>
      </c>
      <c r="D10" s="4" t="s">
        <v>171</v>
      </c>
      <c r="E10" s="5">
        <v>17672</v>
      </c>
      <c r="F10" s="6">
        <v>127.76855999999999</v>
      </c>
      <c r="G10" s="7">
        <v>3.0461670999999999E-2</v>
      </c>
      <c r="H10" s="67"/>
    </row>
    <row r="11" spans="1:8" x14ac:dyDescent="0.2">
      <c r="A11" s="3">
        <v>5</v>
      </c>
      <c r="B11" s="4" t="s">
        <v>154</v>
      </c>
      <c r="C11" s="4" t="s">
        <v>155</v>
      </c>
      <c r="D11" s="4" t="s">
        <v>81</v>
      </c>
      <c r="E11" s="5">
        <v>102135</v>
      </c>
      <c r="F11" s="6">
        <v>120.417165</v>
      </c>
      <c r="G11" s="7">
        <v>2.8709003E-2</v>
      </c>
      <c r="H11" s="67"/>
    </row>
    <row r="12" spans="1:8" x14ac:dyDescent="0.2">
      <c r="A12" s="3">
        <v>6</v>
      </c>
      <c r="B12" s="4" t="s">
        <v>162</v>
      </c>
      <c r="C12" s="4" t="s">
        <v>163</v>
      </c>
      <c r="D12" s="4" t="s">
        <v>27</v>
      </c>
      <c r="E12" s="5">
        <v>14589</v>
      </c>
      <c r="F12" s="6">
        <v>111.5256105</v>
      </c>
      <c r="G12" s="7">
        <v>2.6589142E-2</v>
      </c>
      <c r="H12" s="67"/>
    </row>
    <row r="13" spans="1:8" x14ac:dyDescent="0.2">
      <c r="A13" s="3">
        <v>7</v>
      </c>
      <c r="B13" s="4" t="s">
        <v>466</v>
      </c>
      <c r="C13" s="4" t="s">
        <v>467</v>
      </c>
      <c r="D13" s="4" t="s">
        <v>187</v>
      </c>
      <c r="E13" s="5">
        <v>17233</v>
      </c>
      <c r="F13" s="6">
        <v>108.878094</v>
      </c>
      <c r="G13" s="7">
        <v>2.5957939999999999E-2</v>
      </c>
      <c r="H13" s="67"/>
    </row>
    <row r="14" spans="1:8" x14ac:dyDescent="0.2">
      <c r="A14" s="3">
        <v>8</v>
      </c>
      <c r="B14" s="4" t="s">
        <v>174</v>
      </c>
      <c r="C14" s="4" t="s">
        <v>175</v>
      </c>
      <c r="D14" s="4" t="s">
        <v>55</v>
      </c>
      <c r="E14" s="5">
        <v>25103</v>
      </c>
      <c r="F14" s="6">
        <v>101.0521265</v>
      </c>
      <c r="G14" s="7">
        <v>2.4092129E-2</v>
      </c>
      <c r="H14" s="67"/>
    </row>
    <row r="15" spans="1:8" ht="25.5" x14ac:dyDescent="0.2">
      <c r="A15" s="3">
        <v>9</v>
      </c>
      <c r="B15" s="4" t="s">
        <v>30</v>
      </c>
      <c r="C15" s="4" t="s">
        <v>998</v>
      </c>
      <c r="D15" s="4" t="s">
        <v>992</v>
      </c>
      <c r="E15" s="5">
        <v>2709</v>
      </c>
      <c r="F15" s="6">
        <v>88.622225999999998</v>
      </c>
      <c r="G15" s="7">
        <v>2.112868E-2</v>
      </c>
      <c r="H15" s="67"/>
    </row>
    <row r="16" spans="1:8" x14ac:dyDescent="0.2">
      <c r="A16" s="3">
        <v>10</v>
      </c>
      <c r="B16" s="4" t="s">
        <v>293</v>
      </c>
      <c r="C16" s="4" t="s">
        <v>294</v>
      </c>
      <c r="D16" s="4" t="s">
        <v>69</v>
      </c>
      <c r="E16" s="5">
        <v>5508</v>
      </c>
      <c r="F16" s="6">
        <v>87.703884000000002</v>
      </c>
      <c r="G16" s="7">
        <v>2.0909736000000002E-2</v>
      </c>
      <c r="H16" s="67"/>
    </row>
    <row r="17" spans="1:8" x14ac:dyDescent="0.2">
      <c r="A17" s="3">
        <v>11</v>
      </c>
      <c r="B17" s="4" t="s">
        <v>164</v>
      </c>
      <c r="C17" s="4" t="s">
        <v>165</v>
      </c>
      <c r="D17" s="4" t="s">
        <v>166</v>
      </c>
      <c r="E17" s="5">
        <v>25859</v>
      </c>
      <c r="F17" s="6">
        <v>87.093112000000005</v>
      </c>
      <c r="G17" s="7">
        <v>2.076412E-2</v>
      </c>
      <c r="H17" s="67"/>
    </row>
    <row r="18" spans="1:8" ht="25.5" x14ac:dyDescent="0.2">
      <c r="A18" s="3">
        <v>12</v>
      </c>
      <c r="B18" s="4" t="s">
        <v>202</v>
      </c>
      <c r="C18" s="4" t="s">
        <v>203</v>
      </c>
      <c r="D18" s="4" t="s">
        <v>52</v>
      </c>
      <c r="E18" s="5">
        <v>18670</v>
      </c>
      <c r="F18" s="6">
        <v>87.048874999999995</v>
      </c>
      <c r="G18" s="7">
        <v>2.0753573000000001E-2</v>
      </c>
      <c r="H18" s="67"/>
    </row>
    <row r="19" spans="1:8" x14ac:dyDescent="0.2">
      <c r="A19" s="3">
        <v>13</v>
      </c>
      <c r="B19" s="4" t="s">
        <v>177</v>
      </c>
      <c r="C19" s="4" t="s">
        <v>178</v>
      </c>
      <c r="D19" s="4" t="s">
        <v>179</v>
      </c>
      <c r="E19" s="5">
        <v>36249</v>
      </c>
      <c r="F19" s="6">
        <v>86.816355000000001</v>
      </c>
      <c r="G19" s="7">
        <v>2.0698136999999998E-2</v>
      </c>
      <c r="H19" s="67"/>
    </row>
    <row r="20" spans="1:8" x14ac:dyDescent="0.2">
      <c r="A20" s="3">
        <v>14</v>
      </c>
      <c r="B20" s="4" t="s">
        <v>185</v>
      </c>
      <c r="C20" s="4" t="s">
        <v>186</v>
      </c>
      <c r="D20" s="4" t="s">
        <v>187</v>
      </c>
      <c r="E20" s="5">
        <v>17769</v>
      </c>
      <c r="F20" s="6">
        <v>85.246777499999993</v>
      </c>
      <c r="G20" s="7">
        <v>2.032393E-2</v>
      </c>
      <c r="H20" s="67"/>
    </row>
    <row r="21" spans="1:8" x14ac:dyDescent="0.2">
      <c r="A21" s="3">
        <v>15</v>
      </c>
      <c r="B21" s="4" t="s">
        <v>210</v>
      </c>
      <c r="C21" s="4" t="s">
        <v>211</v>
      </c>
      <c r="D21" s="4" t="s">
        <v>212</v>
      </c>
      <c r="E21" s="5">
        <v>32633</v>
      </c>
      <c r="F21" s="6">
        <v>81.810930999999997</v>
      </c>
      <c r="G21" s="7">
        <v>1.9504779999999999E-2</v>
      </c>
      <c r="H21" s="67"/>
    </row>
    <row r="22" spans="1:8" ht="25.5" x14ac:dyDescent="0.2">
      <c r="A22" s="3">
        <v>16</v>
      </c>
      <c r="B22" s="4" t="s">
        <v>450</v>
      </c>
      <c r="C22" s="4" t="s">
        <v>451</v>
      </c>
      <c r="D22" s="4" t="s">
        <v>36</v>
      </c>
      <c r="E22" s="5">
        <v>5634</v>
      </c>
      <c r="F22" s="6">
        <v>81.785961</v>
      </c>
      <c r="G22" s="7">
        <v>1.9498827E-2</v>
      </c>
      <c r="H22" s="67"/>
    </row>
    <row r="23" spans="1:8" x14ac:dyDescent="0.2">
      <c r="A23" s="3">
        <v>17</v>
      </c>
      <c r="B23" s="4" t="s">
        <v>190</v>
      </c>
      <c r="C23" s="4" t="s">
        <v>191</v>
      </c>
      <c r="D23" s="4" t="s">
        <v>41</v>
      </c>
      <c r="E23" s="5">
        <v>19575</v>
      </c>
      <c r="F23" s="6">
        <v>80.590275000000005</v>
      </c>
      <c r="G23" s="7">
        <v>1.921376E-2</v>
      </c>
      <c r="H23" s="67"/>
    </row>
    <row r="24" spans="1:8" x14ac:dyDescent="0.2">
      <c r="A24" s="3">
        <v>18</v>
      </c>
      <c r="B24" s="4" t="s">
        <v>37</v>
      </c>
      <c r="C24" s="4" t="s">
        <v>38</v>
      </c>
      <c r="D24" s="4" t="s">
        <v>27</v>
      </c>
      <c r="E24" s="5">
        <v>6666</v>
      </c>
      <c r="F24" s="6">
        <v>79.388727000000003</v>
      </c>
      <c r="G24" s="7">
        <v>1.8927295E-2</v>
      </c>
      <c r="H24" s="67"/>
    </row>
    <row r="25" spans="1:8" x14ac:dyDescent="0.2">
      <c r="A25" s="3">
        <v>19</v>
      </c>
      <c r="B25" s="4" t="s">
        <v>167</v>
      </c>
      <c r="C25" s="4" t="s">
        <v>168</v>
      </c>
      <c r="D25" s="4" t="s">
        <v>166</v>
      </c>
      <c r="E25" s="5">
        <v>2353</v>
      </c>
      <c r="F25" s="6">
        <v>78.167836500000007</v>
      </c>
      <c r="G25" s="7">
        <v>1.8636218999999999E-2</v>
      </c>
      <c r="H25" s="67"/>
    </row>
    <row r="26" spans="1:8" x14ac:dyDescent="0.2">
      <c r="A26" s="3">
        <v>20</v>
      </c>
      <c r="B26" s="4" t="s">
        <v>198</v>
      </c>
      <c r="C26" s="4" t="s">
        <v>199</v>
      </c>
      <c r="D26" s="4" t="s">
        <v>166</v>
      </c>
      <c r="E26" s="5">
        <v>7920</v>
      </c>
      <c r="F26" s="6">
        <v>77.41404</v>
      </c>
      <c r="G26" s="7">
        <v>1.8456503999999999E-2</v>
      </c>
      <c r="H26" s="67"/>
    </row>
    <row r="27" spans="1:8" x14ac:dyDescent="0.2">
      <c r="A27" s="3">
        <v>21</v>
      </c>
      <c r="B27" s="4" t="s">
        <v>206</v>
      </c>
      <c r="C27" s="4" t="s">
        <v>207</v>
      </c>
      <c r="D27" s="4" t="s">
        <v>187</v>
      </c>
      <c r="E27" s="5">
        <v>11300</v>
      </c>
      <c r="F27" s="6">
        <v>75.325800000000001</v>
      </c>
      <c r="G27" s="7">
        <v>1.7958641000000001E-2</v>
      </c>
      <c r="H27" s="67"/>
    </row>
    <row r="28" spans="1:8" x14ac:dyDescent="0.2">
      <c r="A28" s="3">
        <v>22</v>
      </c>
      <c r="B28" s="4" t="s">
        <v>77</v>
      </c>
      <c r="C28" s="4" t="s">
        <v>78</v>
      </c>
      <c r="D28" s="4" t="s">
        <v>69</v>
      </c>
      <c r="E28" s="5">
        <v>21150</v>
      </c>
      <c r="F28" s="6">
        <v>70.736175000000003</v>
      </c>
      <c r="G28" s="7">
        <v>1.6864415000000001E-2</v>
      </c>
      <c r="H28" s="67"/>
    </row>
    <row r="29" spans="1:8" x14ac:dyDescent="0.2">
      <c r="A29" s="3">
        <v>23</v>
      </c>
      <c r="B29" s="4" t="s">
        <v>194</v>
      </c>
      <c r="C29" s="4" t="s">
        <v>195</v>
      </c>
      <c r="D29" s="4" t="s">
        <v>55</v>
      </c>
      <c r="E29" s="5">
        <v>7324</v>
      </c>
      <c r="F29" s="6">
        <v>70.588712000000001</v>
      </c>
      <c r="G29" s="7">
        <v>1.6829258E-2</v>
      </c>
      <c r="H29" s="67"/>
    </row>
    <row r="30" spans="1:8" x14ac:dyDescent="0.2">
      <c r="A30" s="3">
        <v>24</v>
      </c>
      <c r="B30" s="4" t="s">
        <v>196</v>
      </c>
      <c r="C30" s="4" t="s">
        <v>197</v>
      </c>
      <c r="D30" s="4" t="s">
        <v>1004</v>
      </c>
      <c r="E30" s="5">
        <v>22539</v>
      </c>
      <c r="F30" s="6">
        <v>69.701857500000003</v>
      </c>
      <c r="G30" s="7">
        <v>1.6617821000000001E-2</v>
      </c>
      <c r="H30" s="67"/>
    </row>
    <row r="31" spans="1:8" x14ac:dyDescent="0.2">
      <c r="A31" s="3">
        <v>25</v>
      </c>
      <c r="B31" s="4" t="s">
        <v>204</v>
      </c>
      <c r="C31" s="4" t="s">
        <v>205</v>
      </c>
      <c r="D31" s="4" t="s">
        <v>27</v>
      </c>
      <c r="E31" s="5">
        <v>4150</v>
      </c>
      <c r="F31" s="6">
        <v>68.916974999999994</v>
      </c>
      <c r="G31" s="7">
        <v>1.6430694999999999E-2</v>
      </c>
      <c r="H31" s="67"/>
    </row>
    <row r="32" spans="1:8" x14ac:dyDescent="0.2">
      <c r="A32" s="3">
        <v>26</v>
      </c>
      <c r="B32" s="4" t="s">
        <v>63</v>
      </c>
      <c r="C32" s="4" t="s">
        <v>64</v>
      </c>
      <c r="D32" s="4" t="s">
        <v>55</v>
      </c>
      <c r="E32" s="5">
        <v>26185</v>
      </c>
      <c r="F32" s="6">
        <v>67.819149999999993</v>
      </c>
      <c r="G32" s="7">
        <v>1.6168959E-2</v>
      </c>
      <c r="H32" s="67"/>
    </row>
    <row r="33" spans="1:8" x14ac:dyDescent="0.2">
      <c r="A33" s="3">
        <v>27</v>
      </c>
      <c r="B33" s="4" t="s">
        <v>192</v>
      </c>
      <c r="C33" s="4" t="s">
        <v>193</v>
      </c>
      <c r="D33" s="4" t="s">
        <v>81</v>
      </c>
      <c r="E33" s="5">
        <v>11616</v>
      </c>
      <c r="F33" s="6">
        <v>66.286704</v>
      </c>
      <c r="G33" s="7">
        <v>1.5803603999999999E-2</v>
      </c>
      <c r="H33" s="67"/>
    </row>
    <row r="34" spans="1:8" x14ac:dyDescent="0.2">
      <c r="A34" s="3">
        <v>28</v>
      </c>
      <c r="B34" s="4" t="s">
        <v>53</v>
      </c>
      <c r="C34" s="4" t="s">
        <v>54</v>
      </c>
      <c r="D34" s="4" t="s">
        <v>55</v>
      </c>
      <c r="E34" s="5">
        <v>2279</v>
      </c>
      <c r="F34" s="6">
        <v>65.974771000000004</v>
      </c>
      <c r="G34" s="7">
        <v>1.5729235000000001E-2</v>
      </c>
      <c r="H34" s="67"/>
    </row>
    <row r="35" spans="1:8" x14ac:dyDescent="0.2">
      <c r="A35" s="3">
        <v>29</v>
      </c>
      <c r="B35" s="4" t="s">
        <v>296</v>
      </c>
      <c r="C35" s="4" t="s">
        <v>297</v>
      </c>
      <c r="D35" s="4" t="s">
        <v>27</v>
      </c>
      <c r="E35" s="5">
        <v>9335</v>
      </c>
      <c r="F35" s="6">
        <v>63.576017499999999</v>
      </c>
      <c r="G35" s="7">
        <v>1.5157342000000001E-2</v>
      </c>
      <c r="H35" s="67"/>
    </row>
    <row r="36" spans="1:8" ht="25.5" x14ac:dyDescent="0.2">
      <c r="A36" s="3">
        <v>30</v>
      </c>
      <c r="B36" s="4" t="s">
        <v>221</v>
      </c>
      <c r="C36" s="4" t="s">
        <v>222</v>
      </c>
      <c r="D36" s="4" t="s">
        <v>36</v>
      </c>
      <c r="E36" s="5">
        <v>69803</v>
      </c>
      <c r="F36" s="6">
        <v>59.960777</v>
      </c>
      <c r="G36" s="7">
        <v>1.4295422E-2</v>
      </c>
      <c r="H36" s="67"/>
    </row>
    <row r="37" spans="1:8" x14ac:dyDescent="0.2">
      <c r="A37" s="3">
        <v>31</v>
      </c>
      <c r="B37" s="4" t="s">
        <v>208</v>
      </c>
      <c r="C37" s="4" t="s">
        <v>209</v>
      </c>
      <c r="D37" s="4" t="s">
        <v>1005</v>
      </c>
      <c r="E37" s="5">
        <v>7019</v>
      </c>
      <c r="F37" s="6">
        <v>59.4404015</v>
      </c>
      <c r="G37" s="7">
        <v>1.4171357000000001E-2</v>
      </c>
      <c r="H37" s="67"/>
    </row>
    <row r="38" spans="1:8" x14ac:dyDescent="0.2">
      <c r="A38" s="3">
        <v>32</v>
      </c>
      <c r="B38" s="4" t="s">
        <v>213</v>
      </c>
      <c r="C38" s="4" t="s">
        <v>214</v>
      </c>
      <c r="D38" s="4" t="s">
        <v>81</v>
      </c>
      <c r="E38" s="5">
        <v>10036</v>
      </c>
      <c r="F38" s="6">
        <v>57.300542</v>
      </c>
      <c r="G38" s="7">
        <v>1.3661187E-2</v>
      </c>
      <c r="H38" s="67"/>
    </row>
    <row r="39" spans="1:8" x14ac:dyDescent="0.2">
      <c r="A39" s="3">
        <v>33</v>
      </c>
      <c r="B39" s="4" t="s">
        <v>247</v>
      </c>
      <c r="C39" s="4" t="s">
        <v>248</v>
      </c>
      <c r="D39" s="4" t="s">
        <v>1001</v>
      </c>
      <c r="E39" s="5">
        <v>10181</v>
      </c>
      <c r="F39" s="6">
        <v>56.051495500000001</v>
      </c>
      <c r="G39" s="7">
        <v>1.3363399E-2</v>
      </c>
      <c r="H39" s="67"/>
    </row>
    <row r="40" spans="1:8" x14ac:dyDescent="0.2">
      <c r="A40" s="3">
        <v>34</v>
      </c>
      <c r="B40" s="4" t="s">
        <v>245</v>
      </c>
      <c r="C40" s="4" t="s">
        <v>246</v>
      </c>
      <c r="D40" s="4" t="s">
        <v>81</v>
      </c>
      <c r="E40" s="5">
        <v>108798</v>
      </c>
      <c r="F40" s="6">
        <v>54.670994999999998</v>
      </c>
      <c r="G40" s="7">
        <v>1.3034268999999999E-2</v>
      </c>
      <c r="H40" s="67"/>
    </row>
    <row r="41" spans="1:8" x14ac:dyDescent="0.2">
      <c r="A41" s="3">
        <v>35</v>
      </c>
      <c r="B41" s="4" t="s">
        <v>223</v>
      </c>
      <c r="C41" s="4" t="s">
        <v>224</v>
      </c>
      <c r="D41" s="4" t="s">
        <v>69</v>
      </c>
      <c r="E41" s="5">
        <v>6312</v>
      </c>
      <c r="F41" s="6">
        <v>54.456780000000002</v>
      </c>
      <c r="G41" s="7">
        <v>1.2983198E-2</v>
      </c>
      <c r="H41" s="67"/>
    </row>
    <row r="42" spans="1:8" x14ac:dyDescent="0.2">
      <c r="A42" s="3">
        <v>36</v>
      </c>
      <c r="B42" s="4" t="s">
        <v>290</v>
      </c>
      <c r="C42" s="4" t="s">
        <v>291</v>
      </c>
      <c r="D42" s="4" t="s">
        <v>27</v>
      </c>
      <c r="E42" s="5">
        <v>4326</v>
      </c>
      <c r="F42" s="6">
        <v>51.239306999999997</v>
      </c>
      <c r="G42" s="7">
        <v>1.2216111E-2</v>
      </c>
      <c r="H42" s="67"/>
    </row>
    <row r="43" spans="1:8" x14ac:dyDescent="0.2">
      <c r="A43" s="3">
        <v>37</v>
      </c>
      <c r="B43" s="4" t="s">
        <v>215</v>
      </c>
      <c r="C43" s="4" t="s">
        <v>216</v>
      </c>
      <c r="D43" s="4" t="s">
        <v>69</v>
      </c>
      <c r="E43" s="5">
        <v>50979</v>
      </c>
      <c r="F43" s="6">
        <v>50.9535105</v>
      </c>
      <c r="G43" s="7">
        <v>1.2147972999999999E-2</v>
      </c>
      <c r="H43" s="67"/>
    </row>
    <row r="44" spans="1:8" ht="25.5" x14ac:dyDescent="0.2">
      <c r="A44" s="3">
        <v>38</v>
      </c>
      <c r="B44" s="4" t="s">
        <v>217</v>
      </c>
      <c r="C44" s="4" t="s">
        <v>218</v>
      </c>
      <c r="D44" s="4" t="s">
        <v>55</v>
      </c>
      <c r="E44" s="5">
        <v>2285</v>
      </c>
      <c r="F44" s="6">
        <v>50.127187499999998</v>
      </c>
      <c r="G44" s="7">
        <v>1.1950967E-2</v>
      </c>
      <c r="H44" s="67"/>
    </row>
    <row r="45" spans="1:8" ht="25.5" x14ac:dyDescent="0.2">
      <c r="A45" s="3">
        <v>39</v>
      </c>
      <c r="B45" s="4" t="s">
        <v>230</v>
      </c>
      <c r="C45" s="4" t="s">
        <v>231</v>
      </c>
      <c r="D45" s="4" t="s">
        <v>52</v>
      </c>
      <c r="E45" s="5">
        <v>12063</v>
      </c>
      <c r="F45" s="6">
        <v>48.595795500000001</v>
      </c>
      <c r="G45" s="7">
        <v>1.1585864E-2</v>
      </c>
      <c r="H45" s="67"/>
    </row>
    <row r="46" spans="1:8" x14ac:dyDescent="0.2">
      <c r="A46" s="3">
        <v>40</v>
      </c>
      <c r="B46" s="4" t="s">
        <v>243</v>
      </c>
      <c r="C46" s="4" t="s">
        <v>244</v>
      </c>
      <c r="D46" s="4" t="s">
        <v>171</v>
      </c>
      <c r="E46" s="5">
        <v>13354</v>
      </c>
      <c r="F46" s="6">
        <v>48.408250000000002</v>
      </c>
      <c r="G46" s="7">
        <v>1.154115E-2</v>
      </c>
      <c r="H46" s="67"/>
    </row>
    <row r="47" spans="1:8" x14ac:dyDescent="0.2">
      <c r="A47" s="3">
        <v>41</v>
      </c>
      <c r="B47" s="4" t="s">
        <v>262</v>
      </c>
      <c r="C47" s="4" t="s">
        <v>263</v>
      </c>
      <c r="D47" s="4" t="s">
        <v>171</v>
      </c>
      <c r="E47" s="5">
        <v>7112</v>
      </c>
      <c r="F47" s="6">
        <v>48.198023999999997</v>
      </c>
      <c r="G47" s="7">
        <v>1.1491029999999999E-2</v>
      </c>
      <c r="H47" s="67"/>
    </row>
    <row r="48" spans="1:8" x14ac:dyDescent="0.2">
      <c r="A48" s="3">
        <v>42</v>
      </c>
      <c r="B48" s="4" t="s">
        <v>227</v>
      </c>
      <c r="C48" s="4" t="s">
        <v>228</v>
      </c>
      <c r="D48" s="4" t="s">
        <v>229</v>
      </c>
      <c r="E48" s="5">
        <v>9975</v>
      </c>
      <c r="F48" s="6">
        <v>47.740349999999999</v>
      </c>
      <c r="G48" s="7">
        <v>1.1381914E-2</v>
      </c>
      <c r="H48" s="67"/>
    </row>
    <row r="49" spans="1:8" ht="25.5" x14ac:dyDescent="0.2">
      <c r="A49" s="3">
        <v>43</v>
      </c>
      <c r="B49" s="4" t="s">
        <v>238</v>
      </c>
      <c r="C49" s="4" t="s">
        <v>239</v>
      </c>
      <c r="D49" s="4" t="s">
        <v>1006</v>
      </c>
      <c r="E49" s="5">
        <v>44136</v>
      </c>
      <c r="F49" s="6">
        <v>45.371808000000001</v>
      </c>
      <c r="G49" s="7">
        <v>1.0817224E-2</v>
      </c>
      <c r="H49" s="67"/>
    </row>
    <row r="50" spans="1:8" ht="25.5" x14ac:dyDescent="0.2">
      <c r="A50" s="3">
        <v>44</v>
      </c>
      <c r="B50" s="4" t="s">
        <v>240</v>
      </c>
      <c r="C50" s="4" t="s">
        <v>241</v>
      </c>
      <c r="D50" s="4" t="s">
        <v>52</v>
      </c>
      <c r="E50" s="5">
        <v>11006</v>
      </c>
      <c r="F50" s="6">
        <v>44.436725000000003</v>
      </c>
      <c r="G50" s="7">
        <v>1.0594288E-2</v>
      </c>
      <c r="H50" s="67"/>
    </row>
    <row r="51" spans="1:8" ht="25.5" x14ac:dyDescent="0.2">
      <c r="A51" s="3">
        <v>45</v>
      </c>
      <c r="B51" s="4" t="s">
        <v>176</v>
      </c>
      <c r="C51" s="4" t="s">
        <v>995</v>
      </c>
      <c r="D51" s="4" t="s">
        <v>992</v>
      </c>
      <c r="E51" s="5">
        <v>16405</v>
      </c>
      <c r="F51" s="6">
        <v>43.407629999999997</v>
      </c>
      <c r="G51" s="7">
        <v>1.0348938E-2</v>
      </c>
      <c r="H51" s="67"/>
    </row>
    <row r="52" spans="1:8" x14ac:dyDescent="0.2">
      <c r="A52" s="3">
        <v>46</v>
      </c>
      <c r="B52" s="4" t="s">
        <v>232</v>
      </c>
      <c r="C52" s="4" t="s">
        <v>233</v>
      </c>
      <c r="D52" s="4" t="s">
        <v>55</v>
      </c>
      <c r="E52" s="5">
        <v>16672</v>
      </c>
      <c r="F52" s="6">
        <v>42.188496000000001</v>
      </c>
      <c r="G52" s="7">
        <v>1.0058281000000001E-2</v>
      </c>
      <c r="H52" s="67"/>
    </row>
    <row r="53" spans="1:8" x14ac:dyDescent="0.2">
      <c r="A53" s="3">
        <v>47</v>
      </c>
      <c r="B53" s="4" t="s">
        <v>259</v>
      </c>
      <c r="C53" s="4" t="s">
        <v>260</v>
      </c>
      <c r="D53" s="4" t="s">
        <v>261</v>
      </c>
      <c r="E53" s="5">
        <v>5411</v>
      </c>
      <c r="F53" s="6">
        <v>40.109037499999999</v>
      </c>
      <c r="G53" s="7">
        <v>9.5625109999999992E-3</v>
      </c>
      <c r="H53" s="67"/>
    </row>
    <row r="54" spans="1:8" x14ac:dyDescent="0.2">
      <c r="A54" s="3">
        <v>48</v>
      </c>
      <c r="B54" s="4" t="s">
        <v>275</v>
      </c>
      <c r="C54" s="4" t="s">
        <v>276</v>
      </c>
      <c r="D54" s="4" t="s">
        <v>1001</v>
      </c>
      <c r="E54" s="5">
        <v>32152</v>
      </c>
      <c r="F54" s="6">
        <v>39.402276000000001</v>
      </c>
      <c r="G54" s="7">
        <v>9.3940099999999995E-3</v>
      </c>
      <c r="H54" s="67"/>
    </row>
    <row r="55" spans="1:8" x14ac:dyDescent="0.2">
      <c r="A55" s="3">
        <v>49</v>
      </c>
      <c r="B55" s="4" t="s">
        <v>268</v>
      </c>
      <c r="C55" s="4" t="s">
        <v>269</v>
      </c>
      <c r="D55" s="4" t="s">
        <v>24</v>
      </c>
      <c r="E55" s="5">
        <v>42227</v>
      </c>
      <c r="F55" s="6">
        <v>38.912180499999998</v>
      </c>
      <c r="G55" s="7">
        <v>9.2771650000000004E-3</v>
      </c>
      <c r="H55" s="67"/>
    </row>
    <row r="56" spans="1:8" x14ac:dyDescent="0.2">
      <c r="A56" s="3">
        <v>50</v>
      </c>
      <c r="B56" s="4" t="s">
        <v>270</v>
      </c>
      <c r="C56" s="4" t="s">
        <v>271</v>
      </c>
      <c r="D56" s="4" t="s">
        <v>272</v>
      </c>
      <c r="E56" s="5">
        <v>16931</v>
      </c>
      <c r="F56" s="6">
        <v>38.475697500000003</v>
      </c>
      <c r="G56" s="7">
        <v>9.1731020000000007E-3</v>
      </c>
      <c r="H56" s="67"/>
    </row>
    <row r="57" spans="1:8" x14ac:dyDescent="0.2">
      <c r="A57" s="3">
        <v>51</v>
      </c>
      <c r="B57" s="4" t="s">
        <v>200</v>
      </c>
      <c r="C57" s="4" t="s">
        <v>201</v>
      </c>
      <c r="D57" s="4" t="s">
        <v>49</v>
      </c>
      <c r="E57" s="5">
        <v>15428</v>
      </c>
      <c r="F57" s="6">
        <v>37.574894</v>
      </c>
      <c r="G57" s="7">
        <v>8.9583389999999992E-3</v>
      </c>
      <c r="H57" s="67"/>
    </row>
    <row r="58" spans="1:8" x14ac:dyDescent="0.2">
      <c r="A58" s="3">
        <v>52</v>
      </c>
      <c r="B58" s="4" t="s">
        <v>172</v>
      </c>
      <c r="C58" s="4" t="s">
        <v>173</v>
      </c>
      <c r="D58" s="4" t="s">
        <v>331</v>
      </c>
      <c r="E58" s="5">
        <v>3850</v>
      </c>
      <c r="F58" s="6">
        <v>36.707825</v>
      </c>
      <c r="G58" s="7">
        <v>8.7516179999999992E-3</v>
      </c>
      <c r="H58" s="67"/>
    </row>
    <row r="59" spans="1:8" x14ac:dyDescent="0.2">
      <c r="A59" s="3">
        <v>53</v>
      </c>
      <c r="B59" s="4" t="s">
        <v>85</v>
      </c>
      <c r="C59" s="4" t="s">
        <v>86</v>
      </c>
      <c r="D59" s="4" t="s">
        <v>1000</v>
      </c>
      <c r="E59" s="5">
        <v>23895</v>
      </c>
      <c r="F59" s="6">
        <v>36.415979999999998</v>
      </c>
      <c r="G59" s="7">
        <v>8.6820390000000008E-3</v>
      </c>
      <c r="H59" s="67"/>
    </row>
    <row r="60" spans="1:8" x14ac:dyDescent="0.2">
      <c r="A60" s="3">
        <v>54</v>
      </c>
      <c r="B60" s="4" t="s">
        <v>257</v>
      </c>
      <c r="C60" s="4" t="s">
        <v>258</v>
      </c>
      <c r="D60" s="4" t="s">
        <v>1001</v>
      </c>
      <c r="E60" s="5">
        <v>27060</v>
      </c>
      <c r="F60" s="6">
        <v>33.852060000000002</v>
      </c>
      <c r="G60" s="7">
        <v>8.0707669999999995E-3</v>
      </c>
      <c r="H60" s="67"/>
    </row>
    <row r="61" spans="1:8" x14ac:dyDescent="0.2">
      <c r="A61" s="3">
        <v>55</v>
      </c>
      <c r="B61" s="4" t="s">
        <v>255</v>
      </c>
      <c r="C61" s="4" t="s">
        <v>256</v>
      </c>
      <c r="D61" s="4" t="s">
        <v>331</v>
      </c>
      <c r="E61" s="5">
        <v>2142</v>
      </c>
      <c r="F61" s="6">
        <v>31.883669999999999</v>
      </c>
      <c r="G61" s="7">
        <v>7.6014780000000001E-3</v>
      </c>
      <c r="H61" s="67"/>
    </row>
    <row r="62" spans="1:8" x14ac:dyDescent="0.2">
      <c r="A62" s="3">
        <v>56</v>
      </c>
      <c r="B62" s="4" t="s">
        <v>234</v>
      </c>
      <c r="C62" s="4" t="s">
        <v>235</v>
      </c>
      <c r="D62" s="4" t="s">
        <v>187</v>
      </c>
      <c r="E62" s="5">
        <v>1825</v>
      </c>
      <c r="F62" s="6">
        <v>31.073362500000002</v>
      </c>
      <c r="G62" s="7">
        <v>7.4082899999999997E-3</v>
      </c>
      <c r="H62" s="67"/>
    </row>
    <row r="63" spans="1:8" x14ac:dyDescent="0.2">
      <c r="A63" s="3">
        <v>57</v>
      </c>
      <c r="B63" s="4" t="s">
        <v>281</v>
      </c>
      <c r="C63" s="4" t="s">
        <v>282</v>
      </c>
      <c r="D63" s="4" t="s">
        <v>55</v>
      </c>
      <c r="E63" s="5">
        <v>18903</v>
      </c>
      <c r="F63" s="6">
        <v>30.651214499999998</v>
      </c>
      <c r="G63" s="7">
        <v>7.3076440000000003E-3</v>
      </c>
      <c r="H63" s="67"/>
    </row>
    <row r="64" spans="1:8" x14ac:dyDescent="0.2">
      <c r="A64" s="3">
        <v>58</v>
      </c>
      <c r="B64" s="4" t="s">
        <v>273</v>
      </c>
      <c r="C64" s="4" t="s">
        <v>274</v>
      </c>
      <c r="D64" s="4" t="s">
        <v>187</v>
      </c>
      <c r="E64" s="5">
        <v>546</v>
      </c>
      <c r="F64" s="6">
        <v>29.699124000000001</v>
      </c>
      <c r="G64" s="7">
        <v>7.0806539999999996E-3</v>
      </c>
      <c r="H64" s="67"/>
    </row>
    <row r="65" spans="1:8" x14ac:dyDescent="0.2">
      <c r="A65" s="3">
        <v>59</v>
      </c>
      <c r="B65" s="4" t="s">
        <v>279</v>
      </c>
      <c r="C65" s="4" t="s">
        <v>280</v>
      </c>
      <c r="D65" s="4" t="s">
        <v>1003</v>
      </c>
      <c r="E65" s="5">
        <v>1636</v>
      </c>
      <c r="F65" s="6">
        <v>24.827117999999999</v>
      </c>
      <c r="G65" s="7">
        <v>5.919105E-3</v>
      </c>
      <c r="H65" s="67"/>
    </row>
    <row r="66" spans="1:8" x14ac:dyDescent="0.2">
      <c r="A66" s="3">
        <v>60</v>
      </c>
      <c r="B66" s="4" t="s">
        <v>225</v>
      </c>
      <c r="C66" s="4" t="s">
        <v>226</v>
      </c>
      <c r="D66" s="4" t="s">
        <v>166</v>
      </c>
      <c r="E66" s="5">
        <v>1721</v>
      </c>
      <c r="F66" s="6">
        <v>24.570716999999998</v>
      </c>
      <c r="G66" s="7">
        <v>5.8579749999999996E-3</v>
      </c>
      <c r="H66" s="67"/>
    </row>
    <row r="67" spans="1:8" x14ac:dyDescent="0.2">
      <c r="A67" s="3">
        <v>61</v>
      </c>
      <c r="B67" s="4" t="s">
        <v>67</v>
      </c>
      <c r="C67" s="4" t="s">
        <v>68</v>
      </c>
      <c r="D67" s="4" t="s">
        <v>69</v>
      </c>
      <c r="E67" s="5">
        <v>15702</v>
      </c>
      <c r="F67" s="6">
        <v>23.419533000000001</v>
      </c>
      <c r="G67" s="7">
        <v>5.583518E-3</v>
      </c>
      <c r="H67" s="67"/>
    </row>
    <row r="68" spans="1:8" x14ac:dyDescent="0.2">
      <c r="A68" s="3">
        <v>62</v>
      </c>
      <c r="B68" s="4" t="s">
        <v>285</v>
      </c>
      <c r="C68" s="4" t="s">
        <v>286</v>
      </c>
      <c r="D68" s="4" t="s">
        <v>153</v>
      </c>
      <c r="E68" s="5">
        <v>1792</v>
      </c>
      <c r="F68" s="6">
        <v>22.999424000000001</v>
      </c>
      <c r="G68" s="7">
        <v>5.4833590000000001E-3</v>
      </c>
      <c r="H68" s="67"/>
    </row>
    <row r="69" spans="1:8" x14ac:dyDescent="0.2">
      <c r="A69" s="3">
        <v>63</v>
      </c>
      <c r="B69" s="4" t="s">
        <v>462</v>
      </c>
      <c r="C69" s="4" t="s">
        <v>463</v>
      </c>
      <c r="D69" s="4" t="s">
        <v>1003</v>
      </c>
      <c r="E69" s="5">
        <v>20305</v>
      </c>
      <c r="F69" s="6">
        <v>18.975022500000001</v>
      </c>
      <c r="G69" s="7">
        <v>4.52389E-3</v>
      </c>
      <c r="H69" s="67"/>
    </row>
    <row r="70" spans="1:8" x14ac:dyDescent="0.2">
      <c r="A70" s="3">
        <v>64</v>
      </c>
      <c r="B70" s="4" t="s">
        <v>283</v>
      </c>
      <c r="C70" s="4" t="s">
        <v>284</v>
      </c>
      <c r="D70" s="4" t="s">
        <v>166</v>
      </c>
      <c r="E70" s="5">
        <v>3970</v>
      </c>
      <c r="F70" s="6">
        <v>17.986084999999999</v>
      </c>
      <c r="G70" s="7">
        <v>4.288114E-3</v>
      </c>
      <c r="H70" s="67"/>
    </row>
    <row r="71" spans="1:8" ht="25.5" x14ac:dyDescent="0.2">
      <c r="A71" s="3">
        <v>65</v>
      </c>
      <c r="B71" s="4" t="s">
        <v>65</v>
      </c>
      <c r="C71" s="4" t="s">
        <v>66</v>
      </c>
      <c r="D71" s="4" t="s">
        <v>36</v>
      </c>
      <c r="E71" s="5">
        <v>1401</v>
      </c>
      <c r="F71" s="6">
        <v>10.2013815</v>
      </c>
      <c r="G71" s="7">
        <v>2.4321410000000001E-3</v>
      </c>
      <c r="H71" s="67"/>
    </row>
    <row r="72" spans="1:8" x14ac:dyDescent="0.2">
      <c r="A72" s="3">
        <v>66</v>
      </c>
      <c r="B72" s="4" t="s">
        <v>287</v>
      </c>
      <c r="C72" s="4" t="s">
        <v>288</v>
      </c>
      <c r="D72" s="4" t="s">
        <v>1001</v>
      </c>
      <c r="E72" s="5">
        <v>1048</v>
      </c>
      <c r="F72" s="6">
        <v>4.7165239999999997</v>
      </c>
      <c r="G72" s="7">
        <v>1.12448E-3</v>
      </c>
      <c r="H72" s="67"/>
    </row>
    <row r="73" spans="1:8" x14ac:dyDescent="0.2">
      <c r="A73" s="3">
        <v>67</v>
      </c>
      <c r="B73" s="4" t="s">
        <v>277</v>
      </c>
      <c r="C73" s="4" t="s">
        <v>278</v>
      </c>
      <c r="D73" s="4" t="s">
        <v>187</v>
      </c>
      <c r="E73" s="5">
        <v>829</v>
      </c>
      <c r="F73" s="6">
        <v>3.240561</v>
      </c>
      <c r="G73" s="7">
        <v>7.7259099999999999E-4</v>
      </c>
      <c r="H73" s="67"/>
    </row>
    <row r="74" spans="1:8" x14ac:dyDescent="0.2">
      <c r="A74" s="1"/>
      <c r="B74" s="1"/>
      <c r="C74" s="2" t="s">
        <v>105</v>
      </c>
      <c r="D74" s="1"/>
      <c r="E74" s="1" t="s">
        <v>106</v>
      </c>
      <c r="F74" s="9">
        <v>4038.1169719999998</v>
      </c>
      <c r="G74" s="10">
        <v>0.96273910399999996</v>
      </c>
      <c r="H74" s="67"/>
    </row>
    <row r="75" spans="1:8" x14ac:dyDescent="0.2">
      <c r="A75" s="1"/>
      <c r="B75" s="1"/>
      <c r="C75" s="11"/>
      <c r="D75" s="1"/>
      <c r="E75" s="1"/>
      <c r="F75" s="12"/>
      <c r="G75" s="12"/>
      <c r="H75" s="67"/>
    </row>
    <row r="76" spans="1:8" x14ac:dyDescent="0.2">
      <c r="A76" s="1"/>
      <c r="B76" s="1"/>
      <c r="C76" s="2" t="s">
        <v>107</v>
      </c>
      <c r="D76" s="1"/>
      <c r="E76" s="1"/>
      <c r="F76" s="1"/>
      <c r="G76" s="1"/>
      <c r="H76" s="67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7"/>
    </row>
    <row r="78" spans="1:8" x14ac:dyDescent="0.2">
      <c r="A78" s="1"/>
      <c r="B78" s="1"/>
      <c r="C78" s="11"/>
      <c r="D78" s="1"/>
      <c r="E78" s="1"/>
      <c r="F78" s="12"/>
      <c r="G78" s="12"/>
      <c r="H78" s="67"/>
    </row>
    <row r="79" spans="1:8" x14ac:dyDescent="0.2">
      <c r="A79" s="1"/>
      <c r="B79" s="1"/>
      <c r="C79" s="2" t="s">
        <v>108</v>
      </c>
      <c r="D79" s="1"/>
      <c r="E79" s="1"/>
      <c r="F79" s="1"/>
      <c r="G79" s="1"/>
      <c r="H79" s="67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7"/>
    </row>
    <row r="81" spans="1:8" x14ac:dyDescent="0.2">
      <c r="A81" s="1"/>
      <c r="B81" s="1"/>
      <c r="C81" s="11"/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109</v>
      </c>
      <c r="D82" s="1"/>
      <c r="E82" s="1"/>
      <c r="F82" s="1"/>
      <c r="G82" s="1"/>
      <c r="H82" s="67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7"/>
    </row>
    <row r="84" spans="1:8" x14ac:dyDescent="0.2">
      <c r="A84" s="1"/>
      <c r="B84" s="1"/>
      <c r="C84" s="11"/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110</v>
      </c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7"/>
    </row>
    <row r="87" spans="1:8" x14ac:dyDescent="0.2">
      <c r="A87" s="1"/>
      <c r="B87" s="1"/>
      <c r="C87" s="11"/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111</v>
      </c>
      <c r="D88" s="1"/>
      <c r="E88" s="1"/>
      <c r="F88" s="12"/>
      <c r="G88" s="12"/>
      <c r="H88" s="67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">
        <v>0</v>
      </c>
      <c r="H89" s="67"/>
    </row>
    <row r="90" spans="1:8" x14ac:dyDescent="0.2">
      <c r="A90" s="1"/>
      <c r="B90" s="1"/>
      <c r="C90" s="11"/>
      <c r="D90" s="1"/>
      <c r="E90" s="1"/>
      <c r="F90" s="12"/>
      <c r="G90" s="12"/>
      <c r="H90" s="67"/>
    </row>
    <row r="91" spans="1:8" x14ac:dyDescent="0.2">
      <c r="A91" s="1"/>
      <c r="B91" s="1"/>
      <c r="C91" s="2" t="s">
        <v>112</v>
      </c>
      <c r="D91" s="1"/>
      <c r="E91" s="1"/>
      <c r="F91" s="9">
        <v>4038.1169719999998</v>
      </c>
      <c r="G91" s="10">
        <v>0.96273910399999996</v>
      </c>
      <c r="H91" s="67"/>
    </row>
    <row r="92" spans="1:8" x14ac:dyDescent="0.2">
      <c r="A92" s="1"/>
      <c r="B92" s="1"/>
      <c r="C92" s="11"/>
      <c r="D92" s="1"/>
      <c r="E92" s="1"/>
      <c r="F92" s="12"/>
      <c r="G92" s="12"/>
      <c r="H92" s="67"/>
    </row>
    <row r="93" spans="1:8" x14ac:dyDescent="0.2">
      <c r="A93" s="1"/>
      <c r="B93" s="1"/>
      <c r="C93" s="2" t="s">
        <v>113</v>
      </c>
      <c r="D93" s="1"/>
      <c r="E93" s="1"/>
      <c r="F93" s="12"/>
      <c r="G93" s="12"/>
      <c r="H93" s="67"/>
    </row>
    <row r="94" spans="1:8" ht="25.5" x14ac:dyDescent="0.2">
      <c r="A94" s="1"/>
      <c r="B94" s="1"/>
      <c r="C94" s="2" t="s">
        <v>10</v>
      </c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7"/>
    </row>
    <row r="96" spans="1:8" x14ac:dyDescent="0.2">
      <c r="A96" s="1"/>
      <c r="B96" s="1"/>
      <c r="C96" s="11"/>
      <c r="D96" s="1"/>
      <c r="E96" s="1"/>
      <c r="F96" s="12"/>
      <c r="G96" s="12"/>
      <c r="H96" s="67"/>
    </row>
    <row r="97" spans="1:8" x14ac:dyDescent="0.2">
      <c r="A97" s="1"/>
      <c r="B97" s="1"/>
      <c r="C97" s="2" t="s">
        <v>114</v>
      </c>
      <c r="D97" s="1"/>
      <c r="E97" s="1"/>
      <c r="F97" s="1"/>
      <c r="G97" s="1"/>
      <c r="H97" s="67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7"/>
    </row>
    <row r="99" spans="1:8" x14ac:dyDescent="0.2">
      <c r="A99" s="1"/>
      <c r="B99" s="1"/>
      <c r="C99" s="11"/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115</v>
      </c>
      <c r="D100" s="1"/>
      <c r="E100" s="1"/>
      <c r="F100" s="1"/>
      <c r="G100" s="1"/>
      <c r="H100" s="67"/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">
        <v>0</v>
      </c>
      <c r="H101" s="67"/>
    </row>
    <row r="102" spans="1:8" x14ac:dyDescent="0.2">
      <c r="A102" s="1"/>
      <c r="B102" s="1"/>
      <c r="C102" s="11"/>
      <c r="D102" s="1"/>
      <c r="E102" s="1"/>
      <c r="F102" s="12"/>
      <c r="G102" s="12"/>
      <c r="H102" s="67"/>
    </row>
    <row r="103" spans="1:8" x14ac:dyDescent="0.2">
      <c r="A103" s="1"/>
      <c r="B103" s="1"/>
      <c r="C103" s="2" t="s">
        <v>116</v>
      </c>
      <c r="D103" s="1"/>
      <c r="E103" s="1"/>
      <c r="F103" s="12"/>
      <c r="G103" s="12"/>
      <c r="H103" s="67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">
        <v>0</v>
      </c>
      <c r="H104" s="67"/>
    </row>
    <row r="105" spans="1:8" x14ac:dyDescent="0.2">
      <c r="A105" s="1"/>
      <c r="B105" s="1"/>
      <c r="C105" s="11"/>
      <c r="D105" s="1"/>
      <c r="E105" s="1"/>
      <c r="F105" s="12"/>
      <c r="G105" s="12"/>
      <c r="H105" s="67"/>
    </row>
    <row r="106" spans="1:8" x14ac:dyDescent="0.2">
      <c r="A106" s="1"/>
      <c r="B106" s="1"/>
      <c r="C106" s="2" t="s">
        <v>117</v>
      </c>
      <c r="D106" s="1"/>
      <c r="E106" s="1"/>
      <c r="F106" s="9">
        <v>0</v>
      </c>
      <c r="G106" s="10">
        <v>0</v>
      </c>
      <c r="H106" s="67"/>
    </row>
    <row r="107" spans="1:8" x14ac:dyDescent="0.2">
      <c r="A107" s="1"/>
      <c r="B107" s="1"/>
      <c r="C107" s="11"/>
      <c r="D107" s="1"/>
      <c r="E107" s="1"/>
      <c r="F107" s="12"/>
      <c r="G107" s="12"/>
      <c r="H107" s="67"/>
    </row>
    <row r="108" spans="1:8" x14ac:dyDescent="0.2">
      <c r="A108" s="1"/>
      <c r="B108" s="1"/>
      <c r="C108" s="2" t="s">
        <v>118</v>
      </c>
      <c r="D108" s="1"/>
      <c r="E108" s="1"/>
      <c r="F108" s="12"/>
      <c r="G108" s="12"/>
      <c r="H108" s="67"/>
    </row>
    <row r="109" spans="1:8" x14ac:dyDescent="0.2">
      <c r="A109" s="1"/>
      <c r="B109" s="1"/>
      <c r="C109" s="2" t="s">
        <v>119</v>
      </c>
      <c r="D109" s="1"/>
      <c r="E109" s="1"/>
      <c r="F109" s="12"/>
      <c r="G109" s="12"/>
      <c r="H109" s="67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7"/>
    </row>
    <row r="111" spans="1:8" x14ac:dyDescent="0.2">
      <c r="A111" s="1"/>
      <c r="B111" s="1"/>
      <c r="C111" s="11"/>
      <c r="D111" s="1"/>
      <c r="E111" s="1"/>
      <c r="F111" s="12"/>
      <c r="G111" s="12"/>
      <c r="H111" s="67"/>
    </row>
    <row r="112" spans="1:8" x14ac:dyDescent="0.2">
      <c r="A112" s="1"/>
      <c r="B112" s="1"/>
      <c r="C112" s="2" t="s">
        <v>120</v>
      </c>
      <c r="D112" s="1"/>
      <c r="E112" s="1"/>
      <c r="F112" s="12"/>
      <c r="G112" s="12"/>
      <c r="H112" s="67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">
        <v>0</v>
      </c>
      <c r="H113" s="67"/>
    </row>
    <row r="114" spans="1:8" x14ac:dyDescent="0.2">
      <c r="A114" s="1"/>
      <c r="B114" s="1"/>
      <c r="C114" s="11"/>
      <c r="D114" s="1"/>
      <c r="E114" s="1"/>
      <c r="F114" s="12"/>
      <c r="G114" s="12"/>
      <c r="H114" s="67"/>
    </row>
    <row r="115" spans="1:8" x14ac:dyDescent="0.2">
      <c r="A115" s="1"/>
      <c r="B115" s="1"/>
      <c r="C115" s="2" t="s">
        <v>121</v>
      </c>
      <c r="D115" s="1"/>
      <c r="E115" s="1"/>
      <c r="F115" s="12"/>
      <c r="G115" s="12"/>
      <c r="H115" s="67"/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13">
        <v>0</v>
      </c>
      <c r="G116" s="14">
        <v>0</v>
      </c>
      <c r="H116" s="67"/>
    </row>
    <row r="117" spans="1:8" x14ac:dyDescent="0.2">
      <c r="A117" s="1"/>
      <c r="B117" s="1"/>
      <c r="C117" s="11"/>
      <c r="D117" s="1"/>
      <c r="E117" s="1"/>
      <c r="F117" s="12"/>
      <c r="G117" s="12"/>
      <c r="H117" s="67"/>
    </row>
    <row r="118" spans="1:8" x14ac:dyDescent="0.2">
      <c r="A118" s="1"/>
      <c r="B118" s="1"/>
      <c r="C118" s="2" t="s">
        <v>122</v>
      </c>
      <c r="D118" s="1"/>
      <c r="E118" s="1"/>
      <c r="F118" s="12"/>
      <c r="G118" s="12"/>
      <c r="H118" s="67"/>
    </row>
    <row r="119" spans="1:8" x14ac:dyDescent="0.2">
      <c r="A119" s="3">
        <v>1</v>
      </c>
      <c r="B119" s="4"/>
      <c r="C119" s="4" t="s">
        <v>123</v>
      </c>
      <c r="D119" s="4"/>
      <c r="E119" s="8"/>
      <c r="F119" s="6">
        <v>158.95657890000001</v>
      </c>
      <c r="G119" s="7">
        <v>3.7897295999999997E-2</v>
      </c>
      <c r="H119" s="67">
        <v>3.1047477660654299</v>
      </c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9">
        <v>158.95657890000001</v>
      </c>
      <c r="G120" s="10">
        <v>3.7897295999999997E-2</v>
      </c>
      <c r="H120" s="67"/>
    </row>
    <row r="121" spans="1:8" x14ac:dyDescent="0.2">
      <c r="A121" s="1"/>
      <c r="B121" s="1"/>
      <c r="C121" s="11"/>
      <c r="D121" s="1"/>
      <c r="E121" s="1"/>
      <c r="F121" s="12"/>
      <c r="G121" s="12"/>
      <c r="H121" s="67"/>
    </row>
    <row r="122" spans="1:8" x14ac:dyDescent="0.2">
      <c r="A122" s="1"/>
      <c r="B122" s="1"/>
      <c r="C122" s="2" t="s">
        <v>124</v>
      </c>
      <c r="D122" s="1"/>
      <c r="E122" s="1"/>
      <c r="F122" s="9">
        <v>158.95657890000001</v>
      </c>
      <c r="G122" s="10">
        <v>3.7897295999999997E-2</v>
      </c>
      <c r="H122" s="67"/>
    </row>
    <row r="123" spans="1:8" x14ac:dyDescent="0.2">
      <c r="A123" s="1"/>
      <c r="B123" s="1"/>
      <c r="C123" s="12"/>
      <c r="D123" s="1"/>
      <c r="E123" s="1"/>
      <c r="F123" s="1"/>
      <c r="G123" s="1"/>
      <c r="H123" s="67"/>
    </row>
    <row r="124" spans="1:8" x14ac:dyDescent="0.2">
      <c r="A124" s="1"/>
      <c r="B124" s="1"/>
      <c r="C124" s="2" t="s">
        <v>125</v>
      </c>
      <c r="D124" s="1"/>
      <c r="E124" s="1"/>
      <c r="F124" s="1"/>
      <c r="G124" s="1"/>
      <c r="H124" s="67"/>
    </row>
    <row r="125" spans="1:8" x14ac:dyDescent="0.2">
      <c r="A125" s="1"/>
      <c r="B125" s="1"/>
      <c r="C125" s="2" t="s">
        <v>126</v>
      </c>
      <c r="D125" s="1"/>
      <c r="E125" s="1"/>
      <c r="F125" s="1"/>
      <c r="G125" s="1"/>
      <c r="H125" s="67"/>
    </row>
    <row r="126" spans="1:8" x14ac:dyDescent="0.2">
      <c r="A126" s="1"/>
      <c r="B126" s="1"/>
      <c r="C126" s="2" t="s">
        <v>105</v>
      </c>
      <c r="D126" s="1"/>
      <c r="E126" s="1" t="s">
        <v>106</v>
      </c>
      <c r="F126" s="13">
        <v>0</v>
      </c>
      <c r="G126" s="14">
        <v>0</v>
      </c>
      <c r="H126" s="67"/>
    </row>
    <row r="127" spans="1:8" x14ac:dyDescent="0.2">
      <c r="A127" s="1"/>
      <c r="B127" s="1"/>
      <c r="C127" s="11"/>
      <c r="D127" s="1"/>
      <c r="E127" s="1"/>
      <c r="F127" s="12"/>
      <c r="G127" s="12"/>
      <c r="H127" s="67"/>
    </row>
    <row r="128" spans="1:8" x14ac:dyDescent="0.2">
      <c r="A128" s="1"/>
      <c r="B128" s="1"/>
      <c r="C128" s="2" t="s">
        <v>127</v>
      </c>
      <c r="D128" s="1"/>
      <c r="E128" s="1"/>
      <c r="F128" s="1"/>
      <c r="G128" s="1"/>
      <c r="H128" s="67"/>
    </row>
    <row r="129" spans="1:8" x14ac:dyDescent="0.2">
      <c r="A129" s="1"/>
      <c r="B129" s="1"/>
      <c r="C129" s="2" t="s">
        <v>128</v>
      </c>
      <c r="D129" s="1"/>
      <c r="E129" s="1"/>
      <c r="F129" s="1"/>
      <c r="G129" s="1"/>
      <c r="H129" s="67"/>
    </row>
    <row r="130" spans="1:8" x14ac:dyDescent="0.2">
      <c r="A130" s="1"/>
      <c r="B130" s="1"/>
      <c r="C130" s="2" t="s">
        <v>105</v>
      </c>
      <c r="D130" s="1"/>
      <c r="E130" s="1" t="s">
        <v>106</v>
      </c>
      <c r="F130" s="13">
        <v>0</v>
      </c>
      <c r="G130" s="14">
        <v>0</v>
      </c>
      <c r="H130" s="67"/>
    </row>
    <row r="131" spans="1:8" x14ac:dyDescent="0.2">
      <c r="A131" s="1"/>
      <c r="B131" s="1"/>
      <c r="C131" s="11"/>
      <c r="D131" s="1"/>
      <c r="E131" s="1"/>
      <c r="F131" s="12"/>
      <c r="G131" s="12"/>
      <c r="H131" s="67"/>
    </row>
    <row r="132" spans="1:8" x14ac:dyDescent="0.2">
      <c r="A132" s="1"/>
      <c r="B132" s="1"/>
      <c r="C132" s="11"/>
      <c r="D132" s="1"/>
      <c r="E132" s="1"/>
      <c r="F132" s="12"/>
      <c r="G132" s="12"/>
      <c r="H132" s="67"/>
    </row>
    <row r="133" spans="1:8" ht="25.5" x14ac:dyDescent="0.2">
      <c r="A133" s="1"/>
      <c r="B133" s="1"/>
      <c r="C133" s="2" t="s">
        <v>129</v>
      </c>
      <c r="D133" s="1"/>
      <c r="E133" s="1"/>
      <c r="F133" s="12"/>
      <c r="G133" s="12"/>
      <c r="H133" s="67"/>
    </row>
    <row r="134" spans="1:8" x14ac:dyDescent="0.2">
      <c r="A134" s="1"/>
      <c r="B134" s="1"/>
      <c r="C134" s="2" t="s">
        <v>105</v>
      </c>
      <c r="D134" s="1"/>
      <c r="E134" s="1" t="s">
        <v>106</v>
      </c>
      <c r="F134" s="13">
        <v>0</v>
      </c>
      <c r="G134" s="14">
        <v>0</v>
      </c>
      <c r="H134" s="67"/>
    </row>
    <row r="135" spans="1:8" x14ac:dyDescent="0.2">
      <c r="A135" s="1"/>
      <c r="B135" s="1"/>
      <c r="C135" s="11"/>
      <c r="D135" s="1"/>
      <c r="E135" s="1"/>
      <c r="F135" s="12"/>
      <c r="G135" s="12"/>
      <c r="H135" s="67"/>
    </row>
    <row r="136" spans="1:8" x14ac:dyDescent="0.2">
      <c r="A136" s="1"/>
      <c r="B136" s="4"/>
      <c r="C136" s="4"/>
      <c r="D136" s="2"/>
      <c r="E136" s="1"/>
      <c r="F136" s="4"/>
      <c r="G136" s="8"/>
      <c r="H136" s="67"/>
    </row>
    <row r="137" spans="1:8" x14ac:dyDescent="0.2">
      <c r="A137" s="8"/>
      <c r="B137" s="4"/>
      <c r="C137" s="4" t="s">
        <v>130</v>
      </c>
      <c r="D137" s="4"/>
      <c r="E137" s="8"/>
      <c r="F137" s="6">
        <v>-2.6693302999999999</v>
      </c>
      <c r="G137" s="7">
        <v>-6.3640300000000001E-4</v>
      </c>
      <c r="H137" s="67"/>
    </row>
    <row r="138" spans="1:8" x14ac:dyDescent="0.2">
      <c r="A138" s="11"/>
      <c r="B138" s="11"/>
      <c r="C138" s="2" t="s">
        <v>131</v>
      </c>
      <c r="D138" s="15"/>
      <c r="E138" s="15"/>
      <c r="F138" s="9">
        <v>4194.4042206000004</v>
      </c>
      <c r="G138" s="10">
        <v>0.99999999699999997</v>
      </c>
      <c r="H138" s="67"/>
    </row>
    <row r="139" spans="1:8" ht="14.1" customHeight="1" x14ac:dyDescent="0.2">
      <c r="A139" s="16"/>
      <c r="B139" s="16"/>
      <c r="C139" s="16"/>
      <c r="D139" s="17"/>
      <c r="E139" s="17"/>
      <c r="F139" s="17"/>
      <c r="G139" s="17"/>
    </row>
    <row r="140" spans="1:8" ht="14.1" customHeight="1" x14ac:dyDescent="0.2">
      <c r="A140" s="18"/>
      <c r="B140" s="170" t="s">
        <v>106</v>
      </c>
      <c r="C140" s="170"/>
      <c r="D140" s="170"/>
      <c r="E140" s="170"/>
      <c r="F140" s="170"/>
      <c r="G140" s="20"/>
    </row>
    <row r="141" spans="1:8" ht="14.1" customHeight="1" x14ac:dyDescent="0.2">
      <c r="A141" s="18"/>
      <c r="B141" s="170" t="s">
        <v>106</v>
      </c>
      <c r="C141" s="170"/>
      <c r="D141" s="170"/>
      <c r="E141" s="170"/>
      <c r="F141" s="170"/>
      <c r="G141" s="20"/>
    </row>
    <row r="142" spans="1:8" ht="14.1" customHeight="1" x14ac:dyDescent="0.2">
      <c r="A142" s="18"/>
      <c r="B142" s="18"/>
      <c r="C142" s="18"/>
      <c r="D142" s="20"/>
      <c r="E142" s="20"/>
      <c r="F142" s="20"/>
      <c r="G142" s="20"/>
    </row>
    <row r="143" spans="1:8" ht="14.1" customHeight="1" x14ac:dyDescent="0.2">
      <c r="A143" s="18"/>
      <c r="B143" s="168" t="s">
        <v>133</v>
      </c>
      <c r="C143" s="169"/>
      <c r="D143" s="12" t="s">
        <v>106</v>
      </c>
      <c r="E143" s="21"/>
      <c r="F143" s="20"/>
      <c r="G143" s="20"/>
    </row>
    <row r="144" spans="1:8" ht="29.1" customHeight="1" x14ac:dyDescent="0.2">
      <c r="A144" s="18"/>
      <c r="B144" s="165" t="s">
        <v>134</v>
      </c>
      <c r="C144" s="166"/>
      <c r="D144" s="2" t="s">
        <v>135</v>
      </c>
      <c r="E144" s="21"/>
      <c r="F144" s="20"/>
      <c r="G144" s="20"/>
    </row>
    <row r="145" spans="1:7" ht="17.100000000000001" customHeight="1" x14ac:dyDescent="0.2">
      <c r="A145" s="18"/>
      <c r="B145" s="165" t="s">
        <v>136</v>
      </c>
      <c r="C145" s="166"/>
      <c r="D145" s="2" t="s">
        <v>135</v>
      </c>
      <c r="E145" s="21"/>
      <c r="F145" s="20"/>
      <c r="G145" s="20"/>
    </row>
    <row r="146" spans="1:7" ht="17.100000000000001" customHeight="1" x14ac:dyDescent="0.2">
      <c r="A146" s="18"/>
      <c r="B146" s="165" t="s">
        <v>137</v>
      </c>
      <c r="C146" s="166"/>
      <c r="D146" s="12" t="s">
        <v>106</v>
      </c>
      <c r="E146" s="21"/>
      <c r="F146" s="20"/>
      <c r="G146" s="20"/>
    </row>
    <row r="147" spans="1:7" ht="24" customHeight="1" x14ac:dyDescent="0.2">
      <c r="A147" s="22"/>
      <c r="B147" s="23" t="s">
        <v>106</v>
      </c>
      <c r="C147" s="23" t="s">
        <v>138</v>
      </c>
      <c r="D147" s="23" t="s">
        <v>139</v>
      </c>
      <c r="E147" s="22"/>
      <c r="F147" s="22"/>
      <c r="G147" s="22"/>
    </row>
    <row r="148" spans="1:7" ht="18" customHeight="1" x14ac:dyDescent="0.2">
      <c r="A148" s="22"/>
      <c r="B148" s="23" t="s">
        <v>140</v>
      </c>
      <c r="C148" s="23" t="s">
        <v>141</v>
      </c>
      <c r="D148" s="23" t="s">
        <v>142</v>
      </c>
      <c r="E148" s="22"/>
      <c r="F148" s="22"/>
      <c r="G148" s="22"/>
    </row>
    <row r="149" spans="1:7" ht="17.100000000000001" customHeight="1" x14ac:dyDescent="0.2">
      <c r="A149" s="22"/>
      <c r="B149" s="4" t="s">
        <v>143</v>
      </c>
      <c r="C149" s="24">
        <v>14.220499999999999</v>
      </c>
      <c r="D149" s="24">
        <v>14.148300000000001</v>
      </c>
      <c r="E149" s="22"/>
      <c r="F149" s="19"/>
      <c r="G149" s="25"/>
    </row>
    <row r="150" spans="1:7" ht="17.100000000000001" customHeight="1" x14ac:dyDescent="0.2">
      <c r="A150" s="22"/>
      <c r="B150" s="4" t="s">
        <v>988</v>
      </c>
      <c r="C150" s="24">
        <v>14.220499999999999</v>
      </c>
      <c r="D150" s="24">
        <v>14.148300000000001</v>
      </c>
      <c r="E150" s="22"/>
      <c r="F150" s="19"/>
      <c r="G150" s="25"/>
    </row>
    <row r="151" spans="1:7" ht="17.100000000000001" customHeight="1" x14ac:dyDescent="0.2">
      <c r="A151" s="22"/>
      <c r="B151" s="4" t="s">
        <v>144</v>
      </c>
      <c r="C151" s="24">
        <v>13.6937</v>
      </c>
      <c r="D151" s="24">
        <v>13.622199999999999</v>
      </c>
      <c r="E151" s="22"/>
      <c r="F151" s="19"/>
      <c r="G151" s="25"/>
    </row>
    <row r="152" spans="1:7" ht="17.100000000000001" customHeight="1" x14ac:dyDescent="0.2">
      <c r="A152" s="22"/>
      <c r="B152" s="4" t="s">
        <v>989</v>
      </c>
      <c r="C152" s="24">
        <v>13.6937</v>
      </c>
      <c r="D152" s="24">
        <v>13.6221</v>
      </c>
      <c r="E152" s="22"/>
      <c r="F152" s="19"/>
      <c r="G152" s="25"/>
    </row>
    <row r="153" spans="1:7" ht="14.1" customHeight="1" x14ac:dyDescent="0.2">
      <c r="A153" s="22"/>
      <c r="B153" s="22"/>
      <c r="C153" s="22"/>
      <c r="D153" s="22"/>
      <c r="E153" s="22"/>
      <c r="F153" s="22"/>
      <c r="G153" s="22"/>
    </row>
    <row r="154" spans="1:7" ht="17.100000000000001" customHeight="1" x14ac:dyDescent="0.2">
      <c r="A154" s="22"/>
      <c r="B154" s="165" t="s">
        <v>990</v>
      </c>
      <c r="C154" s="166"/>
      <c r="D154" s="2" t="s">
        <v>135</v>
      </c>
      <c r="E154" s="22"/>
      <c r="F154" s="22"/>
      <c r="G154" s="22"/>
    </row>
    <row r="155" spans="1:7" ht="18" customHeight="1" x14ac:dyDescent="0.2">
      <c r="A155" s="22"/>
      <c r="B155" s="26" t="s">
        <v>145</v>
      </c>
      <c r="C155" s="26" t="s">
        <v>145</v>
      </c>
      <c r="D155" s="26"/>
      <c r="E155" s="22"/>
      <c r="F155" s="22"/>
      <c r="G155" s="22"/>
    </row>
    <row r="156" spans="1:7" s="158" customFormat="1" x14ac:dyDescent="0.2">
      <c r="B156" s="167" t="s">
        <v>822</v>
      </c>
      <c r="C156" s="167"/>
      <c r="D156" s="167"/>
      <c r="E156" s="167"/>
      <c r="F156" s="167"/>
    </row>
    <row r="157" spans="1:7" ht="14.1" customHeight="1" x14ac:dyDescent="0.2">
      <c r="A157" s="22"/>
      <c r="B157" s="19"/>
      <c r="C157" s="19"/>
      <c r="D157" s="22"/>
      <c r="E157" s="22"/>
      <c r="F157" s="22"/>
      <c r="G157" s="22"/>
    </row>
    <row r="158" spans="1:7" ht="29.1" customHeight="1" x14ac:dyDescent="0.2">
      <c r="A158" s="22"/>
      <c r="B158" s="165" t="s">
        <v>146</v>
      </c>
      <c r="C158" s="166"/>
      <c r="D158" s="2" t="s">
        <v>135</v>
      </c>
      <c r="E158" s="22"/>
      <c r="F158" s="22"/>
      <c r="G158" s="22"/>
    </row>
    <row r="159" spans="1:7" ht="29.1" customHeight="1" x14ac:dyDescent="0.2">
      <c r="A159" s="22"/>
      <c r="B159" s="165" t="s">
        <v>147</v>
      </c>
      <c r="C159" s="166"/>
      <c r="D159" s="2" t="s">
        <v>135</v>
      </c>
      <c r="E159" s="22"/>
      <c r="F159" s="22"/>
      <c r="G159" s="22"/>
    </row>
    <row r="160" spans="1:7" ht="17.100000000000001" customHeight="1" x14ac:dyDescent="0.2">
      <c r="A160" s="22"/>
      <c r="B160" s="165" t="s">
        <v>148</v>
      </c>
      <c r="C160" s="166"/>
      <c r="D160" s="27">
        <v>0.40242821702148657</v>
      </c>
      <c r="E160" s="22"/>
      <c r="F160" s="19"/>
      <c r="G160" s="25"/>
    </row>
    <row r="161" spans="1:7" ht="17.100000000000001" customHeight="1" x14ac:dyDescent="0.2">
      <c r="A161" s="22"/>
      <c r="B161" s="165" t="s">
        <v>149</v>
      </c>
      <c r="C161" s="166"/>
      <c r="D161" s="2" t="s">
        <v>135</v>
      </c>
      <c r="E161" s="22"/>
      <c r="F161" s="22"/>
      <c r="G161" s="22"/>
    </row>
  </sheetData>
  <mergeCells count="15">
    <mergeCell ref="B143:C143"/>
    <mergeCell ref="B140:F140"/>
    <mergeCell ref="B141:F141"/>
    <mergeCell ref="A1:H1"/>
    <mergeCell ref="A2:H2"/>
    <mergeCell ref="A3:H3"/>
    <mergeCell ref="B160:C160"/>
    <mergeCell ref="B161:C161"/>
    <mergeCell ref="B144:C144"/>
    <mergeCell ref="B145:C145"/>
    <mergeCell ref="B146:C146"/>
    <mergeCell ref="B154:C154"/>
    <mergeCell ref="B158:C158"/>
    <mergeCell ref="B159:C159"/>
    <mergeCell ref="B156:F156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H16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506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37</v>
      </c>
      <c r="C7" s="4" t="s">
        <v>38</v>
      </c>
      <c r="D7" s="4" t="s">
        <v>27</v>
      </c>
      <c r="E7" s="5">
        <v>447531</v>
      </c>
      <c r="F7" s="6">
        <v>5329.8704445000003</v>
      </c>
      <c r="G7" s="7">
        <v>3.5282018999999998E-2</v>
      </c>
      <c r="H7" s="67"/>
    </row>
    <row r="8" spans="1:8" x14ac:dyDescent="0.2">
      <c r="A8" s="3">
        <v>2</v>
      </c>
      <c r="B8" s="4" t="s">
        <v>151</v>
      </c>
      <c r="C8" s="4" t="s">
        <v>152</v>
      </c>
      <c r="D8" s="4" t="s">
        <v>153</v>
      </c>
      <c r="E8" s="5">
        <v>120489</v>
      </c>
      <c r="F8" s="6">
        <v>4852.8149640000001</v>
      </c>
      <c r="G8" s="7">
        <v>3.2124066E-2</v>
      </c>
      <c r="H8" s="67"/>
    </row>
    <row r="9" spans="1:8" x14ac:dyDescent="0.2">
      <c r="A9" s="3">
        <v>3</v>
      </c>
      <c r="B9" s="4" t="s">
        <v>198</v>
      </c>
      <c r="C9" s="4" t="s">
        <v>199</v>
      </c>
      <c r="D9" s="4" t="s">
        <v>166</v>
      </c>
      <c r="E9" s="5">
        <v>475853</v>
      </c>
      <c r="F9" s="6">
        <v>4651.2251484999997</v>
      </c>
      <c r="G9" s="7">
        <v>3.0789606000000001E-2</v>
      </c>
      <c r="H9" s="67"/>
    </row>
    <row r="10" spans="1:8" x14ac:dyDescent="0.2">
      <c r="A10" s="3">
        <v>4</v>
      </c>
      <c r="B10" s="4" t="s">
        <v>279</v>
      </c>
      <c r="C10" s="4" t="s">
        <v>280</v>
      </c>
      <c r="D10" s="4" t="s">
        <v>1003</v>
      </c>
      <c r="E10" s="5">
        <v>305795</v>
      </c>
      <c r="F10" s="6">
        <v>4640.5920225</v>
      </c>
      <c r="G10" s="7">
        <v>3.0719218E-2</v>
      </c>
      <c r="H10" s="67"/>
    </row>
    <row r="11" spans="1:8" x14ac:dyDescent="0.2">
      <c r="A11" s="3">
        <v>5</v>
      </c>
      <c r="B11" s="4" t="s">
        <v>213</v>
      </c>
      <c r="C11" s="4" t="s">
        <v>214</v>
      </c>
      <c r="D11" s="4" t="s">
        <v>81</v>
      </c>
      <c r="E11" s="5">
        <v>796712</v>
      </c>
      <c r="F11" s="6">
        <v>4548.8271640000003</v>
      </c>
      <c r="G11" s="7">
        <v>3.0111764999999999E-2</v>
      </c>
      <c r="H11" s="67"/>
    </row>
    <row r="12" spans="1:8" x14ac:dyDescent="0.2">
      <c r="A12" s="3">
        <v>6</v>
      </c>
      <c r="B12" s="4" t="s">
        <v>167</v>
      </c>
      <c r="C12" s="4" t="s">
        <v>168</v>
      </c>
      <c r="D12" s="4" t="s">
        <v>166</v>
      </c>
      <c r="E12" s="5">
        <v>136438</v>
      </c>
      <c r="F12" s="6">
        <v>4532.538579</v>
      </c>
      <c r="G12" s="7">
        <v>3.0003939E-2</v>
      </c>
      <c r="H12" s="67"/>
    </row>
    <row r="13" spans="1:8" x14ac:dyDescent="0.2">
      <c r="A13" s="3">
        <v>7</v>
      </c>
      <c r="B13" s="4" t="s">
        <v>507</v>
      </c>
      <c r="C13" s="4" t="s">
        <v>508</v>
      </c>
      <c r="D13" s="4" t="s">
        <v>187</v>
      </c>
      <c r="E13" s="5">
        <v>615169</v>
      </c>
      <c r="F13" s="6">
        <v>4409.5313919999999</v>
      </c>
      <c r="G13" s="7">
        <v>2.9189672E-2</v>
      </c>
      <c r="H13" s="67"/>
    </row>
    <row r="14" spans="1:8" x14ac:dyDescent="0.2">
      <c r="A14" s="3">
        <v>8</v>
      </c>
      <c r="B14" s="4" t="s">
        <v>206</v>
      </c>
      <c r="C14" s="4" t="s">
        <v>207</v>
      </c>
      <c r="D14" s="4" t="s">
        <v>187</v>
      </c>
      <c r="E14" s="5">
        <v>633232</v>
      </c>
      <c r="F14" s="6">
        <v>4221.1245120000003</v>
      </c>
      <c r="G14" s="7">
        <v>2.7942478999999999E-2</v>
      </c>
      <c r="H14" s="67"/>
    </row>
    <row r="15" spans="1:8" x14ac:dyDescent="0.2">
      <c r="A15" s="3">
        <v>9</v>
      </c>
      <c r="B15" s="4" t="s">
        <v>452</v>
      </c>
      <c r="C15" s="4" t="s">
        <v>453</v>
      </c>
      <c r="D15" s="4" t="s">
        <v>27</v>
      </c>
      <c r="E15" s="5">
        <v>505032</v>
      </c>
      <c r="F15" s="6">
        <v>4191.5130840000002</v>
      </c>
      <c r="G15" s="7">
        <v>2.7746461E-2</v>
      </c>
      <c r="H15" s="67"/>
    </row>
    <row r="16" spans="1:8" x14ac:dyDescent="0.2">
      <c r="A16" s="3">
        <v>10</v>
      </c>
      <c r="B16" s="4" t="s">
        <v>358</v>
      </c>
      <c r="C16" s="4" t="s">
        <v>359</v>
      </c>
      <c r="D16" s="4" t="s">
        <v>24</v>
      </c>
      <c r="E16" s="5">
        <v>2485917</v>
      </c>
      <c r="F16" s="6">
        <v>3772.3790475000001</v>
      </c>
      <c r="G16" s="7">
        <v>2.4971929E-2</v>
      </c>
      <c r="H16" s="67"/>
    </row>
    <row r="17" spans="1:8" x14ac:dyDescent="0.2">
      <c r="A17" s="3">
        <v>11</v>
      </c>
      <c r="B17" s="4" t="s">
        <v>247</v>
      </c>
      <c r="C17" s="4" t="s">
        <v>248</v>
      </c>
      <c r="D17" s="4" t="s">
        <v>1001</v>
      </c>
      <c r="E17" s="5">
        <v>668744</v>
      </c>
      <c r="F17" s="6">
        <v>3681.7700920000002</v>
      </c>
      <c r="G17" s="7">
        <v>2.4372127E-2</v>
      </c>
      <c r="H17" s="67"/>
    </row>
    <row r="18" spans="1:8" x14ac:dyDescent="0.2">
      <c r="A18" s="3">
        <v>12</v>
      </c>
      <c r="B18" s="4" t="s">
        <v>210</v>
      </c>
      <c r="C18" s="4" t="s">
        <v>211</v>
      </c>
      <c r="D18" s="4" t="s">
        <v>212</v>
      </c>
      <c r="E18" s="5">
        <v>1458401</v>
      </c>
      <c r="F18" s="6">
        <v>3656.211307</v>
      </c>
      <c r="G18" s="7">
        <v>2.4202936000000001E-2</v>
      </c>
      <c r="H18" s="67"/>
    </row>
    <row r="19" spans="1:8" x14ac:dyDescent="0.2">
      <c r="A19" s="3">
        <v>13</v>
      </c>
      <c r="B19" s="4" t="s">
        <v>164</v>
      </c>
      <c r="C19" s="4" t="s">
        <v>165</v>
      </c>
      <c r="D19" s="4" t="s">
        <v>166</v>
      </c>
      <c r="E19" s="5">
        <v>1076489</v>
      </c>
      <c r="F19" s="6">
        <v>3625.6149519999999</v>
      </c>
      <c r="G19" s="7">
        <v>2.4000397999999999E-2</v>
      </c>
      <c r="H19" s="67"/>
    </row>
    <row r="20" spans="1:8" x14ac:dyDescent="0.2">
      <c r="A20" s="3">
        <v>14</v>
      </c>
      <c r="B20" s="4" t="s">
        <v>180</v>
      </c>
      <c r="C20" s="4" t="s">
        <v>181</v>
      </c>
      <c r="D20" s="4" t="s">
        <v>171</v>
      </c>
      <c r="E20" s="5">
        <v>261830</v>
      </c>
      <c r="F20" s="6">
        <v>3573.063095</v>
      </c>
      <c r="G20" s="7">
        <v>2.3652521999999999E-2</v>
      </c>
      <c r="H20" s="67"/>
    </row>
    <row r="21" spans="1:8" x14ac:dyDescent="0.2">
      <c r="A21" s="3">
        <v>15</v>
      </c>
      <c r="B21" s="4" t="s">
        <v>162</v>
      </c>
      <c r="C21" s="4" t="s">
        <v>163</v>
      </c>
      <c r="D21" s="4" t="s">
        <v>27</v>
      </c>
      <c r="E21" s="5">
        <v>466400</v>
      </c>
      <c r="F21" s="6">
        <v>3565.3948</v>
      </c>
      <c r="G21" s="7">
        <v>2.3601759999999999E-2</v>
      </c>
      <c r="H21" s="67"/>
    </row>
    <row r="22" spans="1:8" x14ac:dyDescent="0.2">
      <c r="A22" s="3">
        <v>16</v>
      </c>
      <c r="B22" s="4" t="s">
        <v>234</v>
      </c>
      <c r="C22" s="4" t="s">
        <v>235</v>
      </c>
      <c r="D22" s="4" t="s">
        <v>187</v>
      </c>
      <c r="E22" s="5">
        <v>200691</v>
      </c>
      <c r="F22" s="6">
        <v>3417.0653115</v>
      </c>
      <c r="G22" s="7">
        <v>2.2619866999999998E-2</v>
      </c>
      <c r="H22" s="67"/>
    </row>
    <row r="23" spans="1:8" x14ac:dyDescent="0.2">
      <c r="A23" s="3">
        <v>17</v>
      </c>
      <c r="B23" s="4" t="s">
        <v>441</v>
      </c>
      <c r="C23" s="4" t="s">
        <v>442</v>
      </c>
      <c r="D23" s="4" t="s">
        <v>81</v>
      </c>
      <c r="E23" s="5">
        <v>483280</v>
      </c>
      <c r="F23" s="6">
        <v>3307.0850399999999</v>
      </c>
      <c r="G23" s="7">
        <v>2.1891832999999999E-2</v>
      </c>
      <c r="H23" s="67"/>
    </row>
    <row r="24" spans="1:8" x14ac:dyDescent="0.2">
      <c r="A24" s="3">
        <v>18</v>
      </c>
      <c r="B24" s="4" t="s">
        <v>366</v>
      </c>
      <c r="C24" s="4" t="s">
        <v>367</v>
      </c>
      <c r="D24" s="4" t="s">
        <v>55</v>
      </c>
      <c r="E24" s="5">
        <v>72430</v>
      </c>
      <c r="F24" s="6">
        <v>3013.37772</v>
      </c>
      <c r="G24" s="7">
        <v>1.9947586E-2</v>
      </c>
      <c r="H24" s="67"/>
    </row>
    <row r="25" spans="1:8" x14ac:dyDescent="0.2">
      <c r="A25" s="3">
        <v>19</v>
      </c>
      <c r="B25" s="4" t="s">
        <v>174</v>
      </c>
      <c r="C25" s="4" t="s">
        <v>175</v>
      </c>
      <c r="D25" s="4" t="s">
        <v>55</v>
      </c>
      <c r="E25" s="5">
        <v>700000</v>
      </c>
      <c r="F25" s="6">
        <v>2817.85</v>
      </c>
      <c r="G25" s="7">
        <v>1.8653256E-2</v>
      </c>
      <c r="H25" s="67"/>
    </row>
    <row r="26" spans="1:8" x14ac:dyDescent="0.2">
      <c r="A26" s="3">
        <v>20</v>
      </c>
      <c r="B26" s="4" t="s">
        <v>509</v>
      </c>
      <c r="C26" s="4" t="s">
        <v>510</v>
      </c>
      <c r="D26" s="4" t="s">
        <v>24</v>
      </c>
      <c r="E26" s="5">
        <v>870071</v>
      </c>
      <c r="F26" s="6">
        <v>2587.5911540000002</v>
      </c>
      <c r="G26" s="7">
        <v>1.7129017E-2</v>
      </c>
      <c r="H26" s="67"/>
    </row>
    <row r="27" spans="1:8" ht="25.5" x14ac:dyDescent="0.2">
      <c r="A27" s="3">
        <v>21</v>
      </c>
      <c r="B27" s="4" t="s">
        <v>240</v>
      </c>
      <c r="C27" s="4" t="s">
        <v>241</v>
      </c>
      <c r="D27" s="4" t="s">
        <v>52</v>
      </c>
      <c r="E27" s="5">
        <v>637187</v>
      </c>
      <c r="F27" s="6">
        <v>2572.6425125000001</v>
      </c>
      <c r="G27" s="7">
        <v>1.7030060999999999E-2</v>
      </c>
      <c r="H27" s="67"/>
    </row>
    <row r="28" spans="1:8" ht="25.5" x14ac:dyDescent="0.2">
      <c r="A28" s="3">
        <v>22</v>
      </c>
      <c r="B28" s="4" t="s">
        <v>30</v>
      </c>
      <c r="C28" s="4" t="s">
        <v>998</v>
      </c>
      <c r="D28" s="4" t="s">
        <v>992</v>
      </c>
      <c r="E28" s="5">
        <v>72630</v>
      </c>
      <c r="F28" s="6">
        <v>2376.01782</v>
      </c>
      <c r="G28" s="7">
        <v>1.5728470000000001E-2</v>
      </c>
      <c r="H28" s="67"/>
    </row>
    <row r="29" spans="1:8" x14ac:dyDescent="0.2">
      <c r="A29" s="3">
        <v>23</v>
      </c>
      <c r="B29" s="4" t="s">
        <v>511</v>
      </c>
      <c r="C29" s="4" t="s">
        <v>512</v>
      </c>
      <c r="D29" s="4" t="s">
        <v>166</v>
      </c>
      <c r="E29" s="5">
        <v>565622</v>
      </c>
      <c r="F29" s="6">
        <v>2359.2093620000001</v>
      </c>
      <c r="G29" s="7">
        <v>1.5617203E-2</v>
      </c>
      <c r="H29" s="67"/>
    </row>
    <row r="30" spans="1:8" x14ac:dyDescent="0.2">
      <c r="A30" s="3">
        <v>24</v>
      </c>
      <c r="B30" s="4" t="s">
        <v>208</v>
      </c>
      <c r="C30" s="4" t="s">
        <v>209</v>
      </c>
      <c r="D30" s="4" t="s">
        <v>1005</v>
      </c>
      <c r="E30" s="5">
        <v>275421</v>
      </c>
      <c r="F30" s="6">
        <v>2332.4027384999999</v>
      </c>
      <c r="G30" s="7">
        <v>1.5439751999999999E-2</v>
      </c>
      <c r="H30" s="67"/>
    </row>
    <row r="31" spans="1:8" x14ac:dyDescent="0.2">
      <c r="A31" s="3">
        <v>25</v>
      </c>
      <c r="B31" s="4" t="s">
        <v>188</v>
      </c>
      <c r="C31" s="4" t="s">
        <v>189</v>
      </c>
      <c r="D31" s="4" t="s">
        <v>166</v>
      </c>
      <c r="E31" s="5">
        <v>48685</v>
      </c>
      <c r="F31" s="6">
        <v>2317.1138900000001</v>
      </c>
      <c r="G31" s="7">
        <v>1.5338545E-2</v>
      </c>
      <c r="H31" s="67"/>
    </row>
    <row r="32" spans="1:8" x14ac:dyDescent="0.2">
      <c r="A32" s="3">
        <v>26</v>
      </c>
      <c r="B32" s="4" t="s">
        <v>273</v>
      </c>
      <c r="C32" s="4" t="s">
        <v>274</v>
      </c>
      <c r="D32" s="4" t="s">
        <v>187</v>
      </c>
      <c r="E32" s="5">
        <v>40215</v>
      </c>
      <c r="F32" s="6">
        <v>2187.45471</v>
      </c>
      <c r="G32" s="7">
        <v>1.4480243E-2</v>
      </c>
      <c r="H32" s="67"/>
    </row>
    <row r="33" spans="1:8" ht="25.5" x14ac:dyDescent="0.2">
      <c r="A33" s="3">
        <v>27</v>
      </c>
      <c r="B33" s="4" t="s">
        <v>493</v>
      </c>
      <c r="C33" s="4" t="s">
        <v>494</v>
      </c>
      <c r="D33" s="4" t="s">
        <v>992</v>
      </c>
      <c r="E33" s="5">
        <v>159286</v>
      </c>
      <c r="F33" s="6">
        <v>2156.8917259999998</v>
      </c>
      <c r="G33" s="7">
        <v>1.4277926E-2</v>
      </c>
      <c r="H33" s="67"/>
    </row>
    <row r="34" spans="1:8" ht="25.5" x14ac:dyDescent="0.2">
      <c r="A34" s="3">
        <v>28</v>
      </c>
      <c r="B34" s="4" t="s">
        <v>513</v>
      </c>
      <c r="C34" s="4" t="s">
        <v>514</v>
      </c>
      <c r="D34" s="4" t="s">
        <v>52</v>
      </c>
      <c r="E34" s="5">
        <v>581987</v>
      </c>
      <c r="F34" s="6">
        <v>2147.8230235000001</v>
      </c>
      <c r="G34" s="7">
        <v>1.4217894E-2</v>
      </c>
      <c r="H34" s="67"/>
    </row>
    <row r="35" spans="1:8" x14ac:dyDescent="0.2">
      <c r="A35" s="3">
        <v>29</v>
      </c>
      <c r="B35" s="4" t="s">
        <v>53</v>
      </c>
      <c r="C35" s="4" t="s">
        <v>54</v>
      </c>
      <c r="D35" s="4" t="s">
        <v>55</v>
      </c>
      <c r="E35" s="5">
        <v>73290</v>
      </c>
      <c r="F35" s="6">
        <v>2121.6722100000002</v>
      </c>
      <c r="G35" s="7">
        <v>1.4044783999999999E-2</v>
      </c>
      <c r="H35" s="67"/>
    </row>
    <row r="36" spans="1:8" x14ac:dyDescent="0.2">
      <c r="A36" s="3">
        <v>30</v>
      </c>
      <c r="B36" s="4" t="s">
        <v>515</v>
      </c>
      <c r="C36" s="4" t="s">
        <v>516</v>
      </c>
      <c r="D36" s="4" t="s">
        <v>41</v>
      </c>
      <c r="E36" s="5">
        <v>491023</v>
      </c>
      <c r="F36" s="6">
        <v>2090.5304225</v>
      </c>
      <c r="G36" s="7">
        <v>1.3838635E-2</v>
      </c>
      <c r="H36" s="67"/>
    </row>
    <row r="37" spans="1:8" x14ac:dyDescent="0.2">
      <c r="A37" s="3">
        <v>31</v>
      </c>
      <c r="B37" s="4" t="s">
        <v>204</v>
      </c>
      <c r="C37" s="4" t="s">
        <v>205</v>
      </c>
      <c r="D37" s="4" t="s">
        <v>27</v>
      </c>
      <c r="E37" s="5">
        <v>123319</v>
      </c>
      <c r="F37" s="6">
        <v>2047.8969735000001</v>
      </c>
      <c r="G37" s="7">
        <v>1.3556416E-2</v>
      </c>
      <c r="H37" s="67"/>
    </row>
    <row r="38" spans="1:8" x14ac:dyDescent="0.2">
      <c r="A38" s="3">
        <v>32</v>
      </c>
      <c r="B38" s="4" t="s">
        <v>517</v>
      </c>
      <c r="C38" s="4" t="s">
        <v>518</v>
      </c>
      <c r="D38" s="4" t="s">
        <v>55</v>
      </c>
      <c r="E38" s="5">
        <v>167736</v>
      </c>
      <c r="F38" s="6">
        <v>1971.2334719999999</v>
      </c>
      <c r="G38" s="7">
        <v>1.3048928E-2</v>
      </c>
      <c r="H38" s="67"/>
    </row>
    <row r="39" spans="1:8" x14ac:dyDescent="0.2">
      <c r="A39" s="3">
        <v>33</v>
      </c>
      <c r="B39" s="4" t="s">
        <v>172</v>
      </c>
      <c r="C39" s="4" t="s">
        <v>173</v>
      </c>
      <c r="D39" s="4" t="s">
        <v>331</v>
      </c>
      <c r="E39" s="5">
        <v>204091</v>
      </c>
      <c r="F39" s="6">
        <v>1945.9056395</v>
      </c>
      <c r="G39" s="7">
        <v>1.2881266000000001E-2</v>
      </c>
      <c r="H39" s="67"/>
    </row>
    <row r="40" spans="1:8" x14ac:dyDescent="0.2">
      <c r="A40" s="3">
        <v>34</v>
      </c>
      <c r="B40" s="4" t="s">
        <v>519</v>
      </c>
      <c r="C40" s="4" t="s">
        <v>520</v>
      </c>
      <c r="D40" s="4" t="s">
        <v>242</v>
      </c>
      <c r="E40" s="5">
        <v>605404</v>
      </c>
      <c r="F40" s="6">
        <v>1943.3468399999999</v>
      </c>
      <c r="G40" s="7">
        <v>1.2864328E-2</v>
      </c>
      <c r="H40" s="67"/>
    </row>
    <row r="41" spans="1:8" x14ac:dyDescent="0.2">
      <c r="A41" s="3">
        <v>35</v>
      </c>
      <c r="B41" s="4" t="s">
        <v>521</v>
      </c>
      <c r="C41" s="4" t="s">
        <v>522</v>
      </c>
      <c r="D41" s="4" t="s">
        <v>153</v>
      </c>
      <c r="E41" s="5">
        <v>197214</v>
      </c>
      <c r="F41" s="6">
        <v>1900.6499249999999</v>
      </c>
      <c r="G41" s="7">
        <v>1.2581688000000001E-2</v>
      </c>
      <c r="H41" s="67"/>
    </row>
    <row r="42" spans="1:8" x14ac:dyDescent="0.2">
      <c r="A42" s="3">
        <v>36</v>
      </c>
      <c r="B42" s="4" t="s">
        <v>249</v>
      </c>
      <c r="C42" s="4" t="s">
        <v>250</v>
      </c>
      <c r="D42" s="4" t="s">
        <v>187</v>
      </c>
      <c r="E42" s="5">
        <v>322636</v>
      </c>
      <c r="F42" s="6">
        <v>1729.490278</v>
      </c>
      <c r="G42" s="7">
        <v>1.1448666E-2</v>
      </c>
      <c r="H42" s="67"/>
    </row>
    <row r="43" spans="1:8" ht="25.5" x14ac:dyDescent="0.2">
      <c r="A43" s="3">
        <v>37</v>
      </c>
      <c r="B43" s="4" t="s">
        <v>202</v>
      </c>
      <c r="C43" s="4" t="s">
        <v>203</v>
      </c>
      <c r="D43" s="4" t="s">
        <v>52</v>
      </c>
      <c r="E43" s="5">
        <v>368640</v>
      </c>
      <c r="F43" s="6">
        <v>1718.7840000000001</v>
      </c>
      <c r="G43" s="7">
        <v>1.1377794E-2</v>
      </c>
      <c r="H43" s="67"/>
    </row>
    <row r="44" spans="1:8" x14ac:dyDescent="0.2">
      <c r="A44" s="3">
        <v>38</v>
      </c>
      <c r="B44" s="4" t="s">
        <v>67</v>
      </c>
      <c r="C44" s="4" t="s">
        <v>68</v>
      </c>
      <c r="D44" s="4" t="s">
        <v>69</v>
      </c>
      <c r="E44" s="5">
        <v>1129503</v>
      </c>
      <c r="F44" s="6">
        <v>1684.6537245</v>
      </c>
      <c r="G44" s="7">
        <v>1.1151863E-2</v>
      </c>
      <c r="H44" s="67"/>
    </row>
    <row r="45" spans="1:8" x14ac:dyDescent="0.2">
      <c r="A45" s="3">
        <v>39</v>
      </c>
      <c r="B45" s="4" t="s">
        <v>77</v>
      </c>
      <c r="C45" s="4" t="s">
        <v>78</v>
      </c>
      <c r="D45" s="4" t="s">
        <v>69</v>
      </c>
      <c r="E45" s="5">
        <v>502034</v>
      </c>
      <c r="F45" s="6">
        <v>1679.052713</v>
      </c>
      <c r="G45" s="7">
        <v>1.1114786E-2</v>
      </c>
      <c r="H45" s="67"/>
    </row>
    <row r="46" spans="1:8" x14ac:dyDescent="0.2">
      <c r="A46" s="3">
        <v>40</v>
      </c>
      <c r="B46" s="4" t="s">
        <v>523</v>
      </c>
      <c r="C46" s="4" t="s">
        <v>524</v>
      </c>
      <c r="D46" s="4" t="s">
        <v>27</v>
      </c>
      <c r="E46" s="5">
        <v>458729</v>
      </c>
      <c r="F46" s="6">
        <v>1664.727541</v>
      </c>
      <c r="G46" s="7">
        <v>1.1019958E-2</v>
      </c>
      <c r="H46" s="67"/>
    </row>
    <row r="47" spans="1:8" x14ac:dyDescent="0.2">
      <c r="A47" s="3">
        <v>41</v>
      </c>
      <c r="B47" s="4" t="s">
        <v>525</v>
      </c>
      <c r="C47" s="4" t="s">
        <v>526</v>
      </c>
      <c r="D47" s="4" t="s">
        <v>179</v>
      </c>
      <c r="E47" s="5">
        <v>94501</v>
      </c>
      <c r="F47" s="6">
        <v>1653.7674999999999</v>
      </c>
      <c r="G47" s="7">
        <v>1.0947406E-2</v>
      </c>
      <c r="H47" s="67"/>
    </row>
    <row r="48" spans="1:8" x14ac:dyDescent="0.2">
      <c r="A48" s="3">
        <v>42</v>
      </c>
      <c r="B48" s="4" t="s">
        <v>63</v>
      </c>
      <c r="C48" s="4" t="s">
        <v>64</v>
      </c>
      <c r="D48" s="4" t="s">
        <v>55</v>
      </c>
      <c r="E48" s="5">
        <v>600000</v>
      </c>
      <c r="F48" s="6">
        <v>1554</v>
      </c>
      <c r="G48" s="7">
        <v>1.0286976999999999E-2</v>
      </c>
      <c r="H48" s="67"/>
    </row>
    <row r="49" spans="1:8" x14ac:dyDescent="0.2">
      <c r="A49" s="3">
        <v>43</v>
      </c>
      <c r="B49" s="4" t="s">
        <v>283</v>
      </c>
      <c r="C49" s="4" t="s">
        <v>284</v>
      </c>
      <c r="D49" s="4" t="s">
        <v>166</v>
      </c>
      <c r="E49" s="5">
        <v>342266</v>
      </c>
      <c r="F49" s="6">
        <v>1550.636113</v>
      </c>
      <c r="G49" s="7">
        <v>1.026471E-2</v>
      </c>
      <c r="H49" s="67"/>
    </row>
    <row r="50" spans="1:8" x14ac:dyDescent="0.2">
      <c r="A50" s="3">
        <v>44</v>
      </c>
      <c r="B50" s="4" t="s">
        <v>79</v>
      </c>
      <c r="C50" s="4" t="s">
        <v>80</v>
      </c>
      <c r="D50" s="4" t="s">
        <v>81</v>
      </c>
      <c r="E50" s="5">
        <v>500000</v>
      </c>
      <c r="F50" s="6">
        <v>1458.25</v>
      </c>
      <c r="G50" s="7">
        <v>9.6531429999999994E-3</v>
      </c>
      <c r="H50" s="67"/>
    </row>
    <row r="51" spans="1:8" x14ac:dyDescent="0.2">
      <c r="A51" s="3">
        <v>45</v>
      </c>
      <c r="B51" s="4" t="s">
        <v>219</v>
      </c>
      <c r="C51" s="4" t="s">
        <v>220</v>
      </c>
      <c r="D51" s="4" t="s">
        <v>55</v>
      </c>
      <c r="E51" s="5">
        <v>169950</v>
      </c>
      <c r="F51" s="6">
        <v>1442.36565</v>
      </c>
      <c r="G51" s="7">
        <v>9.5479940000000006E-3</v>
      </c>
      <c r="H51" s="67"/>
    </row>
    <row r="52" spans="1:8" x14ac:dyDescent="0.2">
      <c r="A52" s="3">
        <v>46</v>
      </c>
      <c r="B52" s="4" t="s">
        <v>527</v>
      </c>
      <c r="C52" s="4" t="s">
        <v>528</v>
      </c>
      <c r="D52" s="4" t="s">
        <v>55</v>
      </c>
      <c r="E52" s="5">
        <v>195037</v>
      </c>
      <c r="F52" s="6">
        <v>1417.528916</v>
      </c>
      <c r="G52" s="7">
        <v>9.3835829999999992E-3</v>
      </c>
      <c r="H52" s="67"/>
    </row>
    <row r="53" spans="1:8" ht="25.5" x14ac:dyDescent="0.2">
      <c r="A53" s="3">
        <v>47</v>
      </c>
      <c r="B53" s="4" t="s">
        <v>217</v>
      </c>
      <c r="C53" s="4" t="s">
        <v>218</v>
      </c>
      <c r="D53" s="4" t="s">
        <v>55</v>
      </c>
      <c r="E53" s="5">
        <v>63834</v>
      </c>
      <c r="F53" s="6">
        <v>1400.358375</v>
      </c>
      <c r="G53" s="7">
        <v>9.2699199999999992E-3</v>
      </c>
      <c r="H53" s="67"/>
    </row>
    <row r="54" spans="1:8" x14ac:dyDescent="0.2">
      <c r="A54" s="3">
        <v>48</v>
      </c>
      <c r="B54" s="4" t="s">
        <v>529</v>
      </c>
      <c r="C54" s="4" t="s">
        <v>530</v>
      </c>
      <c r="D54" s="4" t="s">
        <v>153</v>
      </c>
      <c r="E54" s="5">
        <v>179038</v>
      </c>
      <c r="F54" s="6">
        <v>1363.553408</v>
      </c>
      <c r="G54" s="7">
        <v>9.0262829999999995E-3</v>
      </c>
      <c r="H54" s="67"/>
    </row>
    <row r="55" spans="1:8" x14ac:dyDescent="0.2">
      <c r="A55" s="3">
        <v>49</v>
      </c>
      <c r="B55" s="4" t="s">
        <v>531</v>
      </c>
      <c r="C55" s="4" t="s">
        <v>532</v>
      </c>
      <c r="D55" s="4" t="s">
        <v>49</v>
      </c>
      <c r="E55" s="5">
        <v>81672</v>
      </c>
      <c r="F55" s="6">
        <v>1355.8368720000001</v>
      </c>
      <c r="G55" s="7">
        <v>8.9752019999999998E-3</v>
      </c>
      <c r="H55" s="67"/>
    </row>
    <row r="56" spans="1:8" x14ac:dyDescent="0.2">
      <c r="A56" s="3">
        <v>50</v>
      </c>
      <c r="B56" s="4" t="s">
        <v>533</v>
      </c>
      <c r="C56" s="4" t="s">
        <v>534</v>
      </c>
      <c r="D56" s="4" t="s">
        <v>1001</v>
      </c>
      <c r="E56" s="5">
        <v>3249123</v>
      </c>
      <c r="F56" s="6">
        <v>1254.161478</v>
      </c>
      <c r="G56" s="7">
        <v>8.3021429999999997E-3</v>
      </c>
      <c r="H56" s="67"/>
    </row>
    <row r="57" spans="1:8" x14ac:dyDescent="0.2">
      <c r="A57" s="3">
        <v>51</v>
      </c>
      <c r="B57" s="4" t="s">
        <v>535</v>
      </c>
      <c r="C57" s="4" t="s">
        <v>536</v>
      </c>
      <c r="D57" s="4" t="s">
        <v>1003</v>
      </c>
      <c r="E57" s="5">
        <v>31067</v>
      </c>
      <c r="F57" s="6">
        <v>1185.7497225</v>
      </c>
      <c r="G57" s="7">
        <v>7.8492800000000001E-3</v>
      </c>
      <c r="H57" s="67"/>
    </row>
    <row r="58" spans="1:8" x14ac:dyDescent="0.2">
      <c r="A58" s="3">
        <v>52</v>
      </c>
      <c r="B58" s="4" t="s">
        <v>270</v>
      </c>
      <c r="C58" s="4" t="s">
        <v>271</v>
      </c>
      <c r="D58" s="4" t="s">
        <v>272</v>
      </c>
      <c r="E58" s="5">
        <v>520000</v>
      </c>
      <c r="F58" s="6">
        <v>1181.7</v>
      </c>
      <c r="G58" s="7">
        <v>7.8224720000000005E-3</v>
      </c>
      <c r="H58" s="67"/>
    </row>
    <row r="59" spans="1:8" x14ac:dyDescent="0.2">
      <c r="A59" s="3">
        <v>53</v>
      </c>
      <c r="B59" s="4" t="s">
        <v>537</v>
      </c>
      <c r="C59" s="4" t="s">
        <v>538</v>
      </c>
      <c r="D59" s="4" t="s">
        <v>55</v>
      </c>
      <c r="E59" s="5">
        <v>142481</v>
      </c>
      <c r="F59" s="6">
        <v>998.72056950000001</v>
      </c>
      <c r="G59" s="7">
        <v>6.611207E-3</v>
      </c>
      <c r="H59" s="67"/>
    </row>
    <row r="60" spans="1:8" x14ac:dyDescent="0.2">
      <c r="A60" s="3">
        <v>54</v>
      </c>
      <c r="B60" s="4" t="s">
        <v>539</v>
      </c>
      <c r="C60" s="4" t="s">
        <v>540</v>
      </c>
      <c r="D60" s="4" t="s">
        <v>27</v>
      </c>
      <c r="E60" s="5">
        <v>450000</v>
      </c>
      <c r="F60" s="6">
        <v>981.22500000000002</v>
      </c>
      <c r="G60" s="7">
        <v>6.495392E-3</v>
      </c>
      <c r="H60" s="67"/>
    </row>
    <row r="61" spans="1:8" ht="25.5" x14ac:dyDescent="0.2">
      <c r="A61" s="3">
        <v>55</v>
      </c>
      <c r="B61" s="4" t="s">
        <v>327</v>
      </c>
      <c r="C61" s="4" t="s">
        <v>328</v>
      </c>
      <c r="D61" s="4" t="s">
        <v>55</v>
      </c>
      <c r="E61" s="5">
        <v>192724</v>
      </c>
      <c r="F61" s="6">
        <v>912.45177799999999</v>
      </c>
      <c r="G61" s="7">
        <v>6.0401359999999998E-3</v>
      </c>
      <c r="H61" s="67"/>
    </row>
    <row r="62" spans="1:8" x14ac:dyDescent="0.2">
      <c r="A62" s="3">
        <v>56</v>
      </c>
      <c r="B62" s="4" t="s">
        <v>225</v>
      </c>
      <c r="C62" s="4" t="s">
        <v>226</v>
      </c>
      <c r="D62" s="4" t="s">
        <v>166</v>
      </c>
      <c r="E62" s="5">
        <v>56501</v>
      </c>
      <c r="F62" s="6">
        <v>806.66477699999996</v>
      </c>
      <c r="G62" s="7">
        <v>5.3398600000000001E-3</v>
      </c>
      <c r="H62" s="67"/>
    </row>
    <row r="63" spans="1:8" x14ac:dyDescent="0.2">
      <c r="A63" s="3">
        <v>57</v>
      </c>
      <c r="B63" s="4" t="s">
        <v>541</v>
      </c>
      <c r="C63" s="4" t="s">
        <v>542</v>
      </c>
      <c r="D63" s="4" t="s">
        <v>24</v>
      </c>
      <c r="E63" s="5">
        <v>633649</v>
      </c>
      <c r="F63" s="6">
        <v>792.06124999999997</v>
      </c>
      <c r="G63" s="7">
        <v>5.2431889999999997E-3</v>
      </c>
      <c r="H63" s="67"/>
    </row>
    <row r="64" spans="1:8" x14ac:dyDescent="0.2">
      <c r="A64" s="3">
        <v>58</v>
      </c>
      <c r="B64" s="4" t="s">
        <v>543</v>
      </c>
      <c r="C64" s="4" t="s">
        <v>544</v>
      </c>
      <c r="D64" s="4" t="s">
        <v>1003</v>
      </c>
      <c r="E64" s="5">
        <v>61814</v>
      </c>
      <c r="F64" s="6">
        <v>738.89364899999998</v>
      </c>
      <c r="G64" s="7">
        <v>4.8912369999999997E-3</v>
      </c>
      <c r="H64" s="67"/>
    </row>
    <row r="65" spans="1:8" x14ac:dyDescent="0.2">
      <c r="A65" s="3">
        <v>59</v>
      </c>
      <c r="B65" s="4" t="s">
        <v>185</v>
      </c>
      <c r="C65" s="4" t="s">
        <v>186</v>
      </c>
      <c r="D65" s="4" t="s">
        <v>187</v>
      </c>
      <c r="E65" s="5">
        <v>151791</v>
      </c>
      <c r="F65" s="6">
        <v>728.21732250000002</v>
      </c>
      <c r="G65" s="7">
        <v>4.8205629999999999E-3</v>
      </c>
      <c r="H65" s="67"/>
    </row>
    <row r="66" spans="1:8" x14ac:dyDescent="0.2">
      <c r="A66" s="3">
        <v>60</v>
      </c>
      <c r="B66" s="4" t="s">
        <v>545</v>
      </c>
      <c r="C66" s="4" t="s">
        <v>546</v>
      </c>
      <c r="D66" s="4" t="s">
        <v>1004</v>
      </c>
      <c r="E66" s="5">
        <v>36660</v>
      </c>
      <c r="F66" s="6">
        <v>673.38921000000005</v>
      </c>
      <c r="G66" s="7">
        <v>4.4576190000000003E-3</v>
      </c>
      <c r="H66" s="67"/>
    </row>
    <row r="67" spans="1:8" ht="25.5" x14ac:dyDescent="0.2">
      <c r="A67" s="3">
        <v>61</v>
      </c>
      <c r="B67" s="4" t="s">
        <v>251</v>
      </c>
      <c r="C67" s="4" t="s">
        <v>252</v>
      </c>
      <c r="D67" s="4" t="s">
        <v>992</v>
      </c>
      <c r="E67" s="5">
        <v>390220</v>
      </c>
      <c r="F67" s="6">
        <v>638.39991999999995</v>
      </c>
      <c r="G67" s="7">
        <v>4.2260010000000001E-3</v>
      </c>
      <c r="H67" s="67"/>
    </row>
    <row r="68" spans="1:8" x14ac:dyDescent="0.2">
      <c r="A68" s="3">
        <v>62</v>
      </c>
      <c r="B68" s="4" t="s">
        <v>156</v>
      </c>
      <c r="C68" s="4" t="s">
        <v>157</v>
      </c>
      <c r="D68" s="4" t="s">
        <v>153</v>
      </c>
      <c r="E68" s="5">
        <v>24254</v>
      </c>
      <c r="F68" s="6">
        <v>340.356382</v>
      </c>
      <c r="G68" s="7">
        <v>2.253049E-3</v>
      </c>
      <c r="H68" s="67"/>
    </row>
    <row r="69" spans="1:8" x14ac:dyDescent="0.2">
      <c r="A69" s="3">
        <v>63</v>
      </c>
      <c r="B69" s="4" t="s">
        <v>547</v>
      </c>
      <c r="C69" s="4" t="s">
        <v>548</v>
      </c>
      <c r="D69" s="4" t="s">
        <v>171</v>
      </c>
      <c r="E69" s="5">
        <v>1993</v>
      </c>
      <c r="F69" s="6">
        <v>38.465896499999999</v>
      </c>
      <c r="G69" s="7">
        <v>2.5463200000000002E-4</v>
      </c>
      <c r="H69" s="67"/>
    </row>
    <row r="70" spans="1:8" x14ac:dyDescent="0.2">
      <c r="A70" s="1"/>
      <c r="B70" s="1"/>
      <c r="C70" s="2" t="s">
        <v>105</v>
      </c>
      <c r="D70" s="1"/>
      <c r="E70" s="1" t="s">
        <v>106</v>
      </c>
      <c r="F70" s="9">
        <v>143809.69314751899</v>
      </c>
      <c r="G70" s="10">
        <v>0.95197366000000005</v>
      </c>
      <c r="H70" s="67"/>
    </row>
    <row r="71" spans="1:8" x14ac:dyDescent="0.2">
      <c r="A71" s="1"/>
      <c r="B71" s="1"/>
      <c r="C71" s="11"/>
      <c r="D71" s="1"/>
      <c r="E71" s="1"/>
      <c r="F71" s="12"/>
      <c r="G71" s="12"/>
      <c r="H71" s="67"/>
    </row>
    <row r="72" spans="1:8" x14ac:dyDescent="0.2">
      <c r="A72" s="1"/>
      <c r="B72" s="1"/>
      <c r="C72" s="2" t="s">
        <v>107</v>
      </c>
      <c r="D72" s="1"/>
      <c r="E72" s="1"/>
      <c r="F72" s="1"/>
      <c r="G72" s="1"/>
      <c r="H72" s="67"/>
    </row>
    <row r="73" spans="1:8" x14ac:dyDescent="0.2">
      <c r="A73" s="1"/>
      <c r="B73" s="1"/>
      <c r="C73" s="2" t="s">
        <v>105</v>
      </c>
      <c r="D73" s="1"/>
      <c r="E73" s="1" t="s">
        <v>106</v>
      </c>
      <c r="F73" s="13">
        <v>0</v>
      </c>
      <c r="G73" s="14">
        <v>0</v>
      </c>
      <c r="H73" s="67"/>
    </row>
    <row r="74" spans="1:8" x14ac:dyDescent="0.2">
      <c r="A74" s="1"/>
      <c r="B74" s="1"/>
      <c r="C74" s="11"/>
      <c r="D74" s="1"/>
      <c r="E74" s="1"/>
      <c r="F74" s="12"/>
      <c r="G74" s="12"/>
      <c r="H74" s="67"/>
    </row>
    <row r="75" spans="1:8" x14ac:dyDescent="0.2">
      <c r="A75" s="1"/>
      <c r="B75" s="1"/>
      <c r="C75" s="2" t="s">
        <v>108</v>
      </c>
      <c r="D75" s="1"/>
      <c r="E75" s="1"/>
      <c r="F75" s="1"/>
      <c r="G75" s="1"/>
      <c r="H75" s="67"/>
    </row>
    <row r="76" spans="1:8" x14ac:dyDescent="0.2">
      <c r="A76" s="3">
        <v>1</v>
      </c>
      <c r="B76" s="4" t="s">
        <v>102</v>
      </c>
      <c r="C76" s="4" t="s">
        <v>970</v>
      </c>
      <c r="D76" s="4" t="s">
        <v>103</v>
      </c>
      <c r="E76" s="5">
        <v>375961</v>
      </c>
      <c r="F76" s="6">
        <v>7.5190000000000003E-6</v>
      </c>
      <c r="G76" s="8" t="s">
        <v>104</v>
      </c>
      <c r="H76" s="67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7"/>
    </row>
    <row r="78" spans="1:8" x14ac:dyDescent="0.2">
      <c r="A78" s="1"/>
      <c r="B78" s="1"/>
      <c r="C78" s="11"/>
      <c r="D78" s="1"/>
      <c r="E78" s="1"/>
      <c r="F78" s="12"/>
      <c r="G78" s="12"/>
      <c r="H78" s="67"/>
    </row>
    <row r="79" spans="1:8" x14ac:dyDescent="0.2">
      <c r="A79" s="1"/>
      <c r="B79" s="1"/>
      <c r="C79" s="2" t="s">
        <v>109</v>
      </c>
      <c r="D79" s="1"/>
      <c r="E79" s="1"/>
      <c r="F79" s="1"/>
      <c r="G79" s="1"/>
      <c r="H79" s="67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7"/>
    </row>
    <row r="81" spans="1:8" x14ac:dyDescent="0.2">
      <c r="A81" s="1"/>
      <c r="B81" s="1"/>
      <c r="C81" s="11"/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110</v>
      </c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7"/>
    </row>
    <row r="84" spans="1:8" x14ac:dyDescent="0.2">
      <c r="A84" s="1"/>
      <c r="B84" s="1"/>
      <c r="C84" s="11"/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111</v>
      </c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7"/>
    </row>
    <row r="87" spans="1:8" x14ac:dyDescent="0.2">
      <c r="A87" s="1"/>
      <c r="B87" s="1"/>
      <c r="C87" s="11"/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112</v>
      </c>
      <c r="D88" s="1"/>
      <c r="E88" s="1"/>
      <c r="F88" s="9">
        <v>143809.69314751899</v>
      </c>
      <c r="G88" s="10">
        <v>0.95197366000000005</v>
      </c>
      <c r="H88" s="67"/>
    </row>
    <row r="89" spans="1:8" x14ac:dyDescent="0.2">
      <c r="A89" s="1"/>
      <c r="B89" s="1"/>
      <c r="C89" s="11"/>
      <c r="D89" s="1"/>
      <c r="E89" s="1"/>
      <c r="F89" s="12"/>
      <c r="G89" s="12"/>
      <c r="H89" s="67"/>
    </row>
    <row r="90" spans="1:8" x14ac:dyDescent="0.2">
      <c r="A90" s="1"/>
      <c r="B90" s="1"/>
      <c r="C90" s="2" t="s">
        <v>113</v>
      </c>
      <c r="D90" s="1"/>
      <c r="E90" s="1"/>
      <c r="F90" s="12"/>
      <c r="G90" s="12"/>
      <c r="H90" s="67"/>
    </row>
    <row r="91" spans="1:8" ht="25.5" x14ac:dyDescent="0.2">
      <c r="A91" s="1"/>
      <c r="B91" s="1"/>
      <c r="C91" s="2" t="s">
        <v>10</v>
      </c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7"/>
    </row>
    <row r="93" spans="1:8" x14ac:dyDescent="0.2">
      <c r="A93" s="1"/>
      <c r="B93" s="1"/>
      <c r="C93" s="11"/>
      <c r="D93" s="1"/>
      <c r="E93" s="1"/>
      <c r="F93" s="12"/>
      <c r="G93" s="12"/>
      <c r="H93" s="67"/>
    </row>
    <row r="94" spans="1:8" x14ac:dyDescent="0.2">
      <c r="A94" s="1"/>
      <c r="B94" s="1"/>
      <c r="C94" s="2" t="s">
        <v>114</v>
      </c>
      <c r="D94" s="1"/>
      <c r="E94" s="1"/>
      <c r="F94" s="1"/>
      <c r="G94" s="1"/>
      <c r="H94" s="67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7"/>
    </row>
    <row r="96" spans="1:8" x14ac:dyDescent="0.2">
      <c r="A96" s="1"/>
      <c r="B96" s="1"/>
      <c r="C96" s="11"/>
      <c r="D96" s="1"/>
      <c r="E96" s="1"/>
      <c r="F96" s="12"/>
      <c r="G96" s="12"/>
      <c r="H96" s="67"/>
    </row>
    <row r="97" spans="1:8" x14ac:dyDescent="0.2">
      <c r="A97" s="1"/>
      <c r="B97" s="1"/>
      <c r="C97" s="2" t="s">
        <v>115</v>
      </c>
      <c r="D97" s="1"/>
      <c r="E97" s="1"/>
      <c r="F97" s="1"/>
      <c r="G97" s="1"/>
      <c r="H97" s="67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7"/>
    </row>
    <row r="99" spans="1:8" x14ac:dyDescent="0.2">
      <c r="A99" s="1"/>
      <c r="B99" s="1"/>
      <c r="C99" s="11"/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116</v>
      </c>
      <c r="D100" s="1"/>
      <c r="E100" s="1"/>
      <c r="F100" s="12"/>
      <c r="G100" s="12"/>
      <c r="H100" s="67"/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">
        <v>0</v>
      </c>
      <c r="H101" s="67"/>
    </row>
    <row r="102" spans="1:8" x14ac:dyDescent="0.2">
      <c r="A102" s="1"/>
      <c r="B102" s="1"/>
      <c r="C102" s="11"/>
      <c r="D102" s="1"/>
      <c r="E102" s="1"/>
      <c r="F102" s="12"/>
      <c r="G102" s="12"/>
      <c r="H102" s="67"/>
    </row>
    <row r="103" spans="1:8" x14ac:dyDescent="0.2">
      <c r="A103" s="1"/>
      <c r="B103" s="1"/>
      <c r="C103" s="2" t="s">
        <v>117</v>
      </c>
      <c r="D103" s="1"/>
      <c r="E103" s="1"/>
      <c r="F103" s="9">
        <v>0</v>
      </c>
      <c r="G103" s="10">
        <v>0</v>
      </c>
      <c r="H103" s="67"/>
    </row>
    <row r="104" spans="1:8" x14ac:dyDescent="0.2">
      <c r="A104" s="1"/>
      <c r="B104" s="1"/>
      <c r="C104" s="11"/>
      <c r="D104" s="1"/>
      <c r="E104" s="1"/>
      <c r="F104" s="12"/>
      <c r="G104" s="12"/>
      <c r="H104" s="67"/>
    </row>
    <row r="105" spans="1:8" x14ac:dyDescent="0.2">
      <c r="A105" s="1"/>
      <c r="B105" s="1"/>
      <c r="C105" s="2" t="s">
        <v>118</v>
      </c>
      <c r="D105" s="1"/>
      <c r="E105" s="1"/>
      <c r="F105" s="12"/>
      <c r="G105" s="12"/>
      <c r="H105" s="67"/>
    </row>
    <row r="106" spans="1:8" x14ac:dyDescent="0.2">
      <c r="A106" s="1"/>
      <c r="B106" s="1"/>
      <c r="C106" s="2" t="s">
        <v>119</v>
      </c>
      <c r="D106" s="1"/>
      <c r="E106" s="1"/>
      <c r="F106" s="12"/>
      <c r="G106" s="12"/>
      <c r="H106" s="67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">
        <v>0</v>
      </c>
      <c r="H107" s="67"/>
    </row>
    <row r="108" spans="1:8" x14ac:dyDescent="0.2">
      <c r="A108" s="1"/>
      <c r="B108" s="1"/>
      <c r="C108" s="11"/>
      <c r="D108" s="1"/>
      <c r="E108" s="1"/>
      <c r="F108" s="12"/>
      <c r="G108" s="12"/>
      <c r="H108" s="67"/>
    </row>
    <row r="109" spans="1:8" x14ac:dyDescent="0.2">
      <c r="A109" s="1"/>
      <c r="B109" s="1"/>
      <c r="C109" s="2" t="s">
        <v>120</v>
      </c>
      <c r="D109" s="1"/>
      <c r="E109" s="1"/>
      <c r="F109" s="12"/>
      <c r="G109" s="12"/>
      <c r="H109" s="67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7"/>
    </row>
    <row r="111" spans="1:8" x14ac:dyDescent="0.2">
      <c r="A111" s="1"/>
      <c r="B111" s="1"/>
      <c r="C111" s="11"/>
      <c r="D111" s="1"/>
      <c r="E111" s="1"/>
      <c r="F111" s="12"/>
      <c r="G111" s="12"/>
      <c r="H111" s="67"/>
    </row>
    <row r="112" spans="1:8" x14ac:dyDescent="0.2">
      <c r="A112" s="1"/>
      <c r="B112" s="1"/>
      <c r="C112" s="2" t="s">
        <v>121</v>
      </c>
      <c r="D112" s="1"/>
      <c r="E112" s="1"/>
      <c r="F112" s="12"/>
      <c r="G112" s="12"/>
      <c r="H112" s="67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">
        <v>0</v>
      </c>
      <c r="H113" s="67"/>
    </row>
    <row r="114" spans="1:8" x14ac:dyDescent="0.2">
      <c r="A114" s="1"/>
      <c r="B114" s="1"/>
      <c r="C114" s="11"/>
      <c r="D114" s="1"/>
      <c r="E114" s="1"/>
      <c r="F114" s="12"/>
      <c r="G114" s="12"/>
      <c r="H114" s="67"/>
    </row>
    <row r="115" spans="1:8" x14ac:dyDescent="0.2">
      <c r="A115" s="1"/>
      <c r="B115" s="1"/>
      <c r="C115" s="2" t="s">
        <v>122</v>
      </c>
      <c r="D115" s="1"/>
      <c r="E115" s="1"/>
      <c r="F115" s="12"/>
      <c r="G115" s="12"/>
      <c r="H115" s="67"/>
    </row>
    <row r="116" spans="1:8" x14ac:dyDescent="0.2">
      <c r="A116" s="3">
        <v>1</v>
      </c>
      <c r="B116" s="4"/>
      <c r="C116" s="4" t="s">
        <v>123</v>
      </c>
      <c r="D116" s="4"/>
      <c r="E116" s="8"/>
      <c r="F116" s="6">
        <v>6091.5805422000003</v>
      </c>
      <c r="G116" s="7">
        <v>4.0324292999999997E-2</v>
      </c>
      <c r="H116" s="67">
        <v>3.1047477660654299</v>
      </c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9">
        <v>6091.5805422000003</v>
      </c>
      <c r="G117" s="10">
        <v>4.0324292999999997E-2</v>
      </c>
      <c r="H117" s="67"/>
    </row>
    <row r="118" spans="1:8" x14ac:dyDescent="0.2">
      <c r="A118" s="1"/>
      <c r="B118" s="1"/>
      <c r="C118" s="11"/>
      <c r="D118" s="1"/>
      <c r="E118" s="1"/>
      <c r="F118" s="12"/>
      <c r="G118" s="12"/>
      <c r="H118" s="67"/>
    </row>
    <row r="119" spans="1:8" x14ac:dyDescent="0.2">
      <c r="A119" s="1"/>
      <c r="B119" s="1"/>
      <c r="C119" s="2" t="s">
        <v>124</v>
      </c>
      <c r="D119" s="1"/>
      <c r="E119" s="1"/>
      <c r="F119" s="9">
        <v>6091.5805422000003</v>
      </c>
      <c r="G119" s="10">
        <v>4.0324292999999997E-2</v>
      </c>
      <c r="H119" s="67"/>
    </row>
    <row r="120" spans="1:8" x14ac:dyDescent="0.2">
      <c r="A120" s="1"/>
      <c r="B120" s="1"/>
      <c r="C120" s="12"/>
      <c r="D120" s="1"/>
      <c r="E120" s="1"/>
      <c r="F120" s="1"/>
      <c r="G120" s="1"/>
      <c r="H120" s="67"/>
    </row>
    <row r="121" spans="1:8" x14ac:dyDescent="0.2">
      <c r="A121" s="1"/>
      <c r="B121" s="1"/>
      <c r="C121" s="2" t="s">
        <v>125</v>
      </c>
      <c r="D121" s="1"/>
      <c r="E121" s="1"/>
      <c r="F121" s="1"/>
      <c r="G121" s="1"/>
      <c r="H121" s="67"/>
    </row>
    <row r="122" spans="1:8" x14ac:dyDescent="0.2">
      <c r="A122" s="1"/>
      <c r="B122" s="1"/>
      <c r="C122" s="2" t="s">
        <v>126</v>
      </c>
      <c r="D122" s="1"/>
      <c r="E122" s="1"/>
      <c r="F122" s="1"/>
      <c r="G122" s="1"/>
      <c r="H122" s="67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7"/>
    </row>
    <row r="124" spans="1:8" x14ac:dyDescent="0.2">
      <c r="A124" s="1"/>
      <c r="B124" s="1"/>
      <c r="C124" s="11"/>
      <c r="D124" s="1"/>
      <c r="E124" s="1"/>
      <c r="F124" s="12"/>
      <c r="G124" s="12"/>
      <c r="H124" s="67"/>
    </row>
    <row r="125" spans="1:8" x14ac:dyDescent="0.2">
      <c r="A125" s="1"/>
      <c r="B125" s="1"/>
      <c r="C125" s="2" t="s">
        <v>127</v>
      </c>
      <c r="D125" s="1"/>
      <c r="E125" s="1"/>
      <c r="F125" s="1"/>
      <c r="G125" s="1"/>
      <c r="H125" s="67"/>
    </row>
    <row r="126" spans="1:8" x14ac:dyDescent="0.2">
      <c r="A126" s="1"/>
      <c r="B126" s="1"/>
      <c r="C126" s="2" t="s">
        <v>128</v>
      </c>
      <c r="D126" s="1"/>
      <c r="E126" s="1"/>
      <c r="F126" s="1"/>
      <c r="G126" s="1"/>
      <c r="H126" s="67"/>
    </row>
    <row r="127" spans="1:8" x14ac:dyDescent="0.2">
      <c r="A127" s="1"/>
      <c r="B127" s="1"/>
      <c r="C127" s="2" t="s">
        <v>105</v>
      </c>
      <c r="D127" s="1"/>
      <c r="E127" s="1" t="s">
        <v>106</v>
      </c>
      <c r="F127" s="13">
        <v>0</v>
      </c>
      <c r="G127" s="14">
        <v>0</v>
      </c>
      <c r="H127" s="67"/>
    </row>
    <row r="128" spans="1:8" x14ac:dyDescent="0.2">
      <c r="A128" s="1"/>
      <c r="B128" s="1"/>
      <c r="C128" s="11"/>
      <c r="D128" s="1"/>
      <c r="E128" s="1"/>
      <c r="F128" s="12"/>
      <c r="G128" s="12"/>
      <c r="H128" s="67"/>
    </row>
    <row r="129" spans="1:8" x14ac:dyDescent="0.2">
      <c r="A129" s="1"/>
      <c r="B129" s="1"/>
      <c r="C129" s="11"/>
      <c r="D129" s="1"/>
      <c r="E129" s="1"/>
      <c r="F129" s="12"/>
      <c r="G129" s="12"/>
      <c r="H129" s="67"/>
    </row>
    <row r="130" spans="1:8" ht="25.5" x14ac:dyDescent="0.2">
      <c r="A130" s="1"/>
      <c r="B130" s="1"/>
      <c r="C130" s="2" t="s">
        <v>129</v>
      </c>
      <c r="D130" s="1"/>
      <c r="E130" s="1"/>
      <c r="F130" s="6">
        <v>502.29840000000002</v>
      </c>
      <c r="G130" s="7">
        <v>3.3250530000000001E-3</v>
      </c>
      <c r="H130" s="67"/>
    </row>
    <row r="131" spans="1:8" x14ac:dyDescent="0.2">
      <c r="A131" s="1"/>
      <c r="B131" s="1"/>
      <c r="C131" s="2" t="s">
        <v>105</v>
      </c>
      <c r="D131" s="1"/>
      <c r="E131" s="1" t="s">
        <v>106</v>
      </c>
      <c r="F131" s="9">
        <v>502.29840000000002</v>
      </c>
      <c r="G131" s="10">
        <v>3.3250530000000001E-3</v>
      </c>
      <c r="H131" s="67"/>
    </row>
    <row r="132" spans="1:8" x14ac:dyDescent="0.2">
      <c r="A132" s="1"/>
      <c r="B132" s="1"/>
      <c r="C132" s="11"/>
      <c r="D132" s="1"/>
      <c r="E132" s="1"/>
      <c r="F132" s="12"/>
      <c r="G132" s="12"/>
      <c r="H132" s="67"/>
    </row>
    <row r="133" spans="1:8" x14ac:dyDescent="0.2">
      <c r="A133" s="1"/>
      <c r="B133" s="4"/>
      <c r="C133" s="4"/>
      <c r="D133" s="2"/>
      <c r="E133" s="1"/>
      <c r="F133" s="4"/>
      <c r="G133" s="8"/>
      <c r="H133" s="67"/>
    </row>
    <row r="134" spans="1:8" x14ac:dyDescent="0.2">
      <c r="A134" s="8"/>
      <c r="B134" s="4"/>
      <c r="C134" s="4" t="s">
        <v>130</v>
      </c>
      <c r="D134" s="4"/>
      <c r="E134" s="8"/>
      <c r="F134" s="6">
        <v>661.21010766999996</v>
      </c>
      <c r="G134" s="7">
        <v>4.3769969999999997E-3</v>
      </c>
      <c r="H134" s="67"/>
    </row>
    <row r="135" spans="1:8" x14ac:dyDescent="0.2">
      <c r="A135" s="11"/>
      <c r="B135" s="11"/>
      <c r="C135" s="2" t="s">
        <v>131</v>
      </c>
      <c r="D135" s="15"/>
      <c r="E135" s="15"/>
      <c r="F135" s="9">
        <v>151064.78219738899</v>
      </c>
      <c r="G135" s="10">
        <v>1.000000003</v>
      </c>
      <c r="H135" s="67"/>
    </row>
    <row r="136" spans="1:8" ht="14.1" customHeight="1" x14ac:dyDescent="0.2">
      <c r="A136" s="16"/>
      <c r="B136" s="16"/>
      <c r="C136" s="16"/>
      <c r="D136" s="17"/>
      <c r="E136" s="17"/>
      <c r="F136" s="17"/>
      <c r="G136" s="17"/>
    </row>
    <row r="137" spans="1:8" ht="14.1" customHeight="1" x14ac:dyDescent="0.2">
      <c r="A137" s="18"/>
      <c r="B137" s="170" t="s">
        <v>106</v>
      </c>
      <c r="C137" s="170"/>
      <c r="D137" s="170"/>
      <c r="E137" s="170"/>
      <c r="F137" s="170"/>
      <c r="G137" s="20"/>
    </row>
    <row r="138" spans="1:8" ht="17.100000000000001" customHeight="1" x14ac:dyDescent="0.2">
      <c r="A138" s="18"/>
      <c r="B138" s="170" t="s">
        <v>132</v>
      </c>
      <c r="C138" s="170"/>
      <c r="D138" s="170"/>
      <c r="E138" s="170"/>
      <c r="F138" s="170"/>
      <c r="G138" s="20"/>
    </row>
    <row r="139" spans="1:8" ht="14.1" customHeight="1" x14ac:dyDescent="0.2">
      <c r="A139" s="18"/>
      <c r="B139" s="18"/>
      <c r="C139" s="18"/>
      <c r="D139" s="20"/>
      <c r="E139" s="20"/>
      <c r="F139" s="20"/>
      <c r="G139" s="20"/>
    </row>
    <row r="140" spans="1:8" ht="14.1" customHeight="1" x14ac:dyDescent="0.2">
      <c r="A140" s="18"/>
      <c r="B140" s="168" t="s">
        <v>133</v>
      </c>
      <c r="C140" s="169"/>
      <c r="D140" s="12" t="s">
        <v>106</v>
      </c>
      <c r="E140" s="21"/>
      <c r="F140" s="20"/>
      <c r="G140" s="20"/>
    </row>
    <row r="141" spans="1:8" ht="29.1" customHeight="1" x14ac:dyDescent="0.2">
      <c r="A141" s="18"/>
      <c r="B141" s="165" t="s">
        <v>134</v>
      </c>
      <c r="C141" s="166"/>
      <c r="D141" s="2" t="s">
        <v>135</v>
      </c>
      <c r="E141" s="21"/>
      <c r="F141" s="20"/>
      <c r="G141" s="20"/>
    </row>
    <row r="142" spans="1:8" ht="17.100000000000001" customHeight="1" x14ac:dyDescent="0.2">
      <c r="A142" s="144" t="s">
        <v>106</v>
      </c>
      <c r="B142" s="165" t="s">
        <v>968</v>
      </c>
      <c r="C142" s="166"/>
      <c r="D142" s="145" t="s">
        <v>969</v>
      </c>
      <c r="E142" s="21" t="s">
        <v>106</v>
      </c>
      <c r="F142" s="146" t="s">
        <v>106</v>
      </c>
      <c r="G142" s="146" t="s">
        <v>106</v>
      </c>
    </row>
    <row r="143" spans="1:8" ht="17.100000000000001" customHeight="1" x14ac:dyDescent="0.2">
      <c r="A143" s="18"/>
      <c r="B143" s="165" t="s">
        <v>137</v>
      </c>
      <c r="C143" s="166"/>
      <c r="D143" s="12" t="s">
        <v>106</v>
      </c>
      <c r="E143" s="21"/>
      <c r="F143" s="20"/>
      <c r="G143" s="20"/>
    </row>
    <row r="144" spans="1:8" ht="24" customHeight="1" x14ac:dyDescent="0.2">
      <c r="A144" s="22"/>
      <c r="B144" s="23" t="s">
        <v>106</v>
      </c>
      <c r="C144" s="23" t="s">
        <v>138</v>
      </c>
      <c r="D144" s="23" t="s">
        <v>139</v>
      </c>
      <c r="E144" s="22"/>
      <c r="F144" s="22"/>
      <c r="G144" s="22"/>
    </row>
    <row r="145" spans="1:7" ht="18" customHeight="1" x14ac:dyDescent="0.2">
      <c r="A145" s="22"/>
      <c r="B145" s="23" t="s">
        <v>140</v>
      </c>
      <c r="C145" s="23" t="s">
        <v>141</v>
      </c>
      <c r="D145" s="23" t="s">
        <v>142</v>
      </c>
      <c r="E145" s="22"/>
      <c r="F145" s="22"/>
      <c r="G145" s="22"/>
    </row>
    <row r="146" spans="1:7" ht="17.100000000000001" customHeight="1" x14ac:dyDescent="0.2">
      <c r="A146" s="22"/>
      <c r="B146" s="4" t="s">
        <v>143</v>
      </c>
      <c r="C146" s="24">
        <v>144.50200000000001</v>
      </c>
      <c r="D146" s="24">
        <v>146.4769</v>
      </c>
      <c r="E146" s="22"/>
      <c r="F146" s="19"/>
      <c r="G146" s="25"/>
    </row>
    <row r="147" spans="1:7" ht="17.100000000000001" customHeight="1" x14ac:dyDescent="0.2">
      <c r="A147" s="22"/>
      <c r="B147" s="4" t="s">
        <v>988</v>
      </c>
      <c r="C147" s="24">
        <v>25.324100000000001</v>
      </c>
      <c r="D147" s="24">
        <v>25.670200000000001</v>
      </c>
      <c r="E147" s="22"/>
      <c r="F147" s="19"/>
      <c r="G147" s="25"/>
    </row>
    <row r="148" spans="1:7" ht="29.1" customHeight="1" x14ac:dyDescent="0.2">
      <c r="A148" s="22"/>
      <c r="B148" s="4" t="s">
        <v>396</v>
      </c>
      <c r="C148" s="24">
        <v>147.50319999999999</v>
      </c>
      <c r="D148" s="24">
        <v>149.52109999999999</v>
      </c>
      <c r="E148" s="22"/>
      <c r="F148" s="19"/>
      <c r="G148" s="25"/>
    </row>
    <row r="149" spans="1:7" ht="29.1" customHeight="1" x14ac:dyDescent="0.2">
      <c r="A149" s="22"/>
      <c r="B149" s="4" t="s">
        <v>991</v>
      </c>
      <c r="C149" s="24">
        <v>26.3217</v>
      </c>
      <c r="D149" s="24">
        <v>26.6815</v>
      </c>
      <c r="E149" s="22"/>
      <c r="F149" s="19"/>
      <c r="G149" s="25"/>
    </row>
    <row r="150" spans="1:7" ht="17.100000000000001" customHeight="1" x14ac:dyDescent="0.2">
      <c r="A150" s="22"/>
      <c r="B150" s="4" t="s">
        <v>144</v>
      </c>
      <c r="C150" s="24">
        <v>136.45849999999999</v>
      </c>
      <c r="D150" s="24">
        <v>138.20529999999999</v>
      </c>
      <c r="E150" s="22"/>
      <c r="F150" s="19"/>
      <c r="G150" s="25"/>
    </row>
    <row r="151" spans="1:7" ht="17.100000000000001" customHeight="1" x14ac:dyDescent="0.2">
      <c r="A151" s="22"/>
      <c r="B151" s="4" t="s">
        <v>989</v>
      </c>
      <c r="C151" s="24">
        <v>23.275200000000002</v>
      </c>
      <c r="D151" s="24">
        <v>23.5732</v>
      </c>
      <c r="E151" s="22"/>
      <c r="F151" s="19"/>
      <c r="G151" s="25"/>
    </row>
    <row r="152" spans="1:7" ht="14.1" customHeight="1" x14ac:dyDescent="0.2">
      <c r="A152" s="22"/>
      <c r="B152" s="22"/>
      <c r="C152" s="22"/>
      <c r="D152" s="22"/>
      <c r="E152" s="22"/>
      <c r="F152" s="22"/>
      <c r="G152" s="22"/>
    </row>
    <row r="153" spans="1:7" ht="17.100000000000001" customHeight="1" x14ac:dyDescent="0.2">
      <c r="A153" s="22"/>
      <c r="B153" s="165" t="s">
        <v>990</v>
      </c>
      <c r="C153" s="166"/>
      <c r="D153" s="2" t="s">
        <v>135</v>
      </c>
      <c r="E153" s="22"/>
      <c r="F153" s="22"/>
      <c r="G153" s="22"/>
    </row>
    <row r="154" spans="1:7" ht="18" customHeight="1" x14ac:dyDescent="0.2">
      <c r="A154" s="22"/>
      <c r="B154" s="26" t="s">
        <v>145</v>
      </c>
      <c r="C154" s="26" t="s">
        <v>145</v>
      </c>
      <c r="D154" s="26"/>
      <c r="E154" s="22"/>
      <c r="F154" s="22"/>
      <c r="G154" s="22"/>
    </row>
    <row r="155" spans="1:7" s="158" customFormat="1" x14ac:dyDescent="0.2">
      <c r="B155" s="167" t="s">
        <v>822</v>
      </c>
      <c r="C155" s="167"/>
      <c r="D155" s="167"/>
      <c r="E155" s="167"/>
      <c r="F155" s="167"/>
    </row>
    <row r="156" spans="1:7" ht="14.1" customHeight="1" x14ac:dyDescent="0.2">
      <c r="A156" s="22"/>
      <c r="B156" s="19"/>
      <c r="C156" s="19"/>
      <c r="D156" s="22"/>
      <c r="E156" s="22"/>
      <c r="F156" s="22"/>
      <c r="G156" s="22"/>
    </row>
    <row r="157" spans="1:7" ht="29.1" customHeight="1" x14ac:dyDescent="0.2">
      <c r="A157" s="22"/>
      <c r="B157" s="165" t="s">
        <v>146</v>
      </c>
      <c r="C157" s="166"/>
      <c r="D157" s="2" t="s">
        <v>135</v>
      </c>
      <c r="E157" s="22"/>
      <c r="F157" s="22"/>
      <c r="G157" s="22"/>
    </row>
    <row r="158" spans="1:7" ht="29.1" customHeight="1" x14ac:dyDescent="0.2">
      <c r="A158" s="22"/>
      <c r="B158" s="165" t="s">
        <v>147</v>
      </c>
      <c r="C158" s="166"/>
      <c r="D158" s="2" t="s">
        <v>135</v>
      </c>
      <c r="E158" s="22"/>
      <c r="F158" s="22"/>
      <c r="G158" s="22"/>
    </row>
    <row r="159" spans="1:7" ht="17.100000000000001" customHeight="1" x14ac:dyDescent="0.2">
      <c r="A159" s="22"/>
      <c r="B159" s="165" t="s">
        <v>148</v>
      </c>
      <c r="C159" s="166"/>
      <c r="D159" s="27">
        <v>0.63777996280596594</v>
      </c>
      <c r="E159" s="22"/>
      <c r="F159" s="19"/>
      <c r="G159" s="25"/>
    </row>
    <row r="160" spans="1:7" ht="17.100000000000001" customHeight="1" x14ac:dyDescent="0.2">
      <c r="A160" s="22"/>
      <c r="B160" s="165" t="s">
        <v>149</v>
      </c>
      <c r="C160" s="166"/>
      <c r="D160" s="2" t="s">
        <v>135</v>
      </c>
      <c r="E160" s="22"/>
      <c r="F160" s="22"/>
      <c r="G160" s="22"/>
    </row>
  </sheetData>
  <mergeCells count="15">
    <mergeCell ref="B140:C140"/>
    <mergeCell ref="B137:F137"/>
    <mergeCell ref="B138:F138"/>
    <mergeCell ref="A1:H1"/>
    <mergeCell ref="A2:H2"/>
    <mergeCell ref="A3:H3"/>
    <mergeCell ref="B159:C159"/>
    <mergeCell ref="B160:C160"/>
    <mergeCell ref="B141:C141"/>
    <mergeCell ref="B142:C142"/>
    <mergeCell ref="B143:C143"/>
    <mergeCell ref="B153:C153"/>
    <mergeCell ref="B157:C157"/>
    <mergeCell ref="B158:C158"/>
    <mergeCell ref="B155:F155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H13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549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ht="25.5" x14ac:dyDescent="0.2">
      <c r="A7" s="3">
        <v>1</v>
      </c>
      <c r="B7" s="4" t="s">
        <v>408</v>
      </c>
      <c r="C7" s="4" t="s">
        <v>409</v>
      </c>
      <c r="D7" s="4" t="s">
        <v>52</v>
      </c>
      <c r="E7" s="5">
        <v>335000</v>
      </c>
      <c r="F7" s="6">
        <v>9125.7350000000006</v>
      </c>
      <c r="G7" s="7">
        <v>6.9568125999999994E-2</v>
      </c>
      <c r="H7" s="67"/>
    </row>
    <row r="8" spans="1:8" ht="25.5" x14ac:dyDescent="0.2">
      <c r="A8" s="3">
        <v>2</v>
      </c>
      <c r="B8" s="4" t="s">
        <v>321</v>
      </c>
      <c r="C8" s="4" t="s">
        <v>322</v>
      </c>
      <c r="D8" s="4" t="s">
        <v>52</v>
      </c>
      <c r="E8" s="5">
        <v>970000</v>
      </c>
      <c r="F8" s="6">
        <v>8215.4150000000009</v>
      </c>
      <c r="G8" s="7">
        <v>6.2628491999999994E-2</v>
      </c>
      <c r="H8" s="67"/>
    </row>
    <row r="9" spans="1:8" ht="25.5" x14ac:dyDescent="0.2">
      <c r="A9" s="3">
        <v>3</v>
      </c>
      <c r="B9" s="4" t="s">
        <v>550</v>
      </c>
      <c r="C9" s="4" t="s">
        <v>551</v>
      </c>
      <c r="D9" s="4" t="s">
        <v>52</v>
      </c>
      <c r="E9" s="5">
        <v>255000</v>
      </c>
      <c r="F9" s="6">
        <v>8163.4425000000001</v>
      </c>
      <c r="G9" s="7">
        <v>6.2232291000000002E-2</v>
      </c>
      <c r="H9" s="67"/>
    </row>
    <row r="10" spans="1:8" ht="25.5" x14ac:dyDescent="0.2">
      <c r="A10" s="3">
        <v>4</v>
      </c>
      <c r="B10" s="4" t="s">
        <v>384</v>
      </c>
      <c r="C10" s="4" t="s">
        <v>385</v>
      </c>
      <c r="D10" s="4" t="s">
        <v>52</v>
      </c>
      <c r="E10" s="5">
        <v>900000</v>
      </c>
      <c r="F10" s="6">
        <v>7784.55</v>
      </c>
      <c r="G10" s="7">
        <v>5.9343883E-2</v>
      </c>
      <c r="H10" s="67"/>
    </row>
    <row r="11" spans="1:8" x14ac:dyDescent="0.2">
      <c r="A11" s="3">
        <v>5</v>
      </c>
      <c r="B11" s="4" t="s">
        <v>22</v>
      </c>
      <c r="C11" s="4" t="s">
        <v>23</v>
      </c>
      <c r="D11" s="4" t="s">
        <v>24</v>
      </c>
      <c r="E11" s="5">
        <v>1025000</v>
      </c>
      <c r="F11" s="6">
        <v>7370.2624999999998</v>
      </c>
      <c r="G11" s="7">
        <v>5.6185649999999997E-2</v>
      </c>
      <c r="H11" s="67"/>
    </row>
    <row r="12" spans="1:8" x14ac:dyDescent="0.2">
      <c r="A12" s="3">
        <v>6</v>
      </c>
      <c r="B12" s="4" t="s">
        <v>398</v>
      </c>
      <c r="C12" s="4" t="s">
        <v>399</v>
      </c>
      <c r="D12" s="4" t="s">
        <v>24</v>
      </c>
      <c r="E12" s="5">
        <v>450000</v>
      </c>
      <c r="F12" s="6">
        <v>7116.3</v>
      </c>
      <c r="G12" s="7">
        <v>5.4249619999999998E-2</v>
      </c>
      <c r="H12" s="67"/>
    </row>
    <row r="13" spans="1:8" ht="25.5" x14ac:dyDescent="0.2">
      <c r="A13" s="3">
        <v>7</v>
      </c>
      <c r="B13" s="4" t="s">
        <v>327</v>
      </c>
      <c r="C13" s="4" t="s">
        <v>328</v>
      </c>
      <c r="D13" s="4" t="s">
        <v>55</v>
      </c>
      <c r="E13" s="5">
        <v>1400000</v>
      </c>
      <c r="F13" s="6">
        <v>6628.3</v>
      </c>
      <c r="G13" s="7">
        <v>5.0529454000000001E-2</v>
      </c>
      <c r="H13" s="67"/>
    </row>
    <row r="14" spans="1:8" ht="25.5" x14ac:dyDescent="0.2">
      <c r="A14" s="3">
        <v>8</v>
      </c>
      <c r="B14" s="4" t="s">
        <v>20</v>
      </c>
      <c r="C14" s="4" t="s">
        <v>21</v>
      </c>
      <c r="D14" s="4" t="s">
        <v>992</v>
      </c>
      <c r="E14" s="5">
        <v>600000</v>
      </c>
      <c r="F14" s="6">
        <v>6052.8</v>
      </c>
      <c r="G14" s="7">
        <v>4.6142251000000002E-2</v>
      </c>
      <c r="H14" s="67"/>
    </row>
    <row r="15" spans="1:8" x14ac:dyDescent="0.2">
      <c r="A15" s="3">
        <v>9</v>
      </c>
      <c r="B15" s="4" t="s">
        <v>420</v>
      </c>
      <c r="C15" s="4" t="s">
        <v>421</v>
      </c>
      <c r="D15" s="4" t="s">
        <v>84</v>
      </c>
      <c r="E15" s="5">
        <v>665000</v>
      </c>
      <c r="F15" s="6">
        <v>5275.4449999999997</v>
      </c>
      <c r="G15" s="7">
        <v>4.0216248000000003E-2</v>
      </c>
      <c r="H15" s="67"/>
    </row>
    <row r="16" spans="1:8" x14ac:dyDescent="0.2">
      <c r="A16" s="3">
        <v>10</v>
      </c>
      <c r="B16" s="4" t="s">
        <v>406</v>
      </c>
      <c r="C16" s="4" t="s">
        <v>407</v>
      </c>
      <c r="D16" s="4" t="s">
        <v>1002</v>
      </c>
      <c r="E16" s="5">
        <v>420000</v>
      </c>
      <c r="F16" s="6">
        <v>5006.6099999999997</v>
      </c>
      <c r="G16" s="7">
        <v>3.8166841E-2</v>
      </c>
      <c r="H16" s="67"/>
    </row>
    <row r="17" spans="1:8" x14ac:dyDescent="0.2">
      <c r="A17" s="3">
        <v>11</v>
      </c>
      <c r="B17" s="4" t="s">
        <v>323</v>
      </c>
      <c r="C17" s="4" t="s">
        <v>324</v>
      </c>
      <c r="D17" s="4" t="s">
        <v>55</v>
      </c>
      <c r="E17" s="5">
        <v>465000</v>
      </c>
      <c r="F17" s="6">
        <v>4630.7025000000003</v>
      </c>
      <c r="G17" s="7">
        <v>3.5301188999999997E-2</v>
      </c>
      <c r="H17" s="67"/>
    </row>
    <row r="18" spans="1:8" ht="25.5" x14ac:dyDescent="0.2">
      <c r="A18" s="3">
        <v>12</v>
      </c>
      <c r="B18" s="4" t="s">
        <v>429</v>
      </c>
      <c r="C18" s="4" t="s">
        <v>430</v>
      </c>
      <c r="D18" s="4" t="s">
        <v>52</v>
      </c>
      <c r="E18" s="5">
        <v>1700000</v>
      </c>
      <c r="F18" s="6">
        <v>3592.1</v>
      </c>
      <c r="G18" s="7">
        <v>2.7383621E-2</v>
      </c>
      <c r="H18" s="67"/>
    </row>
    <row r="19" spans="1:8" x14ac:dyDescent="0.2">
      <c r="A19" s="3">
        <v>13</v>
      </c>
      <c r="B19" s="4" t="s">
        <v>332</v>
      </c>
      <c r="C19" s="4" t="s">
        <v>333</v>
      </c>
      <c r="D19" s="4" t="s">
        <v>212</v>
      </c>
      <c r="E19" s="5">
        <v>11300</v>
      </c>
      <c r="F19" s="6">
        <v>3559.3982999999998</v>
      </c>
      <c r="G19" s="7">
        <v>2.7134326E-2</v>
      </c>
      <c r="H19" s="67"/>
    </row>
    <row r="20" spans="1:8" x14ac:dyDescent="0.2">
      <c r="A20" s="3">
        <v>14</v>
      </c>
      <c r="B20" s="4" t="s">
        <v>552</v>
      </c>
      <c r="C20" s="4" t="s">
        <v>553</v>
      </c>
      <c r="D20" s="4" t="s">
        <v>55</v>
      </c>
      <c r="E20" s="5">
        <v>40000</v>
      </c>
      <c r="F20" s="6">
        <v>3530.52</v>
      </c>
      <c r="G20" s="7">
        <v>2.6914178E-2</v>
      </c>
      <c r="H20" s="67"/>
    </row>
    <row r="21" spans="1:8" x14ac:dyDescent="0.2">
      <c r="A21" s="3">
        <v>15</v>
      </c>
      <c r="B21" s="4" t="s">
        <v>368</v>
      </c>
      <c r="C21" s="4" t="s">
        <v>369</v>
      </c>
      <c r="D21" s="4" t="s">
        <v>242</v>
      </c>
      <c r="E21" s="5">
        <v>440000</v>
      </c>
      <c r="F21" s="6">
        <v>3488.76</v>
      </c>
      <c r="G21" s="7">
        <v>2.6595830000000001E-2</v>
      </c>
      <c r="H21" s="67"/>
    </row>
    <row r="22" spans="1:8" x14ac:dyDescent="0.2">
      <c r="A22" s="3">
        <v>16</v>
      </c>
      <c r="B22" s="4" t="s">
        <v>554</v>
      </c>
      <c r="C22" s="4" t="s">
        <v>555</v>
      </c>
      <c r="D22" s="4" t="s">
        <v>81</v>
      </c>
      <c r="E22" s="5">
        <v>44000</v>
      </c>
      <c r="F22" s="6">
        <v>3310.78</v>
      </c>
      <c r="G22" s="7">
        <v>2.5239036999999999E-2</v>
      </c>
      <c r="H22" s="67"/>
    </row>
    <row r="23" spans="1:8" x14ac:dyDescent="0.2">
      <c r="A23" s="3">
        <v>17</v>
      </c>
      <c r="B23" s="4" t="s">
        <v>556</v>
      </c>
      <c r="C23" s="4" t="s">
        <v>557</v>
      </c>
      <c r="D23" s="4" t="s">
        <v>84</v>
      </c>
      <c r="E23" s="5">
        <v>43000</v>
      </c>
      <c r="F23" s="6">
        <v>2943.8229999999999</v>
      </c>
      <c r="G23" s="7">
        <v>2.2441617000000001E-2</v>
      </c>
      <c r="H23" s="67"/>
    </row>
    <row r="24" spans="1:8" ht="25.5" x14ac:dyDescent="0.2">
      <c r="A24" s="3">
        <v>18</v>
      </c>
      <c r="B24" s="4" t="s">
        <v>482</v>
      </c>
      <c r="C24" s="4" t="s">
        <v>483</v>
      </c>
      <c r="D24" s="4" t="s">
        <v>52</v>
      </c>
      <c r="E24" s="5">
        <v>20000</v>
      </c>
      <c r="F24" s="6">
        <v>2774.72</v>
      </c>
      <c r="G24" s="7">
        <v>2.1152496E-2</v>
      </c>
      <c r="H24" s="67"/>
    </row>
    <row r="25" spans="1:8" ht="25.5" x14ac:dyDescent="0.2">
      <c r="A25" s="3">
        <v>19</v>
      </c>
      <c r="B25" s="4" t="s">
        <v>478</v>
      </c>
      <c r="C25" s="4" t="s">
        <v>479</v>
      </c>
      <c r="D25" s="4" t="s">
        <v>52</v>
      </c>
      <c r="E25" s="5">
        <v>340000</v>
      </c>
      <c r="F25" s="6">
        <v>2431.5100000000002</v>
      </c>
      <c r="G25" s="7">
        <v>1.8536106E-2</v>
      </c>
      <c r="H25" s="67"/>
    </row>
    <row r="26" spans="1:8" ht="25.5" x14ac:dyDescent="0.2">
      <c r="A26" s="3">
        <v>20</v>
      </c>
      <c r="B26" s="4" t="s">
        <v>202</v>
      </c>
      <c r="C26" s="4" t="s">
        <v>203</v>
      </c>
      <c r="D26" s="4" t="s">
        <v>52</v>
      </c>
      <c r="E26" s="5">
        <v>500000</v>
      </c>
      <c r="F26" s="6">
        <v>2331.25</v>
      </c>
      <c r="G26" s="7">
        <v>1.7771795E-2</v>
      </c>
      <c r="H26" s="67"/>
    </row>
    <row r="27" spans="1:8" x14ac:dyDescent="0.2">
      <c r="A27" s="3">
        <v>21</v>
      </c>
      <c r="B27" s="4" t="s">
        <v>558</v>
      </c>
      <c r="C27" s="4" t="s">
        <v>559</v>
      </c>
      <c r="D27" s="4" t="s">
        <v>55</v>
      </c>
      <c r="E27" s="5">
        <v>170000</v>
      </c>
      <c r="F27" s="6">
        <v>2313.105</v>
      </c>
      <c r="G27" s="7">
        <v>1.7633471000000001E-2</v>
      </c>
      <c r="H27" s="67"/>
    </row>
    <row r="28" spans="1:8" x14ac:dyDescent="0.2">
      <c r="A28" s="3">
        <v>22</v>
      </c>
      <c r="B28" s="4" t="s">
        <v>495</v>
      </c>
      <c r="C28" s="4" t="s">
        <v>496</v>
      </c>
      <c r="D28" s="4" t="s">
        <v>55</v>
      </c>
      <c r="E28" s="5">
        <v>112000</v>
      </c>
      <c r="F28" s="6">
        <v>2152.192</v>
      </c>
      <c r="G28" s="7">
        <v>1.6406784000000001E-2</v>
      </c>
      <c r="H28" s="67"/>
    </row>
    <row r="29" spans="1:8" x14ac:dyDescent="0.2">
      <c r="A29" s="3">
        <v>23</v>
      </c>
      <c r="B29" s="4" t="s">
        <v>376</v>
      </c>
      <c r="C29" s="4" t="s">
        <v>377</v>
      </c>
      <c r="D29" s="4" t="s">
        <v>55</v>
      </c>
      <c r="E29" s="5">
        <v>100000</v>
      </c>
      <c r="F29" s="6">
        <v>2130.1999999999998</v>
      </c>
      <c r="G29" s="7">
        <v>1.6239132999999999E-2</v>
      </c>
      <c r="H29" s="67"/>
    </row>
    <row r="30" spans="1:8" x14ac:dyDescent="0.2">
      <c r="A30" s="3">
        <v>24</v>
      </c>
      <c r="B30" s="4" t="s">
        <v>394</v>
      </c>
      <c r="C30" s="4" t="s">
        <v>395</v>
      </c>
      <c r="D30" s="4" t="s">
        <v>331</v>
      </c>
      <c r="E30" s="5">
        <v>1000000</v>
      </c>
      <c r="F30" s="6">
        <v>2081</v>
      </c>
      <c r="G30" s="7">
        <v>1.5864066999999999E-2</v>
      </c>
      <c r="H30" s="67"/>
    </row>
    <row r="31" spans="1:8" ht="25.5" x14ac:dyDescent="0.2">
      <c r="A31" s="3">
        <v>25</v>
      </c>
      <c r="B31" s="4" t="s">
        <v>560</v>
      </c>
      <c r="C31" s="4" t="s">
        <v>561</v>
      </c>
      <c r="D31" s="4" t="s">
        <v>52</v>
      </c>
      <c r="E31" s="5">
        <v>10000</v>
      </c>
      <c r="F31" s="6">
        <v>1946.7750000000001</v>
      </c>
      <c r="G31" s="7">
        <v>1.4840831000000001E-2</v>
      </c>
      <c r="H31" s="67"/>
    </row>
    <row r="32" spans="1:8" x14ac:dyDescent="0.2">
      <c r="A32" s="3">
        <v>26</v>
      </c>
      <c r="B32" s="4" t="s">
        <v>247</v>
      </c>
      <c r="C32" s="4" t="s">
        <v>248</v>
      </c>
      <c r="D32" s="4" t="s">
        <v>1001</v>
      </c>
      <c r="E32" s="5">
        <v>340000</v>
      </c>
      <c r="F32" s="6">
        <v>1871.87</v>
      </c>
      <c r="G32" s="7">
        <v>1.4269808E-2</v>
      </c>
      <c r="H32" s="67"/>
    </row>
    <row r="33" spans="1:8" x14ac:dyDescent="0.2">
      <c r="A33" s="3">
        <v>27</v>
      </c>
      <c r="B33" s="4" t="s">
        <v>372</v>
      </c>
      <c r="C33" s="4" t="s">
        <v>373</v>
      </c>
      <c r="D33" s="4" t="s">
        <v>55</v>
      </c>
      <c r="E33" s="5">
        <v>2650040</v>
      </c>
      <c r="F33" s="6">
        <v>1778.1768400000001</v>
      </c>
      <c r="G33" s="7">
        <v>1.3555558000000001E-2</v>
      </c>
      <c r="H33" s="67"/>
    </row>
    <row r="34" spans="1:8" x14ac:dyDescent="0.2">
      <c r="A34" s="3">
        <v>28</v>
      </c>
      <c r="B34" s="4" t="s">
        <v>223</v>
      </c>
      <c r="C34" s="4" t="s">
        <v>224</v>
      </c>
      <c r="D34" s="4" t="s">
        <v>69</v>
      </c>
      <c r="E34" s="5">
        <v>195000</v>
      </c>
      <c r="F34" s="6">
        <v>1682.3625</v>
      </c>
      <c r="G34" s="7">
        <v>1.2825138E-2</v>
      </c>
      <c r="H34" s="67"/>
    </row>
    <row r="35" spans="1:8" x14ac:dyDescent="0.2">
      <c r="A35" s="3">
        <v>29</v>
      </c>
      <c r="B35" s="4" t="s">
        <v>210</v>
      </c>
      <c r="C35" s="4" t="s">
        <v>211</v>
      </c>
      <c r="D35" s="4" t="s">
        <v>212</v>
      </c>
      <c r="E35" s="5">
        <v>630000</v>
      </c>
      <c r="F35" s="6">
        <v>1579.41</v>
      </c>
      <c r="G35" s="7">
        <v>1.2040301E-2</v>
      </c>
      <c r="H35" s="67"/>
    </row>
    <row r="36" spans="1:8" x14ac:dyDescent="0.2">
      <c r="A36" s="3">
        <v>30</v>
      </c>
      <c r="B36" s="4" t="s">
        <v>562</v>
      </c>
      <c r="C36" s="4" t="s">
        <v>563</v>
      </c>
      <c r="D36" s="4" t="s">
        <v>55</v>
      </c>
      <c r="E36" s="5">
        <v>85000</v>
      </c>
      <c r="F36" s="6">
        <v>1506.03</v>
      </c>
      <c r="G36" s="7">
        <v>1.1480904E-2</v>
      </c>
      <c r="H36" s="67"/>
    </row>
    <row r="37" spans="1:8" x14ac:dyDescent="0.2">
      <c r="A37" s="3">
        <v>31</v>
      </c>
      <c r="B37" s="4" t="s">
        <v>460</v>
      </c>
      <c r="C37" s="4" t="s">
        <v>461</v>
      </c>
      <c r="D37" s="4" t="s">
        <v>81</v>
      </c>
      <c r="E37" s="5">
        <v>190000</v>
      </c>
      <c r="F37" s="6">
        <v>1334.085</v>
      </c>
      <c r="G37" s="7">
        <v>1.0170116999999999E-2</v>
      </c>
      <c r="H37" s="67"/>
    </row>
    <row r="38" spans="1:8" x14ac:dyDescent="0.2">
      <c r="A38" s="3">
        <v>32</v>
      </c>
      <c r="B38" s="4" t="s">
        <v>564</v>
      </c>
      <c r="C38" s="4" t="s">
        <v>565</v>
      </c>
      <c r="D38" s="4" t="s">
        <v>55</v>
      </c>
      <c r="E38" s="5">
        <v>525000</v>
      </c>
      <c r="F38" s="6">
        <v>1278.1125</v>
      </c>
      <c r="G38" s="7">
        <v>9.7434219999999998E-3</v>
      </c>
      <c r="H38" s="67"/>
    </row>
    <row r="39" spans="1:8" x14ac:dyDescent="0.2">
      <c r="A39" s="3">
        <v>33</v>
      </c>
      <c r="B39" s="4" t="s">
        <v>259</v>
      </c>
      <c r="C39" s="4" t="s">
        <v>260</v>
      </c>
      <c r="D39" s="4" t="s">
        <v>261</v>
      </c>
      <c r="E39" s="5">
        <v>170000</v>
      </c>
      <c r="F39" s="6">
        <v>1260.125</v>
      </c>
      <c r="G39" s="7">
        <v>9.6062990000000004E-3</v>
      </c>
      <c r="H39" s="67"/>
    </row>
    <row r="40" spans="1:8" x14ac:dyDescent="0.2">
      <c r="A40" s="3">
        <v>34</v>
      </c>
      <c r="B40" s="4" t="s">
        <v>374</v>
      </c>
      <c r="C40" s="4" t="s">
        <v>375</v>
      </c>
      <c r="D40" s="4" t="s">
        <v>331</v>
      </c>
      <c r="E40" s="5">
        <v>770000</v>
      </c>
      <c r="F40" s="6">
        <v>1036.0350000000001</v>
      </c>
      <c r="G40" s="7">
        <v>7.8979949999999997E-3</v>
      </c>
      <c r="H40" s="67"/>
    </row>
    <row r="41" spans="1:8" x14ac:dyDescent="0.2">
      <c r="A41" s="3">
        <v>35</v>
      </c>
      <c r="B41" s="4" t="s">
        <v>533</v>
      </c>
      <c r="C41" s="4" t="s">
        <v>534</v>
      </c>
      <c r="D41" s="4" t="s">
        <v>1001</v>
      </c>
      <c r="E41" s="5">
        <v>2650000</v>
      </c>
      <c r="F41" s="6">
        <v>1022.9</v>
      </c>
      <c r="G41" s="7">
        <v>7.7978639999999998E-3</v>
      </c>
      <c r="H41" s="67"/>
    </row>
    <row r="42" spans="1:8" x14ac:dyDescent="0.2">
      <c r="A42" s="3">
        <v>36</v>
      </c>
      <c r="B42" s="4" t="s">
        <v>566</v>
      </c>
      <c r="C42" s="4" t="s">
        <v>567</v>
      </c>
      <c r="D42" s="4" t="s">
        <v>55</v>
      </c>
      <c r="E42" s="5">
        <v>152580</v>
      </c>
      <c r="F42" s="6">
        <v>710.41247999999996</v>
      </c>
      <c r="G42" s="7">
        <v>5.41568E-3</v>
      </c>
      <c r="H42" s="67"/>
    </row>
    <row r="43" spans="1:8" x14ac:dyDescent="0.2">
      <c r="A43" s="3">
        <v>37</v>
      </c>
      <c r="B43" s="4" t="s">
        <v>257</v>
      </c>
      <c r="C43" s="4" t="s">
        <v>258</v>
      </c>
      <c r="D43" s="4" t="s">
        <v>1001</v>
      </c>
      <c r="E43" s="5">
        <v>505154</v>
      </c>
      <c r="F43" s="6">
        <v>631.94765400000006</v>
      </c>
      <c r="G43" s="7">
        <v>4.8175199999999996E-3</v>
      </c>
      <c r="H43" s="67"/>
    </row>
    <row r="44" spans="1:8" x14ac:dyDescent="0.2">
      <c r="A44" s="3">
        <v>38</v>
      </c>
      <c r="B44" s="4" t="s">
        <v>568</v>
      </c>
      <c r="C44" s="4" t="s">
        <v>569</v>
      </c>
      <c r="D44" s="4" t="s">
        <v>84</v>
      </c>
      <c r="E44" s="5">
        <v>12500</v>
      </c>
      <c r="F44" s="6">
        <v>465.98124999999999</v>
      </c>
      <c r="G44" s="7">
        <v>3.5523099999999999E-3</v>
      </c>
      <c r="H44" s="67"/>
    </row>
    <row r="45" spans="1:8" ht="25.5" x14ac:dyDescent="0.2">
      <c r="A45" s="3">
        <v>39</v>
      </c>
      <c r="B45" s="4" t="s">
        <v>251</v>
      </c>
      <c r="C45" s="4" t="s">
        <v>252</v>
      </c>
      <c r="D45" s="4" t="s">
        <v>992</v>
      </c>
      <c r="E45" s="5">
        <v>100000</v>
      </c>
      <c r="F45" s="6">
        <v>163.6</v>
      </c>
      <c r="G45" s="7">
        <v>1.2471699999999999E-3</v>
      </c>
      <c r="H45" s="67"/>
    </row>
    <row r="46" spans="1:8" x14ac:dyDescent="0.2">
      <c r="A46" s="1"/>
      <c r="B46" s="1"/>
      <c r="C46" s="2" t="s">
        <v>105</v>
      </c>
      <c r="D46" s="1"/>
      <c r="E46" s="1" t="s">
        <v>106</v>
      </c>
      <c r="F46" s="9">
        <v>130276.744024</v>
      </c>
      <c r="G46" s="10">
        <v>0.99313742299999996</v>
      </c>
      <c r="H46" s="67"/>
    </row>
    <row r="47" spans="1:8" x14ac:dyDescent="0.2">
      <c r="A47" s="1"/>
      <c r="B47" s="1"/>
      <c r="C47" s="11"/>
      <c r="D47" s="1"/>
      <c r="E47" s="1"/>
      <c r="F47" s="12"/>
      <c r="G47" s="12"/>
      <c r="H47" s="67"/>
    </row>
    <row r="48" spans="1:8" x14ac:dyDescent="0.2">
      <c r="A48" s="1"/>
      <c r="B48" s="1"/>
      <c r="C48" s="2" t="s">
        <v>107</v>
      </c>
      <c r="D48" s="1"/>
      <c r="E48" s="1"/>
      <c r="F48" s="1"/>
      <c r="G48" s="1"/>
      <c r="H48" s="67"/>
    </row>
    <row r="49" spans="1:8" x14ac:dyDescent="0.2">
      <c r="A49" s="1"/>
      <c r="B49" s="1"/>
      <c r="C49" s="2" t="s">
        <v>105</v>
      </c>
      <c r="D49" s="1"/>
      <c r="E49" s="1" t="s">
        <v>106</v>
      </c>
      <c r="F49" s="13">
        <v>0</v>
      </c>
      <c r="G49" s="14">
        <v>0</v>
      </c>
      <c r="H49" s="67"/>
    </row>
    <row r="50" spans="1:8" x14ac:dyDescent="0.2">
      <c r="A50" s="1"/>
      <c r="B50" s="1"/>
      <c r="C50" s="11"/>
      <c r="D50" s="1"/>
      <c r="E50" s="1"/>
      <c r="F50" s="12"/>
      <c r="G50" s="12"/>
      <c r="H50" s="67"/>
    </row>
    <row r="51" spans="1:8" x14ac:dyDescent="0.2">
      <c r="A51" s="1"/>
      <c r="B51" s="1"/>
      <c r="C51" s="2" t="s">
        <v>108</v>
      </c>
      <c r="D51" s="1"/>
      <c r="E51" s="1"/>
      <c r="F51" s="1"/>
      <c r="G51" s="1"/>
      <c r="H51" s="67"/>
    </row>
    <row r="52" spans="1:8" x14ac:dyDescent="0.2">
      <c r="A52" s="1"/>
      <c r="B52" s="1"/>
      <c r="C52" s="2" t="s">
        <v>105</v>
      </c>
      <c r="D52" s="1"/>
      <c r="E52" s="1" t="s">
        <v>106</v>
      </c>
      <c r="F52" s="13">
        <v>0</v>
      </c>
      <c r="G52" s="14">
        <v>0</v>
      </c>
      <c r="H52" s="67"/>
    </row>
    <row r="53" spans="1:8" x14ac:dyDescent="0.2">
      <c r="A53" s="1"/>
      <c r="B53" s="1"/>
      <c r="C53" s="11"/>
      <c r="D53" s="1"/>
      <c r="E53" s="1"/>
      <c r="F53" s="12"/>
      <c r="G53" s="12"/>
      <c r="H53" s="67"/>
    </row>
    <row r="54" spans="1:8" x14ac:dyDescent="0.2">
      <c r="A54" s="1"/>
      <c r="B54" s="1"/>
      <c r="C54" s="2" t="s">
        <v>109</v>
      </c>
      <c r="D54" s="1"/>
      <c r="E54" s="1"/>
      <c r="F54" s="1"/>
      <c r="G54" s="1"/>
      <c r="H54" s="67"/>
    </row>
    <row r="55" spans="1:8" x14ac:dyDescent="0.2">
      <c r="A55" s="1"/>
      <c r="B55" s="1"/>
      <c r="C55" s="2" t="s">
        <v>105</v>
      </c>
      <c r="D55" s="1"/>
      <c r="E55" s="1" t="s">
        <v>106</v>
      </c>
      <c r="F55" s="13">
        <v>0</v>
      </c>
      <c r="G55" s="14">
        <v>0</v>
      </c>
      <c r="H55" s="67"/>
    </row>
    <row r="56" spans="1:8" x14ac:dyDescent="0.2">
      <c r="A56" s="1"/>
      <c r="B56" s="1"/>
      <c r="C56" s="11"/>
      <c r="D56" s="1"/>
      <c r="E56" s="1"/>
      <c r="F56" s="12"/>
      <c r="G56" s="12"/>
      <c r="H56" s="67"/>
    </row>
    <row r="57" spans="1:8" x14ac:dyDescent="0.2">
      <c r="A57" s="1"/>
      <c r="B57" s="1"/>
      <c r="C57" s="2" t="s">
        <v>110</v>
      </c>
      <c r="D57" s="1"/>
      <c r="E57" s="1"/>
      <c r="F57" s="12"/>
      <c r="G57" s="12"/>
      <c r="H57" s="67"/>
    </row>
    <row r="58" spans="1:8" x14ac:dyDescent="0.2">
      <c r="A58" s="1"/>
      <c r="B58" s="1"/>
      <c r="C58" s="2" t="s">
        <v>105</v>
      </c>
      <c r="D58" s="1"/>
      <c r="E58" s="1" t="s">
        <v>106</v>
      </c>
      <c r="F58" s="13">
        <v>0</v>
      </c>
      <c r="G58" s="14">
        <v>0</v>
      </c>
      <c r="H58" s="67"/>
    </row>
    <row r="59" spans="1:8" x14ac:dyDescent="0.2">
      <c r="A59" s="1"/>
      <c r="B59" s="1"/>
      <c r="C59" s="11"/>
      <c r="D59" s="1"/>
      <c r="E59" s="1"/>
      <c r="F59" s="12"/>
      <c r="G59" s="12"/>
      <c r="H59" s="67"/>
    </row>
    <row r="60" spans="1:8" x14ac:dyDescent="0.2">
      <c r="A60" s="1"/>
      <c r="B60" s="1"/>
      <c r="C60" s="2" t="s">
        <v>111</v>
      </c>
      <c r="D60" s="1"/>
      <c r="E60" s="1"/>
      <c r="F60" s="12"/>
      <c r="G60" s="12"/>
      <c r="H60" s="67"/>
    </row>
    <row r="61" spans="1:8" x14ac:dyDescent="0.2">
      <c r="A61" s="1"/>
      <c r="B61" s="1"/>
      <c r="C61" s="2" t="s">
        <v>105</v>
      </c>
      <c r="D61" s="1"/>
      <c r="E61" s="1" t="s">
        <v>106</v>
      </c>
      <c r="F61" s="13">
        <v>0</v>
      </c>
      <c r="G61" s="14">
        <v>0</v>
      </c>
      <c r="H61" s="67"/>
    </row>
    <row r="62" spans="1:8" x14ac:dyDescent="0.2">
      <c r="A62" s="1"/>
      <c r="B62" s="1"/>
      <c r="C62" s="11"/>
      <c r="D62" s="1"/>
      <c r="E62" s="1"/>
      <c r="F62" s="12"/>
      <c r="G62" s="12"/>
      <c r="H62" s="67"/>
    </row>
    <row r="63" spans="1:8" x14ac:dyDescent="0.2">
      <c r="A63" s="1"/>
      <c r="B63" s="1"/>
      <c r="C63" s="2" t="s">
        <v>112</v>
      </c>
      <c r="D63" s="1"/>
      <c r="E63" s="1"/>
      <c r="F63" s="9">
        <v>130276.744024</v>
      </c>
      <c r="G63" s="10">
        <v>0.99313742299999996</v>
      </c>
      <c r="H63" s="67"/>
    </row>
    <row r="64" spans="1:8" x14ac:dyDescent="0.2">
      <c r="A64" s="1"/>
      <c r="B64" s="1"/>
      <c r="C64" s="11"/>
      <c r="D64" s="1"/>
      <c r="E64" s="1"/>
      <c r="F64" s="12"/>
      <c r="G64" s="12"/>
      <c r="H64" s="67"/>
    </row>
    <row r="65" spans="1:8" x14ac:dyDescent="0.2">
      <c r="A65" s="1"/>
      <c r="B65" s="1"/>
      <c r="C65" s="2" t="s">
        <v>113</v>
      </c>
      <c r="D65" s="1"/>
      <c r="E65" s="1"/>
      <c r="F65" s="12"/>
      <c r="G65" s="12"/>
      <c r="H65" s="67"/>
    </row>
    <row r="66" spans="1:8" ht="25.5" x14ac:dyDescent="0.2">
      <c r="A66" s="1"/>
      <c r="B66" s="1"/>
      <c r="C66" s="2" t="s">
        <v>10</v>
      </c>
      <c r="D66" s="1"/>
      <c r="E66" s="1"/>
      <c r="F66" s="12"/>
      <c r="G66" s="12"/>
      <c r="H66" s="67"/>
    </row>
    <row r="67" spans="1:8" x14ac:dyDescent="0.2">
      <c r="A67" s="1"/>
      <c r="B67" s="1"/>
      <c r="C67" s="2" t="s">
        <v>105</v>
      </c>
      <c r="D67" s="1"/>
      <c r="E67" s="1" t="s">
        <v>106</v>
      </c>
      <c r="F67" s="13">
        <v>0</v>
      </c>
      <c r="G67" s="14">
        <v>0</v>
      </c>
      <c r="H67" s="67"/>
    </row>
    <row r="68" spans="1:8" x14ac:dyDescent="0.2">
      <c r="A68" s="1"/>
      <c r="B68" s="1"/>
      <c r="C68" s="11"/>
      <c r="D68" s="1"/>
      <c r="E68" s="1"/>
      <c r="F68" s="12"/>
      <c r="G68" s="12"/>
      <c r="H68" s="67"/>
    </row>
    <row r="69" spans="1:8" x14ac:dyDescent="0.2">
      <c r="A69" s="1"/>
      <c r="B69" s="1"/>
      <c r="C69" s="2" t="s">
        <v>114</v>
      </c>
      <c r="D69" s="1"/>
      <c r="E69" s="1"/>
      <c r="F69" s="1"/>
      <c r="G69" s="1"/>
      <c r="H69" s="67"/>
    </row>
    <row r="70" spans="1:8" x14ac:dyDescent="0.2">
      <c r="A70" s="1"/>
      <c r="B70" s="1"/>
      <c r="C70" s="2" t="s">
        <v>105</v>
      </c>
      <c r="D70" s="1"/>
      <c r="E70" s="1" t="s">
        <v>106</v>
      </c>
      <c r="F70" s="13">
        <v>0</v>
      </c>
      <c r="G70" s="14">
        <v>0</v>
      </c>
      <c r="H70" s="67"/>
    </row>
    <row r="71" spans="1:8" x14ac:dyDescent="0.2">
      <c r="A71" s="1"/>
      <c r="B71" s="1"/>
      <c r="C71" s="11"/>
      <c r="D71" s="1"/>
      <c r="E71" s="1"/>
      <c r="F71" s="12"/>
      <c r="G71" s="12"/>
      <c r="H71" s="67"/>
    </row>
    <row r="72" spans="1:8" x14ac:dyDescent="0.2">
      <c r="A72" s="1"/>
      <c r="B72" s="1"/>
      <c r="C72" s="2" t="s">
        <v>115</v>
      </c>
      <c r="D72" s="1"/>
      <c r="E72" s="1"/>
      <c r="F72" s="1"/>
      <c r="G72" s="1"/>
      <c r="H72" s="67"/>
    </row>
    <row r="73" spans="1:8" x14ac:dyDescent="0.2">
      <c r="A73" s="1"/>
      <c r="B73" s="1"/>
      <c r="C73" s="2" t="s">
        <v>105</v>
      </c>
      <c r="D73" s="1"/>
      <c r="E73" s="1" t="s">
        <v>106</v>
      </c>
      <c r="F73" s="13">
        <v>0</v>
      </c>
      <c r="G73" s="14">
        <v>0</v>
      </c>
      <c r="H73" s="67"/>
    </row>
    <row r="74" spans="1:8" x14ac:dyDescent="0.2">
      <c r="A74" s="1"/>
      <c r="B74" s="1"/>
      <c r="C74" s="11"/>
      <c r="D74" s="1"/>
      <c r="E74" s="1"/>
      <c r="F74" s="12"/>
      <c r="G74" s="12"/>
      <c r="H74" s="67"/>
    </row>
    <row r="75" spans="1:8" x14ac:dyDescent="0.2">
      <c r="A75" s="1"/>
      <c r="B75" s="1"/>
      <c r="C75" s="2" t="s">
        <v>116</v>
      </c>
      <c r="D75" s="1"/>
      <c r="E75" s="1"/>
      <c r="F75" s="12"/>
      <c r="G75" s="12"/>
      <c r="H75" s="67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">
        <v>0</v>
      </c>
      <c r="H76" s="67"/>
    </row>
    <row r="77" spans="1:8" x14ac:dyDescent="0.2">
      <c r="A77" s="1"/>
      <c r="B77" s="1"/>
      <c r="C77" s="11"/>
      <c r="D77" s="1"/>
      <c r="E77" s="1"/>
      <c r="F77" s="12"/>
      <c r="G77" s="12"/>
      <c r="H77" s="67"/>
    </row>
    <row r="78" spans="1:8" x14ac:dyDescent="0.2">
      <c r="A78" s="1"/>
      <c r="B78" s="1"/>
      <c r="C78" s="2" t="s">
        <v>117</v>
      </c>
      <c r="D78" s="1"/>
      <c r="E78" s="1"/>
      <c r="F78" s="9">
        <v>0</v>
      </c>
      <c r="G78" s="10">
        <v>0</v>
      </c>
      <c r="H78" s="67"/>
    </row>
    <row r="79" spans="1:8" x14ac:dyDescent="0.2">
      <c r="A79" s="1"/>
      <c r="B79" s="1"/>
      <c r="C79" s="11"/>
      <c r="D79" s="1"/>
      <c r="E79" s="1"/>
      <c r="F79" s="12"/>
      <c r="G79" s="12"/>
      <c r="H79" s="67"/>
    </row>
    <row r="80" spans="1:8" x14ac:dyDescent="0.2">
      <c r="A80" s="1"/>
      <c r="B80" s="1"/>
      <c r="C80" s="2" t="s">
        <v>118</v>
      </c>
      <c r="D80" s="1"/>
      <c r="E80" s="1"/>
      <c r="F80" s="12"/>
      <c r="G80" s="12"/>
      <c r="H80" s="67"/>
    </row>
    <row r="81" spans="1:8" x14ac:dyDescent="0.2">
      <c r="A81" s="1"/>
      <c r="B81" s="1"/>
      <c r="C81" s="2" t="s">
        <v>119</v>
      </c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">
        <v>0</v>
      </c>
      <c r="H82" s="67"/>
    </row>
    <row r="83" spans="1:8" x14ac:dyDescent="0.2">
      <c r="A83" s="1"/>
      <c r="B83" s="1"/>
      <c r="C83" s="11"/>
      <c r="D83" s="1"/>
      <c r="E83" s="1"/>
      <c r="F83" s="12"/>
      <c r="G83" s="12"/>
      <c r="H83" s="67"/>
    </row>
    <row r="84" spans="1:8" x14ac:dyDescent="0.2">
      <c r="A84" s="1"/>
      <c r="B84" s="1"/>
      <c r="C84" s="2" t="s">
        <v>120</v>
      </c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7"/>
    </row>
    <row r="86" spans="1:8" x14ac:dyDescent="0.2">
      <c r="A86" s="1"/>
      <c r="B86" s="1"/>
      <c r="C86" s="11"/>
      <c r="D86" s="1"/>
      <c r="E86" s="1"/>
      <c r="F86" s="12"/>
      <c r="G86" s="12"/>
      <c r="H86" s="67"/>
    </row>
    <row r="87" spans="1:8" x14ac:dyDescent="0.2">
      <c r="A87" s="1"/>
      <c r="B87" s="1"/>
      <c r="C87" s="2" t="s">
        <v>121</v>
      </c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">
        <v>0</v>
      </c>
      <c r="H88" s="67"/>
    </row>
    <row r="89" spans="1:8" x14ac:dyDescent="0.2">
      <c r="A89" s="1"/>
      <c r="B89" s="1"/>
      <c r="C89" s="11"/>
      <c r="D89" s="1"/>
      <c r="E89" s="1"/>
      <c r="F89" s="12"/>
      <c r="G89" s="12"/>
      <c r="H89" s="67"/>
    </row>
    <row r="90" spans="1:8" x14ac:dyDescent="0.2">
      <c r="A90" s="1"/>
      <c r="B90" s="1"/>
      <c r="C90" s="2" t="s">
        <v>122</v>
      </c>
      <c r="D90" s="1"/>
      <c r="E90" s="1"/>
      <c r="F90" s="12"/>
      <c r="G90" s="12"/>
      <c r="H90" s="67"/>
    </row>
    <row r="91" spans="1:8" x14ac:dyDescent="0.2">
      <c r="A91" s="3">
        <v>1</v>
      </c>
      <c r="B91" s="4"/>
      <c r="C91" s="4" t="s">
        <v>123</v>
      </c>
      <c r="D91" s="4"/>
      <c r="E91" s="8"/>
      <c r="F91" s="6">
        <v>264.6959847</v>
      </c>
      <c r="G91" s="7">
        <v>2.0178539999999999E-3</v>
      </c>
      <c r="H91" s="67">
        <v>3.1047477660654299</v>
      </c>
    </row>
    <row r="92" spans="1:8" x14ac:dyDescent="0.2">
      <c r="A92" s="1"/>
      <c r="B92" s="1"/>
      <c r="C92" s="2" t="s">
        <v>105</v>
      </c>
      <c r="D92" s="1"/>
      <c r="E92" s="1" t="s">
        <v>106</v>
      </c>
      <c r="F92" s="9">
        <v>264.6959847</v>
      </c>
      <c r="G92" s="10">
        <v>2.0178539999999999E-3</v>
      </c>
      <c r="H92" s="67"/>
    </row>
    <row r="93" spans="1:8" x14ac:dyDescent="0.2">
      <c r="A93" s="1"/>
      <c r="B93" s="1"/>
      <c r="C93" s="11"/>
      <c r="D93" s="1"/>
      <c r="E93" s="1"/>
      <c r="F93" s="12"/>
      <c r="G93" s="12"/>
      <c r="H93" s="67"/>
    </row>
    <row r="94" spans="1:8" x14ac:dyDescent="0.2">
      <c r="A94" s="1"/>
      <c r="B94" s="1"/>
      <c r="C94" s="2" t="s">
        <v>124</v>
      </c>
      <c r="D94" s="1"/>
      <c r="E94" s="1"/>
      <c r="F94" s="9">
        <v>264.6959847</v>
      </c>
      <c r="G94" s="10">
        <v>2.0178539999999999E-3</v>
      </c>
      <c r="H94" s="67"/>
    </row>
    <row r="95" spans="1:8" x14ac:dyDescent="0.2">
      <c r="A95" s="1"/>
      <c r="B95" s="1"/>
      <c r="C95" s="12"/>
      <c r="D95" s="1"/>
      <c r="E95" s="1"/>
      <c r="F95" s="1"/>
      <c r="G95" s="1"/>
      <c r="H95" s="67"/>
    </row>
    <row r="96" spans="1:8" x14ac:dyDescent="0.2">
      <c r="A96" s="1"/>
      <c r="B96" s="1"/>
      <c r="C96" s="2" t="s">
        <v>125</v>
      </c>
      <c r="D96" s="1"/>
      <c r="E96" s="1"/>
      <c r="F96" s="1"/>
      <c r="G96" s="1"/>
      <c r="H96" s="67"/>
    </row>
    <row r="97" spans="1:8" x14ac:dyDescent="0.2">
      <c r="A97" s="1"/>
      <c r="B97" s="1"/>
      <c r="C97" s="2" t="s">
        <v>126</v>
      </c>
      <c r="D97" s="1"/>
      <c r="E97" s="1"/>
      <c r="F97" s="1"/>
      <c r="G97" s="1"/>
      <c r="H97" s="67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7"/>
    </row>
    <row r="99" spans="1:8" x14ac:dyDescent="0.2">
      <c r="A99" s="1"/>
      <c r="B99" s="1"/>
      <c r="C99" s="11"/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127</v>
      </c>
      <c r="D100" s="1"/>
      <c r="E100" s="1"/>
      <c r="F100" s="1"/>
      <c r="G100" s="1"/>
      <c r="H100" s="67"/>
    </row>
    <row r="101" spans="1:8" x14ac:dyDescent="0.2">
      <c r="A101" s="1"/>
      <c r="B101" s="1"/>
      <c r="C101" s="2" t="s">
        <v>128</v>
      </c>
      <c r="D101" s="1"/>
      <c r="E101" s="1"/>
      <c r="F101" s="1"/>
      <c r="G101" s="1"/>
      <c r="H101" s="67"/>
    </row>
    <row r="102" spans="1:8" x14ac:dyDescent="0.2">
      <c r="A102" s="1"/>
      <c r="B102" s="1"/>
      <c r="C102" s="2" t="s">
        <v>105</v>
      </c>
      <c r="D102" s="1"/>
      <c r="E102" s="1" t="s">
        <v>106</v>
      </c>
      <c r="F102" s="13">
        <v>0</v>
      </c>
      <c r="G102" s="14">
        <v>0</v>
      </c>
      <c r="H102" s="67"/>
    </row>
    <row r="103" spans="1:8" x14ac:dyDescent="0.2">
      <c r="A103" s="1"/>
      <c r="B103" s="1"/>
      <c r="C103" s="11"/>
      <c r="D103" s="1"/>
      <c r="E103" s="1"/>
      <c r="F103" s="12"/>
      <c r="G103" s="12"/>
      <c r="H103" s="67"/>
    </row>
    <row r="104" spans="1:8" x14ac:dyDescent="0.2">
      <c r="A104" s="1"/>
      <c r="B104" s="1"/>
      <c r="C104" s="11"/>
      <c r="D104" s="1"/>
      <c r="E104" s="1"/>
      <c r="F104" s="12"/>
      <c r="G104" s="12"/>
      <c r="H104" s="67"/>
    </row>
    <row r="105" spans="1:8" ht="25.5" x14ac:dyDescent="0.2">
      <c r="A105" s="1"/>
      <c r="B105" s="1"/>
      <c r="C105" s="2" t="s">
        <v>129</v>
      </c>
      <c r="D105" s="1"/>
      <c r="E105" s="1"/>
      <c r="F105" s="12"/>
      <c r="G105" s="12"/>
      <c r="H105" s="67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">
        <v>0</v>
      </c>
      <c r="H106" s="67"/>
    </row>
    <row r="107" spans="1:8" x14ac:dyDescent="0.2">
      <c r="A107" s="1"/>
      <c r="B107" s="1"/>
      <c r="C107" s="11"/>
      <c r="D107" s="1"/>
      <c r="E107" s="1"/>
      <c r="F107" s="12"/>
      <c r="G107" s="12"/>
      <c r="H107" s="67"/>
    </row>
    <row r="108" spans="1:8" x14ac:dyDescent="0.2">
      <c r="A108" s="1"/>
      <c r="B108" s="4"/>
      <c r="C108" s="4"/>
      <c r="D108" s="2"/>
      <c r="E108" s="1"/>
      <c r="F108" s="4"/>
      <c r="G108" s="8"/>
      <c r="H108" s="67"/>
    </row>
    <row r="109" spans="1:8" x14ac:dyDescent="0.2">
      <c r="A109" s="8"/>
      <c r="B109" s="4"/>
      <c r="C109" s="4" t="s">
        <v>130</v>
      </c>
      <c r="D109" s="4"/>
      <c r="E109" s="8"/>
      <c r="F109" s="6">
        <v>635.51616880999995</v>
      </c>
      <c r="G109" s="7">
        <v>4.8447239999999999E-3</v>
      </c>
      <c r="H109" s="67"/>
    </row>
    <row r="110" spans="1:8" x14ac:dyDescent="0.2">
      <c r="A110" s="11"/>
      <c r="B110" s="11"/>
      <c r="C110" s="2" t="s">
        <v>131</v>
      </c>
      <c r="D110" s="15"/>
      <c r="E110" s="15"/>
      <c r="F110" s="9">
        <v>131176.95617751</v>
      </c>
      <c r="G110" s="10">
        <v>1.0000000009999999</v>
      </c>
      <c r="H110" s="67"/>
    </row>
    <row r="111" spans="1:8" ht="14.1" customHeight="1" x14ac:dyDescent="0.2">
      <c r="A111" s="16"/>
      <c r="B111" s="16"/>
      <c r="C111" s="16"/>
      <c r="D111" s="17"/>
      <c r="E111" s="17"/>
      <c r="F111" s="17"/>
      <c r="G111" s="17"/>
    </row>
    <row r="112" spans="1:8" ht="14.1" customHeight="1" x14ac:dyDescent="0.2">
      <c r="A112" s="18"/>
      <c r="B112" s="170" t="s">
        <v>106</v>
      </c>
      <c r="C112" s="170"/>
      <c r="D112" s="170"/>
      <c r="E112" s="170"/>
      <c r="F112" s="170"/>
      <c r="G112" s="20"/>
    </row>
    <row r="113" spans="1:7" ht="14.1" customHeight="1" x14ac:dyDescent="0.2">
      <c r="A113" s="18"/>
      <c r="B113" s="170" t="s">
        <v>106</v>
      </c>
      <c r="C113" s="170"/>
      <c r="D113" s="170"/>
      <c r="E113" s="170"/>
      <c r="F113" s="170"/>
      <c r="G113" s="20"/>
    </row>
    <row r="114" spans="1:7" ht="14.1" customHeight="1" x14ac:dyDescent="0.2">
      <c r="A114" s="18"/>
      <c r="B114" s="18"/>
      <c r="C114" s="18"/>
      <c r="D114" s="20"/>
      <c r="E114" s="20"/>
      <c r="F114" s="20"/>
      <c r="G114" s="20"/>
    </row>
    <row r="115" spans="1:7" ht="14.1" customHeight="1" x14ac:dyDescent="0.2">
      <c r="A115" s="18"/>
      <c r="B115" s="168" t="s">
        <v>133</v>
      </c>
      <c r="C115" s="169"/>
      <c r="D115" s="12" t="s">
        <v>106</v>
      </c>
      <c r="E115" s="21"/>
      <c r="F115" s="20"/>
      <c r="G115" s="20"/>
    </row>
    <row r="116" spans="1:7" ht="29.1" customHeight="1" x14ac:dyDescent="0.2">
      <c r="A116" s="18"/>
      <c r="B116" s="165" t="s">
        <v>134</v>
      </c>
      <c r="C116" s="166"/>
      <c r="D116" s="2" t="s">
        <v>135</v>
      </c>
      <c r="E116" s="21"/>
      <c r="F116" s="20"/>
      <c r="G116" s="20"/>
    </row>
    <row r="117" spans="1:7" ht="17.100000000000001" customHeight="1" x14ac:dyDescent="0.2">
      <c r="A117" s="18"/>
      <c r="B117" s="165" t="s">
        <v>136</v>
      </c>
      <c r="C117" s="166"/>
      <c r="D117" s="2" t="s">
        <v>135</v>
      </c>
      <c r="E117" s="21"/>
      <c r="F117" s="20"/>
      <c r="G117" s="20"/>
    </row>
    <row r="118" spans="1:7" ht="17.100000000000001" customHeight="1" x14ac:dyDescent="0.2">
      <c r="A118" s="18"/>
      <c r="B118" s="165" t="s">
        <v>137</v>
      </c>
      <c r="C118" s="166"/>
      <c r="D118" s="12" t="s">
        <v>106</v>
      </c>
      <c r="E118" s="21"/>
      <c r="F118" s="20"/>
      <c r="G118" s="20"/>
    </row>
    <row r="119" spans="1:7" ht="24" customHeight="1" x14ac:dyDescent="0.2">
      <c r="A119" s="22"/>
      <c r="B119" s="23" t="s">
        <v>106</v>
      </c>
      <c r="C119" s="23" t="s">
        <v>138</v>
      </c>
      <c r="D119" s="23" t="s">
        <v>139</v>
      </c>
      <c r="E119" s="22"/>
      <c r="F119" s="22"/>
      <c r="G119" s="22"/>
    </row>
    <row r="120" spans="1:7" ht="18" customHeight="1" x14ac:dyDescent="0.2">
      <c r="A120" s="22"/>
      <c r="B120" s="23" t="s">
        <v>140</v>
      </c>
      <c r="C120" s="23" t="s">
        <v>141</v>
      </c>
      <c r="D120" s="23" t="s">
        <v>142</v>
      </c>
      <c r="E120" s="22"/>
      <c r="F120" s="22"/>
      <c r="G120" s="22"/>
    </row>
    <row r="121" spans="1:7" ht="17.100000000000001" customHeight="1" x14ac:dyDescent="0.2">
      <c r="A121" s="22"/>
      <c r="B121" s="4" t="s">
        <v>143</v>
      </c>
      <c r="C121" s="24">
        <v>57.760800000000003</v>
      </c>
      <c r="D121" s="24">
        <v>59.918900000000001</v>
      </c>
      <c r="E121" s="22"/>
      <c r="F121" s="19"/>
      <c r="G121" s="25"/>
    </row>
    <row r="122" spans="1:7" ht="17.100000000000001" customHeight="1" x14ac:dyDescent="0.2">
      <c r="A122" s="22"/>
      <c r="B122" s="4" t="s">
        <v>988</v>
      </c>
      <c r="C122" s="24">
        <v>22.247199999999999</v>
      </c>
      <c r="D122" s="24">
        <v>23.078399999999998</v>
      </c>
      <c r="E122" s="22"/>
      <c r="F122" s="19"/>
      <c r="G122" s="25"/>
    </row>
    <row r="123" spans="1:7" ht="17.100000000000001" customHeight="1" x14ac:dyDescent="0.2">
      <c r="A123" s="22"/>
      <c r="B123" s="4" t="s">
        <v>144</v>
      </c>
      <c r="C123" s="24">
        <v>54.5914</v>
      </c>
      <c r="D123" s="24">
        <v>56.591900000000003</v>
      </c>
      <c r="E123" s="22"/>
      <c r="F123" s="19"/>
      <c r="G123" s="25"/>
    </row>
    <row r="124" spans="1:7" ht="17.100000000000001" customHeight="1" x14ac:dyDescent="0.2">
      <c r="A124" s="22"/>
      <c r="B124" s="4" t="s">
        <v>989</v>
      </c>
      <c r="C124" s="24">
        <v>20.680099999999999</v>
      </c>
      <c r="D124" s="24">
        <v>21.437899999999999</v>
      </c>
      <c r="E124" s="22"/>
      <c r="F124" s="19"/>
      <c r="G124" s="25"/>
    </row>
    <row r="125" spans="1:7" ht="14.1" customHeight="1" x14ac:dyDescent="0.2">
      <c r="A125" s="22"/>
      <c r="B125" s="22"/>
      <c r="C125" s="22"/>
      <c r="D125" s="22"/>
      <c r="E125" s="22"/>
      <c r="F125" s="22"/>
      <c r="G125" s="22"/>
    </row>
    <row r="126" spans="1:7" ht="17.100000000000001" customHeight="1" x14ac:dyDescent="0.2">
      <c r="A126" s="22"/>
      <c r="B126" s="165" t="s">
        <v>990</v>
      </c>
      <c r="C126" s="166"/>
      <c r="D126" s="2" t="s">
        <v>135</v>
      </c>
      <c r="E126" s="22"/>
      <c r="F126" s="22"/>
      <c r="G126" s="22"/>
    </row>
    <row r="127" spans="1:7" ht="18" customHeight="1" x14ac:dyDescent="0.2">
      <c r="A127" s="22"/>
      <c r="B127" s="26" t="s">
        <v>145</v>
      </c>
      <c r="C127" s="26" t="s">
        <v>145</v>
      </c>
      <c r="D127" s="26"/>
      <c r="E127" s="22"/>
      <c r="F127" s="22"/>
      <c r="G127" s="22"/>
    </row>
    <row r="128" spans="1:7" s="158" customFormat="1" x14ac:dyDescent="0.2">
      <c r="B128" s="167" t="s">
        <v>822</v>
      </c>
      <c r="C128" s="167"/>
      <c r="D128" s="167"/>
      <c r="E128" s="167"/>
      <c r="F128" s="167"/>
    </row>
    <row r="129" spans="1:7" ht="14.1" customHeight="1" x14ac:dyDescent="0.2">
      <c r="A129" s="22"/>
      <c r="B129" s="19"/>
      <c r="C129" s="19"/>
      <c r="D129" s="22"/>
      <c r="E129" s="22"/>
      <c r="F129" s="22"/>
      <c r="G129" s="22"/>
    </row>
    <row r="130" spans="1:7" ht="29.1" customHeight="1" x14ac:dyDescent="0.2">
      <c r="A130" s="22"/>
      <c r="B130" s="165" t="s">
        <v>146</v>
      </c>
      <c r="C130" s="166"/>
      <c r="D130" s="2" t="s">
        <v>135</v>
      </c>
      <c r="E130" s="22"/>
      <c r="F130" s="22"/>
      <c r="G130" s="22"/>
    </row>
    <row r="131" spans="1:7" ht="29.1" customHeight="1" x14ac:dyDescent="0.2">
      <c r="A131" s="22"/>
      <c r="B131" s="165" t="s">
        <v>147</v>
      </c>
      <c r="C131" s="166"/>
      <c r="D131" s="2" t="s">
        <v>135</v>
      </c>
      <c r="E131" s="22"/>
      <c r="F131" s="22"/>
      <c r="G131" s="22"/>
    </row>
    <row r="132" spans="1:7" ht="17.100000000000001" customHeight="1" x14ac:dyDescent="0.2">
      <c r="A132" s="22"/>
      <c r="B132" s="165" t="s">
        <v>148</v>
      </c>
      <c r="C132" s="166"/>
      <c r="D132" s="27">
        <v>0.11856548009047838</v>
      </c>
      <c r="E132" s="22"/>
      <c r="F132" s="19"/>
      <c r="G132" s="25"/>
    </row>
    <row r="133" spans="1:7" ht="17.100000000000001" customHeight="1" x14ac:dyDescent="0.2">
      <c r="A133" s="22"/>
      <c r="B133" s="165" t="s">
        <v>149</v>
      </c>
      <c r="C133" s="166"/>
      <c r="D133" s="2" t="s">
        <v>135</v>
      </c>
      <c r="E133" s="22"/>
      <c r="F133" s="22"/>
      <c r="G133" s="22"/>
    </row>
  </sheetData>
  <mergeCells count="15">
    <mergeCell ref="B115:C115"/>
    <mergeCell ref="B112:F112"/>
    <mergeCell ref="B113:F113"/>
    <mergeCell ref="A1:H1"/>
    <mergeCell ref="A2:H2"/>
    <mergeCell ref="A3:H3"/>
    <mergeCell ref="B132:C132"/>
    <mergeCell ref="B133:C133"/>
    <mergeCell ref="B116:C116"/>
    <mergeCell ref="B117:C117"/>
    <mergeCell ref="B118:C118"/>
    <mergeCell ref="B126:C126"/>
    <mergeCell ref="B130:C130"/>
    <mergeCell ref="B131:C131"/>
    <mergeCell ref="B128:F128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H14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570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22</v>
      </c>
      <c r="C7" s="4" t="s">
        <v>23</v>
      </c>
      <c r="D7" s="4" t="s">
        <v>24</v>
      </c>
      <c r="E7" s="5">
        <v>2018224</v>
      </c>
      <c r="F7" s="6">
        <v>14512.039672000001</v>
      </c>
      <c r="G7" s="7">
        <v>8.2047308999999999E-2</v>
      </c>
      <c r="H7" s="67"/>
    </row>
    <row r="8" spans="1:8" x14ac:dyDescent="0.2">
      <c r="A8" s="3">
        <v>2</v>
      </c>
      <c r="B8" s="4" t="s">
        <v>398</v>
      </c>
      <c r="C8" s="4" t="s">
        <v>399</v>
      </c>
      <c r="D8" s="4" t="s">
        <v>24</v>
      </c>
      <c r="E8" s="5">
        <v>870509</v>
      </c>
      <c r="F8" s="6">
        <v>13766.229326000001</v>
      </c>
      <c r="G8" s="7">
        <v>7.7830689999999994E-2</v>
      </c>
      <c r="H8" s="67"/>
    </row>
    <row r="9" spans="1:8" x14ac:dyDescent="0.2">
      <c r="A9" s="3">
        <v>3</v>
      </c>
      <c r="B9" s="4" t="s">
        <v>301</v>
      </c>
      <c r="C9" s="4" t="s">
        <v>302</v>
      </c>
      <c r="D9" s="4" t="s">
        <v>166</v>
      </c>
      <c r="E9" s="5">
        <v>291050</v>
      </c>
      <c r="F9" s="6">
        <v>10557.111124999999</v>
      </c>
      <c r="G9" s="7">
        <v>5.9687167999999999E-2</v>
      </c>
      <c r="H9" s="67"/>
    </row>
    <row r="10" spans="1:8" x14ac:dyDescent="0.2">
      <c r="A10" s="3">
        <v>4</v>
      </c>
      <c r="B10" s="4" t="s">
        <v>14</v>
      </c>
      <c r="C10" s="4" t="s">
        <v>15</v>
      </c>
      <c r="D10" s="4" t="s">
        <v>16</v>
      </c>
      <c r="E10" s="5">
        <v>390930</v>
      </c>
      <c r="F10" s="6">
        <v>8827.7857949999998</v>
      </c>
      <c r="G10" s="7">
        <v>4.9910010999999997E-2</v>
      </c>
      <c r="H10" s="67"/>
    </row>
    <row r="11" spans="1:8" x14ac:dyDescent="0.2">
      <c r="A11" s="3">
        <v>5</v>
      </c>
      <c r="B11" s="4" t="s">
        <v>17</v>
      </c>
      <c r="C11" s="4" t="s">
        <v>18</v>
      </c>
      <c r="D11" s="4" t="s">
        <v>19</v>
      </c>
      <c r="E11" s="5">
        <v>1292423</v>
      </c>
      <c r="F11" s="6">
        <v>8582.3349314999996</v>
      </c>
      <c r="G11" s="7">
        <v>4.8522295999999999E-2</v>
      </c>
      <c r="H11" s="67"/>
    </row>
    <row r="12" spans="1:8" ht="25.5" x14ac:dyDescent="0.2">
      <c r="A12" s="3">
        <v>6</v>
      </c>
      <c r="B12" s="4" t="s">
        <v>402</v>
      </c>
      <c r="C12" s="4" t="s">
        <v>403</v>
      </c>
      <c r="D12" s="4" t="s">
        <v>81</v>
      </c>
      <c r="E12" s="5">
        <v>238846</v>
      </c>
      <c r="F12" s="6">
        <v>6684.1053099999999</v>
      </c>
      <c r="G12" s="7">
        <v>3.7790197999999997E-2</v>
      </c>
      <c r="H12" s="67"/>
    </row>
    <row r="13" spans="1:8" x14ac:dyDescent="0.2">
      <c r="A13" s="3">
        <v>7</v>
      </c>
      <c r="B13" s="4" t="s">
        <v>354</v>
      </c>
      <c r="C13" s="4" t="s">
        <v>355</v>
      </c>
      <c r="D13" s="4" t="s">
        <v>24</v>
      </c>
      <c r="E13" s="5">
        <v>785346</v>
      </c>
      <c r="F13" s="6">
        <v>6176.74629</v>
      </c>
      <c r="G13" s="7">
        <v>3.4921722000000002E-2</v>
      </c>
      <c r="H13" s="67"/>
    </row>
    <row r="14" spans="1:8" x14ac:dyDescent="0.2">
      <c r="A14" s="3">
        <v>8</v>
      </c>
      <c r="B14" s="4" t="s">
        <v>97</v>
      </c>
      <c r="C14" s="4" t="s">
        <v>98</v>
      </c>
      <c r="D14" s="4" t="s">
        <v>60</v>
      </c>
      <c r="E14" s="5">
        <v>974973</v>
      </c>
      <c r="F14" s="6">
        <v>5321.8901205000002</v>
      </c>
      <c r="G14" s="7">
        <v>3.0088587E-2</v>
      </c>
      <c r="H14" s="67"/>
    </row>
    <row r="15" spans="1:8" x14ac:dyDescent="0.2">
      <c r="A15" s="3">
        <v>9</v>
      </c>
      <c r="B15" s="4" t="s">
        <v>350</v>
      </c>
      <c r="C15" s="4" t="s">
        <v>351</v>
      </c>
      <c r="D15" s="4" t="s">
        <v>46</v>
      </c>
      <c r="E15" s="5">
        <v>774290</v>
      </c>
      <c r="F15" s="6">
        <v>5261.6876949999996</v>
      </c>
      <c r="G15" s="7">
        <v>2.9748218E-2</v>
      </c>
      <c r="H15" s="67"/>
    </row>
    <row r="16" spans="1:8" x14ac:dyDescent="0.2">
      <c r="A16" s="3">
        <v>10</v>
      </c>
      <c r="B16" s="4" t="s">
        <v>303</v>
      </c>
      <c r="C16" s="4" t="s">
        <v>304</v>
      </c>
      <c r="D16" s="4" t="s">
        <v>179</v>
      </c>
      <c r="E16" s="5">
        <v>95620</v>
      </c>
      <c r="F16" s="6">
        <v>4751.8837100000001</v>
      </c>
      <c r="G16" s="7">
        <v>2.6865917999999999E-2</v>
      </c>
      <c r="H16" s="67"/>
    </row>
    <row r="17" spans="1:8" x14ac:dyDescent="0.2">
      <c r="A17" s="3">
        <v>11</v>
      </c>
      <c r="B17" s="4" t="s">
        <v>388</v>
      </c>
      <c r="C17" s="4" t="s">
        <v>389</v>
      </c>
      <c r="D17" s="4" t="s">
        <v>1002</v>
      </c>
      <c r="E17" s="5">
        <v>25000</v>
      </c>
      <c r="F17" s="6">
        <v>4287.1875</v>
      </c>
      <c r="G17" s="7">
        <v>2.4238645999999999E-2</v>
      </c>
      <c r="H17" s="67"/>
    </row>
    <row r="18" spans="1:8" ht="25.5" x14ac:dyDescent="0.2">
      <c r="A18" s="3">
        <v>12</v>
      </c>
      <c r="B18" s="4" t="s">
        <v>370</v>
      </c>
      <c r="C18" s="4" t="s">
        <v>371</v>
      </c>
      <c r="D18" s="4" t="s">
        <v>46</v>
      </c>
      <c r="E18" s="5">
        <v>135000</v>
      </c>
      <c r="F18" s="6">
        <v>3715.2</v>
      </c>
      <c r="G18" s="7">
        <v>2.1004776999999999E-2</v>
      </c>
      <c r="H18" s="67"/>
    </row>
    <row r="19" spans="1:8" x14ac:dyDescent="0.2">
      <c r="A19" s="3">
        <v>13</v>
      </c>
      <c r="B19" s="4" t="s">
        <v>433</v>
      </c>
      <c r="C19" s="4" t="s">
        <v>434</v>
      </c>
      <c r="D19" s="4" t="s">
        <v>24</v>
      </c>
      <c r="E19" s="5">
        <v>209758</v>
      </c>
      <c r="F19" s="6">
        <v>3678.526046</v>
      </c>
      <c r="G19" s="7">
        <v>2.0797432000000001E-2</v>
      </c>
      <c r="H19" s="67"/>
    </row>
    <row r="20" spans="1:8" x14ac:dyDescent="0.2">
      <c r="A20" s="3">
        <v>14</v>
      </c>
      <c r="B20" s="4" t="s">
        <v>247</v>
      </c>
      <c r="C20" s="4" t="s">
        <v>248</v>
      </c>
      <c r="D20" s="4" t="s">
        <v>1001</v>
      </c>
      <c r="E20" s="5">
        <v>667345</v>
      </c>
      <c r="F20" s="6">
        <v>3674.0678975000001</v>
      </c>
      <c r="G20" s="7">
        <v>2.0772227000000001E-2</v>
      </c>
      <c r="H20" s="67"/>
    </row>
    <row r="21" spans="1:8" x14ac:dyDescent="0.2">
      <c r="A21" s="3">
        <v>15</v>
      </c>
      <c r="B21" s="4" t="s">
        <v>160</v>
      </c>
      <c r="C21" s="4" t="s">
        <v>161</v>
      </c>
      <c r="D21" s="4" t="s">
        <v>1003</v>
      </c>
      <c r="E21" s="5">
        <v>300427</v>
      </c>
      <c r="F21" s="6">
        <v>3627.3555980000001</v>
      </c>
      <c r="G21" s="7">
        <v>2.0508128E-2</v>
      </c>
      <c r="H21" s="67"/>
    </row>
    <row r="22" spans="1:8" x14ac:dyDescent="0.2">
      <c r="A22" s="3">
        <v>16</v>
      </c>
      <c r="B22" s="4" t="s">
        <v>192</v>
      </c>
      <c r="C22" s="4" t="s">
        <v>193</v>
      </c>
      <c r="D22" s="4" t="s">
        <v>81</v>
      </c>
      <c r="E22" s="5">
        <v>609563</v>
      </c>
      <c r="F22" s="6">
        <v>3478.4712595000001</v>
      </c>
      <c r="G22" s="7">
        <v>1.9666374E-2</v>
      </c>
      <c r="H22" s="67"/>
    </row>
    <row r="23" spans="1:8" x14ac:dyDescent="0.2">
      <c r="A23" s="3">
        <v>17</v>
      </c>
      <c r="B23" s="4" t="s">
        <v>554</v>
      </c>
      <c r="C23" s="4" t="s">
        <v>555</v>
      </c>
      <c r="D23" s="4" t="s">
        <v>81</v>
      </c>
      <c r="E23" s="5">
        <v>39471</v>
      </c>
      <c r="F23" s="6">
        <v>2969.9953949999999</v>
      </c>
      <c r="G23" s="7">
        <v>1.6791583999999998E-2</v>
      </c>
      <c r="H23" s="67"/>
    </row>
    <row r="24" spans="1:8" x14ac:dyDescent="0.2">
      <c r="A24" s="3">
        <v>18</v>
      </c>
      <c r="B24" s="4" t="s">
        <v>188</v>
      </c>
      <c r="C24" s="4" t="s">
        <v>189</v>
      </c>
      <c r="D24" s="4" t="s">
        <v>166</v>
      </c>
      <c r="E24" s="5">
        <v>61347</v>
      </c>
      <c r="F24" s="6">
        <v>2919.7491180000002</v>
      </c>
      <c r="G24" s="7">
        <v>1.6507503999999999E-2</v>
      </c>
      <c r="H24" s="67"/>
    </row>
    <row r="25" spans="1:8" x14ac:dyDescent="0.2">
      <c r="A25" s="3">
        <v>19</v>
      </c>
      <c r="B25" s="4" t="s">
        <v>208</v>
      </c>
      <c r="C25" s="4" t="s">
        <v>209</v>
      </c>
      <c r="D25" s="4" t="s">
        <v>1005</v>
      </c>
      <c r="E25" s="5">
        <v>308429</v>
      </c>
      <c r="F25" s="6">
        <v>2611.9309865</v>
      </c>
      <c r="G25" s="7">
        <v>1.476718E-2</v>
      </c>
      <c r="H25" s="67"/>
    </row>
    <row r="26" spans="1:8" x14ac:dyDescent="0.2">
      <c r="A26" s="3">
        <v>20</v>
      </c>
      <c r="B26" s="4" t="s">
        <v>44</v>
      </c>
      <c r="C26" s="4" t="s">
        <v>45</v>
      </c>
      <c r="D26" s="4" t="s">
        <v>46</v>
      </c>
      <c r="E26" s="5">
        <v>298141</v>
      </c>
      <c r="F26" s="6">
        <v>2284.356342</v>
      </c>
      <c r="G26" s="7">
        <v>1.2915157999999999E-2</v>
      </c>
      <c r="H26" s="67"/>
    </row>
    <row r="27" spans="1:8" x14ac:dyDescent="0.2">
      <c r="A27" s="3">
        <v>21</v>
      </c>
      <c r="B27" s="4" t="s">
        <v>332</v>
      </c>
      <c r="C27" s="4" t="s">
        <v>333</v>
      </c>
      <c r="D27" s="4" t="s">
        <v>212</v>
      </c>
      <c r="E27" s="5">
        <v>7154</v>
      </c>
      <c r="F27" s="6">
        <v>2253.4456140000002</v>
      </c>
      <c r="G27" s="7">
        <v>1.2740397000000001E-2</v>
      </c>
      <c r="H27" s="67"/>
    </row>
    <row r="28" spans="1:8" x14ac:dyDescent="0.2">
      <c r="A28" s="3">
        <v>22</v>
      </c>
      <c r="B28" s="4" t="s">
        <v>329</v>
      </c>
      <c r="C28" s="4" t="s">
        <v>330</v>
      </c>
      <c r="D28" s="4" t="s">
        <v>331</v>
      </c>
      <c r="E28" s="5">
        <v>222388</v>
      </c>
      <c r="F28" s="6">
        <v>2239.224772</v>
      </c>
      <c r="G28" s="7">
        <v>1.2659996E-2</v>
      </c>
      <c r="H28" s="67"/>
    </row>
    <row r="29" spans="1:8" x14ac:dyDescent="0.2">
      <c r="A29" s="3">
        <v>23</v>
      </c>
      <c r="B29" s="4" t="s">
        <v>571</v>
      </c>
      <c r="C29" s="4" t="s">
        <v>572</v>
      </c>
      <c r="D29" s="4" t="s">
        <v>1001</v>
      </c>
      <c r="E29" s="5">
        <v>1358497</v>
      </c>
      <c r="F29" s="6">
        <v>2190.5764125000001</v>
      </c>
      <c r="G29" s="7">
        <v>1.2384951E-2</v>
      </c>
      <c r="H29" s="67"/>
    </row>
    <row r="30" spans="1:8" x14ac:dyDescent="0.2">
      <c r="A30" s="3">
        <v>24</v>
      </c>
      <c r="B30" s="4" t="s">
        <v>573</v>
      </c>
      <c r="C30" s="4" t="s">
        <v>574</v>
      </c>
      <c r="D30" s="4" t="s">
        <v>166</v>
      </c>
      <c r="E30" s="5">
        <v>45000</v>
      </c>
      <c r="F30" s="6">
        <v>2146.9274999999998</v>
      </c>
      <c r="G30" s="7">
        <v>1.2138171E-2</v>
      </c>
      <c r="H30" s="67"/>
    </row>
    <row r="31" spans="1:8" x14ac:dyDescent="0.2">
      <c r="A31" s="3">
        <v>25</v>
      </c>
      <c r="B31" s="4" t="s">
        <v>223</v>
      </c>
      <c r="C31" s="4" t="s">
        <v>224</v>
      </c>
      <c r="D31" s="4" t="s">
        <v>69</v>
      </c>
      <c r="E31" s="5">
        <v>237112</v>
      </c>
      <c r="F31" s="6">
        <v>2045.6837800000001</v>
      </c>
      <c r="G31" s="7">
        <v>1.1565766E-2</v>
      </c>
      <c r="H31" s="67"/>
    </row>
    <row r="32" spans="1:8" x14ac:dyDescent="0.2">
      <c r="A32" s="3">
        <v>26</v>
      </c>
      <c r="B32" s="4" t="s">
        <v>543</v>
      </c>
      <c r="C32" s="4" t="s">
        <v>544</v>
      </c>
      <c r="D32" s="4" t="s">
        <v>1003</v>
      </c>
      <c r="E32" s="5">
        <v>168338</v>
      </c>
      <c r="F32" s="6">
        <v>2012.2282829999999</v>
      </c>
      <c r="G32" s="7">
        <v>1.1376617E-2</v>
      </c>
      <c r="H32" s="67"/>
    </row>
    <row r="33" spans="1:8" x14ac:dyDescent="0.2">
      <c r="A33" s="3">
        <v>27</v>
      </c>
      <c r="B33" s="4" t="s">
        <v>225</v>
      </c>
      <c r="C33" s="4" t="s">
        <v>226</v>
      </c>
      <c r="D33" s="4" t="s">
        <v>166</v>
      </c>
      <c r="E33" s="5">
        <v>139876</v>
      </c>
      <c r="F33" s="6">
        <v>1997.009652</v>
      </c>
      <c r="G33" s="7">
        <v>1.1290575000000001E-2</v>
      </c>
      <c r="H33" s="67"/>
    </row>
    <row r="34" spans="1:8" x14ac:dyDescent="0.2">
      <c r="A34" s="3">
        <v>28</v>
      </c>
      <c r="B34" s="4" t="s">
        <v>495</v>
      </c>
      <c r="C34" s="4" t="s">
        <v>496</v>
      </c>
      <c r="D34" s="4" t="s">
        <v>55</v>
      </c>
      <c r="E34" s="5">
        <v>102611</v>
      </c>
      <c r="F34" s="6">
        <v>1971.772976</v>
      </c>
      <c r="G34" s="7">
        <v>1.1147893000000001E-2</v>
      </c>
      <c r="H34" s="67"/>
    </row>
    <row r="35" spans="1:8" x14ac:dyDescent="0.2">
      <c r="A35" s="3">
        <v>29</v>
      </c>
      <c r="B35" s="4" t="s">
        <v>575</v>
      </c>
      <c r="C35" s="4" t="s">
        <v>576</v>
      </c>
      <c r="D35" s="4" t="s">
        <v>331</v>
      </c>
      <c r="E35" s="5">
        <v>24634</v>
      </c>
      <c r="F35" s="6">
        <v>1933.3255879999999</v>
      </c>
      <c r="G35" s="7">
        <v>1.0930521E-2</v>
      </c>
      <c r="H35" s="67"/>
    </row>
    <row r="36" spans="1:8" x14ac:dyDescent="0.2">
      <c r="A36" s="3">
        <v>30</v>
      </c>
      <c r="B36" s="4" t="s">
        <v>279</v>
      </c>
      <c r="C36" s="4" t="s">
        <v>280</v>
      </c>
      <c r="D36" s="4" t="s">
        <v>1003</v>
      </c>
      <c r="E36" s="5">
        <v>122830</v>
      </c>
      <c r="F36" s="6">
        <v>1864.0066650000001</v>
      </c>
      <c r="G36" s="7">
        <v>1.053861E-2</v>
      </c>
      <c r="H36" s="67"/>
    </row>
    <row r="37" spans="1:8" x14ac:dyDescent="0.2">
      <c r="A37" s="3">
        <v>31</v>
      </c>
      <c r="B37" s="4" t="s">
        <v>454</v>
      </c>
      <c r="C37" s="4" t="s">
        <v>455</v>
      </c>
      <c r="D37" s="4" t="s">
        <v>46</v>
      </c>
      <c r="E37" s="5">
        <v>450000</v>
      </c>
      <c r="F37" s="6">
        <v>1838.7</v>
      </c>
      <c r="G37" s="7">
        <v>1.0395533E-2</v>
      </c>
      <c r="H37" s="67"/>
    </row>
    <row r="38" spans="1:8" x14ac:dyDescent="0.2">
      <c r="A38" s="3">
        <v>32</v>
      </c>
      <c r="B38" s="4" t="s">
        <v>227</v>
      </c>
      <c r="C38" s="4" t="s">
        <v>228</v>
      </c>
      <c r="D38" s="4" t="s">
        <v>229</v>
      </c>
      <c r="E38" s="5">
        <v>380798</v>
      </c>
      <c r="F38" s="6">
        <v>1822.4992279999999</v>
      </c>
      <c r="G38" s="7">
        <v>1.0303938E-2</v>
      </c>
      <c r="H38" s="67"/>
    </row>
    <row r="39" spans="1:8" x14ac:dyDescent="0.2">
      <c r="A39" s="3">
        <v>33</v>
      </c>
      <c r="B39" s="4" t="s">
        <v>177</v>
      </c>
      <c r="C39" s="4" t="s">
        <v>178</v>
      </c>
      <c r="D39" s="4" t="s">
        <v>179</v>
      </c>
      <c r="E39" s="5">
        <v>652856</v>
      </c>
      <c r="F39" s="6">
        <v>1563.5901200000001</v>
      </c>
      <c r="G39" s="7">
        <v>8.840133E-3</v>
      </c>
      <c r="H39" s="67"/>
    </row>
    <row r="40" spans="1:8" x14ac:dyDescent="0.2">
      <c r="A40" s="3">
        <v>34</v>
      </c>
      <c r="B40" s="4" t="s">
        <v>406</v>
      </c>
      <c r="C40" s="4" t="s">
        <v>407</v>
      </c>
      <c r="D40" s="4" t="s">
        <v>1002</v>
      </c>
      <c r="E40" s="5">
        <v>118818</v>
      </c>
      <c r="F40" s="6">
        <v>1416.3699690000001</v>
      </c>
      <c r="G40" s="7">
        <v>8.0077880000000001E-3</v>
      </c>
      <c r="H40" s="67"/>
    </row>
    <row r="41" spans="1:8" x14ac:dyDescent="0.2">
      <c r="A41" s="3">
        <v>35</v>
      </c>
      <c r="B41" s="4" t="s">
        <v>577</v>
      </c>
      <c r="C41" s="4" t="s">
        <v>578</v>
      </c>
      <c r="D41" s="4" t="s">
        <v>331</v>
      </c>
      <c r="E41" s="5">
        <v>22186</v>
      </c>
      <c r="F41" s="6">
        <v>1371.6161709999999</v>
      </c>
      <c r="G41" s="7">
        <v>7.7547620000000001E-3</v>
      </c>
      <c r="H41" s="67"/>
    </row>
    <row r="42" spans="1:8" x14ac:dyDescent="0.2">
      <c r="A42" s="3">
        <v>36</v>
      </c>
      <c r="B42" s="4" t="s">
        <v>374</v>
      </c>
      <c r="C42" s="4" t="s">
        <v>375</v>
      </c>
      <c r="D42" s="4" t="s">
        <v>331</v>
      </c>
      <c r="E42" s="5">
        <v>1016730</v>
      </c>
      <c r="F42" s="6">
        <v>1368.010215</v>
      </c>
      <c r="G42" s="7">
        <v>7.7343749999999999E-3</v>
      </c>
      <c r="H42" s="67"/>
    </row>
    <row r="43" spans="1:8" x14ac:dyDescent="0.2">
      <c r="A43" s="3">
        <v>37</v>
      </c>
      <c r="B43" s="4" t="s">
        <v>579</v>
      </c>
      <c r="C43" s="4" t="s">
        <v>580</v>
      </c>
      <c r="D43" s="4" t="s">
        <v>1002</v>
      </c>
      <c r="E43" s="5">
        <v>190589</v>
      </c>
      <c r="F43" s="6">
        <v>1367.9525475</v>
      </c>
      <c r="G43" s="7">
        <v>7.7340489999999998E-3</v>
      </c>
      <c r="H43" s="67"/>
    </row>
    <row r="44" spans="1:8" x14ac:dyDescent="0.2">
      <c r="A44" s="3">
        <v>38</v>
      </c>
      <c r="B44" s="4" t="s">
        <v>287</v>
      </c>
      <c r="C44" s="4" t="s">
        <v>288</v>
      </c>
      <c r="D44" s="4" t="s">
        <v>1001</v>
      </c>
      <c r="E44" s="5">
        <v>298149</v>
      </c>
      <c r="F44" s="6">
        <v>1341.8195745</v>
      </c>
      <c r="G44" s="7">
        <v>7.5862999999999998E-3</v>
      </c>
      <c r="H44" s="67"/>
    </row>
    <row r="45" spans="1:8" x14ac:dyDescent="0.2">
      <c r="A45" s="3">
        <v>39</v>
      </c>
      <c r="B45" s="4" t="s">
        <v>196</v>
      </c>
      <c r="C45" s="4" t="s">
        <v>197</v>
      </c>
      <c r="D45" s="4" t="s">
        <v>1004</v>
      </c>
      <c r="E45" s="5">
        <v>404089</v>
      </c>
      <c r="F45" s="6">
        <v>1249.6452325</v>
      </c>
      <c r="G45" s="7">
        <v>7.06517E-3</v>
      </c>
      <c r="H45" s="67"/>
    </row>
    <row r="46" spans="1:8" x14ac:dyDescent="0.2">
      <c r="A46" s="3">
        <v>40</v>
      </c>
      <c r="B46" s="4" t="s">
        <v>172</v>
      </c>
      <c r="C46" s="4" t="s">
        <v>173</v>
      </c>
      <c r="D46" s="4" t="s">
        <v>331</v>
      </c>
      <c r="E46" s="5">
        <v>130000</v>
      </c>
      <c r="F46" s="6">
        <v>1239.4849999999999</v>
      </c>
      <c r="G46" s="7">
        <v>7.0077270000000001E-3</v>
      </c>
      <c r="H46" s="67"/>
    </row>
    <row r="47" spans="1:8" x14ac:dyDescent="0.2">
      <c r="A47" s="3">
        <v>41</v>
      </c>
      <c r="B47" s="4" t="s">
        <v>257</v>
      </c>
      <c r="C47" s="4" t="s">
        <v>258</v>
      </c>
      <c r="D47" s="4" t="s">
        <v>1001</v>
      </c>
      <c r="E47" s="5">
        <v>984573</v>
      </c>
      <c r="F47" s="6">
        <v>1231.7008229999999</v>
      </c>
      <c r="G47" s="7">
        <v>6.9637170000000003E-3</v>
      </c>
      <c r="H47" s="67"/>
    </row>
    <row r="48" spans="1:8" ht="25.5" x14ac:dyDescent="0.2">
      <c r="A48" s="3">
        <v>42</v>
      </c>
      <c r="B48" s="4" t="s">
        <v>435</v>
      </c>
      <c r="C48" s="4" t="s">
        <v>436</v>
      </c>
      <c r="D48" s="4" t="s">
        <v>1002</v>
      </c>
      <c r="E48" s="5">
        <v>60976</v>
      </c>
      <c r="F48" s="6">
        <v>972.32329600000003</v>
      </c>
      <c r="G48" s="7">
        <v>5.497264E-3</v>
      </c>
      <c r="H48" s="67"/>
    </row>
    <row r="49" spans="1:8" x14ac:dyDescent="0.2">
      <c r="A49" s="3">
        <v>43</v>
      </c>
      <c r="B49" s="4" t="s">
        <v>255</v>
      </c>
      <c r="C49" s="4" t="s">
        <v>256</v>
      </c>
      <c r="D49" s="4" t="s">
        <v>331</v>
      </c>
      <c r="E49" s="5">
        <v>65231</v>
      </c>
      <c r="F49" s="6">
        <v>970.963435</v>
      </c>
      <c r="G49" s="7">
        <v>5.489575E-3</v>
      </c>
      <c r="H49" s="67"/>
    </row>
    <row r="50" spans="1:8" x14ac:dyDescent="0.2">
      <c r="A50" s="3">
        <v>44</v>
      </c>
      <c r="B50" s="4" t="s">
        <v>581</v>
      </c>
      <c r="C50" s="4" t="s">
        <v>582</v>
      </c>
      <c r="D50" s="4" t="s">
        <v>331</v>
      </c>
      <c r="E50" s="5">
        <v>22461</v>
      </c>
      <c r="F50" s="6">
        <v>888.28762800000004</v>
      </c>
      <c r="G50" s="7">
        <v>5.0221479999999997E-3</v>
      </c>
      <c r="H50" s="67"/>
    </row>
    <row r="51" spans="1:8" x14ac:dyDescent="0.2">
      <c r="A51" s="3">
        <v>45</v>
      </c>
      <c r="B51" s="4" t="s">
        <v>583</v>
      </c>
      <c r="C51" s="4" t="s">
        <v>584</v>
      </c>
      <c r="D51" s="4" t="s">
        <v>179</v>
      </c>
      <c r="E51" s="5">
        <v>30137</v>
      </c>
      <c r="F51" s="6">
        <v>850.93326349999995</v>
      </c>
      <c r="G51" s="7">
        <v>4.8109559999999999E-3</v>
      </c>
      <c r="H51" s="67"/>
    </row>
    <row r="52" spans="1:8" x14ac:dyDescent="0.2">
      <c r="A52" s="3">
        <v>46</v>
      </c>
      <c r="B52" s="4" t="s">
        <v>533</v>
      </c>
      <c r="C52" s="4" t="s">
        <v>534</v>
      </c>
      <c r="D52" s="4" t="s">
        <v>1001</v>
      </c>
      <c r="E52" s="5">
        <v>2164038</v>
      </c>
      <c r="F52" s="6">
        <v>835.318668</v>
      </c>
      <c r="G52" s="7">
        <v>4.722675E-3</v>
      </c>
      <c r="H52" s="67"/>
    </row>
    <row r="53" spans="1:8" x14ac:dyDescent="0.2">
      <c r="A53" s="3">
        <v>47</v>
      </c>
      <c r="B53" s="4" t="s">
        <v>298</v>
      </c>
      <c r="C53" s="4" t="s">
        <v>299</v>
      </c>
      <c r="D53" s="4" t="s">
        <v>1001</v>
      </c>
      <c r="E53" s="5">
        <v>2402077</v>
      </c>
      <c r="F53" s="6">
        <v>831.11864200000002</v>
      </c>
      <c r="G53" s="7">
        <v>4.6989290000000001E-3</v>
      </c>
      <c r="H53" s="67"/>
    </row>
    <row r="54" spans="1:8" x14ac:dyDescent="0.2">
      <c r="A54" s="3">
        <v>48</v>
      </c>
      <c r="B54" s="4" t="s">
        <v>535</v>
      </c>
      <c r="C54" s="4" t="s">
        <v>536</v>
      </c>
      <c r="D54" s="4" t="s">
        <v>1003</v>
      </c>
      <c r="E54" s="5">
        <v>16329</v>
      </c>
      <c r="F54" s="6">
        <v>623.23710749999998</v>
      </c>
      <c r="G54" s="7">
        <v>3.5236209999999998E-3</v>
      </c>
      <c r="H54" s="67"/>
    </row>
    <row r="55" spans="1:8" x14ac:dyDescent="0.2">
      <c r="A55" s="1"/>
      <c r="B55" s="1"/>
      <c r="C55" s="2" t="s">
        <v>105</v>
      </c>
      <c r="D55" s="1"/>
      <c r="E55" s="1" t="s">
        <v>106</v>
      </c>
      <c r="F55" s="9">
        <v>160126.42628049999</v>
      </c>
      <c r="G55" s="10">
        <v>0.905313284</v>
      </c>
      <c r="H55" s="67"/>
    </row>
    <row r="56" spans="1:8" x14ac:dyDescent="0.2">
      <c r="A56" s="1"/>
      <c r="B56" s="1"/>
      <c r="C56" s="11"/>
      <c r="D56" s="1"/>
      <c r="E56" s="1"/>
      <c r="F56" s="12"/>
      <c r="G56" s="12"/>
      <c r="H56" s="67"/>
    </row>
    <row r="57" spans="1:8" x14ac:dyDescent="0.2">
      <c r="A57" s="1"/>
      <c r="B57" s="1"/>
      <c r="C57" s="2" t="s">
        <v>107</v>
      </c>
      <c r="D57" s="1"/>
      <c r="E57" s="1"/>
      <c r="F57" s="1"/>
      <c r="G57" s="1"/>
      <c r="H57" s="67"/>
    </row>
    <row r="58" spans="1:8" x14ac:dyDescent="0.2">
      <c r="A58" s="3">
        <v>1</v>
      </c>
      <c r="B58" s="4" t="s">
        <v>585</v>
      </c>
      <c r="C58" s="4" t="s">
        <v>586</v>
      </c>
      <c r="D58" s="4"/>
      <c r="E58" s="5">
        <v>32872</v>
      </c>
      <c r="F58" s="6">
        <v>611.75698741199994</v>
      </c>
      <c r="G58" s="7">
        <v>3.4587149999999998E-3</v>
      </c>
      <c r="H58" s="67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9">
        <v>611.75698741199994</v>
      </c>
      <c r="G59" s="10">
        <v>3.4587149999999998E-3</v>
      </c>
      <c r="H59" s="67"/>
    </row>
    <row r="60" spans="1:8" x14ac:dyDescent="0.2">
      <c r="A60" s="1"/>
      <c r="B60" s="1"/>
      <c r="C60" s="11"/>
      <c r="D60" s="1"/>
      <c r="E60" s="1"/>
      <c r="F60" s="12"/>
      <c r="G60" s="12"/>
      <c r="H60" s="67"/>
    </row>
    <row r="61" spans="1:8" x14ac:dyDescent="0.2">
      <c r="A61" s="1"/>
      <c r="B61" s="1"/>
      <c r="C61" s="2" t="s">
        <v>108</v>
      </c>
      <c r="D61" s="1"/>
      <c r="E61" s="1"/>
      <c r="F61" s="1"/>
      <c r="G61" s="1"/>
      <c r="H61" s="67"/>
    </row>
    <row r="62" spans="1:8" x14ac:dyDescent="0.2">
      <c r="A62" s="1"/>
      <c r="B62" s="1"/>
      <c r="C62" s="2" t="s">
        <v>105</v>
      </c>
      <c r="D62" s="1"/>
      <c r="E62" s="1" t="s">
        <v>106</v>
      </c>
      <c r="F62" s="13">
        <v>0</v>
      </c>
      <c r="G62" s="14">
        <v>0</v>
      </c>
      <c r="H62" s="67"/>
    </row>
    <row r="63" spans="1:8" x14ac:dyDescent="0.2">
      <c r="A63" s="1"/>
      <c r="B63" s="1"/>
      <c r="C63" s="11"/>
      <c r="D63" s="1"/>
      <c r="E63" s="1"/>
      <c r="F63" s="12"/>
      <c r="G63" s="12"/>
      <c r="H63" s="67"/>
    </row>
    <row r="64" spans="1:8" x14ac:dyDescent="0.2">
      <c r="A64" s="1"/>
      <c r="B64" s="1"/>
      <c r="C64" s="2" t="s">
        <v>109</v>
      </c>
      <c r="D64" s="1"/>
      <c r="E64" s="1"/>
      <c r="F64" s="1"/>
      <c r="G64" s="1"/>
      <c r="H64" s="67"/>
    </row>
    <row r="65" spans="1:8" x14ac:dyDescent="0.2">
      <c r="A65" s="1"/>
      <c r="B65" s="1"/>
      <c r="C65" s="2" t="s">
        <v>105</v>
      </c>
      <c r="D65" s="1"/>
      <c r="E65" s="1" t="s">
        <v>106</v>
      </c>
      <c r="F65" s="13">
        <v>0</v>
      </c>
      <c r="G65" s="14">
        <v>0</v>
      </c>
      <c r="H65" s="67"/>
    </row>
    <row r="66" spans="1:8" x14ac:dyDescent="0.2">
      <c r="A66" s="1"/>
      <c r="B66" s="1"/>
      <c r="C66" s="11"/>
      <c r="D66" s="1"/>
      <c r="E66" s="1"/>
      <c r="F66" s="12"/>
      <c r="G66" s="12"/>
      <c r="H66" s="67"/>
    </row>
    <row r="67" spans="1:8" x14ac:dyDescent="0.2">
      <c r="A67" s="1"/>
      <c r="B67" s="1"/>
      <c r="C67" s="2" t="s">
        <v>110</v>
      </c>
      <c r="D67" s="1"/>
      <c r="E67" s="1"/>
      <c r="F67" s="12"/>
      <c r="G67" s="12"/>
      <c r="H67" s="67"/>
    </row>
    <row r="68" spans="1:8" x14ac:dyDescent="0.2">
      <c r="A68" s="1"/>
      <c r="B68" s="1"/>
      <c r="C68" s="2" t="s">
        <v>105</v>
      </c>
      <c r="D68" s="1"/>
      <c r="E68" s="1" t="s">
        <v>106</v>
      </c>
      <c r="F68" s="13">
        <v>0</v>
      </c>
      <c r="G68" s="14">
        <v>0</v>
      </c>
      <c r="H68" s="67"/>
    </row>
    <row r="69" spans="1:8" x14ac:dyDescent="0.2">
      <c r="A69" s="1"/>
      <c r="B69" s="1"/>
      <c r="C69" s="11"/>
      <c r="D69" s="1"/>
      <c r="E69" s="1"/>
      <c r="F69" s="12"/>
      <c r="G69" s="12"/>
      <c r="H69" s="67"/>
    </row>
    <row r="70" spans="1:8" x14ac:dyDescent="0.2">
      <c r="A70" s="1"/>
      <c r="B70" s="1"/>
      <c r="C70" s="2" t="s">
        <v>111</v>
      </c>
      <c r="D70" s="1"/>
      <c r="E70" s="1"/>
      <c r="F70" s="12"/>
      <c r="G70" s="12"/>
      <c r="H70" s="67"/>
    </row>
    <row r="71" spans="1:8" x14ac:dyDescent="0.2">
      <c r="A71" s="1"/>
      <c r="B71" s="1"/>
      <c r="C71" s="2" t="s">
        <v>105</v>
      </c>
      <c r="D71" s="1"/>
      <c r="E71" s="1" t="s">
        <v>106</v>
      </c>
      <c r="F71" s="13">
        <v>0</v>
      </c>
      <c r="G71" s="14">
        <v>0</v>
      </c>
      <c r="H71" s="67"/>
    </row>
    <row r="72" spans="1:8" x14ac:dyDescent="0.2">
      <c r="A72" s="1"/>
      <c r="B72" s="1"/>
      <c r="C72" s="11"/>
      <c r="D72" s="1"/>
      <c r="E72" s="1"/>
      <c r="F72" s="12"/>
      <c r="G72" s="12"/>
      <c r="H72" s="67"/>
    </row>
    <row r="73" spans="1:8" x14ac:dyDescent="0.2">
      <c r="A73" s="1"/>
      <c r="B73" s="1"/>
      <c r="C73" s="2" t="s">
        <v>112</v>
      </c>
      <c r="D73" s="1"/>
      <c r="E73" s="1"/>
      <c r="F73" s="9">
        <v>160738.18326791201</v>
      </c>
      <c r="G73" s="10">
        <v>0.90877199900000005</v>
      </c>
      <c r="H73" s="67"/>
    </row>
    <row r="74" spans="1:8" x14ac:dyDescent="0.2">
      <c r="A74" s="1"/>
      <c r="B74" s="1"/>
      <c r="C74" s="11"/>
      <c r="D74" s="1"/>
      <c r="E74" s="1"/>
      <c r="F74" s="12"/>
      <c r="G74" s="12"/>
      <c r="H74" s="67"/>
    </row>
    <row r="75" spans="1:8" x14ac:dyDescent="0.2">
      <c r="A75" s="1"/>
      <c r="B75" s="1"/>
      <c r="C75" s="2" t="s">
        <v>113</v>
      </c>
      <c r="D75" s="1"/>
      <c r="E75" s="1"/>
      <c r="F75" s="12"/>
      <c r="G75" s="12"/>
      <c r="H75" s="67"/>
    </row>
    <row r="76" spans="1:8" ht="25.5" x14ac:dyDescent="0.2">
      <c r="A76" s="1"/>
      <c r="B76" s="1"/>
      <c r="C76" s="2" t="s">
        <v>10</v>
      </c>
      <c r="D76" s="1"/>
      <c r="E76" s="1"/>
      <c r="F76" s="12"/>
      <c r="G76" s="12"/>
      <c r="H76" s="67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7"/>
    </row>
    <row r="78" spans="1:8" x14ac:dyDescent="0.2">
      <c r="A78" s="1"/>
      <c r="B78" s="1"/>
      <c r="C78" s="11"/>
      <c r="D78" s="1"/>
      <c r="E78" s="1"/>
      <c r="F78" s="12"/>
      <c r="G78" s="12"/>
      <c r="H78" s="67"/>
    </row>
    <row r="79" spans="1:8" x14ac:dyDescent="0.2">
      <c r="A79" s="1"/>
      <c r="B79" s="1"/>
      <c r="C79" s="2" t="s">
        <v>114</v>
      </c>
      <c r="D79" s="1"/>
      <c r="E79" s="1"/>
      <c r="F79" s="1"/>
      <c r="G79" s="1"/>
      <c r="H79" s="67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7"/>
    </row>
    <row r="81" spans="1:8" x14ac:dyDescent="0.2">
      <c r="A81" s="1"/>
      <c r="B81" s="1"/>
      <c r="C81" s="11"/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115</v>
      </c>
      <c r="D82" s="1"/>
      <c r="E82" s="1"/>
      <c r="F82" s="1"/>
      <c r="G82" s="1"/>
      <c r="H82" s="67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7"/>
    </row>
    <row r="84" spans="1:8" x14ac:dyDescent="0.2">
      <c r="A84" s="1"/>
      <c r="B84" s="1"/>
      <c r="C84" s="11"/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116</v>
      </c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7"/>
    </row>
    <row r="87" spans="1:8" x14ac:dyDescent="0.2">
      <c r="A87" s="1"/>
      <c r="B87" s="1"/>
      <c r="C87" s="11"/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117</v>
      </c>
      <c r="D88" s="1"/>
      <c r="E88" s="1"/>
      <c r="F88" s="9">
        <v>0</v>
      </c>
      <c r="G88" s="10">
        <v>0</v>
      </c>
      <c r="H88" s="67"/>
    </row>
    <row r="89" spans="1:8" x14ac:dyDescent="0.2">
      <c r="A89" s="1"/>
      <c r="B89" s="1"/>
      <c r="C89" s="11"/>
      <c r="D89" s="1"/>
      <c r="E89" s="1"/>
      <c r="F89" s="12"/>
      <c r="G89" s="12"/>
      <c r="H89" s="67"/>
    </row>
    <row r="90" spans="1:8" x14ac:dyDescent="0.2">
      <c r="A90" s="1"/>
      <c r="B90" s="1"/>
      <c r="C90" s="2" t="s">
        <v>118</v>
      </c>
      <c r="D90" s="1"/>
      <c r="E90" s="1"/>
      <c r="F90" s="12"/>
      <c r="G90" s="12"/>
      <c r="H90" s="67"/>
    </row>
    <row r="91" spans="1:8" x14ac:dyDescent="0.2">
      <c r="A91" s="1"/>
      <c r="B91" s="1"/>
      <c r="C91" s="2" t="s">
        <v>119</v>
      </c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7"/>
    </row>
    <row r="93" spans="1:8" x14ac:dyDescent="0.2">
      <c r="A93" s="1"/>
      <c r="B93" s="1"/>
      <c r="C93" s="11"/>
      <c r="D93" s="1"/>
      <c r="E93" s="1"/>
      <c r="F93" s="12"/>
      <c r="G93" s="12"/>
      <c r="H93" s="67"/>
    </row>
    <row r="94" spans="1:8" x14ac:dyDescent="0.2">
      <c r="A94" s="1"/>
      <c r="B94" s="1"/>
      <c r="C94" s="2" t="s">
        <v>120</v>
      </c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7"/>
    </row>
    <row r="96" spans="1:8" x14ac:dyDescent="0.2">
      <c r="A96" s="1"/>
      <c r="B96" s="1"/>
      <c r="C96" s="11"/>
      <c r="D96" s="1"/>
      <c r="E96" s="1"/>
      <c r="F96" s="12"/>
      <c r="G96" s="12"/>
      <c r="H96" s="67"/>
    </row>
    <row r="97" spans="1:8" x14ac:dyDescent="0.2">
      <c r="A97" s="1"/>
      <c r="B97" s="1"/>
      <c r="C97" s="2" t="s">
        <v>121</v>
      </c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7"/>
    </row>
    <row r="99" spans="1:8" x14ac:dyDescent="0.2">
      <c r="A99" s="1"/>
      <c r="B99" s="1"/>
      <c r="C99" s="11"/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122</v>
      </c>
      <c r="D100" s="1"/>
      <c r="E100" s="1"/>
      <c r="F100" s="12"/>
      <c r="G100" s="12"/>
      <c r="H100" s="67"/>
    </row>
    <row r="101" spans="1:8" x14ac:dyDescent="0.2">
      <c r="A101" s="3">
        <v>1</v>
      </c>
      <c r="B101" s="4"/>
      <c r="C101" s="4" t="s">
        <v>123</v>
      </c>
      <c r="D101" s="4"/>
      <c r="E101" s="8"/>
      <c r="F101" s="6">
        <v>20258.011726799999</v>
      </c>
      <c r="G101" s="7">
        <v>0.114533544</v>
      </c>
      <c r="H101" s="67">
        <v>3.1047477660654299</v>
      </c>
    </row>
    <row r="102" spans="1:8" x14ac:dyDescent="0.2">
      <c r="A102" s="1"/>
      <c r="B102" s="1"/>
      <c r="C102" s="2" t="s">
        <v>105</v>
      </c>
      <c r="D102" s="1"/>
      <c r="E102" s="1" t="s">
        <v>106</v>
      </c>
      <c r="F102" s="9">
        <v>20258.011726799999</v>
      </c>
      <c r="G102" s="10">
        <v>0.114533544</v>
      </c>
      <c r="H102" s="67"/>
    </row>
    <row r="103" spans="1:8" x14ac:dyDescent="0.2">
      <c r="A103" s="1"/>
      <c r="B103" s="1"/>
      <c r="C103" s="11"/>
      <c r="D103" s="1"/>
      <c r="E103" s="1"/>
      <c r="F103" s="12"/>
      <c r="G103" s="12"/>
      <c r="H103" s="67"/>
    </row>
    <row r="104" spans="1:8" x14ac:dyDescent="0.2">
      <c r="A104" s="1"/>
      <c r="B104" s="1"/>
      <c r="C104" s="2" t="s">
        <v>124</v>
      </c>
      <c r="D104" s="1"/>
      <c r="E104" s="1"/>
      <c r="F104" s="9">
        <v>20258.011726799999</v>
      </c>
      <c r="G104" s="10">
        <v>0.114533544</v>
      </c>
      <c r="H104" s="67"/>
    </row>
    <row r="105" spans="1:8" x14ac:dyDescent="0.2">
      <c r="A105" s="1"/>
      <c r="B105" s="1"/>
      <c r="C105" s="12"/>
      <c r="D105" s="1"/>
      <c r="E105" s="1"/>
      <c r="F105" s="1"/>
      <c r="G105" s="1"/>
      <c r="H105" s="67"/>
    </row>
    <row r="106" spans="1:8" x14ac:dyDescent="0.2">
      <c r="A106" s="1"/>
      <c r="B106" s="1"/>
      <c r="C106" s="2" t="s">
        <v>125</v>
      </c>
      <c r="D106" s="1"/>
      <c r="E106" s="1"/>
      <c r="F106" s="1"/>
      <c r="G106" s="1"/>
      <c r="H106" s="67"/>
    </row>
    <row r="107" spans="1:8" x14ac:dyDescent="0.2">
      <c r="A107" s="1"/>
      <c r="B107" s="1"/>
      <c r="C107" s="2" t="s">
        <v>126</v>
      </c>
      <c r="D107" s="1"/>
      <c r="E107" s="1"/>
      <c r="F107" s="1"/>
      <c r="G107" s="1"/>
      <c r="H107" s="67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">
        <v>0</v>
      </c>
      <c r="H108" s="67"/>
    </row>
    <row r="109" spans="1:8" x14ac:dyDescent="0.2">
      <c r="A109" s="1"/>
      <c r="B109" s="1"/>
      <c r="C109" s="11"/>
      <c r="D109" s="1"/>
      <c r="E109" s="1"/>
      <c r="F109" s="12"/>
      <c r="G109" s="12"/>
      <c r="H109" s="67"/>
    </row>
    <row r="110" spans="1:8" x14ac:dyDescent="0.2">
      <c r="A110" s="1"/>
      <c r="B110" s="1"/>
      <c r="C110" s="2" t="s">
        <v>127</v>
      </c>
      <c r="D110" s="1"/>
      <c r="E110" s="1"/>
      <c r="F110" s="1"/>
      <c r="G110" s="1"/>
      <c r="H110" s="67"/>
    </row>
    <row r="111" spans="1:8" x14ac:dyDescent="0.2">
      <c r="A111" s="1"/>
      <c r="B111" s="1"/>
      <c r="C111" s="2" t="s">
        <v>128</v>
      </c>
      <c r="D111" s="1"/>
      <c r="E111" s="1"/>
      <c r="F111" s="1"/>
      <c r="G111" s="1"/>
      <c r="H111" s="67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">
        <v>0</v>
      </c>
      <c r="H112" s="67"/>
    </row>
    <row r="113" spans="1:8" x14ac:dyDescent="0.2">
      <c r="A113" s="1"/>
      <c r="B113" s="1"/>
      <c r="C113" s="11"/>
      <c r="D113" s="1"/>
      <c r="E113" s="1"/>
      <c r="F113" s="12"/>
      <c r="G113" s="12"/>
      <c r="H113" s="67"/>
    </row>
    <row r="114" spans="1:8" x14ac:dyDescent="0.2">
      <c r="A114" s="1"/>
      <c r="B114" s="1"/>
      <c r="C114" s="11"/>
      <c r="D114" s="1"/>
      <c r="E114" s="1"/>
      <c r="F114" s="12"/>
      <c r="G114" s="12"/>
      <c r="H114" s="67"/>
    </row>
    <row r="115" spans="1:8" ht="25.5" x14ac:dyDescent="0.2">
      <c r="A115" s="1"/>
      <c r="B115" s="1"/>
      <c r="C115" s="2" t="s">
        <v>129</v>
      </c>
      <c r="D115" s="1"/>
      <c r="E115" s="1"/>
      <c r="F115" s="12"/>
      <c r="G115" s="12"/>
      <c r="H115" s="67"/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13">
        <v>0</v>
      </c>
      <c r="G116" s="14">
        <v>0</v>
      </c>
      <c r="H116" s="67"/>
    </row>
    <row r="117" spans="1:8" x14ac:dyDescent="0.2">
      <c r="A117" s="1"/>
      <c r="B117" s="1"/>
      <c r="C117" s="11"/>
      <c r="D117" s="1"/>
      <c r="E117" s="1"/>
      <c r="F117" s="12"/>
      <c r="G117" s="12"/>
      <c r="H117" s="67"/>
    </row>
    <row r="118" spans="1:8" x14ac:dyDescent="0.2">
      <c r="A118" s="1"/>
      <c r="B118" s="4"/>
      <c r="C118" s="4"/>
      <c r="D118" s="2"/>
      <c r="E118" s="1"/>
      <c r="F118" s="4"/>
      <c r="G118" s="8"/>
      <c r="H118" s="67"/>
    </row>
    <row r="119" spans="1:8" x14ac:dyDescent="0.2">
      <c r="A119" s="8"/>
      <c r="B119" s="4"/>
      <c r="C119" s="4" t="s">
        <v>130</v>
      </c>
      <c r="D119" s="4"/>
      <c r="E119" s="8"/>
      <c r="F119" s="6">
        <v>-4122.1461809100001</v>
      </c>
      <c r="G119" s="7">
        <v>-2.3305545E-2</v>
      </c>
      <c r="H119" s="67"/>
    </row>
    <row r="120" spans="1:8" x14ac:dyDescent="0.2">
      <c r="A120" s="11"/>
      <c r="B120" s="11"/>
      <c r="C120" s="2" t="s">
        <v>131</v>
      </c>
      <c r="D120" s="15"/>
      <c r="E120" s="15"/>
      <c r="F120" s="9">
        <v>176874.04881380202</v>
      </c>
      <c r="G120" s="10">
        <v>0.99999999800000006</v>
      </c>
      <c r="H120" s="67"/>
    </row>
    <row r="121" spans="1:8" ht="14.1" customHeight="1" x14ac:dyDescent="0.2">
      <c r="A121" s="16"/>
      <c r="B121" s="16"/>
      <c r="C121" s="16"/>
      <c r="D121" s="17"/>
      <c r="E121" s="17"/>
      <c r="F121" s="17"/>
      <c r="G121" s="17"/>
    </row>
    <row r="122" spans="1:8" ht="14.1" customHeight="1" x14ac:dyDescent="0.2">
      <c r="A122" s="18"/>
      <c r="B122" s="170" t="s">
        <v>106</v>
      </c>
      <c r="C122" s="170"/>
      <c r="D122" s="170"/>
      <c r="E122" s="170"/>
      <c r="F122" s="170"/>
      <c r="G122" s="20"/>
    </row>
    <row r="123" spans="1:8" ht="14.1" customHeight="1" x14ac:dyDescent="0.2">
      <c r="A123" s="18"/>
      <c r="B123" s="170" t="s">
        <v>106</v>
      </c>
      <c r="C123" s="170"/>
      <c r="D123" s="170"/>
      <c r="E123" s="170"/>
      <c r="F123" s="170"/>
      <c r="G123" s="20"/>
    </row>
    <row r="124" spans="1:8" ht="14.1" customHeight="1" x14ac:dyDescent="0.2">
      <c r="A124" s="18"/>
      <c r="B124" s="18"/>
      <c r="C124" s="18"/>
      <c r="D124" s="20"/>
      <c r="E124" s="20"/>
      <c r="F124" s="20"/>
      <c r="G124" s="20"/>
    </row>
    <row r="125" spans="1:8" ht="14.1" customHeight="1" x14ac:dyDescent="0.2">
      <c r="A125" s="18"/>
      <c r="B125" s="168" t="s">
        <v>133</v>
      </c>
      <c r="C125" s="169"/>
      <c r="D125" s="12" t="s">
        <v>106</v>
      </c>
      <c r="E125" s="21"/>
      <c r="F125" s="20"/>
      <c r="G125" s="20"/>
    </row>
    <row r="126" spans="1:8" ht="29.1" customHeight="1" x14ac:dyDescent="0.2">
      <c r="A126" s="18"/>
      <c r="B126" s="165" t="s">
        <v>134</v>
      </c>
      <c r="C126" s="166"/>
      <c r="D126" s="2" t="s">
        <v>135</v>
      </c>
      <c r="E126" s="21"/>
      <c r="F126" s="20"/>
      <c r="G126" s="20"/>
    </row>
    <row r="127" spans="1:8" ht="17.100000000000001" customHeight="1" x14ac:dyDescent="0.2">
      <c r="A127" s="18"/>
      <c r="B127" s="165" t="s">
        <v>136</v>
      </c>
      <c r="C127" s="166"/>
      <c r="D127" s="2" t="s">
        <v>135</v>
      </c>
      <c r="E127" s="21"/>
      <c r="F127" s="20"/>
      <c r="G127" s="20"/>
    </row>
    <row r="128" spans="1:8" ht="17.100000000000001" customHeight="1" x14ac:dyDescent="0.2">
      <c r="A128" s="18"/>
      <c r="B128" s="165" t="s">
        <v>137</v>
      </c>
      <c r="C128" s="166"/>
      <c r="D128" s="12" t="s">
        <v>106</v>
      </c>
      <c r="E128" s="21"/>
      <c r="F128" s="20"/>
      <c r="G128" s="20"/>
    </row>
    <row r="129" spans="1:7" ht="24" customHeight="1" x14ac:dyDescent="0.2">
      <c r="A129" s="22"/>
      <c r="B129" s="23" t="s">
        <v>106</v>
      </c>
      <c r="C129" s="23" t="s">
        <v>138</v>
      </c>
      <c r="D129" s="23" t="s">
        <v>139</v>
      </c>
      <c r="E129" s="22"/>
      <c r="F129" s="22"/>
      <c r="G129" s="22"/>
    </row>
    <row r="130" spans="1:7" ht="18" customHeight="1" x14ac:dyDescent="0.2">
      <c r="A130" s="22"/>
      <c r="B130" s="23" t="s">
        <v>140</v>
      </c>
      <c r="C130" s="23" t="s">
        <v>141</v>
      </c>
      <c r="D130" s="23" t="s">
        <v>142</v>
      </c>
      <c r="E130" s="22"/>
      <c r="F130" s="22"/>
      <c r="G130" s="22"/>
    </row>
    <row r="131" spans="1:7" ht="17.100000000000001" customHeight="1" x14ac:dyDescent="0.2">
      <c r="A131" s="22"/>
      <c r="B131" s="4" t="s">
        <v>143</v>
      </c>
      <c r="C131" s="24">
        <v>19.2319</v>
      </c>
      <c r="D131" s="24">
        <v>20.550599999999999</v>
      </c>
      <c r="E131" s="22"/>
      <c r="F131" s="19"/>
      <c r="G131" s="25"/>
    </row>
    <row r="132" spans="1:7" ht="17.100000000000001" customHeight="1" x14ac:dyDescent="0.2">
      <c r="A132" s="22"/>
      <c r="B132" s="4" t="s">
        <v>988</v>
      </c>
      <c r="C132" s="24">
        <v>16.3902</v>
      </c>
      <c r="D132" s="24">
        <v>17.513999999999999</v>
      </c>
      <c r="E132" s="22"/>
      <c r="F132" s="19"/>
      <c r="G132" s="25"/>
    </row>
    <row r="133" spans="1:7" ht="17.100000000000001" customHeight="1" x14ac:dyDescent="0.2">
      <c r="A133" s="22"/>
      <c r="B133" s="4" t="s">
        <v>144</v>
      </c>
      <c r="C133" s="24">
        <v>18.675799999999999</v>
      </c>
      <c r="D133" s="24">
        <v>19.933299999999999</v>
      </c>
      <c r="E133" s="22"/>
      <c r="F133" s="19"/>
      <c r="G133" s="25"/>
    </row>
    <row r="134" spans="1:7" ht="17.100000000000001" customHeight="1" x14ac:dyDescent="0.2">
      <c r="A134" s="22"/>
      <c r="B134" s="4" t="s">
        <v>989</v>
      </c>
      <c r="C134" s="24">
        <v>15.9016</v>
      </c>
      <c r="D134" s="24">
        <v>16.9724</v>
      </c>
      <c r="E134" s="22"/>
      <c r="F134" s="19"/>
      <c r="G134" s="25"/>
    </row>
    <row r="135" spans="1:7" ht="14.1" customHeight="1" x14ac:dyDescent="0.2">
      <c r="A135" s="22"/>
      <c r="B135" s="22"/>
      <c r="C135" s="22"/>
      <c r="D135" s="22"/>
      <c r="E135" s="22"/>
      <c r="F135" s="22"/>
      <c r="G135" s="22"/>
    </row>
    <row r="136" spans="1:7" ht="17.100000000000001" customHeight="1" x14ac:dyDescent="0.2">
      <c r="A136" s="22"/>
      <c r="B136" s="165" t="s">
        <v>990</v>
      </c>
      <c r="C136" s="166"/>
      <c r="D136" s="2" t="s">
        <v>135</v>
      </c>
      <c r="E136" s="22"/>
      <c r="F136" s="22"/>
      <c r="G136" s="22"/>
    </row>
    <row r="137" spans="1:7" ht="18" customHeight="1" x14ac:dyDescent="0.2">
      <c r="A137" s="22"/>
      <c r="B137" s="26" t="s">
        <v>145</v>
      </c>
      <c r="C137" s="26" t="s">
        <v>145</v>
      </c>
      <c r="D137" s="26"/>
      <c r="E137" s="22"/>
      <c r="F137" s="22"/>
      <c r="G137" s="22"/>
    </row>
    <row r="138" spans="1:7" s="158" customFormat="1" x14ac:dyDescent="0.2">
      <c r="B138" s="167" t="s">
        <v>822</v>
      </c>
      <c r="C138" s="167"/>
      <c r="D138" s="167"/>
      <c r="E138" s="167"/>
      <c r="F138" s="167"/>
    </row>
    <row r="139" spans="1:7" ht="14.1" customHeight="1" x14ac:dyDescent="0.2">
      <c r="A139" s="22"/>
      <c r="B139" s="19"/>
      <c r="C139" s="19"/>
      <c r="D139" s="22"/>
      <c r="E139" s="22"/>
      <c r="F139" s="22"/>
      <c r="G139" s="22"/>
    </row>
    <row r="140" spans="1:7" ht="29.1" customHeight="1" x14ac:dyDescent="0.2">
      <c r="A140" s="22"/>
      <c r="B140" s="165" t="s">
        <v>146</v>
      </c>
      <c r="C140" s="166"/>
      <c r="D140" s="2" t="s">
        <v>135</v>
      </c>
      <c r="E140" s="22"/>
      <c r="F140" s="22"/>
      <c r="G140" s="22"/>
    </row>
    <row r="141" spans="1:7" ht="29.1" customHeight="1" x14ac:dyDescent="0.2">
      <c r="A141" s="22"/>
      <c r="B141" s="165" t="s">
        <v>147</v>
      </c>
      <c r="C141" s="166"/>
      <c r="D141" s="2" t="s">
        <v>1010</v>
      </c>
      <c r="E141" s="22"/>
      <c r="F141" s="22"/>
      <c r="G141" s="22"/>
    </row>
    <row r="142" spans="1:7" ht="17.100000000000001" customHeight="1" x14ac:dyDescent="0.2">
      <c r="A142" s="22"/>
      <c r="B142" s="165" t="s">
        <v>148</v>
      </c>
      <c r="C142" s="166"/>
      <c r="D142" s="27">
        <v>0.45712030278510912</v>
      </c>
      <c r="E142" s="22"/>
      <c r="F142" s="19"/>
      <c r="G142" s="25"/>
    </row>
    <row r="143" spans="1:7" ht="17.100000000000001" customHeight="1" x14ac:dyDescent="0.2">
      <c r="A143" s="22"/>
      <c r="B143" s="165" t="s">
        <v>149</v>
      </c>
      <c r="C143" s="166"/>
      <c r="D143" s="2" t="s">
        <v>135</v>
      </c>
      <c r="E143" s="22"/>
      <c r="F143" s="22"/>
      <c r="G143" s="22"/>
    </row>
  </sheetData>
  <mergeCells count="15">
    <mergeCell ref="B125:C125"/>
    <mergeCell ref="B122:F122"/>
    <mergeCell ref="B123:F123"/>
    <mergeCell ref="A1:H1"/>
    <mergeCell ref="A2:H2"/>
    <mergeCell ref="A3:H3"/>
    <mergeCell ref="B142:C142"/>
    <mergeCell ref="B143:C143"/>
    <mergeCell ref="B126:C126"/>
    <mergeCell ref="B127:C127"/>
    <mergeCell ref="B128:C128"/>
    <mergeCell ref="B136:C136"/>
    <mergeCell ref="B140:C140"/>
    <mergeCell ref="B141:C141"/>
    <mergeCell ref="B138:F138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H19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587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303</v>
      </c>
      <c r="C7" s="4" t="s">
        <v>304</v>
      </c>
      <c r="D7" s="4" t="s">
        <v>179</v>
      </c>
      <c r="E7" s="5">
        <v>942</v>
      </c>
      <c r="F7" s="6">
        <v>46.813161000000001</v>
      </c>
      <c r="G7" s="7">
        <v>1.3366904000000001E-2</v>
      </c>
      <c r="H7" s="67"/>
    </row>
    <row r="8" spans="1:8" x14ac:dyDescent="0.2">
      <c r="A8" s="3">
        <v>2</v>
      </c>
      <c r="B8" s="4" t="s">
        <v>388</v>
      </c>
      <c r="C8" s="4" t="s">
        <v>389</v>
      </c>
      <c r="D8" s="4" t="s">
        <v>1002</v>
      </c>
      <c r="E8" s="5">
        <v>263</v>
      </c>
      <c r="F8" s="6">
        <v>45.101212500000003</v>
      </c>
      <c r="G8" s="7">
        <v>1.2878079000000001E-2</v>
      </c>
      <c r="H8" s="67"/>
    </row>
    <row r="9" spans="1:8" x14ac:dyDescent="0.2">
      <c r="A9" s="3">
        <v>3</v>
      </c>
      <c r="B9" s="4" t="s">
        <v>424</v>
      </c>
      <c r="C9" s="4" t="s">
        <v>425</v>
      </c>
      <c r="D9" s="4" t="s">
        <v>166</v>
      </c>
      <c r="E9" s="5">
        <v>2992</v>
      </c>
      <c r="F9" s="6">
        <v>43.313687999999999</v>
      </c>
      <c r="G9" s="7">
        <v>1.2367674E-2</v>
      </c>
      <c r="H9" s="67"/>
    </row>
    <row r="10" spans="1:8" x14ac:dyDescent="0.2">
      <c r="A10" s="3">
        <v>4</v>
      </c>
      <c r="B10" s="4" t="s">
        <v>588</v>
      </c>
      <c r="C10" s="4" t="s">
        <v>589</v>
      </c>
      <c r="D10" s="4" t="s">
        <v>41</v>
      </c>
      <c r="E10" s="5">
        <v>2727</v>
      </c>
      <c r="F10" s="6">
        <v>43.102961999999998</v>
      </c>
      <c r="G10" s="7">
        <v>1.2307504E-2</v>
      </c>
      <c r="H10" s="67"/>
    </row>
    <row r="11" spans="1:8" x14ac:dyDescent="0.2">
      <c r="A11" s="3">
        <v>5</v>
      </c>
      <c r="B11" s="4" t="s">
        <v>309</v>
      </c>
      <c r="C11" s="4" t="s">
        <v>310</v>
      </c>
      <c r="D11" s="4" t="s">
        <v>1001</v>
      </c>
      <c r="E11" s="5">
        <v>1037</v>
      </c>
      <c r="F11" s="6">
        <v>41.428150000000002</v>
      </c>
      <c r="G11" s="7">
        <v>1.1829282999999999E-2</v>
      </c>
      <c r="H11" s="67"/>
    </row>
    <row r="12" spans="1:8" x14ac:dyDescent="0.2">
      <c r="A12" s="3">
        <v>6</v>
      </c>
      <c r="B12" s="4" t="s">
        <v>590</v>
      </c>
      <c r="C12" s="4" t="s">
        <v>591</v>
      </c>
      <c r="D12" s="4" t="s">
        <v>166</v>
      </c>
      <c r="E12" s="5">
        <v>779</v>
      </c>
      <c r="F12" s="6">
        <v>41.383985500000001</v>
      </c>
      <c r="G12" s="7">
        <v>1.1816672E-2</v>
      </c>
      <c r="H12" s="67"/>
    </row>
    <row r="13" spans="1:8" x14ac:dyDescent="0.2">
      <c r="A13" s="3">
        <v>7</v>
      </c>
      <c r="B13" s="4" t="s">
        <v>592</v>
      </c>
      <c r="C13" s="4" t="s">
        <v>593</v>
      </c>
      <c r="D13" s="4" t="s">
        <v>55</v>
      </c>
      <c r="E13" s="5">
        <v>3234</v>
      </c>
      <c r="F13" s="6">
        <v>41.021673</v>
      </c>
      <c r="G13" s="7">
        <v>1.1713217999999999E-2</v>
      </c>
      <c r="H13" s="67"/>
    </row>
    <row r="14" spans="1:8" ht="25.5" x14ac:dyDescent="0.2">
      <c r="A14" s="3">
        <v>8</v>
      </c>
      <c r="B14" s="4" t="s">
        <v>594</v>
      </c>
      <c r="C14" s="4" t="s">
        <v>595</v>
      </c>
      <c r="D14" s="4" t="s">
        <v>52</v>
      </c>
      <c r="E14" s="5">
        <v>3697</v>
      </c>
      <c r="F14" s="6">
        <v>40.641120999999998</v>
      </c>
      <c r="G14" s="7">
        <v>1.1604556E-2</v>
      </c>
      <c r="H14" s="67"/>
    </row>
    <row r="15" spans="1:8" x14ac:dyDescent="0.2">
      <c r="A15" s="3">
        <v>9</v>
      </c>
      <c r="B15" s="4" t="s">
        <v>577</v>
      </c>
      <c r="C15" s="4" t="s">
        <v>578</v>
      </c>
      <c r="D15" s="4" t="s">
        <v>331</v>
      </c>
      <c r="E15" s="5">
        <v>655</v>
      </c>
      <c r="F15" s="6">
        <v>40.494392499999996</v>
      </c>
      <c r="G15" s="7">
        <v>1.1562660000000001E-2</v>
      </c>
      <c r="H15" s="67"/>
    </row>
    <row r="16" spans="1:8" x14ac:dyDescent="0.2">
      <c r="A16" s="3">
        <v>10</v>
      </c>
      <c r="B16" s="4" t="s">
        <v>554</v>
      </c>
      <c r="C16" s="4" t="s">
        <v>555</v>
      </c>
      <c r="D16" s="4" t="s">
        <v>81</v>
      </c>
      <c r="E16" s="5">
        <v>536</v>
      </c>
      <c r="F16" s="6">
        <v>40.331319999999998</v>
      </c>
      <c r="G16" s="7">
        <v>1.1516096999999999E-2</v>
      </c>
      <c r="H16" s="67"/>
    </row>
    <row r="17" spans="1:8" x14ac:dyDescent="0.2">
      <c r="A17" s="3">
        <v>11</v>
      </c>
      <c r="B17" s="4" t="s">
        <v>17</v>
      </c>
      <c r="C17" s="4" t="s">
        <v>18</v>
      </c>
      <c r="D17" s="4" t="s">
        <v>19</v>
      </c>
      <c r="E17" s="5">
        <v>6067</v>
      </c>
      <c r="F17" s="6">
        <v>40.287913500000002</v>
      </c>
      <c r="G17" s="7">
        <v>1.1503701999999999E-2</v>
      </c>
      <c r="H17" s="67"/>
    </row>
    <row r="18" spans="1:8" x14ac:dyDescent="0.2">
      <c r="A18" s="3">
        <v>12</v>
      </c>
      <c r="B18" s="4" t="s">
        <v>418</v>
      </c>
      <c r="C18" s="4" t="s">
        <v>419</v>
      </c>
      <c r="D18" s="4" t="s">
        <v>49</v>
      </c>
      <c r="E18" s="5">
        <v>2773</v>
      </c>
      <c r="F18" s="6">
        <v>40.215432499999999</v>
      </c>
      <c r="G18" s="7">
        <v>1.1483006E-2</v>
      </c>
      <c r="H18" s="67"/>
    </row>
    <row r="19" spans="1:8" x14ac:dyDescent="0.2">
      <c r="A19" s="3">
        <v>13</v>
      </c>
      <c r="B19" s="4" t="s">
        <v>426</v>
      </c>
      <c r="C19" s="4" t="s">
        <v>427</v>
      </c>
      <c r="D19" s="4" t="s">
        <v>428</v>
      </c>
      <c r="E19" s="5">
        <v>8577</v>
      </c>
      <c r="F19" s="6">
        <v>40.166091000000002</v>
      </c>
      <c r="G19" s="7">
        <v>1.1468918E-2</v>
      </c>
      <c r="H19" s="67"/>
    </row>
    <row r="20" spans="1:8" x14ac:dyDescent="0.2">
      <c r="A20" s="3">
        <v>14</v>
      </c>
      <c r="B20" s="4" t="s">
        <v>596</v>
      </c>
      <c r="C20" s="4" t="s">
        <v>597</v>
      </c>
      <c r="D20" s="4" t="s">
        <v>187</v>
      </c>
      <c r="E20" s="5">
        <v>1035</v>
      </c>
      <c r="F20" s="6">
        <v>40.143509999999999</v>
      </c>
      <c r="G20" s="7">
        <v>1.1462470000000001E-2</v>
      </c>
      <c r="H20" s="67"/>
    </row>
    <row r="21" spans="1:8" x14ac:dyDescent="0.2">
      <c r="A21" s="3">
        <v>15</v>
      </c>
      <c r="B21" s="4" t="s">
        <v>422</v>
      </c>
      <c r="C21" s="4" t="s">
        <v>423</v>
      </c>
      <c r="D21" s="4" t="s">
        <v>187</v>
      </c>
      <c r="E21" s="5">
        <v>768</v>
      </c>
      <c r="F21" s="6">
        <v>39.733248000000003</v>
      </c>
      <c r="G21" s="7">
        <v>1.1345325E-2</v>
      </c>
      <c r="H21" s="67"/>
    </row>
    <row r="22" spans="1:8" x14ac:dyDescent="0.2">
      <c r="A22" s="3">
        <v>16</v>
      </c>
      <c r="B22" s="4" t="s">
        <v>334</v>
      </c>
      <c r="C22" s="4" t="s">
        <v>335</v>
      </c>
      <c r="D22" s="4" t="s">
        <v>187</v>
      </c>
      <c r="E22" s="5">
        <v>1017</v>
      </c>
      <c r="F22" s="6">
        <v>39.600963</v>
      </c>
      <c r="G22" s="7">
        <v>1.1307552E-2</v>
      </c>
      <c r="H22" s="67"/>
    </row>
    <row r="23" spans="1:8" ht="25.5" x14ac:dyDescent="0.2">
      <c r="A23" s="3">
        <v>17</v>
      </c>
      <c r="B23" s="4" t="s">
        <v>598</v>
      </c>
      <c r="C23" s="4" t="s">
        <v>997</v>
      </c>
      <c r="D23" s="4" t="s">
        <v>992</v>
      </c>
      <c r="E23" s="5">
        <v>9351</v>
      </c>
      <c r="F23" s="6">
        <v>39.3723855</v>
      </c>
      <c r="G23" s="7">
        <v>1.1242284999999999E-2</v>
      </c>
      <c r="H23" s="67"/>
    </row>
    <row r="24" spans="1:8" x14ac:dyDescent="0.2">
      <c r="A24" s="3">
        <v>18</v>
      </c>
      <c r="B24" s="4" t="s">
        <v>599</v>
      </c>
      <c r="C24" s="4" t="s">
        <v>600</v>
      </c>
      <c r="D24" s="4" t="s">
        <v>81</v>
      </c>
      <c r="E24" s="5">
        <v>891</v>
      </c>
      <c r="F24" s="6">
        <v>38.818642500000003</v>
      </c>
      <c r="G24" s="7">
        <v>1.1084171E-2</v>
      </c>
      <c r="H24" s="67"/>
    </row>
    <row r="25" spans="1:8" x14ac:dyDescent="0.2">
      <c r="A25" s="3">
        <v>19</v>
      </c>
      <c r="B25" s="4" t="s">
        <v>581</v>
      </c>
      <c r="C25" s="4" t="s">
        <v>582</v>
      </c>
      <c r="D25" s="4" t="s">
        <v>331</v>
      </c>
      <c r="E25" s="5">
        <v>981</v>
      </c>
      <c r="F25" s="6">
        <v>38.796588</v>
      </c>
      <c r="G25" s="7">
        <v>1.1077873E-2</v>
      </c>
      <c r="H25" s="67"/>
    </row>
    <row r="26" spans="1:8" ht="25.5" x14ac:dyDescent="0.2">
      <c r="A26" s="3">
        <v>20</v>
      </c>
      <c r="B26" s="4" t="s">
        <v>601</v>
      </c>
      <c r="C26" s="4" t="s">
        <v>602</v>
      </c>
      <c r="D26" s="4" t="s">
        <v>992</v>
      </c>
      <c r="E26" s="5">
        <v>1598</v>
      </c>
      <c r="F26" s="6">
        <v>38.562936000000001</v>
      </c>
      <c r="G26" s="7">
        <v>1.1011157000000001E-2</v>
      </c>
      <c r="H26" s="67"/>
    </row>
    <row r="27" spans="1:8" x14ac:dyDescent="0.2">
      <c r="A27" s="3">
        <v>21</v>
      </c>
      <c r="B27" s="4" t="s">
        <v>364</v>
      </c>
      <c r="C27" s="4" t="s">
        <v>365</v>
      </c>
      <c r="D27" s="4" t="s">
        <v>166</v>
      </c>
      <c r="E27" s="5">
        <v>3261</v>
      </c>
      <c r="F27" s="6">
        <v>38.554803</v>
      </c>
      <c r="G27" s="7">
        <v>1.1008835E-2</v>
      </c>
      <c r="H27" s="67"/>
    </row>
    <row r="28" spans="1:8" x14ac:dyDescent="0.2">
      <c r="A28" s="3">
        <v>22</v>
      </c>
      <c r="B28" s="4" t="s">
        <v>406</v>
      </c>
      <c r="C28" s="4" t="s">
        <v>407</v>
      </c>
      <c r="D28" s="4" t="s">
        <v>1002</v>
      </c>
      <c r="E28" s="5">
        <v>3224</v>
      </c>
      <c r="F28" s="6">
        <v>38.431691999999998</v>
      </c>
      <c r="G28" s="7">
        <v>1.0973682E-2</v>
      </c>
      <c r="H28" s="67"/>
    </row>
    <row r="29" spans="1:8" x14ac:dyDescent="0.2">
      <c r="A29" s="3">
        <v>23</v>
      </c>
      <c r="B29" s="4" t="s">
        <v>416</v>
      </c>
      <c r="C29" s="4" t="s">
        <v>417</v>
      </c>
      <c r="D29" s="4" t="s">
        <v>187</v>
      </c>
      <c r="E29" s="5">
        <v>4813</v>
      </c>
      <c r="F29" s="6">
        <v>38.217626500000001</v>
      </c>
      <c r="G29" s="7">
        <v>1.0912557999999999E-2</v>
      </c>
      <c r="H29" s="67"/>
    </row>
    <row r="30" spans="1:8" x14ac:dyDescent="0.2">
      <c r="A30" s="3">
        <v>24</v>
      </c>
      <c r="B30" s="4" t="s">
        <v>603</v>
      </c>
      <c r="C30" s="4" t="s">
        <v>604</v>
      </c>
      <c r="D30" s="4" t="s">
        <v>81</v>
      </c>
      <c r="E30" s="5">
        <v>3339</v>
      </c>
      <c r="F30" s="6">
        <v>38.082964500000003</v>
      </c>
      <c r="G30" s="7">
        <v>1.0874106999999999E-2</v>
      </c>
      <c r="H30" s="67"/>
    </row>
    <row r="31" spans="1:8" x14ac:dyDescent="0.2">
      <c r="A31" s="3">
        <v>25</v>
      </c>
      <c r="B31" s="4" t="s">
        <v>412</v>
      </c>
      <c r="C31" s="4" t="s">
        <v>413</v>
      </c>
      <c r="D31" s="4" t="s">
        <v>166</v>
      </c>
      <c r="E31" s="5">
        <v>5921</v>
      </c>
      <c r="F31" s="6">
        <v>37.950649499999997</v>
      </c>
      <c r="G31" s="7">
        <v>1.0836326E-2</v>
      </c>
      <c r="H31" s="67"/>
    </row>
    <row r="32" spans="1:8" x14ac:dyDescent="0.2">
      <c r="A32" s="3">
        <v>26</v>
      </c>
      <c r="B32" s="4" t="s">
        <v>605</v>
      </c>
      <c r="C32" s="4" t="s">
        <v>606</v>
      </c>
      <c r="D32" s="4" t="s">
        <v>187</v>
      </c>
      <c r="E32" s="5">
        <v>196</v>
      </c>
      <c r="F32" s="6">
        <v>37.773316000000001</v>
      </c>
      <c r="G32" s="7">
        <v>1.0785691E-2</v>
      </c>
      <c r="H32" s="67"/>
    </row>
    <row r="33" spans="1:8" x14ac:dyDescent="0.2">
      <c r="A33" s="3">
        <v>27</v>
      </c>
      <c r="B33" s="4" t="s">
        <v>607</v>
      </c>
      <c r="C33" s="4" t="s">
        <v>608</v>
      </c>
      <c r="D33" s="4" t="s">
        <v>428</v>
      </c>
      <c r="E33" s="5">
        <v>12372</v>
      </c>
      <c r="F33" s="6">
        <v>37.462415999999997</v>
      </c>
      <c r="G33" s="7">
        <v>1.0696918E-2</v>
      </c>
      <c r="H33" s="67"/>
    </row>
    <row r="34" spans="1:8" ht="25.5" x14ac:dyDescent="0.2">
      <c r="A34" s="3">
        <v>28</v>
      </c>
      <c r="B34" s="4" t="s">
        <v>384</v>
      </c>
      <c r="C34" s="4" t="s">
        <v>385</v>
      </c>
      <c r="D34" s="4" t="s">
        <v>52</v>
      </c>
      <c r="E34" s="5">
        <v>4300</v>
      </c>
      <c r="F34" s="6">
        <v>37.19285</v>
      </c>
      <c r="G34" s="7">
        <v>1.0619946E-2</v>
      </c>
      <c r="H34" s="67"/>
    </row>
    <row r="35" spans="1:8" ht="25.5" x14ac:dyDescent="0.2">
      <c r="A35" s="3">
        <v>29</v>
      </c>
      <c r="B35" s="4" t="s">
        <v>31</v>
      </c>
      <c r="C35" s="4" t="s">
        <v>993</v>
      </c>
      <c r="D35" s="4" t="s">
        <v>992</v>
      </c>
      <c r="E35" s="5">
        <v>469</v>
      </c>
      <c r="F35" s="6">
        <v>36.734190499999997</v>
      </c>
      <c r="G35" s="7">
        <v>1.0488982000000001E-2</v>
      </c>
      <c r="H35" s="67"/>
    </row>
    <row r="36" spans="1:8" ht="25.5" x14ac:dyDescent="0.2">
      <c r="A36" s="3">
        <v>30</v>
      </c>
      <c r="B36" s="4" t="s">
        <v>609</v>
      </c>
      <c r="C36" s="4" t="s">
        <v>610</v>
      </c>
      <c r="D36" s="4" t="s">
        <v>36</v>
      </c>
      <c r="E36" s="5">
        <v>1614</v>
      </c>
      <c r="F36" s="6">
        <v>36.676535999999999</v>
      </c>
      <c r="G36" s="7">
        <v>1.0472519E-2</v>
      </c>
      <c r="H36" s="67"/>
    </row>
    <row r="37" spans="1:8" x14ac:dyDescent="0.2">
      <c r="A37" s="3">
        <v>31</v>
      </c>
      <c r="B37" s="4" t="s">
        <v>414</v>
      </c>
      <c r="C37" s="4" t="s">
        <v>415</v>
      </c>
      <c r="D37" s="4" t="s">
        <v>166</v>
      </c>
      <c r="E37" s="5">
        <v>962</v>
      </c>
      <c r="F37" s="6">
        <v>36.425649</v>
      </c>
      <c r="G37" s="7">
        <v>1.0400882E-2</v>
      </c>
      <c r="H37" s="67"/>
    </row>
    <row r="38" spans="1:8" ht="25.5" x14ac:dyDescent="0.2">
      <c r="A38" s="3">
        <v>32</v>
      </c>
      <c r="B38" s="4" t="s">
        <v>402</v>
      </c>
      <c r="C38" s="4" t="s">
        <v>403</v>
      </c>
      <c r="D38" s="4" t="s">
        <v>81</v>
      </c>
      <c r="E38" s="5">
        <v>1294</v>
      </c>
      <c r="F38" s="6">
        <v>36.212589999999999</v>
      </c>
      <c r="G38" s="7">
        <v>1.0340046E-2</v>
      </c>
      <c r="H38" s="67"/>
    </row>
    <row r="39" spans="1:8" ht="25.5" x14ac:dyDescent="0.2">
      <c r="A39" s="3">
        <v>33</v>
      </c>
      <c r="B39" s="4" t="s">
        <v>408</v>
      </c>
      <c r="C39" s="4" t="s">
        <v>409</v>
      </c>
      <c r="D39" s="4" t="s">
        <v>52</v>
      </c>
      <c r="E39" s="5">
        <v>1323</v>
      </c>
      <c r="F39" s="6">
        <v>36.039842999999998</v>
      </c>
      <c r="G39" s="7">
        <v>1.029072E-2</v>
      </c>
      <c r="H39" s="67"/>
    </row>
    <row r="40" spans="1:8" ht="25.5" x14ac:dyDescent="0.2">
      <c r="A40" s="3">
        <v>34</v>
      </c>
      <c r="B40" s="4" t="s">
        <v>560</v>
      </c>
      <c r="C40" s="4" t="s">
        <v>561</v>
      </c>
      <c r="D40" s="4" t="s">
        <v>52</v>
      </c>
      <c r="E40" s="5">
        <v>184</v>
      </c>
      <c r="F40" s="6">
        <v>35.820659999999997</v>
      </c>
      <c r="G40" s="7">
        <v>1.0228134999999999E-2</v>
      </c>
      <c r="H40" s="67"/>
    </row>
    <row r="41" spans="1:8" x14ac:dyDescent="0.2">
      <c r="A41" s="3">
        <v>35</v>
      </c>
      <c r="B41" s="4" t="s">
        <v>22</v>
      </c>
      <c r="C41" s="4" t="s">
        <v>23</v>
      </c>
      <c r="D41" s="4" t="s">
        <v>24</v>
      </c>
      <c r="E41" s="5">
        <v>4975</v>
      </c>
      <c r="F41" s="6">
        <v>35.772737499999998</v>
      </c>
      <c r="G41" s="7">
        <v>1.0214450999999999E-2</v>
      </c>
      <c r="H41" s="67"/>
    </row>
    <row r="42" spans="1:8" x14ac:dyDescent="0.2">
      <c r="A42" s="3">
        <v>36</v>
      </c>
      <c r="B42" s="4" t="s">
        <v>11</v>
      </c>
      <c r="C42" s="4" t="s">
        <v>12</v>
      </c>
      <c r="D42" s="4" t="s">
        <v>13</v>
      </c>
      <c r="E42" s="5">
        <v>2137</v>
      </c>
      <c r="F42" s="6">
        <v>35.734914000000003</v>
      </c>
      <c r="G42" s="7">
        <v>1.0203650999999999E-2</v>
      </c>
      <c r="H42" s="67"/>
    </row>
    <row r="43" spans="1:8" x14ac:dyDescent="0.2">
      <c r="A43" s="3">
        <v>37</v>
      </c>
      <c r="B43" s="4" t="s">
        <v>611</v>
      </c>
      <c r="C43" s="4" t="s">
        <v>612</v>
      </c>
      <c r="D43" s="4" t="s">
        <v>46</v>
      </c>
      <c r="E43" s="5">
        <v>1873</v>
      </c>
      <c r="F43" s="6">
        <v>35.6647295</v>
      </c>
      <c r="G43" s="7">
        <v>1.0183611E-2</v>
      </c>
      <c r="H43" s="67"/>
    </row>
    <row r="44" spans="1:8" ht="25.5" x14ac:dyDescent="0.2">
      <c r="A44" s="3">
        <v>38</v>
      </c>
      <c r="B44" s="4" t="s">
        <v>488</v>
      </c>
      <c r="C44" s="4" t="s">
        <v>489</v>
      </c>
      <c r="D44" s="4" t="s">
        <v>52</v>
      </c>
      <c r="E44" s="5">
        <v>5735</v>
      </c>
      <c r="F44" s="6">
        <v>35.643025000000002</v>
      </c>
      <c r="G44" s="7">
        <v>1.0177413999999999E-2</v>
      </c>
      <c r="H44" s="67"/>
    </row>
    <row r="45" spans="1:8" x14ac:dyDescent="0.2">
      <c r="A45" s="3">
        <v>39</v>
      </c>
      <c r="B45" s="4" t="s">
        <v>495</v>
      </c>
      <c r="C45" s="4" t="s">
        <v>496</v>
      </c>
      <c r="D45" s="4" t="s">
        <v>55</v>
      </c>
      <c r="E45" s="5">
        <v>1850</v>
      </c>
      <c r="F45" s="6">
        <v>35.549599999999998</v>
      </c>
      <c r="G45" s="7">
        <v>1.0150737E-2</v>
      </c>
      <c r="H45" s="67"/>
    </row>
    <row r="46" spans="1:8" ht="25.5" x14ac:dyDescent="0.2">
      <c r="A46" s="3">
        <v>40</v>
      </c>
      <c r="B46" s="4" t="s">
        <v>613</v>
      </c>
      <c r="C46" s="4" t="s">
        <v>614</v>
      </c>
      <c r="D46" s="4" t="s">
        <v>52</v>
      </c>
      <c r="E46" s="5">
        <v>889</v>
      </c>
      <c r="F46" s="6">
        <v>35.537775000000003</v>
      </c>
      <c r="G46" s="7">
        <v>1.0147361000000001E-2</v>
      </c>
      <c r="H46" s="67"/>
    </row>
    <row r="47" spans="1:8" x14ac:dyDescent="0.2">
      <c r="A47" s="3">
        <v>41</v>
      </c>
      <c r="B47" s="4" t="s">
        <v>615</v>
      </c>
      <c r="C47" s="4" t="s">
        <v>616</v>
      </c>
      <c r="D47" s="4" t="s">
        <v>69</v>
      </c>
      <c r="E47" s="5">
        <v>11080</v>
      </c>
      <c r="F47" s="6">
        <v>35.516939999999998</v>
      </c>
      <c r="G47" s="7">
        <v>1.0141412000000001E-2</v>
      </c>
      <c r="H47" s="67"/>
    </row>
    <row r="48" spans="1:8" x14ac:dyDescent="0.2">
      <c r="A48" s="3">
        <v>42</v>
      </c>
      <c r="B48" s="4" t="s">
        <v>400</v>
      </c>
      <c r="C48" s="4" t="s">
        <v>401</v>
      </c>
      <c r="D48" s="4" t="s">
        <v>166</v>
      </c>
      <c r="E48" s="5">
        <v>2077</v>
      </c>
      <c r="F48" s="6">
        <v>35.442966499999997</v>
      </c>
      <c r="G48" s="7">
        <v>1.0120288999999999E-2</v>
      </c>
      <c r="H48" s="67"/>
    </row>
    <row r="49" spans="1:8" x14ac:dyDescent="0.2">
      <c r="A49" s="3">
        <v>43</v>
      </c>
      <c r="B49" s="4" t="s">
        <v>617</v>
      </c>
      <c r="C49" s="4" t="s">
        <v>618</v>
      </c>
      <c r="D49" s="4" t="s">
        <v>187</v>
      </c>
      <c r="E49" s="5">
        <v>1130</v>
      </c>
      <c r="F49" s="6">
        <v>35.096670000000003</v>
      </c>
      <c r="G49" s="7">
        <v>1.0021409E-2</v>
      </c>
      <c r="H49" s="67"/>
    </row>
    <row r="50" spans="1:8" x14ac:dyDescent="0.2">
      <c r="A50" s="3">
        <v>44</v>
      </c>
      <c r="B50" s="4" t="s">
        <v>97</v>
      </c>
      <c r="C50" s="4" t="s">
        <v>98</v>
      </c>
      <c r="D50" s="4" t="s">
        <v>60</v>
      </c>
      <c r="E50" s="5">
        <v>6415</v>
      </c>
      <c r="F50" s="6">
        <v>35.016277500000001</v>
      </c>
      <c r="G50" s="7">
        <v>9.9984540000000004E-3</v>
      </c>
      <c r="H50" s="67"/>
    </row>
    <row r="51" spans="1:8" ht="25.5" x14ac:dyDescent="0.2">
      <c r="A51" s="3">
        <v>45</v>
      </c>
      <c r="B51" s="4" t="s">
        <v>478</v>
      </c>
      <c r="C51" s="4" t="s">
        <v>479</v>
      </c>
      <c r="D51" s="4" t="s">
        <v>52</v>
      </c>
      <c r="E51" s="5">
        <v>4892</v>
      </c>
      <c r="F51" s="6">
        <v>34.985137999999999</v>
      </c>
      <c r="G51" s="7">
        <v>9.9895620000000004E-3</v>
      </c>
      <c r="H51" s="67"/>
    </row>
    <row r="52" spans="1:8" x14ac:dyDescent="0.2">
      <c r="A52" s="3">
        <v>46</v>
      </c>
      <c r="B52" s="4" t="s">
        <v>14</v>
      </c>
      <c r="C52" s="4" t="s">
        <v>15</v>
      </c>
      <c r="D52" s="4" t="s">
        <v>16</v>
      </c>
      <c r="E52" s="5">
        <v>1544</v>
      </c>
      <c r="F52" s="6">
        <v>34.865836000000002</v>
      </c>
      <c r="G52" s="7">
        <v>9.9554970000000007E-3</v>
      </c>
      <c r="H52" s="67"/>
    </row>
    <row r="53" spans="1:8" x14ac:dyDescent="0.2">
      <c r="A53" s="3">
        <v>47</v>
      </c>
      <c r="B53" s="4" t="s">
        <v>619</v>
      </c>
      <c r="C53" s="4" t="s">
        <v>620</v>
      </c>
      <c r="D53" s="4" t="s">
        <v>81</v>
      </c>
      <c r="E53" s="5">
        <v>1337</v>
      </c>
      <c r="F53" s="6">
        <v>34.850910499999998</v>
      </c>
      <c r="G53" s="7">
        <v>9.9512349999999992E-3</v>
      </c>
      <c r="H53" s="67"/>
    </row>
    <row r="54" spans="1:8" x14ac:dyDescent="0.2">
      <c r="A54" s="3">
        <v>48</v>
      </c>
      <c r="B54" s="4" t="s">
        <v>621</v>
      </c>
      <c r="C54" s="4" t="s">
        <v>622</v>
      </c>
      <c r="D54" s="4" t="s">
        <v>153</v>
      </c>
      <c r="E54" s="5">
        <v>1528</v>
      </c>
      <c r="F54" s="6">
        <v>34.843747999999998</v>
      </c>
      <c r="G54" s="7">
        <v>9.9491900000000001E-3</v>
      </c>
      <c r="H54" s="67"/>
    </row>
    <row r="55" spans="1:8" ht="25.5" x14ac:dyDescent="0.2">
      <c r="A55" s="3">
        <v>49</v>
      </c>
      <c r="B55" s="4" t="s">
        <v>623</v>
      </c>
      <c r="C55" s="4" t="s">
        <v>624</v>
      </c>
      <c r="D55" s="4" t="s">
        <v>1002</v>
      </c>
      <c r="E55" s="5">
        <v>5270</v>
      </c>
      <c r="F55" s="6">
        <v>34.734569999999998</v>
      </c>
      <c r="G55" s="7">
        <v>9.918016E-3</v>
      </c>
      <c r="H55" s="67"/>
    </row>
    <row r="56" spans="1:8" ht="25.5" x14ac:dyDescent="0.2">
      <c r="A56" s="3">
        <v>50</v>
      </c>
      <c r="B56" s="4" t="s">
        <v>625</v>
      </c>
      <c r="C56" s="4" t="s">
        <v>626</v>
      </c>
      <c r="D56" s="4" t="s">
        <v>52</v>
      </c>
      <c r="E56" s="5">
        <v>2350</v>
      </c>
      <c r="F56" s="6">
        <v>34.662500000000001</v>
      </c>
      <c r="G56" s="7">
        <v>9.8974370000000002E-3</v>
      </c>
      <c r="H56" s="67"/>
    </row>
    <row r="57" spans="1:8" ht="25.5" x14ac:dyDescent="0.2">
      <c r="A57" s="3">
        <v>51</v>
      </c>
      <c r="B57" s="4" t="s">
        <v>550</v>
      </c>
      <c r="C57" s="4" t="s">
        <v>551</v>
      </c>
      <c r="D57" s="4" t="s">
        <v>52</v>
      </c>
      <c r="E57" s="5">
        <v>1081</v>
      </c>
      <c r="F57" s="6">
        <v>34.606593500000002</v>
      </c>
      <c r="G57" s="7">
        <v>9.8814739999999995E-3</v>
      </c>
      <c r="H57" s="67"/>
    </row>
    <row r="58" spans="1:8" ht="25.5" x14ac:dyDescent="0.2">
      <c r="A58" s="3">
        <v>52</v>
      </c>
      <c r="B58" s="4" t="s">
        <v>627</v>
      </c>
      <c r="C58" s="4" t="s">
        <v>628</v>
      </c>
      <c r="D58" s="4" t="s">
        <v>52</v>
      </c>
      <c r="E58" s="5">
        <v>6349</v>
      </c>
      <c r="F58" s="6">
        <v>34.567130499999998</v>
      </c>
      <c r="G58" s="7">
        <v>9.870205E-3</v>
      </c>
      <c r="H58" s="67"/>
    </row>
    <row r="59" spans="1:8" ht="25.5" x14ac:dyDescent="0.2">
      <c r="A59" s="3">
        <v>53</v>
      </c>
      <c r="B59" s="4" t="s">
        <v>89</v>
      </c>
      <c r="C59" s="4" t="s">
        <v>90</v>
      </c>
      <c r="D59" s="4" t="s">
        <v>46</v>
      </c>
      <c r="E59" s="5">
        <v>4571</v>
      </c>
      <c r="F59" s="6">
        <v>34.204793000000002</v>
      </c>
      <c r="G59" s="7">
        <v>9.7667450000000003E-3</v>
      </c>
      <c r="H59" s="67"/>
    </row>
    <row r="60" spans="1:8" x14ac:dyDescent="0.2">
      <c r="A60" s="3">
        <v>54</v>
      </c>
      <c r="B60" s="4" t="s">
        <v>398</v>
      </c>
      <c r="C60" s="4" t="s">
        <v>399</v>
      </c>
      <c r="D60" s="4" t="s">
        <v>24</v>
      </c>
      <c r="E60" s="5">
        <v>2143</v>
      </c>
      <c r="F60" s="6">
        <v>33.889401999999997</v>
      </c>
      <c r="G60" s="7">
        <v>9.6766890000000005E-3</v>
      </c>
      <c r="H60" s="67"/>
    </row>
    <row r="61" spans="1:8" x14ac:dyDescent="0.2">
      <c r="A61" s="3">
        <v>55</v>
      </c>
      <c r="B61" s="4" t="s">
        <v>629</v>
      </c>
      <c r="C61" s="4" t="s">
        <v>630</v>
      </c>
      <c r="D61" s="4" t="s">
        <v>654</v>
      </c>
      <c r="E61" s="5">
        <v>2127</v>
      </c>
      <c r="F61" s="6">
        <v>33.768251999999997</v>
      </c>
      <c r="G61" s="7">
        <v>9.6420959999999993E-3</v>
      </c>
      <c r="H61" s="67"/>
    </row>
    <row r="62" spans="1:8" ht="25.5" x14ac:dyDescent="0.2">
      <c r="A62" s="3">
        <v>56</v>
      </c>
      <c r="B62" s="4" t="s">
        <v>435</v>
      </c>
      <c r="C62" s="4" t="s">
        <v>436</v>
      </c>
      <c r="D62" s="4" t="s">
        <v>1002</v>
      </c>
      <c r="E62" s="5">
        <v>2114</v>
      </c>
      <c r="F62" s="6">
        <v>33.709843999999997</v>
      </c>
      <c r="G62" s="7">
        <v>9.6254180000000002E-3</v>
      </c>
      <c r="H62" s="67"/>
    </row>
    <row r="63" spans="1:8" ht="25.5" x14ac:dyDescent="0.2">
      <c r="A63" s="3">
        <v>57</v>
      </c>
      <c r="B63" s="4" t="s">
        <v>429</v>
      </c>
      <c r="C63" s="4" t="s">
        <v>430</v>
      </c>
      <c r="D63" s="4" t="s">
        <v>52</v>
      </c>
      <c r="E63" s="5">
        <v>15832</v>
      </c>
      <c r="F63" s="6">
        <v>33.453015999999998</v>
      </c>
      <c r="G63" s="7">
        <v>9.5520840000000006E-3</v>
      </c>
      <c r="H63" s="67"/>
    </row>
    <row r="64" spans="1:8" x14ac:dyDescent="0.2">
      <c r="A64" s="3">
        <v>58</v>
      </c>
      <c r="B64" s="4" t="s">
        <v>631</v>
      </c>
      <c r="C64" s="4" t="s">
        <v>632</v>
      </c>
      <c r="D64" s="4" t="s">
        <v>1003</v>
      </c>
      <c r="E64" s="5">
        <v>1088</v>
      </c>
      <c r="F64" s="6">
        <v>33.448383999999997</v>
      </c>
      <c r="G64" s="7">
        <v>9.5507620000000008E-3</v>
      </c>
      <c r="H64" s="67"/>
    </row>
    <row r="65" spans="1:8" x14ac:dyDescent="0.2">
      <c r="A65" s="3">
        <v>59</v>
      </c>
      <c r="B65" s="4" t="s">
        <v>354</v>
      </c>
      <c r="C65" s="4" t="s">
        <v>355</v>
      </c>
      <c r="D65" s="4" t="s">
        <v>24</v>
      </c>
      <c r="E65" s="5">
        <v>4249</v>
      </c>
      <c r="F65" s="6">
        <v>33.418385000000001</v>
      </c>
      <c r="G65" s="7">
        <v>9.5421959999999993E-3</v>
      </c>
      <c r="H65" s="67"/>
    </row>
    <row r="66" spans="1:8" x14ac:dyDescent="0.2">
      <c r="A66" s="3">
        <v>60</v>
      </c>
      <c r="B66" s="4" t="s">
        <v>633</v>
      </c>
      <c r="C66" s="4" t="s">
        <v>634</v>
      </c>
      <c r="D66" s="4" t="s">
        <v>81</v>
      </c>
      <c r="E66" s="5">
        <v>2190</v>
      </c>
      <c r="F66" s="6">
        <v>33.156599999999997</v>
      </c>
      <c r="G66" s="7">
        <v>9.4674459999999992E-3</v>
      </c>
      <c r="H66" s="67"/>
    </row>
    <row r="67" spans="1:8" ht="25.5" x14ac:dyDescent="0.2">
      <c r="A67" s="3">
        <v>61</v>
      </c>
      <c r="B67" s="4" t="s">
        <v>635</v>
      </c>
      <c r="C67" s="4" t="s">
        <v>636</v>
      </c>
      <c r="D67" s="4" t="s">
        <v>52</v>
      </c>
      <c r="E67" s="5">
        <v>4022</v>
      </c>
      <c r="F67" s="6">
        <v>33.012576000000003</v>
      </c>
      <c r="G67" s="7">
        <v>9.4263220000000009E-3</v>
      </c>
      <c r="H67" s="67"/>
    </row>
    <row r="68" spans="1:8" ht="25.5" x14ac:dyDescent="0.2">
      <c r="A68" s="3">
        <v>62</v>
      </c>
      <c r="B68" s="4" t="s">
        <v>637</v>
      </c>
      <c r="C68" s="4" t="s">
        <v>638</v>
      </c>
      <c r="D68" s="4" t="s">
        <v>52</v>
      </c>
      <c r="E68" s="5">
        <v>1945</v>
      </c>
      <c r="F68" s="6">
        <v>32.934685000000002</v>
      </c>
      <c r="G68" s="7">
        <v>9.4040809999999999E-3</v>
      </c>
      <c r="H68" s="67"/>
    </row>
    <row r="69" spans="1:8" x14ac:dyDescent="0.2">
      <c r="A69" s="3">
        <v>63</v>
      </c>
      <c r="B69" s="4" t="s">
        <v>639</v>
      </c>
      <c r="C69" s="4" t="s">
        <v>640</v>
      </c>
      <c r="D69" s="4" t="s">
        <v>41</v>
      </c>
      <c r="E69" s="5">
        <v>18780</v>
      </c>
      <c r="F69" s="6">
        <v>32.930729999999997</v>
      </c>
      <c r="G69" s="7">
        <v>9.4029519999999991E-3</v>
      </c>
      <c r="H69" s="67"/>
    </row>
    <row r="70" spans="1:8" x14ac:dyDescent="0.2">
      <c r="A70" s="3">
        <v>64</v>
      </c>
      <c r="B70" s="4" t="s">
        <v>433</v>
      </c>
      <c r="C70" s="4" t="s">
        <v>434</v>
      </c>
      <c r="D70" s="4" t="s">
        <v>24</v>
      </c>
      <c r="E70" s="5">
        <v>1868</v>
      </c>
      <c r="F70" s="6">
        <v>32.759115999999999</v>
      </c>
      <c r="G70" s="7">
        <v>9.3539499999999998E-3</v>
      </c>
      <c r="H70" s="67"/>
    </row>
    <row r="71" spans="1:8" x14ac:dyDescent="0.2">
      <c r="A71" s="3">
        <v>65</v>
      </c>
      <c r="B71" s="4" t="s">
        <v>420</v>
      </c>
      <c r="C71" s="4" t="s">
        <v>421</v>
      </c>
      <c r="D71" s="4" t="s">
        <v>84</v>
      </c>
      <c r="E71" s="5">
        <v>4115</v>
      </c>
      <c r="F71" s="6">
        <v>32.644295</v>
      </c>
      <c r="G71" s="7">
        <v>9.3211639999999998E-3</v>
      </c>
      <c r="H71" s="67"/>
    </row>
    <row r="72" spans="1:8" x14ac:dyDescent="0.2">
      <c r="A72" s="3">
        <v>66</v>
      </c>
      <c r="B72" s="4" t="s">
        <v>42</v>
      </c>
      <c r="C72" s="4" t="s">
        <v>43</v>
      </c>
      <c r="D72" s="4" t="s">
        <v>16</v>
      </c>
      <c r="E72" s="5">
        <v>6905</v>
      </c>
      <c r="F72" s="6">
        <v>32.567432500000002</v>
      </c>
      <c r="G72" s="7">
        <v>9.2992170000000002E-3</v>
      </c>
      <c r="H72" s="67"/>
    </row>
    <row r="73" spans="1:8" x14ac:dyDescent="0.2">
      <c r="A73" s="3">
        <v>67</v>
      </c>
      <c r="B73" s="4" t="s">
        <v>87</v>
      </c>
      <c r="C73" s="4" t="s">
        <v>88</v>
      </c>
      <c r="D73" s="4" t="s">
        <v>60</v>
      </c>
      <c r="E73" s="5">
        <v>14264</v>
      </c>
      <c r="F73" s="6">
        <v>32.464863999999999</v>
      </c>
      <c r="G73" s="7">
        <v>9.2699299999999991E-3</v>
      </c>
      <c r="H73" s="67"/>
    </row>
    <row r="74" spans="1:8" x14ac:dyDescent="0.2">
      <c r="A74" s="3">
        <v>68</v>
      </c>
      <c r="B74" s="4" t="s">
        <v>72</v>
      </c>
      <c r="C74" s="4" t="s">
        <v>73</v>
      </c>
      <c r="D74" s="4" t="s">
        <v>74</v>
      </c>
      <c r="E74" s="5">
        <v>26869</v>
      </c>
      <c r="F74" s="6">
        <v>32.390579500000001</v>
      </c>
      <c r="G74" s="7">
        <v>9.2487190000000007E-3</v>
      </c>
      <c r="H74" s="67"/>
    </row>
    <row r="75" spans="1:8" x14ac:dyDescent="0.2">
      <c r="A75" s="3">
        <v>69</v>
      </c>
      <c r="B75" s="4" t="s">
        <v>641</v>
      </c>
      <c r="C75" s="4" t="s">
        <v>642</v>
      </c>
      <c r="D75" s="4" t="s">
        <v>49</v>
      </c>
      <c r="E75" s="5">
        <v>4698</v>
      </c>
      <c r="F75" s="6">
        <v>32.303448000000003</v>
      </c>
      <c r="G75" s="7">
        <v>9.2238400000000005E-3</v>
      </c>
      <c r="H75" s="67"/>
    </row>
    <row r="76" spans="1:8" x14ac:dyDescent="0.2">
      <c r="A76" s="3">
        <v>70</v>
      </c>
      <c r="B76" s="4" t="s">
        <v>643</v>
      </c>
      <c r="C76" s="4" t="s">
        <v>644</v>
      </c>
      <c r="D76" s="4" t="s">
        <v>16</v>
      </c>
      <c r="E76" s="5">
        <v>29141</v>
      </c>
      <c r="F76" s="6">
        <v>32.302798500000002</v>
      </c>
      <c r="G76" s="7">
        <v>9.2236539999999995E-3</v>
      </c>
      <c r="H76" s="67"/>
    </row>
    <row r="77" spans="1:8" x14ac:dyDescent="0.2">
      <c r="A77" s="3">
        <v>71</v>
      </c>
      <c r="B77" s="4" t="s">
        <v>404</v>
      </c>
      <c r="C77" s="4" t="s">
        <v>405</v>
      </c>
      <c r="D77" s="4" t="s">
        <v>24</v>
      </c>
      <c r="E77" s="5">
        <v>7575</v>
      </c>
      <c r="F77" s="6">
        <v>32.273287500000002</v>
      </c>
      <c r="G77" s="7">
        <v>9.2152280000000007E-3</v>
      </c>
      <c r="H77" s="67"/>
    </row>
    <row r="78" spans="1:8" x14ac:dyDescent="0.2">
      <c r="A78" s="3">
        <v>72</v>
      </c>
      <c r="B78" s="4" t="s">
        <v>645</v>
      </c>
      <c r="C78" s="4" t="s">
        <v>646</v>
      </c>
      <c r="D78" s="4" t="s">
        <v>41</v>
      </c>
      <c r="E78" s="5">
        <v>27808</v>
      </c>
      <c r="F78" s="6">
        <v>32.243375999999998</v>
      </c>
      <c r="G78" s="7">
        <v>9.2066869999999999E-3</v>
      </c>
      <c r="H78" s="67"/>
    </row>
    <row r="79" spans="1:8" x14ac:dyDescent="0.2">
      <c r="A79" s="3">
        <v>73</v>
      </c>
      <c r="B79" s="4" t="s">
        <v>579</v>
      </c>
      <c r="C79" s="4" t="s">
        <v>580</v>
      </c>
      <c r="D79" s="4" t="s">
        <v>1002</v>
      </c>
      <c r="E79" s="5">
        <v>4485</v>
      </c>
      <c r="F79" s="6">
        <v>32.191087500000002</v>
      </c>
      <c r="G79" s="7">
        <v>9.1917570000000001E-3</v>
      </c>
      <c r="H79" s="67"/>
    </row>
    <row r="80" spans="1:8" ht="25.5" x14ac:dyDescent="0.2">
      <c r="A80" s="3">
        <v>74</v>
      </c>
      <c r="B80" s="4" t="s">
        <v>482</v>
      </c>
      <c r="C80" s="4" t="s">
        <v>483</v>
      </c>
      <c r="D80" s="4" t="s">
        <v>52</v>
      </c>
      <c r="E80" s="5">
        <v>232</v>
      </c>
      <c r="F80" s="6">
        <v>32.186751999999998</v>
      </c>
      <c r="G80" s="7">
        <v>9.1905189999999994E-3</v>
      </c>
      <c r="H80" s="67"/>
    </row>
    <row r="81" spans="1:8" ht="25.5" x14ac:dyDescent="0.2">
      <c r="A81" s="3">
        <v>75</v>
      </c>
      <c r="B81" s="4" t="s">
        <v>647</v>
      </c>
      <c r="C81" s="4" t="s">
        <v>648</v>
      </c>
      <c r="D81" s="4" t="s">
        <v>992</v>
      </c>
      <c r="E81" s="5">
        <v>2144</v>
      </c>
      <c r="F81" s="6">
        <v>32.168576000000002</v>
      </c>
      <c r="G81" s="7">
        <v>9.1853290000000008E-3</v>
      </c>
      <c r="H81" s="67"/>
    </row>
    <row r="82" spans="1:8" x14ac:dyDescent="0.2">
      <c r="A82" s="3">
        <v>76</v>
      </c>
      <c r="B82" s="4" t="s">
        <v>443</v>
      </c>
      <c r="C82" s="4" t="s">
        <v>444</v>
      </c>
      <c r="D82" s="4" t="s">
        <v>187</v>
      </c>
      <c r="E82" s="5">
        <v>3388</v>
      </c>
      <c r="F82" s="6">
        <v>32.111463999999998</v>
      </c>
      <c r="G82" s="7">
        <v>9.1690209999999994E-3</v>
      </c>
      <c r="H82" s="67"/>
    </row>
    <row r="83" spans="1:8" x14ac:dyDescent="0.2">
      <c r="A83" s="3">
        <v>77</v>
      </c>
      <c r="B83" s="4" t="s">
        <v>649</v>
      </c>
      <c r="C83" s="4" t="s">
        <v>650</v>
      </c>
      <c r="D83" s="4" t="s">
        <v>84</v>
      </c>
      <c r="E83" s="5">
        <v>1196</v>
      </c>
      <c r="F83" s="6">
        <v>32.04383</v>
      </c>
      <c r="G83" s="7">
        <v>9.1497090000000007E-3</v>
      </c>
      <c r="H83" s="67"/>
    </row>
    <row r="84" spans="1:8" ht="25.5" x14ac:dyDescent="0.2">
      <c r="A84" s="3">
        <v>78</v>
      </c>
      <c r="B84" s="4" t="s">
        <v>651</v>
      </c>
      <c r="C84" s="4" t="s">
        <v>999</v>
      </c>
      <c r="D84" s="4" t="s">
        <v>992</v>
      </c>
      <c r="E84" s="5">
        <v>113</v>
      </c>
      <c r="F84" s="6">
        <v>31.965326999999998</v>
      </c>
      <c r="G84" s="7">
        <v>9.1272939999999993E-3</v>
      </c>
      <c r="H84" s="67"/>
    </row>
    <row r="85" spans="1:8" x14ac:dyDescent="0.2">
      <c r="A85" s="3">
        <v>79</v>
      </c>
      <c r="B85" s="4" t="s">
        <v>652</v>
      </c>
      <c r="C85" s="4" t="s">
        <v>653</v>
      </c>
      <c r="D85" s="4" t="s">
        <v>654</v>
      </c>
      <c r="E85" s="5">
        <v>21859</v>
      </c>
      <c r="F85" s="6">
        <v>31.881351500000001</v>
      </c>
      <c r="G85" s="7">
        <v>9.1033150000000007E-3</v>
      </c>
      <c r="H85" s="67"/>
    </row>
    <row r="86" spans="1:8" x14ac:dyDescent="0.2">
      <c r="A86" s="3">
        <v>80</v>
      </c>
      <c r="B86" s="4" t="s">
        <v>655</v>
      </c>
      <c r="C86" s="4" t="s">
        <v>656</v>
      </c>
      <c r="D86" s="4" t="s">
        <v>24</v>
      </c>
      <c r="E86" s="5">
        <v>3193</v>
      </c>
      <c r="F86" s="6">
        <v>31.687332000000001</v>
      </c>
      <c r="G86" s="7">
        <v>9.0479159999999996E-3</v>
      </c>
      <c r="H86" s="67"/>
    </row>
    <row r="87" spans="1:8" x14ac:dyDescent="0.2">
      <c r="A87" s="3">
        <v>81</v>
      </c>
      <c r="B87" s="4" t="s">
        <v>58</v>
      </c>
      <c r="C87" s="4" t="s">
        <v>59</v>
      </c>
      <c r="D87" s="4" t="s">
        <v>60</v>
      </c>
      <c r="E87" s="5">
        <v>21330</v>
      </c>
      <c r="F87" s="6">
        <v>31.173794999999998</v>
      </c>
      <c r="G87" s="7">
        <v>8.9012819999999999E-3</v>
      </c>
      <c r="H87" s="67"/>
    </row>
    <row r="88" spans="1:8" x14ac:dyDescent="0.2">
      <c r="A88" s="3">
        <v>82</v>
      </c>
      <c r="B88" s="4" t="s">
        <v>346</v>
      </c>
      <c r="C88" s="4" t="s">
        <v>347</v>
      </c>
      <c r="D88" s="4" t="s">
        <v>171</v>
      </c>
      <c r="E88" s="5">
        <v>39</v>
      </c>
      <c r="F88" s="6">
        <v>31.0996725</v>
      </c>
      <c r="G88" s="7">
        <v>8.8801169999999999E-3</v>
      </c>
      <c r="H88" s="67"/>
    </row>
    <row r="89" spans="1:8" x14ac:dyDescent="0.2">
      <c r="A89" s="3">
        <v>83</v>
      </c>
      <c r="B89" s="4" t="s">
        <v>657</v>
      </c>
      <c r="C89" s="4" t="s">
        <v>658</v>
      </c>
      <c r="D89" s="4" t="s">
        <v>84</v>
      </c>
      <c r="E89" s="5">
        <v>1108</v>
      </c>
      <c r="F89" s="6">
        <v>30.379698000000001</v>
      </c>
      <c r="G89" s="7">
        <v>8.6745369999999995E-3</v>
      </c>
      <c r="H89" s="67"/>
    </row>
    <row r="90" spans="1:8" x14ac:dyDescent="0.2">
      <c r="A90" s="3">
        <v>84</v>
      </c>
      <c r="B90" s="4" t="s">
        <v>659</v>
      </c>
      <c r="C90" s="4" t="s">
        <v>660</v>
      </c>
      <c r="D90" s="4" t="s">
        <v>41</v>
      </c>
      <c r="E90" s="5">
        <v>2804</v>
      </c>
      <c r="F90" s="6">
        <v>29.956534000000001</v>
      </c>
      <c r="G90" s="7">
        <v>8.5537080000000001E-3</v>
      </c>
      <c r="H90" s="67"/>
    </row>
    <row r="91" spans="1:8" x14ac:dyDescent="0.2">
      <c r="A91" s="3">
        <v>85</v>
      </c>
      <c r="B91" s="4" t="s">
        <v>259</v>
      </c>
      <c r="C91" s="4" t="s">
        <v>260</v>
      </c>
      <c r="D91" s="4" t="s">
        <v>261</v>
      </c>
      <c r="E91" s="5">
        <v>4028</v>
      </c>
      <c r="F91" s="6">
        <v>29.85755</v>
      </c>
      <c r="G91" s="7">
        <v>8.5254449999999996E-3</v>
      </c>
      <c r="H91" s="67"/>
    </row>
    <row r="92" spans="1:8" x14ac:dyDescent="0.2">
      <c r="A92" s="3">
        <v>86</v>
      </c>
      <c r="B92" s="4" t="s">
        <v>661</v>
      </c>
      <c r="C92" s="4" t="s">
        <v>662</v>
      </c>
      <c r="D92" s="4" t="s">
        <v>187</v>
      </c>
      <c r="E92" s="5">
        <v>8194</v>
      </c>
      <c r="F92" s="6">
        <v>29.404169</v>
      </c>
      <c r="G92" s="7">
        <v>8.3959870000000006E-3</v>
      </c>
      <c r="H92" s="67"/>
    </row>
    <row r="93" spans="1:8" x14ac:dyDescent="0.2">
      <c r="A93" s="3">
        <v>87</v>
      </c>
      <c r="B93" s="4" t="s">
        <v>663</v>
      </c>
      <c r="C93" s="4" t="s">
        <v>664</v>
      </c>
      <c r="D93" s="4" t="s">
        <v>171</v>
      </c>
      <c r="E93" s="5">
        <v>212</v>
      </c>
      <c r="F93" s="6">
        <v>29.381504</v>
      </c>
      <c r="G93" s="7">
        <v>8.3895159999999996E-3</v>
      </c>
      <c r="H93" s="67"/>
    </row>
    <row r="94" spans="1:8" x14ac:dyDescent="0.2">
      <c r="A94" s="3">
        <v>88</v>
      </c>
      <c r="B94" s="4" t="s">
        <v>556</v>
      </c>
      <c r="C94" s="4" t="s">
        <v>557</v>
      </c>
      <c r="D94" s="4" t="s">
        <v>84</v>
      </c>
      <c r="E94" s="5">
        <v>424</v>
      </c>
      <c r="F94" s="6">
        <v>29.027463999999998</v>
      </c>
      <c r="G94" s="7">
        <v>8.2884240000000008E-3</v>
      </c>
      <c r="H94" s="67"/>
    </row>
    <row r="95" spans="1:8" x14ac:dyDescent="0.2">
      <c r="A95" s="3">
        <v>89</v>
      </c>
      <c r="B95" s="4" t="s">
        <v>665</v>
      </c>
      <c r="C95" s="4" t="s">
        <v>666</v>
      </c>
      <c r="D95" s="4" t="s">
        <v>16</v>
      </c>
      <c r="E95" s="5">
        <v>10862</v>
      </c>
      <c r="F95" s="6">
        <v>28.958092000000001</v>
      </c>
      <c r="G95" s="7">
        <v>8.2686159999999995E-3</v>
      </c>
      <c r="H95" s="67"/>
    </row>
    <row r="96" spans="1:8" x14ac:dyDescent="0.2">
      <c r="A96" s="3">
        <v>90</v>
      </c>
      <c r="B96" s="4" t="s">
        <v>667</v>
      </c>
      <c r="C96" s="4" t="s">
        <v>668</v>
      </c>
      <c r="D96" s="4" t="s">
        <v>187</v>
      </c>
      <c r="E96" s="5">
        <v>5210</v>
      </c>
      <c r="F96" s="6">
        <v>28.871214999999999</v>
      </c>
      <c r="G96" s="7">
        <v>8.2438089999999995E-3</v>
      </c>
      <c r="H96" s="67"/>
    </row>
    <row r="97" spans="1:8" x14ac:dyDescent="0.2">
      <c r="A97" s="3">
        <v>91</v>
      </c>
      <c r="B97" s="4" t="s">
        <v>568</v>
      </c>
      <c r="C97" s="4" t="s">
        <v>569</v>
      </c>
      <c r="D97" s="4" t="s">
        <v>84</v>
      </c>
      <c r="E97" s="5">
        <v>774</v>
      </c>
      <c r="F97" s="6">
        <v>28.853559000000001</v>
      </c>
      <c r="G97" s="7">
        <v>8.2387680000000005E-3</v>
      </c>
      <c r="H97" s="67"/>
    </row>
    <row r="98" spans="1:8" x14ac:dyDescent="0.2">
      <c r="A98" s="3">
        <v>92</v>
      </c>
      <c r="B98" s="4" t="s">
        <v>669</v>
      </c>
      <c r="C98" s="4" t="s">
        <v>670</v>
      </c>
      <c r="D98" s="4" t="s">
        <v>19</v>
      </c>
      <c r="E98" s="5">
        <v>13277</v>
      </c>
      <c r="F98" s="6">
        <v>28.592019499999999</v>
      </c>
      <c r="G98" s="7">
        <v>8.1640879999999999E-3</v>
      </c>
      <c r="H98" s="67"/>
    </row>
    <row r="99" spans="1:8" x14ac:dyDescent="0.2">
      <c r="A99" s="3">
        <v>93</v>
      </c>
      <c r="B99" s="4" t="s">
        <v>499</v>
      </c>
      <c r="C99" s="4" t="s">
        <v>500</v>
      </c>
      <c r="D99" s="4" t="s">
        <v>187</v>
      </c>
      <c r="E99" s="5">
        <v>607</v>
      </c>
      <c r="F99" s="6">
        <v>28.553583499999998</v>
      </c>
      <c r="G99" s="7">
        <v>8.153113E-3</v>
      </c>
      <c r="H99" s="67"/>
    </row>
    <row r="100" spans="1:8" x14ac:dyDescent="0.2">
      <c r="A100" s="3">
        <v>94</v>
      </c>
      <c r="B100" s="4" t="s">
        <v>671</v>
      </c>
      <c r="C100" s="4" t="s">
        <v>672</v>
      </c>
      <c r="D100" s="4" t="s">
        <v>24</v>
      </c>
      <c r="E100" s="5">
        <v>76654</v>
      </c>
      <c r="F100" s="6">
        <v>28.093691</v>
      </c>
      <c r="G100" s="7">
        <v>8.0217970000000006E-3</v>
      </c>
      <c r="H100" s="67"/>
    </row>
    <row r="101" spans="1:8" x14ac:dyDescent="0.2">
      <c r="A101" s="3">
        <v>95</v>
      </c>
      <c r="B101" s="4" t="s">
        <v>673</v>
      </c>
      <c r="C101" s="4" t="s">
        <v>674</v>
      </c>
      <c r="D101" s="4" t="s">
        <v>654</v>
      </c>
      <c r="E101" s="5">
        <v>18212</v>
      </c>
      <c r="F101" s="6">
        <v>28.055586000000002</v>
      </c>
      <c r="G101" s="7">
        <v>8.0109169999999993E-3</v>
      </c>
      <c r="H101" s="67"/>
    </row>
    <row r="102" spans="1:8" x14ac:dyDescent="0.2">
      <c r="A102" s="3">
        <v>96</v>
      </c>
      <c r="B102" s="4" t="s">
        <v>675</v>
      </c>
      <c r="C102" s="4" t="s">
        <v>676</v>
      </c>
      <c r="D102" s="4" t="s">
        <v>24</v>
      </c>
      <c r="E102" s="5">
        <v>9764</v>
      </c>
      <c r="F102" s="6">
        <v>27.827400000000001</v>
      </c>
      <c r="G102" s="7">
        <v>7.9457610000000008E-3</v>
      </c>
      <c r="H102" s="67"/>
    </row>
    <row r="103" spans="1:8" x14ac:dyDescent="0.2">
      <c r="A103" s="3">
        <v>97</v>
      </c>
      <c r="B103" s="4" t="s">
        <v>497</v>
      </c>
      <c r="C103" s="4" t="s">
        <v>498</v>
      </c>
      <c r="D103" s="4" t="s">
        <v>84</v>
      </c>
      <c r="E103" s="5">
        <v>9549</v>
      </c>
      <c r="F103" s="6">
        <v>27.434277000000002</v>
      </c>
      <c r="G103" s="7">
        <v>7.8335100000000001E-3</v>
      </c>
      <c r="H103" s="67"/>
    </row>
    <row r="104" spans="1:8" x14ac:dyDescent="0.2">
      <c r="A104" s="3">
        <v>98</v>
      </c>
      <c r="B104" s="4" t="s">
        <v>677</v>
      </c>
      <c r="C104" s="4" t="s">
        <v>678</v>
      </c>
      <c r="D104" s="4" t="s">
        <v>187</v>
      </c>
      <c r="E104" s="5">
        <v>2827</v>
      </c>
      <c r="F104" s="6">
        <v>27.078419499999999</v>
      </c>
      <c r="G104" s="7">
        <v>7.7318990000000004E-3</v>
      </c>
      <c r="H104" s="67"/>
    </row>
    <row r="105" spans="1:8" x14ac:dyDescent="0.2">
      <c r="A105" s="3">
        <v>99</v>
      </c>
      <c r="B105" s="4" t="s">
        <v>679</v>
      </c>
      <c r="C105" s="4" t="s">
        <v>680</v>
      </c>
      <c r="D105" s="4" t="s">
        <v>24</v>
      </c>
      <c r="E105" s="5">
        <v>238552</v>
      </c>
      <c r="F105" s="6">
        <v>25.763615999999999</v>
      </c>
      <c r="G105" s="7">
        <v>7.356474E-3</v>
      </c>
      <c r="H105" s="67"/>
    </row>
    <row r="106" spans="1:8" x14ac:dyDescent="0.2">
      <c r="A106" s="3">
        <v>100</v>
      </c>
      <c r="B106" s="4" t="s">
        <v>681</v>
      </c>
      <c r="C106" s="4" t="s">
        <v>682</v>
      </c>
      <c r="D106" s="4" t="s">
        <v>187</v>
      </c>
      <c r="E106" s="5">
        <v>3447</v>
      </c>
      <c r="F106" s="6">
        <v>25.070031</v>
      </c>
      <c r="G106" s="7">
        <v>7.158429E-3</v>
      </c>
      <c r="H106" s="67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9">
        <v>3463.5406830000002</v>
      </c>
      <c r="G107" s="10">
        <v>0.98897009499999999</v>
      </c>
      <c r="H107" s="67"/>
    </row>
    <row r="108" spans="1:8" x14ac:dyDescent="0.2">
      <c r="A108" s="1"/>
      <c r="B108" s="1"/>
      <c r="C108" s="11"/>
      <c r="D108" s="1"/>
      <c r="E108" s="1"/>
      <c r="F108" s="12"/>
      <c r="G108" s="12"/>
      <c r="H108" s="67"/>
    </row>
    <row r="109" spans="1:8" x14ac:dyDescent="0.2">
      <c r="A109" s="1"/>
      <c r="B109" s="1"/>
      <c r="C109" s="2" t="s">
        <v>107</v>
      </c>
      <c r="D109" s="1"/>
      <c r="E109" s="1"/>
      <c r="F109" s="1"/>
      <c r="G109" s="1"/>
      <c r="H109" s="67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7"/>
    </row>
    <row r="111" spans="1:8" x14ac:dyDescent="0.2">
      <c r="A111" s="1"/>
      <c r="B111" s="1"/>
      <c r="C111" s="11"/>
      <c r="D111" s="1"/>
      <c r="E111" s="1"/>
      <c r="F111" s="12"/>
      <c r="G111" s="12"/>
      <c r="H111" s="67"/>
    </row>
    <row r="112" spans="1:8" x14ac:dyDescent="0.2">
      <c r="A112" s="1"/>
      <c r="B112" s="1"/>
      <c r="C112" s="2" t="s">
        <v>108</v>
      </c>
      <c r="D112" s="1"/>
      <c r="E112" s="1"/>
      <c r="F112" s="1"/>
      <c r="G112" s="1"/>
      <c r="H112" s="67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">
        <v>0</v>
      </c>
      <c r="H113" s="67"/>
    </row>
    <row r="114" spans="1:8" x14ac:dyDescent="0.2">
      <c r="A114" s="1"/>
      <c r="B114" s="1"/>
      <c r="C114" s="11"/>
      <c r="D114" s="1"/>
      <c r="E114" s="1"/>
      <c r="F114" s="12"/>
      <c r="G114" s="12"/>
      <c r="H114" s="67"/>
    </row>
    <row r="115" spans="1:8" x14ac:dyDescent="0.2">
      <c r="A115" s="1"/>
      <c r="B115" s="1"/>
      <c r="C115" s="2" t="s">
        <v>109</v>
      </c>
      <c r="D115" s="1"/>
      <c r="E115" s="1"/>
      <c r="F115" s="1"/>
      <c r="G115" s="1"/>
      <c r="H115" s="67"/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13">
        <v>0</v>
      </c>
      <c r="G116" s="14">
        <v>0</v>
      </c>
      <c r="H116" s="67"/>
    </row>
    <row r="117" spans="1:8" x14ac:dyDescent="0.2">
      <c r="A117" s="1"/>
      <c r="B117" s="1"/>
      <c r="C117" s="11"/>
      <c r="D117" s="1"/>
      <c r="E117" s="1"/>
      <c r="F117" s="12"/>
      <c r="G117" s="12"/>
      <c r="H117" s="67"/>
    </row>
    <row r="118" spans="1:8" x14ac:dyDescent="0.2">
      <c r="A118" s="1"/>
      <c r="B118" s="1"/>
      <c r="C118" s="2" t="s">
        <v>110</v>
      </c>
      <c r="D118" s="1"/>
      <c r="E118" s="1"/>
      <c r="F118" s="12"/>
      <c r="G118" s="12"/>
      <c r="H118" s="67"/>
    </row>
    <row r="119" spans="1:8" x14ac:dyDescent="0.2">
      <c r="A119" s="1"/>
      <c r="B119" s="1"/>
      <c r="C119" s="2" t="s">
        <v>105</v>
      </c>
      <c r="D119" s="1"/>
      <c r="E119" s="1" t="s">
        <v>106</v>
      </c>
      <c r="F119" s="13">
        <v>0</v>
      </c>
      <c r="G119" s="14">
        <v>0</v>
      </c>
      <c r="H119" s="67"/>
    </row>
    <row r="120" spans="1:8" x14ac:dyDescent="0.2">
      <c r="A120" s="1"/>
      <c r="B120" s="1"/>
      <c r="C120" s="11"/>
      <c r="D120" s="1"/>
      <c r="E120" s="1"/>
      <c r="F120" s="12"/>
      <c r="G120" s="12"/>
      <c r="H120" s="67"/>
    </row>
    <row r="121" spans="1:8" x14ac:dyDescent="0.2">
      <c r="A121" s="1"/>
      <c r="B121" s="1"/>
      <c r="C121" s="2" t="s">
        <v>111</v>
      </c>
      <c r="D121" s="1"/>
      <c r="E121" s="1"/>
      <c r="F121" s="12"/>
      <c r="G121" s="12"/>
      <c r="H121" s="67"/>
    </row>
    <row r="122" spans="1:8" x14ac:dyDescent="0.2">
      <c r="A122" s="1"/>
      <c r="B122" s="1"/>
      <c r="C122" s="2" t="s">
        <v>105</v>
      </c>
      <c r="D122" s="1"/>
      <c r="E122" s="1" t="s">
        <v>106</v>
      </c>
      <c r="F122" s="13">
        <v>0</v>
      </c>
      <c r="G122" s="14">
        <v>0</v>
      </c>
      <c r="H122" s="67"/>
    </row>
    <row r="123" spans="1:8" x14ac:dyDescent="0.2">
      <c r="A123" s="1"/>
      <c r="B123" s="1"/>
      <c r="C123" s="11"/>
      <c r="D123" s="1"/>
      <c r="E123" s="1"/>
      <c r="F123" s="12"/>
      <c r="G123" s="12"/>
      <c r="H123" s="67"/>
    </row>
    <row r="124" spans="1:8" x14ac:dyDescent="0.2">
      <c r="A124" s="1"/>
      <c r="B124" s="1"/>
      <c r="C124" s="2" t="s">
        <v>112</v>
      </c>
      <c r="D124" s="1"/>
      <c r="E124" s="1"/>
      <c r="F124" s="9">
        <v>3463.5406830000002</v>
      </c>
      <c r="G124" s="10">
        <v>0.98897009499999999</v>
      </c>
      <c r="H124" s="67"/>
    </row>
    <row r="125" spans="1:8" x14ac:dyDescent="0.2">
      <c r="A125" s="1"/>
      <c r="B125" s="1"/>
      <c r="C125" s="11"/>
      <c r="D125" s="1"/>
      <c r="E125" s="1"/>
      <c r="F125" s="12"/>
      <c r="G125" s="12"/>
      <c r="H125" s="67"/>
    </row>
    <row r="126" spans="1:8" x14ac:dyDescent="0.2">
      <c r="A126" s="1"/>
      <c r="B126" s="1"/>
      <c r="C126" s="2" t="s">
        <v>113</v>
      </c>
      <c r="D126" s="1"/>
      <c r="E126" s="1"/>
      <c r="F126" s="12"/>
      <c r="G126" s="12"/>
      <c r="H126" s="67"/>
    </row>
    <row r="127" spans="1:8" ht="25.5" x14ac:dyDescent="0.2">
      <c r="A127" s="1"/>
      <c r="B127" s="1"/>
      <c r="C127" s="2" t="s">
        <v>10</v>
      </c>
      <c r="D127" s="1"/>
      <c r="E127" s="1"/>
      <c r="F127" s="12"/>
      <c r="G127" s="12"/>
      <c r="H127" s="67"/>
    </row>
    <row r="128" spans="1:8" ht="25.5" x14ac:dyDescent="0.2">
      <c r="A128" s="3">
        <v>1</v>
      </c>
      <c r="B128" s="4" t="s">
        <v>683</v>
      </c>
      <c r="C128" s="4" t="s">
        <v>684</v>
      </c>
      <c r="D128" s="4" t="s">
        <v>685</v>
      </c>
      <c r="E128" s="5">
        <v>828</v>
      </c>
      <c r="F128" s="6">
        <v>0.24222643199999999</v>
      </c>
      <c r="G128" s="7">
        <v>6.9165000000000006E-5</v>
      </c>
      <c r="H128" s="148">
        <v>5.14</v>
      </c>
    </row>
    <row r="129" spans="1:8" x14ac:dyDescent="0.2">
      <c r="A129" s="1"/>
      <c r="B129" s="1"/>
      <c r="C129" s="2" t="s">
        <v>105</v>
      </c>
      <c r="D129" s="1"/>
      <c r="E129" s="1" t="s">
        <v>106</v>
      </c>
      <c r="F129" s="9">
        <v>0.24222643199999999</v>
      </c>
      <c r="G129" s="10">
        <v>6.9165000000000006E-5</v>
      </c>
      <c r="H129" s="67"/>
    </row>
    <row r="130" spans="1:8" x14ac:dyDescent="0.2">
      <c r="A130" s="1"/>
      <c r="B130" s="1"/>
      <c r="C130" s="11"/>
      <c r="D130" s="1"/>
      <c r="E130" s="1"/>
      <c r="F130" s="12"/>
      <c r="G130" s="12"/>
      <c r="H130" s="67"/>
    </row>
    <row r="131" spans="1:8" x14ac:dyDescent="0.2">
      <c r="A131" s="1"/>
      <c r="B131" s="1"/>
      <c r="C131" s="2" t="s">
        <v>114</v>
      </c>
      <c r="D131" s="1"/>
      <c r="E131" s="1"/>
      <c r="F131" s="1"/>
      <c r="G131" s="1"/>
      <c r="H131" s="67"/>
    </row>
    <row r="132" spans="1:8" x14ac:dyDescent="0.2">
      <c r="A132" s="1"/>
      <c r="B132" s="1"/>
      <c r="C132" s="2" t="s">
        <v>105</v>
      </c>
      <c r="D132" s="1"/>
      <c r="E132" s="1" t="s">
        <v>106</v>
      </c>
      <c r="F132" s="13">
        <v>0</v>
      </c>
      <c r="G132" s="14">
        <v>0</v>
      </c>
      <c r="H132" s="67"/>
    </row>
    <row r="133" spans="1:8" x14ac:dyDescent="0.2">
      <c r="A133" s="1"/>
      <c r="B133" s="1"/>
      <c r="C133" s="11"/>
      <c r="D133" s="1"/>
      <c r="E133" s="1"/>
      <c r="F133" s="12"/>
      <c r="G133" s="12"/>
      <c r="H133" s="67"/>
    </row>
    <row r="134" spans="1:8" x14ac:dyDescent="0.2">
      <c r="A134" s="1"/>
      <c r="B134" s="1"/>
      <c r="C134" s="2" t="s">
        <v>115</v>
      </c>
      <c r="D134" s="1"/>
      <c r="E134" s="1"/>
      <c r="F134" s="1"/>
      <c r="G134" s="1"/>
      <c r="H134" s="67"/>
    </row>
    <row r="135" spans="1:8" x14ac:dyDescent="0.2">
      <c r="A135" s="1"/>
      <c r="B135" s="1"/>
      <c r="C135" s="2" t="s">
        <v>105</v>
      </c>
      <c r="D135" s="1"/>
      <c r="E135" s="1" t="s">
        <v>106</v>
      </c>
      <c r="F135" s="13">
        <v>0</v>
      </c>
      <c r="G135" s="14">
        <v>0</v>
      </c>
      <c r="H135" s="67"/>
    </row>
    <row r="136" spans="1:8" x14ac:dyDescent="0.2">
      <c r="A136" s="1"/>
      <c r="B136" s="1"/>
      <c r="C136" s="11"/>
      <c r="D136" s="1"/>
      <c r="E136" s="1"/>
      <c r="F136" s="12"/>
      <c r="G136" s="12"/>
      <c r="H136" s="67"/>
    </row>
    <row r="137" spans="1:8" x14ac:dyDescent="0.2">
      <c r="A137" s="1"/>
      <c r="B137" s="1"/>
      <c r="C137" s="2" t="s">
        <v>116</v>
      </c>
      <c r="D137" s="1"/>
      <c r="E137" s="1"/>
      <c r="F137" s="12"/>
      <c r="G137" s="12"/>
      <c r="H137" s="67"/>
    </row>
    <row r="138" spans="1:8" x14ac:dyDescent="0.2">
      <c r="A138" s="1"/>
      <c r="B138" s="1"/>
      <c r="C138" s="2" t="s">
        <v>105</v>
      </c>
      <c r="D138" s="1"/>
      <c r="E138" s="1" t="s">
        <v>106</v>
      </c>
      <c r="F138" s="13">
        <v>0</v>
      </c>
      <c r="G138" s="14">
        <v>0</v>
      </c>
      <c r="H138" s="67"/>
    </row>
    <row r="139" spans="1:8" x14ac:dyDescent="0.2">
      <c r="A139" s="1"/>
      <c r="B139" s="1"/>
      <c r="C139" s="11"/>
      <c r="D139" s="1"/>
      <c r="E139" s="1"/>
      <c r="F139" s="12"/>
      <c r="G139" s="12"/>
      <c r="H139" s="67"/>
    </row>
    <row r="140" spans="1:8" x14ac:dyDescent="0.2">
      <c r="A140" s="1"/>
      <c r="B140" s="1"/>
      <c r="C140" s="2" t="s">
        <v>117</v>
      </c>
      <c r="D140" s="1"/>
      <c r="E140" s="1"/>
      <c r="F140" s="9">
        <v>0.24222643199999999</v>
      </c>
      <c r="G140" s="10">
        <v>6.9165000000000006E-5</v>
      </c>
      <c r="H140" s="67"/>
    </row>
    <row r="141" spans="1:8" x14ac:dyDescent="0.2">
      <c r="A141" s="1"/>
      <c r="B141" s="1"/>
      <c r="C141" s="11"/>
      <c r="D141" s="1"/>
      <c r="E141" s="1"/>
      <c r="F141" s="12"/>
      <c r="G141" s="12"/>
      <c r="H141" s="67"/>
    </row>
    <row r="142" spans="1:8" x14ac:dyDescent="0.2">
      <c r="A142" s="1"/>
      <c r="B142" s="1"/>
      <c r="C142" s="2" t="s">
        <v>118</v>
      </c>
      <c r="D142" s="1"/>
      <c r="E142" s="1"/>
      <c r="F142" s="12"/>
      <c r="G142" s="12"/>
      <c r="H142" s="67"/>
    </row>
    <row r="143" spans="1:8" x14ac:dyDescent="0.2">
      <c r="A143" s="1"/>
      <c r="B143" s="1"/>
      <c r="C143" s="2" t="s">
        <v>119</v>
      </c>
      <c r="D143" s="1"/>
      <c r="E143" s="1"/>
      <c r="F143" s="12"/>
      <c r="G143" s="12"/>
      <c r="H143" s="67"/>
    </row>
    <row r="144" spans="1:8" x14ac:dyDescent="0.2">
      <c r="A144" s="1"/>
      <c r="B144" s="1"/>
      <c r="C144" s="2" t="s">
        <v>105</v>
      </c>
      <c r="D144" s="1"/>
      <c r="E144" s="1" t="s">
        <v>106</v>
      </c>
      <c r="F144" s="13">
        <v>0</v>
      </c>
      <c r="G144" s="14">
        <v>0</v>
      </c>
      <c r="H144" s="67"/>
    </row>
    <row r="145" spans="1:8" x14ac:dyDescent="0.2">
      <c r="A145" s="1"/>
      <c r="B145" s="1"/>
      <c r="C145" s="11"/>
      <c r="D145" s="1"/>
      <c r="E145" s="1"/>
      <c r="F145" s="12"/>
      <c r="G145" s="12"/>
      <c r="H145" s="67"/>
    </row>
    <row r="146" spans="1:8" x14ac:dyDescent="0.2">
      <c r="A146" s="1"/>
      <c r="B146" s="1"/>
      <c r="C146" s="2" t="s">
        <v>120</v>
      </c>
      <c r="D146" s="1"/>
      <c r="E146" s="1"/>
      <c r="F146" s="12"/>
      <c r="G146" s="12"/>
      <c r="H146" s="67"/>
    </row>
    <row r="147" spans="1:8" x14ac:dyDescent="0.2">
      <c r="A147" s="1"/>
      <c r="B147" s="1"/>
      <c r="C147" s="2" t="s">
        <v>105</v>
      </c>
      <c r="D147" s="1"/>
      <c r="E147" s="1" t="s">
        <v>106</v>
      </c>
      <c r="F147" s="13">
        <v>0</v>
      </c>
      <c r="G147" s="14">
        <v>0</v>
      </c>
      <c r="H147" s="67"/>
    </row>
    <row r="148" spans="1:8" x14ac:dyDescent="0.2">
      <c r="A148" s="1"/>
      <c r="B148" s="1"/>
      <c r="C148" s="11"/>
      <c r="D148" s="1"/>
      <c r="E148" s="1"/>
      <c r="F148" s="12"/>
      <c r="G148" s="12"/>
      <c r="H148" s="67"/>
    </row>
    <row r="149" spans="1:8" x14ac:dyDescent="0.2">
      <c r="A149" s="1"/>
      <c r="B149" s="1"/>
      <c r="C149" s="2" t="s">
        <v>121</v>
      </c>
      <c r="D149" s="1"/>
      <c r="E149" s="1"/>
      <c r="F149" s="12"/>
      <c r="G149" s="12"/>
      <c r="H149" s="67"/>
    </row>
    <row r="150" spans="1:8" x14ac:dyDescent="0.2">
      <c r="A150" s="1"/>
      <c r="B150" s="1"/>
      <c r="C150" s="2" t="s">
        <v>105</v>
      </c>
      <c r="D150" s="1"/>
      <c r="E150" s="1" t="s">
        <v>106</v>
      </c>
      <c r="F150" s="13">
        <v>0</v>
      </c>
      <c r="G150" s="14">
        <v>0</v>
      </c>
      <c r="H150" s="67"/>
    </row>
    <row r="151" spans="1:8" x14ac:dyDescent="0.2">
      <c r="A151" s="1"/>
      <c r="B151" s="1"/>
      <c r="C151" s="11"/>
      <c r="D151" s="1"/>
      <c r="E151" s="1"/>
      <c r="F151" s="12"/>
      <c r="G151" s="12"/>
      <c r="H151" s="67"/>
    </row>
    <row r="152" spans="1:8" x14ac:dyDescent="0.2">
      <c r="A152" s="1"/>
      <c r="B152" s="1"/>
      <c r="C152" s="2" t="s">
        <v>122</v>
      </c>
      <c r="D152" s="1"/>
      <c r="E152" s="1"/>
      <c r="F152" s="12"/>
      <c r="G152" s="12"/>
      <c r="H152" s="67"/>
    </row>
    <row r="153" spans="1:8" x14ac:dyDescent="0.2">
      <c r="A153" s="3">
        <v>1</v>
      </c>
      <c r="B153" s="4"/>
      <c r="C153" s="4" t="s">
        <v>123</v>
      </c>
      <c r="D153" s="4"/>
      <c r="E153" s="8"/>
      <c r="F153" s="6">
        <v>55.589071500000003</v>
      </c>
      <c r="G153" s="7">
        <v>1.5872753999999999E-2</v>
      </c>
      <c r="H153" s="67">
        <v>3.1047477660654299</v>
      </c>
    </row>
    <row r="154" spans="1:8" x14ac:dyDescent="0.2">
      <c r="A154" s="1"/>
      <c r="B154" s="1"/>
      <c r="C154" s="2" t="s">
        <v>105</v>
      </c>
      <c r="D154" s="1"/>
      <c r="E154" s="1" t="s">
        <v>106</v>
      </c>
      <c r="F154" s="9">
        <v>55.589071500000003</v>
      </c>
      <c r="G154" s="10">
        <v>1.5872753999999999E-2</v>
      </c>
      <c r="H154" s="67"/>
    </row>
    <row r="155" spans="1:8" x14ac:dyDescent="0.2">
      <c r="A155" s="1"/>
      <c r="B155" s="1"/>
      <c r="C155" s="11"/>
      <c r="D155" s="1"/>
      <c r="E155" s="1"/>
      <c r="F155" s="12"/>
      <c r="G155" s="12"/>
      <c r="H155" s="67"/>
    </row>
    <row r="156" spans="1:8" x14ac:dyDescent="0.2">
      <c r="A156" s="1"/>
      <c r="B156" s="1"/>
      <c r="C156" s="2" t="s">
        <v>124</v>
      </c>
      <c r="D156" s="1"/>
      <c r="E156" s="1"/>
      <c r="F156" s="9">
        <v>55.589071500000003</v>
      </c>
      <c r="G156" s="10">
        <v>1.5872753999999999E-2</v>
      </c>
      <c r="H156" s="67"/>
    </row>
    <row r="157" spans="1:8" x14ac:dyDescent="0.2">
      <c r="A157" s="1"/>
      <c r="B157" s="1"/>
      <c r="C157" s="12"/>
      <c r="D157" s="1"/>
      <c r="E157" s="1"/>
      <c r="F157" s="1"/>
      <c r="G157" s="1"/>
      <c r="H157" s="67"/>
    </row>
    <row r="158" spans="1:8" x14ac:dyDescent="0.2">
      <c r="A158" s="1"/>
      <c r="B158" s="1"/>
      <c r="C158" s="2" t="s">
        <v>125</v>
      </c>
      <c r="D158" s="1"/>
      <c r="E158" s="1"/>
      <c r="F158" s="1"/>
      <c r="G158" s="1"/>
      <c r="H158" s="67"/>
    </row>
    <row r="159" spans="1:8" x14ac:dyDescent="0.2">
      <c r="A159" s="1"/>
      <c r="B159" s="1"/>
      <c r="C159" s="2" t="s">
        <v>126</v>
      </c>
      <c r="D159" s="1"/>
      <c r="E159" s="1"/>
      <c r="F159" s="1"/>
      <c r="G159" s="1"/>
      <c r="H159" s="67"/>
    </row>
    <row r="160" spans="1:8" x14ac:dyDescent="0.2">
      <c r="A160" s="1"/>
      <c r="B160" s="1"/>
      <c r="C160" s="2" t="s">
        <v>105</v>
      </c>
      <c r="D160" s="1"/>
      <c r="E160" s="1" t="s">
        <v>106</v>
      </c>
      <c r="F160" s="13">
        <v>0</v>
      </c>
      <c r="G160" s="14">
        <v>0</v>
      </c>
      <c r="H160" s="67"/>
    </row>
    <row r="161" spans="1:8" x14ac:dyDescent="0.2">
      <c r="A161" s="1"/>
      <c r="B161" s="1"/>
      <c r="C161" s="11"/>
      <c r="D161" s="1"/>
      <c r="E161" s="1"/>
      <c r="F161" s="12"/>
      <c r="G161" s="12"/>
      <c r="H161" s="67"/>
    </row>
    <row r="162" spans="1:8" x14ac:dyDescent="0.2">
      <c r="A162" s="1"/>
      <c r="B162" s="1"/>
      <c r="C162" s="2" t="s">
        <v>127</v>
      </c>
      <c r="D162" s="1"/>
      <c r="E162" s="1"/>
      <c r="F162" s="1"/>
      <c r="G162" s="1"/>
      <c r="H162" s="67"/>
    </row>
    <row r="163" spans="1:8" x14ac:dyDescent="0.2">
      <c r="A163" s="1"/>
      <c r="B163" s="1"/>
      <c r="C163" s="2" t="s">
        <v>128</v>
      </c>
      <c r="D163" s="1"/>
      <c r="E163" s="1"/>
      <c r="F163" s="1"/>
      <c r="G163" s="1"/>
      <c r="H163" s="67"/>
    </row>
    <row r="164" spans="1:8" x14ac:dyDescent="0.2">
      <c r="A164" s="1"/>
      <c r="B164" s="1"/>
      <c r="C164" s="2" t="s">
        <v>105</v>
      </c>
      <c r="D164" s="1"/>
      <c r="E164" s="1" t="s">
        <v>106</v>
      </c>
      <c r="F164" s="13">
        <v>0</v>
      </c>
      <c r="G164" s="14">
        <v>0</v>
      </c>
      <c r="H164" s="67"/>
    </row>
    <row r="165" spans="1:8" x14ac:dyDescent="0.2">
      <c r="A165" s="1"/>
      <c r="B165" s="1"/>
      <c r="C165" s="11"/>
      <c r="D165" s="1"/>
      <c r="E165" s="1"/>
      <c r="F165" s="12"/>
      <c r="G165" s="12"/>
      <c r="H165" s="67"/>
    </row>
    <row r="166" spans="1:8" x14ac:dyDescent="0.2">
      <c r="A166" s="1"/>
      <c r="B166" s="1"/>
      <c r="C166" s="11"/>
      <c r="D166" s="1"/>
      <c r="E166" s="1"/>
      <c r="F166" s="12"/>
      <c r="G166" s="12"/>
      <c r="H166" s="67"/>
    </row>
    <row r="167" spans="1:8" ht="25.5" x14ac:dyDescent="0.2">
      <c r="A167" s="1"/>
      <c r="B167" s="1"/>
      <c r="C167" s="2" t="s">
        <v>129</v>
      </c>
      <c r="D167" s="1"/>
      <c r="E167" s="1"/>
      <c r="F167" s="12"/>
      <c r="G167" s="12"/>
      <c r="H167" s="67"/>
    </row>
    <row r="168" spans="1:8" x14ac:dyDescent="0.2">
      <c r="A168" s="1"/>
      <c r="B168" s="1"/>
      <c r="C168" s="2" t="s">
        <v>105</v>
      </c>
      <c r="D168" s="1"/>
      <c r="E168" s="1" t="s">
        <v>106</v>
      </c>
      <c r="F168" s="13">
        <v>0</v>
      </c>
      <c r="G168" s="14">
        <v>0</v>
      </c>
      <c r="H168" s="67"/>
    </row>
    <row r="169" spans="1:8" x14ac:dyDescent="0.2">
      <c r="A169" s="1"/>
      <c r="B169" s="1"/>
      <c r="C169" s="11"/>
      <c r="D169" s="1"/>
      <c r="E169" s="1"/>
      <c r="F169" s="12"/>
      <c r="G169" s="12"/>
      <c r="H169" s="67"/>
    </row>
    <row r="170" spans="1:8" x14ac:dyDescent="0.2">
      <c r="A170" s="1"/>
      <c r="B170" s="4"/>
      <c r="C170" s="4"/>
      <c r="D170" s="2"/>
      <c r="E170" s="1"/>
      <c r="F170" s="4"/>
      <c r="G170" s="8"/>
      <c r="H170" s="67"/>
    </row>
    <row r="171" spans="1:8" x14ac:dyDescent="0.2">
      <c r="A171" s="8"/>
      <c r="B171" s="4"/>
      <c r="C171" s="4" t="s">
        <v>971</v>
      </c>
      <c r="D171" s="4"/>
      <c r="E171" s="8"/>
      <c r="F171" s="6">
        <v>-17.202695500000001</v>
      </c>
      <c r="G171" s="7">
        <v>-4.912011E-3</v>
      </c>
      <c r="H171" s="67"/>
    </row>
    <row r="172" spans="1:8" x14ac:dyDescent="0.2">
      <c r="A172" s="11"/>
      <c r="B172" s="11"/>
      <c r="C172" s="2" t="s">
        <v>131</v>
      </c>
      <c r="D172" s="15"/>
      <c r="E172" s="15"/>
      <c r="F172" s="9">
        <v>3502.1692854319999</v>
      </c>
      <c r="G172" s="10">
        <v>1.000000003</v>
      </c>
      <c r="H172" s="67"/>
    </row>
    <row r="173" spans="1:8" ht="14.1" customHeight="1" x14ac:dyDescent="0.2">
      <c r="A173" s="16"/>
      <c r="B173" s="16"/>
      <c r="C173" s="16"/>
      <c r="D173" s="17"/>
      <c r="E173" s="17"/>
      <c r="F173" s="17"/>
      <c r="G173" s="17"/>
    </row>
    <row r="174" spans="1:8" s="98" customFormat="1" ht="17.100000000000001" customHeight="1" x14ac:dyDescent="0.2">
      <c r="A174" s="115"/>
      <c r="B174" s="177" t="s">
        <v>866</v>
      </c>
      <c r="C174" s="177"/>
      <c r="D174" s="177"/>
      <c r="E174" s="177"/>
      <c r="F174" s="177"/>
      <c r="G174" s="116"/>
    </row>
    <row r="175" spans="1:8" ht="14.1" customHeight="1" x14ac:dyDescent="0.2">
      <c r="A175" s="18"/>
      <c r="B175" s="170" t="s">
        <v>106</v>
      </c>
      <c r="C175" s="170"/>
      <c r="D175" s="170"/>
      <c r="E175" s="170"/>
      <c r="F175" s="170"/>
      <c r="G175" s="20"/>
    </row>
    <row r="176" spans="1:8" ht="14.1" customHeight="1" x14ac:dyDescent="0.2">
      <c r="A176" s="18"/>
      <c r="B176" s="18"/>
      <c r="C176" s="18"/>
      <c r="D176" s="20"/>
      <c r="E176" s="20"/>
      <c r="F176" s="20"/>
      <c r="G176" s="20"/>
    </row>
    <row r="177" spans="1:7" ht="14.1" customHeight="1" x14ac:dyDescent="0.2">
      <c r="A177" s="18"/>
      <c r="B177" s="168" t="s">
        <v>133</v>
      </c>
      <c r="C177" s="169"/>
      <c r="D177" s="12" t="s">
        <v>106</v>
      </c>
      <c r="E177" s="21"/>
      <c r="F177" s="20"/>
      <c r="G177" s="20"/>
    </row>
    <row r="178" spans="1:7" ht="29.1" customHeight="1" x14ac:dyDescent="0.2">
      <c r="A178" s="18"/>
      <c r="B178" s="165" t="s">
        <v>134</v>
      </c>
      <c r="C178" s="166"/>
      <c r="D178" s="2" t="s">
        <v>135</v>
      </c>
      <c r="E178" s="21"/>
      <c r="F178" s="20"/>
      <c r="G178" s="20"/>
    </row>
    <row r="179" spans="1:7" ht="17.100000000000001" customHeight="1" x14ac:dyDescent="0.2">
      <c r="A179" s="18"/>
      <c r="B179" s="165" t="s">
        <v>136</v>
      </c>
      <c r="C179" s="166"/>
      <c r="D179" s="2" t="s">
        <v>135</v>
      </c>
      <c r="E179" s="21"/>
      <c r="F179" s="20"/>
      <c r="G179" s="20"/>
    </row>
    <row r="180" spans="1:7" ht="17.100000000000001" customHeight="1" x14ac:dyDescent="0.2">
      <c r="A180" s="18"/>
      <c r="B180" s="165" t="s">
        <v>137</v>
      </c>
      <c r="C180" s="166"/>
      <c r="D180" s="12" t="s">
        <v>106</v>
      </c>
      <c r="E180" s="21"/>
      <c r="F180" s="20"/>
      <c r="G180" s="20"/>
    </row>
    <row r="181" spans="1:7" ht="24" customHeight="1" x14ac:dyDescent="0.2">
      <c r="A181" s="22"/>
      <c r="B181" s="23" t="s">
        <v>106</v>
      </c>
      <c r="C181" s="23" t="s">
        <v>138</v>
      </c>
      <c r="D181" s="23" t="s">
        <v>139</v>
      </c>
      <c r="E181" s="22"/>
      <c r="F181" s="22"/>
      <c r="G181" s="22"/>
    </row>
    <row r="182" spans="1:7" ht="18" customHeight="1" x14ac:dyDescent="0.2">
      <c r="A182" s="22"/>
      <c r="B182" s="23" t="s">
        <v>140</v>
      </c>
      <c r="C182" s="23" t="s">
        <v>141</v>
      </c>
      <c r="D182" s="23" t="s">
        <v>142</v>
      </c>
      <c r="E182" s="22"/>
      <c r="F182" s="22"/>
      <c r="G182" s="22"/>
    </row>
    <row r="183" spans="1:7" ht="17.100000000000001" customHeight="1" x14ac:dyDescent="0.2">
      <c r="A183" s="22"/>
      <c r="B183" s="4" t="s">
        <v>143</v>
      </c>
      <c r="C183" s="24">
        <v>17.309000000000001</v>
      </c>
      <c r="D183" s="24">
        <v>18.247599999999998</v>
      </c>
      <c r="E183" s="22"/>
      <c r="F183" s="19"/>
      <c r="G183" s="25"/>
    </row>
    <row r="184" spans="1:7" ht="17.100000000000001" customHeight="1" x14ac:dyDescent="0.2">
      <c r="A184" s="22"/>
      <c r="B184" s="4" t="s">
        <v>988</v>
      </c>
      <c r="C184" s="24">
        <v>15.4026</v>
      </c>
      <c r="D184" s="24">
        <v>16.2377</v>
      </c>
      <c r="E184" s="22"/>
      <c r="F184" s="19"/>
      <c r="G184" s="25"/>
    </row>
    <row r="185" spans="1:7" ht="17.100000000000001" customHeight="1" x14ac:dyDescent="0.2">
      <c r="A185" s="22"/>
      <c r="B185" s="4" t="s">
        <v>144</v>
      </c>
      <c r="C185" s="24">
        <v>16.791499999999999</v>
      </c>
      <c r="D185" s="24">
        <v>17.694800000000001</v>
      </c>
      <c r="E185" s="22"/>
      <c r="F185" s="19"/>
      <c r="G185" s="25"/>
    </row>
    <row r="186" spans="1:7" ht="17.100000000000001" customHeight="1" x14ac:dyDescent="0.2">
      <c r="A186" s="22"/>
      <c r="B186" s="4" t="s">
        <v>989</v>
      </c>
      <c r="C186" s="24">
        <v>14.9352</v>
      </c>
      <c r="D186" s="24">
        <v>15.7387</v>
      </c>
      <c r="E186" s="22"/>
      <c r="F186" s="19"/>
      <c r="G186" s="25"/>
    </row>
    <row r="187" spans="1:7" ht="14.1" customHeight="1" x14ac:dyDescent="0.2">
      <c r="A187" s="22"/>
      <c r="B187" s="22"/>
      <c r="C187" s="22"/>
      <c r="D187" s="22"/>
      <c r="E187" s="22"/>
      <c r="F187" s="22"/>
      <c r="G187" s="22"/>
    </row>
    <row r="188" spans="1:7" ht="17.100000000000001" customHeight="1" x14ac:dyDescent="0.2">
      <c r="A188" s="22"/>
      <c r="B188" s="165" t="s">
        <v>990</v>
      </c>
      <c r="C188" s="166"/>
      <c r="D188" s="2" t="s">
        <v>135</v>
      </c>
      <c r="E188" s="22"/>
      <c r="F188" s="22"/>
      <c r="G188" s="22"/>
    </row>
    <row r="189" spans="1:7" ht="18" customHeight="1" x14ac:dyDescent="0.2">
      <c r="A189" s="22"/>
      <c r="B189" s="26" t="s">
        <v>145</v>
      </c>
      <c r="C189" s="26" t="s">
        <v>145</v>
      </c>
      <c r="D189" s="26"/>
      <c r="E189" s="22"/>
      <c r="F189" s="22"/>
      <c r="G189" s="22"/>
    </row>
    <row r="190" spans="1:7" s="158" customFormat="1" x14ac:dyDescent="0.2">
      <c r="B190" s="167" t="s">
        <v>822</v>
      </c>
      <c r="C190" s="167"/>
      <c r="D190" s="167"/>
      <c r="E190" s="167"/>
      <c r="F190" s="167"/>
    </row>
    <row r="191" spans="1:7" ht="14.1" customHeight="1" x14ac:dyDescent="0.2">
      <c r="A191" s="22"/>
      <c r="B191" s="19"/>
      <c r="C191" s="19"/>
      <c r="D191" s="22"/>
      <c r="E191" s="22"/>
      <c r="F191" s="22"/>
      <c r="G191" s="22"/>
    </row>
    <row r="192" spans="1:7" ht="29.1" customHeight="1" x14ac:dyDescent="0.2">
      <c r="A192" s="22"/>
      <c r="B192" s="165" t="s">
        <v>146</v>
      </c>
      <c r="C192" s="166"/>
      <c r="D192" s="2" t="s">
        <v>135</v>
      </c>
      <c r="E192" s="22"/>
      <c r="F192" s="22"/>
      <c r="G192" s="22"/>
    </row>
    <row r="193" spans="1:7" ht="29.1" customHeight="1" x14ac:dyDescent="0.2">
      <c r="A193" s="22"/>
      <c r="B193" s="165" t="s">
        <v>147</v>
      </c>
      <c r="C193" s="166"/>
      <c r="D193" s="2" t="s">
        <v>135</v>
      </c>
      <c r="E193" s="22"/>
      <c r="F193" s="22"/>
      <c r="G193" s="22"/>
    </row>
    <row r="194" spans="1:7" s="98" customFormat="1" ht="17.100000000000001" customHeight="1" x14ac:dyDescent="0.2">
      <c r="A194" s="118"/>
      <c r="B194" s="175" t="s">
        <v>964</v>
      </c>
      <c r="C194" s="176"/>
      <c r="D194" s="126">
        <v>1.9346081607891656E-4</v>
      </c>
      <c r="E194" s="125"/>
      <c r="F194" s="118"/>
      <c r="G194" s="118"/>
    </row>
    <row r="195" spans="1:7" s="98" customFormat="1" ht="17.100000000000001" customHeight="1" x14ac:dyDescent="0.2">
      <c r="A195" s="118"/>
      <c r="B195" s="175" t="s">
        <v>965</v>
      </c>
      <c r="C195" s="176"/>
      <c r="D195" s="126">
        <v>0</v>
      </c>
      <c r="E195" s="125"/>
      <c r="F195" s="118"/>
      <c r="G195" s="118"/>
    </row>
    <row r="196" spans="1:7" ht="17.100000000000001" customHeight="1" x14ac:dyDescent="0.2">
      <c r="A196" s="22"/>
      <c r="B196" s="165" t="s">
        <v>966</v>
      </c>
      <c r="C196" s="166"/>
      <c r="D196" s="27">
        <v>0.56721934527990836</v>
      </c>
      <c r="E196" s="22"/>
      <c r="F196" s="19"/>
      <c r="G196" s="25"/>
    </row>
    <row r="197" spans="1:7" ht="17.100000000000001" customHeight="1" x14ac:dyDescent="0.2">
      <c r="A197" s="22"/>
      <c r="B197" s="165" t="s">
        <v>967</v>
      </c>
      <c r="C197" s="166"/>
      <c r="D197" s="2" t="s">
        <v>135</v>
      </c>
      <c r="E197" s="22"/>
      <c r="F197" s="22"/>
      <c r="G197" s="22"/>
    </row>
  </sheetData>
  <mergeCells count="17">
    <mergeCell ref="B177:C177"/>
    <mergeCell ref="B174:F174"/>
    <mergeCell ref="B175:F175"/>
    <mergeCell ref="A1:H1"/>
    <mergeCell ref="A2:H2"/>
    <mergeCell ref="A3:H3"/>
    <mergeCell ref="B196:C196"/>
    <mergeCell ref="B197:C197"/>
    <mergeCell ref="B178:C178"/>
    <mergeCell ref="B179:C179"/>
    <mergeCell ref="B180:C180"/>
    <mergeCell ref="B188:C188"/>
    <mergeCell ref="B192:C192"/>
    <mergeCell ref="B193:C193"/>
    <mergeCell ref="B194:C194"/>
    <mergeCell ref="B195:C195"/>
    <mergeCell ref="B190:F190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H14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686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22</v>
      </c>
      <c r="C7" s="4" t="s">
        <v>23</v>
      </c>
      <c r="D7" s="4" t="s">
        <v>24</v>
      </c>
      <c r="E7" s="5">
        <v>2475000</v>
      </c>
      <c r="F7" s="6">
        <v>17796.487499999999</v>
      </c>
      <c r="G7" s="7">
        <v>7.6067958000000005E-2</v>
      </c>
      <c r="H7" s="67"/>
    </row>
    <row r="8" spans="1:8" x14ac:dyDescent="0.2">
      <c r="A8" s="3">
        <v>2</v>
      </c>
      <c r="B8" s="4" t="s">
        <v>400</v>
      </c>
      <c r="C8" s="4" t="s">
        <v>401</v>
      </c>
      <c r="D8" s="4" t="s">
        <v>166</v>
      </c>
      <c r="E8" s="5">
        <v>1020000</v>
      </c>
      <c r="F8" s="6">
        <v>17405.79</v>
      </c>
      <c r="G8" s="7">
        <v>7.4397989999999997E-2</v>
      </c>
      <c r="H8" s="67"/>
    </row>
    <row r="9" spans="1:8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700000</v>
      </c>
      <c r="F9" s="6">
        <v>15807.05</v>
      </c>
      <c r="G9" s="7">
        <v>6.7564456999999994E-2</v>
      </c>
      <c r="H9" s="67"/>
    </row>
    <row r="10" spans="1:8" x14ac:dyDescent="0.2">
      <c r="A10" s="3">
        <v>4</v>
      </c>
      <c r="B10" s="4" t="s">
        <v>398</v>
      </c>
      <c r="C10" s="4" t="s">
        <v>399</v>
      </c>
      <c r="D10" s="4" t="s">
        <v>24</v>
      </c>
      <c r="E10" s="5">
        <v>945000</v>
      </c>
      <c r="F10" s="6">
        <v>14944.23</v>
      </c>
      <c r="G10" s="7">
        <v>6.3876483999999997E-2</v>
      </c>
      <c r="H10" s="67"/>
    </row>
    <row r="11" spans="1:8" ht="25.5" x14ac:dyDescent="0.2">
      <c r="A11" s="3">
        <v>5</v>
      </c>
      <c r="B11" s="4" t="s">
        <v>402</v>
      </c>
      <c r="C11" s="4" t="s">
        <v>403</v>
      </c>
      <c r="D11" s="4" t="s">
        <v>81</v>
      </c>
      <c r="E11" s="5">
        <v>367500</v>
      </c>
      <c r="F11" s="6">
        <v>10284.487499999999</v>
      </c>
      <c r="G11" s="7">
        <v>4.3959234E-2</v>
      </c>
      <c r="H11" s="67"/>
    </row>
    <row r="12" spans="1:8" x14ac:dyDescent="0.2">
      <c r="A12" s="3">
        <v>6</v>
      </c>
      <c r="B12" s="4" t="s">
        <v>354</v>
      </c>
      <c r="C12" s="4" t="s">
        <v>355</v>
      </c>
      <c r="D12" s="4" t="s">
        <v>24</v>
      </c>
      <c r="E12" s="5">
        <v>1270000</v>
      </c>
      <c r="F12" s="6">
        <v>9988.5499999999993</v>
      </c>
      <c r="G12" s="7">
        <v>4.2694300999999997E-2</v>
      </c>
      <c r="H12" s="67"/>
    </row>
    <row r="13" spans="1:8" x14ac:dyDescent="0.2">
      <c r="A13" s="3">
        <v>7</v>
      </c>
      <c r="B13" s="4" t="s">
        <v>364</v>
      </c>
      <c r="C13" s="4" t="s">
        <v>365</v>
      </c>
      <c r="D13" s="4" t="s">
        <v>166</v>
      </c>
      <c r="E13" s="5">
        <v>673000</v>
      </c>
      <c r="F13" s="6">
        <v>7956.8789999999999</v>
      </c>
      <c r="G13" s="7">
        <v>3.4010281000000003E-2</v>
      </c>
      <c r="H13" s="67"/>
    </row>
    <row r="14" spans="1:8" x14ac:dyDescent="0.2">
      <c r="A14" s="3">
        <v>8</v>
      </c>
      <c r="B14" s="4" t="s">
        <v>414</v>
      </c>
      <c r="C14" s="4" t="s">
        <v>415</v>
      </c>
      <c r="D14" s="4" t="s">
        <v>166</v>
      </c>
      <c r="E14" s="5">
        <v>200000</v>
      </c>
      <c r="F14" s="6">
        <v>7572.9</v>
      </c>
      <c r="G14" s="7">
        <v>3.236903E-2</v>
      </c>
      <c r="H14" s="67"/>
    </row>
    <row r="15" spans="1:8" x14ac:dyDescent="0.2">
      <c r="A15" s="3">
        <v>9</v>
      </c>
      <c r="B15" s="4" t="s">
        <v>404</v>
      </c>
      <c r="C15" s="4" t="s">
        <v>405</v>
      </c>
      <c r="D15" s="4" t="s">
        <v>24</v>
      </c>
      <c r="E15" s="5">
        <v>1700000</v>
      </c>
      <c r="F15" s="6">
        <v>7242.85</v>
      </c>
      <c r="G15" s="7">
        <v>3.0958289E-2</v>
      </c>
      <c r="H15" s="67"/>
    </row>
    <row r="16" spans="1:8" x14ac:dyDescent="0.2">
      <c r="A16" s="3">
        <v>10</v>
      </c>
      <c r="B16" s="4" t="s">
        <v>25</v>
      </c>
      <c r="C16" s="4" t="s">
        <v>26</v>
      </c>
      <c r="D16" s="4" t="s">
        <v>27</v>
      </c>
      <c r="E16" s="5">
        <v>540000</v>
      </c>
      <c r="F16" s="6">
        <v>6971.13</v>
      </c>
      <c r="G16" s="7">
        <v>2.979687E-2</v>
      </c>
      <c r="H16" s="67"/>
    </row>
    <row r="17" spans="1:8" ht="25.5" x14ac:dyDescent="0.2">
      <c r="A17" s="3">
        <v>11</v>
      </c>
      <c r="B17" s="4" t="s">
        <v>321</v>
      </c>
      <c r="C17" s="4" t="s">
        <v>322</v>
      </c>
      <c r="D17" s="4" t="s">
        <v>52</v>
      </c>
      <c r="E17" s="5">
        <v>800000</v>
      </c>
      <c r="F17" s="6">
        <v>6775.6</v>
      </c>
      <c r="G17" s="7">
        <v>2.8961111000000001E-2</v>
      </c>
      <c r="H17" s="67"/>
    </row>
    <row r="18" spans="1:8" x14ac:dyDescent="0.2">
      <c r="A18" s="3">
        <v>12</v>
      </c>
      <c r="B18" s="4" t="s">
        <v>151</v>
      </c>
      <c r="C18" s="4" t="s">
        <v>152</v>
      </c>
      <c r="D18" s="4" t="s">
        <v>153</v>
      </c>
      <c r="E18" s="5">
        <v>165000</v>
      </c>
      <c r="F18" s="6">
        <v>6645.54</v>
      </c>
      <c r="G18" s="7">
        <v>2.8405192999999999E-2</v>
      </c>
      <c r="H18" s="67"/>
    </row>
    <row r="19" spans="1:8" x14ac:dyDescent="0.2">
      <c r="A19" s="3">
        <v>13</v>
      </c>
      <c r="B19" s="4" t="s">
        <v>406</v>
      </c>
      <c r="C19" s="4" t="s">
        <v>407</v>
      </c>
      <c r="D19" s="4" t="s">
        <v>1002</v>
      </c>
      <c r="E19" s="5">
        <v>500000</v>
      </c>
      <c r="F19" s="6">
        <v>5960.25</v>
      </c>
      <c r="G19" s="7">
        <v>2.5476041000000001E-2</v>
      </c>
      <c r="H19" s="67"/>
    </row>
    <row r="20" spans="1:8" x14ac:dyDescent="0.2">
      <c r="A20" s="3">
        <v>14</v>
      </c>
      <c r="B20" s="4" t="s">
        <v>11</v>
      </c>
      <c r="C20" s="4" t="s">
        <v>12</v>
      </c>
      <c r="D20" s="4" t="s">
        <v>13</v>
      </c>
      <c r="E20" s="5">
        <v>350000</v>
      </c>
      <c r="F20" s="6">
        <v>5852.7</v>
      </c>
      <c r="G20" s="7">
        <v>2.5016337E-2</v>
      </c>
      <c r="H20" s="67"/>
    </row>
    <row r="21" spans="1:8" x14ac:dyDescent="0.2">
      <c r="A21" s="3">
        <v>15</v>
      </c>
      <c r="B21" s="4" t="s">
        <v>208</v>
      </c>
      <c r="C21" s="4" t="s">
        <v>209</v>
      </c>
      <c r="D21" s="4" t="s">
        <v>1005</v>
      </c>
      <c r="E21" s="5">
        <v>665000</v>
      </c>
      <c r="F21" s="6">
        <v>5631.5524999999998</v>
      </c>
      <c r="G21" s="7">
        <v>2.4071081000000001E-2</v>
      </c>
      <c r="H21" s="67"/>
    </row>
    <row r="22" spans="1:8" x14ac:dyDescent="0.2">
      <c r="A22" s="3">
        <v>16</v>
      </c>
      <c r="B22" s="4" t="s">
        <v>309</v>
      </c>
      <c r="C22" s="4" t="s">
        <v>310</v>
      </c>
      <c r="D22" s="4" t="s">
        <v>1001</v>
      </c>
      <c r="E22" s="5">
        <v>140000</v>
      </c>
      <c r="F22" s="6">
        <v>5593</v>
      </c>
      <c r="G22" s="7">
        <v>2.3906295000000001E-2</v>
      </c>
      <c r="H22" s="67"/>
    </row>
    <row r="23" spans="1:8" x14ac:dyDescent="0.2">
      <c r="A23" s="3">
        <v>17</v>
      </c>
      <c r="B23" s="4" t="s">
        <v>17</v>
      </c>
      <c r="C23" s="4" t="s">
        <v>18</v>
      </c>
      <c r="D23" s="4" t="s">
        <v>19</v>
      </c>
      <c r="E23" s="5">
        <v>790000</v>
      </c>
      <c r="F23" s="6">
        <v>5245.9949999999999</v>
      </c>
      <c r="G23" s="7">
        <v>2.2423083999999999E-2</v>
      </c>
      <c r="H23" s="67"/>
    </row>
    <row r="24" spans="1:8" ht="25.5" x14ac:dyDescent="0.2">
      <c r="A24" s="3">
        <v>18</v>
      </c>
      <c r="B24" s="4" t="s">
        <v>408</v>
      </c>
      <c r="C24" s="4" t="s">
        <v>409</v>
      </c>
      <c r="D24" s="4" t="s">
        <v>52</v>
      </c>
      <c r="E24" s="5">
        <v>180000</v>
      </c>
      <c r="F24" s="6">
        <v>4903.38</v>
      </c>
      <c r="G24" s="7">
        <v>2.0958635999999999E-2</v>
      </c>
      <c r="H24" s="67"/>
    </row>
    <row r="25" spans="1:8" ht="25.5" x14ac:dyDescent="0.2">
      <c r="A25" s="3">
        <v>19</v>
      </c>
      <c r="B25" s="4" t="s">
        <v>20</v>
      </c>
      <c r="C25" s="4" t="s">
        <v>21</v>
      </c>
      <c r="D25" s="4" t="s">
        <v>992</v>
      </c>
      <c r="E25" s="5">
        <v>475000</v>
      </c>
      <c r="F25" s="6">
        <v>4791.8</v>
      </c>
      <c r="G25" s="7">
        <v>2.0481706999999998E-2</v>
      </c>
      <c r="H25" s="67"/>
    </row>
    <row r="26" spans="1:8" x14ac:dyDescent="0.2">
      <c r="A26" s="3">
        <v>20</v>
      </c>
      <c r="B26" s="4" t="s">
        <v>91</v>
      </c>
      <c r="C26" s="4" t="s">
        <v>92</v>
      </c>
      <c r="D26" s="4" t="s">
        <v>27</v>
      </c>
      <c r="E26" s="5">
        <v>62000</v>
      </c>
      <c r="F26" s="6">
        <v>4495.3720000000003</v>
      </c>
      <c r="G26" s="7">
        <v>1.9214676999999999E-2</v>
      </c>
      <c r="H26" s="67"/>
    </row>
    <row r="27" spans="1:8" ht="25.5" x14ac:dyDescent="0.2">
      <c r="A27" s="3">
        <v>21</v>
      </c>
      <c r="B27" s="4" t="s">
        <v>319</v>
      </c>
      <c r="C27" s="4" t="s">
        <v>320</v>
      </c>
      <c r="D27" s="4" t="s">
        <v>52</v>
      </c>
      <c r="E27" s="5">
        <v>745000</v>
      </c>
      <c r="F27" s="6">
        <v>4449.1400000000003</v>
      </c>
      <c r="G27" s="7">
        <v>1.9017066999999999E-2</v>
      </c>
      <c r="H27" s="67"/>
    </row>
    <row r="28" spans="1:8" ht="25.5" x14ac:dyDescent="0.2">
      <c r="A28" s="3">
        <v>22</v>
      </c>
      <c r="B28" s="4" t="s">
        <v>327</v>
      </c>
      <c r="C28" s="4" t="s">
        <v>328</v>
      </c>
      <c r="D28" s="4" t="s">
        <v>55</v>
      </c>
      <c r="E28" s="5">
        <v>900000</v>
      </c>
      <c r="F28" s="6">
        <v>4261.05</v>
      </c>
      <c r="G28" s="7">
        <v>1.8213109000000002E-2</v>
      </c>
      <c r="H28" s="67"/>
    </row>
    <row r="29" spans="1:8" x14ac:dyDescent="0.2">
      <c r="A29" s="3">
        <v>23</v>
      </c>
      <c r="B29" s="4" t="s">
        <v>42</v>
      </c>
      <c r="C29" s="4" t="s">
        <v>43</v>
      </c>
      <c r="D29" s="4" t="s">
        <v>16</v>
      </c>
      <c r="E29" s="5">
        <v>775000</v>
      </c>
      <c r="F29" s="6">
        <v>3655.2874999999999</v>
      </c>
      <c r="G29" s="7">
        <v>1.5623883999999999E-2</v>
      </c>
      <c r="H29" s="67"/>
    </row>
    <row r="30" spans="1:8" x14ac:dyDescent="0.2">
      <c r="A30" s="3">
        <v>24</v>
      </c>
      <c r="B30" s="4" t="s">
        <v>388</v>
      </c>
      <c r="C30" s="4" t="s">
        <v>389</v>
      </c>
      <c r="D30" s="4" t="s">
        <v>1002</v>
      </c>
      <c r="E30" s="5">
        <v>20000</v>
      </c>
      <c r="F30" s="6">
        <v>3429.75</v>
      </c>
      <c r="G30" s="7">
        <v>1.4659864E-2</v>
      </c>
      <c r="H30" s="67"/>
    </row>
    <row r="31" spans="1:8" x14ac:dyDescent="0.2">
      <c r="A31" s="3">
        <v>25</v>
      </c>
      <c r="B31" s="4" t="s">
        <v>422</v>
      </c>
      <c r="C31" s="4" t="s">
        <v>423</v>
      </c>
      <c r="D31" s="4" t="s">
        <v>187</v>
      </c>
      <c r="E31" s="5">
        <v>66000</v>
      </c>
      <c r="F31" s="6">
        <v>3414.576</v>
      </c>
      <c r="G31" s="7">
        <v>1.4595004999999999E-2</v>
      </c>
      <c r="H31" s="67"/>
    </row>
    <row r="32" spans="1:8" ht="25.5" x14ac:dyDescent="0.2">
      <c r="A32" s="3">
        <v>26</v>
      </c>
      <c r="B32" s="4" t="s">
        <v>31</v>
      </c>
      <c r="C32" s="4" t="s">
        <v>993</v>
      </c>
      <c r="D32" s="4" t="s">
        <v>992</v>
      </c>
      <c r="E32" s="5">
        <v>40000</v>
      </c>
      <c r="F32" s="6">
        <v>3132.98</v>
      </c>
      <c r="G32" s="7">
        <v>1.3391372E-2</v>
      </c>
      <c r="H32" s="67"/>
    </row>
    <row r="33" spans="1:8" x14ac:dyDescent="0.2">
      <c r="A33" s="3">
        <v>27</v>
      </c>
      <c r="B33" s="4" t="s">
        <v>431</v>
      </c>
      <c r="C33" s="4" t="s">
        <v>432</v>
      </c>
      <c r="D33" s="4" t="s">
        <v>171</v>
      </c>
      <c r="E33" s="5">
        <v>610000</v>
      </c>
      <c r="F33" s="6">
        <v>3050.61</v>
      </c>
      <c r="G33" s="7">
        <v>1.3039296000000001E-2</v>
      </c>
      <c r="H33" s="67"/>
    </row>
    <row r="34" spans="1:8" x14ac:dyDescent="0.2">
      <c r="A34" s="3">
        <v>28</v>
      </c>
      <c r="B34" s="4" t="s">
        <v>344</v>
      </c>
      <c r="C34" s="4" t="s">
        <v>345</v>
      </c>
      <c r="D34" s="4" t="s">
        <v>49</v>
      </c>
      <c r="E34" s="5">
        <v>790000</v>
      </c>
      <c r="F34" s="6">
        <v>2977.9050000000002</v>
      </c>
      <c r="G34" s="7">
        <v>1.2728531E-2</v>
      </c>
      <c r="H34" s="67"/>
    </row>
    <row r="35" spans="1:8" x14ac:dyDescent="0.2">
      <c r="A35" s="3">
        <v>29</v>
      </c>
      <c r="B35" s="4" t="s">
        <v>334</v>
      </c>
      <c r="C35" s="4" t="s">
        <v>335</v>
      </c>
      <c r="D35" s="4" t="s">
        <v>187</v>
      </c>
      <c r="E35" s="5">
        <v>72000</v>
      </c>
      <c r="F35" s="6">
        <v>2803.6080000000002</v>
      </c>
      <c r="G35" s="7">
        <v>1.1983529999999999E-2</v>
      </c>
      <c r="H35" s="67"/>
    </row>
    <row r="36" spans="1:8" x14ac:dyDescent="0.2">
      <c r="A36" s="3">
        <v>30</v>
      </c>
      <c r="B36" s="4" t="s">
        <v>420</v>
      </c>
      <c r="C36" s="4" t="s">
        <v>421</v>
      </c>
      <c r="D36" s="4" t="s">
        <v>84</v>
      </c>
      <c r="E36" s="5">
        <v>350000</v>
      </c>
      <c r="F36" s="6">
        <v>2776.55</v>
      </c>
      <c r="G36" s="7">
        <v>1.1867875E-2</v>
      </c>
      <c r="H36" s="67"/>
    </row>
    <row r="37" spans="1:8" x14ac:dyDescent="0.2">
      <c r="A37" s="3">
        <v>31</v>
      </c>
      <c r="B37" s="4" t="s">
        <v>426</v>
      </c>
      <c r="C37" s="4" t="s">
        <v>427</v>
      </c>
      <c r="D37" s="4" t="s">
        <v>428</v>
      </c>
      <c r="E37" s="5">
        <v>575000</v>
      </c>
      <c r="F37" s="6">
        <v>2692.7249999999999</v>
      </c>
      <c r="G37" s="7">
        <v>1.150958E-2</v>
      </c>
      <c r="H37" s="67"/>
    </row>
    <row r="38" spans="1:8" ht="25.5" x14ac:dyDescent="0.2">
      <c r="A38" s="3">
        <v>32</v>
      </c>
      <c r="B38" s="4" t="s">
        <v>384</v>
      </c>
      <c r="C38" s="4" t="s">
        <v>385</v>
      </c>
      <c r="D38" s="4" t="s">
        <v>52</v>
      </c>
      <c r="E38" s="5">
        <v>300000</v>
      </c>
      <c r="F38" s="6">
        <v>2594.85</v>
      </c>
      <c r="G38" s="7">
        <v>1.1091230000000001E-2</v>
      </c>
      <c r="H38" s="67"/>
    </row>
    <row r="39" spans="1:8" x14ac:dyDescent="0.2">
      <c r="A39" s="3">
        <v>33</v>
      </c>
      <c r="B39" s="4" t="s">
        <v>350</v>
      </c>
      <c r="C39" s="4" t="s">
        <v>351</v>
      </c>
      <c r="D39" s="4" t="s">
        <v>46</v>
      </c>
      <c r="E39" s="5">
        <v>330000</v>
      </c>
      <c r="F39" s="6">
        <v>2242.5149999999999</v>
      </c>
      <c r="G39" s="7">
        <v>9.5852360000000005E-3</v>
      </c>
      <c r="H39" s="67"/>
    </row>
    <row r="40" spans="1:8" x14ac:dyDescent="0.2">
      <c r="A40" s="3">
        <v>34</v>
      </c>
      <c r="B40" s="4" t="s">
        <v>416</v>
      </c>
      <c r="C40" s="4" t="s">
        <v>417</v>
      </c>
      <c r="D40" s="4" t="s">
        <v>187</v>
      </c>
      <c r="E40" s="5">
        <v>280000</v>
      </c>
      <c r="F40" s="6">
        <v>2223.34</v>
      </c>
      <c r="G40" s="7">
        <v>9.5032759999999997E-3</v>
      </c>
      <c r="H40" s="67"/>
    </row>
    <row r="41" spans="1:8" x14ac:dyDescent="0.2">
      <c r="A41" s="3">
        <v>35</v>
      </c>
      <c r="B41" s="4" t="s">
        <v>174</v>
      </c>
      <c r="C41" s="4" t="s">
        <v>175</v>
      </c>
      <c r="D41" s="4" t="s">
        <v>55</v>
      </c>
      <c r="E41" s="5">
        <v>520000</v>
      </c>
      <c r="F41" s="6">
        <v>2093.2600000000002</v>
      </c>
      <c r="G41" s="7">
        <v>8.9472719999999992E-3</v>
      </c>
      <c r="H41" s="67"/>
    </row>
    <row r="42" spans="1:8" x14ac:dyDescent="0.2">
      <c r="A42" s="3">
        <v>36</v>
      </c>
      <c r="B42" s="4" t="s">
        <v>424</v>
      </c>
      <c r="C42" s="4" t="s">
        <v>425</v>
      </c>
      <c r="D42" s="4" t="s">
        <v>166</v>
      </c>
      <c r="E42" s="5">
        <v>131000</v>
      </c>
      <c r="F42" s="6">
        <v>1896.4214999999999</v>
      </c>
      <c r="G42" s="7">
        <v>8.1059200000000008E-3</v>
      </c>
      <c r="H42" s="67"/>
    </row>
    <row r="43" spans="1:8" ht="25.5" x14ac:dyDescent="0.2">
      <c r="A43" s="3">
        <v>37</v>
      </c>
      <c r="B43" s="4" t="s">
        <v>429</v>
      </c>
      <c r="C43" s="4" t="s">
        <v>430</v>
      </c>
      <c r="D43" s="4" t="s">
        <v>52</v>
      </c>
      <c r="E43" s="5">
        <v>740000</v>
      </c>
      <c r="F43" s="6">
        <v>1563.62</v>
      </c>
      <c r="G43" s="7">
        <v>6.6834190000000003E-3</v>
      </c>
      <c r="H43" s="67"/>
    </row>
    <row r="44" spans="1:8" x14ac:dyDescent="0.2">
      <c r="A44" s="3">
        <v>38</v>
      </c>
      <c r="B44" s="4" t="s">
        <v>433</v>
      </c>
      <c r="C44" s="4" t="s">
        <v>434</v>
      </c>
      <c r="D44" s="4" t="s">
        <v>24</v>
      </c>
      <c r="E44" s="5">
        <v>89000</v>
      </c>
      <c r="F44" s="6">
        <v>1560.7929999999999</v>
      </c>
      <c r="G44" s="7">
        <v>6.6713349999999996E-3</v>
      </c>
      <c r="H44" s="67"/>
    </row>
    <row r="45" spans="1:8" x14ac:dyDescent="0.2">
      <c r="A45" s="3">
        <v>39</v>
      </c>
      <c r="B45" s="4" t="s">
        <v>303</v>
      </c>
      <c r="C45" s="4" t="s">
        <v>304</v>
      </c>
      <c r="D45" s="4" t="s">
        <v>179</v>
      </c>
      <c r="E45" s="5">
        <v>29500</v>
      </c>
      <c r="F45" s="6">
        <v>1466.0172500000001</v>
      </c>
      <c r="G45" s="7">
        <v>6.2662330000000004E-3</v>
      </c>
      <c r="H45" s="67"/>
    </row>
    <row r="46" spans="1:8" x14ac:dyDescent="0.2">
      <c r="A46" s="3">
        <v>40</v>
      </c>
      <c r="B46" s="4" t="s">
        <v>340</v>
      </c>
      <c r="C46" s="4" t="s">
        <v>341</v>
      </c>
      <c r="D46" s="4" t="s">
        <v>81</v>
      </c>
      <c r="E46" s="5">
        <v>95000</v>
      </c>
      <c r="F46" s="6">
        <v>1285.0650000000001</v>
      </c>
      <c r="G46" s="7">
        <v>5.4927839999999997E-3</v>
      </c>
      <c r="H46" s="67"/>
    </row>
    <row r="47" spans="1:8" x14ac:dyDescent="0.2">
      <c r="A47" s="3">
        <v>41</v>
      </c>
      <c r="B47" s="4" t="s">
        <v>443</v>
      </c>
      <c r="C47" s="4" t="s">
        <v>444</v>
      </c>
      <c r="D47" s="4" t="s">
        <v>187</v>
      </c>
      <c r="E47" s="5">
        <v>130000</v>
      </c>
      <c r="F47" s="6">
        <v>1232.1400000000001</v>
      </c>
      <c r="G47" s="7">
        <v>5.2665660000000003E-3</v>
      </c>
      <c r="H47" s="67"/>
    </row>
    <row r="48" spans="1:8" x14ac:dyDescent="0.2">
      <c r="A48" s="3">
        <v>42</v>
      </c>
      <c r="B48" s="4" t="s">
        <v>356</v>
      </c>
      <c r="C48" s="4" t="s">
        <v>357</v>
      </c>
      <c r="D48" s="4" t="s">
        <v>24</v>
      </c>
      <c r="E48" s="5">
        <v>1568000</v>
      </c>
      <c r="F48" s="6">
        <v>1212.848</v>
      </c>
      <c r="G48" s="7">
        <v>5.184106E-3</v>
      </c>
      <c r="H48" s="67"/>
    </row>
    <row r="49" spans="1:8" x14ac:dyDescent="0.2">
      <c r="A49" s="3">
        <v>43</v>
      </c>
      <c r="B49" s="4" t="s">
        <v>262</v>
      </c>
      <c r="C49" s="4" t="s">
        <v>263</v>
      </c>
      <c r="D49" s="4" t="s">
        <v>171</v>
      </c>
      <c r="E49" s="5">
        <v>159540</v>
      </c>
      <c r="F49" s="6">
        <v>1081.2025799999999</v>
      </c>
      <c r="G49" s="7">
        <v>4.6214100000000003E-3</v>
      </c>
      <c r="H49" s="67"/>
    </row>
    <row r="50" spans="1:8" x14ac:dyDescent="0.2">
      <c r="A50" s="3">
        <v>44</v>
      </c>
      <c r="B50" s="4" t="s">
        <v>338</v>
      </c>
      <c r="C50" s="4" t="s">
        <v>339</v>
      </c>
      <c r="D50" s="4" t="s">
        <v>24</v>
      </c>
      <c r="E50" s="5">
        <v>1200000</v>
      </c>
      <c r="F50" s="6">
        <v>975</v>
      </c>
      <c r="G50" s="7">
        <v>4.1674659999999999E-3</v>
      </c>
      <c r="H50" s="67"/>
    </row>
    <row r="51" spans="1:8" ht="25.5" x14ac:dyDescent="0.2">
      <c r="A51" s="3">
        <v>45</v>
      </c>
      <c r="B51" s="4" t="s">
        <v>435</v>
      </c>
      <c r="C51" s="4" t="s">
        <v>436</v>
      </c>
      <c r="D51" s="4" t="s">
        <v>1002</v>
      </c>
      <c r="E51" s="5">
        <v>50000</v>
      </c>
      <c r="F51" s="6">
        <v>797.3</v>
      </c>
      <c r="G51" s="7">
        <v>3.4079190000000001E-3</v>
      </c>
      <c r="H51" s="67"/>
    </row>
    <row r="52" spans="1:8" x14ac:dyDescent="0.2">
      <c r="A52" s="3">
        <v>46</v>
      </c>
      <c r="B52" s="4" t="s">
        <v>372</v>
      </c>
      <c r="C52" s="4" t="s">
        <v>373</v>
      </c>
      <c r="D52" s="4" t="s">
        <v>55</v>
      </c>
      <c r="E52" s="5">
        <v>1082873</v>
      </c>
      <c r="F52" s="6">
        <v>726.60778300000004</v>
      </c>
      <c r="G52" s="7">
        <v>3.1057569999999998E-3</v>
      </c>
      <c r="H52" s="67"/>
    </row>
    <row r="53" spans="1:8" x14ac:dyDescent="0.2">
      <c r="A53" s="3">
        <v>47</v>
      </c>
      <c r="B53" s="4" t="s">
        <v>180</v>
      </c>
      <c r="C53" s="4" t="s">
        <v>181</v>
      </c>
      <c r="D53" s="4" t="s">
        <v>171</v>
      </c>
      <c r="E53" s="5">
        <v>50000</v>
      </c>
      <c r="F53" s="6">
        <v>682.32500000000005</v>
      </c>
      <c r="G53" s="7">
        <v>2.9164780000000001E-3</v>
      </c>
      <c r="H53" s="67"/>
    </row>
    <row r="54" spans="1:8" x14ac:dyDescent="0.2">
      <c r="A54" s="3">
        <v>48</v>
      </c>
      <c r="B54" s="4" t="s">
        <v>410</v>
      </c>
      <c r="C54" s="4" t="s">
        <v>411</v>
      </c>
      <c r="D54" s="4" t="s">
        <v>153</v>
      </c>
      <c r="E54" s="5">
        <v>112104</v>
      </c>
      <c r="F54" s="6">
        <v>645.88719600000002</v>
      </c>
      <c r="G54" s="7">
        <v>2.7607310000000002E-3</v>
      </c>
      <c r="H54" s="67"/>
    </row>
    <row r="55" spans="1:8" x14ac:dyDescent="0.2">
      <c r="A55" s="3">
        <v>49</v>
      </c>
      <c r="B55" s="4" t="s">
        <v>374</v>
      </c>
      <c r="C55" s="4" t="s">
        <v>375</v>
      </c>
      <c r="D55" s="4" t="s">
        <v>331</v>
      </c>
      <c r="E55" s="5">
        <v>459966</v>
      </c>
      <c r="F55" s="6">
        <v>618.88425299999994</v>
      </c>
      <c r="G55" s="7">
        <v>2.6453119999999999E-3</v>
      </c>
      <c r="H55" s="67"/>
    </row>
    <row r="56" spans="1:8" x14ac:dyDescent="0.2">
      <c r="A56" s="1"/>
      <c r="B56" s="1"/>
      <c r="C56" s="2" t="s">
        <v>105</v>
      </c>
      <c r="D56" s="1"/>
      <c r="E56" s="1" t="s">
        <v>106</v>
      </c>
      <c r="F56" s="9">
        <v>233407.80156200001</v>
      </c>
      <c r="G56" s="10">
        <v>0.99766061900000003</v>
      </c>
      <c r="H56" s="67"/>
    </row>
    <row r="57" spans="1:8" x14ac:dyDescent="0.2">
      <c r="A57" s="1"/>
      <c r="B57" s="1"/>
      <c r="C57" s="11"/>
      <c r="D57" s="1"/>
      <c r="E57" s="1"/>
      <c r="F57" s="12"/>
      <c r="G57" s="12"/>
      <c r="H57" s="67"/>
    </row>
    <row r="58" spans="1:8" x14ac:dyDescent="0.2">
      <c r="A58" s="1"/>
      <c r="B58" s="1"/>
      <c r="C58" s="2" t="s">
        <v>107</v>
      </c>
      <c r="D58" s="1"/>
      <c r="E58" s="1"/>
      <c r="F58" s="1"/>
      <c r="G58" s="1"/>
      <c r="H58" s="67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13">
        <v>0</v>
      </c>
      <c r="G59" s="14">
        <v>0</v>
      </c>
      <c r="H59" s="67"/>
    </row>
    <row r="60" spans="1:8" x14ac:dyDescent="0.2">
      <c r="A60" s="1"/>
      <c r="B60" s="1"/>
      <c r="C60" s="11"/>
      <c r="D60" s="1"/>
      <c r="E60" s="1"/>
      <c r="F60" s="12"/>
      <c r="G60" s="12"/>
      <c r="H60" s="67"/>
    </row>
    <row r="61" spans="1:8" x14ac:dyDescent="0.2">
      <c r="A61" s="1"/>
      <c r="B61" s="1"/>
      <c r="C61" s="2" t="s">
        <v>108</v>
      </c>
      <c r="D61" s="1"/>
      <c r="E61" s="1"/>
      <c r="F61" s="1"/>
      <c r="G61" s="1"/>
      <c r="H61" s="67"/>
    </row>
    <row r="62" spans="1:8" x14ac:dyDescent="0.2">
      <c r="A62" s="1"/>
      <c r="B62" s="1"/>
      <c r="C62" s="2" t="s">
        <v>105</v>
      </c>
      <c r="D62" s="1"/>
      <c r="E62" s="1" t="s">
        <v>106</v>
      </c>
      <c r="F62" s="13">
        <v>0</v>
      </c>
      <c r="G62" s="14">
        <v>0</v>
      </c>
      <c r="H62" s="67"/>
    </row>
    <row r="63" spans="1:8" x14ac:dyDescent="0.2">
      <c r="A63" s="1"/>
      <c r="B63" s="1"/>
      <c r="C63" s="11"/>
      <c r="D63" s="1"/>
      <c r="E63" s="1"/>
      <c r="F63" s="12"/>
      <c r="G63" s="12"/>
      <c r="H63" s="67"/>
    </row>
    <row r="64" spans="1:8" x14ac:dyDescent="0.2">
      <c r="A64" s="1"/>
      <c r="B64" s="1"/>
      <c r="C64" s="2" t="s">
        <v>109</v>
      </c>
      <c r="D64" s="1"/>
      <c r="E64" s="1"/>
      <c r="F64" s="1"/>
      <c r="G64" s="1"/>
      <c r="H64" s="67"/>
    </row>
    <row r="65" spans="1:8" x14ac:dyDescent="0.2">
      <c r="A65" s="1"/>
      <c r="B65" s="1"/>
      <c r="C65" s="2" t="s">
        <v>105</v>
      </c>
      <c r="D65" s="1"/>
      <c r="E65" s="1" t="s">
        <v>106</v>
      </c>
      <c r="F65" s="13">
        <v>0</v>
      </c>
      <c r="G65" s="14">
        <v>0</v>
      </c>
      <c r="H65" s="67"/>
    </row>
    <row r="66" spans="1:8" x14ac:dyDescent="0.2">
      <c r="A66" s="1"/>
      <c r="B66" s="1"/>
      <c r="C66" s="11"/>
      <c r="D66" s="1"/>
      <c r="E66" s="1"/>
      <c r="F66" s="12"/>
      <c r="G66" s="12"/>
      <c r="H66" s="67"/>
    </row>
    <row r="67" spans="1:8" x14ac:dyDescent="0.2">
      <c r="A67" s="1"/>
      <c r="B67" s="1"/>
      <c r="C67" s="2" t="s">
        <v>110</v>
      </c>
      <c r="D67" s="1"/>
      <c r="E67" s="1"/>
      <c r="F67" s="12"/>
      <c r="G67" s="12"/>
      <c r="H67" s="67"/>
    </row>
    <row r="68" spans="1:8" s="98" customFormat="1" ht="25.5" x14ac:dyDescent="0.2">
      <c r="A68" s="134">
        <v>1</v>
      </c>
      <c r="B68" s="135" t="s">
        <v>960</v>
      </c>
      <c r="C68" s="135" t="s">
        <v>961</v>
      </c>
      <c r="D68" s="135" t="s">
        <v>81</v>
      </c>
      <c r="E68" s="136">
        <v>42600</v>
      </c>
      <c r="F68" s="137">
        <v>356.83889999999997</v>
      </c>
      <c r="G68" s="138">
        <v>1.5252499999999999E-3</v>
      </c>
      <c r="H68" s="67"/>
    </row>
    <row r="69" spans="1:8" x14ac:dyDescent="0.2">
      <c r="A69" s="1"/>
      <c r="B69" s="1"/>
      <c r="C69" s="2" t="s">
        <v>105</v>
      </c>
      <c r="D69" s="1"/>
      <c r="E69" s="1" t="s">
        <v>106</v>
      </c>
      <c r="F69" s="13">
        <v>356.83889999999997</v>
      </c>
      <c r="G69" s="14">
        <v>1.5252499999999999E-3</v>
      </c>
      <c r="H69" s="67"/>
    </row>
    <row r="70" spans="1:8" x14ac:dyDescent="0.2">
      <c r="A70" s="1"/>
      <c r="B70" s="1"/>
      <c r="C70" s="11"/>
      <c r="D70" s="1"/>
      <c r="E70" s="1"/>
      <c r="F70" s="12"/>
      <c r="G70" s="12"/>
      <c r="H70" s="67"/>
    </row>
    <row r="71" spans="1:8" x14ac:dyDescent="0.2">
      <c r="A71" s="1"/>
      <c r="B71" s="1"/>
      <c r="C71" s="2" t="s">
        <v>111</v>
      </c>
      <c r="D71" s="1"/>
      <c r="E71" s="1"/>
      <c r="F71" s="12"/>
      <c r="G71" s="12"/>
      <c r="H71" s="67"/>
    </row>
    <row r="72" spans="1:8" x14ac:dyDescent="0.2">
      <c r="A72" s="1"/>
      <c r="B72" s="1"/>
      <c r="C72" s="2" t="s">
        <v>105</v>
      </c>
      <c r="D72" s="1"/>
      <c r="E72" s="1" t="s">
        <v>106</v>
      </c>
      <c r="F72" s="13">
        <v>0</v>
      </c>
      <c r="G72" s="14">
        <v>0</v>
      </c>
      <c r="H72" s="67"/>
    </row>
    <row r="73" spans="1:8" x14ac:dyDescent="0.2">
      <c r="A73" s="1"/>
      <c r="B73" s="1"/>
      <c r="C73" s="11"/>
      <c r="D73" s="1"/>
      <c r="E73" s="1"/>
      <c r="F73" s="12"/>
      <c r="G73" s="12"/>
      <c r="H73" s="67"/>
    </row>
    <row r="74" spans="1:8" x14ac:dyDescent="0.2">
      <c r="A74" s="1"/>
      <c r="B74" s="1"/>
      <c r="C74" s="2" t="s">
        <v>112</v>
      </c>
      <c r="D74" s="1"/>
      <c r="E74" s="1"/>
      <c r="F74" s="9">
        <v>233764.64046200001</v>
      </c>
      <c r="G74" s="10">
        <v>0.99918586900000006</v>
      </c>
      <c r="H74" s="67"/>
    </row>
    <row r="75" spans="1:8" x14ac:dyDescent="0.2">
      <c r="A75" s="1"/>
      <c r="B75" s="1"/>
      <c r="C75" s="11"/>
      <c r="D75" s="1"/>
      <c r="E75" s="1"/>
      <c r="F75" s="12"/>
      <c r="G75" s="12"/>
      <c r="H75" s="67"/>
    </row>
    <row r="76" spans="1:8" x14ac:dyDescent="0.2">
      <c r="A76" s="1"/>
      <c r="B76" s="1"/>
      <c r="C76" s="2" t="s">
        <v>113</v>
      </c>
      <c r="D76" s="1"/>
      <c r="E76" s="1"/>
      <c r="F76" s="12"/>
      <c r="G76" s="12"/>
      <c r="H76" s="67"/>
    </row>
    <row r="77" spans="1:8" ht="25.5" x14ac:dyDescent="0.2">
      <c r="A77" s="1"/>
      <c r="B77" s="1"/>
      <c r="C77" s="2" t="s">
        <v>10</v>
      </c>
      <c r="D77" s="1"/>
      <c r="E77" s="1"/>
      <c r="F77" s="12"/>
      <c r="G77" s="12"/>
      <c r="H77" s="67"/>
    </row>
    <row r="78" spans="1:8" x14ac:dyDescent="0.2">
      <c r="A78" s="1"/>
      <c r="B78" s="1"/>
      <c r="C78" s="2" t="s">
        <v>105</v>
      </c>
      <c r="D78" s="1"/>
      <c r="E78" s="1" t="s">
        <v>106</v>
      </c>
      <c r="F78" s="13">
        <v>0</v>
      </c>
      <c r="G78" s="14">
        <v>0</v>
      </c>
      <c r="H78" s="67"/>
    </row>
    <row r="79" spans="1:8" x14ac:dyDescent="0.2">
      <c r="A79" s="1"/>
      <c r="B79" s="1"/>
      <c r="C79" s="11"/>
      <c r="D79" s="1"/>
      <c r="E79" s="1"/>
      <c r="F79" s="12"/>
      <c r="G79" s="12"/>
      <c r="H79" s="67"/>
    </row>
    <row r="80" spans="1:8" x14ac:dyDescent="0.2">
      <c r="A80" s="1"/>
      <c r="B80" s="1"/>
      <c r="C80" s="2" t="s">
        <v>114</v>
      </c>
      <c r="D80" s="1"/>
      <c r="E80" s="1"/>
      <c r="F80" s="1"/>
      <c r="G80" s="1"/>
      <c r="H80" s="67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13">
        <v>0</v>
      </c>
      <c r="G81" s="14">
        <v>0</v>
      </c>
      <c r="H81" s="67"/>
    </row>
    <row r="82" spans="1:8" x14ac:dyDescent="0.2">
      <c r="A82" s="1"/>
      <c r="B82" s="1"/>
      <c r="C82" s="11"/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115</v>
      </c>
      <c r="D83" s="1"/>
      <c r="E83" s="1"/>
      <c r="F83" s="1"/>
      <c r="G83" s="1"/>
      <c r="H83" s="67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7"/>
    </row>
    <row r="85" spans="1:8" x14ac:dyDescent="0.2">
      <c r="A85" s="1"/>
      <c r="B85" s="1"/>
      <c r="C85" s="11"/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116</v>
      </c>
      <c r="D86" s="1"/>
      <c r="E86" s="1"/>
      <c r="F86" s="12"/>
      <c r="G86" s="12"/>
      <c r="H86" s="67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7"/>
    </row>
    <row r="88" spans="1:8" x14ac:dyDescent="0.2">
      <c r="A88" s="1"/>
      <c r="B88" s="1"/>
      <c r="C88" s="11"/>
      <c r="D88" s="1"/>
      <c r="E88" s="1"/>
      <c r="F88" s="12"/>
      <c r="G88" s="12"/>
      <c r="H88" s="67"/>
    </row>
    <row r="89" spans="1:8" x14ac:dyDescent="0.2">
      <c r="A89" s="1"/>
      <c r="B89" s="1"/>
      <c r="C89" s="2" t="s">
        <v>117</v>
      </c>
      <c r="D89" s="1"/>
      <c r="E89" s="1"/>
      <c r="F89" s="9">
        <v>0</v>
      </c>
      <c r="G89" s="10">
        <v>0</v>
      </c>
      <c r="H89" s="67"/>
    </row>
    <row r="90" spans="1:8" x14ac:dyDescent="0.2">
      <c r="A90" s="1"/>
      <c r="B90" s="1"/>
      <c r="C90" s="11"/>
      <c r="D90" s="1"/>
      <c r="E90" s="1"/>
      <c r="F90" s="12"/>
      <c r="G90" s="12"/>
      <c r="H90" s="67"/>
    </row>
    <row r="91" spans="1:8" x14ac:dyDescent="0.2">
      <c r="A91" s="1"/>
      <c r="B91" s="1"/>
      <c r="C91" s="2" t="s">
        <v>118</v>
      </c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119</v>
      </c>
      <c r="D92" s="1"/>
      <c r="E92" s="1"/>
      <c r="F92" s="12"/>
      <c r="G92" s="12"/>
      <c r="H92" s="67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7"/>
    </row>
    <row r="94" spans="1:8" x14ac:dyDescent="0.2">
      <c r="A94" s="1"/>
      <c r="B94" s="1"/>
      <c r="C94" s="11"/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120</v>
      </c>
      <c r="D95" s="1"/>
      <c r="E95" s="1"/>
      <c r="F95" s="12"/>
      <c r="G95" s="12"/>
      <c r="H95" s="67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7"/>
    </row>
    <row r="97" spans="1:8" x14ac:dyDescent="0.2">
      <c r="A97" s="1"/>
      <c r="B97" s="1"/>
      <c r="C97" s="11"/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121</v>
      </c>
      <c r="D98" s="1"/>
      <c r="E98" s="1"/>
      <c r="F98" s="12"/>
      <c r="G98" s="12"/>
      <c r="H98" s="67"/>
    </row>
    <row r="99" spans="1:8" x14ac:dyDescent="0.2">
      <c r="A99" s="1"/>
      <c r="B99" s="1"/>
      <c r="C99" s="2" t="s">
        <v>105</v>
      </c>
      <c r="D99" s="1"/>
      <c r="E99" s="1" t="s">
        <v>106</v>
      </c>
      <c r="F99" s="13">
        <v>0</v>
      </c>
      <c r="G99" s="14">
        <v>0</v>
      </c>
      <c r="H99" s="67"/>
    </row>
    <row r="100" spans="1:8" x14ac:dyDescent="0.2">
      <c r="A100" s="1"/>
      <c r="B100" s="1"/>
      <c r="C100" s="11"/>
      <c r="D100" s="1"/>
      <c r="E100" s="1"/>
      <c r="F100" s="12"/>
      <c r="G100" s="12"/>
      <c r="H100" s="67"/>
    </row>
    <row r="101" spans="1:8" x14ac:dyDescent="0.2">
      <c r="A101" s="1"/>
      <c r="B101" s="1"/>
      <c r="C101" s="2" t="s">
        <v>122</v>
      </c>
      <c r="D101" s="1"/>
      <c r="E101" s="1"/>
      <c r="F101" s="12"/>
      <c r="G101" s="12"/>
      <c r="H101" s="67"/>
    </row>
    <row r="102" spans="1:8" x14ac:dyDescent="0.2">
      <c r="A102" s="3">
        <v>1</v>
      </c>
      <c r="B102" s="4"/>
      <c r="C102" s="4" t="s">
        <v>123</v>
      </c>
      <c r="D102" s="4"/>
      <c r="E102" s="8"/>
      <c r="F102" s="6">
        <v>450.50037989999998</v>
      </c>
      <c r="G102" s="7">
        <v>1.9255850000000001E-3</v>
      </c>
      <c r="H102" s="67">
        <v>3.1047477660654299</v>
      </c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9">
        <v>450.50037989999998</v>
      </c>
      <c r="G103" s="10">
        <v>1.9255850000000001E-3</v>
      </c>
      <c r="H103" s="67"/>
    </row>
    <row r="104" spans="1:8" x14ac:dyDescent="0.2">
      <c r="A104" s="1"/>
      <c r="B104" s="1"/>
      <c r="C104" s="11"/>
      <c r="D104" s="1"/>
      <c r="E104" s="1"/>
      <c r="F104" s="12"/>
      <c r="G104" s="12"/>
      <c r="H104" s="67"/>
    </row>
    <row r="105" spans="1:8" x14ac:dyDescent="0.2">
      <c r="A105" s="1"/>
      <c r="B105" s="1"/>
      <c r="C105" s="2" t="s">
        <v>124</v>
      </c>
      <c r="D105" s="1"/>
      <c r="E105" s="1"/>
      <c r="F105" s="9">
        <v>450.50037989999998</v>
      </c>
      <c r="G105" s="10">
        <v>1.9255850000000001E-3</v>
      </c>
      <c r="H105" s="67"/>
    </row>
    <row r="106" spans="1:8" x14ac:dyDescent="0.2">
      <c r="A106" s="1"/>
      <c r="B106" s="1"/>
      <c r="C106" s="12"/>
      <c r="D106" s="1"/>
      <c r="E106" s="1"/>
      <c r="F106" s="1"/>
      <c r="G106" s="1"/>
      <c r="H106" s="67"/>
    </row>
    <row r="107" spans="1:8" x14ac:dyDescent="0.2">
      <c r="A107" s="1"/>
      <c r="B107" s="1"/>
      <c r="C107" s="2" t="s">
        <v>125</v>
      </c>
      <c r="D107" s="1"/>
      <c r="E107" s="1"/>
      <c r="F107" s="1"/>
      <c r="G107" s="1"/>
      <c r="H107" s="67"/>
    </row>
    <row r="108" spans="1:8" x14ac:dyDescent="0.2">
      <c r="A108" s="1"/>
      <c r="B108" s="1"/>
      <c r="C108" s="2" t="s">
        <v>126</v>
      </c>
      <c r="D108" s="1"/>
      <c r="E108" s="1"/>
      <c r="F108" s="1"/>
      <c r="G108" s="1"/>
      <c r="H108" s="67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">
        <v>0</v>
      </c>
      <c r="H109" s="67"/>
    </row>
    <row r="110" spans="1:8" x14ac:dyDescent="0.2">
      <c r="A110" s="1"/>
      <c r="B110" s="1"/>
      <c r="C110" s="11"/>
      <c r="D110" s="1"/>
      <c r="E110" s="1"/>
      <c r="F110" s="12"/>
      <c r="G110" s="12"/>
      <c r="H110" s="67"/>
    </row>
    <row r="111" spans="1:8" x14ac:dyDescent="0.2">
      <c r="A111" s="1"/>
      <c r="B111" s="1"/>
      <c r="C111" s="2" t="s">
        <v>127</v>
      </c>
      <c r="D111" s="1"/>
      <c r="E111" s="1"/>
      <c r="F111" s="1"/>
      <c r="G111" s="1"/>
      <c r="H111" s="67"/>
    </row>
    <row r="112" spans="1:8" x14ac:dyDescent="0.2">
      <c r="A112" s="1"/>
      <c r="B112" s="1"/>
      <c r="C112" s="2" t="s">
        <v>128</v>
      </c>
      <c r="D112" s="1"/>
      <c r="E112" s="1"/>
      <c r="F112" s="1"/>
      <c r="G112" s="1"/>
      <c r="H112" s="67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">
        <v>0</v>
      </c>
      <c r="H113" s="67"/>
    </row>
    <row r="114" spans="1:8" x14ac:dyDescent="0.2">
      <c r="A114" s="1"/>
      <c r="B114" s="1"/>
      <c r="C114" s="11"/>
      <c r="D114" s="1"/>
      <c r="E114" s="1"/>
      <c r="F114" s="12"/>
      <c r="G114" s="12"/>
      <c r="H114" s="67"/>
    </row>
    <row r="115" spans="1:8" x14ac:dyDescent="0.2">
      <c r="A115" s="1"/>
      <c r="B115" s="1"/>
      <c r="C115" s="11"/>
      <c r="D115" s="1"/>
      <c r="E115" s="1"/>
      <c r="F115" s="12"/>
      <c r="G115" s="12"/>
      <c r="H115" s="67"/>
    </row>
    <row r="116" spans="1:8" ht="25.5" x14ac:dyDescent="0.2">
      <c r="A116" s="1"/>
      <c r="B116" s="1"/>
      <c r="C116" s="2" t="s">
        <v>129</v>
      </c>
      <c r="D116" s="1"/>
      <c r="E116" s="1"/>
      <c r="F116" s="12"/>
      <c r="G116" s="12"/>
      <c r="H116" s="67"/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13">
        <v>0</v>
      </c>
      <c r="G117" s="14">
        <v>0</v>
      </c>
      <c r="H117" s="67"/>
    </row>
    <row r="118" spans="1:8" x14ac:dyDescent="0.2">
      <c r="A118" s="1"/>
      <c r="B118" s="1"/>
      <c r="C118" s="11"/>
      <c r="D118" s="1"/>
      <c r="E118" s="1"/>
      <c r="F118" s="12"/>
      <c r="G118" s="12"/>
      <c r="H118" s="67"/>
    </row>
    <row r="119" spans="1:8" x14ac:dyDescent="0.2">
      <c r="A119" s="1"/>
      <c r="B119" s="4"/>
      <c r="C119" s="4"/>
      <c r="D119" s="2"/>
      <c r="E119" s="1"/>
      <c r="F119" s="4"/>
      <c r="G119" s="8"/>
      <c r="H119" s="67"/>
    </row>
    <row r="120" spans="1:8" x14ac:dyDescent="0.2">
      <c r="A120" s="8"/>
      <c r="B120" s="4"/>
      <c r="C120" s="4" t="s">
        <v>130</v>
      </c>
      <c r="D120" s="4"/>
      <c r="E120" s="8"/>
      <c r="F120" s="6">
        <v>-260.02964283</v>
      </c>
      <c r="G120" s="7">
        <v>-1.1114510000000001E-3</v>
      </c>
      <c r="H120" s="67"/>
    </row>
    <row r="121" spans="1:8" x14ac:dyDescent="0.2">
      <c r="A121" s="11"/>
      <c r="B121" s="11"/>
      <c r="C121" s="2" t="s">
        <v>131</v>
      </c>
      <c r="D121" s="15"/>
      <c r="E121" s="15"/>
      <c r="F121" s="9">
        <v>233955.11119907</v>
      </c>
      <c r="G121" s="10">
        <v>1.000000003</v>
      </c>
      <c r="H121" s="67"/>
    </row>
    <row r="122" spans="1:8" ht="14.1" customHeight="1" x14ac:dyDescent="0.2">
      <c r="A122" s="16"/>
      <c r="B122" s="16"/>
      <c r="C122" s="16"/>
      <c r="D122" s="17"/>
      <c r="E122" s="17"/>
      <c r="F122" s="17"/>
      <c r="G122" s="17"/>
    </row>
    <row r="123" spans="1:8" ht="14.1" customHeight="1" x14ac:dyDescent="0.2">
      <c r="A123" s="18"/>
      <c r="B123" s="170" t="s">
        <v>106</v>
      </c>
      <c r="C123" s="170"/>
      <c r="D123" s="170"/>
      <c r="E123" s="170"/>
      <c r="F123" s="170"/>
      <c r="G123" s="20"/>
    </row>
    <row r="124" spans="1:8" ht="14.1" customHeight="1" x14ac:dyDescent="0.2">
      <c r="A124" s="18"/>
      <c r="B124" s="170" t="s">
        <v>106</v>
      </c>
      <c r="C124" s="170"/>
      <c r="D124" s="170"/>
      <c r="E124" s="170"/>
      <c r="F124" s="170"/>
      <c r="G124" s="20"/>
    </row>
    <row r="125" spans="1:8" ht="14.1" customHeight="1" x14ac:dyDescent="0.2">
      <c r="A125" s="18"/>
      <c r="B125" s="18"/>
      <c r="C125" s="18"/>
      <c r="D125" s="20"/>
      <c r="E125" s="20"/>
      <c r="F125" s="20"/>
      <c r="G125" s="20"/>
    </row>
    <row r="126" spans="1:8" ht="14.1" customHeight="1" x14ac:dyDescent="0.2">
      <c r="A126" s="18"/>
      <c r="B126" s="168" t="s">
        <v>133</v>
      </c>
      <c r="C126" s="169"/>
      <c r="D126" s="12" t="s">
        <v>106</v>
      </c>
      <c r="E126" s="21"/>
      <c r="F126" s="20"/>
      <c r="G126" s="20"/>
    </row>
    <row r="127" spans="1:8" ht="29.1" customHeight="1" x14ac:dyDescent="0.2">
      <c r="A127" s="18"/>
      <c r="B127" s="165" t="s">
        <v>134</v>
      </c>
      <c r="C127" s="166"/>
      <c r="D127" s="2" t="s">
        <v>135</v>
      </c>
      <c r="E127" s="21"/>
      <c r="F127" s="20"/>
      <c r="G127" s="20"/>
    </row>
    <row r="128" spans="1:8" ht="17.100000000000001" customHeight="1" x14ac:dyDescent="0.2">
      <c r="A128" s="18"/>
      <c r="B128" s="165" t="s">
        <v>136</v>
      </c>
      <c r="C128" s="166"/>
      <c r="D128" s="2" t="s">
        <v>135</v>
      </c>
      <c r="E128" s="21"/>
      <c r="F128" s="20"/>
      <c r="G128" s="20"/>
    </row>
    <row r="129" spans="1:7" ht="17.100000000000001" customHeight="1" x14ac:dyDescent="0.2">
      <c r="A129" s="18"/>
      <c r="B129" s="165" t="s">
        <v>137</v>
      </c>
      <c r="C129" s="166"/>
      <c r="D129" s="12" t="s">
        <v>106</v>
      </c>
      <c r="E129" s="21"/>
      <c r="F129" s="20"/>
      <c r="G129" s="20"/>
    </row>
    <row r="130" spans="1:7" ht="24" customHeight="1" x14ac:dyDescent="0.2">
      <c r="A130" s="22"/>
      <c r="B130" s="23" t="s">
        <v>106</v>
      </c>
      <c r="C130" s="23" t="s">
        <v>138</v>
      </c>
      <c r="D130" s="23" t="s">
        <v>139</v>
      </c>
      <c r="E130" s="22"/>
      <c r="F130" s="22"/>
      <c r="G130" s="22"/>
    </row>
    <row r="131" spans="1:7" ht="18" customHeight="1" x14ac:dyDescent="0.2">
      <c r="A131" s="22"/>
      <c r="B131" s="23" t="s">
        <v>140</v>
      </c>
      <c r="C131" s="23" t="s">
        <v>141</v>
      </c>
      <c r="D131" s="23" t="s">
        <v>142</v>
      </c>
      <c r="E131" s="22"/>
      <c r="F131" s="22"/>
      <c r="G131" s="22"/>
    </row>
    <row r="132" spans="1:7" ht="17.100000000000001" customHeight="1" x14ac:dyDescent="0.2">
      <c r="A132" s="22"/>
      <c r="B132" s="4" t="s">
        <v>143</v>
      </c>
      <c r="C132" s="24">
        <v>140.07400000000001</v>
      </c>
      <c r="D132" s="24">
        <v>149.7628</v>
      </c>
      <c r="E132" s="22"/>
      <c r="F132" s="19"/>
      <c r="G132" s="25"/>
    </row>
    <row r="133" spans="1:7" ht="17.100000000000001" customHeight="1" x14ac:dyDescent="0.2">
      <c r="A133" s="22"/>
      <c r="B133" s="4" t="s">
        <v>988</v>
      </c>
      <c r="C133" s="24">
        <v>16.009799999999998</v>
      </c>
      <c r="D133" s="24">
        <v>17.1172</v>
      </c>
      <c r="E133" s="22"/>
      <c r="F133" s="19"/>
      <c r="G133" s="25"/>
    </row>
    <row r="134" spans="1:7" ht="17.100000000000001" customHeight="1" x14ac:dyDescent="0.2">
      <c r="A134" s="22"/>
      <c r="B134" s="4" t="s">
        <v>144</v>
      </c>
      <c r="C134" s="24">
        <v>135.18209999999999</v>
      </c>
      <c r="D134" s="24">
        <v>144.48910000000001</v>
      </c>
      <c r="E134" s="22"/>
      <c r="F134" s="19"/>
      <c r="G134" s="25"/>
    </row>
    <row r="135" spans="1:7" ht="17.100000000000001" customHeight="1" x14ac:dyDescent="0.2">
      <c r="A135" s="22"/>
      <c r="B135" s="4" t="s">
        <v>989</v>
      </c>
      <c r="C135" s="24">
        <v>13.4717</v>
      </c>
      <c r="D135" s="24">
        <v>14.3992</v>
      </c>
      <c r="E135" s="22"/>
      <c r="F135" s="19"/>
      <c r="G135" s="25"/>
    </row>
    <row r="136" spans="1:7" ht="14.1" customHeight="1" x14ac:dyDescent="0.2">
      <c r="A136" s="22"/>
      <c r="B136" s="22"/>
      <c r="C136" s="22"/>
      <c r="D136" s="22"/>
      <c r="E136" s="22"/>
      <c r="F136" s="22"/>
      <c r="G136" s="22"/>
    </row>
    <row r="137" spans="1:7" ht="17.100000000000001" customHeight="1" x14ac:dyDescent="0.2">
      <c r="A137" s="22"/>
      <c r="B137" s="165" t="s">
        <v>990</v>
      </c>
      <c r="C137" s="166"/>
      <c r="D137" s="2" t="s">
        <v>135</v>
      </c>
      <c r="E137" s="22"/>
      <c r="F137" s="22"/>
      <c r="G137" s="22"/>
    </row>
    <row r="138" spans="1:7" ht="18" customHeight="1" x14ac:dyDescent="0.2">
      <c r="A138" s="22"/>
      <c r="B138" s="26" t="s">
        <v>145</v>
      </c>
      <c r="C138" s="26" t="s">
        <v>145</v>
      </c>
      <c r="D138" s="26"/>
      <c r="E138" s="22"/>
      <c r="F138" s="22"/>
      <c r="G138" s="22"/>
    </row>
    <row r="139" spans="1:7" s="158" customFormat="1" x14ac:dyDescent="0.2">
      <c r="B139" s="167" t="s">
        <v>822</v>
      </c>
      <c r="C139" s="167"/>
      <c r="D139" s="167"/>
      <c r="E139" s="167"/>
      <c r="F139" s="167"/>
    </row>
    <row r="140" spans="1:7" ht="14.1" customHeight="1" x14ac:dyDescent="0.2">
      <c r="A140" s="22"/>
      <c r="B140" s="19"/>
      <c r="C140" s="19"/>
      <c r="D140" s="22"/>
      <c r="E140" s="22"/>
      <c r="F140" s="22"/>
      <c r="G140" s="22"/>
    </row>
    <row r="141" spans="1:7" ht="29.1" customHeight="1" x14ac:dyDescent="0.2">
      <c r="A141" s="22"/>
      <c r="B141" s="165" t="s">
        <v>146</v>
      </c>
      <c r="C141" s="166"/>
      <c r="D141" s="2" t="s">
        <v>135</v>
      </c>
      <c r="E141" s="22"/>
      <c r="F141" s="22"/>
      <c r="G141" s="22"/>
    </row>
    <row r="142" spans="1:7" ht="29.1" customHeight="1" x14ac:dyDescent="0.2">
      <c r="A142" s="22"/>
      <c r="B142" s="165" t="s">
        <v>147</v>
      </c>
      <c r="C142" s="166"/>
      <c r="D142" s="2" t="s">
        <v>135</v>
      </c>
      <c r="E142" s="22"/>
      <c r="F142" s="22"/>
      <c r="G142" s="22"/>
    </row>
    <row r="143" spans="1:7" ht="17.100000000000001" customHeight="1" x14ac:dyDescent="0.2">
      <c r="A143" s="22"/>
      <c r="B143" s="165" t="s">
        <v>148</v>
      </c>
      <c r="C143" s="166"/>
      <c r="D143" s="27">
        <v>0.52014077116542501</v>
      </c>
      <c r="E143" s="22"/>
      <c r="F143" s="19"/>
      <c r="G143" s="25"/>
    </row>
    <row r="144" spans="1:7" ht="17.100000000000001" customHeight="1" x14ac:dyDescent="0.2">
      <c r="A144" s="22"/>
      <c r="B144" s="165" t="s">
        <v>149</v>
      </c>
      <c r="C144" s="166"/>
      <c r="D144" s="2" t="s">
        <v>135</v>
      </c>
      <c r="E144" s="22"/>
      <c r="F144" s="22"/>
      <c r="G144" s="22"/>
    </row>
  </sheetData>
  <mergeCells count="15">
    <mergeCell ref="B126:C126"/>
    <mergeCell ref="B123:F123"/>
    <mergeCell ref="B124:F124"/>
    <mergeCell ref="A1:H1"/>
    <mergeCell ref="A2:H2"/>
    <mergeCell ref="A3:H3"/>
    <mergeCell ref="B143:C143"/>
    <mergeCell ref="B144:C144"/>
    <mergeCell ref="B127:C127"/>
    <mergeCell ref="B128:C128"/>
    <mergeCell ref="B129:C129"/>
    <mergeCell ref="B137:C137"/>
    <mergeCell ref="B141:C141"/>
    <mergeCell ref="B142:C142"/>
    <mergeCell ref="B139:F139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H14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1.5703125" bestFit="1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687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354</v>
      </c>
      <c r="C7" s="4" t="s">
        <v>355</v>
      </c>
      <c r="D7" s="4" t="s">
        <v>24</v>
      </c>
      <c r="E7" s="5">
        <v>75600</v>
      </c>
      <c r="F7" s="6">
        <v>594.59400000000005</v>
      </c>
      <c r="G7" s="7">
        <v>6.6079951999999997E-2</v>
      </c>
      <c r="H7" s="67"/>
    </row>
    <row r="8" spans="1:8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25000</v>
      </c>
      <c r="F8" s="6">
        <v>564.53750000000002</v>
      </c>
      <c r="G8" s="7">
        <v>6.2739636000000001E-2</v>
      </c>
      <c r="H8" s="67"/>
    </row>
    <row r="9" spans="1:8" x14ac:dyDescent="0.2">
      <c r="A9" s="3">
        <v>3</v>
      </c>
      <c r="B9" s="4" t="s">
        <v>22</v>
      </c>
      <c r="C9" s="4" t="s">
        <v>23</v>
      </c>
      <c r="D9" s="4" t="s">
        <v>24</v>
      </c>
      <c r="E9" s="5">
        <v>55000</v>
      </c>
      <c r="F9" s="6">
        <v>395.47750000000002</v>
      </c>
      <c r="G9" s="7">
        <v>4.3951223999999997E-2</v>
      </c>
      <c r="H9" s="67"/>
    </row>
    <row r="10" spans="1:8" ht="25.5" x14ac:dyDescent="0.2">
      <c r="A10" s="3">
        <v>4</v>
      </c>
      <c r="B10" s="4" t="s">
        <v>408</v>
      </c>
      <c r="C10" s="4" t="s">
        <v>409</v>
      </c>
      <c r="D10" s="4" t="s">
        <v>52</v>
      </c>
      <c r="E10" s="5">
        <v>14100</v>
      </c>
      <c r="F10" s="6">
        <v>384.09809999999999</v>
      </c>
      <c r="G10" s="7">
        <v>4.2686579000000002E-2</v>
      </c>
      <c r="H10" s="67"/>
    </row>
    <row r="11" spans="1:8" x14ac:dyDescent="0.2">
      <c r="A11" s="3">
        <v>5</v>
      </c>
      <c r="B11" s="4" t="s">
        <v>344</v>
      </c>
      <c r="C11" s="4" t="s">
        <v>345</v>
      </c>
      <c r="D11" s="4" t="s">
        <v>49</v>
      </c>
      <c r="E11" s="5">
        <v>90000</v>
      </c>
      <c r="F11" s="6">
        <v>339.255</v>
      </c>
      <c r="G11" s="7">
        <v>3.7702961E-2</v>
      </c>
      <c r="H11" s="67"/>
    </row>
    <row r="12" spans="1:8" x14ac:dyDescent="0.2">
      <c r="A12" s="3">
        <v>6</v>
      </c>
      <c r="B12" s="4" t="s">
        <v>97</v>
      </c>
      <c r="C12" s="4" t="s">
        <v>98</v>
      </c>
      <c r="D12" s="4" t="s">
        <v>60</v>
      </c>
      <c r="E12" s="5">
        <v>55000</v>
      </c>
      <c r="F12" s="6">
        <v>300.21749999999997</v>
      </c>
      <c r="G12" s="7">
        <v>3.3364545000000002E-2</v>
      </c>
      <c r="H12" s="67"/>
    </row>
    <row r="13" spans="1:8" x14ac:dyDescent="0.2">
      <c r="A13" s="3">
        <v>7</v>
      </c>
      <c r="B13" s="4" t="s">
        <v>303</v>
      </c>
      <c r="C13" s="4" t="s">
        <v>304</v>
      </c>
      <c r="D13" s="4" t="s">
        <v>179</v>
      </c>
      <c r="E13" s="5">
        <v>6000</v>
      </c>
      <c r="F13" s="6">
        <v>298.173</v>
      </c>
      <c r="G13" s="7">
        <v>3.313733E-2</v>
      </c>
      <c r="H13" s="67"/>
    </row>
    <row r="14" spans="1:8" x14ac:dyDescent="0.2">
      <c r="A14" s="3">
        <v>8</v>
      </c>
      <c r="B14" s="4" t="s">
        <v>378</v>
      </c>
      <c r="C14" s="4" t="s">
        <v>379</v>
      </c>
      <c r="D14" s="4" t="s">
        <v>81</v>
      </c>
      <c r="E14" s="5">
        <v>72000</v>
      </c>
      <c r="F14" s="6">
        <v>289.62</v>
      </c>
      <c r="G14" s="7">
        <v>3.2186795999999997E-2</v>
      </c>
      <c r="H14" s="67"/>
    </row>
    <row r="15" spans="1:8" ht="25.5" x14ac:dyDescent="0.2">
      <c r="A15" s="3">
        <v>9</v>
      </c>
      <c r="B15" s="4" t="s">
        <v>429</v>
      </c>
      <c r="C15" s="4" t="s">
        <v>430</v>
      </c>
      <c r="D15" s="4" t="s">
        <v>52</v>
      </c>
      <c r="E15" s="5">
        <v>131200</v>
      </c>
      <c r="F15" s="6">
        <v>277.22559999999999</v>
      </c>
      <c r="G15" s="7">
        <v>3.0809349999999999E-2</v>
      </c>
      <c r="H15" s="67"/>
    </row>
    <row r="16" spans="1:8" x14ac:dyDescent="0.2">
      <c r="A16" s="3">
        <v>10</v>
      </c>
      <c r="B16" s="4" t="s">
        <v>340</v>
      </c>
      <c r="C16" s="4" t="s">
        <v>341</v>
      </c>
      <c r="D16" s="4" t="s">
        <v>81</v>
      </c>
      <c r="E16" s="5">
        <v>20400</v>
      </c>
      <c r="F16" s="6">
        <v>275.95080000000002</v>
      </c>
      <c r="G16" s="7">
        <v>3.0667674999999998E-2</v>
      </c>
      <c r="H16" s="67"/>
    </row>
    <row r="17" spans="1:8" x14ac:dyDescent="0.2">
      <c r="A17" s="3">
        <v>11</v>
      </c>
      <c r="B17" s="4" t="s">
        <v>404</v>
      </c>
      <c r="C17" s="4" t="s">
        <v>405</v>
      </c>
      <c r="D17" s="4" t="s">
        <v>24</v>
      </c>
      <c r="E17" s="5">
        <v>60000</v>
      </c>
      <c r="F17" s="6">
        <v>255.63</v>
      </c>
      <c r="G17" s="7">
        <v>2.8409331999999999E-2</v>
      </c>
      <c r="H17" s="67"/>
    </row>
    <row r="18" spans="1:8" x14ac:dyDescent="0.2">
      <c r="A18" s="3">
        <v>12</v>
      </c>
      <c r="B18" s="4" t="s">
        <v>579</v>
      </c>
      <c r="C18" s="4" t="s">
        <v>580</v>
      </c>
      <c r="D18" s="4" t="s">
        <v>1002</v>
      </c>
      <c r="E18" s="5">
        <v>33000</v>
      </c>
      <c r="F18" s="6">
        <v>236.85749999999999</v>
      </c>
      <c r="G18" s="7">
        <v>2.6323058E-2</v>
      </c>
      <c r="H18" s="67"/>
    </row>
    <row r="19" spans="1:8" x14ac:dyDescent="0.2">
      <c r="A19" s="3">
        <v>13</v>
      </c>
      <c r="B19" s="4" t="s">
        <v>388</v>
      </c>
      <c r="C19" s="4" t="s">
        <v>389</v>
      </c>
      <c r="D19" s="4" t="s">
        <v>1002</v>
      </c>
      <c r="E19" s="5">
        <v>1350</v>
      </c>
      <c r="F19" s="6">
        <v>231.50812500000001</v>
      </c>
      <c r="G19" s="7">
        <v>2.5728556999999999E-2</v>
      </c>
      <c r="H19" s="67"/>
    </row>
    <row r="20" spans="1:8" x14ac:dyDescent="0.2">
      <c r="A20" s="3">
        <v>14</v>
      </c>
      <c r="B20" s="4" t="s">
        <v>398</v>
      </c>
      <c r="C20" s="4" t="s">
        <v>399</v>
      </c>
      <c r="D20" s="4" t="s">
        <v>24</v>
      </c>
      <c r="E20" s="5">
        <v>14300</v>
      </c>
      <c r="F20" s="6">
        <v>226.14019999999999</v>
      </c>
      <c r="G20" s="7">
        <v>2.5131995000000001E-2</v>
      </c>
      <c r="H20" s="67"/>
    </row>
    <row r="21" spans="1:8" ht="25.5" x14ac:dyDescent="0.2">
      <c r="A21" s="3">
        <v>15</v>
      </c>
      <c r="B21" s="4" t="s">
        <v>89</v>
      </c>
      <c r="C21" s="4" t="s">
        <v>90</v>
      </c>
      <c r="D21" s="4" t="s">
        <v>46</v>
      </c>
      <c r="E21" s="5">
        <v>30000</v>
      </c>
      <c r="F21" s="6">
        <v>224.49</v>
      </c>
      <c r="G21" s="7">
        <v>2.4948601000000001E-2</v>
      </c>
      <c r="H21" s="67"/>
    </row>
    <row r="22" spans="1:8" x14ac:dyDescent="0.2">
      <c r="A22" s="3">
        <v>16</v>
      </c>
      <c r="B22" s="4" t="s">
        <v>42</v>
      </c>
      <c r="C22" s="4" t="s">
        <v>43</v>
      </c>
      <c r="D22" s="4" t="s">
        <v>16</v>
      </c>
      <c r="E22" s="5">
        <v>41400</v>
      </c>
      <c r="F22" s="6">
        <v>195.26310000000001</v>
      </c>
      <c r="G22" s="7">
        <v>2.1700482E-2</v>
      </c>
      <c r="H22" s="67"/>
    </row>
    <row r="23" spans="1:8" x14ac:dyDescent="0.2">
      <c r="A23" s="3">
        <v>17</v>
      </c>
      <c r="B23" s="4" t="s">
        <v>607</v>
      </c>
      <c r="C23" s="4" t="s">
        <v>608</v>
      </c>
      <c r="D23" s="4" t="s">
        <v>428</v>
      </c>
      <c r="E23" s="5">
        <v>62000</v>
      </c>
      <c r="F23" s="6">
        <v>187.73599999999999</v>
      </c>
      <c r="G23" s="7">
        <v>2.0863961E-2</v>
      </c>
      <c r="H23" s="67"/>
    </row>
    <row r="24" spans="1:8" x14ac:dyDescent="0.2">
      <c r="A24" s="3">
        <v>18</v>
      </c>
      <c r="B24" s="4" t="s">
        <v>17</v>
      </c>
      <c r="C24" s="4" t="s">
        <v>18</v>
      </c>
      <c r="D24" s="4" t="s">
        <v>19</v>
      </c>
      <c r="E24" s="5">
        <v>27765</v>
      </c>
      <c r="F24" s="6">
        <v>184.37348249999999</v>
      </c>
      <c r="G24" s="7">
        <v>2.0490268999999998E-2</v>
      </c>
      <c r="H24" s="67"/>
    </row>
    <row r="25" spans="1:8" x14ac:dyDescent="0.2">
      <c r="A25" s="3">
        <v>19</v>
      </c>
      <c r="B25" s="4" t="s">
        <v>352</v>
      </c>
      <c r="C25" s="4" t="s">
        <v>353</v>
      </c>
      <c r="D25" s="4" t="s">
        <v>27</v>
      </c>
      <c r="E25" s="5">
        <v>24000</v>
      </c>
      <c r="F25" s="6">
        <v>184.12799999999999</v>
      </c>
      <c r="G25" s="7">
        <v>2.0462986999999998E-2</v>
      </c>
      <c r="H25" s="67"/>
    </row>
    <row r="26" spans="1:8" x14ac:dyDescent="0.2">
      <c r="A26" s="3">
        <v>20</v>
      </c>
      <c r="B26" s="4" t="s">
        <v>688</v>
      </c>
      <c r="C26" s="4" t="s">
        <v>689</v>
      </c>
      <c r="D26" s="4" t="s">
        <v>24</v>
      </c>
      <c r="E26" s="5">
        <v>108000</v>
      </c>
      <c r="F26" s="6">
        <v>171.828</v>
      </c>
      <c r="G26" s="7">
        <v>1.9096031999999999E-2</v>
      </c>
      <c r="H26" s="67"/>
    </row>
    <row r="27" spans="1:8" x14ac:dyDescent="0.2">
      <c r="A27" s="3">
        <v>21</v>
      </c>
      <c r="B27" s="4" t="s">
        <v>82</v>
      </c>
      <c r="C27" s="4" t="s">
        <v>83</v>
      </c>
      <c r="D27" s="4" t="s">
        <v>84</v>
      </c>
      <c r="E27" s="5">
        <v>135000</v>
      </c>
      <c r="F27" s="6">
        <v>165.71250000000001</v>
      </c>
      <c r="G27" s="7">
        <v>1.8416387999999999E-2</v>
      </c>
      <c r="H27" s="67"/>
    </row>
    <row r="28" spans="1:8" x14ac:dyDescent="0.2">
      <c r="A28" s="3">
        <v>22</v>
      </c>
      <c r="B28" s="4" t="s">
        <v>445</v>
      </c>
      <c r="C28" s="4" t="s">
        <v>446</v>
      </c>
      <c r="D28" s="4" t="s">
        <v>171</v>
      </c>
      <c r="E28" s="5">
        <v>70000</v>
      </c>
      <c r="F28" s="6">
        <v>153.02000000000001</v>
      </c>
      <c r="G28" s="7">
        <v>1.7005813000000002E-2</v>
      </c>
      <c r="H28" s="67"/>
    </row>
    <row r="29" spans="1:8" x14ac:dyDescent="0.2">
      <c r="A29" s="3">
        <v>23</v>
      </c>
      <c r="B29" s="4" t="s">
        <v>418</v>
      </c>
      <c r="C29" s="4" t="s">
        <v>419</v>
      </c>
      <c r="D29" s="4" t="s">
        <v>49</v>
      </c>
      <c r="E29" s="5">
        <v>10200</v>
      </c>
      <c r="F29" s="6">
        <v>147.9255</v>
      </c>
      <c r="G29" s="7">
        <v>1.6439637999999999E-2</v>
      </c>
      <c r="H29" s="67"/>
    </row>
    <row r="30" spans="1:8" ht="25.5" x14ac:dyDescent="0.2">
      <c r="A30" s="3">
        <v>24</v>
      </c>
      <c r="B30" s="4" t="s">
        <v>488</v>
      </c>
      <c r="C30" s="4" t="s">
        <v>489</v>
      </c>
      <c r="D30" s="4" t="s">
        <v>52</v>
      </c>
      <c r="E30" s="5">
        <v>20000</v>
      </c>
      <c r="F30" s="6">
        <v>124.3</v>
      </c>
      <c r="G30" s="7">
        <v>1.3814028000000001E-2</v>
      </c>
      <c r="H30" s="67"/>
    </row>
    <row r="31" spans="1:8" x14ac:dyDescent="0.2">
      <c r="A31" s="3">
        <v>25</v>
      </c>
      <c r="B31" s="4" t="s">
        <v>332</v>
      </c>
      <c r="C31" s="4" t="s">
        <v>333</v>
      </c>
      <c r="D31" s="4" t="s">
        <v>212</v>
      </c>
      <c r="E31" s="5">
        <v>300</v>
      </c>
      <c r="F31" s="6">
        <v>94.497299999999996</v>
      </c>
      <c r="G31" s="7">
        <v>1.0501917E-2</v>
      </c>
      <c r="H31" s="67"/>
    </row>
    <row r="32" spans="1:8" x14ac:dyDescent="0.2">
      <c r="A32" s="1"/>
      <c r="B32" s="1"/>
      <c r="C32" s="2" t="s">
        <v>105</v>
      </c>
      <c r="D32" s="1"/>
      <c r="E32" s="1" t="s">
        <v>106</v>
      </c>
      <c r="F32" s="9">
        <v>6502.5587075000003</v>
      </c>
      <c r="G32" s="10">
        <v>0.72265910600000005</v>
      </c>
      <c r="H32" s="67"/>
    </row>
    <row r="33" spans="1:8" x14ac:dyDescent="0.2">
      <c r="A33" s="1"/>
      <c r="B33" s="1"/>
      <c r="C33" s="11"/>
      <c r="D33" s="1"/>
      <c r="E33" s="1"/>
      <c r="F33" s="12"/>
      <c r="G33" s="12"/>
      <c r="H33" s="67"/>
    </row>
    <row r="34" spans="1:8" x14ac:dyDescent="0.2">
      <c r="A34" s="1"/>
      <c r="B34" s="1"/>
      <c r="C34" s="2" t="s">
        <v>107</v>
      </c>
      <c r="D34" s="1"/>
      <c r="E34" s="1"/>
      <c r="F34" s="1"/>
      <c r="G34" s="1"/>
      <c r="H34" s="67"/>
    </row>
    <row r="35" spans="1:8" x14ac:dyDescent="0.2">
      <c r="A35" s="1"/>
      <c r="B35" s="1"/>
      <c r="C35" s="2" t="s">
        <v>105</v>
      </c>
      <c r="D35" s="1"/>
      <c r="E35" s="1" t="s">
        <v>106</v>
      </c>
      <c r="F35" s="13">
        <v>0</v>
      </c>
      <c r="G35" s="14">
        <v>0</v>
      </c>
      <c r="H35" s="67"/>
    </row>
    <row r="36" spans="1:8" x14ac:dyDescent="0.2">
      <c r="A36" s="1"/>
      <c r="B36" s="1"/>
      <c r="C36" s="11"/>
      <c r="D36" s="1"/>
      <c r="E36" s="1"/>
      <c r="F36" s="12"/>
      <c r="G36" s="12"/>
      <c r="H36" s="67"/>
    </row>
    <row r="37" spans="1:8" x14ac:dyDescent="0.2">
      <c r="A37" s="1"/>
      <c r="B37" s="1"/>
      <c r="C37" s="2" t="s">
        <v>108</v>
      </c>
      <c r="D37" s="1"/>
      <c r="E37" s="1"/>
      <c r="F37" s="1"/>
      <c r="G37" s="1"/>
      <c r="H37" s="67"/>
    </row>
    <row r="38" spans="1:8" x14ac:dyDescent="0.2">
      <c r="A38" s="1"/>
      <c r="B38" s="1"/>
      <c r="C38" s="2" t="s">
        <v>105</v>
      </c>
      <c r="D38" s="1"/>
      <c r="E38" s="1" t="s">
        <v>106</v>
      </c>
      <c r="F38" s="13">
        <v>0</v>
      </c>
      <c r="G38" s="14">
        <v>0</v>
      </c>
      <c r="H38" s="67"/>
    </row>
    <row r="39" spans="1:8" x14ac:dyDescent="0.2">
      <c r="A39" s="1"/>
      <c r="B39" s="1"/>
      <c r="C39" s="11"/>
      <c r="D39" s="1"/>
      <c r="E39" s="1"/>
      <c r="F39" s="12"/>
      <c r="G39" s="12"/>
      <c r="H39" s="67"/>
    </row>
    <row r="40" spans="1:8" x14ac:dyDescent="0.2">
      <c r="A40" s="1"/>
      <c r="B40" s="1"/>
      <c r="C40" s="2" t="s">
        <v>109</v>
      </c>
      <c r="D40" s="1"/>
      <c r="E40" s="1"/>
      <c r="F40" s="1"/>
      <c r="G40" s="1"/>
      <c r="H40" s="67"/>
    </row>
    <row r="41" spans="1:8" x14ac:dyDescent="0.2">
      <c r="A41" s="1"/>
      <c r="B41" s="1"/>
      <c r="C41" s="2" t="s">
        <v>105</v>
      </c>
      <c r="D41" s="1"/>
      <c r="E41" s="1" t="s">
        <v>106</v>
      </c>
      <c r="F41" s="13">
        <v>0</v>
      </c>
      <c r="G41" s="14">
        <v>0</v>
      </c>
      <c r="H41" s="67"/>
    </row>
    <row r="42" spans="1:8" x14ac:dyDescent="0.2">
      <c r="A42" s="1"/>
      <c r="B42" s="1"/>
      <c r="C42" s="11"/>
      <c r="D42" s="1"/>
      <c r="E42" s="1"/>
      <c r="F42" s="12"/>
      <c r="G42" s="12"/>
      <c r="H42" s="67"/>
    </row>
    <row r="43" spans="1:8" x14ac:dyDescent="0.2">
      <c r="A43" s="1"/>
      <c r="B43" s="1"/>
      <c r="C43" s="2" t="s">
        <v>110</v>
      </c>
      <c r="D43" s="1"/>
      <c r="E43" s="1"/>
      <c r="F43" s="12"/>
      <c r="G43" s="12"/>
      <c r="H43" s="67"/>
    </row>
    <row r="44" spans="1:8" x14ac:dyDescent="0.2">
      <c r="A44" s="1"/>
      <c r="B44" s="1"/>
      <c r="C44" s="2" t="s">
        <v>105</v>
      </c>
      <c r="D44" s="1"/>
      <c r="E44" s="1" t="s">
        <v>106</v>
      </c>
      <c r="F44" s="13">
        <v>0</v>
      </c>
      <c r="G44" s="14">
        <v>0</v>
      </c>
      <c r="H44" s="67"/>
    </row>
    <row r="45" spans="1:8" x14ac:dyDescent="0.2">
      <c r="A45" s="1"/>
      <c r="B45" s="1"/>
      <c r="C45" s="11"/>
      <c r="D45" s="1"/>
      <c r="E45" s="1"/>
      <c r="F45" s="12"/>
      <c r="G45" s="12"/>
      <c r="H45" s="67"/>
    </row>
    <row r="46" spans="1:8" x14ac:dyDescent="0.2">
      <c r="A46" s="1"/>
      <c r="B46" s="1"/>
      <c r="C46" s="2" t="s">
        <v>111</v>
      </c>
      <c r="D46" s="1"/>
      <c r="E46" s="1"/>
      <c r="F46" s="12"/>
      <c r="G46" s="12"/>
      <c r="H46" s="67"/>
    </row>
    <row r="47" spans="1:8" x14ac:dyDescent="0.2">
      <c r="A47" s="3">
        <v>1</v>
      </c>
      <c r="B47" s="4"/>
      <c r="C47" s="4" t="s">
        <v>912</v>
      </c>
      <c r="D47" s="4" t="s">
        <v>690</v>
      </c>
      <c r="E47" s="5">
        <v>-300</v>
      </c>
      <c r="F47" s="6">
        <v>-94.629300000000001</v>
      </c>
      <c r="G47" s="105">
        <v>-1.0516589999999999E-2</v>
      </c>
      <c r="H47" s="67"/>
    </row>
    <row r="48" spans="1:8" x14ac:dyDescent="0.2">
      <c r="A48" s="3">
        <v>2</v>
      </c>
      <c r="B48" s="4"/>
      <c r="C48" s="4" t="s">
        <v>913</v>
      </c>
      <c r="D48" s="4" t="s">
        <v>690</v>
      </c>
      <c r="E48" s="5">
        <v>-20000</v>
      </c>
      <c r="F48" s="6">
        <v>-124.38</v>
      </c>
      <c r="G48" s="105">
        <v>-1.3822920000000001E-2</v>
      </c>
      <c r="H48" s="67"/>
    </row>
    <row r="49" spans="1:8" x14ac:dyDescent="0.2">
      <c r="A49" s="3">
        <v>3</v>
      </c>
      <c r="B49" s="4"/>
      <c r="C49" s="4" t="s">
        <v>914</v>
      </c>
      <c r="D49" s="4" t="s">
        <v>690</v>
      </c>
      <c r="E49" s="5">
        <v>-10200</v>
      </c>
      <c r="F49" s="6">
        <v>-147.97649999999999</v>
      </c>
      <c r="G49" s="105">
        <v>-1.6445310000000001E-2</v>
      </c>
      <c r="H49" s="67"/>
    </row>
    <row r="50" spans="1:8" ht="25.5" x14ac:dyDescent="0.2">
      <c r="A50" s="3">
        <v>4</v>
      </c>
      <c r="B50" s="4"/>
      <c r="C50" s="4" t="s">
        <v>915</v>
      </c>
      <c r="D50" s="4" t="s">
        <v>690</v>
      </c>
      <c r="E50" s="5">
        <v>-70000</v>
      </c>
      <c r="F50" s="6">
        <v>-152.04</v>
      </c>
      <c r="G50" s="105">
        <v>-1.6896899999999999E-2</v>
      </c>
      <c r="H50" s="67"/>
    </row>
    <row r="51" spans="1:8" x14ac:dyDescent="0.2">
      <c r="A51" s="3">
        <v>5</v>
      </c>
      <c r="B51" s="4"/>
      <c r="C51" s="4" t="s">
        <v>916</v>
      </c>
      <c r="D51" s="4" t="s">
        <v>690</v>
      </c>
      <c r="E51" s="5">
        <v>-135000</v>
      </c>
      <c r="F51" s="6">
        <v>-165.98249999999999</v>
      </c>
      <c r="G51" s="105">
        <v>-1.844639E-2</v>
      </c>
      <c r="H51" s="67"/>
    </row>
    <row r="52" spans="1:8" x14ac:dyDescent="0.2">
      <c r="A52" s="3">
        <v>6</v>
      </c>
      <c r="B52" s="4"/>
      <c r="C52" s="4" t="s">
        <v>917</v>
      </c>
      <c r="D52" s="4" t="s">
        <v>690</v>
      </c>
      <c r="E52" s="5">
        <v>-108000</v>
      </c>
      <c r="F52" s="6">
        <v>-172.36799999999999</v>
      </c>
      <c r="G52" s="105">
        <v>-1.9156039999999999E-2</v>
      </c>
      <c r="H52" s="67"/>
    </row>
    <row r="53" spans="1:8" x14ac:dyDescent="0.2">
      <c r="A53" s="3">
        <v>7</v>
      </c>
      <c r="B53" s="4"/>
      <c r="C53" s="4" t="s">
        <v>918</v>
      </c>
      <c r="D53" s="4" t="s">
        <v>690</v>
      </c>
      <c r="E53" s="5">
        <v>-24000</v>
      </c>
      <c r="F53" s="6">
        <v>-184.17599999999999</v>
      </c>
      <c r="G53" s="105">
        <v>-2.0468320000000002E-2</v>
      </c>
      <c r="H53" s="67"/>
    </row>
    <row r="54" spans="1:8" x14ac:dyDescent="0.2">
      <c r="A54" s="3">
        <v>8</v>
      </c>
      <c r="B54" s="4"/>
      <c r="C54" s="4" t="s">
        <v>919</v>
      </c>
      <c r="D54" s="4" t="s">
        <v>690</v>
      </c>
      <c r="E54" s="5">
        <v>-27765</v>
      </c>
      <c r="F54" s="6">
        <v>-184.37348249999999</v>
      </c>
      <c r="G54" s="105">
        <v>-2.0490270000000001E-2</v>
      </c>
      <c r="H54" s="67"/>
    </row>
    <row r="55" spans="1:8" x14ac:dyDescent="0.2">
      <c r="A55" s="3">
        <v>9</v>
      </c>
      <c r="B55" s="4"/>
      <c r="C55" s="4" t="s">
        <v>920</v>
      </c>
      <c r="D55" s="4" t="s">
        <v>690</v>
      </c>
      <c r="E55" s="5">
        <v>-62000</v>
      </c>
      <c r="F55" s="6">
        <v>-187.58099999999999</v>
      </c>
      <c r="G55" s="105">
        <v>-2.0846730000000001E-2</v>
      </c>
      <c r="H55" s="67"/>
    </row>
    <row r="56" spans="1:8" ht="25.5" x14ac:dyDescent="0.2">
      <c r="A56" s="3">
        <v>10</v>
      </c>
      <c r="B56" s="4"/>
      <c r="C56" s="4" t="s">
        <v>921</v>
      </c>
      <c r="D56" s="4" t="s">
        <v>690</v>
      </c>
      <c r="E56" s="5">
        <v>-41400</v>
      </c>
      <c r="F56" s="6">
        <v>-195.73920000000001</v>
      </c>
      <c r="G56" s="105">
        <v>-2.1753390000000001E-2</v>
      </c>
      <c r="H56" s="67"/>
    </row>
    <row r="57" spans="1:8" x14ac:dyDescent="0.2">
      <c r="A57" s="3">
        <v>11</v>
      </c>
      <c r="B57" s="4"/>
      <c r="C57" s="4" t="s">
        <v>922</v>
      </c>
      <c r="D57" s="4" t="s">
        <v>690</v>
      </c>
      <c r="E57" s="5">
        <v>-30000</v>
      </c>
      <c r="F57" s="6">
        <v>-225.39</v>
      </c>
      <c r="G57" s="105">
        <v>-2.5048620000000001E-2</v>
      </c>
      <c r="H57" s="67"/>
    </row>
    <row r="58" spans="1:8" x14ac:dyDescent="0.2">
      <c r="A58" s="3">
        <v>12</v>
      </c>
      <c r="B58" s="4"/>
      <c r="C58" s="4" t="s">
        <v>923</v>
      </c>
      <c r="D58" s="4" t="s">
        <v>690</v>
      </c>
      <c r="E58" s="5">
        <v>-14300</v>
      </c>
      <c r="F58" s="6">
        <v>-226.30465000000001</v>
      </c>
      <c r="G58" s="105">
        <v>-2.5150269999999999E-2</v>
      </c>
      <c r="H58" s="67"/>
    </row>
    <row r="59" spans="1:8" x14ac:dyDescent="0.2">
      <c r="A59" s="3">
        <v>13</v>
      </c>
      <c r="B59" s="4"/>
      <c r="C59" s="4" t="s">
        <v>924</v>
      </c>
      <c r="D59" s="4" t="s">
        <v>690</v>
      </c>
      <c r="E59" s="5">
        <v>-1350</v>
      </c>
      <c r="F59" s="6">
        <v>-231.46965</v>
      </c>
      <c r="G59" s="105">
        <v>-2.5724279999999999E-2</v>
      </c>
      <c r="H59" s="67"/>
    </row>
    <row r="60" spans="1:8" ht="25.5" x14ac:dyDescent="0.2">
      <c r="A60" s="3">
        <v>14</v>
      </c>
      <c r="B60" s="4"/>
      <c r="C60" s="4" t="s">
        <v>925</v>
      </c>
      <c r="D60" s="4" t="s">
        <v>690</v>
      </c>
      <c r="E60" s="5">
        <v>-33000</v>
      </c>
      <c r="F60" s="6">
        <v>-237.02250000000001</v>
      </c>
      <c r="G60" s="105">
        <v>-2.6341400000000001E-2</v>
      </c>
      <c r="H60" s="67"/>
    </row>
    <row r="61" spans="1:8" x14ac:dyDescent="0.2">
      <c r="A61" s="3">
        <v>15</v>
      </c>
      <c r="B61" s="4"/>
      <c r="C61" s="4" t="s">
        <v>926</v>
      </c>
      <c r="D61" s="4" t="s">
        <v>690</v>
      </c>
      <c r="E61" s="5">
        <v>-60000</v>
      </c>
      <c r="F61" s="6">
        <v>-255.81</v>
      </c>
      <c r="G61" s="105">
        <v>-2.8429340000000001E-2</v>
      </c>
      <c r="H61" s="67"/>
    </row>
    <row r="62" spans="1:8" ht="25.5" x14ac:dyDescent="0.2">
      <c r="A62" s="3">
        <v>16</v>
      </c>
      <c r="B62" s="4"/>
      <c r="C62" s="4" t="s">
        <v>927</v>
      </c>
      <c r="D62" s="4" t="s">
        <v>690</v>
      </c>
      <c r="E62" s="5">
        <v>-20400</v>
      </c>
      <c r="F62" s="6">
        <v>-276.0324</v>
      </c>
      <c r="G62" s="105">
        <v>-3.0676739999999997E-2</v>
      </c>
      <c r="H62" s="67"/>
    </row>
    <row r="63" spans="1:8" x14ac:dyDescent="0.2">
      <c r="A63" s="3">
        <v>17</v>
      </c>
      <c r="B63" s="4"/>
      <c r="C63" s="4" t="s">
        <v>928</v>
      </c>
      <c r="D63" s="4" t="s">
        <v>690</v>
      </c>
      <c r="E63" s="5">
        <v>-131200</v>
      </c>
      <c r="F63" s="6">
        <v>-277.6848</v>
      </c>
      <c r="G63" s="105">
        <v>-3.086038E-2</v>
      </c>
      <c r="H63" s="67"/>
    </row>
    <row r="64" spans="1:8" x14ac:dyDescent="0.2">
      <c r="A64" s="3">
        <v>18</v>
      </c>
      <c r="B64" s="4"/>
      <c r="C64" s="4" t="s">
        <v>929</v>
      </c>
      <c r="D64" s="4" t="s">
        <v>690</v>
      </c>
      <c r="E64" s="5">
        <v>-72000</v>
      </c>
      <c r="F64" s="6">
        <v>-284.04000000000002</v>
      </c>
      <c r="G64" s="105">
        <v>-3.1566659999999996E-2</v>
      </c>
      <c r="H64" s="67"/>
    </row>
    <row r="65" spans="1:8" ht="25.5" x14ac:dyDescent="0.2">
      <c r="A65" s="3">
        <v>19</v>
      </c>
      <c r="B65" s="4"/>
      <c r="C65" s="4" t="s">
        <v>930</v>
      </c>
      <c r="D65" s="4" t="s">
        <v>690</v>
      </c>
      <c r="E65" s="5">
        <v>-6000</v>
      </c>
      <c r="F65" s="6">
        <v>-298.39499999999998</v>
      </c>
      <c r="G65" s="105">
        <v>-3.3161999999999997E-2</v>
      </c>
      <c r="H65" s="67"/>
    </row>
    <row r="66" spans="1:8" x14ac:dyDescent="0.2">
      <c r="A66" s="3">
        <v>20</v>
      </c>
      <c r="B66" s="4"/>
      <c r="C66" s="4" t="s">
        <v>931</v>
      </c>
      <c r="D66" s="4" t="s">
        <v>690</v>
      </c>
      <c r="E66" s="5">
        <v>-55000</v>
      </c>
      <c r="F66" s="6">
        <v>-299.08999999999997</v>
      </c>
      <c r="G66" s="105">
        <v>-3.3239239999999996E-2</v>
      </c>
      <c r="H66" s="67"/>
    </row>
    <row r="67" spans="1:8" x14ac:dyDescent="0.2">
      <c r="A67" s="3">
        <v>21</v>
      </c>
      <c r="B67" s="4"/>
      <c r="C67" s="4" t="s">
        <v>932</v>
      </c>
      <c r="D67" s="4" t="s">
        <v>690</v>
      </c>
      <c r="E67" s="5">
        <v>-90000</v>
      </c>
      <c r="F67" s="6">
        <v>-340.51499999999999</v>
      </c>
      <c r="G67" s="105">
        <v>-3.784299E-2</v>
      </c>
      <c r="H67" s="67"/>
    </row>
    <row r="68" spans="1:8" x14ac:dyDescent="0.2">
      <c r="A68" s="3">
        <v>22</v>
      </c>
      <c r="B68" s="4"/>
      <c r="C68" s="4" t="s">
        <v>933</v>
      </c>
      <c r="D68" s="4" t="s">
        <v>690</v>
      </c>
      <c r="E68" s="5">
        <v>-14100</v>
      </c>
      <c r="F68" s="6">
        <v>-384.49290000000002</v>
      </c>
      <c r="G68" s="105">
        <v>-4.2730459999999998E-2</v>
      </c>
      <c r="H68" s="67"/>
    </row>
    <row r="69" spans="1:8" x14ac:dyDescent="0.2">
      <c r="A69" s="3">
        <v>23</v>
      </c>
      <c r="B69" s="4"/>
      <c r="C69" s="4" t="s">
        <v>934</v>
      </c>
      <c r="D69" s="4" t="s">
        <v>690</v>
      </c>
      <c r="E69" s="5">
        <v>-55000</v>
      </c>
      <c r="F69" s="6">
        <v>-395.83499999999998</v>
      </c>
      <c r="G69" s="105">
        <v>-4.3990950000000001E-2</v>
      </c>
      <c r="H69" s="67"/>
    </row>
    <row r="70" spans="1:8" x14ac:dyDescent="0.2">
      <c r="A70" s="3">
        <v>24</v>
      </c>
      <c r="B70" s="4"/>
      <c r="C70" s="4" t="s">
        <v>935</v>
      </c>
      <c r="D70" s="4" t="s">
        <v>690</v>
      </c>
      <c r="E70" s="5">
        <v>-25000</v>
      </c>
      <c r="F70" s="6">
        <v>-566.48749999999995</v>
      </c>
      <c r="G70" s="105">
        <v>-6.2956349999999994E-2</v>
      </c>
      <c r="H70" s="67"/>
    </row>
    <row r="71" spans="1:8" x14ac:dyDescent="0.2">
      <c r="A71" s="3">
        <v>25</v>
      </c>
      <c r="B71" s="4"/>
      <c r="C71" s="4" t="s">
        <v>936</v>
      </c>
      <c r="D71" s="4" t="s">
        <v>690</v>
      </c>
      <c r="E71" s="5">
        <v>-75600</v>
      </c>
      <c r="F71" s="6">
        <v>-595.27440000000001</v>
      </c>
      <c r="G71" s="105">
        <v>-6.6155569999999997E-2</v>
      </c>
      <c r="H71" s="67"/>
    </row>
    <row r="72" spans="1:8" x14ac:dyDescent="0.2">
      <c r="A72" s="1"/>
      <c r="B72" s="1"/>
      <c r="C72" s="2" t="s">
        <v>105</v>
      </c>
      <c r="D72" s="1"/>
      <c r="E72" s="1" t="s">
        <v>106</v>
      </c>
      <c r="F72" s="9">
        <v>-6503.0897825000002</v>
      </c>
      <c r="G72" s="10">
        <v>-0.72271812700000004</v>
      </c>
      <c r="H72" s="67"/>
    </row>
    <row r="73" spans="1:8" x14ac:dyDescent="0.2">
      <c r="A73" s="1"/>
      <c r="B73" s="1"/>
      <c r="C73" s="11"/>
      <c r="D73" s="1"/>
      <c r="E73" s="1"/>
      <c r="F73" s="12"/>
      <c r="G73" s="12"/>
      <c r="H73" s="67"/>
    </row>
    <row r="74" spans="1:8" x14ac:dyDescent="0.2">
      <c r="A74" s="1"/>
      <c r="B74" s="1"/>
      <c r="C74" s="2" t="s">
        <v>112</v>
      </c>
      <c r="D74" s="1"/>
      <c r="E74" s="1"/>
      <c r="F74" s="9">
        <v>6502.5587075000003</v>
      </c>
      <c r="G74" s="10">
        <v>0.72265910600000005</v>
      </c>
      <c r="H74" s="67"/>
    </row>
    <row r="75" spans="1:8" x14ac:dyDescent="0.2">
      <c r="A75" s="1"/>
      <c r="B75" s="1"/>
      <c r="C75" s="11"/>
      <c r="D75" s="1"/>
      <c r="E75" s="1"/>
      <c r="F75" s="12"/>
      <c r="G75" s="12"/>
      <c r="H75" s="67"/>
    </row>
    <row r="76" spans="1:8" x14ac:dyDescent="0.2">
      <c r="A76" s="1"/>
      <c r="B76" s="1"/>
      <c r="C76" s="2" t="s">
        <v>113</v>
      </c>
      <c r="D76" s="1"/>
      <c r="E76" s="1"/>
      <c r="F76" s="12"/>
      <c r="G76" s="12"/>
      <c r="H76" s="67"/>
    </row>
    <row r="77" spans="1:8" ht="25.5" x14ac:dyDescent="0.2">
      <c r="A77" s="1"/>
      <c r="B77" s="1"/>
      <c r="C77" s="2" t="s">
        <v>10</v>
      </c>
      <c r="D77" s="1"/>
      <c r="E77" s="1"/>
      <c r="F77" s="12"/>
      <c r="G77" s="12"/>
      <c r="H77" s="67"/>
    </row>
    <row r="78" spans="1:8" x14ac:dyDescent="0.2">
      <c r="A78" s="1"/>
      <c r="B78" s="1"/>
      <c r="C78" s="2" t="s">
        <v>105</v>
      </c>
      <c r="D78" s="1"/>
      <c r="E78" s="1" t="s">
        <v>106</v>
      </c>
      <c r="F78" s="13">
        <v>0</v>
      </c>
      <c r="G78" s="14">
        <v>0</v>
      </c>
      <c r="H78" s="67"/>
    </row>
    <row r="79" spans="1:8" x14ac:dyDescent="0.2">
      <c r="A79" s="1"/>
      <c r="B79" s="1"/>
      <c r="C79" s="11"/>
      <c r="D79" s="1"/>
      <c r="E79" s="1"/>
      <c r="F79" s="12"/>
      <c r="G79" s="12"/>
      <c r="H79" s="67"/>
    </row>
    <row r="80" spans="1:8" x14ac:dyDescent="0.2">
      <c r="A80" s="1"/>
      <c r="B80" s="1"/>
      <c r="C80" s="2" t="s">
        <v>114</v>
      </c>
      <c r="D80" s="1"/>
      <c r="E80" s="1"/>
      <c r="F80" s="1"/>
      <c r="G80" s="1"/>
      <c r="H80" s="67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13">
        <v>0</v>
      </c>
      <c r="G81" s="14">
        <v>0</v>
      </c>
      <c r="H81" s="67"/>
    </row>
    <row r="82" spans="1:8" x14ac:dyDescent="0.2">
      <c r="A82" s="1"/>
      <c r="B82" s="1"/>
      <c r="C82" s="11"/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115</v>
      </c>
      <c r="D83" s="1"/>
      <c r="E83" s="1"/>
      <c r="F83" s="1"/>
      <c r="G83" s="1"/>
      <c r="H83" s="67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7"/>
    </row>
    <row r="85" spans="1:8" x14ac:dyDescent="0.2">
      <c r="A85" s="1"/>
      <c r="B85" s="1"/>
      <c r="C85" s="11"/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116</v>
      </c>
      <c r="D86" s="1"/>
      <c r="E86" s="1"/>
      <c r="F86" s="12"/>
      <c r="G86" s="12"/>
      <c r="H86" s="67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7"/>
    </row>
    <row r="88" spans="1:8" x14ac:dyDescent="0.2">
      <c r="A88" s="1"/>
      <c r="B88" s="1"/>
      <c r="C88" s="11"/>
      <c r="D88" s="1"/>
      <c r="E88" s="1"/>
      <c r="F88" s="12"/>
      <c r="G88" s="12"/>
      <c r="H88" s="67"/>
    </row>
    <row r="89" spans="1:8" x14ac:dyDescent="0.2">
      <c r="A89" s="1"/>
      <c r="B89" s="1"/>
      <c r="C89" s="2" t="s">
        <v>117</v>
      </c>
      <c r="D89" s="1"/>
      <c r="E89" s="1"/>
      <c r="F89" s="9">
        <v>0</v>
      </c>
      <c r="G89" s="10">
        <v>0</v>
      </c>
      <c r="H89" s="67"/>
    </row>
    <row r="90" spans="1:8" x14ac:dyDescent="0.2">
      <c r="A90" s="1"/>
      <c r="B90" s="1"/>
      <c r="C90" s="11"/>
      <c r="D90" s="1"/>
      <c r="E90" s="1"/>
      <c r="F90" s="12"/>
      <c r="G90" s="12"/>
      <c r="H90" s="67"/>
    </row>
    <row r="91" spans="1:8" x14ac:dyDescent="0.2">
      <c r="A91" s="1"/>
      <c r="B91" s="1"/>
      <c r="C91" s="2" t="s">
        <v>118</v>
      </c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119</v>
      </c>
      <c r="D92" s="1"/>
      <c r="E92" s="1"/>
      <c r="F92" s="12"/>
      <c r="G92" s="12"/>
      <c r="H92" s="67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7"/>
    </row>
    <row r="94" spans="1:8" x14ac:dyDescent="0.2">
      <c r="A94" s="1"/>
      <c r="B94" s="1"/>
      <c r="C94" s="11"/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120</v>
      </c>
      <c r="D95" s="1"/>
      <c r="E95" s="1"/>
      <c r="F95" s="12"/>
      <c r="G95" s="12"/>
      <c r="H95" s="67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7"/>
    </row>
    <row r="97" spans="1:8" x14ac:dyDescent="0.2">
      <c r="A97" s="1"/>
      <c r="B97" s="1"/>
      <c r="C97" s="11"/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121</v>
      </c>
      <c r="D98" s="1"/>
      <c r="E98" s="1"/>
      <c r="F98" s="12"/>
      <c r="G98" s="12"/>
      <c r="H98" s="67"/>
    </row>
    <row r="99" spans="1:8" x14ac:dyDescent="0.2">
      <c r="A99" s="1"/>
      <c r="B99" s="1"/>
      <c r="C99" s="2" t="s">
        <v>105</v>
      </c>
      <c r="D99" s="1"/>
      <c r="E99" s="1" t="s">
        <v>106</v>
      </c>
      <c r="F99" s="13">
        <v>0</v>
      </c>
      <c r="G99" s="14">
        <v>0</v>
      </c>
      <c r="H99" s="67"/>
    </row>
    <row r="100" spans="1:8" x14ac:dyDescent="0.2">
      <c r="A100" s="1"/>
      <c r="B100" s="1"/>
      <c r="C100" s="11"/>
      <c r="D100" s="1"/>
      <c r="E100" s="1"/>
      <c r="F100" s="12"/>
      <c r="G100" s="12"/>
      <c r="H100" s="67"/>
    </row>
    <row r="101" spans="1:8" x14ac:dyDescent="0.2">
      <c r="A101" s="1"/>
      <c r="B101" s="1"/>
      <c r="C101" s="2" t="s">
        <v>122</v>
      </c>
      <c r="D101" s="1"/>
      <c r="E101" s="1"/>
      <c r="F101" s="12"/>
      <c r="G101" s="12"/>
      <c r="H101" s="67"/>
    </row>
    <row r="102" spans="1:8" x14ac:dyDescent="0.2">
      <c r="A102" s="3">
        <v>1</v>
      </c>
      <c r="B102" s="4"/>
      <c r="C102" s="4" t="s">
        <v>123</v>
      </c>
      <c r="D102" s="4"/>
      <c r="E102" s="8"/>
      <c r="F102" s="6">
        <v>32.361647300000001</v>
      </c>
      <c r="G102" s="7">
        <v>3.5964980000000001E-3</v>
      </c>
      <c r="H102" s="67">
        <v>3.1047477660654299</v>
      </c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9">
        <v>32.361647300000001</v>
      </c>
      <c r="G103" s="10">
        <v>3.5964980000000001E-3</v>
      </c>
      <c r="H103" s="67"/>
    </row>
    <row r="104" spans="1:8" x14ac:dyDescent="0.2">
      <c r="A104" s="1"/>
      <c r="B104" s="1"/>
      <c r="C104" s="11"/>
      <c r="D104" s="1"/>
      <c r="E104" s="1"/>
      <c r="F104" s="12"/>
      <c r="G104" s="12"/>
      <c r="H104" s="67"/>
    </row>
    <row r="105" spans="1:8" x14ac:dyDescent="0.2">
      <c r="A105" s="1"/>
      <c r="B105" s="1"/>
      <c r="C105" s="2" t="s">
        <v>124</v>
      </c>
      <c r="D105" s="1"/>
      <c r="E105" s="1"/>
      <c r="F105" s="9">
        <v>32.361647300000001</v>
      </c>
      <c r="G105" s="10">
        <v>3.5964980000000001E-3</v>
      </c>
      <c r="H105" s="67"/>
    </row>
    <row r="106" spans="1:8" x14ac:dyDescent="0.2">
      <c r="A106" s="1"/>
      <c r="B106" s="1"/>
      <c r="C106" s="12"/>
      <c r="D106" s="1"/>
      <c r="E106" s="1"/>
      <c r="F106" s="1"/>
      <c r="G106" s="1"/>
      <c r="H106" s="67"/>
    </row>
    <row r="107" spans="1:8" x14ac:dyDescent="0.2">
      <c r="A107" s="1"/>
      <c r="B107" s="1"/>
      <c r="C107" s="2" t="s">
        <v>125</v>
      </c>
      <c r="D107" s="1"/>
      <c r="E107" s="1"/>
      <c r="F107" s="1"/>
      <c r="G107" s="1"/>
      <c r="H107" s="67"/>
    </row>
    <row r="108" spans="1:8" x14ac:dyDescent="0.2">
      <c r="A108" s="1"/>
      <c r="B108" s="1"/>
      <c r="C108" s="2" t="s">
        <v>126</v>
      </c>
      <c r="D108" s="1"/>
      <c r="E108" s="1"/>
      <c r="F108" s="1"/>
      <c r="G108" s="1"/>
      <c r="H108" s="67"/>
    </row>
    <row r="109" spans="1:8" ht="25.5" x14ac:dyDescent="0.2">
      <c r="A109" s="3">
        <v>1</v>
      </c>
      <c r="B109" s="4" t="s">
        <v>691</v>
      </c>
      <c r="C109" s="4" t="s">
        <v>972</v>
      </c>
      <c r="D109" s="4" t="s">
        <v>812</v>
      </c>
      <c r="E109" s="5">
        <v>464328.50199999998</v>
      </c>
      <c r="F109" s="6">
        <v>204.36861821299999</v>
      </c>
      <c r="G109" s="7">
        <v>2.2712420000000001E-2</v>
      </c>
      <c r="H109" s="67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9">
        <v>204.36861821299999</v>
      </c>
      <c r="G110" s="10">
        <v>2.2712420000000001E-2</v>
      </c>
      <c r="H110" s="67"/>
    </row>
    <row r="111" spans="1:8" x14ac:dyDescent="0.2">
      <c r="A111" s="1"/>
      <c r="B111" s="1"/>
      <c r="C111" s="11"/>
      <c r="D111" s="1"/>
      <c r="E111" s="1"/>
      <c r="F111" s="12"/>
      <c r="G111" s="12"/>
      <c r="H111" s="67"/>
    </row>
    <row r="112" spans="1:8" x14ac:dyDescent="0.2">
      <c r="A112" s="1"/>
      <c r="B112" s="1"/>
      <c r="C112" s="2" t="s">
        <v>127</v>
      </c>
      <c r="D112" s="1"/>
      <c r="E112" s="1"/>
      <c r="F112" s="1"/>
      <c r="G112" s="1"/>
      <c r="H112" s="67"/>
    </row>
    <row r="113" spans="1:8" x14ac:dyDescent="0.2">
      <c r="A113" s="1"/>
      <c r="B113" s="1"/>
      <c r="C113" s="2" t="s">
        <v>128</v>
      </c>
      <c r="D113" s="1"/>
      <c r="E113" s="1"/>
      <c r="F113" s="1"/>
      <c r="G113" s="1"/>
      <c r="H113" s="67"/>
    </row>
    <row r="114" spans="1:8" x14ac:dyDescent="0.2">
      <c r="A114" s="1"/>
      <c r="B114" s="1"/>
      <c r="C114" s="2" t="s">
        <v>105</v>
      </c>
      <c r="D114" s="1"/>
      <c r="E114" s="1" t="s">
        <v>106</v>
      </c>
      <c r="F114" s="13">
        <v>0</v>
      </c>
      <c r="G114" s="14">
        <v>0</v>
      </c>
      <c r="H114" s="67"/>
    </row>
    <row r="115" spans="1:8" x14ac:dyDescent="0.2">
      <c r="A115" s="1"/>
      <c r="B115" s="1"/>
      <c r="C115" s="11"/>
      <c r="D115" s="1"/>
      <c r="E115" s="1"/>
      <c r="F115" s="12"/>
      <c r="G115" s="12"/>
      <c r="H115" s="67"/>
    </row>
    <row r="116" spans="1:8" x14ac:dyDescent="0.2">
      <c r="A116" s="1"/>
      <c r="B116" s="1"/>
      <c r="C116" s="11"/>
      <c r="D116" s="1"/>
      <c r="E116" s="1"/>
      <c r="F116" s="12"/>
      <c r="G116" s="12"/>
      <c r="H116" s="67"/>
    </row>
    <row r="117" spans="1:8" ht="25.5" x14ac:dyDescent="0.2">
      <c r="A117" s="1"/>
      <c r="B117" s="1"/>
      <c r="C117" s="2" t="s">
        <v>129</v>
      </c>
      <c r="D117" s="1"/>
      <c r="E117" s="1"/>
      <c r="F117" s="12"/>
      <c r="G117" s="12"/>
      <c r="H117" s="67"/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">
        <v>0</v>
      </c>
      <c r="H118" s="67"/>
    </row>
    <row r="119" spans="1:8" x14ac:dyDescent="0.2">
      <c r="A119" s="1"/>
      <c r="B119" s="1"/>
      <c r="C119" s="11"/>
      <c r="D119" s="1"/>
      <c r="E119" s="1"/>
      <c r="F119" s="12"/>
      <c r="G119" s="12"/>
      <c r="H119" s="67"/>
    </row>
    <row r="120" spans="1:8" x14ac:dyDescent="0.2">
      <c r="A120" s="8"/>
      <c r="B120" s="4"/>
      <c r="C120" s="4" t="s">
        <v>692</v>
      </c>
      <c r="D120" s="4"/>
      <c r="E120" s="8"/>
      <c r="F120" s="6">
        <v>1943.6797999999999</v>
      </c>
      <c r="G120" s="7">
        <v>0.21601003099999999</v>
      </c>
      <c r="H120" s="67"/>
    </row>
    <row r="121" spans="1:8" x14ac:dyDescent="0.2">
      <c r="A121" s="8"/>
      <c r="B121" s="4"/>
      <c r="C121" s="4" t="s">
        <v>130</v>
      </c>
      <c r="D121" s="4"/>
      <c r="E121" s="8"/>
      <c r="F121" s="6">
        <v>315.13097018699773</v>
      </c>
      <c r="G121" s="7">
        <v>3.5021946764387302E-2</v>
      </c>
      <c r="H121" s="67"/>
    </row>
    <row r="122" spans="1:8" x14ac:dyDescent="0.2">
      <c r="A122" s="11"/>
      <c r="B122" s="11"/>
      <c r="C122" s="2" t="s">
        <v>131</v>
      </c>
      <c r="D122" s="15"/>
      <c r="E122" s="15"/>
      <c r="F122" s="9">
        <v>8998.0997431999986</v>
      </c>
      <c r="G122" s="10">
        <v>1.0000000017643873</v>
      </c>
      <c r="H122" s="67"/>
    </row>
    <row r="123" spans="1:8" ht="14.1" customHeight="1" x14ac:dyDescent="0.2">
      <c r="A123" s="16"/>
      <c r="B123" s="16"/>
      <c r="C123" s="16"/>
      <c r="D123" s="17"/>
      <c r="E123" s="17"/>
      <c r="F123" s="17"/>
      <c r="G123" s="17"/>
    </row>
    <row r="124" spans="1:8" ht="14.1" customHeight="1" x14ac:dyDescent="0.2">
      <c r="A124" s="18"/>
      <c r="B124" s="170" t="s">
        <v>106</v>
      </c>
      <c r="C124" s="170"/>
      <c r="D124" s="170"/>
      <c r="E124" s="170"/>
      <c r="F124" s="170"/>
      <c r="G124" s="20"/>
    </row>
    <row r="125" spans="1:8" ht="17.100000000000001" customHeight="1" x14ac:dyDescent="0.2">
      <c r="A125" s="144" t="s">
        <v>106</v>
      </c>
      <c r="B125" s="178" t="s">
        <v>973</v>
      </c>
      <c r="C125" s="178"/>
      <c r="D125" s="178"/>
      <c r="E125" s="178"/>
      <c r="F125" s="178"/>
      <c r="G125" s="146" t="s">
        <v>106</v>
      </c>
    </row>
    <row r="126" spans="1:8" ht="14.1" customHeight="1" x14ac:dyDescent="0.2">
      <c r="A126" s="18"/>
      <c r="B126" s="18"/>
      <c r="C126" s="18"/>
      <c r="D126" s="20"/>
      <c r="E126" s="20"/>
      <c r="F126" s="20"/>
      <c r="G126" s="20"/>
    </row>
    <row r="127" spans="1:8" ht="14.1" customHeight="1" x14ac:dyDescent="0.2">
      <c r="A127" s="18"/>
      <c r="B127" s="168" t="s">
        <v>133</v>
      </c>
      <c r="C127" s="169"/>
      <c r="D127" s="12" t="s">
        <v>106</v>
      </c>
      <c r="E127" s="21"/>
      <c r="F127" s="20"/>
      <c r="G127" s="20"/>
    </row>
    <row r="128" spans="1:8" ht="29.1" customHeight="1" x14ac:dyDescent="0.2">
      <c r="A128" s="18"/>
      <c r="B128" s="165" t="s">
        <v>134</v>
      </c>
      <c r="C128" s="166"/>
      <c r="D128" s="2" t="s">
        <v>135</v>
      </c>
      <c r="E128" s="21"/>
      <c r="F128" s="20"/>
      <c r="G128" s="20"/>
    </row>
    <row r="129" spans="1:7" ht="17.100000000000001" customHeight="1" x14ac:dyDescent="0.2">
      <c r="A129" s="18"/>
      <c r="B129" s="165" t="s">
        <v>136</v>
      </c>
      <c r="C129" s="166"/>
      <c r="D129" s="2" t="s">
        <v>135</v>
      </c>
      <c r="E129" s="21"/>
      <c r="F129" s="20"/>
      <c r="G129" s="20"/>
    </row>
    <row r="130" spans="1:7" ht="17.100000000000001" customHeight="1" x14ac:dyDescent="0.2">
      <c r="A130" s="18"/>
      <c r="B130" s="165" t="s">
        <v>137</v>
      </c>
      <c r="C130" s="166"/>
      <c r="D130" s="12" t="s">
        <v>106</v>
      </c>
      <c r="E130" s="21"/>
      <c r="F130" s="20"/>
      <c r="G130" s="20"/>
    </row>
    <row r="131" spans="1:7" ht="24" customHeight="1" x14ac:dyDescent="0.2">
      <c r="A131" s="22"/>
      <c r="B131" s="23" t="s">
        <v>106</v>
      </c>
      <c r="C131" s="23" t="s">
        <v>138</v>
      </c>
      <c r="D131" s="23" t="s">
        <v>139</v>
      </c>
      <c r="E131" s="22"/>
      <c r="F131" s="22"/>
      <c r="G131" s="22"/>
    </row>
    <row r="132" spans="1:7" ht="18" customHeight="1" x14ac:dyDescent="0.2">
      <c r="A132" s="22"/>
      <c r="B132" s="23" t="s">
        <v>140</v>
      </c>
      <c r="C132" s="23" t="s">
        <v>141</v>
      </c>
      <c r="D132" s="23" t="s">
        <v>142</v>
      </c>
      <c r="E132" s="22"/>
      <c r="F132" s="22"/>
      <c r="G132" s="22"/>
    </row>
    <row r="133" spans="1:7" ht="17.100000000000001" customHeight="1" x14ac:dyDescent="0.2">
      <c r="A133" s="22"/>
      <c r="B133" s="4" t="s">
        <v>143</v>
      </c>
      <c r="C133" s="24">
        <v>10.693</v>
      </c>
      <c r="D133" s="24">
        <v>10.735900000000001</v>
      </c>
      <c r="E133" s="22"/>
      <c r="F133" s="19"/>
      <c r="G133" s="25"/>
    </row>
    <row r="134" spans="1:7" ht="17.100000000000001" customHeight="1" x14ac:dyDescent="0.2">
      <c r="A134" s="22"/>
      <c r="B134" s="4" t="s">
        <v>988</v>
      </c>
      <c r="C134" s="24">
        <v>10.689299999999999</v>
      </c>
      <c r="D134" s="24">
        <v>10.732100000000001</v>
      </c>
      <c r="E134" s="22"/>
      <c r="F134" s="19"/>
      <c r="G134" s="25"/>
    </row>
    <row r="135" spans="1:7" ht="17.100000000000001" customHeight="1" x14ac:dyDescent="0.2">
      <c r="A135" s="22"/>
      <c r="B135" s="4" t="s">
        <v>144</v>
      </c>
      <c r="C135" s="24">
        <v>10.5832</v>
      </c>
      <c r="D135" s="24">
        <v>10.6187</v>
      </c>
      <c r="E135" s="22"/>
      <c r="F135" s="19"/>
      <c r="G135" s="25"/>
    </row>
    <row r="136" spans="1:7" ht="17.100000000000001" customHeight="1" x14ac:dyDescent="0.2">
      <c r="A136" s="22"/>
      <c r="B136" s="4" t="s">
        <v>989</v>
      </c>
      <c r="C136" s="24">
        <v>10.583299999999999</v>
      </c>
      <c r="D136" s="24">
        <v>10.6188</v>
      </c>
      <c r="E136" s="22"/>
      <c r="F136" s="19"/>
      <c r="G136" s="25"/>
    </row>
    <row r="137" spans="1:7" ht="14.1" customHeight="1" x14ac:dyDescent="0.2">
      <c r="A137" s="22"/>
      <c r="B137" s="22"/>
      <c r="C137" s="22"/>
      <c r="D137" s="22"/>
      <c r="E137" s="22"/>
      <c r="F137" s="22"/>
      <c r="G137" s="22"/>
    </row>
    <row r="138" spans="1:7" ht="17.100000000000001" customHeight="1" x14ac:dyDescent="0.2">
      <c r="A138" s="22"/>
      <c r="B138" s="165" t="s">
        <v>990</v>
      </c>
      <c r="C138" s="166"/>
      <c r="D138" s="2" t="s">
        <v>135</v>
      </c>
      <c r="E138" s="22"/>
      <c r="F138" s="22"/>
      <c r="G138" s="22"/>
    </row>
    <row r="139" spans="1:7" ht="18" customHeight="1" x14ac:dyDescent="0.2">
      <c r="A139" s="22"/>
      <c r="B139" s="26" t="s">
        <v>145</v>
      </c>
      <c r="C139" s="26" t="s">
        <v>145</v>
      </c>
      <c r="D139" s="26"/>
      <c r="E139" s="22"/>
      <c r="F139" s="22"/>
      <c r="G139" s="22"/>
    </row>
    <row r="140" spans="1:7" s="158" customFormat="1" x14ac:dyDescent="0.2">
      <c r="B140" s="167" t="s">
        <v>822</v>
      </c>
      <c r="C140" s="167"/>
      <c r="D140" s="167"/>
      <c r="E140" s="167"/>
      <c r="F140" s="167"/>
    </row>
    <row r="141" spans="1:7" ht="14.1" customHeight="1" x14ac:dyDescent="0.2">
      <c r="A141" s="22"/>
      <c r="B141" s="19"/>
      <c r="C141" s="19"/>
      <c r="D141" s="22"/>
      <c r="E141" s="22"/>
      <c r="F141" s="22"/>
      <c r="G141" s="22"/>
    </row>
    <row r="142" spans="1:7" ht="29.1" customHeight="1" x14ac:dyDescent="0.2">
      <c r="A142" s="22"/>
      <c r="B142" s="165" t="s">
        <v>146</v>
      </c>
      <c r="C142" s="166"/>
      <c r="D142" s="2" t="s">
        <v>962</v>
      </c>
      <c r="E142" s="22"/>
      <c r="F142" s="22"/>
      <c r="G142" s="22"/>
    </row>
    <row r="143" spans="1:7" ht="29.1" customHeight="1" x14ac:dyDescent="0.2">
      <c r="A143" s="22"/>
      <c r="B143" s="165" t="s">
        <v>147</v>
      </c>
      <c r="C143" s="166"/>
      <c r="D143" s="2" t="s">
        <v>135</v>
      </c>
      <c r="E143" s="22"/>
      <c r="F143" s="22"/>
      <c r="G143" s="22"/>
    </row>
    <row r="144" spans="1:7" ht="17.100000000000001" customHeight="1" x14ac:dyDescent="0.2">
      <c r="A144" s="22"/>
      <c r="B144" s="165" t="s">
        <v>148</v>
      </c>
      <c r="C144" s="166"/>
      <c r="D144" s="27">
        <v>12.145688384792374</v>
      </c>
      <c r="E144" s="22"/>
      <c r="F144" s="19"/>
      <c r="G144" s="25"/>
    </row>
    <row r="145" spans="1:7" ht="17.100000000000001" customHeight="1" x14ac:dyDescent="0.2">
      <c r="A145" s="22"/>
      <c r="B145" s="165" t="s">
        <v>149</v>
      </c>
      <c r="C145" s="166"/>
      <c r="D145" s="2" t="s">
        <v>135</v>
      </c>
      <c r="E145" s="22"/>
      <c r="F145" s="22"/>
      <c r="G145" s="22"/>
    </row>
  </sheetData>
  <mergeCells count="15">
    <mergeCell ref="B127:C127"/>
    <mergeCell ref="B124:F124"/>
    <mergeCell ref="B125:F125"/>
    <mergeCell ref="A1:H1"/>
    <mergeCell ref="A2:H2"/>
    <mergeCell ref="A3:H3"/>
    <mergeCell ref="B144:C144"/>
    <mergeCell ref="B145:C145"/>
    <mergeCell ref="B128:C128"/>
    <mergeCell ref="B129:C129"/>
    <mergeCell ref="B130:C130"/>
    <mergeCell ref="B138:C138"/>
    <mergeCell ref="B142:C142"/>
    <mergeCell ref="B143:C143"/>
    <mergeCell ref="B140:F140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19EC-1042-479C-94D3-7DD6F87A63B6}">
  <sheetPr>
    <outlinePr summaryBelow="0" summaryRight="0"/>
  </sheetPr>
  <dimension ref="A1:H208"/>
  <sheetViews>
    <sheetView showGridLines="0" workbookViewId="0">
      <selection sqref="A1:H1"/>
    </sheetView>
  </sheetViews>
  <sheetFormatPr defaultRowHeight="12.75" x14ac:dyDescent="0.2"/>
  <cols>
    <col min="1" max="1" width="6.85546875" style="98" customWidth="1"/>
    <col min="2" max="2" width="20.5703125" style="98" customWidth="1"/>
    <col min="3" max="3" width="34.28515625" style="98" customWidth="1"/>
    <col min="4" max="4" width="17.85546875" style="98" customWidth="1"/>
    <col min="5" max="6" width="19.140625" style="98" customWidth="1"/>
    <col min="7" max="7" width="16.42578125" style="98" customWidth="1"/>
    <col min="8" max="8" width="11.5703125" style="98" bestFit="1" customWidth="1"/>
    <col min="9" max="252" width="9.140625" style="98"/>
    <col min="253" max="253" width="6.85546875" style="98" customWidth="1"/>
    <col min="254" max="254" width="20.5703125" style="98" customWidth="1"/>
    <col min="255" max="255" width="34.28515625" style="98" customWidth="1"/>
    <col min="256" max="256" width="17.85546875" style="98" customWidth="1"/>
    <col min="257" max="258" width="19.140625" style="98" customWidth="1"/>
    <col min="259" max="259" width="16.42578125" style="98" customWidth="1"/>
    <col min="260" max="508" width="9.140625" style="98"/>
    <col min="509" max="509" width="6.85546875" style="98" customWidth="1"/>
    <col min="510" max="510" width="20.5703125" style="98" customWidth="1"/>
    <col min="511" max="511" width="34.28515625" style="98" customWidth="1"/>
    <col min="512" max="512" width="17.85546875" style="98" customWidth="1"/>
    <col min="513" max="514" width="19.140625" style="98" customWidth="1"/>
    <col min="515" max="515" width="16.42578125" style="98" customWidth="1"/>
    <col min="516" max="764" width="9.140625" style="98"/>
    <col min="765" max="765" width="6.85546875" style="98" customWidth="1"/>
    <col min="766" max="766" width="20.5703125" style="98" customWidth="1"/>
    <col min="767" max="767" width="34.28515625" style="98" customWidth="1"/>
    <col min="768" max="768" width="17.85546875" style="98" customWidth="1"/>
    <col min="769" max="770" width="19.140625" style="98" customWidth="1"/>
    <col min="771" max="771" width="16.42578125" style="98" customWidth="1"/>
    <col min="772" max="1020" width="9.140625" style="98"/>
    <col min="1021" max="1021" width="6.85546875" style="98" customWidth="1"/>
    <col min="1022" max="1022" width="20.5703125" style="98" customWidth="1"/>
    <col min="1023" max="1023" width="34.28515625" style="98" customWidth="1"/>
    <col min="1024" max="1024" width="17.85546875" style="98" customWidth="1"/>
    <col min="1025" max="1026" width="19.140625" style="98" customWidth="1"/>
    <col min="1027" max="1027" width="16.42578125" style="98" customWidth="1"/>
    <col min="1028" max="1276" width="9.140625" style="98"/>
    <col min="1277" max="1277" width="6.85546875" style="98" customWidth="1"/>
    <col min="1278" max="1278" width="20.5703125" style="98" customWidth="1"/>
    <col min="1279" max="1279" width="34.28515625" style="98" customWidth="1"/>
    <col min="1280" max="1280" width="17.85546875" style="98" customWidth="1"/>
    <col min="1281" max="1282" width="19.140625" style="98" customWidth="1"/>
    <col min="1283" max="1283" width="16.42578125" style="98" customWidth="1"/>
    <col min="1284" max="1532" width="9.140625" style="98"/>
    <col min="1533" max="1533" width="6.85546875" style="98" customWidth="1"/>
    <col min="1534" max="1534" width="20.5703125" style="98" customWidth="1"/>
    <col min="1535" max="1535" width="34.28515625" style="98" customWidth="1"/>
    <col min="1536" max="1536" width="17.85546875" style="98" customWidth="1"/>
    <col min="1537" max="1538" width="19.140625" style="98" customWidth="1"/>
    <col min="1539" max="1539" width="16.42578125" style="98" customWidth="1"/>
    <col min="1540" max="1788" width="9.140625" style="98"/>
    <col min="1789" max="1789" width="6.85546875" style="98" customWidth="1"/>
    <col min="1790" max="1790" width="20.5703125" style="98" customWidth="1"/>
    <col min="1791" max="1791" width="34.28515625" style="98" customWidth="1"/>
    <col min="1792" max="1792" width="17.85546875" style="98" customWidth="1"/>
    <col min="1793" max="1794" width="19.140625" style="98" customWidth="1"/>
    <col min="1795" max="1795" width="16.42578125" style="98" customWidth="1"/>
    <col min="1796" max="2044" width="9.140625" style="98"/>
    <col min="2045" max="2045" width="6.85546875" style="98" customWidth="1"/>
    <col min="2046" max="2046" width="20.5703125" style="98" customWidth="1"/>
    <col min="2047" max="2047" width="34.28515625" style="98" customWidth="1"/>
    <col min="2048" max="2048" width="17.85546875" style="98" customWidth="1"/>
    <col min="2049" max="2050" width="19.140625" style="98" customWidth="1"/>
    <col min="2051" max="2051" width="16.42578125" style="98" customWidth="1"/>
    <col min="2052" max="2300" width="9.140625" style="98"/>
    <col min="2301" max="2301" width="6.85546875" style="98" customWidth="1"/>
    <col min="2302" max="2302" width="20.5703125" style="98" customWidth="1"/>
    <col min="2303" max="2303" width="34.28515625" style="98" customWidth="1"/>
    <col min="2304" max="2304" width="17.85546875" style="98" customWidth="1"/>
    <col min="2305" max="2306" width="19.140625" style="98" customWidth="1"/>
    <col min="2307" max="2307" width="16.42578125" style="98" customWidth="1"/>
    <col min="2308" max="2556" width="9.140625" style="98"/>
    <col min="2557" max="2557" width="6.85546875" style="98" customWidth="1"/>
    <col min="2558" max="2558" width="20.5703125" style="98" customWidth="1"/>
    <col min="2559" max="2559" width="34.28515625" style="98" customWidth="1"/>
    <col min="2560" max="2560" width="17.85546875" style="98" customWidth="1"/>
    <col min="2561" max="2562" width="19.140625" style="98" customWidth="1"/>
    <col min="2563" max="2563" width="16.42578125" style="98" customWidth="1"/>
    <col min="2564" max="2812" width="9.140625" style="98"/>
    <col min="2813" max="2813" width="6.85546875" style="98" customWidth="1"/>
    <col min="2814" max="2814" width="20.5703125" style="98" customWidth="1"/>
    <col min="2815" max="2815" width="34.28515625" style="98" customWidth="1"/>
    <col min="2816" max="2816" width="17.85546875" style="98" customWidth="1"/>
    <col min="2817" max="2818" width="19.140625" style="98" customWidth="1"/>
    <col min="2819" max="2819" width="16.42578125" style="98" customWidth="1"/>
    <col min="2820" max="3068" width="9.140625" style="98"/>
    <col min="3069" max="3069" width="6.85546875" style="98" customWidth="1"/>
    <col min="3070" max="3070" width="20.5703125" style="98" customWidth="1"/>
    <col min="3071" max="3071" width="34.28515625" style="98" customWidth="1"/>
    <col min="3072" max="3072" width="17.85546875" style="98" customWidth="1"/>
    <col min="3073" max="3074" width="19.140625" style="98" customWidth="1"/>
    <col min="3075" max="3075" width="16.42578125" style="98" customWidth="1"/>
    <col min="3076" max="3324" width="9.140625" style="98"/>
    <col min="3325" max="3325" width="6.85546875" style="98" customWidth="1"/>
    <col min="3326" max="3326" width="20.5703125" style="98" customWidth="1"/>
    <col min="3327" max="3327" width="34.28515625" style="98" customWidth="1"/>
    <col min="3328" max="3328" width="17.85546875" style="98" customWidth="1"/>
    <col min="3329" max="3330" width="19.140625" style="98" customWidth="1"/>
    <col min="3331" max="3331" width="16.42578125" style="98" customWidth="1"/>
    <col min="3332" max="3580" width="9.140625" style="98"/>
    <col min="3581" max="3581" width="6.85546875" style="98" customWidth="1"/>
    <col min="3582" max="3582" width="20.5703125" style="98" customWidth="1"/>
    <col min="3583" max="3583" width="34.28515625" style="98" customWidth="1"/>
    <col min="3584" max="3584" width="17.85546875" style="98" customWidth="1"/>
    <col min="3585" max="3586" width="19.140625" style="98" customWidth="1"/>
    <col min="3587" max="3587" width="16.42578125" style="98" customWidth="1"/>
    <col min="3588" max="3836" width="9.140625" style="98"/>
    <col min="3837" max="3837" width="6.85546875" style="98" customWidth="1"/>
    <col min="3838" max="3838" width="20.5703125" style="98" customWidth="1"/>
    <col min="3839" max="3839" width="34.28515625" style="98" customWidth="1"/>
    <col min="3840" max="3840" width="17.85546875" style="98" customWidth="1"/>
    <col min="3841" max="3842" width="19.140625" style="98" customWidth="1"/>
    <col min="3843" max="3843" width="16.42578125" style="98" customWidth="1"/>
    <col min="3844" max="4092" width="9.140625" style="98"/>
    <col min="4093" max="4093" width="6.85546875" style="98" customWidth="1"/>
    <col min="4094" max="4094" width="20.5703125" style="98" customWidth="1"/>
    <col min="4095" max="4095" width="34.28515625" style="98" customWidth="1"/>
    <col min="4096" max="4096" width="17.85546875" style="98" customWidth="1"/>
    <col min="4097" max="4098" width="19.140625" style="98" customWidth="1"/>
    <col min="4099" max="4099" width="16.42578125" style="98" customWidth="1"/>
    <col min="4100" max="4348" width="9.140625" style="98"/>
    <col min="4349" max="4349" width="6.85546875" style="98" customWidth="1"/>
    <col min="4350" max="4350" width="20.5703125" style="98" customWidth="1"/>
    <col min="4351" max="4351" width="34.28515625" style="98" customWidth="1"/>
    <col min="4352" max="4352" width="17.85546875" style="98" customWidth="1"/>
    <col min="4353" max="4354" width="19.140625" style="98" customWidth="1"/>
    <col min="4355" max="4355" width="16.42578125" style="98" customWidth="1"/>
    <col min="4356" max="4604" width="9.140625" style="98"/>
    <col min="4605" max="4605" width="6.85546875" style="98" customWidth="1"/>
    <col min="4606" max="4606" width="20.5703125" style="98" customWidth="1"/>
    <col min="4607" max="4607" width="34.28515625" style="98" customWidth="1"/>
    <col min="4608" max="4608" width="17.85546875" style="98" customWidth="1"/>
    <col min="4609" max="4610" width="19.140625" style="98" customWidth="1"/>
    <col min="4611" max="4611" width="16.42578125" style="98" customWidth="1"/>
    <col min="4612" max="4860" width="9.140625" style="98"/>
    <col min="4861" max="4861" width="6.85546875" style="98" customWidth="1"/>
    <col min="4862" max="4862" width="20.5703125" style="98" customWidth="1"/>
    <col min="4863" max="4863" width="34.28515625" style="98" customWidth="1"/>
    <col min="4864" max="4864" width="17.85546875" style="98" customWidth="1"/>
    <col min="4865" max="4866" width="19.140625" style="98" customWidth="1"/>
    <col min="4867" max="4867" width="16.42578125" style="98" customWidth="1"/>
    <col min="4868" max="5116" width="9.140625" style="98"/>
    <col min="5117" max="5117" width="6.85546875" style="98" customWidth="1"/>
    <col min="5118" max="5118" width="20.5703125" style="98" customWidth="1"/>
    <col min="5119" max="5119" width="34.28515625" style="98" customWidth="1"/>
    <col min="5120" max="5120" width="17.85546875" style="98" customWidth="1"/>
    <col min="5121" max="5122" width="19.140625" style="98" customWidth="1"/>
    <col min="5123" max="5123" width="16.42578125" style="98" customWidth="1"/>
    <col min="5124" max="5372" width="9.140625" style="98"/>
    <col min="5373" max="5373" width="6.85546875" style="98" customWidth="1"/>
    <col min="5374" max="5374" width="20.5703125" style="98" customWidth="1"/>
    <col min="5375" max="5375" width="34.28515625" style="98" customWidth="1"/>
    <col min="5376" max="5376" width="17.85546875" style="98" customWidth="1"/>
    <col min="5377" max="5378" width="19.140625" style="98" customWidth="1"/>
    <col min="5379" max="5379" width="16.42578125" style="98" customWidth="1"/>
    <col min="5380" max="5628" width="9.140625" style="98"/>
    <col min="5629" max="5629" width="6.85546875" style="98" customWidth="1"/>
    <col min="5630" max="5630" width="20.5703125" style="98" customWidth="1"/>
    <col min="5631" max="5631" width="34.28515625" style="98" customWidth="1"/>
    <col min="5632" max="5632" width="17.85546875" style="98" customWidth="1"/>
    <col min="5633" max="5634" width="19.140625" style="98" customWidth="1"/>
    <col min="5635" max="5635" width="16.42578125" style="98" customWidth="1"/>
    <col min="5636" max="5884" width="9.140625" style="98"/>
    <col min="5885" max="5885" width="6.85546875" style="98" customWidth="1"/>
    <col min="5886" max="5886" width="20.5703125" style="98" customWidth="1"/>
    <col min="5887" max="5887" width="34.28515625" style="98" customWidth="1"/>
    <col min="5888" max="5888" width="17.85546875" style="98" customWidth="1"/>
    <col min="5889" max="5890" width="19.140625" style="98" customWidth="1"/>
    <col min="5891" max="5891" width="16.42578125" style="98" customWidth="1"/>
    <col min="5892" max="6140" width="9.140625" style="98"/>
    <col min="6141" max="6141" width="6.85546875" style="98" customWidth="1"/>
    <col min="6142" max="6142" width="20.5703125" style="98" customWidth="1"/>
    <col min="6143" max="6143" width="34.28515625" style="98" customWidth="1"/>
    <col min="6144" max="6144" width="17.85546875" style="98" customWidth="1"/>
    <col min="6145" max="6146" width="19.140625" style="98" customWidth="1"/>
    <col min="6147" max="6147" width="16.42578125" style="98" customWidth="1"/>
    <col min="6148" max="6396" width="9.140625" style="98"/>
    <col min="6397" max="6397" width="6.85546875" style="98" customWidth="1"/>
    <col min="6398" max="6398" width="20.5703125" style="98" customWidth="1"/>
    <col min="6399" max="6399" width="34.28515625" style="98" customWidth="1"/>
    <col min="6400" max="6400" width="17.85546875" style="98" customWidth="1"/>
    <col min="6401" max="6402" width="19.140625" style="98" customWidth="1"/>
    <col min="6403" max="6403" width="16.42578125" style="98" customWidth="1"/>
    <col min="6404" max="6652" width="9.140625" style="98"/>
    <col min="6653" max="6653" width="6.85546875" style="98" customWidth="1"/>
    <col min="6654" max="6654" width="20.5703125" style="98" customWidth="1"/>
    <col min="6655" max="6655" width="34.28515625" style="98" customWidth="1"/>
    <col min="6656" max="6656" width="17.85546875" style="98" customWidth="1"/>
    <col min="6657" max="6658" width="19.140625" style="98" customWidth="1"/>
    <col min="6659" max="6659" width="16.42578125" style="98" customWidth="1"/>
    <col min="6660" max="6908" width="9.140625" style="98"/>
    <col min="6909" max="6909" width="6.85546875" style="98" customWidth="1"/>
    <col min="6910" max="6910" width="20.5703125" style="98" customWidth="1"/>
    <col min="6911" max="6911" width="34.28515625" style="98" customWidth="1"/>
    <col min="6912" max="6912" width="17.85546875" style="98" customWidth="1"/>
    <col min="6913" max="6914" width="19.140625" style="98" customWidth="1"/>
    <col min="6915" max="6915" width="16.42578125" style="98" customWidth="1"/>
    <col min="6916" max="7164" width="9.140625" style="98"/>
    <col min="7165" max="7165" width="6.85546875" style="98" customWidth="1"/>
    <col min="7166" max="7166" width="20.5703125" style="98" customWidth="1"/>
    <col min="7167" max="7167" width="34.28515625" style="98" customWidth="1"/>
    <col min="7168" max="7168" width="17.85546875" style="98" customWidth="1"/>
    <col min="7169" max="7170" width="19.140625" style="98" customWidth="1"/>
    <col min="7171" max="7171" width="16.42578125" style="98" customWidth="1"/>
    <col min="7172" max="7420" width="9.140625" style="98"/>
    <col min="7421" max="7421" width="6.85546875" style="98" customWidth="1"/>
    <col min="7422" max="7422" width="20.5703125" style="98" customWidth="1"/>
    <col min="7423" max="7423" width="34.28515625" style="98" customWidth="1"/>
    <col min="7424" max="7424" width="17.85546875" style="98" customWidth="1"/>
    <col min="7425" max="7426" width="19.140625" style="98" customWidth="1"/>
    <col min="7427" max="7427" width="16.42578125" style="98" customWidth="1"/>
    <col min="7428" max="7676" width="9.140625" style="98"/>
    <col min="7677" max="7677" width="6.85546875" style="98" customWidth="1"/>
    <col min="7678" max="7678" width="20.5703125" style="98" customWidth="1"/>
    <col min="7679" max="7679" width="34.28515625" style="98" customWidth="1"/>
    <col min="7680" max="7680" width="17.85546875" style="98" customWidth="1"/>
    <col min="7681" max="7682" width="19.140625" style="98" customWidth="1"/>
    <col min="7683" max="7683" width="16.42578125" style="98" customWidth="1"/>
    <col min="7684" max="7932" width="9.140625" style="98"/>
    <col min="7933" max="7933" width="6.85546875" style="98" customWidth="1"/>
    <col min="7934" max="7934" width="20.5703125" style="98" customWidth="1"/>
    <col min="7935" max="7935" width="34.28515625" style="98" customWidth="1"/>
    <col min="7936" max="7936" width="17.85546875" style="98" customWidth="1"/>
    <col min="7937" max="7938" width="19.140625" style="98" customWidth="1"/>
    <col min="7939" max="7939" width="16.42578125" style="98" customWidth="1"/>
    <col min="7940" max="8188" width="9.140625" style="98"/>
    <col min="8189" max="8189" width="6.85546875" style="98" customWidth="1"/>
    <col min="8190" max="8190" width="20.5703125" style="98" customWidth="1"/>
    <col min="8191" max="8191" width="34.28515625" style="98" customWidth="1"/>
    <col min="8192" max="8192" width="17.85546875" style="98" customWidth="1"/>
    <col min="8193" max="8194" width="19.140625" style="98" customWidth="1"/>
    <col min="8195" max="8195" width="16.42578125" style="98" customWidth="1"/>
    <col min="8196" max="8444" width="9.140625" style="98"/>
    <col min="8445" max="8445" width="6.85546875" style="98" customWidth="1"/>
    <col min="8446" max="8446" width="20.5703125" style="98" customWidth="1"/>
    <col min="8447" max="8447" width="34.28515625" style="98" customWidth="1"/>
    <col min="8448" max="8448" width="17.85546875" style="98" customWidth="1"/>
    <col min="8449" max="8450" width="19.140625" style="98" customWidth="1"/>
    <col min="8451" max="8451" width="16.42578125" style="98" customWidth="1"/>
    <col min="8452" max="8700" width="9.140625" style="98"/>
    <col min="8701" max="8701" width="6.85546875" style="98" customWidth="1"/>
    <col min="8702" max="8702" width="20.5703125" style="98" customWidth="1"/>
    <col min="8703" max="8703" width="34.28515625" style="98" customWidth="1"/>
    <col min="8704" max="8704" width="17.85546875" style="98" customWidth="1"/>
    <col min="8705" max="8706" width="19.140625" style="98" customWidth="1"/>
    <col min="8707" max="8707" width="16.42578125" style="98" customWidth="1"/>
    <col min="8708" max="8956" width="9.140625" style="98"/>
    <col min="8957" max="8957" width="6.85546875" style="98" customWidth="1"/>
    <col min="8958" max="8958" width="20.5703125" style="98" customWidth="1"/>
    <col min="8959" max="8959" width="34.28515625" style="98" customWidth="1"/>
    <col min="8960" max="8960" width="17.85546875" style="98" customWidth="1"/>
    <col min="8961" max="8962" width="19.140625" style="98" customWidth="1"/>
    <col min="8963" max="8963" width="16.42578125" style="98" customWidth="1"/>
    <col min="8964" max="9212" width="9.140625" style="98"/>
    <col min="9213" max="9213" width="6.85546875" style="98" customWidth="1"/>
    <col min="9214" max="9214" width="20.5703125" style="98" customWidth="1"/>
    <col min="9215" max="9215" width="34.28515625" style="98" customWidth="1"/>
    <col min="9216" max="9216" width="17.85546875" style="98" customWidth="1"/>
    <col min="9217" max="9218" width="19.140625" style="98" customWidth="1"/>
    <col min="9219" max="9219" width="16.42578125" style="98" customWidth="1"/>
    <col min="9220" max="9468" width="9.140625" style="98"/>
    <col min="9469" max="9469" width="6.85546875" style="98" customWidth="1"/>
    <col min="9470" max="9470" width="20.5703125" style="98" customWidth="1"/>
    <col min="9471" max="9471" width="34.28515625" style="98" customWidth="1"/>
    <col min="9472" max="9472" width="17.85546875" style="98" customWidth="1"/>
    <col min="9473" max="9474" width="19.140625" style="98" customWidth="1"/>
    <col min="9475" max="9475" width="16.42578125" style="98" customWidth="1"/>
    <col min="9476" max="9724" width="9.140625" style="98"/>
    <col min="9725" max="9725" width="6.85546875" style="98" customWidth="1"/>
    <col min="9726" max="9726" width="20.5703125" style="98" customWidth="1"/>
    <col min="9727" max="9727" width="34.28515625" style="98" customWidth="1"/>
    <col min="9728" max="9728" width="17.85546875" style="98" customWidth="1"/>
    <col min="9729" max="9730" width="19.140625" style="98" customWidth="1"/>
    <col min="9731" max="9731" width="16.42578125" style="98" customWidth="1"/>
    <col min="9732" max="9980" width="9.140625" style="98"/>
    <col min="9981" max="9981" width="6.85546875" style="98" customWidth="1"/>
    <col min="9982" max="9982" width="20.5703125" style="98" customWidth="1"/>
    <col min="9983" max="9983" width="34.28515625" style="98" customWidth="1"/>
    <col min="9984" max="9984" width="17.85546875" style="98" customWidth="1"/>
    <col min="9985" max="9986" width="19.140625" style="98" customWidth="1"/>
    <col min="9987" max="9987" width="16.42578125" style="98" customWidth="1"/>
    <col min="9988" max="10236" width="9.140625" style="98"/>
    <col min="10237" max="10237" width="6.85546875" style="98" customWidth="1"/>
    <col min="10238" max="10238" width="20.5703125" style="98" customWidth="1"/>
    <col min="10239" max="10239" width="34.28515625" style="98" customWidth="1"/>
    <col min="10240" max="10240" width="17.85546875" style="98" customWidth="1"/>
    <col min="10241" max="10242" width="19.140625" style="98" customWidth="1"/>
    <col min="10243" max="10243" width="16.42578125" style="98" customWidth="1"/>
    <col min="10244" max="10492" width="9.140625" style="98"/>
    <col min="10493" max="10493" width="6.85546875" style="98" customWidth="1"/>
    <col min="10494" max="10494" width="20.5703125" style="98" customWidth="1"/>
    <col min="10495" max="10495" width="34.28515625" style="98" customWidth="1"/>
    <col min="10496" max="10496" width="17.85546875" style="98" customWidth="1"/>
    <col min="10497" max="10498" width="19.140625" style="98" customWidth="1"/>
    <col min="10499" max="10499" width="16.42578125" style="98" customWidth="1"/>
    <col min="10500" max="10748" width="9.140625" style="98"/>
    <col min="10749" max="10749" width="6.85546875" style="98" customWidth="1"/>
    <col min="10750" max="10750" width="20.5703125" style="98" customWidth="1"/>
    <col min="10751" max="10751" width="34.28515625" style="98" customWidth="1"/>
    <col min="10752" max="10752" width="17.85546875" style="98" customWidth="1"/>
    <col min="10753" max="10754" width="19.140625" style="98" customWidth="1"/>
    <col min="10755" max="10755" width="16.42578125" style="98" customWidth="1"/>
    <col min="10756" max="11004" width="9.140625" style="98"/>
    <col min="11005" max="11005" width="6.85546875" style="98" customWidth="1"/>
    <col min="11006" max="11006" width="20.5703125" style="98" customWidth="1"/>
    <col min="11007" max="11007" width="34.28515625" style="98" customWidth="1"/>
    <col min="11008" max="11008" width="17.85546875" style="98" customWidth="1"/>
    <col min="11009" max="11010" width="19.140625" style="98" customWidth="1"/>
    <col min="11011" max="11011" width="16.42578125" style="98" customWidth="1"/>
    <col min="11012" max="11260" width="9.140625" style="98"/>
    <col min="11261" max="11261" width="6.85546875" style="98" customWidth="1"/>
    <col min="11262" max="11262" width="20.5703125" style="98" customWidth="1"/>
    <col min="11263" max="11263" width="34.28515625" style="98" customWidth="1"/>
    <col min="11264" max="11264" width="17.85546875" style="98" customWidth="1"/>
    <col min="11265" max="11266" width="19.140625" style="98" customWidth="1"/>
    <col min="11267" max="11267" width="16.42578125" style="98" customWidth="1"/>
    <col min="11268" max="11516" width="9.140625" style="98"/>
    <col min="11517" max="11517" width="6.85546875" style="98" customWidth="1"/>
    <col min="11518" max="11518" width="20.5703125" style="98" customWidth="1"/>
    <col min="11519" max="11519" width="34.28515625" style="98" customWidth="1"/>
    <col min="11520" max="11520" width="17.85546875" style="98" customWidth="1"/>
    <col min="11521" max="11522" width="19.140625" style="98" customWidth="1"/>
    <col min="11523" max="11523" width="16.42578125" style="98" customWidth="1"/>
    <col min="11524" max="11772" width="9.140625" style="98"/>
    <col min="11773" max="11773" width="6.85546875" style="98" customWidth="1"/>
    <col min="11774" max="11774" width="20.5703125" style="98" customWidth="1"/>
    <col min="11775" max="11775" width="34.28515625" style="98" customWidth="1"/>
    <col min="11776" max="11776" width="17.85546875" style="98" customWidth="1"/>
    <col min="11777" max="11778" width="19.140625" style="98" customWidth="1"/>
    <col min="11779" max="11779" width="16.42578125" style="98" customWidth="1"/>
    <col min="11780" max="12028" width="9.140625" style="98"/>
    <col min="12029" max="12029" width="6.85546875" style="98" customWidth="1"/>
    <col min="12030" max="12030" width="20.5703125" style="98" customWidth="1"/>
    <col min="12031" max="12031" width="34.28515625" style="98" customWidth="1"/>
    <col min="12032" max="12032" width="17.85546875" style="98" customWidth="1"/>
    <col min="12033" max="12034" width="19.140625" style="98" customWidth="1"/>
    <col min="12035" max="12035" width="16.42578125" style="98" customWidth="1"/>
    <col min="12036" max="12284" width="9.140625" style="98"/>
    <col min="12285" max="12285" width="6.85546875" style="98" customWidth="1"/>
    <col min="12286" max="12286" width="20.5703125" style="98" customWidth="1"/>
    <col min="12287" max="12287" width="34.28515625" style="98" customWidth="1"/>
    <col min="12288" max="12288" width="17.85546875" style="98" customWidth="1"/>
    <col min="12289" max="12290" width="19.140625" style="98" customWidth="1"/>
    <col min="12291" max="12291" width="16.42578125" style="98" customWidth="1"/>
    <col min="12292" max="12540" width="9.140625" style="98"/>
    <col min="12541" max="12541" width="6.85546875" style="98" customWidth="1"/>
    <col min="12542" max="12542" width="20.5703125" style="98" customWidth="1"/>
    <col min="12543" max="12543" width="34.28515625" style="98" customWidth="1"/>
    <col min="12544" max="12544" width="17.85546875" style="98" customWidth="1"/>
    <col min="12545" max="12546" width="19.140625" style="98" customWidth="1"/>
    <col min="12547" max="12547" width="16.42578125" style="98" customWidth="1"/>
    <col min="12548" max="12796" width="9.140625" style="98"/>
    <col min="12797" max="12797" width="6.85546875" style="98" customWidth="1"/>
    <col min="12798" max="12798" width="20.5703125" style="98" customWidth="1"/>
    <col min="12799" max="12799" width="34.28515625" style="98" customWidth="1"/>
    <col min="12800" max="12800" width="17.85546875" style="98" customWidth="1"/>
    <col min="12801" max="12802" width="19.140625" style="98" customWidth="1"/>
    <col min="12803" max="12803" width="16.42578125" style="98" customWidth="1"/>
    <col min="12804" max="13052" width="9.140625" style="98"/>
    <col min="13053" max="13053" width="6.85546875" style="98" customWidth="1"/>
    <col min="13054" max="13054" width="20.5703125" style="98" customWidth="1"/>
    <col min="13055" max="13055" width="34.28515625" style="98" customWidth="1"/>
    <col min="13056" max="13056" width="17.85546875" style="98" customWidth="1"/>
    <col min="13057" max="13058" width="19.140625" style="98" customWidth="1"/>
    <col min="13059" max="13059" width="16.42578125" style="98" customWidth="1"/>
    <col min="13060" max="13308" width="9.140625" style="98"/>
    <col min="13309" max="13309" width="6.85546875" style="98" customWidth="1"/>
    <col min="13310" max="13310" width="20.5703125" style="98" customWidth="1"/>
    <col min="13311" max="13311" width="34.28515625" style="98" customWidth="1"/>
    <col min="13312" max="13312" width="17.85546875" style="98" customWidth="1"/>
    <col min="13313" max="13314" width="19.140625" style="98" customWidth="1"/>
    <col min="13315" max="13315" width="16.42578125" style="98" customWidth="1"/>
    <col min="13316" max="13564" width="9.140625" style="98"/>
    <col min="13565" max="13565" width="6.85546875" style="98" customWidth="1"/>
    <col min="13566" max="13566" width="20.5703125" style="98" customWidth="1"/>
    <col min="13567" max="13567" width="34.28515625" style="98" customWidth="1"/>
    <col min="13568" max="13568" width="17.85546875" style="98" customWidth="1"/>
    <col min="13569" max="13570" width="19.140625" style="98" customWidth="1"/>
    <col min="13571" max="13571" width="16.42578125" style="98" customWidth="1"/>
    <col min="13572" max="13820" width="9.140625" style="98"/>
    <col min="13821" max="13821" width="6.85546875" style="98" customWidth="1"/>
    <col min="13822" max="13822" width="20.5703125" style="98" customWidth="1"/>
    <col min="13823" max="13823" width="34.28515625" style="98" customWidth="1"/>
    <col min="13824" max="13824" width="17.85546875" style="98" customWidth="1"/>
    <col min="13825" max="13826" width="19.140625" style="98" customWidth="1"/>
    <col min="13827" max="13827" width="16.42578125" style="98" customWidth="1"/>
    <col min="13828" max="14076" width="9.140625" style="98"/>
    <col min="14077" max="14077" width="6.85546875" style="98" customWidth="1"/>
    <col min="14078" max="14078" width="20.5703125" style="98" customWidth="1"/>
    <col min="14079" max="14079" width="34.28515625" style="98" customWidth="1"/>
    <col min="14080" max="14080" width="17.85546875" style="98" customWidth="1"/>
    <col min="14081" max="14082" width="19.140625" style="98" customWidth="1"/>
    <col min="14083" max="14083" width="16.42578125" style="98" customWidth="1"/>
    <col min="14084" max="14332" width="9.140625" style="98"/>
    <col min="14333" max="14333" width="6.85546875" style="98" customWidth="1"/>
    <col min="14334" max="14334" width="20.5703125" style="98" customWidth="1"/>
    <col min="14335" max="14335" width="34.28515625" style="98" customWidth="1"/>
    <col min="14336" max="14336" width="17.85546875" style="98" customWidth="1"/>
    <col min="14337" max="14338" width="19.140625" style="98" customWidth="1"/>
    <col min="14339" max="14339" width="16.42578125" style="98" customWidth="1"/>
    <col min="14340" max="14588" width="9.140625" style="98"/>
    <col min="14589" max="14589" width="6.85546875" style="98" customWidth="1"/>
    <col min="14590" max="14590" width="20.5703125" style="98" customWidth="1"/>
    <col min="14591" max="14591" width="34.28515625" style="98" customWidth="1"/>
    <col min="14592" max="14592" width="17.85546875" style="98" customWidth="1"/>
    <col min="14593" max="14594" width="19.140625" style="98" customWidth="1"/>
    <col min="14595" max="14595" width="16.42578125" style="98" customWidth="1"/>
    <col min="14596" max="14844" width="9.140625" style="98"/>
    <col min="14845" max="14845" width="6.85546875" style="98" customWidth="1"/>
    <col min="14846" max="14846" width="20.5703125" style="98" customWidth="1"/>
    <col min="14847" max="14847" width="34.28515625" style="98" customWidth="1"/>
    <col min="14848" max="14848" width="17.85546875" style="98" customWidth="1"/>
    <col min="14849" max="14850" width="19.140625" style="98" customWidth="1"/>
    <col min="14851" max="14851" width="16.42578125" style="98" customWidth="1"/>
    <col min="14852" max="15100" width="9.140625" style="98"/>
    <col min="15101" max="15101" width="6.85546875" style="98" customWidth="1"/>
    <col min="15102" max="15102" width="20.5703125" style="98" customWidth="1"/>
    <col min="15103" max="15103" width="34.28515625" style="98" customWidth="1"/>
    <col min="15104" max="15104" width="17.85546875" style="98" customWidth="1"/>
    <col min="15105" max="15106" width="19.140625" style="98" customWidth="1"/>
    <col min="15107" max="15107" width="16.42578125" style="98" customWidth="1"/>
    <col min="15108" max="15356" width="9.140625" style="98"/>
    <col min="15357" max="15357" width="6.85546875" style="98" customWidth="1"/>
    <col min="15358" max="15358" width="20.5703125" style="98" customWidth="1"/>
    <col min="15359" max="15359" width="34.28515625" style="98" customWidth="1"/>
    <col min="15360" max="15360" width="17.85546875" style="98" customWidth="1"/>
    <col min="15361" max="15362" width="19.140625" style="98" customWidth="1"/>
    <col min="15363" max="15363" width="16.42578125" style="98" customWidth="1"/>
    <col min="15364" max="15612" width="9.140625" style="98"/>
    <col min="15613" max="15613" width="6.85546875" style="98" customWidth="1"/>
    <col min="15614" max="15614" width="20.5703125" style="98" customWidth="1"/>
    <col min="15615" max="15615" width="34.28515625" style="98" customWidth="1"/>
    <col min="15616" max="15616" width="17.85546875" style="98" customWidth="1"/>
    <col min="15617" max="15618" width="19.140625" style="98" customWidth="1"/>
    <col min="15619" max="15619" width="16.42578125" style="98" customWidth="1"/>
    <col min="15620" max="15868" width="9.140625" style="98"/>
    <col min="15869" max="15869" width="6.85546875" style="98" customWidth="1"/>
    <col min="15870" max="15870" width="20.5703125" style="98" customWidth="1"/>
    <col min="15871" max="15871" width="34.28515625" style="98" customWidth="1"/>
    <col min="15872" max="15872" width="17.85546875" style="98" customWidth="1"/>
    <col min="15873" max="15874" width="19.140625" style="98" customWidth="1"/>
    <col min="15875" max="15875" width="16.42578125" style="98" customWidth="1"/>
    <col min="15876" max="16124" width="9.140625" style="98"/>
    <col min="16125" max="16125" width="6.85546875" style="98" customWidth="1"/>
    <col min="16126" max="16126" width="20.5703125" style="98" customWidth="1"/>
    <col min="16127" max="16127" width="34.28515625" style="98" customWidth="1"/>
    <col min="16128" max="16128" width="17.85546875" style="98" customWidth="1"/>
    <col min="16129" max="16130" width="19.140625" style="98" customWidth="1"/>
    <col min="16131" max="16131" width="16.42578125" style="98" customWidth="1"/>
    <col min="16132" max="16384" width="9.140625" style="98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778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2" customFormat="1" ht="30" x14ac:dyDescent="0.2">
      <c r="A4" s="161" t="s">
        <v>2</v>
      </c>
      <c r="B4" s="161" t="s">
        <v>3</v>
      </c>
      <c r="C4" s="161" t="s">
        <v>4</v>
      </c>
      <c r="D4" s="161" t="s">
        <v>5</v>
      </c>
      <c r="E4" s="161" t="s">
        <v>6</v>
      </c>
      <c r="F4" s="161" t="s">
        <v>7</v>
      </c>
      <c r="G4" s="161" t="s">
        <v>8</v>
      </c>
      <c r="H4" s="147" t="s">
        <v>808</v>
      </c>
    </row>
    <row r="5" spans="1:8" x14ac:dyDescent="0.2">
      <c r="A5" s="99"/>
      <c r="B5" s="99"/>
      <c r="C5" s="100" t="s">
        <v>9</v>
      </c>
      <c r="D5" s="99"/>
      <c r="E5" s="99"/>
      <c r="F5" s="99"/>
      <c r="G5" s="99"/>
      <c r="H5" s="67"/>
    </row>
    <row r="6" spans="1:8" ht="25.5" x14ac:dyDescent="0.2">
      <c r="A6" s="99"/>
      <c r="B6" s="99"/>
      <c r="C6" s="100" t="s">
        <v>10</v>
      </c>
      <c r="D6" s="99"/>
      <c r="E6" s="99"/>
      <c r="F6" s="99"/>
      <c r="G6" s="99"/>
      <c r="H6" s="67"/>
    </row>
    <row r="7" spans="1:8" x14ac:dyDescent="0.2">
      <c r="A7" s="101">
        <v>1</v>
      </c>
      <c r="B7" s="102" t="s">
        <v>22</v>
      </c>
      <c r="C7" s="102" t="s">
        <v>23</v>
      </c>
      <c r="D7" s="102" t="s">
        <v>24</v>
      </c>
      <c r="E7" s="103">
        <v>936875</v>
      </c>
      <c r="F7" s="104">
        <v>6736.5996875000001</v>
      </c>
      <c r="G7" s="105">
        <v>6.0835344999999999E-2</v>
      </c>
      <c r="H7" s="67"/>
    </row>
    <row r="8" spans="1:8" x14ac:dyDescent="0.2">
      <c r="A8" s="101">
        <v>2</v>
      </c>
      <c r="B8" s="102" t="s">
        <v>14</v>
      </c>
      <c r="C8" s="102" t="s">
        <v>15</v>
      </c>
      <c r="D8" s="102" t="s">
        <v>16</v>
      </c>
      <c r="E8" s="103">
        <v>210750</v>
      </c>
      <c r="F8" s="104">
        <v>4759.051125</v>
      </c>
      <c r="G8" s="105">
        <v>4.2976950999999999E-2</v>
      </c>
      <c r="H8" s="67"/>
    </row>
    <row r="9" spans="1:8" x14ac:dyDescent="0.2">
      <c r="A9" s="101">
        <v>3</v>
      </c>
      <c r="B9" s="102" t="s">
        <v>404</v>
      </c>
      <c r="C9" s="102" t="s">
        <v>405</v>
      </c>
      <c r="D9" s="102" t="s">
        <v>24</v>
      </c>
      <c r="E9" s="103">
        <v>888000</v>
      </c>
      <c r="F9" s="104">
        <v>3783.3240000000001</v>
      </c>
      <c r="G9" s="105">
        <v>3.4165578000000002E-2</v>
      </c>
      <c r="H9" s="67"/>
    </row>
    <row r="10" spans="1:8" ht="25.5" x14ac:dyDescent="0.2">
      <c r="A10" s="101">
        <v>4</v>
      </c>
      <c r="B10" s="102" t="s">
        <v>402</v>
      </c>
      <c r="C10" s="102" t="s">
        <v>403</v>
      </c>
      <c r="D10" s="102" t="s">
        <v>81</v>
      </c>
      <c r="E10" s="103">
        <v>129000</v>
      </c>
      <c r="F10" s="104">
        <v>3610.0650000000001</v>
      </c>
      <c r="G10" s="105">
        <v>3.2600949999999997E-2</v>
      </c>
      <c r="H10" s="67"/>
    </row>
    <row r="11" spans="1:8" x14ac:dyDescent="0.2">
      <c r="A11" s="101">
        <v>5</v>
      </c>
      <c r="B11" s="102" t="s">
        <v>400</v>
      </c>
      <c r="C11" s="102" t="s">
        <v>401</v>
      </c>
      <c r="D11" s="102" t="s">
        <v>166</v>
      </c>
      <c r="E11" s="103">
        <v>195000</v>
      </c>
      <c r="F11" s="104">
        <v>3327.5774999999999</v>
      </c>
      <c r="G11" s="105">
        <v>3.0049927000000001E-2</v>
      </c>
      <c r="H11" s="67"/>
    </row>
    <row r="12" spans="1:8" x14ac:dyDescent="0.2">
      <c r="A12" s="101">
        <v>6</v>
      </c>
      <c r="B12" s="102" t="s">
        <v>424</v>
      </c>
      <c r="C12" s="102" t="s">
        <v>425</v>
      </c>
      <c r="D12" s="102" t="s">
        <v>166</v>
      </c>
      <c r="E12" s="103">
        <v>207400</v>
      </c>
      <c r="F12" s="104">
        <v>3002.4261000000001</v>
      </c>
      <c r="G12" s="105">
        <v>2.7113623999999999E-2</v>
      </c>
      <c r="H12" s="67"/>
    </row>
    <row r="13" spans="1:8" x14ac:dyDescent="0.2">
      <c r="A13" s="101">
        <v>7</v>
      </c>
      <c r="B13" s="102" t="s">
        <v>398</v>
      </c>
      <c r="C13" s="102" t="s">
        <v>399</v>
      </c>
      <c r="D13" s="102" t="s">
        <v>24</v>
      </c>
      <c r="E13" s="103">
        <v>184000</v>
      </c>
      <c r="F13" s="104">
        <v>2909.7759999999998</v>
      </c>
      <c r="G13" s="105">
        <v>2.6276939999999999E-2</v>
      </c>
      <c r="H13" s="67"/>
    </row>
    <row r="14" spans="1:8" x14ac:dyDescent="0.2">
      <c r="A14" s="101">
        <v>8</v>
      </c>
      <c r="B14" s="102" t="s">
        <v>414</v>
      </c>
      <c r="C14" s="102" t="s">
        <v>415</v>
      </c>
      <c r="D14" s="102" t="s">
        <v>166</v>
      </c>
      <c r="E14" s="103">
        <v>72200</v>
      </c>
      <c r="F14" s="104">
        <v>2733.8168999999998</v>
      </c>
      <c r="G14" s="105">
        <v>2.4687929000000001E-2</v>
      </c>
      <c r="H14" s="67"/>
    </row>
    <row r="15" spans="1:8" s="132" customFormat="1" x14ac:dyDescent="0.2">
      <c r="A15" s="3">
        <v>6</v>
      </c>
      <c r="B15" s="4" t="s">
        <v>958</v>
      </c>
      <c r="C15" s="4" t="s">
        <v>959</v>
      </c>
      <c r="D15" s="4" t="s">
        <v>69</v>
      </c>
      <c r="E15" s="5">
        <v>738000</v>
      </c>
      <c r="F15" s="6">
        <v>2639.0879999999997</v>
      </c>
      <c r="G15" s="7">
        <v>2.3832470000000001E-2</v>
      </c>
      <c r="H15" s="67"/>
    </row>
    <row r="16" spans="1:8" x14ac:dyDescent="0.2">
      <c r="A16" s="101">
        <v>9</v>
      </c>
      <c r="B16" s="102" t="s">
        <v>17</v>
      </c>
      <c r="C16" s="102" t="s">
        <v>18</v>
      </c>
      <c r="D16" s="102" t="s">
        <v>19</v>
      </c>
      <c r="E16" s="103">
        <v>396183</v>
      </c>
      <c r="F16" s="104">
        <v>2630.8532114999998</v>
      </c>
      <c r="G16" s="105">
        <v>2.3758108E-2</v>
      </c>
      <c r="H16" s="67"/>
    </row>
    <row r="17" spans="1:8" x14ac:dyDescent="0.2">
      <c r="A17" s="101">
        <v>10</v>
      </c>
      <c r="B17" s="102" t="s">
        <v>354</v>
      </c>
      <c r="C17" s="102" t="s">
        <v>355</v>
      </c>
      <c r="D17" s="102" t="s">
        <v>24</v>
      </c>
      <c r="E17" s="103">
        <v>325000</v>
      </c>
      <c r="F17" s="104">
        <v>2556.125</v>
      </c>
      <c r="G17" s="105">
        <v>2.3083269999999999E-2</v>
      </c>
      <c r="H17" s="67"/>
    </row>
    <row r="18" spans="1:8" ht="25.5" x14ac:dyDescent="0.2">
      <c r="A18" s="101">
        <v>11</v>
      </c>
      <c r="B18" s="102" t="s">
        <v>478</v>
      </c>
      <c r="C18" s="102" t="s">
        <v>479</v>
      </c>
      <c r="D18" s="102" t="s">
        <v>52</v>
      </c>
      <c r="E18" s="103">
        <v>300000</v>
      </c>
      <c r="F18" s="104">
        <v>2145.4499999999998</v>
      </c>
      <c r="G18" s="105">
        <v>1.9374639999999999E-2</v>
      </c>
      <c r="H18" s="67"/>
    </row>
    <row r="19" spans="1:8" s="132" customFormat="1" ht="25.5" x14ac:dyDescent="0.2">
      <c r="A19" s="101">
        <v>12</v>
      </c>
      <c r="B19" s="4" t="s">
        <v>956</v>
      </c>
      <c r="C19" s="4" t="s">
        <v>957</v>
      </c>
      <c r="D19" s="4" t="s">
        <v>41</v>
      </c>
      <c r="E19" s="5">
        <v>1462700</v>
      </c>
      <c r="F19" s="6">
        <v>1775.5715299999999</v>
      </c>
      <c r="G19" s="7">
        <v>1.6034429999999999E-2</v>
      </c>
      <c r="H19" s="67"/>
    </row>
    <row r="20" spans="1:8" x14ac:dyDescent="0.2">
      <c r="A20" s="101">
        <v>13</v>
      </c>
      <c r="B20" s="102" t="s">
        <v>431</v>
      </c>
      <c r="C20" s="102" t="s">
        <v>432</v>
      </c>
      <c r="D20" s="102" t="s">
        <v>171</v>
      </c>
      <c r="E20" s="103">
        <v>350000</v>
      </c>
      <c r="F20" s="104">
        <v>1750.35</v>
      </c>
      <c r="G20" s="105">
        <v>1.5806661E-2</v>
      </c>
      <c r="H20" s="67"/>
    </row>
    <row r="21" spans="1:8" x14ac:dyDescent="0.2">
      <c r="A21" s="101">
        <v>14</v>
      </c>
      <c r="B21" s="102" t="s">
        <v>25</v>
      </c>
      <c r="C21" s="102" t="s">
        <v>26</v>
      </c>
      <c r="D21" s="102" t="s">
        <v>27</v>
      </c>
      <c r="E21" s="103">
        <v>120000</v>
      </c>
      <c r="F21" s="104">
        <v>1549.14</v>
      </c>
      <c r="G21" s="105">
        <v>1.3989619999999999E-2</v>
      </c>
      <c r="H21" s="67"/>
    </row>
    <row r="22" spans="1:8" ht="25.5" x14ac:dyDescent="0.2">
      <c r="A22" s="101">
        <v>15</v>
      </c>
      <c r="B22" s="102" t="s">
        <v>627</v>
      </c>
      <c r="C22" s="102" t="s">
        <v>628</v>
      </c>
      <c r="D22" s="102" t="s">
        <v>52</v>
      </c>
      <c r="E22" s="103">
        <v>280000</v>
      </c>
      <c r="F22" s="104">
        <v>1524.46</v>
      </c>
      <c r="G22" s="105">
        <v>1.3766745E-2</v>
      </c>
      <c r="H22" s="67"/>
    </row>
    <row r="23" spans="1:8" ht="25.5" x14ac:dyDescent="0.2">
      <c r="A23" s="101">
        <v>16</v>
      </c>
      <c r="B23" s="102" t="s">
        <v>31</v>
      </c>
      <c r="C23" s="102" t="s">
        <v>993</v>
      </c>
      <c r="D23" s="102" t="s">
        <v>992</v>
      </c>
      <c r="E23" s="103">
        <v>17500</v>
      </c>
      <c r="F23" s="104">
        <v>1370.67875</v>
      </c>
      <c r="G23" s="105">
        <v>1.2378012000000001E-2</v>
      </c>
      <c r="H23" s="67"/>
    </row>
    <row r="24" spans="1:8" ht="25.5" x14ac:dyDescent="0.2">
      <c r="A24" s="101">
        <v>17</v>
      </c>
      <c r="B24" s="102" t="s">
        <v>408</v>
      </c>
      <c r="C24" s="102" t="s">
        <v>409</v>
      </c>
      <c r="D24" s="102" t="s">
        <v>52</v>
      </c>
      <c r="E24" s="103">
        <v>50000</v>
      </c>
      <c r="F24" s="104">
        <v>1362.05</v>
      </c>
      <c r="G24" s="105">
        <v>1.230009E-2</v>
      </c>
      <c r="H24" s="67"/>
    </row>
    <row r="25" spans="1:8" x14ac:dyDescent="0.2">
      <c r="A25" s="101">
        <v>18</v>
      </c>
      <c r="B25" s="102" t="s">
        <v>151</v>
      </c>
      <c r="C25" s="102" t="s">
        <v>152</v>
      </c>
      <c r="D25" s="102" t="s">
        <v>153</v>
      </c>
      <c r="E25" s="103">
        <v>31600</v>
      </c>
      <c r="F25" s="104">
        <v>1272.7216000000001</v>
      </c>
      <c r="G25" s="105">
        <v>1.1493402999999999E-2</v>
      </c>
      <c r="H25" s="67"/>
    </row>
    <row r="26" spans="1:8" x14ac:dyDescent="0.2">
      <c r="A26" s="101">
        <v>19</v>
      </c>
      <c r="B26" s="102" t="s">
        <v>11</v>
      </c>
      <c r="C26" s="102" t="s">
        <v>12</v>
      </c>
      <c r="D26" s="102" t="s">
        <v>13</v>
      </c>
      <c r="E26" s="103">
        <v>76100</v>
      </c>
      <c r="F26" s="104">
        <v>1272.5442</v>
      </c>
      <c r="G26" s="105">
        <v>1.1491800999999999E-2</v>
      </c>
      <c r="H26" s="67"/>
    </row>
    <row r="27" spans="1:8" x14ac:dyDescent="0.2">
      <c r="A27" s="101">
        <v>20</v>
      </c>
      <c r="B27" s="102" t="s">
        <v>621</v>
      </c>
      <c r="C27" s="102" t="s">
        <v>622</v>
      </c>
      <c r="D27" s="102" t="s">
        <v>153</v>
      </c>
      <c r="E27" s="103">
        <v>53500</v>
      </c>
      <c r="F27" s="104">
        <v>1219.9872499999999</v>
      </c>
      <c r="G27" s="105">
        <v>1.1017182E-2</v>
      </c>
      <c r="H27" s="67"/>
    </row>
    <row r="28" spans="1:8" x14ac:dyDescent="0.2">
      <c r="A28" s="101">
        <v>21</v>
      </c>
      <c r="B28" s="102" t="s">
        <v>91</v>
      </c>
      <c r="C28" s="102" t="s">
        <v>92</v>
      </c>
      <c r="D28" s="102" t="s">
        <v>27</v>
      </c>
      <c r="E28" s="103">
        <v>16000</v>
      </c>
      <c r="F28" s="104">
        <v>1160.096</v>
      </c>
      <c r="G28" s="105">
        <v>1.0476330000000001E-2</v>
      </c>
      <c r="H28" s="67"/>
    </row>
    <row r="29" spans="1:8" x14ac:dyDescent="0.2">
      <c r="A29" s="101">
        <v>22</v>
      </c>
      <c r="B29" s="102" t="s">
        <v>406</v>
      </c>
      <c r="C29" s="102" t="s">
        <v>407</v>
      </c>
      <c r="D29" s="102" t="s">
        <v>1002</v>
      </c>
      <c r="E29" s="103">
        <v>93000</v>
      </c>
      <c r="F29" s="104">
        <v>1108.6065000000001</v>
      </c>
      <c r="G29" s="105">
        <v>1.001135E-2</v>
      </c>
      <c r="H29" s="67"/>
    </row>
    <row r="30" spans="1:8" x14ac:dyDescent="0.2">
      <c r="A30" s="101">
        <v>23</v>
      </c>
      <c r="B30" s="102" t="s">
        <v>579</v>
      </c>
      <c r="C30" s="102" t="s">
        <v>580</v>
      </c>
      <c r="D30" s="102" t="s">
        <v>1002</v>
      </c>
      <c r="E30" s="103">
        <v>143000</v>
      </c>
      <c r="F30" s="104">
        <v>1026.3824999999999</v>
      </c>
      <c r="G30" s="105">
        <v>9.268821E-3</v>
      </c>
      <c r="H30" s="67"/>
    </row>
    <row r="31" spans="1:8" x14ac:dyDescent="0.2">
      <c r="A31" s="101">
        <v>24</v>
      </c>
      <c r="B31" s="102" t="s">
        <v>410</v>
      </c>
      <c r="C31" s="102" t="s">
        <v>411</v>
      </c>
      <c r="D31" s="102" t="s">
        <v>153</v>
      </c>
      <c r="E31" s="103">
        <v>177336</v>
      </c>
      <c r="F31" s="104">
        <v>1021.721364</v>
      </c>
      <c r="G31" s="105">
        <v>9.226728E-3</v>
      </c>
      <c r="H31" s="67"/>
    </row>
    <row r="32" spans="1:8" x14ac:dyDescent="0.2">
      <c r="A32" s="101">
        <v>25</v>
      </c>
      <c r="B32" s="102" t="s">
        <v>315</v>
      </c>
      <c r="C32" s="102" t="s">
        <v>316</v>
      </c>
      <c r="D32" s="102" t="s">
        <v>261</v>
      </c>
      <c r="E32" s="103">
        <v>30000</v>
      </c>
      <c r="F32" s="104">
        <v>1018.2</v>
      </c>
      <c r="G32" s="105">
        <v>9.1949279999999998E-3</v>
      </c>
      <c r="H32" s="67"/>
    </row>
    <row r="33" spans="1:8" x14ac:dyDescent="0.2">
      <c r="A33" s="101">
        <v>26</v>
      </c>
      <c r="B33" s="102" t="s">
        <v>388</v>
      </c>
      <c r="C33" s="102" t="s">
        <v>389</v>
      </c>
      <c r="D33" s="102" t="s">
        <v>1002</v>
      </c>
      <c r="E33" s="103">
        <v>5750</v>
      </c>
      <c r="F33" s="104">
        <v>986.05312500000002</v>
      </c>
      <c r="G33" s="105">
        <v>8.9046230000000004E-3</v>
      </c>
      <c r="H33" s="67"/>
    </row>
    <row r="34" spans="1:8" x14ac:dyDescent="0.2">
      <c r="A34" s="101">
        <v>27</v>
      </c>
      <c r="B34" s="102" t="s">
        <v>499</v>
      </c>
      <c r="C34" s="102" t="s">
        <v>500</v>
      </c>
      <c r="D34" s="102" t="s">
        <v>187</v>
      </c>
      <c r="E34" s="103">
        <v>20000</v>
      </c>
      <c r="F34" s="104">
        <v>940.81</v>
      </c>
      <c r="G34" s="105">
        <v>8.4960520000000005E-3</v>
      </c>
      <c r="H34" s="67"/>
    </row>
    <row r="35" spans="1:8" x14ac:dyDescent="0.2">
      <c r="A35" s="101">
        <v>28</v>
      </c>
      <c r="B35" s="102" t="s">
        <v>42</v>
      </c>
      <c r="C35" s="102" t="s">
        <v>43</v>
      </c>
      <c r="D35" s="102" t="s">
        <v>16</v>
      </c>
      <c r="E35" s="103">
        <v>195000</v>
      </c>
      <c r="F35" s="104">
        <v>919.71749999999997</v>
      </c>
      <c r="G35" s="105">
        <v>8.3055750000000008E-3</v>
      </c>
      <c r="H35" s="67"/>
    </row>
    <row r="36" spans="1:8" x14ac:dyDescent="0.2">
      <c r="A36" s="101">
        <v>29</v>
      </c>
      <c r="B36" s="102" t="s">
        <v>364</v>
      </c>
      <c r="C36" s="102" t="s">
        <v>365</v>
      </c>
      <c r="D36" s="102" t="s">
        <v>166</v>
      </c>
      <c r="E36" s="103">
        <v>77000</v>
      </c>
      <c r="F36" s="104">
        <v>910.37099999999998</v>
      </c>
      <c r="G36" s="105">
        <v>8.2211699999999999E-3</v>
      </c>
      <c r="H36" s="67"/>
    </row>
    <row r="37" spans="1:8" x14ac:dyDescent="0.2">
      <c r="A37" s="101">
        <v>30</v>
      </c>
      <c r="B37" s="102" t="s">
        <v>305</v>
      </c>
      <c r="C37" s="102" t="s">
        <v>306</v>
      </c>
      <c r="D37" s="102" t="s">
        <v>1002</v>
      </c>
      <c r="E37" s="103">
        <v>82500</v>
      </c>
      <c r="F37" s="104">
        <v>897.72375</v>
      </c>
      <c r="G37" s="105">
        <v>8.1069590000000004E-3</v>
      </c>
      <c r="H37" s="67"/>
    </row>
    <row r="38" spans="1:8" x14ac:dyDescent="0.2">
      <c r="A38" s="101">
        <v>31</v>
      </c>
      <c r="B38" s="102" t="s">
        <v>433</v>
      </c>
      <c r="C38" s="102" t="s">
        <v>434</v>
      </c>
      <c r="D38" s="102" t="s">
        <v>24</v>
      </c>
      <c r="E38" s="103">
        <v>45000</v>
      </c>
      <c r="F38" s="104">
        <v>789.16499999999996</v>
      </c>
      <c r="G38" s="105">
        <v>7.1266109999999997E-3</v>
      </c>
      <c r="H38" s="67"/>
    </row>
    <row r="39" spans="1:8" x14ac:dyDescent="0.2">
      <c r="A39" s="101">
        <v>32</v>
      </c>
      <c r="B39" s="102" t="s">
        <v>208</v>
      </c>
      <c r="C39" s="102" t="s">
        <v>209</v>
      </c>
      <c r="D39" s="102" t="s">
        <v>1005</v>
      </c>
      <c r="E39" s="103">
        <v>90000</v>
      </c>
      <c r="F39" s="104">
        <v>762.16499999999996</v>
      </c>
      <c r="G39" s="105">
        <v>6.8827860000000001E-3</v>
      </c>
      <c r="H39" s="67"/>
    </row>
    <row r="40" spans="1:8" x14ac:dyDescent="0.2">
      <c r="A40" s="101">
        <v>33</v>
      </c>
      <c r="B40" s="102" t="s">
        <v>180</v>
      </c>
      <c r="C40" s="102" t="s">
        <v>181</v>
      </c>
      <c r="D40" s="102" t="s">
        <v>171</v>
      </c>
      <c r="E40" s="103">
        <v>55500</v>
      </c>
      <c r="F40" s="104">
        <v>757.38075000000003</v>
      </c>
      <c r="G40" s="105">
        <v>6.839581E-3</v>
      </c>
      <c r="H40" s="67"/>
    </row>
    <row r="41" spans="1:8" ht="25.5" x14ac:dyDescent="0.2">
      <c r="A41" s="101">
        <v>34</v>
      </c>
      <c r="B41" s="102" t="s">
        <v>327</v>
      </c>
      <c r="C41" s="102" t="s">
        <v>328</v>
      </c>
      <c r="D41" s="102" t="s">
        <v>55</v>
      </c>
      <c r="E41" s="103">
        <v>159000</v>
      </c>
      <c r="F41" s="104">
        <v>752.78549999999996</v>
      </c>
      <c r="G41" s="105">
        <v>6.7980829999999999E-3</v>
      </c>
      <c r="H41" s="67"/>
    </row>
    <row r="42" spans="1:8" x14ac:dyDescent="0.2">
      <c r="A42" s="101">
        <v>35</v>
      </c>
      <c r="B42" s="102" t="s">
        <v>418</v>
      </c>
      <c r="C42" s="102" t="s">
        <v>419</v>
      </c>
      <c r="D42" s="102" t="s">
        <v>49</v>
      </c>
      <c r="E42" s="103">
        <v>50700</v>
      </c>
      <c r="F42" s="104">
        <v>735.27674999999999</v>
      </c>
      <c r="G42" s="105">
        <v>6.6399689999999999E-3</v>
      </c>
      <c r="H42" s="67"/>
    </row>
    <row r="43" spans="1:8" x14ac:dyDescent="0.2">
      <c r="A43" s="101">
        <v>36</v>
      </c>
      <c r="B43" s="102" t="s">
        <v>372</v>
      </c>
      <c r="C43" s="102" t="s">
        <v>373</v>
      </c>
      <c r="D43" s="102" t="s">
        <v>55</v>
      </c>
      <c r="E43" s="103">
        <v>1063000</v>
      </c>
      <c r="F43" s="104">
        <v>713.27300000000002</v>
      </c>
      <c r="G43" s="105">
        <v>6.441263E-3</v>
      </c>
      <c r="H43" s="67"/>
    </row>
    <row r="44" spans="1:8" ht="25.5" x14ac:dyDescent="0.2">
      <c r="A44" s="101">
        <v>37</v>
      </c>
      <c r="B44" s="102" t="s">
        <v>321</v>
      </c>
      <c r="C44" s="102" t="s">
        <v>322</v>
      </c>
      <c r="D44" s="102" t="s">
        <v>52</v>
      </c>
      <c r="E44" s="103">
        <v>82500</v>
      </c>
      <c r="F44" s="104">
        <v>698.73374999999999</v>
      </c>
      <c r="G44" s="105">
        <v>6.3099649999999998E-3</v>
      </c>
      <c r="H44" s="67"/>
    </row>
    <row r="45" spans="1:8" x14ac:dyDescent="0.2">
      <c r="A45" s="101">
        <v>38</v>
      </c>
      <c r="B45" s="102" t="s">
        <v>374</v>
      </c>
      <c r="C45" s="102" t="s">
        <v>375</v>
      </c>
      <c r="D45" s="102" t="s">
        <v>331</v>
      </c>
      <c r="E45" s="103">
        <v>497849</v>
      </c>
      <c r="F45" s="104">
        <v>669.85582950000003</v>
      </c>
      <c r="G45" s="105">
        <v>6.0491809999999998E-3</v>
      </c>
      <c r="H45" s="67"/>
    </row>
    <row r="46" spans="1:8" x14ac:dyDescent="0.2">
      <c r="A46" s="101">
        <v>39</v>
      </c>
      <c r="B46" s="102" t="s">
        <v>394</v>
      </c>
      <c r="C46" s="102" t="s">
        <v>395</v>
      </c>
      <c r="D46" s="102" t="s">
        <v>331</v>
      </c>
      <c r="E46" s="103">
        <v>312750</v>
      </c>
      <c r="F46" s="104">
        <v>650.83275000000003</v>
      </c>
      <c r="G46" s="105">
        <v>5.8773920000000004E-3</v>
      </c>
      <c r="H46" s="67"/>
    </row>
    <row r="47" spans="1:8" x14ac:dyDescent="0.2">
      <c r="A47" s="101">
        <v>40</v>
      </c>
      <c r="B47" s="102" t="s">
        <v>420</v>
      </c>
      <c r="C47" s="102" t="s">
        <v>421</v>
      </c>
      <c r="D47" s="102" t="s">
        <v>84</v>
      </c>
      <c r="E47" s="103">
        <v>77000</v>
      </c>
      <c r="F47" s="104">
        <v>610.84100000000001</v>
      </c>
      <c r="G47" s="105">
        <v>5.5162429999999997E-3</v>
      </c>
      <c r="H47" s="67"/>
    </row>
    <row r="48" spans="1:8" x14ac:dyDescent="0.2">
      <c r="A48" s="101">
        <v>41</v>
      </c>
      <c r="B48" s="102" t="s">
        <v>350</v>
      </c>
      <c r="C48" s="102" t="s">
        <v>351</v>
      </c>
      <c r="D48" s="102" t="s">
        <v>46</v>
      </c>
      <c r="E48" s="103">
        <v>89000</v>
      </c>
      <c r="F48" s="104">
        <v>604.79949999999997</v>
      </c>
      <c r="G48" s="105">
        <v>5.461685E-3</v>
      </c>
      <c r="H48" s="67"/>
    </row>
    <row r="49" spans="1:8" ht="25.5" x14ac:dyDescent="0.2">
      <c r="A49" s="101">
        <v>42</v>
      </c>
      <c r="B49" s="102" t="s">
        <v>384</v>
      </c>
      <c r="C49" s="102" t="s">
        <v>385</v>
      </c>
      <c r="D49" s="102" t="s">
        <v>52</v>
      </c>
      <c r="E49" s="103">
        <v>65000</v>
      </c>
      <c r="F49" s="104">
        <v>562.21749999999997</v>
      </c>
      <c r="G49" s="105">
        <v>5.0771449999999999E-3</v>
      </c>
      <c r="H49" s="67"/>
    </row>
    <row r="50" spans="1:8" x14ac:dyDescent="0.2">
      <c r="A50" s="101">
        <v>43</v>
      </c>
      <c r="B50" s="102" t="s">
        <v>334</v>
      </c>
      <c r="C50" s="102" t="s">
        <v>335</v>
      </c>
      <c r="D50" s="102" t="s">
        <v>187</v>
      </c>
      <c r="E50" s="103">
        <v>14000</v>
      </c>
      <c r="F50" s="104">
        <v>545.14599999999996</v>
      </c>
      <c r="G50" s="105">
        <v>4.9229800000000004E-3</v>
      </c>
      <c r="H50" s="67"/>
    </row>
    <row r="51" spans="1:8" x14ac:dyDescent="0.2">
      <c r="A51" s="101">
        <v>44</v>
      </c>
      <c r="B51" s="102" t="s">
        <v>177</v>
      </c>
      <c r="C51" s="102" t="s">
        <v>178</v>
      </c>
      <c r="D51" s="102" t="s">
        <v>179</v>
      </c>
      <c r="E51" s="103">
        <v>225000</v>
      </c>
      <c r="F51" s="104">
        <v>538.875</v>
      </c>
      <c r="G51" s="105">
        <v>4.8663489999999998E-3</v>
      </c>
      <c r="H51" s="67"/>
    </row>
    <row r="52" spans="1:8" x14ac:dyDescent="0.2">
      <c r="A52" s="101">
        <v>45</v>
      </c>
      <c r="B52" s="102" t="s">
        <v>422</v>
      </c>
      <c r="C52" s="102" t="s">
        <v>423</v>
      </c>
      <c r="D52" s="102" t="s">
        <v>187</v>
      </c>
      <c r="E52" s="103">
        <v>10200</v>
      </c>
      <c r="F52" s="104">
        <v>527.70719999999994</v>
      </c>
      <c r="G52" s="105">
        <v>4.765498E-3</v>
      </c>
      <c r="H52" s="67"/>
    </row>
    <row r="53" spans="1:8" x14ac:dyDescent="0.2">
      <c r="A53" s="101">
        <v>46</v>
      </c>
      <c r="B53" s="102" t="s">
        <v>416</v>
      </c>
      <c r="C53" s="102" t="s">
        <v>417</v>
      </c>
      <c r="D53" s="102" t="s">
        <v>187</v>
      </c>
      <c r="E53" s="103">
        <v>64000</v>
      </c>
      <c r="F53" s="104">
        <v>508.19200000000001</v>
      </c>
      <c r="G53" s="105">
        <v>4.589264E-3</v>
      </c>
      <c r="H53" s="67"/>
    </row>
    <row r="54" spans="1:8" x14ac:dyDescent="0.2">
      <c r="A54" s="101">
        <v>47</v>
      </c>
      <c r="B54" s="102" t="s">
        <v>323</v>
      </c>
      <c r="C54" s="102" t="s">
        <v>324</v>
      </c>
      <c r="D54" s="102" t="s">
        <v>55</v>
      </c>
      <c r="E54" s="103">
        <v>50000</v>
      </c>
      <c r="F54" s="104">
        <v>497.92500000000001</v>
      </c>
      <c r="G54" s="105">
        <v>4.496547E-3</v>
      </c>
      <c r="H54" s="67"/>
    </row>
    <row r="55" spans="1:8" x14ac:dyDescent="0.2">
      <c r="A55" s="101">
        <v>48</v>
      </c>
      <c r="B55" s="102" t="s">
        <v>356</v>
      </c>
      <c r="C55" s="102" t="s">
        <v>357</v>
      </c>
      <c r="D55" s="102" t="s">
        <v>24</v>
      </c>
      <c r="E55" s="103">
        <v>640000</v>
      </c>
      <c r="F55" s="104">
        <v>495.04</v>
      </c>
      <c r="G55" s="105">
        <v>4.4704940000000002E-3</v>
      </c>
      <c r="H55" s="67"/>
    </row>
    <row r="56" spans="1:8" x14ac:dyDescent="0.2">
      <c r="A56" s="101">
        <v>49</v>
      </c>
      <c r="B56" s="102" t="s">
        <v>340</v>
      </c>
      <c r="C56" s="102" t="s">
        <v>341</v>
      </c>
      <c r="D56" s="102" t="s">
        <v>81</v>
      </c>
      <c r="E56" s="103">
        <v>36000</v>
      </c>
      <c r="F56" s="104">
        <v>486.97199999999998</v>
      </c>
      <c r="G56" s="105">
        <v>4.3976350000000004E-3</v>
      </c>
      <c r="H56" s="67"/>
    </row>
    <row r="57" spans="1:8" ht="25.5" x14ac:dyDescent="0.2">
      <c r="A57" s="101">
        <v>50</v>
      </c>
      <c r="B57" s="102" t="s">
        <v>20</v>
      </c>
      <c r="C57" s="102" t="s">
        <v>21</v>
      </c>
      <c r="D57" s="102" t="s">
        <v>992</v>
      </c>
      <c r="E57" s="103">
        <v>47500</v>
      </c>
      <c r="F57" s="104">
        <v>479.18</v>
      </c>
      <c r="G57" s="105">
        <v>4.3272689999999999E-3</v>
      </c>
      <c r="H57" s="67"/>
    </row>
    <row r="58" spans="1:8" x14ac:dyDescent="0.2">
      <c r="A58" s="101">
        <v>51</v>
      </c>
      <c r="B58" s="102" t="s">
        <v>568</v>
      </c>
      <c r="C58" s="102" t="s">
        <v>569</v>
      </c>
      <c r="D58" s="102" t="s">
        <v>84</v>
      </c>
      <c r="E58" s="103">
        <v>12500</v>
      </c>
      <c r="F58" s="104">
        <v>465.98124999999999</v>
      </c>
      <c r="G58" s="105">
        <v>4.2080770000000002E-3</v>
      </c>
      <c r="H58" s="67"/>
    </row>
    <row r="59" spans="1:8" x14ac:dyDescent="0.2">
      <c r="A59" s="101">
        <v>52</v>
      </c>
      <c r="B59" s="102" t="s">
        <v>495</v>
      </c>
      <c r="C59" s="102" t="s">
        <v>496</v>
      </c>
      <c r="D59" s="102" t="s">
        <v>55</v>
      </c>
      <c r="E59" s="103">
        <v>23250</v>
      </c>
      <c r="F59" s="104">
        <v>446.77199999999999</v>
      </c>
      <c r="G59" s="105">
        <v>4.0346059999999996E-3</v>
      </c>
      <c r="H59" s="67"/>
    </row>
    <row r="60" spans="1:8" ht="25.5" x14ac:dyDescent="0.2">
      <c r="A60" s="101">
        <v>53</v>
      </c>
      <c r="B60" s="102" t="s">
        <v>89</v>
      </c>
      <c r="C60" s="102" t="s">
        <v>90</v>
      </c>
      <c r="D60" s="102" t="s">
        <v>46</v>
      </c>
      <c r="E60" s="103">
        <v>57500</v>
      </c>
      <c r="F60" s="104">
        <v>430.27249999999998</v>
      </c>
      <c r="G60" s="105">
        <v>3.8856070000000001E-3</v>
      </c>
      <c r="H60" s="67"/>
    </row>
    <row r="61" spans="1:8" ht="25.5" x14ac:dyDescent="0.2">
      <c r="A61" s="101">
        <v>54</v>
      </c>
      <c r="B61" s="102" t="s">
        <v>429</v>
      </c>
      <c r="C61" s="102" t="s">
        <v>430</v>
      </c>
      <c r="D61" s="102" t="s">
        <v>52</v>
      </c>
      <c r="E61" s="103">
        <v>200000</v>
      </c>
      <c r="F61" s="104">
        <v>422.6</v>
      </c>
      <c r="G61" s="105">
        <v>3.8163200000000002E-3</v>
      </c>
      <c r="H61" s="67"/>
    </row>
    <row r="62" spans="1:8" x14ac:dyDescent="0.2">
      <c r="A62" s="101">
        <v>55</v>
      </c>
      <c r="B62" s="102" t="s">
        <v>426</v>
      </c>
      <c r="C62" s="102" t="s">
        <v>427</v>
      </c>
      <c r="D62" s="102" t="s">
        <v>428</v>
      </c>
      <c r="E62" s="103">
        <v>90000</v>
      </c>
      <c r="F62" s="104">
        <v>421.47</v>
      </c>
      <c r="G62" s="105">
        <v>3.8061150000000001E-3</v>
      </c>
      <c r="H62" s="67"/>
    </row>
    <row r="63" spans="1:8" x14ac:dyDescent="0.2">
      <c r="A63" s="101">
        <v>56</v>
      </c>
      <c r="B63" s="102" t="s">
        <v>362</v>
      </c>
      <c r="C63" s="102" t="s">
        <v>363</v>
      </c>
      <c r="D63" s="102" t="s">
        <v>166</v>
      </c>
      <c r="E63" s="103">
        <v>10000</v>
      </c>
      <c r="F63" s="104">
        <v>391.95499999999998</v>
      </c>
      <c r="G63" s="105">
        <v>3.5395779999999998E-3</v>
      </c>
      <c r="H63" s="67"/>
    </row>
    <row r="64" spans="1:8" x14ac:dyDescent="0.2">
      <c r="A64" s="101">
        <v>57</v>
      </c>
      <c r="B64" s="102" t="s">
        <v>344</v>
      </c>
      <c r="C64" s="102" t="s">
        <v>345</v>
      </c>
      <c r="D64" s="102" t="s">
        <v>49</v>
      </c>
      <c r="E64" s="103">
        <v>100000</v>
      </c>
      <c r="F64" s="104">
        <v>376.95</v>
      </c>
      <c r="G64" s="105">
        <v>3.404074E-3</v>
      </c>
      <c r="H64" s="67"/>
    </row>
    <row r="65" spans="1:8" x14ac:dyDescent="0.2">
      <c r="A65" s="101">
        <v>58</v>
      </c>
      <c r="B65" s="102" t="s">
        <v>671</v>
      </c>
      <c r="C65" s="102" t="s">
        <v>672</v>
      </c>
      <c r="D65" s="102" t="s">
        <v>24</v>
      </c>
      <c r="E65" s="103">
        <v>992000</v>
      </c>
      <c r="F65" s="104">
        <v>363.56799999999998</v>
      </c>
      <c r="G65" s="105">
        <v>3.2832270000000001E-3</v>
      </c>
      <c r="H65" s="67"/>
    </row>
    <row r="66" spans="1:8" x14ac:dyDescent="0.2">
      <c r="A66" s="101">
        <v>59</v>
      </c>
      <c r="B66" s="102" t="s">
        <v>368</v>
      </c>
      <c r="C66" s="102" t="s">
        <v>369</v>
      </c>
      <c r="D66" s="102" t="s">
        <v>242</v>
      </c>
      <c r="E66" s="103">
        <v>40000</v>
      </c>
      <c r="F66" s="104">
        <v>317.16000000000003</v>
      </c>
      <c r="G66" s="105">
        <v>2.8641360000000002E-3</v>
      </c>
      <c r="H66" s="67"/>
    </row>
    <row r="67" spans="1:8" ht="25.5" x14ac:dyDescent="0.2">
      <c r="A67" s="101">
        <v>60</v>
      </c>
      <c r="B67" s="102" t="s">
        <v>647</v>
      </c>
      <c r="C67" s="102" t="s">
        <v>648</v>
      </c>
      <c r="D67" s="102" t="s">
        <v>992</v>
      </c>
      <c r="E67" s="103">
        <v>20425</v>
      </c>
      <c r="F67" s="104">
        <v>306.45670000000001</v>
      </c>
      <c r="G67" s="105">
        <v>2.7674790000000002E-3</v>
      </c>
      <c r="H67" s="67"/>
    </row>
    <row r="68" spans="1:8" x14ac:dyDescent="0.2">
      <c r="A68" s="101">
        <v>61</v>
      </c>
      <c r="B68" s="102" t="s">
        <v>253</v>
      </c>
      <c r="C68" s="102" t="s">
        <v>254</v>
      </c>
      <c r="D68" s="102" t="s">
        <v>49</v>
      </c>
      <c r="E68" s="103">
        <v>28300</v>
      </c>
      <c r="F68" s="104">
        <v>298.28199999999998</v>
      </c>
      <c r="G68" s="105">
        <v>2.6936569999999999E-3</v>
      </c>
      <c r="H68" s="67"/>
    </row>
    <row r="69" spans="1:8" x14ac:dyDescent="0.2">
      <c r="A69" s="101">
        <v>62</v>
      </c>
      <c r="B69" s="102" t="s">
        <v>262</v>
      </c>
      <c r="C69" s="102" t="s">
        <v>263</v>
      </c>
      <c r="D69" s="102" t="s">
        <v>171</v>
      </c>
      <c r="E69" s="103">
        <v>41000</v>
      </c>
      <c r="F69" s="104">
        <v>277.85700000000003</v>
      </c>
      <c r="G69" s="105">
        <v>2.5092080000000002E-3</v>
      </c>
      <c r="H69" s="67"/>
    </row>
    <row r="70" spans="1:8" ht="25.5" x14ac:dyDescent="0.2">
      <c r="A70" s="101">
        <v>63</v>
      </c>
      <c r="B70" s="102" t="s">
        <v>435</v>
      </c>
      <c r="C70" s="102" t="s">
        <v>436</v>
      </c>
      <c r="D70" s="102" t="s">
        <v>1002</v>
      </c>
      <c r="E70" s="103">
        <v>17000</v>
      </c>
      <c r="F70" s="104">
        <v>271.08199999999999</v>
      </c>
      <c r="G70" s="105">
        <v>2.4480249999999999E-3</v>
      </c>
      <c r="H70" s="67"/>
    </row>
    <row r="71" spans="1:8" x14ac:dyDescent="0.2">
      <c r="A71" s="101">
        <v>64</v>
      </c>
      <c r="B71" s="102" t="s">
        <v>443</v>
      </c>
      <c r="C71" s="102" t="s">
        <v>444</v>
      </c>
      <c r="D71" s="102" t="s">
        <v>187</v>
      </c>
      <c r="E71" s="103">
        <v>27500</v>
      </c>
      <c r="F71" s="104">
        <v>260.64499999999998</v>
      </c>
      <c r="G71" s="105">
        <v>2.353773E-3</v>
      </c>
      <c r="H71" s="67"/>
    </row>
    <row r="72" spans="1:8" x14ac:dyDescent="0.2">
      <c r="A72" s="101">
        <v>65</v>
      </c>
      <c r="B72" s="102" t="s">
        <v>497</v>
      </c>
      <c r="C72" s="102" t="s">
        <v>498</v>
      </c>
      <c r="D72" s="102" t="s">
        <v>84</v>
      </c>
      <c r="E72" s="103">
        <v>90000</v>
      </c>
      <c r="F72" s="104">
        <v>258.57</v>
      </c>
      <c r="G72" s="105">
        <v>2.3350350000000001E-3</v>
      </c>
      <c r="H72" s="67"/>
    </row>
    <row r="73" spans="1:8" x14ac:dyDescent="0.2">
      <c r="A73" s="101">
        <v>66</v>
      </c>
      <c r="B73" s="102" t="s">
        <v>827</v>
      </c>
      <c r="C73" s="102" t="s">
        <v>828</v>
      </c>
      <c r="D73" s="102" t="s">
        <v>153</v>
      </c>
      <c r="E73" s="103">
        <v>28000</v>
      </c>
      <c r="F73" s="104">
        <v>236.50200000000001</v>
      </c>
      <c r="G73" s="105">
        <v>2.1357479999999998E-3</v>
      </c>
      <c r="H73" s="67"/>
    </row>
    <row r="74" spans="1:8" x14ac:dyDescent="0.2">
      <c r="A74" s="101">
        <v>67</v>
      </c>
      <c r="B74" s="102" t="s">
        <v>607</v>
      </c>
      <c r="C74" s="102" t="s">
        <v>608</v>
      </c>
      <c r="D74" s="102" t="s">
        <v>428</v>
      </c>
      <c r="E74" s="103">
        <v>52700</v>
      </c>
      <c r="F74" s="104">
        <v>159.57560000000001</v>
      </c>
      <c r="G74" s="105">
        <v>1.441059E-3</v>
      </c>
      <c r="H74" s="67"/>
    </row>
    <row r="75" spans="1:8" ht="25.5" x14ac:dyDescent="0.2">
      <c r="A75" s="101">
        <v>68</v>
      </c>
      <c r="B75" s="102" t="s">
        <v>829</v>
      </c>
      <c r="C75" s="102" t="s">
        <v>830</v>
      </c>
      <c r="D75" s="102" t="s">
        <v>36</v>
      </c>
      <c r="E75" s="103">
        <v>73500</v>
      </c>
      <c r="F75" s="104">
        <v>38.624250000000004</v>
      </c>
      <c r="G75" s="105">
        <v>3.4879900000000001E-4</v>
      </c>
      <c r="H75" s="67"/>
    </row>
    <row r="76" spans="1:8" x14ac:dyDescent="0.2">
      <c r="A76" s="101">
        <v>69</v>
      </c>
      <c r="B76" s="102" t="s">
        <v>831</v>
      </c>
      <c r="C76" s="102" t="s">
        <v>832</v>
      </c>
      <c r="D76" s="102" t="s">
        <v>84</v>
      </c>
      <c r="E76" s="103">
        <v>1100</v>
      </c>
      <c r="F76" s="104">
        <v>14.809850000000001</v>
      </c>
      <c r="G76" s="105">
        <v>1.3374099999999999E-4</v>
      </c>
      <c r="H76" s="67"/>
    </row>
    <row r="77" spans="1:8" x14ac:dyDescent="0.2">
      <c r="A77" s="99"/>
      <c r="B77" s="99"/>
      <c r="C77" s="100" t="s">
        <v>105</v>
      </c>
      <c r="D77" s="99"/>
      <c r="E77" s="99" t="s">
        <v>106</v>
      </c>
      <c r="F77" s="106">
        <v>82066.834272499953</v>
      </c>
      <c r="G77" s="107">
        <v>0.74111041600000027</v>
      </c>
      <c r="H77" s="67"/>
    </row>
    <row r="78" spans="1:8" x14ac:dyDescent="0.2">
      <c r="A78" s="99"/>
      <c r="B78" s="99"/>
      <c r="C78" s="108"/>
      <c r="D78" s="99"/>
      <c r="E78" s="99"/>
      <c r="F78" s="109"/>
      <c r="G78" s="109"/>
      <c r="H78" s="67"/>
    </row>
    <row r="79" spans="1:8" x14ac:dyDescent="0.2">
      <c r="A79" s="99"/>
      <c r="B79" s="99"/>
      <c r="C79" s="100" t="s">
        <v>107</v>
      </c>
      <c r="D79" s="99"/>
      <c r="E79" s="99"/>
      <c r="F79" s="99"/>
      <c r="G79" s="99"/>
      <c r="H79" s="67"/>
    </row>
    <row r="80" spans="1:8" x14ac:dyDescent="0.2">
      <c r="A80" s="99"/>
      <c r="B80" s="99"/>
      <c r="C80" s="100" t="s">
        <v>105</v>
      </c>
      <c r="D80" s="99"/>
      <c r="E80" s="99" t="s">
        <v>106</v>
      </c>
      <c r="F80" s="110">
        <v>0</v>
      </c>
      <c r="G80" s="111">
        <v>0</v>
      </c>
      <c r="H80" s="67"/>
    </row>
    <row r="81" spans="1:8" x14ac:dyDescent="0.2">
      <c r="A81" s="99"/>
      <c r="B81" s="99"/>
      <c r="C81" s="108"/>
      <c r="D81" s="99"/>
      <c r="E81" s="99"/>
      <c r="F81" s="109"/>
      <c r="G81" s="109"/>
      <c r="H81" s="67"/>
    </row>
    <row r="82" spans="1:8" x14ac:dyDescent="0.2">
      <c r="A82" s="99"/>
      <c r="B82" s="99"/>
      <c r="C82" s="100" t="s">
        <v>108</v>
      </c>
      <c r="D82" s="99"/>
      <c r="E82" s="99"/>
      <c r="F82" s="99"/>
      <c r="G82" s="99"/>
      <c r="H82" s="67"/>
    </row>
    <row r="83" spans="1:8" x14ac:dyDescent="0.2">
      <c r="A83" s="99"/>
      <c r="B83" s="99"/>
      <c r="C83" s="100" t="s">
        <v>105</v>
      </c>
      <c r="D83" s="99"/>
      <c r="E83" s="99" t="s">
        <v>106</v>
      </c>
      <c r="F83" s="110">
        <v>0</v>
      </c>
      <c r="G83" s="111">
        <v>0</v>
      </c>
      <c r="H83" s="67"/>
    </row>
    <row r="84" spans="1:8" x14ac:dyDescent="0.2">
      <c r="A84" s="99"/>
      <c r="B84" s="99"/>
      <c r="C84" s="108"/>
      <c r="D84" s="99"/>
      <c r="E84" s="99"/>
      <c r="F84" s="109"/>
      <c r="G84" s="109"/>
      <c r="H84" s="67"/>
    </row>
    <row r="85" spans="1:8" x14ac:dyDescent="0.2">
      <c r="A85" s="99"/>
      <c r="B85" s="99"/>
      <c r="C85" s="100" t="s">
        <v>109</v>
      </c>
      <c r="D85" s="99"/>
      <c r="E85" s="99"/>
      <c r="F85" s="99"/>
      <c r="G85" s="99"/>
      <c r="H85" s="67"/>
    </row>
    <row r="86" spans="1:8" x14ac:dyDescent="0.2">
      <c r="A86" s="99"/>
      <c r="B86" s="99"/>
      <c r="C86" s="100" t="s">
        <v>105</v>
      </c>
      <c r="D86" s="99"/>
      <c r="E86" s="99" t="s">
        <v>106</v>
      </c>
      <c r="F86" s="110">
        <v>0</v>
      </c>
      <c r="G86" s="111">
        <v>0</v>
      </c>
      <c r="H86" s="67"/>
    </row>
    <row r="87" spans="1:8" x14ac:dyDescent="0.2">
      <c r="A87" s="99"/>
      <c r="B87" s="99"/>
      <c r="C87" s="108"/>
      <c r="D87" s="99"/>
      <c r="E87" s="99"/>
      <c r="F87" s="109"/>
      <c r="G87" s="109"/>
      <c r="H87" s="67"/>
    </row>
    <row r="88" spans="1:8" x14ac:dyDescent="0.2">
      <c r="A88" s="99"/>
      <c r="B88" s="99"/>
      <c r="C88" s="100" t="s">
        <v>110</v>
      </c>
      <c r="D88" s="99"/>
      <c r="E88" s="99"/>
      <c r="F88" s="109"/>
      <c r="G88" s="109"/>
      <c r="H88" s="67"/>
    </row>
    <row r="89" spans="1:8" ht="25.5" x14ac:dyDescent="0.2">
      <c r="A89" s="134">
        <v>1</v>
      </c>
      <c r="B89" s="135" t="s">
        <v>960</v>
      </c>
      <c r="C89" s="135" t="s">
        <v>961</v>
      </c>
      <c r="D89" s="135" t="s">
        <v>81</v>
      </c>
      <c r="E89" s="136">
        <v>14400</v>
      </c>
      <c r="F89" s="137">
        <v>120.6216</v>
      </c>
      <c r="G89" s="138">
        <v>1.08928E-3</v>
      </c>
      <c r="H89" s="67"/>
    </row>
    <row r="90" spans="1:8" x14ac:dyDescent="0.2">
      <c r="A90" s="99"/>
      <c r="B90" s="99"/>
      <c r="C90" s="100" t="s">
        <v>105</v>
      </c>
      <c r="D90" s="99"/>
      <c r="E90" s="99" t="s">
        <v>106</v>
      </c>
      <c r="F90" s="110">
        <v>120.6216</v>
      </c>
      <c r="G90" s="111">
        <v>1.08928E-3</v>
      </c>
      <c r="H90" s="67"/>
    </row>
    <row r="91" spans="1:8" x14ac:dyDescent="0.2">
      <c r="A91" s="99"/>
      <c r="B91" s="99"/>
      <c r="C91" s="108"/>
      <c r="D91" s="99"/>
      <c r="E91" s="99"/>
      <c r="F91" s="109"/>
      <c r="G91" s="109"/>
      <c r="H91" s="67"/>
    </row>
    <row r="92" spans="1:8" x14ac:dyDescent="0.2">
      <c r="A92" s="99"/>
      <c r="B92" s="99"/>
      <c r="C92" s="100" t="s">
        <v>111</v>
      </c>
      <c r="D92" s="99"/>
      <c r="E92" s="99"/>
      <c r="F92" s="109"/>
      <c r="G92" s="109"/>
      <c r="H92" s="67"/>
    </row>
    <row r="93" spans="1:8" x14ac:dyDescent="0.2">
      <c r="A93" s="101">
        <v>1</v>
      </c>
      <c r="B93" s="102"/>
      <c r="C93" s="102" t="s">
        <v>937</v>
      </c>
      <c r="D93" s="102" t="s">
        <v>690</v>
      </c>
      <c r="E93" s="103">
        <v>-1100</v>
      </c>
      <c r="F93" s="104">
        <v>-14.85605</v>
      </c>
      <c r="G93" s="105">
        <v>-1.3415899999999999E-4</v>
      </c>
      <c r="H93" s="67"/>
    </row>
    <row r="94" spans="1:8" ht="25.5" x14ac:dyDescent="0.2">
      <c r="A94" s="101">
        <v>2</v>
      </c>
      <c r="B94" s="102"/>
      <c r="C94" s="102" t="s">
        <v>938</v>
      </c>
      <c r="D94" s="102" t="s">
        <v>690</v>
      </c>
      <c r="E94" s="103">
        <v>-73500</v>
      </c>
      <c r="F94" s="104">
        <v>-38.771250000000002</v>
      </c>
      <c r="G94" s="105">
        <v>-3.5012699999999999E-4</v>
      </c>
      <c r="H94" s="67"/>
    </row>
    <row r="95" spans="1:8" x14ac:dyDescent="0.2">
      <c r="A95" s="101">
        <v>3</v>
      </c>
      <c r="B95" s="102"/>
      <c r="C95" s="102" t="s">
        <v>920</v>
      </c>
      <c r="D95" s="102" t="s">
        <v>690</v>
      </c>
      <c r="E95" s="103">
        <v>-52700</v>
      </c>
      <c r="F95" s="104">
        <v>-159.44385</v>
      </c>
      <c r="G95" s="105">
        <v>-1.4398690000000001E-3</v>
      </c>
      <c r="H95" s="67"/>
    </row>
    <row r="96" spans="1:8" x14ac:dyDescent="0.2">
      <c r="A96" s="101">
        <v>4</v>
      </c>
      <c r="B96" s="102"/>
      <c r="C96" s="102" t="s">
        <v>939</v>
      </c>
      <c r="D96" s="102" t="s">
        <v>690</v>
      </c>
      <c r="E96" s="103">
        <v>-28000</v>
      </c>
      <c r="F96" s="104">
        <v>-237.42599999999999</v>
      </c>
      <c r="G96" s="105">
        <v>-2.1440919999999998E-3</v>
      </c>
      <c r="H96" s="67"/>
    </row>
    <row r="97" spans="1:8" x14ac:dyDescent="0.2">
      <c r="A97" s="101">
        <v>5</v>
      </c>
      <c r="B97" s="102"/>
      <c r="C97" s="102" t="s">
        <v>940</v>
      </c>
      <c r="D97" s="102" t="s">
        <v>690</v>
      </c>
      <c r="E97" s="103">
        <v>-88350</v>
      </c>
      <c r="F97" s="104">
        <v>-254.88974999999999</v>
      </c>
      <c r="G97" s="105">
        <v>-2.3018000000000001E-3</v>
      </c>
      <c r="H97" s="67"/>
    </row>
    <row r="98" spans="1:8" x14ac:dyDescent="0.2">
      <c r="A98" s="101">
        <v>6</v>
      </c>
      <c r="B98" s="102"/>
      <c r="C98" s="102" t="s">
        <v>941</v>
      </c>
      <c r="D98" s="102" t="s">
        <v>690</v>
      </c>
      <c r="E98" s="103">
        <v>-20425</v>
      </c>
      <c r="F98" s="104">
        <v>-306.8345625</v>
      </c>
      <c r="G98" s="105">
        <v>-2.7708910000000002E-3</v>
      </c>
      <c r="H98" s="67"/>
    </row>
    <row r="99" spans="1:8" x14ac:dyDescent="0.2">
      <c r="A99" s="101">
        <v>7</v>
      </c>
      <c r="B99" s="102"/>
      <c r="C99" s="102" t="s">
        <v>942</v>
      </c>
      <c r="D99" s="102" t="s">
        <v>690</v>
      </c>
      <c r="E99" s="103">
        <v>-992000</v>
      </c>
      <c r="F99" s="104">
        <v>-365.05599999999998</v>
      </c>
      <c r="G99" s="105">
        <v>-3.2966639999999999E-3</v>
      </c>
      <c r="H99" s="67"/>
    </row>
    <row r="100" spans="1:8" x14ac:dyDescent="0.2">
      <c r="A100" s="101">
        <v>8</v>
      </c>
      <c r="B100" s="102"/>
      <c r="C100" s="102" t="s">
        <v>922</v>
      </c>
      <c r="D100" s="102" t="s">
        <v>690</v>
      </c>
      <c r="E100" s="103">
        <v>-57500</v>
      </c>
      <c r="F100" s="104">
        <v>-431.9975</v>
      </c>
      <c r="G100" s="105">
        <v>-3.9011839999999998E-3</v>
      </c>
      <c r="H100" s="67"/>
    </row>
    <row r="101" spans="1:8" x14ac:dyDescent="0.2">
      <c r="A101" s="101">
        <v>9</v>
      </c>
      <c r="B101" s="102"/>
      <c r="C101" s="102" t="s">
        <v>943</v>
      </c>
      <c r="D101" s="102" t="s">
        <v>690</v>
      </c>
      <c r="E101" s="103">
        <v>-23250</v>
      </c>
      <c r="F101" s="104">
        <v>-447.20212500000002</v>
      </c>
      <c r="G101" s="105">
        <v>-4.038491E-3</v>
      </c>
      <c r="H101" s="67"/>
    </row>
    <row r="102" spans="1:8" x14ac:dyDescent="0.2">
      <c r="A102" s="101">
        <v>10</v>
      </c>
      <c r="B102" s="102"/>
      <c r="C102" s="102" t="s">
        <v>944</v>
      </c>
      <c r="D102" s="102" t="s">
        <v>708</v>
      </c>
      <c r="E102" s="103">
        <v>-12500</v>
      </c>
      <c r="F102" s="104">
        <v>-467.76875000000001</v>
      </c>
      <c r="G102" s="105">
        <v>-4.2242190000000004E-3</v>
      </c>
      <c r="H102" s="67"/>
    </row>
    <row r="103" spans="1:8" x14ac:dyDescent="0.2">
      <c r="A103" s="101">
        <v>11</v>
      </c>
      <c r="B103" s="102"/>
      <c r="C103" s="102" t="s">
        <v>936</v>
      </c>
      <c r="D103" s="102" t="s">
        <v>690</v>
      </c>
      <c r="E103" s="103">
        <v>-68400</v>
      </c>
      <c r="F103" s="104">
        <v>-538.58159999999998</v>
      </c>
      <c r="G103" s="105">
        <v>-4.8637000000000003E-3</v>
      </c>
      <c r="H103" s="67"/>
    </row>
    <row r="104" spans="1:8" x14ac:dyDescent="0.2">
      <c r="A104" s="101">
        <v>12</v>
      </c>
      <c r="B104" s="102"/>
      <c r="C104" s="102" t="s">
        <v>945</v>
      </c>
      <c r="D104" s="102" t="s">
        <v>690</v>
      </c>
      <c r="E104" s="103">
        <v>-20000</v>
      </c>
      <c r="F104" s="104">
        <v>-941.73</v>
      </c>
      <c r="G104" s="105">
        <v>-8.5043600000000007E-3</v>
      </c>
      <c r="H104" s="67"/>
    </row>
    <row r="105" spans="1:8" ht="25.5" x14ac:dyDescent="0.2">
      <c r="A105" s="101">
        <v>13</v>
      </c>
      <c r="B105" s="102"/>
      <c r="C105" s="102" t="s">
        <v>925</v>
      </c>
      <c r="D105" s="102" t="s">
        <v>690</v>
      </c>
      <c r="E105" s="103">
        <v>-143000</v>
      </c>
      <c r="F105" s="104">
        <v>-1027.0975000000001</v>
      </c>
      <c r="G105" s="105">
        <v>-9.2752770000000002E-3</v>
      </c>
      <c r="H105" s="67"/>
    </row>
    <row r="106" spans="1:8" x14ac:dyDescent="0.2">
      <c r="A106" s="101">
        <v>14</v>
      </c>
      <c r="B106" s="102"/>
      <c r="C106" s="102" t="s">
        <v>946</v>
      </c>
      <c r="D106" s="102" t="s">
        <v>690</v>
      </c>
      <c r="E106" s="103">
        <v>-31200</v>
      </c>
      <c r="F106" s="104">
        <v>-1182.3396</v>
      </c>
      <c r="G106" s="105">
        <v>-1.0677202E-2</v>
      </c>
      <c r="H106" s="67"/>
    </row>
    <row r="107" spans="1:8" x14ac:dyDescent="0.2">
      <c r="A107" s="101">
        <v>15</v>
      </c>
      <c r="B107" s="102"/>
      <c r="C107" s="102" t="s">
        <v>947</v>
      </c>
      <c r="D107" s="102" t="s">
        <v>690</v>
      </c>
      <c r="E107" s="103">
        <v>-53500</v>
      </c>
      <c r="F107" s="104">
        <v>-1223.5182500000001</v>
      </c>
      <c r="G107" s="105">
        <v>-1.1049069E-2</v>
      </c>
      <c r="H107" s="67"/>
    </row>
    <row r="108" spans="1:8" ht="25.5" x14ac:dyDescent="0.2">
      <c r="A108" s="101">
        <v>16</v>
      </c>
      <c r="B108" s="102"/>
      <c r="C108" s="102" t="s">
        <v>948</v>
      </c>
      <c r="D108" s="102" t="s">
        <v>690</v>
      </c>
      <c r="E108" s="103">
        <v>-51000</v>
      </c>
      <c r="F108" s="104">
        <v>-1428.9690000000001</v>
      </c>
      <c r="G108" s="105">
        <v>-1.2904407E-2</v>
      </c>
      <c r="H108" s="67"/>
    </row>
    <row r="109" spans="1:8" x14ac:dyDescent="0.2">
      <c r="A109" s="101">
        <v>17</v>
      </c>
      <c r="B109" s="102"/>
      <c r="C109" s="102" t="s">
        <v>949</v>
      </c>
      <c r="D109" s="102" t="s">
        <v>690</v>
      </c>
      <c r="E109" s="103">
        <v>-280000</v>
      </c>
      <c r="F109" s="104">
        <v>-1525.3</v>
      </c>
      <c r="G109" s="105">
        <v>-1.3774331000000001E-2</v>
      </c>
      <c r="H109" s="67"/>
    </row>
    <row r="110" spans="1:8" x14ac:dyDescent="0.2">
      <c r="A110" s="101">
        <v>18</v>
      </c>
      <c r="B110" s="102"/>
      <c r="C110" s="102" t="s">
        <v>919</v>
      </c>
      <c r="D110" s="102" t="s">
        <v>690</v>
      </c>
      <c r="E110" s="103">
        <v>-246183</v>
      </c>
      <c r="F110" s="104">
        <v>-1634.7782115</v>
      </c>
      <c r="G110" s="105">
        <v>-1.4762981999999999E-2</v>
      </c>
      <c r="H110" s="67"/>
    </row>
    <row r="111" spans="1:8" x14ac:dyDescent="0.2">
      <c r="A111" s="101">
        <v>19</v>
      </c>
      <c r="B111" s="102"/>
      <c r="C111" s="102" t="s">
        <v>950</v>
      </c>
      <c r="D111" s="102" t="s">
        <v>690</v>
      </c>
      <c r="E111" s="103">
        <v>-121800</v>
      </c>
      <c r="F111" s="104">
        <v>-1766.5263</v>
      </c>
      <c r="G111" s="105">
        <v>-1.5952741999999999E-2</v>
      </c>
      <c r="H111" s="67"/>
    </row>
    <row r="112" spans="1:8" x14ac:dyDescent="0.2">
      <c r="A112" s="101">
        <v>20</v>
      </c>
      <c r="B112" s="102"/>
      <c r="C112" s="102" t="s">
        <v>926</v>
      </c>
      <c r="D112" s="102" t="s">
        <v>690</v>
      </c>
      <c r="E112" s="103">
        <v>-450000</v>
      </c>
      <c r="F112" s="104">
        <v>-1918.575</v>
      </c>
      <c r="G112" s="105">
        <v>-1.7325829000000001E-2</v>
      </c>
      <c r="H112" s="67"/>
    </row>
    <row r="113" spans="1:8" x14ac:dyDescent="0.2">
      <c r="A113" s="101">
        <v>21</v>
      </c>
      <c r="B113" s="102"/>
      <c r="C113" s="102" t="s">
        <v>935</v>
      </c>
      <c r="D113" s="102" t="s">
        <v>690</v>
      </c>
      <c r="E113" s="103">
        <v>-90000</v>
      </c>
      <c r="F113" s="104">
        <v>-2039.355</v>
      </c>
      <c r="G113" s="105">
        <v>-1.8416541000000002E-2</v>
      </c>
      <c r="H113" s="67"/>
    </row>
    <row r="114" spans="1:8" x14ac:dyDescent="0.2">
      <c r="A114" s="101">
        <v>22</v>
      </c>
      <c r="B114" s="102"/>
      <c r="C114" s="102" t="s">
        <v>951</v>
      </c>
      <c r="D114" s="102" t="s">
        <v>690</v>
      </c>
      <c r="E114" s="103">
        <v>-300000</v>
      </c>
      <c r="F114" s="104">
        <v>-2147.85</v>
      </c>
      <c r="G114" s="105">
        <v>-1.9396312999999998E-2</v>
      </c>
      <c r="H114" s="67"/>
    </row>
    <row r="115" spans="1:8" x14ac:dyDescent="0.2">
      <c r="A115" s="101">
        <v>23</v>
      </c>
      <c r="B115" s="102"/>
      <c r="C115" s="102" t="s">
        <v>934</v>
      </c>
      <c r="D115" s="102" t="s">
        <v>690</v>
      </c>
      <c r="E115" s="103">
        <v>-484000</v>
      </c>
      <c r="F115" s="104">
        <v>-3483.348</v>
      </c>
      <c r="G115" s="105">
        <v>-3.1456623000000003E-2</v>
      </c>
      <c r="H115" s="67"/>
    </row>
    <row r="116" spans="1:8" x14ac:dyDescent="0.2">
      <c r="A116" s="101">
        <v>24</v>
      </c>
      <c r="B116" s="102"/>
      <c r="C116" s="102" t="s">
        <v>952</v>
      </c>
      <c r="D116" s="102" t="s">
        <v>708</v>
      </c>
      <c r="E116" s="103">
        <v>-27000</v>
      </c>
      <c r="F116" s="104">
        <v>-4623.0074999999997</v>
      </c>
      <c r="G116" s="105">
        <v>-4.1748399999999998E-2</v>
      </c>
      <c r="H116" s="67"/>
    </row>
    <row r="117" spans="1:8" x14ac:dyDescent="0.2">
      <c r="A117" s="99"/>
      <c r="B117" s="99"/>
      <c r="C117" s="100" t="s">
        <v>105</v>
      </c>
      <c r="D117" s="99"/>
      <c r="E117" s="99" t="s">
        <v>106</v>
      </c>
      <c r="F117" s="106">
        <v>-28205.221798999999</v>
      </c>
      <c r="G117" s="107">
        <v>-0.25470927199999999</v>
      </c>
      <c r="H117" s="67"/>
    </row>
    <row r="118" spans="1:8" x14ac:dyDescent="0.2">
      <c r="A118" s="99"/>
      <c r="B118" s="99"/>
      <c r="C118" s="108"/>
      <c r="D118" s="99"/>
      <c r="E118" s="99"/>
      <c r="F118" s="109"/>
      <c r="G118" s="109"/>
      <c r="H118" s="67"/>
    </row>
    <row r="119" spans="1:8" x14ac:dyDescent="0.2">
      <c r="A119" s="99"/>
      <c r="B119" s="99"/>
      <c r="C119" s="100" t="s">
        <v>112</v>
      </c>
      <c r="D119" s="99"/>
      <c r="E119" s="99"/>
      <c r="F119" s="106">
        <v>82187.455872499952</v>
      </c>
      <c r="G119" s="107">
        <v>0.74219969600000024</v>
      </c>
      <c r="H119" s="67"/>
    </row>
    <row r="120" spans="1:8" x14ac:dyDescent="0.2">
      <c r="A120" s="99"/>
      <c r="B120" s="99"/>
      <c r="C120" s="108"/>
      <c r="D120" s="99"/>
      <c r="E120" s="99"/>
      <c r="F120" s="109"/>
      <c r="G120" s="109"/>
      <c r="H120" s="67"/>
    </row>
    <row r="121" spans="1:8" x14ac:dyDescent="0.2">
      <c r="A121" s="99"/>
      <c r="B121" s="99"/>
      <c r="C121" s="100" t="s">
        <v>113</v>
      </c>
      <c r="D121" s="99"/>
      <c r="E121" s="99"/>
      <c r="F121" s="109"/>
      <c r="G121" s="109"/>
      <c r="H121" s="67"/>
    </row>
    <row r="122" spans="1:8" ht="25.5" x14ac:dyDescent="0.2">
      <c r="A122" s="99"/>
      <c r="B122" s="99"/>
      <c r="C122" s="100" t="s">
        <v>10</v>
      </c>
      <c r="D122" s="99"/>
      <c r="E122" s="99"/>
      <c r="F122" s="109"/>
      <c r="G122" s="109"/>
      <c r="H122" s="67"/>
    </row>
    <row r="123" spans="1:8" ht="25.5" x14ac:dyDescent="0.2">
      <c r="A123" s="101">
        <v>1</v>
      </c>
      <c r="B123" s="102" t="s">
        <v>833</v>
      </c>
      <c r="C123" s="102" t="s">
        <v>834</v>
      </c>
      <c r="D123" s="102" t="s">
        <v>685</v>
      </c>
      <c r="E123" s="103">
        <v>250</v>
      </c>
      <c r="F123" s="104">
        <v>2577.2399999999998</v>
      </c>
      <c r="G123" s="105">
        <v>2.3273950000000002E-2</v>
      </c>
      <c r="H123" s="67">
        <v>4</v>
      </c>
    </row>
    <row r="124" spans="1:8" ht="25.5" x14ac:dyDescent="0.2">
      <c r="A124" s="101">
        <v>2</v>
      </c>
      <c r="B124" s="102" t="s">
        <v>835</v>
      </c>
      <c r="C124" s="102" t="s">
        <v>836</v>
      </c>
      <c r="D124" s="102" t="s">
        <v>685</v>
      </c>
      <c r="E124" s="103">
        <v>250</v>
      </c>
      <c r="F124" s="104">
        <v>2513.17</v>
      </c>
      <c r="G124" s="105">
        <v>2.2695361000000001E-2</v>
      </c>
      <c r="H124" s="67">
        <v>4.5199999999999996</v>
      </c>
    </row>
    <row r="125" spans="1:8" ht="25.5" x14ac:dyDescent="0.2">
      <c r="A125" s="101">
        <v>3</v>
      </c>
      <c r="B125" s="102" t="s">
        <v>837</v>
      </c>
      <c r="C125" s="102" t="s">
        <v>838</v>
      </c>
      <c r="D125" s="102" t="s">
        <v>974</v>
      </c>
      <c r="E125" s="103">
        <v>150</v>
      </c>
      <c r="F125" s="104">
        <v>1550.6849999999999</v>
      </c>
      <c r="G125" s="105">
        <v>1.4003572000000001E-2</v>
      </c>
      <c r="H125" s="67">
        <v>4.51</v>
      </c>
    </row>
    <row r="126" spans="1:8" x14ac:dyDescent="0.2">
      <c r="A126" s="101">
        <v>4</v>
      </c>
      <c r="B126" s="102" t="s">
        <v>839</v>
      </c>
      <c r="C126" s="102" t="s">
        <v>840</v>
      </c>
      <c r="D126" s="102" t="s">
        <v>685</v>
      </c>
      <c r="E126" s="103">
        <v>100</v>
      </c>
      <c r="F126" s="104">
        <v>1038.549</v>
      </c>
      <c r="G126" s="105">
        <v>9.3786909999999998E-3</v>
      </c>
      <c r="H126" s="67">
        <v>4.55</v>
      </c>
    </row>
    <row r="127" spans="1:8" ht="25.5" x14ac:dyDescent="0.2">
      <c r="A127" s="101">
        <v>5</v>
      </c>
      <c r="B127" s="102" t="s">
        <v>841</v>
      </c>
      <c r="C127" s="102" t="s">
        <v>842</v>
      </c>
      <c r="D127" s="102" t="s">
        <v>685</v>
      </c>
      <c r="E127" s="103">
        <v>100</v>
      </c>
      <c r="F127" s="104">
        <v>1038.165</v>
      </c>
      <c r="G127" s="105">
        <v>9.3752230000000002E-3</v>
      </c>
      <c r="H127" s="67">
        <v>4.3099999999999996</v>
      </c>
    </row>
    <row r="128" spans="1:8" ht="25.5" x14ac:dyDescent="0.2">
      <c r="A128" s="101">
        <v>6</v>
      </c>
      <c r="B128" s="102" t="s">
        <v>843</v>
      </c>
      <c r="C128" s="102" t="s">
        <v>844</v>
      </c>
      <c r="D128" s="102" t="s">
        <v>685</v>
      </c>
      <c r="E128" s="103">
        <v>100</v>
      </c>
      <c r="F128" s="104">
        <v>1035.4469999999999</v>
      </c>
      <c r="G128" s="105">
        <v>9.3506779999999994E-3</v>
      </c>
      <c r="H128" s="67">
        <v>4.3899999999999997</v>
      </c>
    </row>
    <row r="129" spans="1:8" ht="25.5" x14ac:dyDescent="0.2">
      <c r="A129" s="101">
        <v>7</v>
      </c>
      <c r="B129" s="102" t="s">
        <v>845</v>
      </c>
      <c r="C129" s="102" t="s">
        <v>846</v>
      </c>
      <c r="D129" s="102" t="s">
        <v>974</v>
      </c>
      <c r="E129" s="103">
        <v>100</v>
      </c>
      <c r="F129" s="104">
        <v>1034.7950000000001</v>
      </c>
      <c r="G129" s="105">
        <v>9.3447900000000004E-3</v>
      </c>
      <c r="H129" s="67">
        <v>4.42</v>
      </c>
    </row>
    <row r="130" spans="1:8" x14ac:dyDescent="0.2">
      <c r="A130" s="101">
        <v>8</v>
      </c>
      <c r="B130" s="102" t="s">
        <v>847</v>
      </c>
      <c r="C130" s="102" t="s">
        <v>848</v>
      </c>
      <c r="D130" s="102" t="s">
        <v>685</v>
      </c>
      <c r="E130" s="103">
        <v>100</v>
      </c>
      <c r="F130" s="104">
        <v>1020.9450000000001</v>
      </c>
      <c r="G130" s="105">
        <v>9.2197170000000005E-3</v>
      </c>
      <c r="H130" s="67">
        <v>4.6050000000000004</v>
      </c>
    </row>
    <row r="131" spans="1:8" ht="25.5" x14ac:dyDescent="0.2">
      <c r="A131" s="101">
        <v>9</v>
      </c>
      <c r="B131" s="102" t="s">
        <v>849</v>
      </c>
      <c r="C131" s="102" t="s">
        <v>850</v>
      </c>
      <c r="D131" s="102" t="s">
        <v>685</v>
      </c>
      <c r="E131" s="103">
        <v>100</v>
      </c>
      <c r="F131" s="104">
        <v>1007.133</v>
      </c>
      <c r="G131" s="105">
        <v>9.0949870000000006E-3</v>
      </c>
      <c r="H131" s="67">
        <v>4.22</v>
      </c>
    </row>
    <row r="132" spans="1:8" ht="25.5" x14ac:dyDescent="0.2">
      <c r="A132" s="101">
        <v>10</v>
      </c>
      <c r="B132" s="102" t="s">
        <v>851</v>
      </c>
      <c r="C132" s="102" t="s">
        <v>852</v>
      </c>
      <c r="D132" s="102" t="s">
        <v>685</v>
      </c>
      <c r="E132" s="103">
        <v>50</v>
      </c>
      <c r="F132" s="104">
        <v>524.92700000000002</v>
      </c>
      <c r="G132" s="105">
        <v>4.740391E-3</v>
      </c>
      <c r="H132" s="67">
        <v>4.2699999999999996</v>
      </c>
    </row>
    <row r="133" spans="1:8" ht="25.5" x14ac:dyDescent="0.2">
      <c r="A133" s="101">
        <v>11</v>
      </c>
      <c r="B133" s="102" t="s">
        <v>853</v>
      </c>
      <c r="C133" s="102" t="s">
        <v>854</v>
      </c>
      <c r="D133" s="102" t="s">
        <v>685</v>
      </c>
      <c r="E133" s="103">
        <v>50</v>
      </c>
      <c r="F133" s="104">
        <v>519.42499999999995</v>
      </c>
      <c r="G133" s="105">
        <v>4.6907049999999999E-3</v>
      </c>
      <c r="H133" s="67">
        <v>4.49</v>
      </c>
    </row>
    <row r="134" spans="1:8" x14ac:dyDescent="0.2">
      <c r="A134" s="101">
        <v>12</v>
      </c>
      <c r="B134" s="102" t="s">
        <v>855</v>
      </c>
      <c r="C134" s="102" t="s">
        <v>856</v>
      </c>
      <c r="D134" s="102" t="s">
        <v>685</v>
      </c>
      <c r="E134" s="103">
        <v>50</v>
      </c>
      <c r="F134" s="104">
        <v>516.96050000000002</v>
      </c>
      <c r="G134" s="105">
        <v>4.6684489999999999E-3</v>
      </c>
      <c r="H134" s="67">
        <v>4.29</v>
      </c>
    </row>
    <row r="135" spans="1:8" ht="25.5" x14ac:dyDescent="0.2">
      <c r="A135" s="101">
        <v>13</v>
      </c>
      <c r="B135" s="102" t="s">
        <v>857</v>
      </c>
      <c r="C135" s="102" t="s">
        <v>858</v>
      </c>
      <c r="D135" s="102" t="s">
        <v>685</v>
      </c>
      <c r="E135" s="103">
        <v>50</v>
      </c>
      <c r="F135" s="104">
        <v>516.90099999999995</v>
      </c>
      <c r="G135" s="105">
        <v>4.6679110000000003E-3</v>
      </c>
      <c r="H135" s="67">
        <v>4.3899999999999997</v>
      </c>
    </row>
    <row r="136" spans="1:8" ht="25.5" x14ac:dyDescent="0.2">
      <c r="A136" s="101">
        <v>14</v>
      </c>
      <c r="B136" s="102" t="s">
        <v>859</v>
      </c>
      <c r="C136" s="102" t="s">
        <v>860</v>
      </c>
      <c r="D136" s="102" t="s">
        <v>685</v>
      </c>
      <c r="E136" s="103">
        <v>50</v>
      </c>
      <c r="F136" s="104">
        <v>505.52749999999997</v>
      </c>
      <c r="G136" s="105">
        <v>4.565202E-3</v>
      </c>
      <c r="H136" s="67">
        <v>3.4550000000000001</v>
      </c>
    </row>
    <row r="137" spans="1:8" x14ac:dyDescent="0.2">
      <c r="A137" s="99"/>
      <c r="B137" s="99"/>
      <c r="C137" s="100" t="s">
        <v>105</v>
      </c>
      <c r="D137" s="99"/>
      <c r="E137" s="99" t="s">
        <v>106</v>
      </c>
      <c r="F137" s="106">
        <v>15399.87</v>
      </c>
      <c r="G137" s="107">
        <v>0.139069627</v>
      </c>
      <c r="H137" s="67"/>
    </row>
    <row r="138" spans="1:8" x14ac:dyDescent="0.2">
      <c r="A138" s="99"/>
      <c r="B138" s="99"/>
      <c r="C138" s="108"/>
      <c r="D138" s="99"/>
      <c r="E138" s="99"/>
      <c r="F138" s="109"/>
      <c r="G138" s="109"/>
      <c r="H138" s="67"/>
    </row>
    <row r="139" spans="1:8" x14ac:dyDescent="0.2">
      <c r="A139" s="99"/>
      <c r="B139" s="99"/>
      <c r="C139" s="100" t="s">
        <v>114</v>
      </c>
      <c r="D139" s="99"/>
      <c r="E139" s="99"/>
      <c r="F139" s="99"/>
      <c r="G139" s="99"/>
      <c r="H139" s="67"/>
    </row>
    <row r="140" spans="1:8" x14ac:dyDescent="0.2">
      <c r="A140" s="99"/>
      <c r="B140" s="99"/>
      <c r="C140" s="100" t="s">
        <v>105</v>
      </c>
      <c r="D140" s="99"/>
      <c r="E140" s="99" t="s">
        <v>106</v>
      </c>
      <c r="F140" s="110">
        <v>0</v>
      </c>
      <c r="G140" s="111">
        <v>0</v>
      </c>
      <c r="H140" s="67"/>
    </row>
    <row r="141" spans="1:8" x14ac:dyDescent="0.2">
      <c r="A141" s="99"/>
      <c r="B141" s="99"/>
      <c r="C141" s="108"/>
      <c r="D141" s="99"/>
      <c r="E141" s="99"/>
      <c r="F141" s="109"/>
      <c r="G141" s="109"/>
      <c r="H141" s="67"/>
    </row>
    <row r="142" spans="1:8" x14ac:dyDescent="0.2">
      <c r="A142" s="99"/>
      <c r="B142" s="99"/>
      <c r="C142" s="100" t="s">
        <v>115</v>
      </c>
      <c r="D142" s="99"/>
      <c r="E142" s="99"/>
      <c r="F142" s="99"/>
      <c r="G142" s="99"/>
      <c r="H142" s="67"/>
    </row>
    <row r="143" spans="1:8" ht="25.5" x14ac:dyDescent="0.2">
      <c r="A143" s="101">
        <v>1</v>
      </c>
      <c r="B143" s="102" t="s">
        <v>715</v>
      </c>
      <c r="C143" s="102" t="s">
        <v>1008</v>
      </c>
      <c r="D143" s="102" t="s">
        <v>716</v>
      </c>
      <c r="E143" s="103">
        <v>1000000</v>
      </c>
      <c r="F143" s="104">
        <v>1064.9770000000001</v>
      </c>
      <c r="G143" s="105">
        <v>9.6173509999999997E-3</v>
      </c>
      <c r="H143" s="67">
        <v>4.4429999999999996</v>
      </c>
    </row>
    <row r="144" spans="1:8" x14ac:dyDescent="0.2">
      <c r="A144" s="99"/>
      <c r="B144" s="99"/>
      <c r="C144" s="100" t="s">
        <v>105</v>
      </c>
      <c r="D144" s="99"/>
      <c r="E144" s="99" t="s">
        <v>106</v>
      </c>
      <c r="F144" s="106">
        <v>1064.9770000000001</v>
      </c>
      <c r="G144" s="107">
        <v>9.6173509999999997E-3</v>
      </c>
      <c r="H144" s="67"/>
    </row>
    <row r="145" spans="1:8" x14ac:dyDescent="0.2">
      <c r="A145" s="99"/>
      <c r="B145" s="99"/>
      <c r="C145" s="108"/>
      <c r="D145" s="99"/>
      <c r="E145" s="99"/>
      <c r="F145" s="109"/>
      <c r="G145" s="109"/>
      <c r="H145" s="67"/>
    </row>
    <row r="146" spans="1:8" x14ac:dyDescent="0.2">
      <c r="A146" s="99"/>
      <c r="B146" s="99"/>
      <c r="C146" s="100" t="s">
        <v>116</v>
      </c>
      <c r="D146" s="99"/>
      <c r="E146" s="99"/>
      <c r="F146" s="109"/>
      <c r="G146" s="109"/>
      <c r="H146" s="67"/>
    </row>
    <row r="147" spans="1:8" x14ac:dyDescent="0.2">
      <c r="A147" s="99"/>
      <c r="B147" s="99"/>
      <c r="C147" s="100" t="s">
        <v>105</v>
      </c>
      <c r="D147" s="99"/>
      <c r="E147" s="99" t="s">
        <v>106</v>
      </c>
      <c r="F147" s="110">
        <v>0</v>
      </c>
      <c r="G147" s="111">
        <v>0</v>
      </c>
      <c r="H147" s="67"/>
    </row>
    <row r="148" spans="1:8" x14ac:dyDescent="0.2">
      <c r="A148" s="99"/>
      <c r="B148" s="99"/>
      <c r="C148" s="108"/>
      <c r="D148" s="99"/>
      <c r="E148" s="99"/>
      <c r="F148" s="109"/>
      <c r="G148" s="109"/>
      <c r="H148" s="67"/>
    </row>
    <row r="149" spans="1:8" x14ac:dyDescent="0.2">
      <c r="A149" s="99"/>
      <c r="B149" s="99"/>
      <c r="C149" s="100" t="s">
        <v>117</v>
      </c>
      <c r="D149" s="99"/>
      <c r="E149" s="99"/>
      <c r="F149" s="106">
        <v>16464.847000000002</v>
      </c>
      <c r="G149" s="107">
        <v>0.148686978</v>
      </c>
      <c r="H149" s="67"/>
    </row>
    <row r="150" spans="1:8" x14ac:dyDescent="0.2">
      <c r="A150" s="99"/>
      <c r="B150" s="99"/>
      <c r="C150" s="108"/>
      <c r="D150" s="99"/>
      <c r="E150" s="99"/>
      <c r="F150" s="109"/>
      <c r="G150" s="109"/>
      <c r="H150" s="67"/>
    </row>
    <row r="151" spans="1:8" x14ac:dyDescent="0.2">
      <c r="A151" s="99"/>
      <c r="B151" s="99"/>
      <c r="C151" s="100" t="s">
        <v>118</v>
      </c>
      <c r="D151" s="99"/>
      <c r="E151" s="99"/>
      <c r="F151" s="109"/>
      <c r="G151" s="109"/>
      <c r="H151" s="67"/>
    </row>
    <row r="152" spans="1:8" x14ac:dyDescent="0.2">
      <c r="A152" s="99"/>
      <c r="B152" s="99"/>
      <c r="C152" s="100" t="s">
        <v>119</v>
      </c>
      <c r="D152" s="99"/>
      <c r="E152" s="99"/>
      <c r="F152" s="109"/>
      <c r="G152" s="109"/>
      <c r="H152" s="67"/>
    </row>
    <row r="153" spans="1:8" x14ac:dyDescent="0.2">
      <c r="A153" s="99"/>
      <c r="B153" s="99"/>
      <c r="C153" s="100" t="s">
        <v>105</v>
      </c>
      <c r="D153" s="99"/>
      <c r="E153" s="99" t="s">
        <v>106</v>
      </c>
      <c r="F153" s="110">
        <v>0</v>
      </c>
      <c r="G153" s="111">
        <v>0</v>
      </c>
      <c r="H153" s="67"/>
    </row>
    <row r="154" spans="1:8" x14ac:dyDescent="0.2">
      <c r="A154" s="99"/>
      <c r="B154" s="99"/>
      <c r="C154" s="108"/>
      <c r="D154" s="99"/>
      <c r="E154" s="99"/>
      <c r="F154" s="109"/>
      <c r="G154" s="109"/>
      <c r="H154" s="67"/>
    </row>
    <row r="155" spans="1:8" x14ac:dyDescent="0.2">
      <c r="A155" s="99"/>
      <c r="B155" s="99"/>
      <c r="C155" s="100" t="s">
        <v>120</v>
      </c>
      <c r="D155" s="99"/>
      <c r="E155" s="99"/>
      <c r="F155" s="109"/>
      <c r="G155" s="109"/>
      <c r="H155" s="67"/>
    </row>
    <row r="156" spans="1:8" x14ac:dyDescent="0.2">
      <c r="A156" s="101">
        <v>1</v>
      </c>
      <c r="B156" s="102" t="s">
        <v>861</v>
      </c>
      <c r="C156" s="102" t="s">
        <v>862</v>
      </c>
      <c r="D156" s="102" t="s">
        <v>863</v>
      </c>
      <c r="E156" s="103">
        <v>300</v>
      </c>
      <c r="F156" s="104">
        <v>1475.2755</v>
      </c>
      <c r="G156" s="105">
        <v>1.3322581E-2</v>
      </c>
      <c r="H156" s="67">
        <v>3.6850000000000001</v>
      </c>
    </row>
    <row r="157" spans="1:8" x14ac:dyDescent="0.2">
      <c r="A157" s="99"/>
      <c r="B157" s="99"/>
      <c r="C157" s="100" t="s">
        <v>105</v>
      </c>
      <c r="D157" s="99"/>
      <c r="E157" s="99" t="s">
        <v>106</v>
      </c>
      <c r="F157" s="106">
        <v>1475.2755</v>
      </c>
      <c r="G157" s="107">
        <v>1.3322581E-2</v>
      </c>
      <c r="H157" s="67"/>
    </row>
    <row r="158" spans="1:8" x14ac:dyDescent="0.2">
      <c r="A158" s="99"/>
      <c r="B158" s="99"/>
      <c r="C158" s="108"/>
      <c r="D158" s="99"/>
      <c r="E158" s="99"/>
      <c r="F158" s="109"/>
      <c r="G158" s="109"/>
      <c r="H158" s="67"/>
    </row>
    <row r="159" spans="1:8" x14ac:dyDescent="0.2">
      <c r="A159" s="99"/>
      <c r="B159" s="99"/>
      <c r="C159" s="100" t="s">
        <v>121</v>
      </c>
      <c r="D159" s="99"/>
      <c r="E159" s="99"/>
      <c r="F159" s="109"/>
      <c r="G159" s="109"/>
      <c r="H159" s="67"/>
    </row>
    <row r="160" spans="1:8" x14ac:dyDescent="0.2">
      <c r="A160" s="99"/>
      <c r="B160" s="99"/>
      <c r="C160" s="100" t="s">
        <v>105</v>
      </c>
      <c r="D160" s="99"/>
      <c r="E160" s="99" t="s">
        <v>106</v>
      </c>
      <c r="F160" s="110">
        <v>0</v>
      </c>
      <c r="G160" s="111">
        <v>0</v>
      </c>
      <c r="H160" s="67"/>
    </row>
    <row r="161" spans="1:8" x14ac:dyDescent="0.2">
      <c r="A161" s="99"/>
      <c r="B161" s="99"/>
      <c r="C161" s="108"/>
      <c r="D161" s="99"/>
      <c r="E161" s="99"/>
      <c r="F161" s="109"/>
      <c r="G161" s="109"/>
      <c r="H161" s="67"/>
    </row>
    <row r="162" spans="1:8" x14ac:dyDescent="0.2">
      <c r="A162" s="99"/>
      <c r="B162" s="99"/>
      <c r="C162" s="100" t="s">
        <v>122</v>
      </c>
      <c r="D162" s="99"/>
      <c r="E162" s="99"/>
      <c r="F162" s="109"/>
      <c r="G162" s="109"/>
      <c r="H162" s="67"/>
    </row>
    <row r="163" spans="1:8" x14ac:dyDescent="0.2">
      <c r="A163" s="101">
        <v>1</v>
      </c>
      <c r="B163" s="102"/>
      <c r="C163" s="102" t="s">
        <v>123</v>
      </c>
      <c r="D163" s="102"/>
      <c r="E163" s="112"/>
      <c r="F163" s="104">
        <v>2480.9167699999998</v>
      </c>
      <c r="G163" s="105">
        <v>2.2404095999999998E-2</v>
      </c>
      <c r="H163" s="67">
        <v>3.1047477660654299</v>
      </c>
    </row>
    <row r="164" spans="1:8" x14ac:dyDescent="0.2">
      <c r="A164" s="99"/>
      <c r="B164" s="99"/>
      <c r="C164" s="100" t="s">
        <v>105</v>
      </c>
      <c r="D164" s="99"/>
      <c r="E164" s="99" t="s">
        <v>106</v>
      </c>
      <c r="F164" s="106">
        <v>2480.9167699999998</v>
      </c>
      <c r="G164" s="107">
        <v>2.2404095999999998E-2</v>
      </c>
      <c r="H164" s="67"/>
    </row>
    <row r="165" spans="1:8" x14ac:dyDescent="0.2">
      <c r="A165" s="99"/>
      <c r="B165" s="99"/>
      <c r="C165" s="108"/>
      <c r="D165" s="99"/>
      <c r="E165" s="99"/>
      <c r="F165" s="109"/>
      <c r="G165" s="109"/>
      <c r="H165" s="67"/>
    </row>
    <row r="166" spans="1:8" x14ac:dyDescent="0.2">
      <c r="A166" s="99"/>
      <c r="B166" s="99"/>
      <c r="C166" s="100" t="s">
        <v>124</v>
      </c>
      <c r="D166" s="99"/>
      <c r="E166" s="99"/>
      <c r="F166" s="106">
        <v>3956.19227</v>
      </c>
      <c r="G166" s="107">
        <v>3.5726676999999998E-2</v>
      </c>
      <c r="H166" s="67"/>
    </row>
    <row r="167" spans="1:8" x14ac:dyDescent="0.2">
      <c r="A167" s="99"/>
      <c r="B167" s="99"/>
      <c r="C167" s="109"/>
      <c r="D167" s="99"/>
      <c r="E167" s="99"/>
      <c r="F167" s="99"/>
      <c r="G167" s="99"/>
      <c r="H167" s="67"/>
    </row>
    <row r="168" spans="1:8" x14ac:dyDescent="0.2">
      <c r="A168" s="99"/>
      <c r="B168" s="99"/>
      <c r="C168" s="100" t="s">
        <v>125</v>
      </c>
      <c r="D168" s="99"/>
      <c r="E168" s="99"/>
      <c r="F168" s="99"/>
      <c r="G168" s="99"/>
      <c r="H168" s="67"/>
    </row>
    <row r="169" spans="1:8" x14ac:dyDescent="0.2">
      <c r="A169" s="99"/>
      <c r="B169" s="99"/>
      <c r="C169" s="100" t="s">
        <v>126</v>
      </c>
      <c r="D169" s="99"/>
      <c r="E169" s="99"/>
      <c r="F169" s="99"/>
      <c r="G169" s="99"/>
      <c r="H169" s="67"/>
    </row>
    <row r="170" spans="1:8" x14ac:dyDescent="0.2">
      <c r="A170" s="99"/>
      <c r="B170" s="99"/>
      <c r="C170" s="100" t="s">
        <v>105</v>
      </c>
      <c r="D170" s="99"/>
      <c r="E170" s="99" t="s">
        <v>106</v>
      </c>
      <c r="F170" s="110">
        <v>0</v>
      </c>
      <c r="G170" s="111">
        <v>0</v>
      </c>
      <c r="H170" s="67"/>
    </row>
    <row r="171" spans="1:8" x14ac:dyDescent="0.2">
      <c r="A171" s="99"/>
      <c r="B171" s="99"/>
      <c r="C171" s="108"/>
      <c r="D171" s="99"/>
      <c r="E171" s="99"/>
      <c r="F171" s="109"/>
      <c r="G171" s="109"/>
      <c r="H171" s="67"/>
    </row>
    <row r="172" spans="1:8" x14ac:dyDescent="0.2">
      <c r="A172" s="99"/>
      <c r="B172" s="99"/>
      <c r="C172" s="100" t="s">
        <v>127</v>
      </c>
      <c r="D172" s="99"/>
      <c r="E172" s="99"/>
      <c r="F172" s="99"/>
      <c r="G172" s="99"/>
      <c r="H172" s="67"/>
    </row>
    <row r="173" spans="1:8" x14ac:dyDescent="0.2">
      <c r="A173" s="99"/>
      <c r="B173" s="99"/>
      <c r="C173" s="100" t="s">
        <v>128</v>
      </c>
      <c r="D173" s="99"/>
      <c r="E173" s="99"/>
      <c r="F173" s="99"/>
      <c r="G173" s="99"/>
      <c r="H173" s="67"/>
    </row>
    <row r="174" spans="1:8" x14ac:dyDescent="0.2">
      <c r="A174" s="99"/>
      <c r="B174" s="99"/>
      <c r="C174" s="100" t="s">
        <v>105</v>
      </c>
      <c r="D174" s="99"/>
      <c r="E174" s="99" t="s">
        <v>106</v>
      </c>
      <c r="F174" s="110">
        <v>0</v>
      </c>
      <c r="G174" s="111">
        <v>0</v>
      </c>
      <c r="H174" s="67"/>
    </row>
    <row r="175" spans="1:8" x14ac:dyDescent="0.2">
      <c r="A175" s="99"/>
      <c r="B175" s="99"/>
      <c r="C175" s="108"/>
      <c r="D175" s="99"/>
      <c r="E175" s="99"/>
      <c r="F175" s="109"/>
      <c r="G175" s="109"/>
      <c r="H175" s="67"/>
    </row>
    <row r="176" spans="1:8" ht="25.5" x14ac:dyDescent="0.2">
      <c r="A176" s="99"/>
      <c r="B176" s="99"/>
      <c r="C176" s="100" t="s">
        <v>129</v>
      </c>
      <c r="D176" s="99"/>
      <c r="E176" s="99"/>
      <c r="F176" s="109"/>
      <c r="G176" s="109"/>
      <c r="H176" s="67"/>
    </row>
    <row r="177" spans="1:8" x14ac:dyDescent="0.2">
      <c r="A177" s="99"/>
      <c r="B177" s="99"/>
      <c r="C177" s="100" t="s">
        <v>105</v>
      </c>
      <c r="D177" s="99"/>
      <c r="E177" s="99" t="s">
        <v>106</v>
      </c>
      <c r="F177" s="110">
        <v>0</v>
      </c>
      <c r="G177" s="111">
        <v>0</v>
      </c>
      <c r="H177" s="67"/>
    </row>
    <row r="178" spans="1:8" x14ac:dyDescent="0.2">
      <c r="A178" s="99"/>
      <c r="B178" s="99"/>
      <c r="C178" s="108"/>
      <c r="D178" s="99"/>
      <c r="E178" s="99"/>
      <c r="F178" s="109"/>
      <c r="G178" s="109"/>
      <c r="H178" s="67"/>
    </row>
    <row r="179" spans="1:8" x14ac:dyDescent="0.2">
      <c r="A179" s="112"/>
      <c r="B179" s="102"/>
      <c r="C179" s="102" t="s">
        <v>692</v>
      </c>
      <c r="D179" s="102"/>
      <c r="E179" s="112"/>
      <c r="F179" s="104">
        <v>8035.5857265000004</v>
      </c>
      <c r="G179" s="105">
        <v>7.2565931E-2</v>
      </c>
      <c r="H179" s="67"/>
    </row>
    <row r="180" spans="1:8" x14ac:dyDescent="0.2">
      <c r="A180" s="112"/>
      <c r="B180" s="102"/>
      <c r="C180" s="102" t="s">
        <v>864</v>
      </c>
      <c r="D180" s="102"/>
      <c r="E180" s="112"/>
      <c r="F180" s="104">
        <v>90.88203148006869</v>
      </c>
      <c r="G180" s="105">
        <v>8.2071668332743704E-4</v>
      </c>
      <c r="H180" s="67"/>
    </row>
    <row r="181" spans="1:8" x14ac:dyDescent="0.2">
      <c r="A181" s="108"/>
      <c r="B181" s="108"/>
      <c r="C181" s="100" t="s">
        <v>131</v>
      </c>
      <c r="D181" s="109"/>
      <c r="E181" s="109"/>
      <c r="F181" s="106">
        <v>110734.96290048001</v>
      </c>
      <c r="G181" s="107">
        <v>0.99999999868332756</v>
      </c>
      <c r="H181" s="67"/>
    </row>
    <row r="182" spans="1:8" ht="14.1" customHeight="1" x14ac:dyDescent="0.2">
      <c r="A182" s="113"/>
      <c r="B182" s="113"/>
      <c r="C182" s="113"/>
      <c r="D182" s="114"/>
      <c r="E182" s="114"/>
      <c r="F182" s="116"/>
      <c r="G182" s="114"/>
    </row>
    <row r="183" spans="1:8" ht="17.100000000000001" customHeight="1" x14ac:dyDescent="0.2">
      <c r="A183" s="115"/>
      <c r="B183" s="177" t="s">
        <v>865</v>
      </c>
      <c r="C183" s="177"/>
      <c r="D183" s="177"/>
      <c r="E183" s="177"/>
      <c r="F183" s="177"/>
      <c r="G183" s="116"/>
    </row>
    <row r="184" spans="1:8" ht="17.100000000000001" customHeight="1" x14ac:dyDescent="0.2">
      <c r="A184" s="115"/>
      <c r="B184" s="177" t="s">
        <v>866</v>
      </c>
      <c r="C184" s="177"/>
      <c r="D184" s="177"/>
      <c r="E184" s="177"/>
      <c r="F184" s="177"/>
      <c r="G184" s="116"/>
    </row>
    <row r="185" spans="1:8" ht="14.1" customHeight="1" x14ac:dyDescent="0.2">
      <c r="A185" s="115"/>
      <c r="B185" s="177" t="s">
        <v>106</v>
      </c>
      <c r="C185" s="177"/>
      <c r="D185" s="177"/>
      <c r="E185" s="177"/>
      <c r="F185" s="177"/>
      <c r="G185" s="116"/>
    </row>
    <row r="186" spans="1:8" ht="14.1" customHeight="1" x14ac:dyDescent="0.2">
      <c r="A186" s="115"/>
      <c r="B186" s="115"/>
      <c r="C186" s="115"/>
      <c r="D186" s="116"/>
      <c r="E186" s="116"/>
      <c r="F186" s="116"/>
      <c r="G186" s="116"/>
    </row>
    <row r="187" spans="1:8" ht="14.1" customHeight="1" x14ac:dyDescent="0.2">
      <c r="A187" s="115"/>
      <c r="B187" s="181" t="s">
        <v>133</v>
      </c>
      <c r="C187" s="182"/>
      <c r="D187" s="183"/>
      <c r="E187" s="117"/>
      <c r="F187" s="116"/>
      <c r="G187" s="116"/>
    </row>
    <row r="188" spans="1:8" ht="29.1" customHeight="1" x14ac:dyDescent="0.2">
      <c r="A188" s="115"/>
      <c r="B188" s="179" t="s">
        <v>134</v>
      </c>
      <c r="C188" s="180"/>
      <c r="D188" s="100" t="s">
        <v>135</v>
      </c>
      <c r="E188" s="117"/>
      <c r="F188" s="116"/>
      <c r="G188" s="116"/>
    </row>
    <row r="189" spans="1:8" ht="17.100000000000001" customHeight="1" x14ac:dyDescent="0.2">
      <c r="A189" s="115"/>
      <c r="B189" s="179" t="s">
        <v>136</v>
      </c>
      <c r="C189" s="180"/>
      <c r="D189" s="100" t="s">
        <v>135</v>
      </c>
      <c r="E189" s="117"/>
      <c r="F189" s="116"/>
      <c r="G189" s="116"/>
    </row>
    <row r="190" spans="1:8" ht="17.100000000000001" customHeight="1" x14ac:dyDescent="0.2">
      <c r="A190" s="115"/>
      <c r="B190" s="179" t="s">
        <v>137</v>
      </c>
      <c r="C190" s="180"/>
      <c r="D190" s="109" t="s">
        <v>106</v>
      </c>
      <c r="E190" s="117"/>
      <c r="F190" s="116"/>
      <c r="G190" s="116"/>
    </row>
    <row r="191" spans="1:8" ht="24" customHeight="1" x14ac:dyDescent="0.2">
      <c r="A191" s="118"/>
      <c r="B191" s="119" t="s">
        <v>106</v>
      </c>
      <c r="C191" s="119" t="s">
        <v>138</v>
      </c>
      <c r="D191" s="119" t="s">
        <v>139</v>
      </c>
      <c r="E191" s="118"/>
      <c r="F191" s="118"/>
      <c r="G191" s="118"/>
    </row>
    <row r="192" spans="1:8" ht="18" customHeight="1" x14ac:dyDescent="0.2">
      <c r="A192" s="118"/>
      <c r="B192" s="120" t="s">
        <v>140</v>
      </c>
      <c r="C192" s="119" t="s">
        <v>141</v>
      </c>
      <c r="D192" s="119" t="s">
        <v>142</v>
      </c>
      <c r="E192" s="118"/>
      <c r="F192" s="118"/>
      <c r="G192" s="118"/>
    </row>
    <row r="193" spans="1:7" ht="17.100000000000001" customHeight="1" x14ac:dyDescent="0.2">
      <c r="A193" s="118"/>
      <c r="B193" s="102" t="s">
        <v>143</v>
      </c>
      <c r="C193" s="121">
        <v>14.4116</v>
      </c>
      <c r="D193" s="121">
        <v>14.8264</v>
      </c>
      <c r="E193" s="118"/>
      <c r="F193" s="122"/>
      <c r="G193" s="123"/>
    </row>
    <row r="194" spans="1:7" ht="17.100000000000001" customHeight="1" x14ac:dyDescent="0.2">
      <c r="A194" s="118"/>
      <c r="B194" s="102" t="s">
        <v>988</v>
      </c>
      <c r="C194" s="121">
        <v>13.412699999999999</v>
      </c>
      <c r="D194" s="121">
        <v>13.7987</v>
      </c>
      <c r="E194" s="118"/>
      <c r="F194" s="122"/>
      <c r="G194" s="123"/>
    </row>
    <row r="195" spans="1:7" ht="17.100000000000001" customHeight="1" x14ac:dyDescent="0.2">
      <c r="A195" s="118"/>
      <c r="B195" s="102" t="s">
        <v>144</v>
      </c>
      <c r="C195" s="121">
        <v>14.0312</v>
      </c>
      <c r="D195" s="121">
        <v>14.411799999999999</v>
      </c>
      <c r="E195" s="118"/>
      <c r="F195" s="122"/>
      <c r="G195" s="123"/>
    </row>
    <row r="196" spans="1:7" ht="17.100000000000001" customHeight="1" x14ac:dyDescent="0.2">
      <c r="A196" s="118"/>
      <c r="B196" s="102" t="s">
        <v>989</v>
      </c>
      <c r="C196" s="121">
        <v>13.057499999999999</v>
      </c>
      <c r="D196" s="121">
        <v>13.4117</v>
      </c>
      <c r="E196" s="118"/>
      <c r="F196" s="122"/>
      <c r="G196" s="123"/>
    </row>
    <row r="197" spans="1:7" ht="14.1" customHeight="1" x14ac:dyDescent="0.2">
      <c r="A197" s="118"/>
      <c r="B197" s="118"/>
      <c r="C197" s="118"/>
      <c r="D197" s="118"/>
      <c r="E197" s="118"/>
      <c r="F197" s="118"/>
      <c r="G197" s="118"/>
    </row>
    <row r="198" spans="1:7" ht="17.100000000000001" customHeight="1" x14ac:dyDescent="0.2">
      <c r="A198" s="118"/>
      <c r="B198" s="179" t="s">
        <v>990</v>
      </c>
      <c r="C198" s="180"/>
      <c r="D198" s="100" t="s">
        <v>135</v>
      </c>
      <c r="E198" s="118"/>
      <c r="F198" s="118"/>
      <c r="G198" s="118"/>
    </row>
    <row r="199" spans="1:7" ht="18" customHeight="1" x14ac:dyDescent="0.2">
      <c r="A199" s="118"/>
      <c r="B199" s="124"/>
      <c r="C199" s="124"/>
      <c r="D199" s="124"/>
      <c r="E199" s="118"/>
      <c r="F199" s="118"/>
      <c r="G199" s="118"/>
    </row>
    <row r="200" spans="1:7" s="158" customFormat="1" x14ac:dyDescent="0.2">
      <c r="B200" s="167" t="s">
        <v>822</v>
      </c>
      <c r="C200" s="167"/>
      <c r="D200" s="167"/>
      <c r="E200" s="167"/>
      <c r="F200" s="167"/>
    </row>
    <row r="201" spans="1:7" ht="14.1" customHeight="1" x14ac:dyDescent="0.2">
      <c r="A201" s="118"/>
      <c r="B201" s="122"/>
      <c r="C201" s="122"/>
      <c r="D201" s="118"/>
      <c r="E201" s="118"/>
      <c r="F201" s="118"/>
      <c r="G201" s="118"/>
    </row>
    <row r="202" spans="1:7" ht="29.1" customHeight="1" x14ac:dyDescent="0.2">
      <c r="A202" s="118"/>
      <c r="B202" s="179" t="s">
        <v>146</v>
      </c>
      <c r="C202" s="180"/>
      <c r="D202" s="2" t="s">
        <v>962</v>
      </c>
      <c r="E202" s="125"/>
      <c r="F202" s="118"/>
      <c r="G202" s="118"/>
    </row>
    <row r="203" spans="1:7" ht="29.1" customHeight="1" x14ac:dyDescent="0.2">
      <c r="A203" s="118"/>
      <c r="B203" s="179" t="s">
        <v>147</v>
      </c>
      <c r="C203" s="180"/>
      <c r="D203" s="100" t="s">
        <v>135</v>
      </c>
      <c r="E203" s="125"/>
      <c r="F203" s="118"/>
      <c r="G203" s="118"/>
    </row>
    <row r="204" spans="1:7" ht="17.100000000000001" customHeight="1" x14ac:dyDescent="0.2">
      <c r="A204" s="118"/>
      <c r="B204" s="175" t="s">
        <v>964</v>
      </c>
      <c r="C204" s="176"/>
      <c r="D204" s="126">
        <v>0.94912367793312169</v>
      </c>
      <c r="E204" s="125"/>
      <c r="F204" s="118"/>
      <c r="G204" s="118"/>
    </row>
    <row r="205" spans="1:7" ht="17.100000000000001" customHeight="1" x14ac:dyDescent="0.2">
      <c r="A205" s="118"/>
      <c r="B205" s="175" t="s">
        <v>965</v>
      </c>
      <c r="C205" s="176"/>
      <c r="D205" s="126">
        <v>0.89937656706070523</v>
      </c>
      <c r="E205" s="125"/>
      <c r="F205" s="118"/>
      <c r="G205" s="118"/>
    </row>
    <row r="206" spans="1:7" ht="17.100000000000001" customHeight="1" x14ac:dyDescent="0.2">
      <c r="A206" s="118"/>
      <c r="B206" s="179" t="s">
        <v>867</v>
      </c>
      <c r="C206" s="180"/>
      <c r="D206" s="100" t="s">
        <v>135</v>
      </c>
      <c r="E206" s="125"/>
      <c r="F206" s="118"/>
      <c r="G206" s="118"/>
    </row>
    <row r="207" spans="1:7" ht="17.100000000000001" customHeight="1" x14ac:dyDescent="0.2">
      <c r="A207" s="118"/>
      <c r="B207" s="179" t="s">
        <v>963</v>
      </c>
      <c r="C207" s="180"/>
      <c r="D207" s="27">
        <v>3.7440254046025583</v>
      </c>
      <c r="E207" s="118"/>
      <c r="F207" s="122"/>
      <c r="G207" s="123"/>
    </row>
    <row r="208" spans="1:7" ht="11.1" customHeight="1" x14ac:dyDescent="0.2">
      <c r="A208" s="124"/>
      <c r="B208" s="124"/>
      <c r="C208" s="124"/>
      <c r="D208" s="124"/>
      <c r="E208" s="124"/>
      <c r="F208" s="124"/>
      <c r="G208" s="124"/>
    </row>
  </sheetData>
  <mergeCells count="18">
    <mergeCell ref="B202:C202"/>
    <mergeCell ref="B183:F183"/>
    <mergeCell ref="B184:F184"/>
    <mergeCell ref="B185:F185"/>
    <mergeCell ref="A1:H1"/>
    <mergeCell ref="A2:H2"/>
    <mergeCell ref="A3:H3"/>
    <mergeCell ref="B187:D187"/>
    <mergeCell ref="B188:C188"/>
    <mergeCell ref="B189:C189"/>
    <mergeCell ref="B190:C190"/>
    <mergeCell ref="B198:C198"/>
    <mergeCell ref="B200:F200"/>
    <mergeCell ref="B203:C203"/>
    <mergeCell ref="B204:C204"/>
    <mergeCell ref="B205:C205"/>
    <mergeCell ref="B206:C206"/>
    <mergeCell ref="B207:C207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2E8D-366E-4289-983D-1FCED95657E2}">
  <sheetPr>
    <outlinePr summaryBelow="0" summaryRight="0"/>
  </sheetPr>
  <dimension ref="A1:I184"/>
  <sheetViews>
    <sheetView showGridLines="0" workbookViewId="0">
      <selection sqref="A1:I1"/>
    </sheetView>
  </sheetViews>
  <sheetFormatPr defaultRowHeight="12.75" x14ac:dyDescent="0.2"/>
  <cols>
    <col min="1" max="1" width="6.85546875" style="98" customWidth="1"/>
    <col min="2" max="2" width="20.5703125" style="98" customWidth="1"/>
    <col min="3" max="3" width="34.28515625" style="98" customWidth="1"/>
    <col min="4" max="4" width="17.85546875" style="98" customWidth="1"/>
    <col min="5" max="6" width="19.140625" style="98" customWidth="1"/>
    <col min="7" max="7" width="16.42578125" style="98" customWidth="1"/>
    <col min="8" max="16384" width="9.140625" style="98"/>
  </cols>
  <sheetData>
    <row r="1" spans="1:9" ht="18" customHeight="1" x14ac:dyDescent="0.2">
      <c r="A1" s="189" t="s">
        <v>0</v>
      </c>
      <c r="B1" s="189"/>
      <c r="C1" s="189"/>
      <c r="D1" s="189"/>
      <c r="E1" s="189"/>
      <c r="F1" s="189"/>
      <c r="G1" s="189"/>
      <c r="H1" s="189"/>
      <c r="I1" s="189"/>
    </row>
    <row r="2" spans="1:9" ht="17.100000000000001" customHeight="1" x14ac:dyDescent="0.2">
      <c r="A2" s="189" t="s">
        <v>780</v>
      </c>
      <c r="B2" s="189"/>
      <c r="C2" s="189"/>
      <c r="D2" s="189"/>
      <c r="E2" s="189"/>
      <c r="F2" s="189"/>
      <c r="G2" s="189"/>
      <c r="H2" s="189"/>
      <c r="I2" s="189"/>
    </row>
    <row r="3" spans="1:9" ht="21" customHeight="1" x14ac:dyDescent="0.2">
      <c r="A3" s="189" t="s">
        <v>977</v>
      </c>
      <c r="B3" s="189"/>
      <c r="C3" s="189"/>
      <c r="D3" s="189"/>
      <c r="E3" s="189"/>
      <c r="F3" s="189"/>
      <c r="G3" s="189"/>
      <c r="H3" s="189"/>
      <c r="I3" s="189"/>
    </row>
    <row r="4" spans="1:9" s="162" customFormat="1" ht="45" x14ac:dyDescent="0.2">
      <c r="A4" s="161" t="s">
        <v>2</v>
      </c>
      <c r="B4" s="161" t="s">
        <v>3</v>
      </c>
      <c r="C4" s="161" t="s">
        <v>4</v>
      </c>
      <c r="D4" s="161" t="s">
        <v>5</v>
      </c>
      <c r="E4" s="161" t="s">
        <v>6</v>
      </c>
      <c r="F4" s="161" t="s">
        <v>7</v>
      </c>
      <c r="G4" s="161" t="s">
        <v>8</v>
      </c>
      <c r="H4" s="147" t="s">
        <v>808</v>
      </c>
      <c r="I4" s="149" t="s">
        <v>987</v>
      </c>
    </row>
    <row r="5" spans="1:9" x14ac:dyDescent="0.2">
      <c r="A5" s="99"/>
      <c r="B5" s="99"/>
      <c r="C5" s="100" t="s">
        <v>9</v>
      </c>
      <c r="D5" s="99"/>
      <c r="E5" s="99"/>
      <c r="F5" s="99"/>
      <c r="G5" s="99"/>
      <c r="H5" s="67"/>
      <c r="I5" s="137"/>
    </row>
    <row r="6" spans="1:9" ht="25.5" x14ac:dyDescent="0.2">
      <c r="A6" s="99"/>
      <c r="B6" s="99"/>
      <c r="C6" s="100" t="s">
        <v>10</v>
      </c>
      <c r="D6" s="99"/>
      <c r="E6" s="99"/>
      <c r="F6" s="99"/>
      <c r="G6" s="99"/>
      <c r="H6" s="67"/>
      <c r="I6" s="137"/>
    </row>
    <row r="7" spans="1:9" x14ac:dyDescent="0.2">
      <c r="A7" s="101">
        <v>1</v>
      </c>
      <c r="B7" s="102" t="s">
        <v>400</v>
      </c>
      <c r="C7" s="102" t="s">
        <v>401</v>
      </c>
      <c r="D7" s="102" t="s">
        <v>166</v>
      </c>
      <c r="E7" s="103">
        <v>704290</v>
      </c>
      <c r="F7" s="104">
        <v>12018.356705</v>
      </c>
      <c r="G7" s="105">
        <v>6.2536463E-2</v>
      </c>
      <c r="H7" s="67"/>
      <c r="I7" s="137"/>
    </row>
    <row r="8" spans="1:9" x14ac:dyDescent="0.2">
      <c r="A8" s="101">
        <v>2</v>
      </c>
      <c r="B8" s="102" t="s">
        <v>22</v>
      </c>
      <c r="C8" s="102" t="s">
        <v>23</v>
      </c>
      <c r="D8" s="102" t="s">
        <v>24</v>
      </c>
      <c r="E8" s="103">
        <v>1367321</v>
      </c>
      <c r="F8" s="104">
        <v>9831.7216504999997</v>
      </c>
      <c r="G8" s="105">
        <v>5.1158500000000003E-2</v>
      </c>
      <c r="H8" s="67"/>
      <c r="I8" s="137"/>
    </row>
    <row r="9" spans="1:9" x14ac:dyDescent="0.2">
      <c r="A9" s="101">
        <v>3</v>
      </c>
      <c r="B9" s="102" t="s">
        <v>398</v>
      </c>
      <c r="C9" s="102" t="s">
        <v>399</v>
      </c>
      <c r="D9" s="102" t="s">
        <v>24</v>
      </c>
      <c r="E9" s="103">
        <v>613861</v>
      </c>
      <c r="F9" s="104">
        <v>9707.5978539999996</v>
      </c>
      <c r="G9" s="105">
        <v>5.0512633000000001E-2</v>
      </c>
      <c r="H9" s="67"/>
      <c r="I9" s="137"/>
    </row>
    <row r="10" spans="1:9" x14ac:dyDescent="0.2">
      <c r="A10" s="101">
        <v>4</v>
      </c>
      <c r="B10" s="102" t="s">
        <v>11</v>
      </c>
      <c r="C10" s="102" t="s">
        <v>12</v>
      </c>
      <c r="D10" s="102" t="s">
        <v>13</v>
      </c>
      <c r="E10" s="103">
        <v>369779</v>
      </c>
      <c r="F10" s="104">
        <v>6183.4444380000004</v>
      </c>
      <c r="G10" s="105">
        <v>3.2175009999999997E-2</v>
      </c>
      <c r="H10" s="67"/>
      <c r="I10" s="137"/>
    </row>
    <row r="11" spans="1:9" x14ac:dyDescent="0.2">
      <c r="A11" s="101">
        <v>5</v>
      </c>
      <c r="B11" s="102" t="s">
        <v>404</v>
      </c>
      <c r="C11" s="102" t="s">
        <v>405</v>
      </c>
      <c r="D11" s="102" t="s">
        <v>24</v>
      </c>
      <c r="E11" s="103">
        <v>1190548</v>
      </c>
      <c r="F11" s="104">
        <v>5072.3297540000003</v>
      </c>
      <c r="G11" s="105">
        <v>2.6393422E-2</v>
      </c>
      <c r="H11" s="67"/>
      <c r="I11" s="137"/>
    </row>
    <row r="12" spans="1:9" x14ac:dyDescent="0.2">
      <c r="A12" s="101">
        <v>6</v>
      </c>
      <c r="B12" s="102" t="s">
        <v>439</v>
      </c>
      <c r="C12" s="102" t="s">
        <v>440</v>
      </c>
      <c r="D12" s="102" t="s">
        <v>27</v>
      </c>
      <c r="E12" s="103">
        <v>243881</v>
      </c>
      <c r="F12" s="104">
        <v>4977.8550910000004</v>
      </c>
      <c r="G12" s="105">
        <v>2.5901832E-2</v>
      </c>
      <c r="H12" s="67"/>
      <c r="I12" s="137"/>
    </row>
    <row r="13" spans="1:9" ht="25.5" x14ac:dyDescent="0.2">
      <c r="A13" s="101">
        <v>7</v>
      </c>
      <c r="B13" s="102" t="s">
        <v>402</v>
      </c>
      <c r="C13" s="102" t="s">
        <v>403</v>
      </c>
      <c r="D13" s="102" t="s">
        <v>81</v>
      </c>
      <c r="E13" s="103">
        <v>171620</v>
      </c>
      <c r="F13" s="104">
        <v>4802.7857000000004</v>
      </c>
      <c r="G13" s="105">
        <v>2.4990873E-2</v>
      </c>
      <c r="H13" s="67"/>
      <c r="I13" s="137"/>
    </row>
    <row r="14" spans="1:9" x14ac:dyDescent="0.2">
      <c r="A14" s="101">
        <v>8</v>
      </c>
      <c r="B14" s="102" t="s">
        <v>315</v>
      </c>
      <c r="C14" s="102" t="s">
        <v>316</v>
      </c>
      <c r="D14" s="102" t="s">
        <v>261</v>
      </c>
      <c r="E14" s="103">
        <v>136109</v>
      </c>
      <c r="F14" s="104">
        <v>4619.53946</v>
      </c>
      <c r="G14" s="105">
        <v>2.4037368E-2</v>
      </c>
      <c r="H14" s="67"/>
      <c r="I14" s="137"/>
    </row>
    <row r="15" spans="1:9" x14ac:dyDescent="0.2">
      <c r="A15" s="101">
        <v>9</v>
      </c>
      <c r="B15" s="102" t="s">
        <v>14</v>
      </c>
      <c r="C15" s="102" t="s">
        <v>15</v>
      </c>
      <c r="D15" s="102" t="s">
        <v>16</v>
      </c>
      <c r="E15" s="103">
        <v>201369</v>
      </c>
      <c r="F15" s="104">
        <v>4547.2140735000003</v>
      </c>
      <c r="G15" s="105">
        <v>2.3661029E-2</v>
      </c>
      <c r="H15" s="67"/>
      <c r="I15" s="137"/>
    </row>
    <row r="16" spans="1:9" ht="25.5" x14ac:dyDescent="0.2">
      <c r="A16" s="101">
        <v>10</v>
      </c>
      <c r="B16" s="102" t="s">
        <v>321</v>
      </c>
      <c r="C16" s="102" t="s">
        <v>322</v>
      </c>
      <c r="D16" s="102" t="s">
        <v>52</v>
      </c>
      <c r="E16" s="103">
        <v>532160</v>
      </c>
      <c r="F16" s="104">
        <v>4507.1291199999996</v>
      </c>
      <c r="G16" s="105">
        <v>2.345245E-2</v>
      </c>
      <c r="H16" s="67"/>
      <c r="I16" s="137"/>
    </row>
    <row r="17" spans="1:9" x14ac:dyDescent="0.2">
      <c r="A17" s="101">
        <v>11</v>
      </c>
      <c r="B17" s="102" t="s">
        <v>414</v>
      </c>
      <c r="C17" s="102" t="s">
        <v>415</v>
      </c>
      <c r="D17" s="102" t="s">
        <v>166</v>
      </c>
      <c r="E17" s="103">
        <v>116980</v>
      </c>
      <c r="F17" s="104">
        <v>4429.3892100000003</v>
      </c>
      <c r="G17" s="105">
        <v>2.3047938E-2</v>
      </c>
      <c r="H17" s="67"/>
      <c r="I17" s="137"/>
    </row>
    <row r="18" spans="1:9" x14ac:dyDescent="0.2">
      <c r="A18" s="101">
        <v>12</v>
      </c>
      <c r="B18" s="102" t="s">
        <v>509</v>
      </c>
      <c r="C18" s="102" t="s">
        <v>510</v>
      </c>
      <c r="D18" s="102" t="s">
        <v>24</v>
      </c>
      <c r="E18" s="103">
        <v>1376074</v>
      </c>
      <c r="F18" s="104">
        <v>4092.4440760000002</v>
      </c>
      <c r="G18" s="105">
        <v>2.1294673E-2</v>
      </c>
      <c r="H18" s="67"/>
      <c r="I18" s="137"/>
    </row>
    <row r="19" spans="1:9" x14ac:dyDescent="0.2">
      <c r="A19" s="101">
        <v>13</v>
      </c>
      <c r="B19" s="102" t="s">
        <v>42</v>
      </c>
      <c r="C19" s="102" t="s">
        <v>43</v>
      </c>
      <c r="D19" s="102" t="s">
        <v>16</v>
      </c>
      <c r="E19" s="103">
        <v>867538</v>
      </c>
      <c r="F19" s="104">
        <v>4091.7429769999999</v>
      </c>
      <c r="G19" s="105">
        <v>2.1291025000000002E-2</v>
      </c>
      <c r="H19" s="67"/>
      <c r="I19" s="137"/>
    </row>
    <row r="20" spans="1:9" ht="25.5" x14ac:dyDescent="0.2">
      <c r="A20" s="101">
        <v>14</v>
      </c>
      <c r="B20" s="102" t="s">
        <v>478</v>
      </c>
      <c r="C20" s="102" t="s">
        <v>479</v>
      </c>
      <c r="D20" s="102" t="s">
        <v>52</v>
      </c>
      <c r="E20" s="103">
        <v>567883</v>
      </c>
      <c r="F20" s="104">
        <v>4061.2152744999999</v>
      </c>
      <c r="G20" s="105">
        <v>2.1132176999999999E-2</v>
      </c>
      <c r="H20" s="67"/>
      <c r="I20" s="137"/>
    </row>
    <row r="21" spans="1:9" x14ac:dyDescent="0.2">
      <c r="A21" s="101">
        <v>15</v>
      </c>
      <c r="B21" s="102" t="s">
        <v>301</v>
      </c>
      <c r="C21" s="102" t="s">
        <v>302</v>
      </c>
      <c r="D21" s="102" t="s">
        <v>166</v>
      </c>
      <c r="E21" s="103">
        <v>106245</v>
      </c>
      <c r="F21" s="104">
        <v>3853.7717625</v>
      </c>
      <c r="G21" s="105">
        <v>2.0052763000000001E-2</v>
      </c>
      <c r="H21" s="67"/>
      <c r="I21" s="137"/>
    </row>
    <row r="22" spans="1:9" x14ac:dyDescent="0.2">
      <c r="A22" s="101">
        <v>16</v>
      </c>
      <c r="B22" s="102" t="s">
        <v>334</v>
      </c>
      <c r="C22" s="102" t="s">
        <v>335</v>
      </c>
      <c r="D22" s="102" t="s">
        <v>187</v>
      </c>
      <c r="E22" s="103">
        <v>95720</v>
      </c>
      <c r="F22" s="104">
        <v>3727.2410799999998</v>
      </c>
      <c r="G22" s="105">
        <v>1.9394372E-2</v>
      </c>
      <c r="H22" s="67"/>
      <c r="I22" s="137"/>
    </row>
    <row r="23" spans="1:9" x14ac:dyDescent="0.2">
      <c r="A23" s="101">
        <v>17</v>
      </c>
      <c r="B23" s="102" t="s">
        <v>354</v>
      </c>
      <c r="C23" s="102" t="s">
        <v>355</v>
      </c>
      <c r="D23" s="102" t="s">
        <v>24</v>
      </c>
      <c r="E23" s="103">
        <v>463925</v>
      </c>
      <c r="F23" s="104">
        <v>3648.770125</v>
      </c>
      <c r="G23" s="105">
        <v>1.8986055000000002E-2</v>
      </c>
      <c r="H23" s="67"/>
      <c r="I23" s="137"/>
    </row>
    <row r="24" spans="1:9" x14ac:dyDescent="0.2">
      <c r="A24" s="101">
        <v>18</v>
      </c>
      <c r="B24" s="102" t="s">
        <v>364</v>
      </c>
      <c r="C24" s="102" t="s">
        <v>365</v>
      </c>
      <c r="D24" s="102" t="s">
        <v>166</v>
      </c>
      <c r="E24" s="103">
        <v>307173</v>
      </c>
      <c r="F24" s="104">
        <v>3631.7063790000002</v>
      </c>
      <c r="G24" s="105">
        <v>1.8897265E-2</v>
      </c>
      <c r="H24" s="67"/>
      <c r="I24" s="137"/>
    </row>
    <row r="25" spans="1:9" x14ac:dyDescent="0.2">
      <c r="A25" s="101">
        <v>19</v>
      </c>
      <c r="B25" s="102" t="s">
        <v>388</v>
      </c>
      <c r="C25" s="102" t="s">
        <v>389</v>
      </c>
      <c r="D25" s="102" t="s">
        <v>1002</v>
      </c>
      <c r="E25" s="103">
        <v>20426</v>
      </c>
      <c r="F25" s="104">
        <v>3502.8036750000001</v>
      </c>
      <c r="G25" s="105">
        <v>1.8226531000000001E-2</v>
      </c>
      <c r="H25" s="67"/>
      <c r="I25" s="137"/>
    </row>
    <row r="26" spans="1:9" x14ac:dyDescent="0.2">
      <c r="A26" s="101">
        <v>20</v>
      </c>
      <c r="B26" s="102" t="s">
        <v>17</v>
      </c>
      <c r="C26" s="102" t="s">
        <v>18</v>
      </c>
      <c r="D26" s="102" t="s">
        <v>19</v>
      </c>
      <c r="E26" s="103">
        <v>492230</v>
      </c>
      <c r="F26" s="104">
        <v>3268.653315</v>
      </c>
      <c r="G26" s="105">
        <v>1.700815E-2</v>
      </c>
      <c r="H26" s="67"/>
      <c r="I26" s="137"/>
    </row>
    <row r="27" spans="1:9" ht="25.5" x14ac:dyDescent="0.2">
      <c r="A27" s="101">
        <v>21</v>
      </c>
      <c r="B27" s="102" t="s">
        <v>482</v>
      </c>
      <c r="C27" s="102" t="s">
        <v>483</v>
      </c>
      <c r="D27" s="102" t="s">
        <v>52</v>
      </c>
      <c r="E27" s="103">
        <v>22304</v>
      </c>
      <c r="F27" s="104">
        <v>3094.3677440000001</v>
      </c>
      <c r="G27" s="105">
        <v>1.6101271E-2</v>
      </c>
      <c r="H27" s="67"/>
      <c r="I27" s="137"/>
    </row>
    <row r="28" spans="1:9" x14ac:dyDescent="0.2">
      <c r="A28" s="101">
        <v>22</v>
      </c>
      <c r="B28" s="102" t="s">
        <v>247</v>
      </c>
      <c r="C28" s="102" t="s">
        <v>248</v>
      </c>
      <c r="D28" s="102" t="s">
        <v>1001</v>
      </c>
      <c r="E28" s="103">
        <v>552800</v>
      </c>
      <c r="F28" s="104">
        <v>3043.4404</v>
      </c>
      <c r="G28" s="105">
        <v>1.5836275E-2</v>
      </c>
      <c r="H28" s="67"/>
      <c r="I28" s="137"/>
    </row>
    <row r="29" spans="1:9" x14ac:dyDescent="0.2">
      <c r="A29" s="101">
        <v>23</v>
      </c>
      <c r="B29" s="102" t="s">
        <v>97</v>
      </c>
      <c r="C29" s="102" t="s">
        <v>98</v>
      </c>
      <c r="D29" s="102" t="s">
        <v>60</v>
      </c>
      <c r="E29" s="103">
        <v>543670</v>
      </c>
      <c r="F29" s="104">
        <v>2967.622695</v>
      </c>
      <c r="G29" s="105">
        <v>1.5441764E-2</v>
      </c>
      <c r="H29" s="67"/>
      <c r="I29" s="137"/>
    </row>
    <row r="30" spans="1:9" x14ac:dyDescent="0.2">
      <c r="A30" s="101">
        <v>24</v>
      </c>
      <c r="B30" s="102" t="s">
        <v>192</v>
      </c>
      <c r="C30" s="102" t="s">
        <v>193</v>
      </c>
      <c r="D30" s="102" t="s">
        <v>81</v>
      </c>
      <c r="E30" s="103">
        <v>515226</v>
      </c>
      <c r="F30" s="104">
        <v>2940.1371690000001</v>
      </c>
      <c r="G30" s="105">
        <v>1.5298745000000001E-2</v>
      </c>
      <c r="H30" s="67"/>
      <c r="I30" s="137"/>
    </row>
    <row r="31" spans="1:9" x14ac:dyDescent="0.2">
      <c r="A31" s="101">
        <v>25</v>
      </c>
      <c r="B31" s="102" t="s">
        <v>340</v>
      </c>
      <c r="C31" s="102" t="s">
        <v>341</v>
      </c>
      <c r="D31" s="102" t="s">
        <v>81</v>
      </c>
      <c r="E31" s="103">
        <v>197458</v>
      </c>
      <c r="F31" s="104">
        <v>2671.0143659999999</v>
      </c>
      <c r="G31" s="105">
        <v>1.3898389000000001E-2</v>
      </c>
      <c r="H31" s="67"/>
      <c r="I31" s="137"/>
    </row>
    <row r="32" spans="1:9" x14ac:dyDescent="0.2">
      <c r="A32" s="101">
        <v>26</v>
      </c>
      <c r="B32" s="102" t="s">
        <v>416</v>
      </c>
      <c r="C32" s="102" t="s">
        <v>417</v>
      </c>
      <c r="D32" s="102" t="s">
        <v>187</v>
      </c>
      <c r="E32" s="103">
        <v>317342</v>
      </c>
      <c r="F32" s="104">
        <v>2519.854151</v>
      </c>
      <c r="G32" s="105">
        <v>1.311184E-2</v>
      </c>
      <c r="H32" s="67"/>
      <c r="I32" s="137"/>
    </row>
    <row r="33" spans="1:9" ht="25.5" x14ac:dyDescent="0.2">
      <c r="A33" s="101">
        <v>27</v>
      </c>
      <c r="B33" s="102" t="s">
        <v>31</v>
      </c>
      <c r="C33" s="102" t="s">
        <v>993</v>
      </c>
      <c r="D33" s="102" t="s">
        <v>992</v>
      </c>
      <c r="E33" s="103">
        <v>31126</v>
      </c>
      <c r="F33" s="104">
        <v>2437.9283869999999</v>
      </c>
      <c r="G33" s="105">
        <v>1.2685546000000001E-2</v>
      </c>
      <c r="H33" s="67"/>
      <c r="I33" s="137"/>
    </row>
    <row r="34" spans="1:9" ht="25.5" x14ac:dyDescent="0.2">
      <c r="A34" s="101">
        <v>28</v>
      </c>
      <c r="B34" s="102" t="s">
        <v>384</v>
      </c>
      <c r="C34" s="102" t="s">
        <v>385</v>
      </c>
      <c r="D34" s="102" t="s">
        <v>52</v>
      </c>
      <c r="E34" s="103">
        <v>250803</v>
      </c>
      <c r="F34" s="104">
        <v>2169.3205484999999</v>
      </c>
      <c r="G34" s="105">
        <v>1.1287869000000001E-2</v>
      </c>
      <c r="H34" s="67"/>
      <c r="I34" s="137"/>
    </row>
    <row r="35" spans="1:9" x14ac:dyDescent="0.2">
      <c r="A35" s="101">
        <v>29</v>
      </c>
      <c r="B35" s="102" t="s">
        <v>82</v>
      </c>
      <c r="C35" s="102" t="s">
        <v>83</v>
      </c>
      <c r="D35" s="102" t="s">
        <v>84</v>
      </c>
      <c r="E35" s="103">
        <v>1696366</v>
      </c>
      <c r="F35" s="104">
        <v>2082.2892649999999</v>
      </c>
      <c r="G35" s="105">
        <v>1.0835009E-2</v>
      </c>
      <c r="H35" s="67"/>
      <c r="I35" s="137"/>
    </row>
    <row r="36" spans="1:9" x14ac:dyDescent="0.2">
      <c r="A36" s="101">
        <v>30</v>
      </c>
      <c r="B36" s="102" t="s">
        <v>366</v>
      </c>
      <c r="C36" s="102" t="s">
        <v>367</v>
      </c>
      <c r="D36" s="102" t="s">
        <v>55</v>
      </c>
      <c r="E36" s="103">
        <v>46462</v>
      </c>
      <c r="F36" s="104">
        <v>1933.005048</v>
      </c>
      <c r="G36" s="105">
        <v>1.0058222E-2</v>
      </c>
      <c r="H36" s="67"/>
      <c r="I36" s="137"/>
    </row>
    <row r="37" spans="1:9" x14ac:dyDescent="0.2">
      <c r="A37" s="101">
        <v>31</v>
      </c>
      <c r="B37" s="102" t="s">
        <v>303</v>
      </c>
      <c r="C37" s="102" t="s">
        <v>304</v>
      </c>
      <c r="D37" s="102" t="s">
        <v>179</v>
      </c>
      <c r="E37" s="103">
        <v>38775</v>
      </c>
      <c r="F37" s="104">
        <v>1926.9430124999999</v>
      </c>
      <c r="G37" s="105">
        <v>1.0026679E-2</v>
      </c>
      <c r="H37" s="67"/>
      <c r="I37" s="137"/>
    </row>
    <row r="38" spans="1:9" x14ac:dyDescent="0.2">
      <c r="A38" s="101">
        <v>32</v>
      </c>
      <c r="B38" s="102" t="s">
        <v>93</v>
      </c>
      <c r="C38" s="102" t="s">
        <v>94</v>
      </c>
      <c r="D38" s="102" t="s">
        <v>69</v>
      </c>
      <c r="E38" s="103">
        <v>543806</v>
      </c>
      <c r="F38" s="104">
        <v>1917.731859</v>
      </c>
      <c r="G38" s="105">
        <v>9.9787490000000003E-3</v>
      </c>
      <c r="H38" s="67"/>
      <c r="I38" s="137"/>
    </row>
    <row r="39" spans="1:9" x14ac:dyDescent="0.2">
      <c r="A39" s="101">
        <v>33</v>
      </c>
      <c r="B39" s="102" t="s">
        <v>91</v>
      </c>
      <c r="C39" s="102" t="s">
        <v>92</v>
      </c>
      <c r="D39" s="102" t="s">
        <v>27</v>
      </c>
      <c r="E39" s="103">
        <v>25000</v>
      </c>
      <c r="F39" s="104">
        <v>1812.65</v>
      </c>
      <c r="G39" s="105">
        <v>9.4319650000000005E-3</v>
      </c>
      <c r="H39" s="67"/>
      <c r="I39" s="137"/>
    </row>
    <row r="40" spans="1:9" ht="25.5" x14ac:dyDescent="0.2">
      <c r="A40" s="101">
        <v>34</v>
      </c>
      <c r="B40" s="102" t="s">
        <v>101</v>
      </c>
      <c r="C40" s="102" t="s">
        <v>994</v>
      </c>
      <c r="D40" s="102" t="s">
        <v>992</v>
      </c>
      <c r="E40" s="103">
        <v>73201</v>
      </c>
      <c r="F40" s="104">
        <v>1610.2755979999999</v>
      </c>
      <c r="G40" s="105">
        <v>8.3789280000000008E-3</v>
      </c>
      <c r="H40" s="67"/>
      <c r="I40" s="137"/>
    </row>
    <row r="41" spans="1:9" x14ac:dyDescent="0.2">
      <c r="A41" s="101">
        <v>35</v>
      </c>
      <c r="B41" s="102" t="s">
        <v>208</v>
      </c>
      <c r="C41" s="102" t="s">
        <v>209</v>
      </c>
      <c r="D41" s="102" t="s">
        <v>1005</v>
      </c>
      <c r="E41" s="103">
        <v>171598</v>
      </c>
      <c r="F41" s="104">
        <v>1453.1776629999999</v>
      </c>
      <c r="G41" s="105">
        <v>7.5614819999999996E-3</v>
      </c>
      <c r="H41" s="67"/>
      <c r="I41" s="137"/>
    </row>
    <row r="42" spans="1:9" x14ac:dyDescent="0.2">
      <c r="A42" s="101">
        <v>36</v>
      </c>
      <c r="B42" s="102" t="s">
        <v>158</v>
      </c>
      <c r="C42" s="102" t="s">
        <v>159</v>
      </c>
      <c r="D42" s="102" t="s">
        <v>27</v>
      </c>
      <c r="E42" s="103">
        <v>187458</v>
      </c>
      <c r="F42" s="104">
        <v>1428.617418</v>
      </c>
      <c r="G42" s="105">
        <v>7.4336849999999998E-3</v>
      </c>
      <c r="H42" s="67"/>
      <c r="I42" s="137"/>
    </row>
    <row r="43" spans="1:9" x14ac:dyDescent="0.2">
      <c r="A43" s="101">
        <v>37</v>
      </c>
      <c r="B43" s="102" t="s">
        <v>28</v>
      </c>
      <c r="C43" s="102" t="s">
        <v>29</v>
      </c>
      <c r="D43" s="102" t="s">
        <v>27</v>
      </c>
      <c r="E43" s="103">
        <v>68815</v>
      </c>
      <c r="F43" s="104">
        <v>1422.750125</v>
      </c>
      <c r="G43" s="105">
        <v>7.4031549999999998E-3</v>
      </c>
      <c r="H43" s="67"/>
      <c r="I43" s="137"/>
    </row>
    <row r="44" spans="1:9" ht="25.5" x14ac:dyDescent="0.2">
      <c r="A44" s="101">
        <v>38</v>
      </c>
      <c r="B44" s="102" t="s">
        <v>408</v>
      </c>
      <c r="C44" s="102" t="s">
        <v>409</v>
      </c>
      <c r="D44" s="102" t="s">
        <v>52</v>
      </c>
      <c r="E44" s="103">
        <v>41670</v>
      </c>
      <c r="F44" s="104">
        <v>1135.13247</v>
      </c>
      <c r="G44" s="105">
        <v>5.9065619999999997E-3</v>
      </c>
      <c r="H44" s="67"/>
      <c r="I44" s="137"/>
    </row>
    <row r="45" spans="1:9" x14ac:dyDescent="0.2">
      <c r="A45" s="101">
        <v>39</v>
      </c>
      <c r="B45" s="102" t="s">
        <v>426</v>
      </c>
      <c r="C45" s="102" t="s">
        <v>427</v>
      </c>
      <c r="D45" s="102" t="s">
        <v>428</v>
      </c>
      <c r="E45" s="103">
        <v>216487</v>
      </c>
      <c r="F45" s="104">
        <v>1013.808621</v>
      </c>
      <c r="G45" s="105">
        <v>5.275264E-3</v>
      </c>
      <c r="H45" s="67"/>
      <c r="I45" s="137"/>
    </row>
    <row r="46" spans="1:9" x14ac:dyDescent="0.2">
      <c r="A46" s="101">
        <v>40</v>
      </c>
      <c r="B46" s="102" t="s">
        <v>418</v>
      </c>
      <c r="C46" s="102" t="s">
        <v>419</v>
      </c>
      <c r="D46" s="102" t="s">
        <v>49</v>
      </c>
      <c r="E46" s="103">
        <v>62872</v>
      </c>
      <c r="F46" s="104">
        <v>911.80118000000004</v>
      </c>
      <c r="G46" s="105">
        <v>4.7444770000000004E-3</v>
      </c>
      <c r="H46" s="67"/>
      <c r="I46" s="137"/>
    </row>
    <row r="47" spans="1:9" ht="25.5" x14ac:dyDescent="0.2">
      <c r="A47" s="101">
        <v>41</v>
      </c>
      <c r="B47" s="102" t="s">
        <v>89</v>
      </c>
      <c r="C47" s="102" t="s">
        <v>90</v>
      </c>
      <c r="D47" s="102" t="s">
        <v>46</v>
      </c>
      <c r="E47" s="103">
        <v>109708</v>
      </c>
      <c r="F47" s="104">
        <v>820.94496400000003</v>
      </c>
      <c r="G47" s="105">
        <v>4.2717149999999997E-3</v>
      </c>
      <c r="H47" s="67"/>
      <c r="I47" s="137"/>
    </row>
    <row r="48" spans="1:9" x14ac:dyDescent="0.2">
      <c r="A48" s="101">
        <v>42</v>
      </c>
      <c r="B48" s="102" t="s">
        <v>443</v>
      </c>
      <c r="C48" s="102" t="s">
        <v>444</v>
      </c>
      <c r="D48" s="102" t="s">
        <v>187</v>
      </c>
      <c r="E48" s="103">
        <v>75252</v>
      </c>
      <c r="F48" s="104">
        <v>713.23845600000004</v>
      </c>
      <c r="G48" s="105">
        <v>3.7112740000000001E-3</v>
      </c>
      <c r="H48" s="67"/>
      <c r="I48" s="137"/>
    </row>
    <row r="49" spans="1:9" x14ac:dyDescent="0.2">
      <c r="A49" s="101">
        <v>43</v>
      </c>
      <c r="B49" s="102" t="s">
        <v>223</v>
      </c>
      <c r="C49" s="102" t="s">
        <v>224</v>
      </c>
      <c r="D49" s="102" t="s">
        <v>69</v>
      </c>
      <c r="E49" s="103">
        <v>79865</v>
      </c>
      <c r="F49" s="104">
        <v>689.03528749999998</v>
      </c>
      <c r="G49" s="105">
        <v>3.5853349999999998E-3</v>
      </c>
      <c r="H49" s="67"/>
      <c r="I49" s="137"/>
    </row>
    <row r="50" spans="1:9" x14ac:dyDescent="0.2">
      <c r="A50" s="101">
        <v>44</v>
      </c>
      <c r="B50" s="102" t="s">
        <v>392</v>
      </c>
      <c r="C50" s="102" t="s">
        <v>393</v>
      </c>
      <c r="D50" s="102" t="s">
        <v>171</v>
      </c>
      <c r="E50" s="103">
        <v>90580</v>
      </c>
      <c r="F50" s="104">
        <v>645.83540000000005</v>
      </c>
      <c r="G50" s="105">
        <v>3.3605480000000001E-3</v>
      </c>
      <c r="H50" s="67"/>
      <c r="I50" s="137"/>
    </row>
    <row r="51" spans="1:9" ht="25.5" x14ac:dyDescent="0.2">
      <c r="A51" s="101">
        <v>45</v>
      </c>
      <c r="B51" s="102" t="s">
        <v>327</v>
      </c>
      <c r="C51" s="102" t="s">
        <v>328</v>
      </c>
      <c r="D51" s="102" t="s">
        <v>55</v>
      </c>
      <c r="E51" s="103">
        <v>134358</v>
      </c>
      <c r="F51" s="104">
        <v>636.11795099999995</v>
      </c>
      <c r="G51" s="105">
        <v>3.3099840000000002E-3</v>
      </c>
      <c r="H51" s="67"/>
      <c r="I51" s="137"/>
    </row>
    <row r="52" spans="1:9" x14ac:dyDescent="0.2">
      <c r="A52" s="101">
        <v>46</v>
      </c>
      <c r="B52" s="102" t="s">
        <v>420</v>
      </c>
      <c r="C52" s="102" t="s">
        <v>421</v>
      </c>
      <c r="D52" s="102" t="s">
        <v>84</v>
      </c>
      <c r="E52" s="103">
        <v>62610</v>
      </c>
      <c r="F52" s="104">
        <v>496.68513000000002</v>
      </c>
      <c r="G52" s="105">
        <v>2.5844570000000001E-3</v>
      </c>
      <c r="H52" s="67"/>
      <c r="I52" s="137"/>
    </row>
    <row r="53" spans="1:9" x14ac:dyDescent="0.2">
      <c r="A53" s="101">
        <v>47</v>
      </c>
      <c r="B53" s="102" t="s">
        <v>422</v>
      </c>
      <c r="C53" s="102" t="s">
        <v>423</v>
      </c>
      <c r="D53" s="102" t="s">
        <v>187</v>
      </c>
      <c r="E53" s="103">
        <v>7716</v>
      </c>
      <c r="F53" s="104">
        <v>399.194976</v>
      </c>
      <c r="G53" s="105">
        <v>2.077176E-3</v>
      </c>
      <c r="H53" s="67"/>
      <c r="I53" s="137"/>
    </row>
    <row r="54" spans="1:9" x14ac:dyDescent="0.2">
      <c r="A54" s="101">
        <v>48</v>
      </c>
      <c r="B54" s="102" t="s">
        <v>556</v>
      </c>
      <c r="C54" s="102" t="s">
        <v>557</v>
      </c>
      <c r="D54" s="102" t="s">
        <v>84</v>
      </c>
      <c r="E54" s="103">
        <v>5824</v>
      </c>
      <c r="F54" s="104">
        <v>398.71686399999999</v>
      </c>
      <c r="G54" s="105">
        <v>2.0746879999999999E-3</v>
      </c>
      <c r="H54" s="67"/>
      <c r="I54" s="137"/>
    </row>
    <row r="55" spans="1:9" x14ac:dyDescent="0.2">
      <c r="A55" s="99"/>
      <c r="B55" s="99"/>
      <c r="C55" s="100" t="s">
        <v>105</v>
      </c>
      <c r="D55" s="99"/>
      <c r="E55" s="99" t="s">
        <v>106</v>
      </c>
      <c r="F55" s="106">
        <v>149867.34846849999</v>
      </c>
      <c r="G55" s="107">
        <v>0.77982158199999996</v>
      </c>
      <c r="H55" s="67"/>
      <c r="I55" s="137"/>
    </row>
    <row r="56" spans="1:9" x14ac:dyDescent="0.2">
      <c r="A56" s="99"/>
      <c r="B56" s="99"/>
      <c r="C56" s="108"/>
      <c r="D56" s="99"/>
      <c r="E56" s="99"/>
      <c r="F56" s="109"/>
      <c r="G56" s="109"/>
      <c r="H56" s="67"/>
      <c r="I56" s="137"/>
    </row>
    <row r="57" spans="1:9" x14ac:dyDescent="0.2">
      <c r="A57" s="99"/>
      <c r="B57" s="99"/>
      <c r="C57" s="100" t="s">
        <v>107</v>
      </c>
      <c r="D57" s="99"/>
      <c r="E57" s="99"/>
      <c r="F57" s="99"/>
      <c r="G57" s="99"/>
      <c r="H57" s="67"/>
      <c r="I57" s="137"/>
    </row>
    <row r="58" spans="1:9" x14ac:dyDescent="0.2">
      <c r="A58" s="99"/>
      <c r="B58" s="99"/>
      <c r="C58" s="100" t="s">
        <v>105</v>
      </c>
      <c r="D58" s="99"/>
      <c r="E58" s="99" t="s">
        <v>106</v>
      </c>
      <c r="F58" s="110">
        <v>0</v>
      </c>
      <c r="G58" s="111">
        <v>0</v>
      </c>
      <c r="H58" s="67"/>
      <c r="I58" s="137"/>
    </row>
    <row r="59" spans="1:9" x14ac:dyDescent="0.2">
      <c r="A59" s="99"/>
      <c r="B59" s="99"/>
      <c r="C59" s="108"/>
      <c r="D59" s="99"/>
      <c r="E59" s="99"/>
      <c r="F59" s="109"/>
      <c r="G59" s="109"/>
      <c r="H59" s="67"/>
      <c r="I59" s="137"/>
    </row>
    <row r="60" spans="1:9" x14ac:dyDescent="0.2">
      <c r="A60" s="99"/>
      <c r="B60" s="99"/>
      <c r="C60" s="100" t="s">
        <v>108</v>
      </c>
      <c r="D60" s="99"/>
      <c r="E60" s="99"/>
      <c r="F60" s="99"/>
      <c r="G60" s="99"/>
      <c r="H60" s="67"/>
      <c r="I60" s="137"/>
    </row>
    <row r="61" spans="1:9" x14ac:dyDescent="0.2">
      <c r="A61" s="99"/>
      <c r="B61" s="99"/>
      <c r="C61" s="100" t="s">
        <v>105</v>
      </c>
      <c r="D61" s="99"/>
      <c r="E61" s="99" t="s">
        <v>106</v>
      </c>
      <c r="F61" s="110">
        <v>0</v>
      </c>
      <c r="G61" s="111">
        <v>0</v>
      </c>
      <c r="H61" s="67"/>
      <c r="I61" s="137"/>
    </row>
    <row r="62" spans="1:9" x14ac:dyDescent="0.2">
      <c r="A62" s="99"/>
      <c r="B62" s="99"/>
      <c r="C62" s="108"/>
      <c r="D62" s="99"/>
      <c r="E62" s="99"/>
      <c r="F62" s="109"/>
      <c r="G62" s="109"/>
      <c r="H62" s="67"/>
      <c r="I62" s="137"/>
    </row>
    <row r="63" spans="1:9" x14ac:dyDescent="0.2">
      <c r="A63" s="99"/>
      <c r="B63" s="99"/>
      <c r="C63" s="100" t="s">
        <v>109</v>
      </c>
      <c r="D63" s="99"/>
      <c r="E63" s="99"/>
      <c r="F63" s="99"/>
      <c r="G63" s="99"/>
      <c r="H63" s="67"/>
      <c r="I63" s="137"/>
    </row>
    <row r="64" spans="1:9" x14ac:dyDescent="0.2">
      <c r="A64" s="99"/>
      <c r="B64" s="99"/>
      <c r="C64" s="100" t="s">
        <v>105</v>
      </c>
      <c r="D64" s="99"/>
      <c r="E64" s="99" t="s">
        <v>106</v>
      </c>
      <c r="F64" s="110">
        <v>0</v>
      </c>
      <c r="G64" s="111">
        <v>0</v>
      </c>
      <c r="H64" s="67"/>
      <c r="I64" s="137"/>
    </row>
    <row r="65" spans="1:9" x14ac:dyDescent="0.2">
      <c r="A65" s="99"/>
      <c r="B65" s="99"/>
      <c r="C65" s="108"/>
      <c r="D65" s="99"/>
      <c r="E65" s="99"/>
      <c r="F65" s="109"/>
      <c r="G65" s="109"/>
      <c r="H65" s="67"/>
      <c r="I65" s="137"/>
    </row>
    <row r="66" spans="1:9" x14ac:dyDescent="0.2">
      <c r="A66" s="99"/>
      <c r="B66" s="99"/>
      <c r="C66" s="100" t="s">
        <v>110</v>
      </c>
      <c r="D66" s="99"/>
      <c r="E66" s="99"/>
      <c r="F66" s="109"/>
      <c r="G66" s="109"/>
      <c r="H66" s="67"/>
      <c r="I66" s="137"/>
    </row>
    <row r="67" spans="1:9" x14ac:dyDescent="0.2">
      <c r="A67" s="99"/>
      <c r="B67" s="99"/>
      <c r="C67" s="100" t="s">
        <v>105</v>
      </c>
      <c r="D67" s="99"/>
      <c r="E67" s="99" t="s">
        <v>106</v>
      </c>
      <c r="F67" s="110">
        <v>0</v>
      </c>
      <c r="G67" s="111">
        <v>0</v>
      </c>
      <c r="H67" s="67"/>
      <c r="I67" s="137"/>
    </row>
    <row r="68" spans="1:9" x14ac:dyDescent="0.2">
      <c r="A68" s="99"/>
      <c r="B68" s="99"/>
      <c r="C68" s="108"/>
      <c r="D68" s="99"/>
      <c r="E68" s="99"/>
      <c r="F68" s="109"/>
      <c r="G68" s="109"/>
      <c r="H68" s="67"/>
      <c r="I68" s="137"/>
    </row>
    <row r="69" spans="1:9" x14ac:dyDescent="0.2">
      <c r="A69" s="99"/>
      <c r="B69" s="99"/>
      <c r="C69" s="100" t="s">
        <v>111</v>
      </c>
      <c r="D69" s="99"/>
      <c r="E69" s="99"/>
      <c r="F69" s="109"/>
      <c r="G69" s="109"/>
      <c r="H69" s="67"/>
      <c r="I69" s="137"/>
    </row>
    <row r="70" spans="1:9" x14ac:dyDescent="0.2">
      <c r="A70" s="99"/>
      <c r="B70" s="99"/>
      <c r="C70" s="100" t="s">
        <v>105</v>
      </c>
      <c r="D70" s="99"/>
      <c r="E70" s="99" t="s">
        <v>106</v>
      </c>
      <c r="F70" s="110">
        <v>0</v>
      </c>
      <c r="G70" s="111">
        <v>0</v>
      </c>
      <c r="H70" s="67"/>
      <c r="I70" s="137"/>
    </row>
    <row r="71" spans="1:9" x14ac:dyDescent="0.2">
      <c r="A71" s="99"/>
      <c r="B71" s="99"/>
      <c r="C71" s="108"/>
      <c r="D71" s="99"/>
      <c r="E71" s="99"/>
      <c r="F71" s="109"/>
      <c r="G71" s="109"/>
      <c r="H71" s="67"/>
      <c r="I71" s="137"/>
    </row>
    <row r="72" spans="1:9" x14ac:dyDescent="0.2">
      <c r="A72" s="99"/>
      <c r="B72" s="99"/>
      <c r="C72" s="100" t="s">
        <v>112</v>
      </c>
      <c r="D72" s="99"/>
      <c r="E72" s="99"/>
      <c r="F72" s="106">
        <v>149867.34846849999</v>
      </c>
      <c r="G72" s="107">
        <v>0.77982158199999996</v>
      </c>
      <c r="H72" s="67"/>
      <c r="I72" s="137"/>
    </row>
    <row r="73" spans="1:9" x14ac:dyDescent="0.2">
      <c r="A73" s="99"/>
      <c r="B73" s="99"/>
      <c r="C73" s="108"/>
      <c r="D73" s="99"/>
      <c r="E73" s="99"/>
      <c r="F73" s="109"/>
      <c r="G73" s="109"/>
      <c r="H73" s="67"/>
      <c r="I73" s="137"/>
    </row>
    <row r="74" spans="1:9" x14ac:dyDescent="0.2">
      <c r="A74" s="99"/>
      <c r="B74" s="99"/>
      <c r="C74" s="100" t="s">
        <v>113</v>
      </c>
      <c r="D74" s="99"/>
      <c r="E74" s="99"/>
      <c r="F74" s="109"/>
      <c r="G74" s="109"/>
      <c r="H74" s="67"/>
      <c r="I74" s="137"/>
    </row>
    <row r="75" spans="1:9" ht="25.5" x14ac:dyDescent="0.2">
      <c r="A75" s="99"/>
      <c r="B75" s="99"/>
      <c r="C75" s="100" t="s">
        <v>10</v>
      </c>
      <c r="D75" s="99"/>
      <c r="E75" s="99"/>
      <c r="F75" s="109"/>
      <c r="G75" s="109"/>
      <c r="H75" s="67"/>
      <c r="I75" s="137"/>
    </row>
    <row r="76" spans="1:9" ht="25.5" x14ac:dyDescent="0.2">
      <c r="A76" s="101">
        <v>1</v>
      </c>
      <c r="B76" s="102" t="s">
        <v>868</v>
      </c>
      <c r="C76" s="102" t="s">
        <v>869</v>
      </c>
      <c r="D76" s="102" t="s">
        <v>685</v>
      </c>
      <c r="E76" s="103">
        <v>250</v>
      </c>
      <c r="F76" s="104">
        <v>2591.21</v>
      </c>
      <c r="G76" s="105">
        <v>1.3483134000000001E-2</v>
      </c>
      <c r="H76" s="67">
        <v>4.3</v>
      </c>
      <c r="I76" s="137"/>
    </row>
    <row r="77" spans="1:9" ht="25.5" x14ac:dyDescent="0.2">
      <c r="A77" s="101">
        <v>2</v>
      </c>
      <c r="B77" s="102" t="s">
        <v>870</v>
      </c>
      <c r="C77" s="102" t="s">
        <v>871</v>
      </c>
      <c r="D77" s="102" t="s">
        <v>685</v>
      </c>
      <c r="E77" s="103">
        <v>250</v>
      </c>
      <c r="F77" s="104">
        <v>2589.895</v>
      </c>
      <c r="G77" s="105">
        <v>1.3476291E-2</v>
      </c>
      <c r="H77" s="67">
        <v>4.49</v>
      </c>
      <c r="I77" s="137"/>
    </row>
    <row r="78" spans="1:9" s="156" customFormat="1" ht="38.25" x14ac:dyDescent="0.2">
      <c r="A78" s="101">
        <v>3</v>
      </c>
      <c r="B78" s="150" t="s">
        <v>872</v>
      </c>
      <c r="C78" s="150" t="s">
        <v>979</v>
      </c>
      <c r="D78" s="150" t="s">
        <v>873</v>
      </c>
      <c r="E78" s="151">
        <v>250</v>
      </c>
      <c r="F78" s="152">
        <v>2559.64</v>
      </c>
      <c r="G78" s="153">
        <v>1.3318862000000001E-2</v>
      </c>
      <c r="H78" s="154">
        <v>7.7960000000000003</v>
      </c>
      <c r="I78" s="154">
        <v>5.38754041335</v>
      </c>
    </row>
    <row r="79" spans="1:9" s="156" customFormat="1" x14ac:dyDescent="0.2">
      <c r="A79" s="101">
        <v>4</v>
      </c>
      <c r="B79" s="150" t="s">
        <v>874</v>
      </c>
      <c r="C79" s="150" t="s">
        <v>875</v>
      </c>
      <c r="D79" s="150" t="s">
        <v>685</v>
      </c>
      <c r="E79" s="151">
        <v>250</v>
      </c>
      <c r="F79" s="152">
        <v>2535.1149999999998</v>
      </c>
      <c r="G79" s="153">
        <v>1.3191247999999999E-2</v>
      </c>
      <c r="H79" s="154">
        <v>5.165</v>
      </c>
      <c r="I79" s="155"/>
    </row>
    <row r="80" spans="1:9" s="156" customFormat="1" ht="25.5" x14ac:dyDescent="0.2">
      <c r="A80" s="101">
        <v>5</v>
      </c>
      <c r="B80" s="150" t="s">
        <v>876</v>
      </c>
      <c r="C80" s="150" t="s">
        <v>877</v>
      </c>
      <c r="D80" s="150" t="s">
        <v>974</v>
      </c>
      <c r="E80" s="151">
        <v>250</v>
      </c>
      <c r="F80" s="152">
        <v>2511.98</v>
      </c>
      <c r="G80" s="153">
        <v>1.3070867E-2</v>
      </c>
      <c r="H80" s="154">
        <v>4.0350000000000001</v>
      </c>
      <c r="I80" s="155"/>
    </row>
    <row r="81" spans="1:9" s="156" customFormat="1" ht="38.25" x14ac:dyDescent="0.2">
      <c r="A81" s="101">
        <v>6</v>
      </c>
      <c r="B81" s="150" t="s">
        <v>878</v>
      </c>
      <c r="C81" s="150" t="s">
        <v>980</v>
      </c>
      <c r="D81" s="150" t="s">
        <v>873</v>
      </c>
      <c r="E81" s="151">
        <v>230</v>
      </c>
      <c r="F81" s="152">
        <v>2365.7109999999998</v>
      </c>
      <c r="G81" s="153">
        <v>1.2309769E-2</v>
      </c>
      <c r="H81" s="154">
        <v>8.41</v>
      </c>
      <c r="I81" s="154">
        <v>4.4788937115499996</v>
      </c>
    </row>
    <row r="82" spans="1:9" s="156" customFormat="1" ht="38.25" x14ac:dyDescent="0.2">
      <c r="A82" s="101">
        <v>7</v>
      </c>
      <c r="B82" s="150" t="s">
        <v>879</v>
      </c>
      <c r="C82" s="150" t="s">
        <v>981</v>
      </c>
      <c r="D82" s="150" t="s">
        <v>873</v>
      </c>
      <c r="E82" s="151">
        <v>200</v>
      </c>
      <c r="F82" s="152">
        <v>2036.4639999999999</v>
      </c>
      <c r="G82" s="153">
        <v>1.0596562E-2</v>
      </c>
      <c r="H82" s="154">
        <v>8.3170000000000002</v>
      </c>
      <c r="I82" s="154">
        <v>5.1655419104</v>
      </c>
    </row>
    <row r="83" spans="1:9" s="156" customFormat="1" ht="38.25" x14ac:dyDescent="0.2">
      <c r="A83" s="101">
        <v>8</v>
      </c>
      <c r="B83" s="150" t="s">
        <v>880</v>
      </c>
      <c r="C83" s="150" t="s">
        <v>982</v>
      </c>
      <c r="D83" s="150" t="s">
        <v>873</v>
      </c>
      <c r="E83" s="151">
        <v>200</v>
      </c>
      <c r="F83" s="152">
        <v>2008.7280000000001</v>
      </c>
      <c r="G83" s="153">
        <v>1.045224E-2</v>
      </c>
      <c r="H83" s="154">
        <v>8.3209999999999997</v>
      </c>
      <c r="I83" s="154">
        <v>5.0582464185499996</v>
      </c>
    </row>
    <row r="84" spans="1:9" s="156" customFormat="1" ht="25.5" x14ac:dyDescent="0.2">
      <c r="A84" s="101">
        <v>9</v>
      </c>
      <c r="B84" s="150" t="s">
        <v>881</v>
      </c>
      <c r="C84" s="150" t="s">
        <v>983</v>
      </c>
      <c r="D84" s="150" t="s">
        <v>882</v>
      </c>
      <c r="E84" s="151">
        <v>150</v>
      </c>
      <c r="F84" s="152">
        <v>1608.375</v>
      </c>
      <c r="G84" s="153">
        <v>8.3690380000000005E-3</v>
      </c>
      <c r="H84" s="154">
        <v>7.2489999999999997</v>
      </c>
      <c r="I84" s="154">
        <v>5.3098322516499996</v>
      </c>
    </row>
    <row r="85" spans="1:9" s="156" customFormat="1" ht="25.5" x14ac:dyDescent="0.2">
      <c r="A85" s="101">
        <v>10</v>
      </c>
      <c r="B85" s="150" t="s">
        <v>883</v>
      </c>
      <c r="C85" s="150" t="s">
        <v>884</v>
      </c>
      <c r="D85" s="150" t="s">
        <v>685</v>
      </c>
      <c r="E85" s="151">
        <v>150</v>
      </c>
      <c r="F85" s="152">
        <v>1590.8145</v>
      </c>
      <c r="G85" s="153">
        <v>8.2776629999999993E-3</v>
      </c>
      <c r="H85" s="154">
        <v>5</v>
      </c>
      <c r="I85" s="155"/>
    </row>
    <row r="86" spans="1:9" s="156" customFormat="1" ht="38.25" x14ac:dyDescent="0.2">
      <c r="A86" s="101">
        <v>11</v>
      </c>
      <c r="B86" s="150" t="s">
        <v>885</v>
      </c>
      <c r="C86" s="150" t="s">
        <v>984</v>
      </c>
      <c r="D86" s="150" t="s">
        <v>873</v>
      </c>
      <c r="E86" s="151">
        <v>150</v>
      </c>
      <c r="F86" s="152">
        <v>1534.9275</v>
      </c>
      <c r="G86" s="153">
        <v>7.9868600000000001E-3</v>
      </c>
      <c r="H86" s="154">
        <v>8.2970000000000006</v>
      </c>
      <c r="I86" s="154">
        <v>6.0094892868999992</v>
      </c>
    </row>
    <row r="87" spans="1:9" s="156" customFormat="1" ht="25.5" x14ac:dyDescent="0.2">
      <c r="A87" s="101">
        <v>12</v>
      </c>
      <c r="B87" s="150" t="s">
        <v>886</v>
      </c>
      <c r="C87" s="150" t="s">
        <v>887</v>
      </c>
      <c r="D87" s="150" t="s">
        <v>888</v>
      </c>
      <c r="E87" s="151">
        <v>150</v>
      </c>
      <c r="F87" s="152">
        <v>1506.0195000000001</v>
      </c>
      <c r="G87" s="153">
        <v>7.8364400000000001E-3</v>
      </c>
      <c r="H87" s="154">
        <v>3.7530000000000001</v>
      </c>
      <c r="I87" s="155"/>
    </row>
    <row r="88" spans="1:9" s="156" customFormat="1" ht="25.5" x14ac:dyDescent="0.2">
      <c r="A88" s="101">
        <v>13</v>
      </c>
      <c r="B88" s="150" t="s">
        <v>889</v>
      </c>
      <c r="C88" s="150" t="s">
        <v>890</v>
      </c>
      <c r="D88" s="150" t="s">
        <v>685</v>
      </c>
      <c r="E88" s="151">
        <v>100</v>
      </c>
      <c r="F88" s="152">
        <v>1072.874</v>
      </c>
      <c r="G88" s="153">
        <v>5.5826060000000004E-3</v>
      </c>
      <c r="H88" s="154">
        <v>5.18</v>
      </c>
      <c r="I88" s="155"/>
    </row>
    <row r="89" spans="1:9" s="156" customFormat="1" ht="25.5" x14ac:dyDescent="0.2">
      <c r="A89" s="101">
        <v>14</v>
      </c>
      <c r="B89" s="150" t="s">
        <v>891</v>
      </c>
      <c r="C89" s="150" t="s">
        <v>892</v>
      </c>
      <c r="D89" s="150" t="s">
        <v>685</v>
      </c>
      <c r="E89" s="151">
        <v>100</v>
      </c>
      <c r="F89" s="152">
        <v>1066.038</v>
      </c>
      <c r="G89" s="153">
        <v>5.5470349999999996E-3</v>
      </c>
      <c r="H89" s="154">
        <v>5.0350000000000001</v>
      </c>
      <c r="I89" s="155"/>
    </row>
    <row r="90" spans="1:9" s="156" customFormat="1" ht="25.5" x14ac:dyDescent="0.2">
      <c r="A90" s="101">
        <v>15</v>
      </c>
      <c r="B90" s="150" t="s">
        <v>893</v>
      </c>
      <c r="C90" s="150" t="s">
        <v>894</v>
      </c>
      <c r="D90" s="150" t="s">
        <v>685</v>
      </c>
      <c r="E90" s="151">
        <v>100</v>
      </c>
      <c r="F90" s="152">
        <v>1036.895</v>
      </c>
      <c r="G90" s="153">
        <v>5.3953919999999997E-3</v>
      </c>
      <c r="H90" s="154">
        <v>4.57</v>
      </c>
      <c r="I90" s="155"/>
    </row>
    <row r="91" spans="1:9" s="156" customFormat="1" ht="38.25" x14ac:dyDescent="0.2">
      <c r="A91" s="101">
        <v>16</v>
      </c>
      <c r="B91" s="150" t="s">
        <v>895</v>
      </c>
      <c r="C91" s="157" t="s">
        <v>985</v>
      </c>
      <c r="D91" s="150" t="s">
        <v>975</v>
      </c>
      <c r="E91" s="151">
        <v>100</v>
      </c>
      <c r="F91" s="152">
        <v>1019.317</v>
      </c>
      <c r="G91" s="153">
        <v>5.3039259999999996E-3</v>
      </c>
      <c r="H91" s="154">
        <v>8.8919999999999995</v>
      </c>
      <c r="I91" s="154">
        <v>5.301294705200001</v>
      </c>
    </row>
    <row r="92" spans="1:9" s="156" customFormat="1" ht="38.25" x14ac:dyDescent="0.2">
      <c r="A92" s="101">
        <v>17</v>
      </c>
      <c r="B92" s="150" t="s">
        <v>896</v>
      </c>
      <c r="C92" s="150" t="s">
        <v>986</v>
      </c>
      <c r="D92" s="150" t="s">
        <v>873</v>
      </c>
      <c r="E92" s="151">
        <v>100</v>
      </c>
      <c r="F92" s="152">
        <v>1017.758</v>
      </c>
      <c r="G92" s="153">
        <v>5.2958140000000003E-3</v>
      </c>
      <c r="H92" s="154">
        <v>8.4760000000000009</v>
      </c>
      <c r="I92" s="154">
        <v>6.38850306385</v>
      </c>
    </row>
    <row r="93" spans="1:9" ht="25.5" x14ac:dyDescent="0.2">
      <c r="A93" s="101">
        <v>18</v>
      </c>
      <c r="B93" s="102" t="s">
        <v>902</v>
      </c>
      <c r="C93" s="102" t="s">
        <v>903</v>
      </c>
      <c r="D93" s="102" t="s">
        <v>685</v>
      </c>
      <c r="E93" s="103">
        <v>100</v>
      </c>
      <c r="F93" s="104">
        <v>998.30399999999997</v>
      </c>
      <c r="G93" s="105">
        <v>5.1945869999999996E-3</v>
      </c>
      <c r="H93" s="67">
        <v>6.13</v>
      </c>
      <c r="I93" s="137"/>
    </row>
    <row r="94" spans="1:9" x14ac:dyDescent="0.2">
      <c r="A94" s="101">
        <v>19</v>
      </c>
      <c r="B94" s="102" t="s">
        <v>897</v>
      </c>
      <c r="C94" s="102" t="s">
        <v>898</v>
      </c>
      <c r="D94" s="102" t="s">
        <v>685</v>
      </c>
      <c r="E94" s="103">
        <v>50</v>
      </c>
      <c r="F94" s="104">
        <v>505.89850000000001</v>
      </c>
      <c r="G94" s="105">
        <v>2.6323980000000002E-3</v>
      </c>
      <c r="H94" s="67">
        <v>3.38</v>
      </c>
      <c r="I94" s="137"/>
    </row>
    <row r="95" spans="1:9" ht="25.5" x14ac:dyDescent="0.2">
      <c r="A95" s="101">
        <v>20</v>
      </c>
      <c r="B95" s="102" t="s">
        <v>899</v>
      </c>
      <c r="C95" s="102" t="s">
        <v>900</v>
      </c>
      <c r="D95" s="102" t="s">
        <v>685</v>
      </c>
      <c r="E95" s="103">
        <v>50</v>
      </c>
      <c r="F95" s="104">
        <v>503.94299999999998</v>
      </c>
      <c r="G95" s="105">
        <v>2.6222229999999999E-3</v>
      </c>
      <c r="H95" s="67">
        <v>3.395</v>
      </c>
      <c r="I95" s="137"/>
    </row>
    <row r="96" spans="1:9" ht="25.5" x14ac:dyDescent="0.2">
      <c r="A96" s="101">
        <v>21</v>
      </c>
      <c r="B96" s="102" t="s">
        <v>906</v>
      </c>
      <c r="C96" s="102" t="s">
        <v>907</v>
      </c>
      <c r="D96" s="102" t="s">
        <v>685</v>
      </c>
      <c r="E96" s="103">
        <v>49</v>
      </c>
      <c r="F96" s="104">
        <v>491.39404999999999</v>
      </c>
      <c r="G96" s="105">
        <v>2.5569260000000002E-3</v>
      </c>
      <c r="H96" s="67">
        <v>6.891</v>
      </c>
      <c r="I96" s="137"/>
    </row>
    <row r="97" spans="1:9" ht="25.5" x14ac:dyDescent="0.2">
      <c r="A97" s="101">
        <v>22</v>
      </c>
      <c r="B97" s="102" t="s">
        <v>901</v>
      </c>
      <c r="C97" s="102" t="s">
        <v>1013</v>
      </c>
      <c r="D97" s="102" t="s">
        <v>976</v>
      </c>
      <c r="E97" s="103">
        <v>20</v>
      </c>
      <c r="F97" s="104">
        <v>199.01240000000001</v>
      </c>
      <c r="G97" s="105">
        <v>1.035544E-3</v>
      </c>
      <c r="H97" s="67">
        <v>10.307</v>
      </c>
      <c r="I97" s="137"/>
    </row>
    <row r="98" spans="1:9" x14ac:dyDescent="0.2">
      <c r="A98" s="99"/>
      <c r="B98" s="99"/>
      <c r="C98" s="100" t="s">
        <v>105</v>
      </c>
      <c r="D98" s="99"/>
      <c r="E98" s="99" t="s">
        <v>106</v>
      </c>
      <c r="F98" s="106">
        <f>SUM(F76:F97)</f>
        <v>33350.313450000001</v>
      </c>
      <c r="G98" s="107">
        <f>SUM(G76:G97)</f>
        <v>0.17353542499999999</v>
      </c>
      <c r="H98" s="67"/>
      <c r="I98" s="137"/>
    </row>
    <row r="99" spans="1:9" x14ac:dyDescent="0.2">
      <c r="A99" s="99"/>
      <c r="B99" s="99"/>
      <c r="C99" s="108"/>
      <c r="D99" s="99"/>
      <c r="E99" s="99"/>
      <c r="F99" s="109"/>
      <c r="G99" s="109"/>
      <c r="H99" s="67"/>
      <c r="I99" s="137"/>
    </row>
    <row r="100" spans="1:9" x14ac:dyDescent="0.2">
      <c r="A100" s="99"/>
      <c r="B100" s="99"/>
      <c r="C100" s="100" t="s">
        <v>114</v>
      </c>
      <c r="D100" s="99"/>
      <c r="E100" s="99"/>
      <c r="F100" s="99"/>
      <c r="G100" s="99"/>
      <c r="H100" s="67"/>
      <c r="I100" s="137"/>
    </row>
    <row r="101" spans="1:9" x14ac:dyDescent="0.2">
      <c r="A101" s="101">
        <v>1</v>
      </c>
      <c r="B101" s="102" t="s">
        <v>904</v>
      </c>
      <c r="C101" s="102" t="s">
        <v>905</v>
      </c>
      <c r="D101" s="102" t="s">
        <v>685</v>
      </c>
      <c r="E101" s="103">
        <v>50</v>
      </c>
      <c r="F101" s="104">
        <v>540.65250000000003</v>
      </c>
      <c r="G101" s="105">
        <v>2.813238E-3</v>
      </c>
      <c r="H101" s="67">
        <v>6.0449999999999999</v>
      </c>
      <c r="I101" s="137"/>
    </row>
    <row r="102" spans="1:9" x14ac:dyDescent="0.2">
      <c r="A102" s="99"/>
      <c r="B102" s="99"/>
      <c r="C102" s="100" t="s">
        <v>105</v>
      </c>
      <c r="D102" s="99"/>
      <c r="E102" s="99" t="s">
        <v>106</v>
      </c>
      <c r="F102" s="106">
        <v>540.65250000000003</v>
      </c>
      <c r="G102" s="107">
        <v>2.813238E-3</v>
      </c>
      <c r="H102" s="67"/>
      <c r="I102" s="137"/>
    </row>
    <row r="103" spans="1:9" x14ac:dyDescent="0.2">
      <c r="A103" s="99"/>
      <c r="B103" s="99"/>
      <c r="C103" s="108"/>
      <c r="D103" s="99"/>
      <c r="E103" s="99"/>
      <c r="F103" s="109"/>
      <c r="G103" s="109"/>
      <c r="H103" s="67"/>
      <c r="I103" s="137"/>
    </row>
    <row r="104" spans="1:9" x14ac:dyDescent="0.2">
      <c r="A104" s="99"/>
      <c r="B104" s="99"/>
      <c r="C104" s="100" t="s">
        <v>115</v>
      </c>
      <c r="D104" s="99"/>
      <c r="E104" s="99"/>
      <c r="F104" s="99"/>
      <c r="G104" s="99"/>
      <c r="H104" s="67"/>
      <c r="I104" s="137"/>
    </row>
    <row r="105" spans="1:9" ht="25.5" x14ac:dyDescent="0.2">
      <c r="A105" s="101">
        <v>1</v>
      </c>
      <c r="B105" s="102" t="s">
        <v>715</v>
      </c>
      <c r="C105" s="102" t="s">
        <v>1008</v>
      </c>
      <c r="D105" s="102" t="s">
        <v>716</v>
      </c>
      <c r="E105" s="103">
        <v>1800000</v>
      </c>
      <c r="F105" s="104">
        <v>1916.9585999999999</v>
      </c>
      <c r="G105" s="105">
        <v>9.9747259999999997E-3</v>
      </c>
      <c r="H105" s="67">
        <v>4.4429999999999996</v>
      </c>
      <c r="I105" s="137"/>
    </row>
    <row r="106" spans="1:9" ht="25.5" x14ac:dyDescent="0.2">
      <c r="A106" s="101">
        <v>2</v>
      </c>
      <c r="B106" s="102" t="s">
        <v>908</v>
      </c>
      <c r="C106" s="102" t="s">
        <v>1009</v>
      </c>
      <c r="D106" s="102" t="s">
        <v>716</v>
      </c>
      <c r="E106" s="103">
        <v>1500000</v>
      </c>
      <c r="F106" s="104">
        <v>1574.25</v>
      </c>
      <c r="G106" s="105">
        <v>8.191472E-3</v>
      </c>
      <c r="H106" s="67">
        <v>4.1420000000000003</v>
      </c>
      <c r="I106" s="137"/>
    </row>
    <row r="107" spans="1:9" ht="25.5" x14ac:dyDescent="0.2">
      <c r="A107" s="101">
        <v>3</v>
      </c>
      <c r="B107" s="102" t="s">
        <v>909</v>
      </c>
      <c r="C107" s="102" t="s">
        <v>1007</v>
      </c>
      <c r="D107" s="102" t="s">
        <v>716</v>
      </c>
      <c r="E107" s="103">
        <v>1500000</v>
      </c>
      <c r="F107" s="104">
        <v>1498.6935000000001</v>
      </c>
      <c r="G107" s="105">
        <v>7.7983200000000001E-3</v>
      </c>
      <c r="H107" s="67">
        <v>5.65</v>
      </c>
      <c r="I107" s="137"/>
    </row>
    <row r="108" spans="1:9" x14ac:dyDescent="0.2">
      <c r="A108" s="99"/>
      <c r="B108" s="99"/>
      <c r="C108" s="100" t="s">
        <v>105</v>
      </c>
      <c r="D108" s="99"/>
      <c r="E108" s="99" t="s">
        <v>106</v>
      </c>
      <c r="F108" s="106">
        <v>4989.9021000000002</v>
      </c>
      <c r="G108" s="107">
        <v>2.5964517999999999E-2</v>
      </c>
      <c r="H108" s="67"/>
      <c r="I108" s="137"/>
    </row>
    <row r="109" spans="1:9" x14ac:dyDescent="0.2">
      <c r="A109" s="99"/>
      <c r="B109" s="99"/>
      <c r="C109" s="108"/>
      <c r="D109" s="99"/>
      <c r="E109" s="99"/>
      <c r="F109" s="109"/>
      <c r="G109" s="109"/>
      <c r="H109" s="67"/>
      <c r="I109" s="137"/>
    </row>
    <row r="110" spans="1:9" x14ac:dyDescent="0.2">
      <c r="A110" s="99"/>
      <c r="B110" s="99"/>
      <c r="C110" s="100" t="s">
        <v>116</v>
      </c>
      <c r="D110" s="99"/>
      <c r="E110" s="99"/>
      <c r="F110" s="109"/>
      <c r="G110" s="109"/>
      <c r="H110" s="67"/>
      <c r="I110" s="137"/>
    </row>
    <row r="111" spans="1:9" x14ac:dyDescent="0.2">
      <c r="A111" s="99"/>
      <c r="B111" s="99"/>
      <c r="C111" s="100" t="s">
        <v>105</v>
      </c>
      <c r="D111" s="99"/>
      <c r="E111" s="99" t="s">
        <v>106</v>
      </c>
      <c r="F111" s="110">
        <v>0</v>
      </c>
      <c r="G111" s="111">
        <v>0</v>
      </c>
      <c r="H111" s="67"/>
      <c r="I111" s="137"/>
    </row>
    <row r="112" spans="1:9" x14ac:dyDescent="0.2">
      <c r="A112" s="99"/>
      <c r="B112" s="99"/>
      <c r="C112" s="108"/>
      <c r="D112" s="99"/>
      <c r="E112" s="99"/>
      <c r="F112" s="109"/>
      <c r="G112" s="109"/>
      <c r="H112" s="67"/>
      <c r="I112" s="137"/>
    </row>
    <row r="113" spans="1:9" x14ac:dyDescent="0.2">
      <c r="A113" s="99"/>
      <c r="B113" s="99"/>
      <c r="C113" s="100" t="s">
        <v>117</v>
      </c>
      <c r="D113" s="99"/>
      <c r="E113" s="99"/>
      <c r="F113" s="106">
        <v>38880.868049999997</v>
      </c>
      <c r="G113" s="107">
        <v>0.20231318100000001</v>
      </c>
      <c r="H113" s="67"/>
      <c r="I113" s="137"/>
    </row>
    <row r="114" spans="1:9" x14ac:dyDescent="0.2">
      <c r="A114" s="99"/>
      <c r="B114" s="99"/>
      <c r="C114" s="108"/>
      <c r="D114" s="99"/>
      <c r="E114" s="99"/>
      <c r="F114" s="109"/>
      <c r="G114" s="109"/>
      <c r="H114" s="67"/>
      <c r="I114" s="137"/>
    </row>
    <row r="115" spans="1:9" x14ac:dyDescent="0.2">
      <c r="A115" s="99"/>
      <c r="B115" s="99"/>
      <c r="C115" s="100" t="s">
        <v>118</v>
      </c>
      <c r="D115" s="99"/>
      <c r="E115" s="99"/>
      <c r="F115" s="109"/>
      <c r="G115" s="109"/>
      <c r="H115" s="67"/>
      <c r="I115" s="137"/>
    </row>
    <row r="116" spans="1:9" x14ac:dyDescent="0.2">
      <c r="A116" s="99"/>
      <c r="B116" s="99"/>
      <c r="C116" s="100" t="s">
        <v>119</v>
      </c>
      <c r="D116" s="99"/>
      <c r="E116" s="99"/>
      <c r="F116" s="109"/>
      <c r="G116" s="109"/>
      <c r="H116" s="67"/>
      <c r="I116" s="137"/>
    </row>
    <row r="117" spans="1:9" x14ac:dyDescent="0.2">
      <c r="A117" s="99"/>
      <c r="B117" s="99"/>
      <c r="C117" s="100" t="s">
        <v>105</v>
      </c>
      <c r="D117" s="99"/>
      <c r="E117" s="99" t="s">
        <v>106</v>
      </c>
      <c r="F117" s="110">
        <v>0</v>
      </c>
      <c r="G117" s="111">
        <v>0</v>
      </c>
      <c r="H117" s="67"/>
      <c r="I117" s="137"/>
    </row>
    <row r="118" spans="1:9" x14ac:dyDescent="0.2">
      <c r="A118" s="99"/>
      <c r="B118" s="99"/>
      <c r="C118" s="108"/>
      <c r="D118" s="99"/>
      <c r="E118" s="99"/>
      <c r="F118" s="109"/>
      <c r="G118" s="109"/>
      <c r="H118" s="67"/>
      <c r="I118" s="137"/>
    </row>
    <row r="119" spans="1:9" x14ac:dyDescent="0.2">
      <c r="A119" s="99"/>
      <c r="B119" s="99"/>
      <c r="C119" s="100" t="s">
        <v>120</v>
      </c>
      <c r="D119" s="99"/>
      <c r="E119" s="99"/>
      <c r="F119" s="109"/>
      <c r="G119" s="109"/>
      <c r="H119" s="67"/>
      <c r="I119" s="137"/>
    </row>
    <row r="120" spans="1:9" x14ac:dyDescent="0.2">
      <c r="A120" s="99"/>
      <c r="B120" s="99"/>
      <c r="C120" s="100" t="s">
        <v>105</v>
      </c>
      <c r="D120" s="99"/>
      <c r="E120" s="99" t="s">
        <v>106</v>
      </c>
      <c r="F120" s="110">
        <v>0</v>
      </c>
      <c r="G120" s="111">
        <v>0</v>
      </c>
      <c r="H120" s="67"/>
      <c r="I120" s="137"/>
    </row>
    <row r="121" spans="1:9" x14ac:dyDescent="0.2">
      <c r="A121" s="99"/>
      <c r="B121" s="99"/>
      <c r="C121" s="108"/>
      <c r="D121" s="99"/>
      <c r="E121" s="99"/>
      <c r="F121" s="109"/>
      <c r="G121" s="109"/>
      <c r="H121" s="67"/>
      <c r="I121" s="137"/>
    </row>
    <row r="122" spans="1:9" x14ac:dyDescent="0.2">
      <c r="A122" s="99"/>
      <c r="B122" s="99"/>
      <c r="C122" s="100" t="s">
        <v>121</v>
      </c>
      <c r="D122" s="99"/>
      <c r="E122" s="99"/>
      <c r="F122" s="109"/>
      <c r="G122" s="109"/>
      <c r="H122" s="67"/>
      <c r="I122" s="137"/>
    </row>
    <row r="123" spans="1:9" x14ac:dyDescent="0.2">
      <c r="A123" s="99"/>
      <c r="B123" s="99"/>
      <c r="C123" s="100" t="s">
        <v>105</v>
      </c>
      <c r="D123" s="99"/>
      <c r="E123" s="99" t="s">
        <v>106</v>
      </c>
      <c r="F123" s="110">
        <v>0</v>
      </c>
      <c r="G123" s="111">
        <v>0</v>
      </c>
      <c r="H123" s="67"/>
      <c r="I123" s="137"/>
    </row>
    <row r="124" spans="1:9" x14ac:dyDescent="0.2">
      <c r="A124" s="99"/>
      <c r="B124" s="99"/>
      <c r="C124" s="108"/>
      <c r="D124" s="99"/>
      <c r="E124" s="99"/>
      <c r="F124" s="109"/>
      <c r="G124" s="109"/>
      <c r="H124" s="67"/>
      <c r="I124" s="137"/>
    </row>
    <row r="125" spans="1:9" x14ac:dyDescent="0.2">
      <c r="A125" s="99"/>
      <c r="B125" s="99"/>
      <c r="C125" s="100" t="s">
        <v>122</v>
      </c>
      <c r="D125" s="99"/>
      <c r="E125" s="99"/>
      <c r="F125" s="109"/>
      <c r="G125" s="109"/>
      <c r="H125" s="67"/>
      <c r="I125" s="137"/>
    </row>
    <row r="126" spans="1:9" x14ac:dyDescent="0.2">
      <c r="A126" s="101">
        <v>1</v>
      </c>
      <c r="B126" s="102"/>
      <c r="C126" s="102" t="s">
        <v>123</v>
      </c>
      <c r="D126" s="102"/>
      <c r="E126" s="112"/>
      <c r="F126" s="104">
        <v>4228.6971014000001</v>
      </c>
      <c r="G126" s="105">
        <v>2.2003654000000001E-2</v>
      </c>
      <c r="H126" s="67">
        <v>3.1047477660654299</v>
      </c>
      <c r="I126" s="137"/>
    </row>
    <row r="127" spans="1:9" x14ac:dyDescent="0.2">
      <c r="A127" s="99"/>
      <c r="B127" s="99"/>
      <c r="C127" s="100" t="s">
        <v>105</v>
      </c>
      <c r="D127" s="99"/>
      <c r="E127" s="99" t="s">
        <v>106</v>
      </c>
      <c r="F127" s="106">
        <v>4228.6971014000001</v>
      </c>
      <c r="G127" s="107">
        <v>2.2003654000000001E-2</v>
      </c>
      <c r="H127" s="67"/>
      <c r="I127" s="137"/>
    </row>
    <row r="128" spans="1:9" x14ac:dyDescent="0.2">
      <c r="A128" s="99"/>
      <c r="B128" s="99"/>
      <c r="C128" s="108"/>
      <c r="D128" s="99"/>
      <c r="E128" s="99"/>
      <c r="F128" s="109"/>
      <c r="G128" s="109"/>
      <c r="H128" s="67"/>
      <c r="I128" s="137"/>
    </row>
    <row r="129" spans="1:9" x14ac:dyDescent="0.2">
      <c r="A129" s="99"/>
      <c r="B129" s="99"/>
      <c r="C129" s="100" t="s">
        <v>124</v>
      </c>
      <c r="D129" s="99"/>
      <c r="E129" s="99"/>
      <c r="F129" s="106">
        <v>4228.6971014000001</v>
      </c>
      <c r="G129" s="107">
        <v>2.2003654000000001E-2</v>
      </c>
      <c r="H129" s="67"/>
      <c r="I129" s="137"/>
    </row>
    <row r="130" spans="1:9" x14ac:dyDescent="0.2">
      <c r="A130" s="99"/>
      <c r="B130" s="99"/>
      <c r="C130" s="109"/>
      <c r="D130" s="99"/>
      <c r="E130" s="99"/>
      <c r="F130" s="99"/>
      <c r="G130" s="99"/>
      <c r="H130" s="67"/>
      <c r="I130" s="137"/>
    </row>
    <row r="131" spans="1:9" x14ac:dyDescent="0.2">
      <c r="A131" s="99"/>
      <c r="B131" s="99"/>
      <c r="C131" s="100" t="s">
        <v>125</v>
      </c>
      <c r="D131" s="99"/>
      <c r="E131" s="99"/>
      <c r="F131" s="99"/>
      <c r="G131" s="99"/>
      <c r="H131" s="67"/>
      <c r="I131" s="137"/>
    </row>
    <row r="132" spans="1:9" x14ac:dyDescent="0.2">
      <c r="A132" s="99"/>
      <c r="B132" s="99"/>
      <c r="C132" s="100" t="s">
        <v>126</v>
      </c>
      <c r="D132" s="99"/>
      <c r="E132" s="99"/>
      <c r="F132" s="99"/>
      <c r="G132" s="99"/>
      <c r="H132" s="67"/>
      <c r="I132" s="137"/>
    </row>
    <row r="133" spans="1:9" x14ac:dyDescent="0.2">
      <c r="A133" s="99"/>
      <c r="B133" s="99"/>
      <c r="C133" s="100" t="s">
        <v>105</v>
      </c>
      <c r="D133" s="99"/>
      <c r="E133" s="99" t="s">
        <v>106</v>
      </c>
      <c r="F133" s="110">
        <v>0</v>
      </c>
      <c r="G133" s="111">
        <v>0</v>
      </c>
      <c r="H133" s="67"/>
      <c r="I133" s="137"/>
    </row>
    <row r="134" spans="1:9" x14ac:dyDescent="0.2">
      <c r="A134" s="99"/>
      <c r="B134" s="99"/>
      <c r="C134" s="108"/>
      <c r="D134" s="99"/>
      <c r="E134" s="99"/>
      <c r="F134" s="109"/>
      <c r="G134" s="109"/>
      <c r="H134" s="67"/>
      <c r="I134" s="137"/>
    </row>
    <row r="135" spans="1:9" x14ac:dyDescent="0.2">
      <c r="A135" s="99"/>
      <c r="B135" s="99"/>
      <c r="C135" s="100" t="s">
        <v>127</v>
      </c>
      <c r="D135" s="99"/>
      <c r="E135" s="99"/>
      <c r="F135" s="99"/>
      <c r="G135" s="99"/>
      <c r="H135" s="67"/>
      <c r="I135" s="137"/>
    </row>
    <row r="136" spans="1:9" x14ac:dyDescent="0.2">
      <c r="A136" s="99"/>
      <c r="B136" s="99"/>
      <c r="C136" s="100" t="s">
        <v>128</v>
      </c>
      <c r="D136" s="99"/>
      <c r="E136" s="99"/>
      <c r="F136" s="99"/>
      <c r="G136" s="99"/>
      <c r="H136" s="67"/>
      <c r="I136" s="137"/>
    </row>
    <row r="137" spans="1:9" x14ac:dyDescent="0.2">
      <c r="A137" s="99"/>
      <c r="B137" s="99"/>
      <c r="C137" s="100" t="s">
        <v>105</v>
      </c>
      <c r="D137" s="99"/>
      <c r="E137" s="99" t="s">
        <v>106</v>
      </c>
      <c r="F137" s="110">
        <v>0</v>
      </c>
      <c r="G137" s="111">
        <v>0</v>
      </c>
      <c r="H137" s="67"/>
      <c r="I137" s="137"/>
    </row>
    <row r="138" spans="1:9" x14ac:dyDescent="0.2">
      <c r="A138" s="99"/>
      <c r="B138" s="99"/>
      <c r="C138" s="108"/>
      <c r="D138" s="99"/>
      <c r="E138" s="99"/>
      <c r="F138" s="109"/>
      <c r="G138" s="109"/>
      <c r="H138" s="67"/>
      <c r="I138" s="137"/>
    </row>
    <row r="139" spans="1:9" ht="25.5" x14ac:dyDescent="0.2">
      <c r="A139" s="99"/>
      <c r="B139" s="99"/>
      <c r="C139" s="100" t="s">
        <v>129</v>
      </c>
      <c r="D139" s="99"/>
      <c r="E139" s="99"/>
      <c r="F139" s="109"/>
      <c r="G139" s="109"/>
      <c r="H139" s="67"/>
      <c r="I139" s="137"/>
    </row>
    <row r="140" spans="1:9" x14ac:dyDescent="0.2">
      <c r="A140" s="99"/>
      <c r="B140" s="99"/>
      <c r="C140" s="100" t="s">
        <v>105</v>
      </c>
      <c r="D140" s="99"/>
      <c r="E140" s="99" t="s">
        <v>106</v>
      </c>
      <c r="F140" s="110">
        <v>0</v>
      </c>
      <c r="G140" s="111">
        <v>0</v>
      </c>
      <c r="H140" s="67"/>
      <c r="I140" s="137"/>
    </row>
    <row r="141" spans="1:9" x14ac:dyDescent="0.2">
      <c r="A141" s="99"/>
      <c r="B141" s="99"/>
      <c r="C141" s="108"/>
      <c r="D141" s="99"/>
      <c r="E141" s="99"/>
      <c r="F141" s="109"/>
      <c r="G141" s="109"/>
      <c r="H141" s="67"/>
      <c r="I141" s="137"/>
    </row>
    <row r="142" spans="1:9" x14ac:dyDescent="0.2">
      <c r="A142" s="99"/>
      <c r="B142" s="102"/>
      <c r="C142" s="102"/>
      <c r="D142" s="100"/>
      <c r="E142" s="99"/>
      <c r="F142" s="102"/>
      <c r="G142" s="112"/>
      <c r="H142" s="67"/>
      <c r="I142" s="137"/>
    </row>
    <row r="143" spans="1:9" x14ac:dyDescent="0.2">
      <c r="A143" s="112"/>
      <c r="B143" s="102"/>
      <c r="C143" s="102" t="s">
        <v>864</v>
      </c>
      <c r="D143" s="102"/>
      <c r="E143" s="112"/>
      <c r="F143" s="104">
        <v>-795.32739042000003</v>
      </c>
      <c r="G143" s="105">
        <v>-4.1384159999999998E-3</v>
      </c>
      <c r="H143" s="67"/>
      <c r="I143" s="137"/>
    </row>
    <row r="144" spans="1:9" x14ac:dyDescent="0.2">
      <c r="A144" s="108"/>
      <c r="B144" s="108"/>
      <c r="C144" s="100" t="s">
        <v>131</v>
      </c>
      <c r="D144" s="109"/>
      <c r="E144" s="109"/>
      <c r="F144" s="106">
        <v>192181.58622947999</v>
      </c>
      <c r="G144" s="107">
        <v>1.0000000010000001</v>
      </c>
      <c r="H144" s="67"/>
      <c r="I144" s="137"/>
    </row>
    <row r="145" spans="1:7" ht="14.1" customHeight="1" x14ac:dyDescent="0.2">
      <c r="A145" s="113"/>
      <c r="B145" s="113"/>
      <c r="C145" s="113"/>
      <c r="D145" s="114"/>
      <c r="E145" s="114"/>
      <c r="F145" s="114"/>
      <c r="G145" s="114"/>
    </row>
    <row r="146" spans="1:7" ht="17.100000000000001" customHeight="1" x14ac:dyDescent="0.2">
      <c r="A146" s="115"/>
      <c r="B146" s="177" t="s">
        <v>865</v>
      </c>
      <c r="C146" s="177"/>
      <c r="D146" s="177"/>
      <c r="E146" s="177"/>
      <c r="F146" s="177"/>
      <c r="G146" s="116"/>
    </row>
    <row r="147" spans="1:7" ht="17.100000000000001" customHeight="1" x14ac:dyDescent="0.2">
      <c r="A147" s="115"/>
      <c r="B147" s="177" t="s">
        <v>866</v>
      </c>
      <c r="C147" s="177"/>
      <c r="D147" s="177"/>
      <c r="E147" s="177"/>
      <c r="F147" s="177"/>
      <c r="G147" s="116"/>
    </row>
    <row r="148" spans="1:7" ht="14.1" customHeight="1" x14ac:dyDescent="0.2">
      <c r="A148" s="115"/>
      <c r="B148" s="177" t="s">
        <v>106</v>
      </c>
      <c r="C148" s="177"/>
      <c r="D148" s="177"/>
      <c r="E148" s="177"/>
      <c r="F148" s="177"/>
      <c r="G148" s="116"/>
    </row>
    <row r="149" spans="1:7" ht="14.1" customHeight="1" x14ac:dyDescent="0.2">
      <c r="A149" s="115"/>
      <c r="B149" s="115"/>
      <c r="C149" s="115"/>
      <c r="D149" s="116"/>
      <c r="E149" s="116"/>
      <c r="F149" s="116"/>
      <c r="G149" s="116"/>
    </row>
    <row r="150" spans="1:7" ht="14.1" customHeight="1" x14ac:dyDescent="0.2">
      <c r="A150" s="115"/>
      <c r="B150" s="181" t="s">
        <v>133</v>
      </c>
      <c r="C150" s="182"/>
      <c r="D150" s="183"/>
      <c r="E150" s="117"/>
      <c r="F150" s="116"/>
      <c r="G150" s="116"/>
    </row>
    <row r="151" spans="1:7" ht="29.1" customHeight="1" x14ac:dyDescent="0.2">
      <c r="A151" s="115"/>
      <c r="B151" s="179" t="s">
        <v>134</v>
      </c>
      <c r="C151" s="180"/>
      <c r="D151" s="2" t="s">
        <v>1012</v>
      </c>
      <c r="E151" s="117"/>
      <c r="F151" s="116"/>
      <c r="G151" s="116"/>
    </row>
    <row r="152" spans="1:7" ht="17.100000000000001" customHeight="1" x14ac:dyDescent="0.2">
      <c r="A152" s="115"/>
      <c r="B152" s="179" t="s">
        <v>136</v>
      </c>
      <c r="C152" s="180"/>
      <c r="D152" s="100" t="s">
        <v>135</v>
      </c>
      <c r="E152" s="117"/>
      <c r="F152" s="116"/>
      <c r="G152" s="116"/>
    </row>
    <row r="153" spans="1:7" ht="17.100000000000001" customHeight="1" x14ac:dyDescent="0.2">
      <c r="A153" s="115"/>
      <c r="B153" s="179" t="s">
        <v>137</v>
      </c>
      <c r="C153" s="180"/>
      <c r="D153" s="109" t="s">
        <v>106</v>
      </c>
      <c r="E153" s="117"/>
      <c r="F153" s="116"/>
      <c r="G153" s="116"/>
    </row>
    <row r="154" spans="1:7" ht="24" customHeight="1" x14ac:dyDescent="0.2">
      <c r="A154" s="118"/>
      <c r="B154" s="119" t="s">
        <v>106</v>
      </c>
      <c r="C154" s="119" t="s">
        <v>138</v>
      </c>
      <c r="D154" s="119" t="s">
        <v>139</v>
      </c>
      <c r="E154" s="118"/>
      <c r="F154" s="118"/>
      <c r="G154" s="118"/>
    </row>
    <row r="155" spans="1:7" ht="18" customHeight="1" x14ac:dyDescent="0.2">
      <c r="A155" s="118"/>
      <c r="B155" s="120" t="s">
        <v>140</v>
      </c>
      <c r="C155" s="119" t="s">
        <v>141</v>
      </c>
      <c r="D155" s="119" t="s">
        <v>142</v>
      </c>
      <c r="E155" s="118"/>
      <c r="F155" s="118"/>
      <c r="G155" s="118"/>
    </row>
    <row r="156" spans="1:7" ht="17.100000000000001" customHeight="1" x14ac:dyDescent="0.2">
      <c r="A156" s="118"/>
      <c r="B156" s="102" t="s">
        <v>143</v>
      </c>
      <c r="C156" s="121">
        <v>135.43549999999999</v>
      </c>
      <c r="D156" s="121">
        <v>141.9229</v>
      </c>
      <c r="E156" s="118"/>
      <c r="F156" s="122"/>
      <c r="G156" s="123"/>
    </row>
    <row r="157" spans="1:7" ht="17.100000000000001" customHeight="1" x14ac:dyDescent="0.2">
      <c r="A157" s="118"/>
      <c r="B157" s="102" t="s">
        <v>988</v>
      </c>
      <c r="C157" s="121">
        <v>18.0351</v>
      </c>
      <c r="D157" s="121">
        <v>18.728999999999999</v>
      </c>
      <c r="E157" s="118"/>
      <c r="F157" s="122"/>
      <c r="G157" s="123"/>
    </row>
    <row r="158" spans="1:7" ht="17.100000000000001" customHeight="1" x14ac:dyDescent="0.2">
      <c r="A158" s="118"/>
      <c r="B158" s="102" t="s">
        <v>144</v>
      </c>
      <c r="C158" s="121">
        <v>125.75790000000001</v>
      </c>
      <c r="D158" s="121">
        <v>131.6337</v>
      </c>
      <c r="E158" s="118"/>
      <c r="F158" s="122"/>
      <c r="G158" s="123"/>
    </row>
    <row r="159" spans="1:7" ht="17.100000000000001" customHeight="1" x14ac:dyDescent="0.2">
      <c r="A159" s="118"/>
      <c r="B159" s="102" t="s">
        <v>989</v>
      </c>
      <c r="C159" s="121">
        <v>15.9366</v>
      </c>
      <c r="D159" s="121">
        <v>16.530799999999999</v>
      </c>
      <c r="E159" s="118"/>
      <c r="F159" s="122"/>
      <c r="G159" s="123"/>
    </row>
    <row r="160" spans="1:7" ht="14.1" customHeight="1" x14ac:dyDescent="0.2">
      <c r="A160" s="118"/>
      <c r="B160" s="118"/>
      <c r="C160" s="118"/>
      <c r="D160" s="118"/>
      <c r="E160" s="118"/>
      <c r="F160" s="118"/>
      <c r="G160" s="118"/>
    </row>
    <row r="161" spans="1:8" ht="17.100000000000001" customHeight="1" x14ac:dyDescent="0.2">
      <c r="A161" s="118"/>
      <c r="B161" s="179" t="s">
        <v>990</v>
      </c>
      <c r="C161" s="180"/>
      <c r="D161" s="100" t="s">
        <v>106</v>
      </c>
      <c r="E161" s="118"/>
      <c r="F161" s="118"/>
      <c r="G161" s="118"/>
    </row>
    <row r="162" spans="1:8" ht="18" customHeight="1" x14ac:dyDescent="0.2">
      <c r="A162" s="118"/>
      <c r="B162" s="127" t="s">
        <v>140</v>
      </c>
      <c r="C162" s="128" t="s">
        <v>910</v>
      </c>
      <c r="D162" s="128" t="s">
        <v>911</v>
      </c>
      <c r="E162" s="118"/>
      <c r="F162" s="118"/>
      <c r="G162" s="118"/>
    </row>
    <row r="163" spans="1:8" ht="17.100000000000001" customHeight="1" x14ac:dyDescent="0.2">
      <c r="A163" s="118"/>
      <c r="B163" s="102" t="s">
        <v>988</v>
      </c>
      <c r="C163" s="129">
        <v>0.16600000000000001</v>
      </c>
      <c r="D163" s="129">
        <v>0.16600000000000001</v>
      </c>
      <c r="E163" s="118"/>
      <c r="F163" s="122"/>
      <c r="G163" s="123"/>
    </row>
    <row r="164" spans="1:8" ht="17.100000000000001" customHeight="1" x14ac:dyDescent="0.2">
      <c r="A164" s="118"/>
      <c r="B164" s="102" t="s">
        <v>989</v>
      </c>
      <c r="C164" s="129">
        <v>0.14699999999999999</v>
      </c>
      <c r="D164" s="129">
        <v>0.14699999999999999</v>
      </c>
      <c r="E164" s="118"/>
      <c r="F164" s="122"/>
      <c r="G164" s="123"/>
    </row>
    <row r="165" spans="1:8" ht="14.1" customHeight="1" x14ac:dyDescent="0.2">
      <c r="A165" s="118"/>
      <c r="B165" s="130"/>
      <c r="C165" s="130"/>
      <c r="D165" s="131"/>
      <c r="E165" s="118"/>
      <c r="F165" s="122"/>
      <c r="G165" s="123"/>
    </row>
    <row r="166" spans="1:8" s="158" customFormat="1" x14ac:dyDescent="0.2">
      <c r="B166" s="167" t="s">
        <v>822</v>
      </c>
      <c r="C166" s="167"/>
      <c r="D166" s="167"/>
      <c r="E166" s="167"/>
      <c r="F166" s="167"/>
    </row>
    <row r="167" spans="1:8" ht="14.1" customHeight="1" x14ac:dyDescent="0.2">
      <c r="A167" s="118"/>
      <c r="B167" s="122"/>
      <c r="C167" s="122"/>
      <c r="D167" s="118"/>
      <c r="E167" s="118"/>
      <c r="F167" s="118"/>
      <c r="G167" s="118"/>
    </row>
    <row r="168" spans="1:8" ht="29.1" customHeight="1" x14ac:dyDescent="0.2">
      <c r="A168" s="118"/>
      <c r="B168" s="179" t="s">
        <v>146</v>
      </c>
      <c r="C168" s="180"/>
      <c r="D168" s="100" t="s">
        <v>135</v>
      </c>
      <c r="E168" s="125"/>
      <c r="F168" s="118"/>
      <c r="G168" s="118"/>
    </row>
    <row r="169" spans="1:8" ht="29.1" customHeight="1" x14ac:dyDescent="0.2">
      <c r="A169" s="118"/>
      <c r="B169" s="179" t="s">
        <v>147</v>
      </c>
      <c r="C169" s="180"/>
      <c r="D169" s="100" t="s">
        <v>135</v>
      </c>
      <c r="E169" s="125"/>
      <c r="F169" s="118"/>
      <c r="G169" s="118"/>
    </row>
    <row r="170" spans="1:8" ht="17.100000000000001" customHeight="1" x14ac:dyDescent="0.2">
      <c r="A170" s="118"/>
      <c r="B170" s="187" t="s">
        <v>964</v>
      </c>
      <c r="C170" s="188"/>
      <c r="D170" s="126">
        <v>4.5481683788752312</v>
      </c>
      <c r="E170" s="125"/>
      <c r="F170" s="118"/>
      <c r="G170" s="118"/>
    </row>
    <row r="171" spans="1:8" ht="17.100000000000001" customHeight="1" x14ac:dyDescent="0.2">
      <c r="A171" s="118"/>
      <c r="B171" s="187" t="s">
        <v>965</v>
      </c>
      <c r="C171" s="188"/>
      <c r="D171" s="126">
        <v>3.4327853988051955</v>
      </c>
      <c r="E171" s="125"/>
      <c r="F171" s="118"/>
      <c r="G171" s="118"/>
    </row>
    <row r="172" spans="1:8" ht="17.100000000000001" customHeight="1" x14ac:dyDescent="0.2">
      <c r="A172" s="118"/>
      <c r="B172" s="179" t="s">
        <v>867</v>
      </c>
      <c r="C172" s="180"/>
      <c r="D172" s="100" t="s">
        <v>135</v>
      </c>
      <c r="E172" s="125"/>
      <c r="F172" s="118"/>
      <c r="G172" s="118"/>
    </row>
    <row r="173" spans="1:8" ht="17.100000000000001" customHeight="1" x14ac:dyDescent="0.2">
      <c r="A173" s="118"/>
      <c r="B173" s="179" t="s">
        <v>963</v>
      </c>
      <c r="C173" s="180"/>
      <c r="D173" s="27">
        <v>0.81033392523471781</v>
      </c>
      <c r="E173" s="118"/>
      <c r="F173" s="122"/>
      <c r="G173" s="123"/>
    </row>
    <row r="174" spans="1:8" ht="11.1" customHeight="1" x14ac:dyDescent="0.2">
      <c r="A174" s="124"/>
      <c r="B174" s="124"/>
      <c r="C174" s="124"/>
      <c r="D174" s="124"/>
      <c r="E174" s="124"/>
      <c r="F174" s="124"/>
      <c r="G174" s="124"/>
    </row>
    <row r="175" spans="1:8" ht="13.5" customHeight="1" thickBot="1" x14ac:dyDescent="0.25">
      <c r="A175" s="124"/>
      <c r="B175" s="196" t="s">
        <v>1011</v>
      </c>
      <c r="C175" s="196"/>
      <c r="D175" s="196"/>
      <c r="E175" s="196"/>
      <c r="F175" s="196"/>
      <c r="G175" s="196"/>
      <c r="H175" s="196"/>
    </row>
    <row r="176" spans="1:8" x14ac:dyDescent="0.2">
      <c r="B176" s="199" t="s">
        <v>790</v>
      </c>
      <c r="C176" s="200" t="s">
        <v>791</v>
      </c>
      <c r="D176" s="201" t="s">
        <v>792</v>
      </c>
      <c r="E176" s="201"/>
      <c r="F176" s="201"/>
      <c r="G176" s="202" t="s">
        <v>793</v>
      </c>
      <c r="H176" s="203"/>
    </row>
    <row r="177" spans="2:8" ht="25.5" x14ac:dyDescent="0.2">
      <c r="B177" s="35" t="s">
        <v>794</v>
      </c>
      <c r="C177" s="163" t="s">
        <v>795</v>
      </c>
      <c r="D177" s="197">
        <v>0</v>
      </c>
      <c r="E177" s="197"/>
      <c r="F177" s="197"/>
      <c r="G177" s="197">
        <v>0</v>
      </c>
      <c r="H177" s="198"/>
    </row>
    <row r="178" spans="2:8" x14ac:dyDescent="0.2">
      <c r="B178" s="35"/>
      <c r="C178" s="204"/>
      <c r="D178" s="205"/>
      <c r="E178" s="206"/>
      <c r="F178" s="207"/>
      <c r="G178" s="205"/>
      <c r="H178" s="208"/>
    </row>
    <row r="179" spans="2:8" x14ac:dyDescent="0.2">
      <c r="B179" s="209" t="s">
        <v>796</v>
      </c>
      <c r="C179" s="210"/>
      <c r="D179" s="210"/>
      <c r="E179" s="210"/>
      <c r="F179" s="210"/>
      <c r="G179" s="210"/>
      <c r="H179" s="211"/>
    </row>
    <row r="180" spans="2:8" x14ac:dyDescent="0.2">
      <c r="B180" s="212" t="s">
        <v>790</v>
      </c>
      <c r="C180" s="213" t="s">
        <v>791</v>
      </c>
      <c r="D180" s="214" t="s">
        <v>797</v>
      </c>
      <c r="E180" s="215"/>
      <c r="F180" s="215"/>
      <c r="G180" s="215"/>
      <c r="H180" s="216"/>
    </row>
    <row r="181" spans="2:8" ht="51" x14ac:dyDescent="0.2">
      <c r="B181" s="217"/>
      <c r="C181" s="218"/>
      <c r="D181" s="219" t="s">
        <v>798</v>
      </c>
      <c r="E181" s="219" t="s">
        <v>799</v>
      </c>
      <c r="F181" s="219" t="s">
        <v>800</v>
      </c>
      <c r="G181" s="219" t="s">
        <v>801</v>
      </c>
      <c r="H181" s="220" t="s">
        <v>978</v>
      </c>
    </row>
    <row r="182" spans="2:8" ht="26.25" thickBot="1" x14ac:dyDescent="0.25">
      <c r="B182" s="36" t="s">
        <v>794</v>
      </c>
      <c r="C182" s="164" t="s">
        <v>795</v>
      </c>
      <c r="D182" s="37">
        <v>700</v>
      </c>
      <c r="E182" s="37">
        <v>24.098357999999998</v>
      </c>
      <c r="F182" s="38">
        <v>0</v>
      </c>
      <c r="G182" s="39">
        <v>724.09835799999996</v>
      </c>
      <c r="H182" s="40">
        <v>3.8E-3</v>
      </c>
    </row>
    <row r="183" spans="2:8" x14ac:dyDescent="0.2">
      <c r="B183" s="221"/>
      <c r="C183" s="222"/>
      <c r="D183" s="223"/>
      <c r="E183" s="223"/>
      <c r="F183" s="224"/>
      <c r="G183" s="223"/>
      <c r="H183" s="225"/>
    </row>
    <row r="184" spans="2:8" ht="26.25" customHeight="1" thickBot="1" x14ac:dyDescent="0.25">
      <c r="B184" s="184" t="s">
        <v>802</v>
      </c>
      <c r="C184" s="185"/>
      <c r="D184" s="185"/>
      <c r="E184" s="185"/>
      <c r="F184" s="185"/>
      <c r="G184" s="185"/>
      <c r="H184" s="186"/>
    </row>
  </sheetData>
  <mergeCells count="30">
    <mergeCell ref="A1:I1"/>
    <mergeCell ref="A2:I2"/>
    <mergeCell ref="A3:I3"/>
    <mergeCell ref="B166:F166"/>
    <mergeCell ref="B168:C168"/>
    <mergeCell ref="B146:F146"/>
    <mergeCell ref="B147:F147"/>
    <mergeCell ref="B148:F148"/>
    <mergeCell ref="B150:D150"/>
    <mergeCell ref="B151:C151"/>
    <mergeCell ref="B152:C152"/>
    <mergeCell ref="B153:C153"/>
    <mergeCell ref="B161:C161"/>
    <mergeCell ref="D176:F176"/>
    <mergeCell ref="G176:H176"/>
    <mergeCell ref="D177:F177"/>
    <mergeCell ref="G177:H177"/>
    <mergeCell ref="B169:C169"/>
    <mergeCell ref="B170:C170"/>
    <mergeCell ref="B171:C171"/>
    <mergeCell ref="B172:C172"/>
    <mergeCell ref="B173:C173"/>
    <mergeCell ref="B175:H175"/>
    <mergeCell ref="B184:H184"/>
    <mergeCell ref="D178:F178"/>
    <mergeCell ref="G178:H178"/>
    <mergeCell ref="B179:H179"/>
    <mergeCell ref="B180:B181"/>
    <mergeCell ref="C180:C181"/>
    <mergeCell ref="D180:G180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H14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693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400</v>
      </c>
      <c r="C7" s="4" t="s">
        <v>401</v>
      </c>
      <c r="D7" s="4" t="s">
        <v>166</v>
      </c>
      <c r="E7" s="5">
        <v>577633</v>
      </c>
      <c r="F7" s="6">
        <v>9857.0183285000003</v>
      </c>
      <c r="G7" s="7">
        <v>7.8386721000000006E-2</v>
      </c>
      <c r="H7" s="67"/>
    </row>
    <row r="8" spans="1:8" x14ac:dyDescent="0.2">
      <c r="A8" s="3">
        <v>2</v>
      </c>
      <c r="B8" s="4" t="s">
        <v>398</v>
      </c>
      <c r="C8" s="4" t="s">
        <v>399</v>
      </c>
      <c r="D8" s="4" t="s">
        <v>24</v>
      </c>
      <c r="E8" s="5">
        <v>608253</v>
      </c>
      <c r="F8" s="6">
        <v>9618.9129420000008</v>
      </c>
      <c r="G8" s="7">
        <v>7.6493218000000002E-2</v>
      </c>
      <c r="H8" s="67"/>
    </row>
    <row r="9" spans="1:8" x14ac:dyDescent="0.2">
      <c r="A9" s="3">
        <v>3</v>
      </c>
      <c r="B9" s="4" t="s">
        <v>22</v>
      </c>
      <c r="C9" s="4" t="s">
        <v>23</v>
      </c>
      <c r="D9" s="4" t="s">
        <v>24</v>
      </c>
      <c r="E9" s="5">
        <v>1267715</v>
      </c>
      <c r="F9" s="6">
        <v>9115.5047075000002</v>
      </c>
      <c r="G9" s="7">
        <v>7.2489925999999996E-2</v>
      </c>
      <c r="H9" s="67"/>
    </row>
    <row r="10" spans="1:8" x14ac:dyDescent="0.2">
      <c r="A10" s="3">
        <v>4</v>
      </c>
      <c r="B10" s="4" t="s">
        <v>14</v>
      </c>
      <c r="C10" s="4" t="s">
        <v>15</v>
      </c>
      <c r="D10" s="4" t="s">
        <v>16</v>
      </c>
      <c r="E10" s="5">
        <v>307114</v>
      </c>
      <c r="F10" s="6">
        <v>6935.0947910000004</v>
      </c>
      <c r="G10" s="7">
        <v>5.5150484999999999E-2</v>
      </c>
      <c r="H10" s="67"/>
    </row>
    <row r="11" spans="1:8" x14ac:dyDescent="0.2">
      <c r="A11" s="3">
        <v>5</v>
      </c>
      <c r="B11" s="4" t="s">
        <v>404</v>
      </c>
      <c r="C11" s="4" t="s">
        <v>405</v>
      </c>
      <c r="D11" s="4" t="s">
        <v>24</v>
      </c>
      <c r="E11" s="5">
        <v>1276889</v>
      </c>
      <c r="F11" s="6">
        <v>5440.1855845</v>
      </c>
      <c r="G11" s="7">
        <v>4.3262403999999997E-2</v>
      </c>
      <c r="H11" s="67"/>
    </row>
    <row r="12" spans="1:8" x14ac:dyDescent="0.2">
      <c r="A12" s="3">
        <v>6</v>
      </c>
      <c r="B12" s="4" t="s">
        <v>414</v>
      </c>
      <c r="C12" s="4" t="s">
        <v>415</v>
      </c>
      <c r="D12" s="4" t="s">
        <v>166</v>
      </c>
      <c r="E12" s="5">
        <v>142864</v>
      </c>
      <c r="F12" s="6">
        <v>5409.4739280000003</v>
      </c>
      <c r="G12" s="7">
        <v>4.3018173999999999E-2</v>
      </c>
      <c r="H12" s="67"/>
    </row>
    <row r="13" spans="1:8" ht="25.5" x14ac:dyDescent="0.2">
      <c r="A13" s="3">
        <v>7</v>
      </c>
      <c r="B13" s="4" t="s">
        <v>402</v>
      </c>
      <c r="C13" s="4" t="s">
        <v>403</v>
      </c>
      <c r="D13" s="4" t="s">
        <v>81</v>
      </c>
      <c r="E13" s="5">
        <v>188177</v>
      </c>
      <c r="F13" s="6">
        <v>5266.1333450000002</v>
      </c>
      <c r="G13" s="7">
        <v>4.1878275E-2</v>
      </c>
      <c r="H13" s="67"/>
    </row>
    <row r="14" spans="1:8" x14ac:dyDescent="0.2">
      <c r="A14" s="3">
        <v>8</v>
      </c>
      <c r="B14" s="4" t="s">
        <v>354</v>
      </c>
      <c r="C14" s="4" t="s">
        <v>355</v>
      </c>
      <c r="D14" s="4" t="s">
        <v>24</v>
      </c>
      <c r="E14" s="5">
        <v>605523</v>
      </c>
      <c r="F14" s="6">
        <v>4762.4383950000001</v>
      </c>
      <c r="G14" s="7">
        <v>3.7872703000000001E-2</v>
      </c>
      <c r="H14" s="67"/>
    </row>
    <row r="15" spans="1:8" x14ac:dyDescent="0.2">
      <c r="A15" s="3">
        <v>9</v>
      </c>
      <c r="B15" s="4" t="s">
        <v>11</v>
      </c>
      <c r="C15" s="4" t="s">
        <v>12</v>
      </c>
      <c r="D15" s="4" t="s">
        <v>13</v>
      </c>
      <c r="E15" s="5">
        <v>277602</v>
      </c>
      <c r="F15" s="6">
        <v>4642.0606440000001</v>
      </c>
      <c r="G15" s="7">
        <v>3.6915414000000001E-2</v>
      </c>
      <c r="H15" s="67"/>
    </row>
    <row r="16" spans="1:8" x14ac:dyDescent="0.2">
      <c r="A16" s="3">
        <v>10</v>
      </c>
      <c r="B16" s="4" t="s">
        <v>301</v>
      </c>
      <c r="C16" s="4" t="s">
        <v>302</v>
      </c>
      <c r="D16" s="4" t="s">
        <v>166</v>
      </c>
      <c r="E16" s="5">
        <v>98061</v>
      </c>
      <c r="F16" s="6">
        <v>3556.9176225000001</v>
      </c>
      <c r="G16" s="7">
        <v>2.8285948000000002E-2</v>
      </c>
      <c r="H16" s="67"/>
    </row>
    <row r="17" spans="1:8" x14ac:dyDescent="0.2">
      <c r="A17" s="3">
        <v>11</v>
      </c>
      <c r="B17" s="4" t="s">
        <v>364</v>
      </c>
      <c r="C17" s="4" t="s">
        <v>365</v>
      </c>
      <c r="D17" s="4" t="s">
        <v>166</v>
      </c>
      <c r="E17" s="5">
        <v>263510</v>
      </c>
      <c r="F17" s="6">
        <v>3115.4787299999998</v>
      </c>
      <c r="G17" s="7">
        <v>2.4775459999999999E-2</v>
      </c>
      <c r="H17" s="67"/>
    </row>
    <row r="18" spans="1:8" x14ac:dyDescent="0.2">
      <c r="A18" s="3">
        <v>12</v>
      </c>
      <c r="B18" s="4" t="s">
        <v>388</v>
      </c>
      <c r="C18" s="4" t="s">
        <v>389</v>
      </c>
      <c r="D18" s="4" t="s">
        <v>1002</v>
      </c>
      <c r="E18" s="5">
        <v>17742</v>
      </c>
      <c r="F18" s="6">
        <v>3042.5312250000002</v>
      </c>
      <c r="G18" s="7">
        <v>2.4195353999999999E-2</v>
      </c>
      <c r="H18" s="67"/>
    </row>
    <row r="19" spans="1:8" x14ac:dyDescent="0.2">
      <c r="A19" s="3">
        <v>13</v>
      </c>
      <c r="B19" s="4" t="s">
        <v>97</v>
      </c>
      <c r="C19" s="4" t="s">
        <v>98</v>
      </c>
      <c r="D19" s="4" t="s">
        <v>60</v>
      </c>
      <c r="E19" s="5">
        <v>556828</v>
      </c>
      <c r="F19" s="6">
        <v>3039.4456380000001</v>
      </c>
      <c r="G19" s="7">
        <v>2.4170816000000001E-2</v>
      </c>
      <c r="H19" s="67"/>
    </row>
    <row r="20" spans="1:8" x14ac:dyDescent="0.2">
      <c r="A20" s="3">
        <v>14</v>
      </c>
      <c r="B20" s="4" t="s">
        <v>334</v>
      </c>
      <c r="C20" s="4" t="s">
        <v>335</v>
      </c>
      <c r="D20" s="4" t="s">
        <v>187</v>
      </c>
      <c r="E20" s="5">
        <v>76895</v>
      </c>
      <c r="F20" s="6">
        <v>2994.2144050000002</v>
      </c>
      <c r="G20" s="7">
        <v>2.3811120000000002E-2</v>
      </c>
      <c r="H20" s="67"/>
    </row>
    <row r="21" spans="1:8" x14ac:dyDescent="0.2">
      <c r="A21" s="3">
        <v>15</v>
      </c>
      <c r="B21" s="4" t="s">
        <v>340</v>
      </c>
      <c r="C21" s="4" t="s">
        <v>341</v>
      </c>
      <c r="D21" s="4" t="s">
        <v>81</v>
      </c>
      <c r="E21" s="5">
        <v>215963</v>
      </c>
      <c r="F21" s="6">
        <v>2921.3315010000001</v>
      </c>
      <c r="G21" s="7">
        <v>2.3231528000000001E-2</v>
      </c>
      <c r="H21" s="67"/>
    </row>
    <row r="22" spans="1:8" x14ac:dyDescent="0.2">
      <c r="A22" s="3">
        <v>16</v>
      </c>
      <c r="B22" s="4" t="s">
        <v>17</v>
      </c>
      <c r="C22" s="4" t="s">
        <v>18</v>
      </c>
      <c r="D22" s="4" t="s">
        <v>19</v>
      </c>
      <c r="E22" s="5">
        <v>409068</v>
      </c>
      <c r="F22" s="6">
        <v>2716.4160539999998</v>
      </c>
      <c r="G22" s="7">
        <v>2.1601962999999998E-2</v>
      </c>
      <c r="H22" s="67"/>
    </row>
    <row r="23" spans="1:8" x14ac:dyDescent="0.2">
      <c r="A23" s="3">
        <v>17</v>
      </c>
      <c r="B23" s="4" t="s">
        <v>315</v>
      </c>
      <c r="C23" s="4" t="s">
        <v>316</v>
      </c>
      <c r="D23" s="4" t="s">
        <v>261</v>
      </c>
      <c r="E23" s="5">
        <v>78284</v>
      </c>
      <c r="F23" s="6">
        <v>2656.9589599999999</v>
      </c>
      <c r="G23" s="7">
        <v>2.1129137999999999E-2</v>
      </c>
      <c r="H23" s="67"/>
    </row>
    <row r="24" spans="1:8" x14ac:dyDescent="0.2">
      <c r="A24" s="3">
        <v>18</v>
      </c>
      <c r="B24" s="4" t="s">
        <v>42</v>
      </c>
      <c r="C24" s="4" t="s">
        <v>43</v>
      </c>
      <c r="D24" s="4" t="s">
        <v>16</v>
      </c>
      <c r="E24" s="5">
        <v>549411</v>
      </c>
      <c r="F24" s="6">
        <v>2591.2969815000001</v>
      </c>
      <c r="G24" s="7">
        <v>2.0606968999999999E-2</v>
      </c>
      <c r="H24" s="67"/>
    </row>
    <row r="25" spans="1:8" ht="25.5" x14ac:dyDescent="0.2">
      <c r="A25" s="3">
        <v>19</v>
      </c>
      <c r="B25" s="4" t="s">
        <v>408</v>
      </c>
      <c r="C25" s="4" t="s">
        <v>409</v>
      </c>
      <c r="D25" s="4" t="s">
        <v>52</v>
      </c>
      <c r="E25" s="5">
        <v>90435</v>
      </c>
      <c r="F25" s="6">
        <v>2463.539835</v>
      </c>
      <c r="G25" s="7">
        <v>1.9590995999999999E-2</v>
      </c>
      <c r="H25" s="67"/>
    </row>
    <row r="26" spans="1:8" ht="25.5" x14ac:dyDescent="0.2">
      <c r="A26" s="3">
        <v>20</v>
      </c>
      <c r="B26" s="4" t="s">
        <v>482</v>
      </c>
      <c r="C26" s="4" t="s">
        <v>483</v>
      </c>
      <c r="D26" s="4" t="s">
        <v>52</v>
      </c>
      <c r="E26" s="5">
        <v>16757</v>
      </c>
      <c r="F26" s="6">
        <v>2324.799152</v>
      </c>
      <c r="G26" s="7">
        <v>1.8487678E-2</v>
      </c>
      <c r="H26" s="67"/>
    </row>
    <row r="27" spans="1:8" ht="25.5" x14ac:dyDescent="0.2">
      <c r="A27" s="3">
        <v>21</v>
      </c>
      <c r="B27" s="4" t="s">
        <v>598</v>
      </c>
      <c r="C27" s="4" t="s">
        <v>997</v>
      </c>
      <c r="D27" s="4" t="s">
        <v>992</v>
      </c>
      <c r="E27" s="5">
        <v>511927</v>
      </c>
      <c r="F27" s="6">
        <v>2155.4686335000001</v>
      </c>
      <c r="G27" s="7">
        <v>1.7141098E-2</v>
      </c>
      <c r="H27" s="67"/>
    </row>
    <row r="28" spans="1:8" x14ac:dyDescent="0.2">
      <c r="A28" s="3">
        <v>22</v>
      </c>
      <c r="B28" s="4" t="s">
        <v>303</v>
      </c>
      <c r="C28" s="4" t="s">
        <v>304</v>
      </c>
      <c r="D28" s="4" t="s">
        <v>179</v>
      </c>
      <c r="E28" s="5">
        <v>40746</v>
      </c>
      <c r="F28" s="6">
        <v>2024.8928430000001</v>
      </c>
      <c r="G28" s="7">
        <v>1.6102709999999999E-2</v>
      </c>
      <c r="H28" s="67"/>
    </row>
    <row r="29" spans="1:8" x14ac:dyDescent="0.2">
      <c r="A29" s="3">
        <v>23</v>
      </c>
      <c r="B29" s="4" t="s">
        <v>82</v>
      </c>
      <c r="C29" s="4" t="s">
        <v>83</v>
      </c>
      <c r="D29" s="4" t="s">
        <v>84</v>
      </c>
      <c r="E29" s="5">
        <v>1596000</v>
      </c>
      <c r="F29" s="6">
        <v>1959.09</v>
      </c>
      <c r="G29" s="7">
        <v>1.5579421E-2</v>
      </c>
      <c r="H29" s="67"/>
    </row>
    <row r="30" spans="1:8" x14ac:dyDescent="0.2">
      <c r="A30" s="3">
        <v>24</v>
      </c>
      <c r="B30" s="4" t="s">
        <v>439</v>
      </c>
      <c r="C30" s="4" t="s">
        <v>440</v>
      </c>
      <c r="D30" s="4" t="s">
        <v>27</v>
      </c>
      <c r="E30" s="5">
        <v>93108</v>
      </c>
      <c r="F30" s="6">
        <v>1900.4273880000001</v>
      </c>
      <c r="G30" s="7">
        <v>1.5112914E-2</v>
      </c>
      <c r="H30" s="67"/>
    </row>
    <row r="31" spans="1:8" ht="25.5" x14ac:dyDescent="0.2">
      <c r="A31" s="3">
        <v>25</v>
      </c>
      <c r="B31" s="4" t="s">
        <v>488</v>
      </c>
      <c r="C31" s="4" t="s">
        <v>489</v>
      </c>
      <c r="D31" s="4" t="s">
        <v>52</v>
      </c>
      <c r="E31" s="5">
        <v>284350</v>
      </c>
      <c r="F31" s="6">
        <v>1767.23525</v>
      </c>
      <c r="G31" s="7">
        <v>1.405372E-2</v>
      </c>
      <c r="H31" s="67"/>
    </row>
    <row r="32" spans="1:8" ht="25.5" x14ac:dyDescent="0.2">
      <c r="A32" s="3">
        <v>26</v>
      </c>
      <c r="B32" s="4" t="s">
        <v>321</v>
      </c>
      <c r="C32" s="4" t="s">
        <v>322</v>
      </c>
      <c r="D32" s="4" t="s">
        <v>52</v>
      </c>
      <c r="E32" s="5">
        <v>200026</v>
      </c>
      <c r="F32" s="6">
        <v>1694.1202069999999</v>
      </c>
      <c r="G32" s="7">
        <v>1.3472282E-2</v>
      </c>
      <c r="H32" s="67"/>
    </row>
    <row r="33" spans="1:8" ht="25.5" x14ac:dyDescent="0.2">
      <c r="A33" s="3">
        <v>27</v>
      </c>
      <c r="B33" s="4" t="s">
        <v>31</v>
      </c>
      <c r="C33" s="4" t="s">
        <v>993</v>
      </c>
      <c r="D33" s="4" t="s">
        <v>992</v>
      </c>
      <c r="E33" s="5">
        <v>19363</v>
      </c>
      <c r="F33" s="6">
        <v>1516.5972935</v>
      </c>
      <c r="G33" s="7">
        <v>1.2060553E-2</v>
      </c>
      <c r="H33" s="67"/>
    </row>
    <row r="34" spans="1:8" x14ac:dyDescent="0.2">
      <c r="A34" s="3">
        <v>28</v>
      </c>
      <c r="B34" s="4" t="s">
        <v>416</v>
      </c>
      <c r="C34" s="4" t="s">
        <v>417</v>
      </c>
      <c r="D34" s="4" t="s">
        <v>187</v>
      </c>
      <c r="E34" s="5">
        <v>190664</v>
      </c>
      <c r="F34" s="6">
        <v>1513.967492</v>
      </c>
      <c r="G34" s="7">
        <v>1.2039640000000001E-2</v>
      </c>
      <c r="H34" s="67"/>
    </row>
    <row r="35" spans="1:8" ht="25.5" x14ac:dyDescent="0.2">
      <c r="A35" s="3">
        <v>29</v>
      </c>
      <c r="B35" s="4" t="s">
        <v>384</v>
      </c>
      <c r="C35" s="4" t="s">
        <v>385</v>
      </c>
      <c r="D35" s="4" t="s">
        <v>52</v>
      </c>
      <c r="E35" s="5">
        <v>167408</v>
      </c>
      <c r="F35" s="6">
        <v>1447.995496</v>
      </c>
      <c r="G35" s="7">
        <v>1.1515005E-2</v>
      </c>
      <c r="H35" s="67"/>
    </row>
    <row r="36" spans="1:8" ht="25.5" x14ac:dyDescent="0.2">
      <c r="A36" s="3">
        <v>30</v>
      </c>
      <c r="B36" s="4" t="s">
        <v>478</v>
      </c>
      <c r="C36" s="4" t="s">
        <v>479</v>
      </c>
      <c r="D36" s="4" t="s">
        <v>52</v>
      </c>
      <c r="E36" s="5">
        <v>197658</v>
      </c>
      <c r="F36" s="6">
        <v>1413.551187</v>
      </c>
      <c r="G36" s="7">
        <v>1.1241091E-2</v>
      </c>
      <c r="H36" s="67"/>
    </row>
    <row r="37" spans="1:8" x14ac:dyDescent="0.2">
      <c r="A37" s="3">
        <v>31</v>
      </c>
      <c r="B37" s="4" t="s">
        <v>445</v>
      </c>
      <c r="C37" s="4" t="s">
        <v>446</v>
      </c>
      <c r="D37" s="4" t="s">
        <v>171</v>
      </c>
      <c r="E37" s="5">
        <v>561545</v>
      </c>
      <c r="F37" s="6">
        <v>1227.53737</v>
      </c>
      <c r="G37" s="7">
        <v>9.7618389999999996E-3</v>
      </c>
      <c r="H37" s="67"/>
    </row>
    <row r="38" spans="1:8" x14ac:dyDescent="0.2">
      <c r="A38" s="3">
        <v>32</v>
      </c>
      <c r="B38" s="4" t="s">
        <v>433</v>
      </c>
      <c r="C38" s="4" t="s">
        <v>434</v>
      </c>
      <c r="D38" s="4" t="s">
        <v>24</v>
      </c>
      <c r="E38" s="5">
        <v>63502</v>
      </c>
      <c r="F38" s="6">
        <v>1113.6345739999999</v>
      </c>
      <c r="G38" s="7">
        <v>8.8560410000000003E-3</v>
      </c>
      <c r="H38" s="67"/>
    </row>
    <row r="39" spans="1:8" ht="25.5" x14ac:dyDescent="0.2">
      <c r="A39" s="3">
        <v>33</v>
      </c>
      <c r="B39" s="4" t="s">
        <v>89</v>
      </c>
      <c r="C39" s="4" t="s">
        <v>90</v>
      </c>
      <c r="D39" s="4" t="s">
        <v>46</v>
      </c>
      <c r="E39" s="5">
        <v>139388</v>
      </c>
      <c r="F39" s="6">
        <v>1043.0404040000001</v>
      </c>
      <c r="G39" s="7">
        <v>8.2946500000000006E-3</v>
      </c>
      <c r="H39" s="67"/>
    </row>
    <row r="40" spans="1:8" x14ac:dyDescent="0.2">
      <c r="A40" s="3">
        <v>34</v>
      </c>
      <c r="B40" s="4" t="s">
        <v>426</v>
      </c>
      <c r="C40" s="4" t="s">
        <v>427</v>
      </c>
      <c r="D40" s="4" t="s">
        <v>428</v>
      </c>
      <c r="E40" s="5">
        <v>215871</v>
      </c>
      <c r="F40" s="6">
        <v>1010.923893</v>
      </c>
      <c r="G40" s="7">
        <v>8.0392469999999994E-3</v>
      </c>
      <c r="H40" s="67"/>
    </row>
    <row r="41" spans="1:8" x14ac:dyDescent="0.2">
      <c r="A41" s="3">
        <v>35</v>
      </c>
      <c r="B41" s="4" t="s">
        <v>418</v>
      </c>
      <c r="C41" s="4" t="s">
        <v>419</v>
      </c>
      <c r="D41" s="4" t="s">
        <v>49</v>
      </c>
      <c r="E41" s="5">
        <v>61431</v>
      </c>
      <c r="F41" s="6">
        <v>890.90307749999999</v>
      </c>
      <c r="G41" s="7">
        <v>7.0847970000000003E-3</v>
      </c>
      <c r="H41" s="67"/>
    </row>
    <row r="42" spans="1:8" x14ac:dyDescent="0.2">
      <c r="A42" s="3">
        <v>36</v>
      </c>
      <c r="B42" s="4" t="s">
        <v>443</v>
      </c>
      <c r="C42" s="4" t="s">
        <v>444</v>
      </c>
      <c r="D42" s="4" t="s">
        <v>187</v>
      </c>
      <c r="E42" s="5">
        <v>91288</v>
      </c>
      <c r="F42" s="6">
        <v>865.227664</v>
      </c>
      <c r="G42" s="7">
        <v>6.880616E-3</v>
      </c>
      <c r="H42" s="67"/>
    </row>
    <row r="43" spans="1:8" x14ac:dyDescent="0.2">
      <c r="A43" s="3">
        <v>37</v>
      </c>
      <c r="B43" s="4" t="s">
        <v>554</v>
      </c>
      <c r="C43" s="4" t="s">
        <v>555</v>
      </c>
      <c r="D43" s="4" t="s">
        <v>81</v>
      </c>
      <c r="E43" s="5">
        <v>11390</v>
      </c>
      <c r="F43" s="6">
        <v>857.04055000000005</v>
      </c>
      <c r="G43" s="7">
        <v>6.815509E-3</v>
      </c>
      <c r="H43" s="67"/>
    </row>
    <row r="44" spans="1:8" x14ac:dyDescent="0.2">
      <c r="A44" s="3">
        <v>38</v>
      </c>
      <c r="B44" s="4" t="s">
        <v>495</v>
      </c>
      <c r="C44" s="4" t="s">
        <v>496</v>
      </c>
      <c r="D44" s="4" t="s">
        <v>55</v>
      </c>
      <c r="E44" s="5">
        <v>37350</v>
      </c>
      <c r="F44" s="6">
        <v>717.71759999999995</v>
      </c>
      <c r="G44" s="7">
        <v>5.7075609999999999E-3</v>
      </c>
      <c r="H44" s="67"/>
    </row>
    <row r="45" spans="1:8" x14ac:dyDescent="0.2">
      <c r="A45" s="3">
        <v>39</v>
      </c>
      <c r="B45" s="4" t="s">
        <v>422</v>
      </c>
      <c r="C45" s="4" t="s">
        <v>423</v>
      </c>
      <c r="D45" s="4" t="s">
        <v>187</v>
      </c>
      <c r="E45" s="5">
        <v>12503</v>
      </c>
      <c r="F45" s="6">
        <v>646.85520799999995</v>
      </c>
      <c r="G45" s="7">
        <v>5.1440360000000003E-3</v>
      </c>
      <c r="H45" s="67"/>
    </row>
    <row r="46" spans="1:8" x14ac:dyDescent="0.2">
      <c r="A46" s="3">
        <v>40</v>
      </c>
      <c r="B46" s="4" t="s">
        <v>556</v>
      </c>
      <c r="C46" s="4" t="s">
        <v>557</v>
      </c>
      <c r="D46" s="4" t="s">
        <v>84</v>
      </c>
      <c r="E46" s="5">
        <v>8825</v>
      </c>
      <c r="F46" s="6">
        <v>604.16832499999998</v>
      </c>
      <c r="G46" s="7">
        <v>4.8045739999999998E-3</v>
      </c>
      <c r="H46" s="67"/>
    </row>
    <row r="47" spans="1:8" x14ac:dyDescent="0.2">
      <c r="A47" s="3">
        <v>41</v>
      </c>
      <c r="B47" s="4" t="s">
        <v>579</v>
      </c>
      <c r="C47" s="4" t="s">
        <v>580</v>
      </c>
      <c r="D47" s="4" t="s">
        <v>1002</v>
      </c>
      <c r="E47" s="5">
        <v>62057</v>
      </c>
      <c r="F47" s="6">
        <v>445.41411749999997</v>
      </c>
      <c r="G47" s="7">
        <v>3.5421010000000002E-3</v>
      </c>
      <c r="H47" s="67"/>
    </row>
    <row r="48" spans="1:8" x14ac:dyDescent="0.2">
      <c r="A48" s="3">
        <v>42</v>
      </c>
      <c r="B48" s="4" t="s">
        <v>420</v>
      </c>
      <c r="C48" s="4" t="s">
        <v>421</v>
      </c>
      <c r="D48" s="4" t="s">
        <v>84</v>
      </c>
      <c r="E48" s="5">
        <v>53505</v>
      </c>
      <c r="F48" s="6">
        <v>424.45516500000002</v>
      </c>
      <c r="G48" s="7">
        <v>3.3754269999999999E-3</v>
      </c>
      <c r="H48" s="67"/>
    </row>
    <row r="49" spans="1:8" x14ac:dyDescent="0.2">
      <c r="A49" s="3">
        <v>43</v>
      </c>
      <c r="B49" s="4" t="s">
        <v>376</v>
      </c>
      <c r="C49" s="4" t="s">
        <v>377</v>
      </c>
      <c r="D49" s="4" t="s">
        <v>55</v>
      </c>
      <c r="E49" s="5">
        <v>18158</v>
      </c>
      <c r="F49" s="6">
        <v>386.801716</v>
      </c>
      <c r="G49" s="7">
        <v>3.075993E-3</v>
      </c>
      <c r="H49" s="67"/>
    </row>
    <row r="50" spans="1:8" ht="25.5" x14ac:dyDescent="0.2">
      <c r="A50" s="3">
        <v>44</v>
      </c>
      <c r="B50" s="4" t="s">
        <v>435</v>
      </c>
      <c r="C50" s="4" t="s">
        <v>436</v>
      </c>
      <c r="D50" s="4" t="s">
        <v>1002</v>
      </c>
      <c r="E50" s="5">
        <v>24000</v>
      </c>
      <c r="F50" s="6">
        <v>382.70400000000001</v>
      </c>
      <c r="G50" s="7">
        <v>3.0434059999999998E-3</v>
      </c>
      <c r="H50" s="67"/>
    </row>
    <row r="51" spans="1:8" x14ac:dyDescent="0.2">
      <c r="A51" s="3">
        <v>45</v>
      </c>
      <c r="B51" s="4" t="s">
        <v>655</v>
      </c>
      <c r="C51" s="4" t="s">
        <v>656</v>
      </c>
      <c r="D51" s="4" t="s">
        <v>24</v>
      </c>
      <c r="E51" s="5">
        <v>34999</v>
      </c>
      <c r="F51" s="6">
        <v>347.33007600000002</v>
      </c>
      <c r="G51" s="7">
        <v>2.7621E-3</v>
      </c>
      <c r="H51" s="67"/>
    </row>
    <row r="52" spans="1:8" x14ac:dyDescent="0.2">
      <c r="A52" s="3">
        <v>46</v>
      </c>
      <c r="B52" s="4" t="s">
        <v>406</v>
      </c>
      <c r="C52" s="4" t="s">
        <v>407</v>
      </c>
      <c r="D52" s="4" t="s">
        <v>1002</v>
      </c>
      <c r="E52" s="5">
        <v>29007</v>
      </c>
      <c r="F52" s="6">
        <v>345.77794349999999</v>
      </c>
      <c r="G52" s="7">
        <v>2.7497559999999999E-3</v>
      </c>
      <c r="H52" s="67"/>
    </row>
    <row r="53" spans="1:8" x14ac:dyDescent="0.2">
      <c r="A53" s="3">
        <v>47</v>
      </c>
      <c r="B53" s="4" t="s">
        <v>374</v>
      </c>
      <c r="C53" s="4" t="s">
        <v>375</v>
      </c>
      <c r="D53" s="4" t="s">
        <v>331</v>
      </c>
      <c r="E53" s="5">
        <v>200000</v>
      </c>
      <c r="F53" s="6">
        <v>269.10000000000002</v>
      </c>
      <c r="G53" s="7">
        <v>2.1399850000000001E-3</v>
      </c>
      <c r="H53" s="67"/>
    </row>
    <row r="54" spans="1:8" x14ac:dyDescent="0.2">
      <c r="A54" s="1"/>
      <c r="B54" s="1"/>
      <c r="C54" s="2" t="s">
        <v>105</v>
      </c>
      <c r="D54" s="1"/>
      <c r="E54" s="1" t="s">
        <v>106</v>
      </c>
      <c r="F54" s="9">
        <v>121441.730243</v>
      </c>
      <c r="G54" s="10">
        <v>0.96575036199999997</v>
      </c>
      <c r="H54" s="67"/>
    </row>
    <row r="55" spans="1:8" x14ac:dyDescent="0.2">
      <c r="A55" s="1"/>
      <c r="B55" s="1"/>
      <c r="C55" s="11"/>
      <c r="D55" s="1"/>
      <c r="E55" s="1"/>
      <c r="F55" s="12"/>
      <c r="G55" s="12"/>
      <c r="H55" s="67"/>
    </row>
    <row r="56" spans="1:8" x14ac:dyDescent="0.2">
      <c r="A56" s="1"/>
      <c r="B56" s="1"/>
      <c r="C56" s="2" t="s">
        <v>107</v>
      </c>
      <c r="D56" s="1"/>
      <c r="E56" s="1"/>
      <c r="F56" s="1"/>
      <c r="G56" s="1"/>
      <c r="H56" s="67"/>
    </row>
    <row r="57" spans="1:8" x14ac:dyDescent="0.2">
      <c r="A57" s="1"/>
      <c r="B57" s="1"/>
      <c r="C57" s="2" t="s">
        <v>105</v>
      </c>
      <c r="D57" s="1"/>
      <c r="E57" s="1" t="s">
        <v>106</v>
      </c>
      <c r="F57" s="13">
        <v>0</v>
      </c>
      <c r="G57" s="14">
        <v>0</v>
      </c>
      <c r="H57" s="67"/>
    </row>
    <row r="58" spans="1:8" x14ac:dyDescent="0.2">
      <c r="A58" s="1"/>
      <c r="B58" s="1"/>
      <c r="C58" s="11"/>
      <c r="D58" s="1"/>
      <c r="E58" s="1"/>
      <c r="F58" s="12"/>
      <c r="G58" s="12"/>
      <c r="H58" s="67"/>
    </row>
    <row r="59" spans="1:8" x14ac:dyDescent="0.2">
      <c r="A59" s="1"/>
      <c r="B59" s="1"/>
      <c r="C59" s="2" t="s">
        <v>108</v>
      </c>
      <c r="D59" s="1"/>
      <c r="E59" s="1"/>
      <c r="F59" s="1"/>
      <c r="G59" s="1"/>
      <c r="H59" s="67"/>
    </row>
    <row r="60" spans="1:8" x14ac:dyDescent="0.2">
      <c r="A60" s="1"/>
      <c r="B60" s="1"/>
      <c r="C60" s="2" t="s">
        <v>105</v>
      </c>
      <c r="D60" s="1"/>
      <c r="E60" s="1" t="s">
        <v>106</v>
      </c>
      <c r="F60" s="13">
        <v>0</v>
      </c>
      <c r="G60" s="14">
        <v>0</v>
      </c>
      <c r="H60" s="67"/>
    </row>
    <row r="61" spans="1:8" x14ac:dyDescent="0.2">
      <c r="A61" s="1"/>
      <c r="B61" s="1"/>
      <c r="C61" s="11"/>
      <c r="D61" s="1"/>
      <c r="E61" s="1"/>
      <c r="F61" s="12"/>
      <c r="G61" s="12"/>
      <c r="H61" s="67"/>
    </row>
    <row r="62" spans="1:8" x14ac:dyDescent="0.2">
      <c r="A62" s="1"/>
      <c r="B62" s="1"/>
      <c r="C62" s="2" t="s">
        <v>109</v>
      </c>
      <c r="D62" s="1"/>
      <c r="E62" s="1"/>
      <c r="F62" s="1"/>
      <c r="G62" s="1"/>
      <c r="H62" s="67"/>
    </row>
    <row r="63" spans="1:8" x14ac:dyDescent="0.2">
      <c r="A63" s="1"/>
      <c r="B63" s="1"/>
      <c r="C63" s="2" t="s">
        <v>105</v>
      </c>
      <c r="D63" s="1"/>
      <c r="E63" s="1" t="s">
        <v>106</v>
      </c>
      <c r="F63" s="13">
        <v>0</v>
      </c>
      <c r="G63" s="14">
        <v>0</v>
      </c>
      <c r="H63" s="67"/>
    </row>
    <row r="64" spans="1:8" x14ac:dyDescent="0.2">
      <c r="A64" s="1"/>
      <c r="B64" s="1"/>
      <c r="C64" s="11"/>
      <c r="D64" s="1"/>
      <c r="E64" s="1"/>
      <c r="F64" s="12"/>
      <c r="G64" s="12"/>
      <c r="H64" s="67"/>
    </row>
    <row r="65" spans="1:8" x14ac:dyDescent="0.2">
      <c r="A65" s="1"/>
      <c r="B65" s="1"/>
      <c r="C65" s="2" t="s">
        <v>110</v>
      </c>
      <c r="D65" s="1"/>
      <c r="E65" s="1"/>
      <c r="F65" s="12"/>
      <c r="G65" s="12"/>
      <c r="H65" s="67"/>
    </row>
    <row r="66" spans="1:8" x14ac:dyDescent="0.2">
      <c r="A66" s="1"/>
      <c r="B66" s="1"/>
      <c r="C66" s="2" t="s">
        <v>105</v>
      </c>
      <c r="D66" s="1"/>
      <c r="E66" s="1" t="s">
        <v>106</v>
      </c>
      <c r="F66" s="13">
        <v>0</v>
      </c>
      <c r="G66" s="14">
        <v>0</v>
      </c>
      <c r="H66" s="67"/>
    </row>
    <row r="67" spans="1:8" x14ac:dyDescent="0.2">
      <c r="A67" s="1"/>
      <c r="B67" s="1"/>
      <c r="C67" s="11"/>
      <c r="D67" s="1"/>
      <c r="E67" s="1"/>
      <c r="F67" s="12"/>
      <c r="G67" s="12"/>
      <c r="H67" s="67"/>
    </row>
    <row r="68" spans="1:8" x14ac:dyDescent="0.2">
      <c r="A68" s="1"/>
      <c r="B68" s="1"/>
      <c r="C68" s="2" t="s">
        <v>111</v>
      </c>
      <c r="D68" s="1"/>
      <c r="E68" s="1"/>
      <c r="F68" s="12"/>
      <c r="G68" s="12"/>
      <c r="H68" s="67"/>
    </row>
    <row r="69" spans="1:8" x14ac:dyDescent="0.2">
      <c r="A69" s="1"/>
      <c r="B69" s="1"/>
      <c r="C69" s="2" t="s">
        <v>105</v>
      </c>
      <c r="D69" s="1"/>
      <c r="E69" s="1" t="s">
        <v>106</v>
      </c>
      <c r="F69" s="13">
        <v>0</v>
      </c>
      <c r="G69" s="14">
        <v>0</v>
      </c>
      <c r="H69" s="67"/>
    </row>
    <row r="70" spans="1:8" x14ac:dyDescent="0.2">
      <c r="A70" s="1"/>
      <c r="B70" s="1"/>
      <c r="C70" s="11"/>
      <c r="D70" s="1"/>
      <c r="E70" s="1"/>
      <c r="F70" s="12"/>
      <c r="G70" s="12"/>
      <c r="H70" s="67"/>
    </row>
    <row r="71" spans="1:8" x14ac:dyDescent="0.2">
      <c r="A71" s="1"/>
      <c r="B71" s="1"/>
      <c r="C71" s="2" t="s">
        <v>112</v>
      </c>
      <c r="D71" s="1"/>
      <c r="E71" s="1"/>
      <c r="F71" s="9">
        <v>121441.730243</v>
      </c>
      <c r="G71" s="10">
        <v>0.96575036199999997</v>
      </c>
      <c r="H71" s="67"/>
    </row>
    <row r="72" spans="1:8" x14ac:dyDescent="0.2">
      <c r="A72" s="1"/>
      <c r="B72" s="1"/>
      <c r="C72" s="11"/>
      <c r="D72" s="1"/>
      <c r="E72" s="1"/>
      <c r="F72" s="12"/>
      <c r="G72" s="12"/>
      <c r="H72" s="67"/>
    </row>
    <row r="73" spans="1:8" x14ac:dyDescent="0.2">
      <c r="A73" s="1"/>
      <c r="B73" s="1"/>
      <c r="C73" s="2" t="s">
        <v>113</v>
      </c>
      <c r="D73" s="1"/>
      <c r="E73" s="1"/>
      <c r="F73" s="12"/>
      <c r="G73" s="12"/>
      <c r="H73" s="67"/>
    </row>
    <row r="74" spans="1:8" ht="25.5" x14ac:dyDescent="0.2">
      <c r="A74" s="1"/>
      <c r="B74" s="1"/>
      <c r="C74" s="2" t="s">
        <v>10</v>
      </c>
      <c r="D74" s="1"/>
      <c r="E74" s="1"/>
      <c r="F74" s="12"/>
      <c r="G74" s="12"/>
      <c r="H74" s="67"/>
    </row>
    <row r="75" spans="1:8" x14ac:dyDescent="0.2">
      <c r="A75" s="1"/>
      <c r="B75" s="1"/>
      <c r="C75" s="2" t="s">
        <v>105</v>
      </c>
      <c r="D75" s="1"/>
      <c r="E75" s="1" t="s">
        <v>106</v>
      </c>
      <c r="F75" s="13">
        <v>0</v>
      </c>
      <c r="G75" s="14">
        <v>0</v>
      </c>
      <c r="H75" s="67"/>
    </row>
    <row r="76" spans="1:8" x14ac:dyDescent="0.2">
      <c r="A76" s="1"/>
      <c r="B76" s="1"/>
      <c r="C76" s="11"/>
      <c r="D76" s="1"/>
      <c r="E76" s="1"/>
      <c r="F76" s="12"/>
      <c r="G76" s="12"/>
      <c r="H76" s="67"/>
    </row>
    <row r="77" spans="1:8" x14ac:dyDescent="0.2">
      <c r="A77" s="1"/>
      <c r="B77" s="1"/>
      <c r="C77" s="2" t="s">
        <v>114</v>
      </c>
      <c r="D77" s="1"/>
      <c r="E77" s="1"/>
      <c r="F77" s="1"/>
      <c r="G77" s="1"/>
      <c r="H77" s="67"/>
    </row>
    <row r="78" spans="1:8" x14ac:dyDescent="0.2">
      <c r="A78" s="1"/>
      <c r="B78" s="1"/>
      <c r="C78" s="2" t="s">
        <v>105</v>
      </c>
      <c r="D78" s="1"/>
      <c r="E78" s="1" t="s">
        <v>106</v>
      </c>
      <c r="F78" s="13">
        <v>0</v>
      </c>
      <c r="G78" s="14">
        <v>0</v>
      </c>
      <c r="H78" s="67"/>
    </row>
    <row r="79" spans="1:8" x14ac:dyDescent="0.2">
      <c r="A79" s="1"/>
      <c r="B79" s="1"/>
      <c r="C79" s="11"/>
      <c r="D79" s="1"/>
      <c r="E79" s="1"/>
      <c r="F79" s="12"/>
      <c r="G79" s="12"/>
      <c r="H79" s="67"/>
    </row>
    <row r="80" spans="1:8" x14ac:dyDescent="0.2">
      <c r="A80" s="1"/>
      <c r="B80" s="1"/>
      <c r="C80" s="2" t="s">
        <v>115</v>
      </c>
      <c r="D80" s="1"/>
      <c r="E80" s="1"/>
      <c r="F80" s="1"/>
      <c r="G80" s="1"/>
      <c r="H80" s="67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13">
        <v>0</v>
      </c>
      <c r="G81" s="14">
        <v>0</v>
      </c>
      <c r="H81" s="67"/>
    </row>
    <row r="82" spans="1:8" x14ac:dyDescent="0.2">
      <c r="A82" s="1"/>
      <c r="B82" s="1"/>
      <c r="C82" s="11"/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116</v>
      </c>
      <c r="D83" s="1"/>
      <c r="E83" s="1"/>
      <c r="F83" s="12"/>
      <c r="G83" s="12"/>
      <c r="H83" s="67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7"/>
    </row>
    <row r="85" spans="1:8" x14ac:dyDescent="0.2">
      <c r="A85" s="1"/>
      <c r="B85" s="1"/>
      <c r="C85" s="11"/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117</v>
      </c>
      <c r="D86" s="1"/>
      <c r="E86" s="1"/>
      <c r="F86" s="9">
        <v>0</v>
      </c>
      <c r="G86" s="10">
        <v>0</v>
      </c>
      <c r="H86" s="67"/>
    </row>
    <row r="87" spans="1:8" x14ac:dyDescent="0.2">
      <c r="A87" s="1"/>
      <c r="B87" s="1"/>
      <c r="C87" s="11"/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118</v>
      </c>
      <c r="D88" s="1"/>
      <c r="E88" s="1"/>
      <c r="F88" s="12"/>
      <c r="G88" s="12"/>
      <c r="H88" s="67"/>
    </row>
    <row r="89" spans="1:8" x14ac:dyDescent="0.2">
      <c r="A89" s="1"/>
      <c r="B89" s="1"/>
      <c r="C89" s="2" t="s">
        <v>119</v>
      </c>
      <c r="D89" s="1"/>
      <c r="E89" s="1"/>
      <c r="F89" s="12"/>
      <c r="G89" s="12"/>
      <c r="H89" s="67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">
        <v>0</v>
      </c>
      <c r="H90" s="67"/>
    </row>
    <row r="91" spans="1:8" x14ac:dyDescent="0.2">
      <c r="A91" s="1"/>
      <c r="B91" s="1"/>
      <c r="C91" s="11"/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120</v>
      </c>
      <c r="D92" s="1"/>
      <c r="E92" s="1"/>
      <c r="F92" s="12"/>
      <c r="G92" s="12"/>
      <c r="H92" s="67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7"/>
    </row>
    <row r="94" spans="1:8" x14ac:dyDescent="0.2">
      <c r="A94" s="1"/>
      <c r="B94" s="1"/>
      <c r="C94" s="11"/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121</v>
      </c>
      <c r="D95" s="1"/>
      <c r="E95" s="1"/>
      <c r="F95" s="12"/>
      <c r="G95" s="12"/>
      <c r="H95" s="67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7"/>
    </row>
    <row r="97" spans="1:8" x14ac:dyDescent="0.2">
      <c r="A97" s="1"/>
      <c r="B97" s="1"/>
      <c r="C97" s="11"/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122</v>
      </c>
      <c r="D98" s="1"/>
      <c r="E98" s="1"/>
      <c r="F98" s="12"/>
      <c r="G98" s="12"/>
      <c r="H98" s="67"/>
    </row>
    <row r="99" spans="1:8" x14ac:dyDescent="0.2">
      <c r="A99" s="3">
        <v>1</v>
      </c>
      <c r="B99" s="4"/>
      <c r="C99" s="4" t="s">
        <v>123</v>
      </c>
      <c r="D99" s="4"/>
      <c r="E99" s="8"/>
      <c r="F99" s="6">
        <v>2625.0876066000001</v>
      </c>
      <c r="G99" s="7">
        <v>2.0875685000000001E-2</v>
      </c>
      <c r="H99" s="67">
        <v>3.1047477660654299</v>
      </c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9">
        <v>2625.0876066000001</v>
      </c>
      <c r="G100" s="10">
        <v>2.0875685000000001E-2</v>
      </c>
      <c r="H100" s="67"/>
    </row>
    <row r="101" spans="1:8" x14ac:dyDescent="0.2">
      <c r="A101" s="1"/>
      <c r="B101" s="1"/>
      <c r="C101" s="11"/>
      <c r="D101" s="1"/>
      <c r="E101" s="1"/>
      <c r="F101" s="12"/>
      <c r="G101" s="12"/>
      <c r="H101" s="67"/>
    </row>
    <row r="102" spans="1:8" x14ac:dyDescent="0.2">
      <c r="A102" s="1"/>
      <c r="B102" s="1"/>
      <c r="C102" s="2" t="s">
        <v>124</v>
      </c>
      <c r="D102" s="1"/>
      <c r="E102" s="1"/>
      <c r="F102" s="9">
        <v>2625.0876066000001</v>
      </c>
      <c r="G102" s="10">
        <v>2.0875685000000001E-2</v>
      </c>
      <c r="H102" s="67"/>
    </row>
    <row r="103" spans="1:8" x14ac:dyDescent="0.2">
      <c r="A103" s="1"/>
      <c r="B103" s="1"/>
      <c r="C103" s="12"/>
      <c r="D103" s="1"/>
      <c r="E103" s="1"/>
      <c r="F103" s="1"/>
      <c r="G103" s="1"/>
      <c r="H103" s="67"/>
    </row>
    <row r="104" spans="1:8" x14ac:dyDescent="0.2">
      <c r="A104" s="1"/>
      <c r="B104" s="1"/>
      <c r="C104" s="2" t="s">
        <v>125</v>
      </c>
      <c r="D104" s="1"/>
      <c r="E104" s="1"/>
      <c r="F104" s="1"/>
      <c r="G104" s="1"/>
      <c r="H104" s="67"/>
    </row>
    <row r="105" spans="1:8" x14ac:dyDescent="0.2">
      <c r="A105" s="1"/>
      <c r="B105" s="1"/>
      <c r="C105" s="2" t="s">
        <v>126</v>
      </c>
      <c r="D105" s="1"/>
      <c r="E105" s="1"/>
      <c r="F105" s="1"/>
      <c r="G105" s="1"/>
      <c r="H105" s="67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">
        <v>0</v>
      </c>
      <c r="H106" s="67"/>
    </row>
    <row r="107" spans="1:8" x14ac:dyDescent="0.2">
      <c r="A107" s="1"/>
      <c r="B107" s="1"/>
      <c r="C107" s="11"/>
      <c r="D107" s="1"/>
      <c r="E107" s="1"/>
      <c r="F107" s="12"/>
      <c r="G107" s="12"/>
      <c r="H107" s="67"/>
    </row>
    <row r="108" spans="1:8" x14ac:dyDescent="0.2">
      <c r="A108" s="1"/>
      <c r="B108" s="1"/>
      <c r="C108" s="2" t="s">
        <v>127</v>
      </c>
      <c r="D108" s="1"/>
      <c r="E108" s="1"/>
      <c r="F108" s="1"/>
      <c r="G108" s="1"/>
      <c r="H108" s="67"/>
    </row>
    <row r="109" spans="1:8" x14ac:dyDescent="0.2">
      <c r="A109" s="1"/>
      <c r="B109" s="1"/>
      <c r="C109" s="2" t="s">
        <v>128</v>
      </c>
      <c r="D109" s="1"/>
      <c r="E109" s="1"/>
      <c r="F109" s="1"/>
      <c r="G109" s="1"/>
      <c r="H109" s="67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7"/>
    </row>
    <row r="111" spans="1:8" x14ac:dyDescent="0.2">
      <c r="A111" s="1"/>
      <c r="B111" s="1"/>
      <c r="C111" s="11"/>
      <c r="D111" s="1"/>
      <c r="E111" s="1"/>
      <c r="F111" s="12"/>
      <c r="G111" s="12"/>
      <c r="H111" s="67"/>
    </row>
    <row r="112" spans="1:8" x14ac:dyDescent="0.2">
      <c r="A112" s="1"/>
      <c r="B112" s="1"/>
      <c r="C112" s="11"/>
      <c r="D112" s="1"/>
      <c r="E112" s="1"/>
      <c r="F112" s="12"/>
      <c r="G112" s="12"/>
      <c r="H112" s="67"/>
    </row>
    <row r="113" spans="1:8" ht="25.5" x14ac:dyDescent="0.2">
      <c r="A113" s="1"/>
      <c r="B113" s="1"/>
      <c r="C113" s="2" t="s">
        <v>129</v>
      </c>
      <c r="D113" s="1"/>
      <c r="E113" s="1"/>
      <c r="F113" s="12"/>
      <c r="G113" s="12"/>
      <c r="H113" s="67"/>
    </row>
    <row r="114" spans="1:8" x14ac:dyDescent="0.2">
      <c r="A114" s="1"/>
      <c r="B114" s="1"/>
      <c r="C114" s="2" t="s">
        <v>105</v>
      </c>
      <c r="D114" s="1"/>
      <c r="E114" s="1" t="s">
        <v>106</v>
      </c>
      <c r="F114" s="13">
        <v>0</v>
      </c>
      <c r="G114" s="14">
        <v>0</v>
      </c>
      <c r="H114" s="67"/>
    </row>
    <row r="115" spans="1:8" x14ac:dyDescent="0.2">
      <c r="A115" s="1"/>
      <c r="B115" s="1"/>
      <c r="C115" s="11"/>
      <c r="D115" s="1"/>
      <c r="E115" s="1"/>
      <c r="F115" s="12"/>
      <c r="G115" s="12"/>
      <c r="H115" s="67"/>
    </row>
    <row r="116" spans="1:8" x14ac:dyDescent="0.2">
      <c r="A116" s="1"/>
      <c r="B116" s="4"/>
      <c r="C116" s="4"/>
      <c r="D116" s="2"/>
      <c r="E116" s="1"/>
      <c r="F116" s="4"/>
      <c r="G116" s="8"/>
      <c r="H116" s="67"/>
    </row>
    <row r="117" spans="1:8" x14ac:dyDescent="0.2">
      <c r="A117" s="8"/>
      <c r="B117" s="4"/>
      <c r="C117" s="4" t="s">
        <v>130</v>
      </c>
      <c r="D117" s="4"/>
      <c r="E117" s="8"/>
      <c r="F117" s="6">
        <v>1681.7549300999999</v>
      </c>
      <c r="G117" s="7">
        <v>1.3373948E-2</v>
      </c>
      <c r="H117" s="67"/>
    </row>
    <row r="118" spans="1:8" x14ac:dyDescent="0.2">
      <c r="A118" s="11"/>
      <c r="B118" s="11"/>
      <c r="C118" s="2" t="s">
        <v>131</v>
      </c>
      <c r="D118" s="15"/>
      <c r="E118" s="15"/>
      <c r="F118" s="9">
        <v>125748.5727797</v>
      </c>
      <c r="G118" s="10">
        <v>0.99999999500000003</v>
      </c>
      <c r="H118" s="67"/>
    </row>
    <row r="119" spans="1:8" ht="14.1" customHeight="1" x14ac:dyDescent="0.2">
      <c r="A119" s="16"/>
      <c r="B119" s="16"/>
      <c r="C119" s="16"/>
      <c r="D119" s="17"/>
      <c r="E119" s="17"/>
      <c r="F119" s="17"/>
      <c r="G119" s="17"/>
    </row>
    <row r="120" spans="1:8" ht="14.1" customHeight="1" x14ac:dyDescent="0.2">
      <c r="A120" s="18"/>
      <c r="B120" s="170" t="s">
        <v>106</v>
      </c>
      <c r="C120" s="170"/>
      <c r="D120" s="170"/>
      <c r="E120" s="170"/>
      <c r="F120" s="170"/>
      <c r="G120" s="20"/>
    </row>
    <row r="121" spans="1:8" ht="14.1" customHeight="1" x14ac:dyDescent="0.2">
      <c r="A121" s="18"/>
      <c r="B121" s="170" t="s">
        <v>106</v>
      </c>
      <c r="C121" s="170"/>
      <c r="D121" s="170"/>
      <c r="E121" s="170"/>
      <c r="F121" s="170"/>
      <c r="G121" s="20"/>
    </row>
    <row r="122" spans="1:8" ht="14.1" customHeight="1" x14ac:dyDescent="0.2">
      <c r="A122" s="18"/>
      <c r="B122" s="18"/>
      <c r="C122" s="18"/>
      <c r="D122" s="20"/>
      <c r="E122" s="20"/>
      <c r="F122" s="20"/>
      <c r="G122" s="20"/>
    </row>
    <row r="123" spans="1:8" ht="14.1" customHeight="1" x14ac:dyDescent="0.2">
      <c r="A123" s="18"/>
      <c r="B123" s="168" t="s">
        <v>133</v>
      </c>
      <c r="C123" s="169"/>
      <c r="D123" s="12" t="s">
        <v>106</v>
      </c>
      <c r="E123" s="21"/>
      <c r="F123" s="20"/>
      <c r="G123" s="20"/>
    </row>
    <row r="124" spans="1:8" ht="29.1" customHeight="1" x14ac:dyDescent="0.2">
      <c r="A124" s="18"/>
      <c r="B124" s="165" t="s">
        <v>134</v>
      </c>
      <c r="C124" s="166"/>
      <c r="D124" s="2" t="s">
        <v>135</v>
      </c>
      <c r="E124" s="21"/>
      <c r="F124" s="20"/>
      <c r="G124" s="20"/>
    </row>
    <row r="125" spans="1:8" ht="17.100000000000001" customHeight="1" x14ac:dyDescent="0.2">
      <c r="A125" s="18"/>
      <c r="B125" s="165" t="s">
        <v>136</v>
      </c>
      <c r="C125" s="166"/>
      <c r="D125" s="2" t="s">
        <v>135</v>
      </c>
      <c r="E125" s="21"/>
      <c r="F125" s="20"/>
      <c r="G125" s="20"/>
    </row>
    <row r="126" spans="1:8" ht="17.100000000000001" customHeight="1" x14ac:dyDescent="0.2">
      <c r="A126" s="18"/>
      <c r="B126" s="165" t="s">
        <v>137</v>
      </c>
      <c r="C126" s="166"/>
      <c r="D126" s="12" t="s">
        <v>106</v>
      </c>
      <c r="E126" s="21"/>
      <c r="F126" s="20"/>
      <c r="G126" s="20"/>
    </row>
    <row r="127" spans="1:8" ht="24" customHeight="1" x14ac:dyDescent="0.2">
      <c r="A127" s="22"/>
      <c r="B127" s="23" t="s">
        <v>106</v>
      </c>
      <c r="C127" s="23" t="s">
        <v>138</v>
      </c>
      <c r="D127" s="23" t="s">
        <v>139</v>
      </c>
      <c r="E127" s="22"/>
      <c r="F127" s="22"/>
      <c r="G127" s="22"/>
    </row>
    <row r="128" spans="1:8" ht="18" customHeight="1" x14ac:dyDescent="0.2">
      <c r="A128" s="22"/>
      <c r="B128" s="23" t="s">
        <v>140</v>
      </c>
      <c r="C128" s="23" t="s">
        <v>141</v>
      </c>
      <c r="D128" s="23" t="s">
        <v>142</v>
      </c>
      <c r="E128" s="22"/>
      <c r="F128" s="22"/>
      <c r="G128" s="22"/>
    </row>
    <row r="129" spans="1:7" ht="17.100000000000001" customHeight="1" x14ac:dyDescent="0.2">
      <c r="A129" s="22"/>
      <c r="B129" s="4" t="s">
        <v>143</v>
      </c>
      <c r="C129" s="24">
        <v>13.896100000000001</v>
      </c>
      <c r="D129" s="24">
        <v>15.0025</v>
      </c>
      <c r="E129" s="22"/>
      <c r="F129" s="19"/>
      <c r="G129" s="25"/>
    </row>
    <row r="130" spans="1:7" ht="17.100000000000001" customHeight="1" x14ac:dyDescent="0.2">
      <c r="A130" s="22"/>
      <c r="B130" s="4" t="s">
        <v>988</v>
      </c>
      <c r="C130" s="24">
        <v>13.8947</v>
      </c>
      <c r="D130" s="24">
        <v>15.0009</v>
      </c>
      <c r="E130" s="22"/>
      <c r="F130" s="19"/>
      <c r="G130" s="25"/>
    </row>
    <row r="131" spans="1:7" ht="17.100000000000001" customHeight="1" x14ac:dyDescent="0.2">
      <c r="A131" s="22"/>
      <c r="B131" s="4" t="s">
        <v>144</v>
      </c>
      <c r="C131" s="24">
        <v>13.675700000000001</v>
      </c>
      <c r="D131" s="24">
        <v>14.739599999999999</v>
      </c>
      <c r="E131" s="22"/>
      <c r="F131" s="19"/>
      <c r="G131" s="25"/>
    </row>
    <row r="132" spans="1:7" ht="17.100000000000001" customHeight="1" x14ac:dyDescent="0.2">
      <c r="A132" s="22"/>
      <c r="B132" s="4" t="s">
        <v>989</v>
      </c>
      <c r="C132" s="24">
        <v>13.6754</v>
      </c>
      <c r="D132" s="24">
        <v>14.7393</v>
      </c>
      <c r="E132" s="22"/>
      <c r="F132" s="19"/>
      <c r="G132" s="25"/>
    </row>
    <row r="133" spans="1:7" ht="14.1" customHeight="1" x14ac:dyDescent="0.2">
      <c r="A133" s="22"/>
      <c r="B133" s="22"/>
      <c r="C133" s="22"/>
      <c r="D133" s="22"/>
      <c r="E133" s="22"/>
      <c r="F133" s="22"/>
      <c r="G133" s="22"/>
    </row>
    <row r="134" spans="1:7" ht="17.100000000000001" customHeight="1" x14ac:dyDescent="0.2">
      <c r="A134" s="22"/>
      <c r="B134" s="165" t="s">
        <v>990</v>
      </c>
      <c r="C134" s="166"/>
      <c r="D134" s="2" t="s">
        <v>135</v>
      </c>
      <c r="E134" s="22"/>
      <c r="F134" s="22"/>
      <c r="G134" s="22"/>
    </row>
    <row r="135" spans="1:7" ht="18" customHeight="1" x14ac:dyDescent="0.2">
      <c r="A135" s="22"/>
      <c r="B135" s="26" t="s">
        <v>145</v>
      </c>
      <c r="C135" s="26" t="s">
        <v>145</v>
      </c>
      <c r="D135" s="26"/>
      <c r="E135" s="22"/>
      <c r="F135" s="22"/>
      <c r="G135" s="22"/>
    </row>
    <row r="136" spans="1:7" s="158" customFormat="1" x14ac:dyDescent="0.2">
      <c r="B136" s="167" t="s">
        <v>822</v>
      </c>
      <c r="C136" s="167"/>
      <c r="D136" s="167"/>
      <c r="E136" s="167"/>
      <c r="F136" s="167"/>
    </row>
    <row r="137" spans="1:7" ht="14.1" customHeight="1" x14ac:dyDescent="0.2">
      <c r="A137" s="22"/>
      <c r="B137" s="19"/>
      <c r="C137" s="19"/>
      <c r="D137" s="22"/>
      <c r="E137" s="22"/>
      <c r="F137" s="22"/>
      <c r="G137" s="22"/>
    </row>
    <row r="138" spans="1:7" ht="29.1" customHeight="1" x14ac:dyDescent="0.2">
      <c r="A138" s="22"/>
      <c r="B138" s="165" t="s">
        <v>146</v>
      </c>
      <c r="C138" s="166"/>
      <c r="D138" s="2" t="s">
        <v>135</v>
      </c>
      <c r="E138" s="22"/>
      <c r="F138" s="22"/>
      <c r="G138" s="22"/>
    </row>
    <row r="139" spans="1:7" ht="29.1" customHeight="1" x14ac:dyDescent="0.2">
      <c r="A139" s="22"/>
      <c r="B139" s="165" t="s">
        <v>147</v>
      </c>
      <c r="C139" s="166"/>
      <c r="D139" s="2" t="s">
        <v>135</v>
      </c>
      <c r="E139" s="22"/>
      <c r="F139" s="22"/>
      <c r="G139" s="22"/>
    </row>
    <row r="140" spans="1:7" ht="17.100000000000001" customHeight="1" x14ac:dyDescent="0.2">
      <c r="A140" s="22"/>
      <c r="B140" s="165" t="s">
        <v>148</v>
      </c>
      <c r="C140" s="166"/>
      <c r="D140" s="27">
        <v>0.82297617924629729</v>
      </c>
      <c r="E140" s="22"/>
      <c r="F140" s="19"/>
      <c r="G140" s="25"/>
    </row>
    <row r="141" spans="1:7" ht="17.100000000000001" customHeight="1" x14ac:dyDescent="0.2">
      <c r="A141" s="22"/>
      <c r="B141" s="165" t="s">
        <v>149</v>
      </c>
      <c r="C141" s="166"/>
      <c r="D141" s="2" t="s">
        <v>135</v>
      </c>
      <c r="E141" s="22"/>
      <c r="F141" s="22"/>
      <c r="G141" s="22"/>
    </row>
  </sheetData>
  <mergeCells count="15">
    <mergeCell ref="B123:C123"/>
    <mergeCell ref="B120:F120"/>
    <mergeCell ref="B121:F121"/>
    <mergeCell ref="A1:H1"/>
    <mergeCell ref="A2:H2"/>
    <mergeCell ref="A3:H3"/>
    <mergeCell ref="B140:C140"/>
    <mergeCell ref="B141:C141"/>
    <mergeCell ref="B124:C124"/>
    <mergeCell ref="B125:C125"/>
    <mergeCell ref="B126:C126"/>
    <mergeCell ref="B134:C134"/>
    <mergeCell ref="B138:C138"/>
    <mergeCell ref="B139:C139"/>
    <mergeCell ref="B136:F136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H15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694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152000</v>
      </c>
      <c r="F7" s="6">
        <v>3432.3879999999999</v>
      </c>
      <c r="G7" s="7">
        <v>4.3104839999999998E-2</v>
      </c>
      <c r="H7" s="67"/>
    </row>
    <row r="8" spans="1:8" x14ac:dyDescent="0.2">
      <c r="A8" s="3">
        <v>2</v>
      </c>
      <c r="B8" s="4" t="s">
        <v>398</v>
      </c>
      <c r="C8" s="4" t="s">
        <v>399</v>
      </c>
      <c r="D8" s="4" t="s">
        <v>24</v>
      </c>
      <c r="E8" s="5">
        <v>201792</v>
      </c>
      <c r="F8" s="6">
        <v>3191.138688</v>
      </c>
      <c r="G8" s="7">
        <v>4.0075167000000002E-2</v>
      </c>
      <c r="H8" s="67"/>
    </row>
    <row r="9" spans="1:8" x14ac:dyDescent="0.2">
      <c r="A9" s="3">
        <v>3</v>
      </c>
      <c r="B9" s="4" t="s">
        <v>22</v>
      </c>
      <c r="C9" s="4" t="s">
        <v>23</v>
      </c>
      <c r="D9" s="4" t="s">
        <v>24</v>
      </c>
      <c r="E9" s="5">
        <v>377738</v>
      </c>
      <c r="F9" s="6">
        <v>2716.1250890000001</v>
      </c>
      <c r="G9" s="7">
        <v>3.4109819999999999E-2</v>
      </c>
      <c r="H9" s="67"/>
    </row>
    <row r="10" spans="1:8" x14ac:dyDescent="0.2">
      <c r="A10" s="3">
        <v>4</v>
      </c>
      <c r="B10" s="4" t="s">
        <v>151</v>
      </c>
      <c r="C10" s="4" t="s">
        <v>152</v>
      </c>
      <c r="D10" s="4" t="s">
        <v>153</v>
      </c>
      <c r="E10" s="5">
        <v>67000</v>
      </c>
      <c r="F10" s="6">
        <v>2698.4920000000002</v>
      </c>
      <c r="G10" s="7">
        <v>3.3888379000000003E-2</v>
      </c>
      <c r="H10" s="67"/>
    </row>
    <row r="11" spans="1:8" x14ac:dyDescent="0.2">
      <c r="A11" s="3">
        <v>5</v>
      </c>
      <c r="B11" s="4" t="s">
        <v>400</v>
      </c>
      <c r="C11" s="4" t="s">
        <v>401</v>
      </c>
      <c r="D11" s="4" t="s">
        <v>166</v>
      </c>
      <c r="E11" s="5">
        <v>154200</v>
      </c>
      <c r="F11" s="6">
        <v>2631.3458999999998</v>
      </c>
      <c r="G11" s="7">
        <v>3.3045140000000001E-2</v>
      </c>
      <c r="H11" s="67"/>
    </row>
    <row r="12" spans="1:8" ht="25.5" x14ac:dyDescent="0.2">
      <c r="A12" s="3">
        <v>6</v>
      </c>
      <c r="B12" s="4" t="s">
        <v>402</v>
      </c>
      <c r="C12" s="4" t="s">
        <v>403</v>
      </c>
      <c r="D12" s="4" t="s">
        <v>81</v>
      </c>
      <c r="E12" s="5">
        <v>94000</v>
      </c>
      <c r="F12" s="6">
        <v>2630.59</v>
      </c>
      <c r="G12" s="7">
        <v>3.3035648000000001E-2</v>
      </c>
      <c r="H12" s="67"/>
    </row>
    <row r="13" spans="1:8" x14ac:dyDescent="0.2">
      <c r="A13" s="3">
        <v>7</v>
      </c>
      <c r="B13" s="4" t="s">
        <v>301</v>
      </c>
      <c r="C13" s="4" t="s">
        <v>302</v>
      </c>
      <c r="D13" s="4" t="s">
        <v>166</v>
      </c>
      <c r="E13" s="5">
        <v>68000</v>
      </c>
      <c r="F13" s="6">
        <v>2466.5300000000002</v>
      </c>
      <c r="G13" s="7">
        <v>3.0975339000000001E-2</v>
      </c>
      <c r="H13" s="67"/>
    </row>
    <row r="14" spans="1:8" x14ac:dyDescent="0.2">
      <c r="A14" s="3">
        <v>8</v>
      </c>
      <c r="B14" s="4" t="s">
        <v>354</v>
      </c>
      <c r="C14" s="4" t="s">
        <v>355</v>
      </c>
      <c r="D14" s="4" t="s">
        <v>24</v>
      </c>
      <c r="E14" s="5">
        <v>304210</v>
      </c>
      <c r="F14" s="6">
        <v>2392.6116499999998</v>
      </c>
      <c r="G14" s="7">
        <v>3.0047052000000001E-2</v>
      </c>
      <c r="H14" s="67"/>
    </row>
    <row r="15" spans="1:8" x14ac:dyDescent="0.2">
      <c r="A15" s="3">
        <v>9</v>
      </c>
      <c r="B15" s="4" t="s">
        <v>17</v>
      </c>
      <c r="C15" s="4" t="s">
        <v>18</v>
      </c>
      <c r="D15" s="4" t="s">
        <v>19</v>
      </c>
      <c r="E15" s="5">
        <v>301200</v>
      </c>
      <c r="F15" s="6">
        <v>2000.1186</v>
      </c>
      <c r="G15" s="7">
        <v>2.5118020000000001E-2</v>
      </c>
      <c r="H15" s="67"/>
    </row>
    <row r="16" spans="1:8" ht="25.5" x14ac:dyDescent="0.2">
      <c r="A16" s="3">
        <v>10</v>
      </c>
      <c r="B16" s="4" t="s">
        <v>493</v>
      </c>
      <c r="C16" s="4" t="s">
        <v>494</v>
      </c>
      <c r="D16" s="4" t="s">
        <v>992</v>
      </c>
      <c r="E16" s="5">
        <v>139340</v>
      </c>
      <c r="F16" s="6">
        <v>1886.80294</v>
      </c>
      <c r="G16" s="7">
        <v>2.3694972000000002E-2</v>
      </c>
      <c r="H16" s="67"/>
    </row>
    <row r="17" spans="1:8" x14ac:dyDescent="0.2">
      <c r="A17" s="3">
        <v>11</v>
      </c>
      <c r="B17" s="4" t="s">
        <v>208</v>
      </c>
      <c r="C17" s="4" t="s">
        <v>209</v>
      </c>
      <c r="D17" s="4" t="s">
        <v>1005</v>
      </c>
      <c r="E17" s="5">
        <v>210048</v>
      </c>
      <c r="F17" s="6">
        <v>1778.7914880000001</v>
      </c>
      <c r="G17" s="7">
        <v>2.2338535999999999E-2</v>
      </c>
      <c r="H17" s="67"/>
    </row>
    <row r="18" spans="1:8" x14ac:dyDescent="0.2">
      <c r="A18" s="3">
        <v>12</v>
      </c>
      <c r="B18" s="4" t="s">
        <v>404</v>
      </c>
      <c r="C18" s="4" t="s">
        <v>405</v>
      </c>
      <c r="D18" s="4" t="s">
        <v>24</v>
      </c>
      <c r="E18" s="5">
        <v>416666</v>
      </c>
      <c r="F18" s="6">
        <v>1775.2054929999999</v>
      </c>
      <c r="G18" s="7">
        <v>2.2293502E-2</v>
      </c>
      <c r="H18" s="67"/>
    </row>
    <row r="19" spans="1:8" x14ac:dyDescent="0.2">
      <c r="A19" s="3">
        <v>13</v>
      </c>
      <c r="B19" s="4" t="s">
        <v>388</v>
      </c>
      <c r="C19" s="4" t="s">
        <v>389</v>
      </c>
      <c r="D19" s="4" t="s">
        <v>1002</v>
      </c>
      <c r="E19" s="5">
        <v>9583</v>
      </c>
      <c r="F19" s="6">
        <v>1643.3647125</v>
      </c>
      <c r="G19" s="7">
        <v>2.0637809999999999E-2</v>
      </c>
      <c r="H19" s="67"/>
    </row>
    <row r="20" spans="1:8" x14ac:dyDescent="0.2">
      <c r="A20" s="3">
        <v>14</v>
      </c>
      <c r="B20" s="4" t="s">
        <v>441</v>
      </c>
      <c r="C20" s="4" t="s">
        <v>442</v>
      </c>
      <c r="D20" s="4" t="s">
        <v>81</v>
      </c>
      <c r="E20" s="5">
        <v>224242</v>
      </c>
      <c r="F20" s="6">
        <v>1534.488006</v>
      </c>
      <c r="G20" s="7">
        <v>1.9270507999999999E-2</v>
      </c>
      <c r="H20" s="67"/>
    </row>
    <row r="21" spans="1:8" x14ac:dyDescent="0.2">
      <c r="A21" s="3">
        <v>15</v>
      </c>
      <c r="B21" s="4" t="s">
        <v>11</v>
      </c>
      <c r="C21" s="4" t="s">
        <v>12</v>
      </c>
      <c r="D21" s="4" t="s">
        <v>13</v>
      </c>
      <c r="E21" s="5">
        <v>91037</v>
      </c>
      <c r="F21" s="6">
        <v>1522.320714</v>
      </c>
      <c r="G21" s="7">
        <v>1.9117708000000001E-2</v>
      </c>
      <c r="H21" s="67"/>
    </row>
    <row r="22" spans="1:8" x14ac:dyDescent="0.2">
      <c r="A22" s="3">
        <v>16</v>
      </c>
      <c r="B22" s="4" t="s">
        <v>311</v>
      </c>
      <c r="C22" s="4" t="s">
        <v>312</v>
      </c>
      <c r="D22" s="4" t="s">
        <v>153</v>
      </c>
      <c r="E22" s="5">
        <v>14917</v>
      </c>
      <c r="F22" s="6">
        <v>1512.5465075</v>
      </c>
      <c r="G22" s="7">
        <v>1.8994961000000001E-2</v>
      </c>
      <c r="H22" s="67"/>
    </row>
    <row r="23" spans="1:8" x14ac:dyDescent="0.2">
      <c r="A23" s="3">
        <v>17</v>
      </c>
      <c r="B23" s="4" t="s">
        <v>253</v>
      </c>
      <c r="C23" s="4" t="s">
        <v>254</v>
      </c>
      <c r="D23" s="4" t="s">
        <v>49</v>
      </c>
      <c r="E23" s="5">
        <v>141941</v>
      </c>
      <c r="F23" s="6">
        <v>1496.0581400000001</v>
      </c>
      <c r="G23" s="7">
        <v>1.8787894999999999E-2</v>
      </c>
      <c r="H23" s="67"/>
    </row>
    <row r="24" spans="1:8" ht="25.5" x14ac:dyDescent="0.2">
      <c r="A24" s="3">
        <v>18</v>
      </c>
      <c r="B24" s="4" t="s">
        <v>319</v>
      </c>
      <c r="C24" s="4" t="s">
        <v>320</v>
      </c>
      <c r="D24" s="4" t="s">
        <v>52</v>
      </c>
      <c r="E24" s="5">
        <v>237070</v>
      </c>
      <c r="F24" s="6">
        <v>1415.7820400000001</v>
      </c>
      <c r="G24" s="7">
        <v>1.7779766999999998E-2</v>
      </c>
      <c r="H24" s="67"/>
    </row>
    <row r="25" spans="1:8" x14ac:dyDescent="0.2">
      <c r="A25" s="3">
        <v>19</v>
      </c>
      <c r="B25" s="4" t="s">
        <v>509</v>
      </c>
      <c r="C25" s="4" t="s">
        <v>510</v>
      </c>
      <c r="D25" s="4" t="s">
        <v>24</v>
      </c>
      <c r="E25" s="5">
        <v>447355</v>
      </c>
      <c r="F25" s="6">
        <v>1330.4337700000001</v>
      </c>
      <c r="G25" s="7">
        <v>1.6707940000000001E-2</v>
      </c>
      <c r="H25" s="67"/>
    </row>
    <row r="26" spans="1:8" x14ac:dyDescent="0.2">
      <c r="A26" s="3">
        <v>20</v>
      </c>
      <c r="B26" s="4" t="s">
        <v>25</v>
      </c>
      <c r="C26" s="4" t="s">
        <v>26</v>
      </c>
      <c r="D26" s="4" t="s">
        <v>27</v>
      </c>
      <c r="E26" s="5">
        <v>100996</v>
      </c>
      <c r="F26" s="6">
        <v>1303.8078619999999</v>
      </c>
      <c r="G26" s="7">
        <v>1.6373565E-2</v>
      </c>
      <c r="H26" s="67"/>
    </row>
    <row r="27" spans="1:8" x14ac:dyDescent="0.2">
      <c r="A27" s="3">
        <v>21</v>
      </c>
      <c r="B27" s="4" t="s">
        <v>414</v>
      </c>
      <c r="C27" s="4" t="s">
        <v>415</v>
      </c>
      <c r="D27" s="4" t="s">
        <v>166</v>
      </c>
      <c r="E27" s="5">
        <v>32028</v>
      </c>
      <c r="F27" s="6">
        <v>1212.7242060000001</v>
      </c>
      <c r="G27" s="7">
        <v>1.5229713000000001E-2</v>
      </c>
      <c r="H27" s="67"/>
    </row>
    <row r="28" spans="1:8" x14ac:dyDescent="0.2">
      <c r="A28" s="3">
        <v>22</v>
      </c>
      <c r="B28" s="4" t="s">
        <v>42</v>
      </c>
      <c r="C28" s="4" t="s">
        <v>43</v>
      </c>
      <c r="D28" s="4" t="s">
        <v>16</v>
      </c>
      <c r="E28" s="5">
        <v>256895</v>
      </c>
      <c r="F28" s="6">
        <v>1211.6452675</v>
      </c>
      <c r="G28" s="7">
        <v>1.5216163E-2</v>
      </c>
      <c r="H28" s="67"/>
    </row>
    <row r="29" spans="1:8" x14ac:dyDescent="0.2">
      <c r="A29" s="3">
        <v>23</v>
      </c>
      <c r="B29" s="4" t="s">
        <v>332</v>
      </c>
      <c r="C29" s="4" t="s">
        <v>333</v>
      </c>
      <c r="D29" s="4" t="s">
        <v>212</v>
      </c>
      <c r="E29" s="5">
        <v>3790</v>
      </c>
      <c r="F29" s="6">
        <v>1193.8158900000001</v>
      </c>
      <c r="G29" s="7">
        <v>1.4992257E-2</v>
      </c>
      <c r="H29" s="67"/>
    </row>
    <row r="30" spans="1:8" x14ac:dyDescent="0.2">
      <c r="A30" s="3">
        <v>24</v>
      </c>
      <c r="B30" s="4" t="s">
        <v>406</v>
      </c>
      <c r="C30" s="4" t="s">
        <v>407</v>
      </c>
      <c r="D30" s="4" t="s">
        <v>1002</v>
      </c>
      <c r="E30" s="5">
        <v>100100</v>
      </c>
      <c r="F30" s="6">
        <v>1193.2420500000001</v>
      </c>
      <c r="G30" s="7">
        <v>1.498505E-2</v>
      </c>
      <c r="H30" s="67"/>
    </row>
    <row r="31" spans="1:8" x14ac:dyDescent="0.2">
      <c r="A31" s="3">
        <v>25</v>
      </c>
      <c r="B31" s="4" t="s">
        <v>234</v>
      </c>
      <c r="C31" s="4" t="s">
        <v>235</v>
      </c>
      <c r="D31" s="4" t="s">
        <v>187</v>
      </c>
      <c r="E31" s="5">
        <v>69458</v>
      </c>
      <c r="F31" s="6">
        <v>1182.6266370000001</v>
      </c>
      <c r="G31" s="7">
        <v>1.4851738999999999E-2</v>
      </c>
      <c r="H31" s="67"/>
    </row>
    <row r="32" spans="1:8" x14ac:dyDescent="0.2">
      <c r="A32" s="3">
        <v>26</v>
      </c>
      <c r="B32" s="4" t="s">
        <v>364</v>
      </c>
      <c r="C32" s="4" t="s">
        <v>365</v>
      </c>
      <c r="D32" s="4" t="s">
        <v>166</v>
      </c>
      <c r="E32" s="5">
        <v>100000</v>
      </c>
      <c r="F32" s="6">
        <v>1182.3</v>
      </c>
      <c r="G32" s="7">
        <v>1.4847637E-2</v>
      </c>
      <c r="H32" s="67"/>
    </row>
    <row r="33" spans="1:8" x14ac:dyDescent="0.2">
      <c r="A33" s="3">
        <v>27</v>
      </c>
      <c r="B33" s="4" t="s">
        <v>426</v>
      </c>
      <c r="C33" s="4" t="s">
        <v>427</v>
      </c>
      <c r="D33" s="4" t="s">
        <v>428</v>
      </c>
      <c r="E33" s="5">
        <v>250000</v>
      </c>
      <c r="F33" s="6">
        <v>1170.75</v>
      </c>
      <c r="G33" s="7">
        <v>1.4702589E-2</v>
      </c>
      <c r="H33" s="67"/>
    </row>
    <row r="34" spans="1:8" x14ac:dyDescent="0.2">
      <c r="A34" s="3">
        <v>28</v>
      </c>
      <c r="B34" s="4" t="s">
        <v>372</v>
      </c>
      <c r="C34" s="4" t="s">
        <v>373</v>
      </c>
      <c r="D34" s="4" t="s">
        <v>55</v>
      </c>
      <c r="E34" s="5">
        <v>1725592</v>
      </c>
      <c r="F34" s="6">
        <v>1157.8722319999999</v>
      </c>
      <c r="G34" s="7">
        <v>1.4540867000000001E-2</v>
      </c>
      <c r="H34" s="67"/>
    </row>
    <row r="35" spans="1:8" ht="25.5" x14ac:dyDescent="0.2">
      <c r="A35" s="3">
        <v>29</v>
      </c>
      <c r="B35" s="4" t="s">
        <v>695</v>
      </c>
      <c r="C35" s="4" t="s">
        <v>696</v>
      </c>
      <c r="D35" s="4" t="s">
        <v>52</v>
      </c>
      <c r="E35" s="5">
        <v>132080</v>
      </c>
      <c r="F35" s="6">
        <v>1154.5773200000001</v>
      </c>
      <c r="G35" s="7">
        <v>1.4499488E-2</v>
      </c>
      <c r="H35" s="67"/>
    </row>
    <row r="36" spans="1:8" x14ac:dyDescent="0.2">
      <c r="A36" s="3">
        <v>30</v>
      </c>
      <c r="B36" s="4" t="s">
        <v>497</v>
      </c>
      <c r="C36" s="4" t="s">
        <v>498</v>
      </c>
      <c r="D36" s="4" t="s">
        <v>84</v>
      </c>
      <c r="E36" s="5">
        <v>394366</v>
      </c>
      <c r="F36" s="6">
        <v>1133.013518</v>
      </c>
      <c r="G36" s="7">
        <v>1.4228685E-2</v>
      </c>
      <c r="H36" s="67"/>
    </row>
    <row r="37" spans="1:8" x14ac:dyDescent="0.2">
      <c r="A37" s="3">
        <v>31</v>
      </c>
      <c r="B37" s="4" t="s">
        <v>97</v>
      </c>
      <c r="C37" s="4" t="s">
        <v>98</v>
      </c>
      <c r="D37" s="4" t="s">
        <v>60</v>
      </c>
      <c r="E37" s="5">
        <v>205000</v>
      </c>
      <c r="F37" s="6">
        <v>1118.9925000000001</v>
      </c>
      <c r="G37" s="7">
        <v>1.4052604999999999E-2</v>
      </c>
      <c r="H37" s="67"/>
    </row>
    <row r="38" spans="1:8" x14ac:dyDescent="0.2">
      <c r="A38" s="3">
        <v>32</v>
      </c>
      <c r="B38" s="4" t="s">
        <v>198</v>
      </c>
      <c r="C38" s="4" t="s">
        <v>199</v>
      </c>
      <c r="D38" s="4" t="s">
        <v>166</v>
      </c>
      <c r="E38" s="5">
        <v>114247</v>
      </c>
      <c r="F38" s="6">
        <v>1116.7073015000001</v>
      </c>
      <c r="G38" s="7">
        <v>1.4023907E-2</v>
      </c>
      <c r="H38" s="67"/>
    </row>
    <row r="39" spans="1:8" x14ac:dyDescent="0.2">
      <c r="A39" s="3">
        <v>33</v>
      </c>
      <c r="B39" s="4" t="s">
        <v>356</v>
      </c>
      <c r="C39" s="4" t="s">
        <v>357</v>
      </c>
      <c r="D39" s="4" t="s">
        <v>24</v>
      </c>
      <c r="E39" s="5">
        <v>1431306</v>
      </c>
      <c r="F39" s="6">
        <v>1107.1151910000001</v>
      </c>
      <c r="G39" s="7">
        <v>1.3903446E-2</v>
      </c>
      <c r="H39" s="67"/>
    </row>
    <row r="40" spans="1:8" ht="25.5" x14ac:dyDescent="0.2">
      <c r="A40" s="3">
        <v>34</v>
      </c>
      <c r="B40" s="4" t="s">
        <v>408</v>
      </c>
      <c r="C40" s="4" t="s">
        <v>409</v>
      </c>
      <c r="D40" s="4" t="s">
        <v>52</v>
      </c>
      <c r="E40" s="5">
        <v>40280</v>
      </c>
      <c r="F40" s="6">
        <v>1097.26748</v>
      </c>
      <c r="G40" s="7">
        <v>1.3779776000000001E-2</v>
      </c>
      <c r="H40" s="67"/>
    </row>
    <row r="41" spans="1:8" x14ac:dyDescent="0.2">
      <c r="A41" s="3">
        <v>35</v>
      </c>
      <c r="B41" s="4" t="s">
        <v>91</v>
      </c>
      <c r="C41" s="4" t="s">
        <v>92</v>
      </c>
      <c r="D41" s="4" t="s">
        <v>27</v>
      </c>
      <c r="E41" s="5">
        <v>14578</v>
      </c>
      <c r="F41" s="6">
        <v>1056.9924679999999</v>
      </c>
      <c r="G41" s="7">
        <v>1.3273992E-2</v>
      </c>
      <c r="H41" s="67"/>
    </row>
    <row r="42" spans="1:8" x14ac:dyDescent="0.2">
      <c r="A42" s="3">
        <v>36</v>
      </c>
      <c r="B42" s="4" t="s">
        <v>279</v>
      </c>
      <c r="C42" s="4" t="s">
        <v>280</v>
      </c>
      <c r="D42" s="4" t="s">
        <v>1003</v>
      </c>
      <c r="E42" s="5">
        <v>66853</v>
      </c>
      <c r="F42" s="6">
        <v>1014.5277015</v>
      </c>
      <c r="G42" s="7">
        <v>1.2740708E-2</v>
      </c>
      <c r="H42" s="67"/>
    </row>
    <row r="43" spans="1:8" x14ac:dyDescent="0.2">
      <c r="A43" s="3">
        <v>37</v>
      </c>
      <c r="B43" s="4" t="s">
        <v>350</v>
      </c>
      <c r="C43" s="4" t="s">
        <v>351</v>
      </c>
      <c r="D43" s="4" t="s">
        <v>46</v>
      </c>
      <c r="E43" s="5">
        <v>147000</v>
      </c>
      <c r="F43" s="6">
        <v>998.93849999999998</v>
      </c>
      <c r="G43" s="7">
        <v>1.2544935E-2</v>
      </c>
      <c r="H43" s="67"/>
    </row>
    <row r="44" spans="1:8" x14ac:dyDescent="0.2">
      <c r="A44" s="3">
        <v>38</v>
      </c>
      <c r="B44" s="4" t="s">
        <v>334</v>
      </c>
      <c r="C44" s="4" t="s">
        <v>335</v>
      </c>
      <c r="D44" s="4" t="s">
        <v>187</v>
      </c>
      <c r="E44" s="5">
        <v>25000</v>
      </c>
      <c r="F44" s="6">
        <v>973.47500000000002</v>
      </c>
      <c r="G44" s="7">
        <v>1.2225157E-2</v>
      </c>
      <c r="H44" s="67"/>
    </row>
    <row r="45" spans="1:8" x14ac:dyDescent="0.2">
      <c r="A45" s="3">
        <v>39</v>
      </c>
      <c r="B45" s="4" t="s">
        <v>70</v>
      </c>
      <c r="C45" s="4" t="s">
        <v>71</v>
      </c>
      <c r="D45" s="4" t="s">
        <v>27</v>
      </c>
      <c r="E45" s="5">
        <v>96041</v>
      </c>
      <c r="F45" s="6">
        <v>959.59365149999996</v>
      </c>
      <c r="G45" s="7">
        <v>1.2050831999999999E-2</v>
      </c>
      <c r="H45" s="67"/>
    </row>
    <row r="46" spans="1:8" x14ac:dyDescent="0.2">
      <c r="A46" s="3">
        <v>40</v>
      </c>
      <c r="B46" s="4" t="s">
        <v>424</v>
      </c>
      <c r="C46" s="4" t="s">
        <v>425</v>
      </c>
      <c r="D46" s="4" t="s">
        <v>166</v>
      </c>
      <c r="E46" s="5">
        <v>65425</v>
      </c>
      <c r="F46" s="6">
        <v>947.12501250000003</v>
      </c>
      <c r="G46" s="7">
        <v>1.1894247E-2</v>
      </c>
      <c r="H46" s="67"/>
    </row>
    <row r="47" spans="1:8" x14ac:dyDescent="0.2">
      <c r="A47" s="3">
        <v>41</v>
      </c>
      <c r="B47" s="4" t="s">
        <v>697</v>
      </c>
      <c r="C47" s="4" t="s">
        <v>698</v>
      </c>
      <c r="D47" s="4" t="s">
        <v>69</v>
      </c>
      <c r="E47" s="5">
        <v>124146</v>
      </c>
      <c r="F47" s="6">
        <v>873.49125600000002</v>
      </c>
      <c r="G47" s="7">
        <v>1.0969535000000001E-2</v>
      </c>
      <c r="H47" s="67"/>
    </row>
    <row r="48" spans="1:8" x14ac:dyDescent="0.2">
      <c r="A48" s="3">
        <v>42</v>
      </c>
      <c r="B48" s="4" t="s">
        <v>566</v>
      </c>
      <c r="C48" s="4" t="s">
        <v>567</v>
      </c>
      <c r="D48" s="4" t="s">
        <v>55</v>
      </c>
      <c r="E48" s="5">
        <v>187368</v>
      </c>
      <c r="F48" s="6">
        <v>872.38540799999998</v>
      </c>
      <c r="G48" s="7">
        <v>1.0955648E-2</v>
      </c>
      <c r="H48" s="67"/>
    </row>
    <row r="49" spans="1:8" x14ac:dyDescent="0.2">
      <c r="A49" s="3">
        <v>43</v>
      </c>
      <c r="B49" s="4" t="s">
        <v>204</v>
      </c>
      <c r="C49" s="4" t="s">
        <v>205</v>
      </c>
      <c r="D49" s="4" t="s">
        <v>27</v>
      </c>
      <c r="E49" s="5">
        <v>52223</v>
      </c>
      <c r="F49" s="6">
        <v>867.24124949999998</v>
      </c>
      <c r="G49" s="7">
        <v>1.0891046E-2</v>
      </c>
      <c r="H49" s="67"/>
    </row>
    <row r="50" spans="1:8" ht="25.5" x14ac:dyDescent="0.2">
      <c r="A50" s="3">
        <v>44</v>
      </c>
      <c r="B50" s="4" t="s">
        <v>31</v>
      </c>
      <c r="C50" s="4" t="s">
        <v>993</v>
      </c>
      <c r="D50" s="4" t="s">
        <v>992</v>
      </c>
      <c r="E50" s="5">
        <v>10930</v>
      </c>
      <c r="F50" s="6">
        <v>856.08678499999996</v>
      </c>
      <c r="G50" s="7">
        <v>1.0750964999999999E-2</v>
      </c>
      <c r="H50" s="67"/>
    </row>
    <row r="51" spans="1:8" ht="25.5" x14ac:dyDescent="0.2">
      <c r="A51" s="3">
        <v>45</v>
      </c>
      <c r="B51" s="4" t="s">
        <v>20</v>
      </c>
      <c r="C51" s="4" t="s">
        <v>21</v>
      </c>
      <c r="D51" s="4" t="s">
        <v>992</v>
      </c>
      <c r="E51" s="5">
        <v>84095</v>
      </c>
      <c r="F51" s="6">
        <v>848.35036000000002</v>
      </c>
      <c r="G51" s="7">
        <v>1.0653809E-2</v>
      </c>
      <c r="H51" s="67"/>
    </row>
    <row r="52" spans="1:8" x14ac:dyDescent="0.2">
      <c r="A52" s="3">
        <v>46</v>
      </c>
      <c r="B52" s="4" t="s">
        <v>348</v>
      </c>
      <c r="C52" s="4" t="s">
        <v>349</v>
      </c>
      <c r="D52" s="4" t="s">
        <v>1003</v>
      </c>
      <c r="E52" s="5">
        <v>117000</v>
      </c>
      <c r="F52" s="6">
        <v>844.27200000000005</v>
      </c>
      <c r="G52" s="7">
        <v>1.0602591999999999E-2</v>
      </c>
      <c r="H52" s="67"/>
    </row>
    <row r="53" spans="1:8" ht="25.5" x14ac:dyDescent="0.2">
      <c r="A53" s="3">
        <v>47</v>
      </c>
      <c r="B53" s="4" t="s">
        <v>699</v>
      </c>
      <c r="C53" s="4" t="s">
        <v>700</v>
      </c>
      <c r="D53" s="4" t="s">
        <v>52</v>
      </c>
      <c r="E53" s="5">
        <v>3189</v>
      </c>
      <c r="F53" s="6">
        <v>777.84334049999995</v>
      </c>
      <c r="G53" s="7">
        <v>9.7683630000000004E-3</v>
      </c>
      <c r="H53" s="67"/>
    </row>
    <row r="54" spans="1:8" x14ac:dyDescent="0.2">
      <c r="A54" s="3">
        <v>48</v>
      </c>
      <c r="B54" s="4" t="s">
        <v>75</v>
      </c>
      <c r="C54" s="4" t="s">
        <v>76</v>
      </c>
      <c r="D54" s="4" t="s">
        <v>13</v>
      </c>
      <c r="E54" s="5">
        <v>919583</v>
      </c>
      <c r="F54" s="6">
        <v>728.76952749999998</v>
      </c>
      <c r="G54" s="7">
        <v>9.1520809999999994E-3</v>
      </c>
      <c r="H54" s="67"/>
    </row>
    <row r="55" spans="1:8" ht="25.5" x14ac:dyDescent="0.2">
      <c r="A55" s="3">
        <v>49</v>
      </c>
      <c r="B55" s="4" t="s">
        <v>701</v>
      </c>
      <c r="C55" s="4" t="s">
        <v>702</v>
      </c>
      <c r="D55" s="4" t="s">
        <v>36</v>
      </c>
      <c r="E55" s="5">
        <v>9000</v>
      </c>
      <c r="F55" s="6">
        <v>718.50149999999996</v>
      </c>
      <c r="G55" s="7">
        <v>9.0231329999999992E-3</v>
      </c>
      <c r="H55" s="67"/>
    </row>
    <row r="56" spans="1:8" x14ac:dyDescent="0.2">
      <c r="A56" s="3">
        <v>50</v>
      </c>
      <c r="B56" s="4" t="s">
        <v>703</v>
      </c>
      <c r="C56" s="4" t="s">
        <v>704</v>
      </c>
      <c r="D56" s="4" t="s">
        <v>171</v>
      </c>
      <c r="E56" s="5">
        <v>10000</v>
      </c>
      <c r="F56" s="6">
        <v>698.68</v>
      </c>
      <c r="G56" s="7">
        <v>8.7742089999999998E-3</v>
      </c>
      <c r="H56" s="67"/>
    </row>
    <row r="57" spans="1:8" x14ac:dyDescent="0.2">
      <c r="A57" s="3">
        <v>51</v>
      </c>
      <c r="B57" s="4" t="s">
        <v>507</v>
      </c>
      <c r="C57" s="4" t="s">
        <v>508</v>
      </c>
      <c r="D57" s="4" t="s">
        <v>187</v>
      </c>
      <c r="E57" s="5">
        <v>96183</v>
      </c>
      <c r="F57" s="6">
        <v>689.43974400000002</v>
      </c>
      <c r="G57" s="7">
        <v>8.6581669999999996E-3</v>
      </c>
      <c r="H57" s="67"/>
    </row>
    <row r="58" spans="1:8" x14ac:dyDescent="0.2">
      <c r="A58" s="3">
        <v>52</v>
      </c>
      <c r="B58" s="4" t="s">
        <v>378</v>
      </c>
      <c r="C58" s="4" t="s">
        <v>379</v>
      </c>
      <c r="D58" s="4" t="s">
        <v>81</v>
      </c>
      <c r="E58" s="5">
        <v>169899</v>
      </c>
      <c r="F58" s="6">
        <v>683.41872750000005</v>
      </c>
      <c r="G58" s="7">
        <v>8.5825539999999992E-3</v>
      </c>
      <c r="H58" s="67"/>
    </row>
    <row r="59" spans="1:8" x14ac:dyDescent="0.2">
      <c r="A59" s="3">
        <v>53</v>
      </c>
      <c r="B59" s="4" t="s">
        <v>82</v>
      </c>
      <c r="C59" s="4" t="s">
        <v>83</v>
      </c>
      <c r="D59" s="4" t="s">
        <v>84</v>
      </c>
      <c r="E59" s="5">
        <v>543762</v>
      </c>
      <c r="F59" s="6">
        <v>667.46785499999999</v>
      </c>
      <c r="G59" s="7">
        <v>8.3822389999999997E-3</v>
      </c>
      <c r="H59" s="67"/>
    </row>
    <row r="60" spans="1:8" x14ac:dyDescent="0.2">
      <c r="A60" s="3">
        <v>54</v>
      </c>
      <c r="B60" s="4" t="s">
        <v>681</v>
      </c>
      <c r="C60" s="4" t="s">
        <v>682</v>
      </c>
      <c r="D60" s="4" t="s">
        <v>187</v>
      </c>
      <c r="E60" s="5">
        <v>90000</v>
      </c>
      <c r="F60" s="6">
        <v>654.57000000000005</v>
      </c>
      <c r="G60" s="7">
        <v>8.2202639999999997E-3</v>
      </c>
      <c r="H60" s="67"/>
    </row>
    <row r="61" spans="1:8" x14ac:dyDescent="0.2">
      <c r="A61" s="3">
        <v>55</v>
      </c>
      <c r="B61" s="4" t="s">
        <v>556</v>
      </c>
      <c r="C61" s="4" t="s">
        <v>557</v>
      </c>
      <c r="D61" s="4" t="s">
        <v>84</v>
      </c>
      <c r="E61" s="5">
        <v>8000</v>
      </c>
      <c r="F61" s="6">
        <v>547.68799999999999</v>
      </c>
      <c r="G61" s="7">
        <v>6.8780109999999998E-3</v>
      </c>
      <c r="H61" s="67"/>
    </row>
    <row r="62" spans="1:8" x14ac:dyDescent="0.2">
      <c r="A62" s="3">
        <v>56</v>
      </c>
      <c r="B62" s="4" t="s">
        <v>167</v>
      </c>
      <c r="C62" s="4" t="s">
        <v>168</v>
      </c>
      <c r="D62" s="4" t="s">
        <v>166</v>
      </c>
      <c r="E62" s="5">
        <v>16239</v>
      </c>
      <c r="F62" s="6">
        <v>539.46769949999998</v>
      </c>
      <c r="G62" s="7">
        <v>6.7747789999999999E-3</v>
      </c>
      <c r="H62" s="67"/>
    </row>
    <row r="63" spans="1:8" x14ac:dyDescent="0.2">
      <c r="A63" s="3">
        <v>57</v>
      </c>
      <c r="B63" s="4" t="s">
        <v>93</v>
      </c>
      <c r="C63" s="4" t="s">
        <v>94</v>
      </c>
      <c r="D63" s="4" t="s">
        <v>69</v>
      </c>
      <c r="E63" s="5">
        <v>152274</v>
      </c>
      <c r="F63" s="6">
        <v>536.99426100000005</v>
      </c>
      <c r="G63" s="7">
        <v>6.7437160000000003E-3</v>
      </c>
      <c r="H63" s="67"/>
    </row>
    <row r="64" spans="1:8" x14ac:dyDescent="0.2">
      <c r="A64" s="3">
        <v>58</v>
      </c>
      <c r="B64" s="4" t="s">
        <v>366</v>
      </c>
      <c r="C64" s="4" t="s">
        <v>367</v>
      </c>
      <c r="D64" s="4" t="s">
        <v>55</v>
      </c>
      <c r="E64" s="5">
        <v>12700</v>
      </c>
      <c r="F64" s="6">
        <v>528.37080000000003</v>
      </c>
      <c r="G64" s="7">
        <v>6.6354209999999999E-3</v>
      </c>
      <c r="H64" s="67"/>
    </row>
    <row r="65" spans="1:8" x14ac:dyDescent="0.2">
      <c r="A65" s="3">
        <v>59</v>
      </c>
      <c r="B65" s="4" t="s">
        <v>368</v>
      </c>
      <c r="C65" s="4" t="s">
        <v>369</v>
      </c>
      <c r="D65" s="4" t="s">
        <v>242</v>
      </c>
      <c r="E65" s="5">
        <v>60545</v>
      </c>
      <c r="F65" s="6">
        <v>480.061305</v>
      </c>
      <c r="G65" s="7">
        <v>6.0287370000000002E-3</v>
      </c>
      <c r="H65" s="67"/>
    </row>
    <row r="66" spans="1:8" x14ac:dyDescent="0.2">
      <c r="A66" s="3">
        <v>60</v>
      </c>
      <c r="B66" s="4" t="s">
        <v>448</v>
      </c>
      <c r="C66" s="4" t="s">
        <v>449</v>
      </c>
      <c r="D66" s="4" t="s">
        <v>55</v>
      </c>
      <c r="E66" s="5">
        <v>141219</v>
      </c>
      <c r="F66" s="6">
        <v>467.08184249999999</v>
      </c>
      <c r="G66" s="7">
        <v>5.8657379999999997E-3</v>
      </c>
      <c r="H66" s="67"/>
    </row>
    <row r="67" spans="1:8" x14ac:dyDescent="0.2">
      <c r="A67" s="3">
        <v>61</v>
      </c>
      <c r="B67" s="4" t="s">
        <v>376</v>
      </c>
      <c r="C67" s="4" t="s">
        <v>377</v>
      </c>
      <c r="D67" s="4" t="s">
        <v>55</v>
      </c>
      <c r="E67" s="5">
        <v>21630</v>
      </c>
      <c r="F67" s="6">
        <v>460.76226000000003</v>
      </c>
      <c r="G67" s="7">
        <v>5.7863749999999999E-3</v>
      </c>
      <c r="H67" s="67"/>
    </row>
    <row r="68" spans="1:8" x14ac:dyDescent="0.2">
      <c r="A68" s="3">
        <v>62</v>
      </c>
      <c r="B68" s="4" t="s">
        <v>28</v>
      </c>
      <c r="C68" s="4" t="s">
        <v>29</v>
      </c>
      <c r="D68" s="4" t="s">
        <v>27</v>
      </c>
      <c r="E68" s="5">
        <v>17809</v>
      </c>
      <c r="F68" s="6">
        <v>368.201075</v>
      </c>
      <c r="G68" s="7">
        <v>4.6239669999999997E-3</v>
      </c>
      <c r="H68" s="67"/>
    </row>
    <row r="69" spans="1:8" x14ac:dyDescent="0.2">
      <c r="A69" s="3">
        <v>63</v>
      </c>
      <c r="B69" s="4" t="s">
        <v>67</v>
      </c>
      <c r="C69" s="4" t="s">
        <v>68</v>
      </c>
      <c r="D69" s="4" t="s">
        <v>69</v>
      </c>
      <c r="E69" s="5">
        <v>135712</v>
      </c>
      <c r="F69" s="6">
        <v>202.41444799999999</v>
      </c>
      <c r="G69" s="7">
        <v>2.5419739999999998E-3</v>
      </c>
      <c r="H69" s="67"/>
    </row>
    <row r="70" spans="1:8" ht="25.5" x14ac:dyDescent="0.2">
      <c r="A70" s="3">
        <v>64</v>
      </c>
      <c r="B70" s="4" t="s">
        <v>217</v>
      </c>
      <c r="C70" s="4" t="s">
        <v>218</v>
      </c>
      <c r="D70" s="4" t="s">
        <v>55</v>
      </c>
      <c r="E70" s="5">
        <v>8900</v>
      </c>
      <c r="F70" s="6">
        <v>195.24375000000001</v>
      </c>
      <c r="G70" s="7">
        <v>2.4519229999999999E-3</v>
      </c>
      <c r="H70" s="67"/>
    </row>
    <row r="71" spans="1:8" x14ac:dyDescent="0.2">
      <c r="A71" s="1"/>
      <c r="B71" s="1"/>
      <c r="C71" s="2" t="s">
        <v>105</v>
      </c>
      <c r="D71" s="1"/>
      <c r="E71" s="1" t="s">
        <v>106</v>
      </c>
      <c r="F71" s="9">
        <v>78649.046720500002</v>
      </c>
      <c r="G71" s="10">
        <v>0.987695608</v>
      </c>
      <c r="H71" s="67"/>
    </row>
    <row r="72" spans="1:8" x14ac:dyDescent="0.2">
      <c r="A72" s="1"/>
      <c r="B72" s="1"/>
      <c r="C72" s="11"/>
      <c r="D72" s="1"/>
      <c r="E72" s="1"/>
      <c r="F72" s="12"/>
      <c r="G72" s="12"/>
      <c r="H72" s="67"/>
    </row>
    <row r="73" spans="1:8" x14ac:dyDescent="0.2">
      <c r="A73" s="1"/>
      <c r="B73" s="1"/>
      <c r="C73" s="2" t="s">
        <v>107</v>
      </c>
      <c r="D73" s="1"/>
      <c r="E73" s="1"/>
      <c r="F73" s="1"/>
      <c r="G73" s="1"/>
      <c r="H73" s="67"/>
    </row>
    <row r="74" spans="1:8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">
        <v>0</v>
      </c>
      <c r="H74" s="67"/>
    </row>
    <row r="75" spans="1:8" x14ac:dyDescent="0.2">
      <c r="A75" s="1"/>
      <c r="B75" s="1"/>
      <c r="C75" s="11"/>
      <c r="D75" s="1"/>
      <c r="E75" s="1"/>
      <c r="F75" s="12"/>
      <c r="G75" s="12"/>
      <c r="H75" s="67"/>
    </row>
    <row r="76" spans="1:8" x14ac:dyDescent="0.2">
      <c r="A76" s="1"/>
      <c r="B76" s="1"/>
      <c r="C76" s="2" t="s">
        <v>108</v>
      </c>
      <c r="D76" s="1"/>
      <c r="E76" s="1"/>
      <c r="F76" s="1"/>
      <c r="G76" s="1"/>
      <c r="H76" s="67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7"/>
    </row>
    <row r="78" spans="1:8" x14ac:dyDescent="0.2">
      <c r="A78" s="1"/>
      <c r="B78" s="1"/>
      <c r="C78" s="11"/>
      <c r="D78" s="1"/>
      <c r="E78" s="1"/>
      <c r="F78" s="12"/>
      <c r="G78" s="12"/>
      <c r="H78" s="67"/>
    </row>
    <row r="79" spans="1:8" x14ac:dyDescent="0.2">
      <c r="A79" s="1"/>
      <c r="B79" s="1"/>
      <c r="C79" s="2" t="s">
        <v>109</v>
      </c>
      <c r="D79" s="1"/>
      <c r="E79" s="1"/>
      <c r="F79" s="1"/>
      <c r="G79" s="1"/>
      <c r="H79" s="67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7"/>
    </row>
    <row r="81" spans="1:8" x14ac:dyDescent="0.2">
      <c r="A81" s="1"/>
      <c r="B81" s="1"/>
      <c r="C81" s="11"/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110</v>
      </c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7"/>
    </row>
    <row r="84" spans="1:8" x14ac:dyDescent="0.2">
      <c r="A84" s="1"/>
      <c r="B84" s="1"/>
      <c r="C84" s="11"/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111</v>
      </c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7"/>
    </row>
    <row r="87" spans="1:8" x14ac:dyDescent="0.2">
      <c r="A87" s="1"/>
      <c r="B87" s="1"/>
      <c r="C87" s="11"/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112</v>
      </c>
      <c r="D88" s="1"/>
      <c r="E88" s="1"/>
      <c r="F88" s="9">
        <v>78649.046720500002</v>
      </c>
      <c r="G88" s="10">
        <v>0.987695608</v>
      </c>
      <c r="H88" s="67"/>
    </row>
    <row r="89" spans="1:8" x14ac:dyDescent="0.2">
      <c r="A89" s="1"/>
      <c r="B89" s="1"/>
      <c r="C89" s="11"/>
      <c r="D89" s="1"/>
      <c r="E89" s="1"/>
      <c r="F89" s="12"/>
      <c r="G89" s="12"/>
      <c r="H89" s="67"/>
    </row>
    <row r="90" spans="1:8" x14ac:dyDescent="0.2">
      <c r="A90" s="1"/>
      <c r="B90" s="1"/>
      <c r="C90" s="2" t="s">
        <v>113</v>
      </c>
      <c r="D90" s="1"/>
      <c r="E90" s="1"/>
      <c r="F90" s="12"/>
      <c r="G90" s="12"/>
      <c r="H90" s="67"/>
    </row>
    <row r="91" spans="1:8" ht="25.5" x14ac:dyDescent="0.2">
      <c r="A91" s="1"/>
      <c r="B91" s="1"/>
      <c r="C91" s="2" t="s">
        <v>10</v>
      </c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7"/>
    </row>
    <row r="93" spans="1:8" x14ac:dyDescent="0.2">
      <c r="A93" s="1"/>
      <c r="B93" s="1"/>
      <c r="C93" s="11"/>
      <c r="D93" s="1"/>
      <c r="E93" s="1"/>
      <c r="F93" s="12"/>
      <c r="G93" s="12"/>
      <c r="H93" s="67"/>
    </row>
    <row r="94" spans="1:8" x14ac:dyDescent="0.2">
      <c r="A94" s="1"/>
      <c r="B94" s="1"/>
      <c r="C94" s="2" t="s">
        <v>114</v>
      </c>
      <c r="D94" s="1"/>
      <c r="E94" s="1"/>
      <c r="F94" s="1"/>
      <c r="G94" s="1"/>
      <c r="H94" s="67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7"/>
    </row>
    <row r="96" spans="1:8" x14ac:dyDescent="0.2">
      <c r="A96" s="1"/>
      <c r="B96" s="1"/>
      <c r="C96" s="11"/>
      <c r="D96" s="1"/>
      <c r="E96" s="1"/>
      <c r="F96" s="12"/>
      <c r="G96" s="12"/>
      <c r="H96" s="67"/>
    </row>
    <row r="97" spans="1:8" x14ac:dyDescent="0.2">
      <c r="A97" s="1"/>
      <c r="B97" s="1"/>
      <c r="C97" s="2" t="s">
        <v>115</v>
      </c>
      <c r="D97" s="1"/>
      <c r="E97" s="1"/>
      <c r="F97" s="1"/>
      <c r="G97" s="1"/>
      <c r="H97" s="67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7"/>
    </row>
    <row r="99" spans="1:8" x14ac:dyDescent="0.2">
      <c r="A99" s="1"/>
      <c r="B99" s="1"/>
      <c r="C99" s="11"/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116</v>
      </c>
      <c r="D100" s="1"/>
      <c r="E100" s="1"/>
      <c r="F100" s="12"/>
      <c r="G100" s="12"/>
      <c r="H100" s="67"/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">
        <v>0</v>
      </c>
      <c r="H101" s="67"/>
    </row>
    <row r="102" spans="1:8" x14ac:dyDescent="0.2">
      <c r="A102" s="1"/>
      <c r="B102" s="1"/>
      <c r="C102" s="11"/>
      <c r="D102" s="1"/>
      <c r="E102" s="1"/>
      <c r="F102" s="12"/>
      <c r="G102" s="12"/>
      <c r="H102" s="67"/>
    </row>
    <row r="103" spans="1:8" x14ac:dyDescent="0.2">
      <c r="A103" s="1"/>
      <c r="B103" s="1"/>
      <c r="C103" s="2" t="s">
        <v>117</v>
      </c>
      <c r="D103" s="1"/>
      <c r="E103" s="1"/>
      <c r="F103" s="9">
        <v>0</v>
      </c>
      <c r="G103" s="10">
        <v>0</v>
      </c>
      <c r="H103" s="67"/>
    </row>
    <row r="104" spans="1:8" x14ac:dyDescent="0.2">
      <c r="A104" s="1"/>
      <c r="B104" s="1"/>
      <c r="C104" s="11"/>
      <c r="D104" s="1"/>
      <c r="E104" s="1"/>
      <c r="F104" s="12"/>
      <c r="G104" s="12"/>
      <c r="H104" s="67"/>
    </row>
    <row r="105" spans="1:8" x14ac:dyDescent="0.2">
      <c r="A105" s="1"/>
      <c r="B105" s="1"/>
      <c r="C105" s="2" t="s">
        <v>118</v>
      </c>
      <c r="D105" s="1"/>
      <c r="E105" s="1"/>
      <c r="F105" s="12"/>
      <c r="G105" s="12"/>
      <c r="H105" s="67"/>
    </row>
    <row r="106" spans="1:8" x14ac:dyDescent="0.2">
      <c r="A106" s="1"/>
      <c r="B106" s="1"/>
      <c r="C106" s="2" t="s">
        <v>119</v>
      </c>
      <c r="D106" s="1"/>
      <c r="E106" s="1"/>
      <c r="F106" s="12"/>
      <c r="G106" s="12"/>
      <c r="H106" s="67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">
        <v>0</v>
      </c>
      <c r="H107" s="67"/>
    </row>
    <row r="108" spans="1:8" x14ac:dyDescent="0.2">
      <c r="A108" s="1"/>
      <c r="B108" s="1"/>
      <c r="C108" s="11"/>
      <c r="D108" s="1"/>
      <c r="E108" s="1"/>
      <c r="F108" s="12"/>
      <c r="G108" s="12"/>
      <c r="H108" s="67"/>
    </row>
    <row r="109" spans="1:8" x14ac:dyDescent="0.2">
      <c r="A109" s="1"/>
      <c r="B109" s="1"/>
      <c r="C109" s="2" t="s">
        <v>120</v>
      </c>
      <c r="D109" s="1"/>
      <c r="E109" s="1"/>
      <c r="F109" s="12"/>
      <c r="G109" s="12"/>
      <c r="H109" s="67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7"/>
    </row>
    <row r="111" spans="1:8" x14ac:dyDescent="0.2">
      <c r="A111" s="1"/>
      <c r="B111" s="1"/>
      <c r="C111" s="11"/>
      <c r="D111" s="1"/>
      <c r="E111" s="1"/>
      <c r="F111" s="12"/>
      <c r="G111" s="12"/>
      <c r="H111" s="67"/>
    </row>
    <row r="112" spans="1:8" x14ac:dyDescent="0.2">
      <c r="A112" s="1"/>
      <c r="B112" s="1"/>
      <c r="C112" s="2" t="s">
        <v>121</v>
      </c>
      <c r="D112" s="1"/>
      <c r="E112" s="1"/>
      <c r="F112" s="12"/>
      <c r="G112" s="12"/>
      <c r="H112" s="67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">
        <v>0</v>
      </c>
      <c r="H113" s="67"/>
    </row>
    <row r="114" spans="1:8" x14ac:dyDescent="0.2">
      <c r="A114" s="1"/>
      <c r="B114" s="1"/>
      <c r="C114" s="11"/>
      <c r="D114" s="1"/>
      <c r="E114" s="1"/>
      <c r="F114" s="12"/>
      <c r="G114" s="12"/>
      <c r="H114" s="67"/>
    </row>
    <row r="115" spans="1:8" x14ac:dyDescent="0.2">
      <c r="A115" s="1"/>
      <c r="B115" s="1"/>
      <c r="C115" s="2" t="s">
        <v>122</v>
      </c>
      <c r="D115" s="1"/>
      <c r="E115" s="1"/>
      <c r="F115" s="12"/>
      <c r="G115" s="12"/>
      <c r="H115" s="67"/>
    </row>
    <row r="116" spans="1:8" x14ac:dyDescent="0.2">
      <c r="A116" s="3">
        <v>1</v>
      </c>
      <c r="B116" s="4"/>
      <c r="C116" s="4" t="s">
        <v>123</v>
      </c>
      <c r="D116" s="4"/>
      <c r="E116" s="8"/>
      <c r="F116" s="6">
        <v>236.85625279999999</v>
      </c>
      <c r="G116" s="7">
        <v>2.9745040000000002E-3</v>
      </c>
      <c r="H116" s="67">
        <v>3.1047477660654299</v>
      </c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9">
        <v>236.85625279999999</v>
      </c>
      <c r="G117" s="10">
        <v>2.9745040000000002E-3</v>
      </c>
      <c r="H117" s="67"/>
    </row>
    <row r="118" spans="1:8" x14ac:dyDescent="0.2">
      <c r="A118" s="1"/>
      <c r="B118" s="1"/>
      <c r="C118" s="11"/>
      <c r="D118" s="1"/>
      <c r="E118" s="1"/>
      <c r="F118" s="12"/>
      <c r="G118" s="12"/>
      <c r="H118" s="67"/>
    </row>
    <row r="119" spans="1:8" x14ac:dyDescent="0.2">
      <c r="A119" s="1"/>
      <c r="B119" s="1"/>
      <c r="C119" s="2" t="s">
        <v>124</v>
      </c>
      <c r="D119" s="1"/>
      <c r="E119" s="1"/>
      <c r="F119" s="9">
        <v>236.85625279999999</v>
      </c>
      <c r="G119" s="10">
        <v>2.9745040000000002E-3</v>
      </c>
      <c r="H119" s="67"/>
    </row>
    <row r="120" spans="1:8" x14ac:dyDescent="0.2">
      <c r="A120" s="1"/>
      <c r="B120" s="1"/>
      <c r="C120" s="12"/>
      <c r="D120" s="1"/>
      <c r="E120" s="1"/>
      <c r="F120" s="1"/>
      <c r="G120" s="1"/>
      <c r="H120" s="67"/>
    </row>
    <row r="121" spans="1:8" x14ac:dyDescent="0.2">
      <c r="A121" s="1"/>
      <c r="B121" s="1"/>
      <c r="C121" s="2" t="s">
        <v>125</v>
      </c>
      <c r="D121" s="1"/>
      <c r="E121" s="1"/>
      <c r="F121" s="1"/>
      <c r="G121" s="1"/>
      <c r="H121" s="67"/>
    </row>
    <row r="122" spans="1:8" x14ac:dyDescent="0.2">
      <c r="A122" s="1"/>
      <c r="B122" s="1"/>
      <c r="C122" s="2" t="s">
        <v>126</v>
      </c>
      <c r="D122" s="1"/>
      <c r="E122" s="1"/>
      <c r="F122" s="1"/>
      <c r="G122" s="1"/>
      <c r="H122" s="67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7"/>
    </row>
    <row r="124" spans="1:8" x14ac:dyDescent="0.2">
      <c r="A124" s="1"/>
      <c r="B124" s="1"/>
      <c r="C124" s="11"/>
      <c r="D124" s="1"/>
      <c r="E124" s="1"/>
      <c r="F124" s="12"/>
      <c r="G124" s="12"/>
      <c r="H124" s="67"/>
    </row>
    <row r="125" spans="1:8" x14ac:dyDescent="0.2">
      <c r="A125" s="1"/>
      <c r="B125" s="1"/>
      <c r="C125" s="2" t="s">
        <v>127</v>
      </c>
      <c r="D125" s="1"/>
      <c r="E125" s="1"/>
      <c r="F125" s="1"/>
      <c r="G125" s="1"/>
      <c r="H125" s="67"/>
    </row>
    <row r="126" spans="1:8" x14ac:dyDescent="0.2">
      <c r="A126" s="1"/>
      <c r="B126" s="1"/>
      <c r="C126" s="2" t="s">
        <v>128</v>
      </c>
      <c r="D126" s="1"/>
      <c r="E126" s="1"/>
      <c r="F126" s="1"/>
      <c r="G126" s="1"/>
      <c r="H126" s="67"/>
    </row>
    <row r="127" spans="1:8" x14ac:dyDescent="0.2">
      <c r="A127" s="1"/>
      <c r="B127" s="1"/>
      <c r="C127" s="2" t="s">
        <v>105</v>
      </c>
      <c r="D127" s="1"/>
      <c r="E127" s="1" t="s">
        <v>106</v>
      </c>
      <c r="F127" s="13">
        <v>0</v>
      </c>
      <c r="G127" s="14">
        <v>0</v>
      </c>
      <c r="H127" s="67"/>
    </row>
    <row r="128" spans="1:8" x14ac:dyDescent="0.2">
      <c r="A128" s="1"/>
      <c r="B128" s="1"/>
      <c r="C128" s="11"/>
      <c r="D128" s="1"/>
      <c r="E128" s="1"/>
      <c r="F128" s="12"/>
      <c r="G128" s="12"/>
      <c r="H128" s="67"/>
    </row>
    <row r="129" spans="1:8" x14ac:dyDescent="0.2">
      <c r="A129" s="1"/>
      <c r="B129" s="1"/>
      <c r="C129" s="11"/>
      <c r="D129" s="1"/>
      <c r="E129" s="1"/>
      <c r="F129" s="12"/>
      <c r="G129" s="12"/>
      <c r="H129" s="67"/>
    </row>
    <row r="130" spans="1:8" ht="25.5" x14ac:dyDescent="0.2">
      <c r="A130" s="1"/>
      <c r="B130" s="1"/>
      <c r="C130" s="2" t="s">
        <v>129</v>
      </c>
      <c r="D130" s="1"/>
      <c r="E130" s="1"/>
      <c r="F130" s="12"/>
      <c r="G130" s="12"/>
      <c r="H130" s="67"/>
    </row>
    <row r="131" spans="1:8" x14ac:dyDescent="0.2">
      <c r="A131" s="1"/>
      <c r="B131" s="1"/>
      <c r="C131" s="2" t="s">
        <v>105</v>
      </c>
      <c r="D131" s="1"/>
      <c r="E131" s="1" t="s">
        <v>106</v>
      </c>
      <c r="F131" s="13">
        <v>0</v>
      </c>
      <c r="G131" s="14">
        <v>0</v>
      </c>
      <c r="H131" s="67"/>
    </row>
    <row r="132" spans="1:8" x14ac:dyDescent="0.2">
      <c r="A132" s="1"/>
      <c r="B132" s="1"/>
      <c r="C132" s="11"/>
      <c r="D132" s="1"/>
      <c r="E132" s="1"/>
      <c r="F132" s="12"/>
      <c r="G132" s="12"/>
      <c r="H132" s="67"/>
    </row>
    <row r="133" spans="1:8" x14ac:dyDescent="0.2">
      <c r="A133" s="1"/>
      <c r="B133" s="4"/>
      <c r="C133" s="4"/>
      <c r="D133" s="2"/>
      <c r="E133" s="1"/>
      <c r="F133" s="4"/>
      <c r="G133" s="8"/>
      <c r="H133" s="67"/>
    </row>
    <row r="134" spans="1:8" x14ac:dyDescent="0.2">
      <c r="A134" s="8"/>
      <c r="B134" s="4"/>
      <c r="C134" s="4" t="s">
        <v>130</v>
      </c>
      <c r="D134" s="4"/>
      <c r="E134" s="8"/>
      <c r="F134" s="6">
        <v>742.92819450000002</v>
      </c>
      <c r="G134" s="7">
        <v>9.3298889999999992E-3</v>
      </c>
      <c r="H134" s="67"/>
    </row>
    <row r="135" spans="1:8" x14ac:dyDescent="0.2">
      <c r="A135" s="11"/>
      <c r="B135" s="11"/>
      <c r="C135" s="2" t="s">
        <v>131</v>
      </c>
      <c r="D135" s="15"/>
      <c r="E135" s="15"/>
      <c r="F135" s="9">
        <v>79628.831167800003</v>
      </c>
      <c r="G135" s="10">
        <v>1.0000000010000001</v>
      </c>
      <c r="H135" s="67"/>
    </row>
    <row r="136" spans="1:8" ht="14.1" customHeight="1" x14ac:dyDescent="0.2">
      <c r="A136" s="16"/>
      <c r="B136" s="16"/>
      <c r="C136" s="16"/>
      <c r="D136" s="17"/>
      <c r="E136" s="17"/>
      <c r="F136" s="17"/>
      <c r="G136" s="17"/>
    </row>
    <row r="137" spans="1:8" ht="14.1" customHeight="1" x14ac:dyDescent="0.2">
      <c r="A137" s="18"/>
      <c r="B137" s="170" t="s">
        <v>106</v>
      </c>
      <c r="C137" s="170"/>
      <c r="D137" s="170"/>
      <c r="E137" s="170"/>
      <c r="F137" s="170"/>
      <c r="G137" s="20"/>
    </row>
    <row r="138" spans="1:8" ht="14.1" customHeight="1" x14ac:dyDescent="0.2">
      <c r="A138" s="18"/>
      <c r="B138" s="170" t="s">
        <v>106</v>
      </c>
      <c r="C138" s="170"/>
      <c r="D138" s="170"/>
      <c r="E138" s="170"/>
      <c r="F138" s="170"/>
      <c r="G138" s="20"/>
    </row>
    <row r="139" spans="1:8" ht="14.1" customHeight="1" x14ac:dyDescent="0.2">
      <c r="A139" s="18"/>
      <c r="B139" s="18"/>
      <c r="C139" s="18"/>
      <c r="D139" s="20"/>
      <c r="E139" s="20"/>
      <c r="F139" s="20"/>
      <c r="G139" s="20"/>
    </row>
    <row r="140" spans="1:8" ht="14.1" customHeight="1" x14ac:dyDescent="0.2">
      <c r="A140" s="18"/>
      <c r="B140" s="168" t="s">
        <v>133</v>
      </c>
      <c r="C140" s="169"/>
      <c r="D140" s="12" t="s">
        <v>106</v>
      </c>
      <c r="E140" s="21"/>
      <c r="F140" s="20"/>
      <c r="G140" s="20"/>
    </row>
    <row r="141" spans="1:8" ht="29.1" customHeight="1" x14ac:dyDescent="0.2">
      <c r="A141" s="18"/>
      <c r="B141" s="165" t="s">
        <v>134</v>
      </c>
      <c r="C141" s="166"/>
      <c r="D141" s="2" t="s">
        <v>135</v>
      </c>
      <c r="E141" s="21"/>
      <c r="F141" s="20"/>
      <c r="G141" s="20"/>
    </row>
    <row r="142" spans="1:8" ht="17.100000000000001" customHeight="1" x14ac:dyDescent="0.2">
      <c r="A142" s="18"/>
      <c r="B142" s="165" t="s">
        <v>136</v>
      </c>
      <c r="C142" s="166"/>
      <c r="D142" s="2" t="s">
        <v>135</v>
      </c>
      <c r="E142" s="21"/>
      <c r="F142" s="20"/>
      <c r="G142" s="20"/>
    </row>
    <row r="143" spans="1:8" ht="17.100000000000001" customHeight="1" x14ac:dyDescent="0.2">
      <c r="A143" s="18"/>
      <c r="B143" s="165" t="s">
        <v>137</v>
      </c>
      <c r="C143" s="166"/>
      <c r="D143" s="12" t="s">
        <v>106</v>
      </c>
      <c r="E143" s="21"/>
      <c r="F143" s="20"/>
      <c r="G143" s="20"/>
    </row>
    <row r="144" spans="1:8" ht="24" customHeight="1" x14ac:dyDescent="0.2">
      <c r="A144" s="22"/>
      <c r="B144" s="23" t="s">
        <v>106</v>
      </c>
      <c r="C144" s="23" t="s">
        <v>138</v>
      </c>
      <c r="D144" s="23" t="s">
        <v>139</v>
      </c>
      <c r="E144" s="22"/>
      <c r="F144" s="22"/>
      <c r="G144" s="22"/>
    </row>
    <row r="145" spans="1:7" ht="18" customHeight="1" x14ac:dyDescent="0.2">
      <c r="A145" s="22"/>
      <c r="B145" s="23" t="s">
        <v>140</v>
      </c>
      <c r="C145" s="23" t="s">
        <v>141</v>
      </c>
      <c r="D145" s="23" t="s">
        <v>142</v>
      </c>
      <c r="E145" s="22"/>
      <c r="F145" s="22"/>
      <c r="G145" s="22"/>
    </row>
    <row r="146" spans="1:7" ht="17.100000000000001" customHeight="1" x14ac:dyDescent="0.2">
      <c r="A146" s="22"/>
      <c r="B146" s="4" t="s">
        <v>143</v>
      </c>
      <c r="C146" s="24">
        <v>15.8543</v>
      </c>
      <c r="D146" s="24">
        <v>16.406300000000002</v>
      </c>
      <c r="E146" s="22"/>
      <c r="F146" s="19"/>
      <c r="G146" s="25"/>
    </row>
    <row r="147" spans="1:7" ht="17.100000000000001" customHeight="1" x14ac:dyDescent="0.2">
      <c r="A147" s="22"/>
      <c r="B147" s="4" t="s">
        <v>988</v>
      </c>
      <c r="C147" s="24">
        <v>14.753500000000001</v>
      </c>
      <c r="D147" s="24">
        <v>15.267099999999999</v>
      </c>
      <c r="E147" s="22"/>
      <c r="F147" s="19"/>
      <c r="G147" s="25"/>
    </row>
    <row r="148" spans="1:7" ht="17.100000000000001" customHeight="1" x14ac:dyDescent="0.2">
      <c r="A148" s="22"/>
      <c r="B148" s="4" t="s">
        <v>144</v>
      </c>
      <c r="C148" s="24">
        <v>15.2949</v>
      </c>
      <c r="D148" s="24">
        <v>15.804600000000001</v>
      </c>
      <c r="E148" s="22"/>
      <c r="F148" s="19"/>
      <c r="G148" s="25"/>
    </row>
    <row r="149" spans="1:7" ht="17.100000000000001" customHeight="1" x14ac:dyDescent="0.2">
      <c r="A149" s="22"/>
      <c r="B149" s="4" t="s">
        <v>989</v>
      </c>
      <c r="C149" s="24">
        <v>14.245900000000001</v>
      </c>
      <c r="D149" s="24">
        <v>14.720599999999999</v>
      </c>
      <c r="E149" s="22"/>
      <c r="F149" s="19"/>
      <c r="G149" s="25"/>
    </row>
    <row r="150" spans="1:7" ht="14.1" customHeight="1" x14ac:dyDescent="0.2">
      <c r="A150" s="22"/>
      <c r="B150" s="22"/>
      <c r="C150" s="22"/>
      <c r="D150" s="22"/>
      <c r="E150" s="22"/>
      <c r="F150" s="22"/>
      <c r="G150" s="22"/>
    </row>
    <row r="151" spans="1:7" ht="17.100000000000001" customHeight="1" x14ac:dyDescent="0.2">
      <c r="A151" s="22"/>
      <c r="B151" s="165" t="s">
        <v>990</v>
      </c>
      <c r="C151" s="166"/>
      <c r="D151" s="2" t="s">
        <v>135</v>
      </c>
      <c r="E151" s="22"/>
      <c r="F151" s="22"/>
      <c r="G151" s="22"/>
    </row>
    <row r="152" spans="1:7" ht="18" customHeight="1" x14ac:dyDescent="0.2">
      <c r="A152" s="22"/>
      <c r="B152" s="26" t="s">
        <v>145</v>
      </c>
      <c r="C152" s="26" t="s">
        <v>145</v>
      </c>
      <c r="D152" s="26"/>
      <c r="E152" s="22"/>
      <c r="F152" s="22"/>
      <c r="G152" s="22"/>
    </row>
    <row r="153" spans="1:7" s="158" customFormat="1" x14ac:dyDescent="0.2">
      <c r="B153" s="167" t="s">
        <v>822</v>
      </c>
      <c r="C153" s="167"/>
      <c r="D153" s="167"/>
      <c r="E153" s="167"/>
      <c r="F153" s="167"/>
    </row>
    <row r="154" spans="1:7" ht="14.1" customHeight="1" x14ac:dyDescent="0.2">
      <c r="A154" s="22"/>
      <c r="B154" s="19"/>
      <c r="C154" s="19"/>
      <c r="D154" s="22"/>
      <c r="E154" s="22"/>
      <c r="F154" s="22"/>
      <c r="G154" s="22"/>
    </row>
    <row r="155" spans="1:7" ht="29.1" customHeight="1" x14ac:dyDescent="0.2">
      <c r="A155" s="22"/>
      <c r="B155" s="165" t="s">
        <v>146</v>
      </c>
      <c r="C155" s="166"/>
      <c r="D155" s="2" t="s">
        <v>135</v>
      </c>
      <c r="E155" s="22"/>
      <c r="F155" s="22"/>
      <c r="G155" s="22"/>
    </row>
    <row r="156" spans="1:7" ht="29.1" customHeight="1" x14ac:dyDescent="0.2">
      <c r="A156" s="22"/>
      <c r="B156" s="165" t="s">
        <v>147</v>
      </c>
      <c r="C156" s="166"/>
      <c r="D156" s="2" t="s">
        <v>135</v>
      </c>
      <c r="E156" s="22"/>
      <c r="F156" s="22"/>
      <c r="G156" s="22"/>
    </row>
    <row r="157" spans="1:7" ht="17.100000000000001" customHeight="1" x14ac:dyDescent="0.2">
      <c r="A157" s="22"/>
      <c r="B157" s="165" t="s">
        <v>148</v>
      </c>
      <c r="C157" s="166"/>
      <c r="D157" s="27">
        <v>0.90551856006784615</v>
      </c>
      <c r="E157" s="22"/>
      <c r="F157" s="19"/>
      <c r="G157" s="25"/>
    </row>
    <row r="158" spans="1:7" ht="17.100000000000001" customHeight="1" x14ac:dyDescent="0.2">
      <c r="A158" s="22"/>
      <c r="B158" s="165" t="s">
        <v>149</v>
      </c>
      <c r="C158" s="166"/>
      <c r="D158" s="2" t="s">
        <v>135</v>
      </c>
      <c r="E158" s="22"/>
      <c r="F158" s="22"/>
      <c r="G158" s="22"/>
    </row>
  </sheetData>
  <mergeCells count="15">
    <mergeCell ref="B140:C140"/>
    <mergeCell ref="B137:F137"/>
    <mergeCell ref="B138:F138"/>
    <mergeCell ref="A1:H1"/>
    <mergeCell ref="A2:H2"/>
    <mergeCell ref="A3:H3"/>
    <mergeCell ref="B157:C157"/>
    <mergeCell ref="B158:C158"/>
    <mergeCell ref="B141:C141"/>
    <mergeCell ref="B142:C142"/>
    <mergeCell ref="B143:C143"/>
    <mergeCell ref="B151:C151"/>
    <mergeCell ref="B155:C155"/>
    <mergeCell ref="B156:C156"/>
    <mergeCell ref="B153:F15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H15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2.140625" bestFit="1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705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ht="25.5" x14ac:dyDescent="0.2">
      <c r="A7" s="3">
        <v>1</v>
      </c>
      <c r="B7" s="4" t="s">
        <v>408</v>
      </c>
      <c r="C7" s="4" t="s">
        <v>409</v>
      </c>
      <c r="D7" s="4" t="s">
        <v>52</v>
      </c>
      <c r="E7" s="5">
        <v>34000</v>
      </c>
      <c r="F7" s="6">
        <v>926.19399999999996</v>
      </c>
      <c r="G7" s="7">
        <v>7.9640798999999998E-2</v>
      </c>
      <c r="H7" s="67"/>
    </row>
    <row r="8" spans="1:8" ht="25.5" x14ac:dyDescent="0.2">
      <c r="A8" s="3">
        <v>2</v>
      </c>
      <c r="B8" s="4" t="s">
        <v>402</v>
      </c>
      <c r="C8" s="4" t="s">
        <v>403</v>
      </c>
      <c r="D8" s="4" t="s">
        <v>81</v>
      </c>
      <c r="E8" s="5">
        <v>31000</v>
      </c>
      <c r="F8" s="6">
        <v>867.53499999999997</v>
      </c>
      <c r="G8" s="7">
        <v>7.4596878000000005E-2</v>
      </c>
      <c r="H8" s="67"/>
    </row>
    <row r="9" spans="1:8" x14ac:dyDescent="0.2">
      <c r="A9" s="3">
        <v>3</v>
      </c>
      <c r="B9" s="4" t="s">
        <v>22</v>
      </c>
      <c r="C9" s="4" t="s">
        <v>23</v>
      </c>
      <c r="D9" s="4" t="s">
        <v>24</v>
      </c>
      <c r="E9" s="5">
        <v>105500</v>
      </c>
      <c r="F9" s="6">
        <v>758.59775000000002</v>
      </c>
      <c r="G9" s="7">
        <v>6.5229672000000002E-2</v>
      </c>
      <c r="H9" s="67"/>
    </row>
    <row r="10" spans="1:8" x14ac:dyDescent="0.2">
      <c r="A10" s="3">
        <v>4</v>
      </c>
      <c r="B10" s="4" t="s">
        <v>424</v>
      </c>
      <c r="C10" s="4" t="s">
        <v>425</v>
      </c>
      <c r="D10" s="4" t="s">
        <v>166</v>
      </c>
      <c r="E10" s="5">
        <v>44000</v>
      </c>
      <c r="F10" s="6">
        <v>636.96600000000001</v>
      </c>
      <c r="G10" s="7">
        <v>5.4770902000000003E-2</v>
      </c>
      <c r="H10" s="67"/>
    </row>
    <row r="11" spans="1:8" x14ac:dyDescent="0.2">
      <c r="A11" s="3">
        <v>5</v>
      </c>
      <c r="B11" s="4" t="s">
        <v>14</v>
      </c>
      <c r="C11" s="4" t="s">
        <v>15</v>
      </c>
      <c r="D11" s="4" t="s">
        <v>16</v>
      </c>
      <c r="E11" s="5">
        <v>26000</v>
      </c>
      <c r="F11" s="6">
        <v>587.11900000000003</v>
      </c>
      <c r="G11" s="7">
        <v>5.04847E-2</v>
      </c>
      <c r="H11" s="67"/>
    </row>
    <row r="12" spans="1:8" x14ac:dyDescent="0.2">
      <c r="A12" s="3">
        <v>6</v>
      </c>
      <c r="B12" s="4" t="s">
        <v>400</v>
      </c>
      <c r="C12" s="4" t="s">
        <v>401</v>
      </c>
      <c r="D12" s="4" t="s">
        <v>166</v>
      </c>
      <c r="E12" s="5">
        <v>27000</v>
      </c>
      <c r="F12" s="6">
        <v>460.74149999999997</v>
      </c>
      <c r="G12" s="7">
        <v>3.9617856999999999E-2</v>
      </c>
      <c r="H12" s="67"/>
    </row>
    <row r="13" spans="1:8" x14ac:dyDescent="0.2">
      <c r="A13" s="3">
        <v>7</v>
      </c>
      <c r="B13" s="4" t="s">
        <v>17</v>
      </c>
      <c r="C13" s="4" t="s">
        <v>18</v>
      </c>
      <c r="D13" s="4" t="s">
        <v>19</v>
      </c>
      <c r="E13" s="5">
        <v>58871</v>
      </c>
      <c r="F13" s="6">
        <v>390.93287550000002</v>
      </c>
      <c r="G13" s="7">
        <v>3.3615210999999999E-2</v>
      </c>
      <c r="H13" s="67"/>
    </row>
    <row r="14" spans="1:8" x14ac:dyDescent="0.2">
      <c r="A14" s="3">
        <v>8</v>
      </c>
      <c r="B14" s="4" t="s">
        <v>398</v>
      </c>
      <c r="C14" s="4" t="s">
        <v>399</v>
      </c>
      <c r="D14" s="4" t="s">
        <v>24</v>
      </c>
      <c r="E14" s="5">
        <v>24500</v>
      </c>
      <c r="F14" s="6">
        <v>387.44299999999998</v>
      </c>
      <c r="G14" s="7">
        <v>3.3315126E-2</v>
      </c>
      <c r="H14" s="67"/>
    </row>
    <row r="15" spans="1:8" ht="25.5" x14ac:dyDescent="0.2">
      <c r="A15" s="3">
        <v>9</v>
      </c>
      <c r="B15" s="4" t="s">
        <v>384</v>
      </c>
      <c r="C15" s="4" t="s">
        <v>385</v>
      </c>
      <c r="D15" s="4" t="s">
        <v>52</v>
      </c>
      <c r="E15" s="5">
        <v>37000</v>
      </c>
      <c r="F15" s="6">
        <v>320.03149999999999</v>
      </c>
      <c r="G15" s="7">
        <v>2.7518602E-2</v>
      </c>
      <c r="H15" s="67"/>
    </row>
    <row r="16" spans="1:8" x14ac:dyDescent="0.2">
      <c r="A16" s="3">
        <v>10</v>
      </c>
      <c r="B16" s="4" t="s">
        <v>344</v>
      </c>
      <c r="C16" s="4" t="s">
        <v>345</v>
      </c>
      <c r="D16" s="4" t="s">
        <v>49</v>
      </c>
      <c r="E16" s="5">
        <v>84500</v>
      </c>
      <c r="F16" s="6">
        <v>318.52274999999997</v>
      </c>
      <c r="G16" s="7">
        <v>2.7388869E-2</v>
      </c>
      <c r="H16" s="67"/>
    </row>
    <row r="17" spans="1:8" ht="25.5" x14ac:dyDescent="0.2">
      <c r="A17" s="3">
        <v>11</v>
      </c>
      <c r="B17" s="4" t="s">
        <v>478</v>
      </c>
      <c r="C17" s="4" t="s">
        <v>479</v>
      </c>
      <c r="D17" s="4" t="s">
        <v>52</v>
      </c>
      <c r="E17" s="5">
        <v>40000</v>
      </c>
      <c r="F17" s="6">
        <v>286.06</v>
      </c>
      <c r="G17" s="7">
        <v>2.4597489E-2</v>
      </c>
      <c r="H17" s="67"/>
    </row>
    <row r="18" spans="1:8" s="133" customFormat="1" x14ac:dyDescent="0.2">
      <c r="A18" s="3">
        <v>12</v>
      </c>
      <c r="B18" s="4" t="s">
        <v>958</v>
      </c>
      <c r="C18" s="4" t="s">
        <v>959</v>
      </c>
      <c r="D18" s="4" t="s">
        <v>69</v>
      </c>
      <c r="E18" s="5">
        <v>64000</v>
      </c>
      <c r="F18" s="6">
        <v>247.17311999999998</v>
      </c>
      <c r="G18" s="7">
        <v>2.125372E-2</v>
      </c>
      <c r="H18" s="67"/>
    </row>
    <row r="19" spans="1:8" x14ac:dyDescent="0.2">
      <c r="A19" s="3">
        <v>13</v>
      </c>
      <c r="B19" s="4" t="s">
        <v>404</v>
      </c>
      <c r="C19" s="4" t="s">
        <v>405</v>
      </c>
      <c r="D19" s="4" t="s">
        <v>24</v>
      </c>
      <c r="E19" s="5">
        <v>48000</v>
      </c>
      <c r="F19" s="6">
        <v>204.50399999999999</v>
      </c>
      <c r="G19" s="7">
        <v>1.7584720000000002E-2</v>
      </c>
      <c r="H19" s="67"/>
    </row>
    <row r="20" spans="1:8" ht="25.5" x14ac:dyDescent="0.2">
      <c r="A20" s="3">
        <v>14</v>
      </c>
      <c r="B20" s="4" t="s">
        <v>429</v>
      </c>
      <c r="C20" s="4" t="s">
        <v>430</v>
      </c>
      <c r="D20" s="4" t="s">
        <v>52</v>
      </c>
      <c r="E20" s="5">
        <v>94000</v>
      </c>
      <c r="F20" s="6">
        <v>198.62200000000001</v>
      </c>
      <c r="G20" s="7">
        <v>1.7078942999999999E-2</v>
      </c>
      <c r="H20" s="67"/>
    </row>
    <row r="21" spans="1:8" x14ac:dyDescent="0.2">
      <c r="A21" s="3">
        <v>15</v>
      </c>
      <c r="B21" s="4" t="s">
        <v>414</v>
      </c>
      <c r="C21" s="4" t="s">
        <v>415</v>
      </c>
      <c r="D21" s="4" t="s">
        <v>166</v>
      </c>
      <c r="E21" s="5">
        <v>4639</v>
      </c>
      <c r="F21" s="6">
        <v>175.65341549999999</v>
      </c>
      <c r="G21" s="7">
        <v>1.510394E-2</v>
      </c>
      <c r="H21" s="67"/>
    </row>
    <row r="22" spans="1:8" x14ac:dyDescent="0.2">
      <c r="A22" s="3">
        <v>16</v>
      </c>
      <c r="B22" s="4" t="s">
        <v>388</v>
      </c>
      <c r="C22" s="4" t="s">
        <v>389</v>
      </c>
      <c r="D22" s="4" t="s">
        <v>1002</v>
      </c>
      <c r="E22" s="5">
        <v>1000</v>
      </c>
      <c r="F22" s="6">
        <v>171.48750000000001</v>
      </c>
      <c r="G22" s="7">
        <v>1.4745724E-2</v>
      </c>
      <c r="H22" s="67"/>
    </row>
    <row r="23" spans="1:8" x14ac:dyDescent="0.2">
      <c r="A23" s="3">
        <v>17</v>
      </c>
      <c r="B23" s="4" t="s">
        <v>11</v>
      </c>
      <c r="C23" s="4" t="s">
        <v>12</v>
      </c>
      <c r="D23" s="4" t="s">
        <v>13</v>
      </c>
      <c r="E23" s="5">
        <v>10000</v>
      </c>
      <c r="F23" s="6">
        <v>167.22</v>
      </c>
      <c r="G23" s="7">
        <v>1.4378774E-2</v>
      </c>
      <c r="H23" s="67"/>
    </row>
    <row r="24" spans="1:8" x14ac:dyDescent="0.2">
      <c r="A24" s="3">
        <v>18</v>
      </c>
      <c r="B24" s="4" t="s">
        <v>354</v>
      </c>
      <c r="C24" s="4" t="s">
        <v>355</v>
      </c>
      <c r="D24" s="4" t="s">
        <v>24</v>
      </c>
      <c r="E24" s="5">
        <v>20000</v>
      </c>
      <c r="F24" s="6">
        <v>157.30000000000001</v>
      </c>
      <c r="G24" s="7">
        <v>1.3525782E-2</v>
      </c>
      <c r="H24" s="67"/>
    </row>
    <row r="25" spans="1:8" ht="25.5" x14ac:dyDescent="0.2">
      <c r="A25" s="3">
        <v>19</v>
      </c>
      <c r="B25" s="4" t="s">
        <v>31</v>
      </c>
      <c r="C25" s="4" t="s">
        <v>993</v>
      </c>
      <c r="D25" s="4" t="s">
        <v>992</v>
      </c>
      <c r="E25" s="5">
        <v>2000</v>
      </c>
      <c r="F25" s="6">
        <v>156.649</v>
      </c>
      <c r="G25" s="7">
        <v>1.3469804E-2</v>
      </c>
      <c r="H25" s="67"/>
    </row>
    <row r="26" spans="1:8" x14ac:dyDescent="0.2">
      <c r="A26" s="3">
        <v>20</v>
      </c>
      <c r="B26" s="4" t="s">
        <v>42</v>
      </c>
      <c r="C26" s="4" t="s">
        <v>43</v>
      </c>
      <c r="D26" s="4" t="s">
        <v>16</v>
      </c>
      <c r="E26" s="5">
        <v>31200</v>
      </c>
      <c r="F26" s="6">
        <v>147.15479999999999</v>
      </c>
      <c r="G26" s="7">
        <v>1.2653424999999999E-2</v>
      </c>
      <c r="H26" s="67"/>
    </row>
    <row r="27" spans="1:8" x14ac:dyDescent="0.2">
      <c r="A27" s="3">
        <v>21</v>
      </c>
      <c r="B27" s="4" t="s">
        <v>338</v>
      </c>
      <c r="C27" s="4" t="s">
        <v>339</v>
      </c>
      <c r="D27" s="4" t="s">
        <v>24</v>
      </c>
      <c r="E27" s="5">
        <v>150000</v>
      </c>
      <c r="F27" s="6">
        <v>121.875</v>
      </c>
      <c r="G27" s="7">
        <v>1.0479686E-2</v>
      </c>
      <c r="H27" s="67"/>
    </row>
    <row r="28" spans="1:8" x14ac:dyDescent="0.2">
      <c r="A28" s="3">
        <v>22</v>
      </c>
      <c r="B28" s="4" t="s">
        <v>568</v>
      </c>
      <c r="C28" s="4" t="s">
        <v>569</v>
      </c>
      <c r="D28" s="4" t="s">
        <v>84</v>
      </c>
      <c r="E28" s="5">
        <v>3250</v>
      </c>
      <c r="F28" s="6">
        <v>121.155125</v>
      </c>
      <c r="G28" s="7">
        <v>1.0417786E-2</v>
      </c>
      <c r="H28" s="67"/>
    </row>
    <row r="29" spans="1:8" x14ac:dyDescent="0.2">
      <c r="A29" s="3">
        <v>23</v>
      </c>
      <c r="B29" s="4" t="s">
        <v>433</v>
      </c>
      <c r="C29" s="4" t="s">
        <v>434</v>
      </c>
      <c r="D29" s="4" t="s">
        <v>24</v>
      </c>
      <c r="E29" s="5">
        <v>5500</v>
      </c>
      <c r="F29" s="6">
        <v>96.453500000000005</v>
      </c>
      <c r="G29" s="7">
        <v>8.2937629999999991E-3</v>
      </c>
      <c r="H29" s="67"/>
    </row>
    <row r="30" spans="1:8" x14ac:dyDescent="0.2">
      <c r="A30" s="3">
        <v>24</v>
      </c>
      <c r="B30" s="4" t="s">
        <v>422</v>
      </c>
      <c r="C30" s="4" t="s">
        <v>423</v>
      </c>
      <c r="D30" s="4" t="s">
        <v>187</v>
      </c>
      <c r="E30" s="5">
        <v>1600</v>
      </c>
      <c r="F30" s="6">
        <v>82.777600000000007</v>
      </c>
      <c r="G30" s="7">
        <v>7.1178109999999999E-3</v>
      </c>
      <c r="H30" s="67"/>
    </row>
    <row r="31" spans="1:8" x14ac:dyDescent="0.2">
      <c r="A31" s="3">
        <v>25</v>
      </c>
      <c r="B31" s="4" t="s">
        <v>364</v>
      </c>
      <c r="C31" s="4" t="s">
        <v>365</v>
      </c>
      <c r="D31" s="4" t="s">
        <v>166</v>
      </c>
      <c r="E31" s="5">
        <v>7000</v>
      </c>
      <c r="F31" s="6">
        <v>82.760999999999996</v>
      </c>
      <c r="G31" s="7">
        <v>7.1163839999999999E-3</v>
      </c>
      <c r="H31" s="67"/>
    </row>
    <row r="32" spans="1:8" s="133" customFormat="1" ht="25.5" x14ac:dyDescent="0.2">
      <c r="A32" s="3">
        <v>26</v>
      </c>
      <c r="B32" s="4" t="s">
        <v>956</v>
      </c>
      <c r="C32" s="4" t="s">
        <v>957</v>
      </c>
      <c r="D32" s="4" t="s">
        <v>41</v>
      </c>
      <c r="E32" s="5">
        <v>65000</v>
      </c>
      <c r="F32" s="6">
        <v>78.903500000000008</v>
      </c>
      <c r="G32" s="7">
        <v>6.7846900000000003E-3</v>
      </c>
      <c r="H32" s="67"/>
    </row>
    <row r="33" spans="1:8" x14ac:dyDescent="0.2">
      <c r="A33" s="3">
        <v>27</v>
      </c>
      <c r="B33" s="4" t="s">
        <v>305</v>
      </c>
      <c r="C33" s="4" t="s">
        <v>306</v>
      </c>
      <c r="D33" s="4" t="s">
        <v>1002</v>
      </c>
      <c r="E33" s="5">
        <v>7000</v>
      </c>
      <c r="F33" s="6">
        <v>76.170500000000004</v>
      </c>
      <c r="G33" s="7">
        <v>6.5496859999999999E-3</v>
      </c>
      <c r="H33" s="67"/>
    </row>
    <row r="34" spans="1:8" x14ac:dyDescent="0.2">
      <c r="A34" s="3">
        <v>28</v>
      </c>
      <c r="B34" s="4" t="s">
        <v>706</v>
      </c>
      <c r="C34" s="4" t="s">
        <v>707</v>
      </c>
      <c r="D34" s="4" t="s">
        <v>1004</v>
      </c>
      <c r="E34" s="5">
        <v>15000</v>
      </c>
      <c r="F34" s="6">
        <v>72.382499999999993</v>
      </c>
      <c r="G34" s="7">
        <v>6.223966E-3</v>
      </c>
      <c r="H34" s="67"/>
    </row>
    <row r="35" spans="1:8" x14ac:dyDescent="0.2">
      <c r="A35" s="3">
        <v>29</v>
      </c>
      <c r="B35" s="4" t="s">
        <v>406</v>
      </c>
      <c r="C35" s="4" t="s">
        <v>407</v>
      </c>
      <c r="D35" s="4" t="s">
        <v>1002</v>
      </c>
      <c r="E35" s="5">
        <v>6000</v>
      </c>
      <c r="F35" s="6">
        <v>71.522999999999996</v>
      </c>
      <c r="G35" s="7">
        <v>6.1500599999999997E-3</v>
      </c>
      <c r="H35" s="67"/>
    </row>
    <row r="36" spans="1:8" ht="25.5" x14ac:dyDescent="0.2">
      <c r="A36" s="3">
        <v>30</v>
      </c>
      <c r="B36" s="4" t="s">
        <v>20</v>
      </c>
      <c r="C36" s="4" t="s">
        <v>21</v>
      </c>
      <c r="D36" s="4" t="s">
        <v>992</v>
      </c>
      <c r="E36" s="5">
        <v>7000</v>
      </c>
      <c r="F36" s="6">
        <v>70.616</v>
      </c>
      <c r="G36" s="7">
        <v>6.0720699999999997E-3</v>
      </c>
      <c r="H36" s="67"/>
    </row>
    <row r="37" spans="1:8" x14ac:dyDescent="0.2">
      <c r="A37" s="3">
        <v>31</v>
      </c>
      <c r="B37" s="4" t="s">
        <v>259</v>
      </c>
      <c r="C37" s="4" t="s">
        <v>260</v>
      </c>
      <c r="D37" s="4" t="s">
        <v>261</v>
      </c>
      <c r="E37" s="5">
        <v>7000</v>
      </c>
      <c r="F37" s="6">
        <v>51.887500000000003</v>
      </c>
      <c r="G37" s="7">
        <v>4.4616589999999998E-3</v>
      </c>
      <c r="H37" s="67"/>
    </row>
    <row r="38" spans="1:8" x14ac:dyDescent="0.2">
      <c r="A38" s="3">
        <v>32</v>
      </c>
      <c r="B38" s="4" t="s">
        <v>420</v>
      </c>
      <c r="C38" s="4" t="s">
        <v>421</v>
      </c>
      <c r="D38" s="4" t="s">
        <v>84</v>
      </c>
      <c r="E38" s="5">
        <v>6500</v>
      </c>
      <c r="F38" s="6">
        <v>51.564500000000002</v>
      </c>
      <c r="G38" s="7">
        <v>4.4338850000000003E-3</v>
      </c>
      <c r="H38" s="67"/>
    </row>
    <row r="39" spans="1:8" x14ac:dyDescent="0.2">
      <c r="A39" s="3">
        <v>33</v>
      </c>
      <c r="B39" s="4" t="s">
        <v>374</v>
      </c>
      <c r="C39" s="4" t="s">
        <v>375</v>
      </c>
      <c r="D39" s="4" t="s">
        <v>331</v>
      </c>
      <c r="E39" s="5">
        <v>35775</v>
      </c>
      <c r="F39" s="6">
        <v>48.135262500000003</v>
      </c>
      <c r="G39" s="7">
        <v>4.1390150000000002E-3</v>
      </c>
      <c r="H39" s="67"/>
    </row>
    <row r="40" spans="1:8" x14ac:dyDescent="0.2">
      <c r="A40" s="3">
        <v>34</v>
      </c>
      <c r="B40" s="4" t="s">
        <v>340</v>
      </c>
      <c r="C40" s="4" t="s">
        <v>341</v>
      </c>
      <c r="D40" s="4" t="s">
        <v>81</v>
      </c>
      <c r="E40" s="5">
        <v>3500</v>
      </c>
      <c r="F40" s="6">
        <v>47.344499999999996</v>
      </c>
      <c r="G40" s="7">
        <v>4.0710190000000004E-3</v>
      </c>
      <c r="H40" s="67"/>
    </row>
    <row r="41" spans="1:8" x14ac:dyDescent="0.2">
      <c r="A41" s="3">
        <v>35</v>
      </c>
      <c r="B41" s="4" t="s">
        <v>426</v>
      </c>
      <c r="C41" s="4" t="s">
        <v>427</v>
      </c>
      <c r="D41" s="4" t="s">
        <v>428</v>
      </c>
      <c r="E41" s="5">
        <v>10000</v>
      </c>
      <c r="F41" s="6">
        <v>46.83</v>
      </c>
      <c r="G41" s="7">
        <v>4.0267790000000003E-3</v>
      </c>
      <c r="H41" s="67"/>
    </row>
    <row r="42" spans="1:8" x14ac:dyDescent="0.2">
      <c r="A42" s="3">
        <v>36</v>
      </c>
      <c r="B42" s="4" t="s">
        <v>58</v>
      </c>
      <c r="C42" s="4" t="s">
        <v>59</v>
      </c>
      <c r="D42" s="4" t="s">
        <v>60</v>
      </c>
      <c r="E42" s="5">
        <v>30000</v>
      </c>
      <c r="F42" s="6">
        <v>43.844999999999999</v>
      </c>
      <c r="G42" s="7">
        <v>3.770107E-3</v>
      </c>
      <c r="H42" s="67"/>
    </row>
    <row r="43" spans="1:8" x14ac:dyDescent="0.2">
      <c r="A43" s="3">
        <v>37</v>
      </c>
      <c r="B43" s="4" t="s">
        <v>368</v>
      </c>
      <c r="C43" s="4" t="s">
        <v>369</v>
      </c>
      <c r="D43" s="4" t="s">
        <v>242</v>
      </c>
      <c r="E43" s="5">
        <v>5000</v>
      </c>
      <c r="F43" s="6">
        <v>39.645000000000003</v>
      </c>
      <c r="G43" s="7">
        <v>3.4089609999999998E-3</v>
      </c>
      <c r="H43" s="67"/>
    </row>
    <row r="44" spans="1:8" x14ac:dyDescent="0.2">
      <c r="A44" s="3">
        <v>38</v>
      </c>
      <c r="B44" s="4" t="s">
        <v>332</v>
      </c>
      <c r="C44" s="4" t="s">
        <v>333</v>
      </c>
      <c r="D44" s="4" t="s">
        <v>212</v>
      </c>
      <c r="E44" s="5">
        <v>125</v>
      </c>
      <c r="F44" s="6">
        <v>39.373874999999998</v>
      </c>
      <c r="G44" s="7">
        <v>3.3856480000000002E-3</v>
      </c>
      <c r="H44" s="67"/>
    </row>
    <row r="45" spans="1:8" x14ac:dyDescent="0.2">
      <c r="A45" s="3">
        <v>39</v>
      </c>
      <c r="B45" s="4" t="s">
        <v>334</v>
      </c>
      <c r="C45" s="4" t="s">
        <v>335</v>
      </c>
      <c r="D45" s="4" t="s">
        <v>187</v>
      </c>
      <c r="E45" s="5">
        <v>1000</v>
      </c>
      <c r="F45" s="6">
        <v>38.939</v>
      </c>
      <c r="G45" s="7">
        <v>3.3482540000000002E-3</v>
      </c>
      <c r="H45" s="67"/>
    </row>
    <row r="46" spans="1:8" x14ac:dyDescent="0.2">
      <c r="A46" s="3">
        <v>40</v>
      </c>
      <c r="B46" s="4" t="s">
        <v>356</v>
      </c>
      <c r="C46" s="4" t="s">
        <v>357</v>
      </c>
      <c r="D46" s="4" t="s">
        <v>24</v>
      </c>
      <c r="E46" s="5">
        <v>50000</v>
      </c>
      <c r="F46" s="6">
        <v>38.674999999999997</v>
      </c>
      <c r="G46" s="7">
        <v>3.3255540000000001E-3</v>
      </c>
      <c r="H46" s="67"/>
    </row>
    <row r="47" spans="1:8" x14ac:dyDescent="0.2">
      <c r="A47" s="3">
        <v>41</v>
      </c>
      <c r="B47" s="4" t="s">
        <v>412</v>
      </c>
      <c r="C47" s="4" t="s">
        <v>413</v>
      </c>
      <c r="D47" s="4" t="s">
        <v>166</v>
      </c>
      <c r="E47" s="5">
        <v>6000</v>
      </c>
      <c r="F47" s="6">
        <v>38.457000000000001</v>
      </c>
      <c r="G47" s="7">
        <v>3.306809E-3</v>
      </c>
      <c r="H47" s="67"/>
    </row>
    <row r="48" spans="1:8" x14ac:dyDescent="0.2">
      <c r="A48" s="3">
        <v>42</v>
      </c>
      <c r="B48" s="4" t="s">
        <v>350</v>
      </c>
      <c r="C48" s="4" t="s">
        <v>351</v>
      </c>
      <c r="D48" s="4" t="s">
        <v>46</v>
      </c>
      <c r="E48" s="5">
        <v>5000</v>
      </c>
      <c r="F48" s="6">
        <v>33.977499999999999</v>
      </c>
      <c r="G48" s="7">
        <v>2.9216289999999998E-3</v>
      </c>
      <c r="H48" s="67"/>
    </row>
    <row r="49" spans="1:8" x14ac:dyDescent="0.2">
      <c r="A49" s="3">
        <v>43</v>
      </c>
      <c r="B49" s="4" t="s">
        <v>497</v>
      </c>
      <c r="C49" s="4" t="s">
        <v>498</v>
      </c>
      <c r="D49" s="4" t="s">
        <v>84</v>
      </c>
      <c r="E49" s="5">
        <v>11300</v>
      </c>
      <c r="F49" s="6">
        <v>32.4649</v>
      </c>
      <c r="G49" s="7">
        <v>2.7915650000000002E-3</v>
      </c>
      <c r="H49" s="67"/>
    </row>
    <row r="50" spans="1:8" ht="25.5" x14ac:dyDescent="0.2">
      <c r="A50" s="3">
        <v>44</v>
      </c>
      <c r="B50" s="4" t="s">
        <v>623</v>
      </c>
      <c r="C50" s="4" t="s">
        <v>624</v>
      </c>
      <c r="D50" s="4" t="s">
        <v>1002</v>
      </c>
      <c r="E50" s="5">
        <v>4600</v>
      </c>
      <c r="F50" s="6">
        <v>30.3186</v>
      </c>
      <c r="G50" s="7">
        <v>2.6070109999999998E-3</v>
      </c>
      <c r="H50" s="67"/>
    </row>
    <row r="51" spans="1:8" x14ac:dyDescent="0.2">
      <c r="A51" s="3">
        <v>45</v>
      </c>
      <c r="B51" s="4" t="s">
        <v>579</v>
      </c>
      <c r="C51" s="4" t="s">
        <v>580</v>
      </c>
      <c r="D51" s="4" t="s">
        <v>1002</v>
      </c>
      <c r="E51" s="5">
        <v>4000</v>
      </c>
      <c r="F51" s="6">
        <v>28.71</v>
      </c>
      <c r="G51" s="7">
        <v>2.4686920000000002E-3</v>
      </c>
      <c r="H51" s="67"/>
    </row>
    <row r="52" spans="1:8" x14ac:dyDescent="0.2">
      <c r="A52" s="1"/>
      <c r="B52" s="1"/>
      <c r="C52" s="2" t="s">
        <v>105</v>
      </c>
      <c r="D52" s="1"/>
      <c r="E52" s="1" t="s">
        <v>106</v>
      </c>
      <c r="F52" s="9">
        <v>9050.6925735000023</v>
      </c>
      <c r="G52" s="10">
        <v>0.77824342599999996</v>
      </c>
      <c r="H52" s="67"/>
    </row>
    <row r="53" spans="1:8" x14ac:dyDescent="0.2">
      <c r="A53" s="1"/>
      <c r="B53" s="1"/>
      <c r="C53" s="11"/>
      <c r="D53" s="1"/>
      <c r="E53" s="1"/>
      <c r="F53" s="12"/>
      <c r="G53" s="12"/>
      <c r="H53" s="67"/>
    </row>
    <row r="54" spans="1:8" x14ac:dyDescent="0.2">
      <c r="A54" s="1"/>
      <c r="B54" s="1"/>
      <c r="C54" s="2" t="s">
        <v>107</v>
      </c>
      <c r="D54" s="1"/>
      <c r="E54" s="1"/>
      <c r="F54" s="1"/>
      <c r="G54" s="1"/>
      <c r="H54" s="67"/>
    </row>
    <row r="55" spans="1:8" x14ac:dyDescent="0.2">
      <c r="A55" s="1"/>
      <c r="B55" s="1"/>
      <c r="C55" s="2" t="s">
        <v>105</v>
      </c>
      <c r="D55" s="1"/>
      <c r="E55" s="1" t="s">
        <v>106</v>
      </c>
      <c r="F55" s="13">
        <v>0</v>
      </c>
      <c r="G55" s="14">
        <v>0</v>
      </c>
      <c r="H55" s="67"/>
    </row>
    <row r="56" spans="1:8" x14ac:dyDescent="0.2">
      <c r="A56" s="1"/>
      <c r="B56" s="1"/>
      <c r="C56" s="11"/>
      <c r="D56" s="1"/>
      <c r="E56" s="1"/>
      <c r="F56" s="12"/>
      <c r="G56" s="12"/>
      <c r="H56" s="67"/>
    </row>
    <row r="57" spans="1:8" x14ac:dyDescent="0.2">
      <c r="A57" s="1"/>
      <c r="B57" s="1"/>
      <c r="C57" s="2" t="s">
        <v>108</v>
      </c>
      <c r="D57" s="1"/>
      <c r="E57" s="1"/>
      <c r="F57" s="1"/>
      <c r="G57" s="1"/>
      <c r="H57" s="67"/>
    </row>
    <row r="58" spans="1:8" x14ac:dyDescent="0.2">
      <c r="A58" s="1"/>
      <c r="B58" s="1"/>
      <c r="C58" s="2" t="s">
        <v>105</v>
      </c>
      <c r="D58" s="1"/>
      <c r="E58" s="1" t="s">
        <v>106</v>
      </c>
      <c r="F58" s="13">
        <v>0</v>
      </c>
      <c r="G58" s="14">
        <v>0</v>
      </c>
      <c r="H58" s="67"/>
    </row>
    <row r="59" spans="1:8" x14ac:dyDescent="0.2">
      <c r="A59" s="1"/>
      <c r="B59" s="1"/>
      <c r="C59" s="11"/>
      <c r="D59" s="1"/>
      <c r="E59" s="1"/>
      <c r="F59" s="12"/>
      <c r="G59" s="12"/>
      <c r="H59" s="67"/>
    </row>
    <row r="60" spans="1:8" x14ac:dyDescent="0.2">
      <c r="A60" s="1"/>
      <c r="B60" s="1"/>
      <c r="C60" s="2" t="s">
        <v>109</v>
      </c>
      <c r="D60" s="1"/>
      <c r="E60" s="1"/>
      <c r="F60" s="1"/>
      <c r="G60" s="1"/>
      <c r="H60" s="67"/>
    </row>
    <row r="61" spans="1:8" x14ac:dyDescent="0.2">
      <c r="A61" s="1"/>
      <c r="B61" s="1"/>
      <c r="C61" s="2" t="s">
        <v>105</v>
      </c>
      <c r="D61" s="1"/>
      <c r="E61" s="1" t="s">
        <v>106</v>
      </c>
      <c r="F61" s="13">
        <v>0</v>
      </c>
      <c r="G61" s="14">
        <v>0</v>
      </c>
      <c r="H61" s="67"/>
    </row>
    <row r="62" spans="1:8" x14ac:dyDescent="0.2">
      <c r="A62" s="1"/>
      <c r="B62" s="1"/>
      <c r="C62" s="11"/>
      <c r="D62" s="1"/>
      <c r="E62" s="1"/>
      <c r="F62" s="12"/>
      <c r="G62" s="12"/>
      <c r="H62" s="67"/>
    </row>
    <row r="63" spans="1:8" x14ac:dyDescent="0.2">
      <c r="A63" s="1"/>
      <c r="B63" s="1"/>
      <c r="C63" s="2" t="s">
        <v>110</v>
      </c>
      <c r="D63" s="1"/>
      <c r="E63" s="1"/>
      <c r="F63" s="12"/>
      <c r="G63" s="12"/>
      <c r="H63" s="67"/>
    </row>
    <row r="64" spans="1:8" x14ac:dyDescent="0.2">
      <c r="A64" s="1"/>
      <c r="B64" s="1"/>
      <c r="C64" s="2" t="s">
        <v>105</v>
      </c>
      <c r="D64" s="1"/>
      <c r="E64" s="1" t="s">
        <v>106</v>
      </c>
      <c r="F64" s="13">
        <v>0</v>
      </c>
      <c r="G64" s="14">
        <v>0</v>
      </c>
      <c r="H64" s="67"/>
    </row>
    <row r="65" spans="1:8" x14ac:dyDescent="0.2">
      <c r="A65" s="1"/>
      <c r="B65" s="1"/>
      <c r="C65" s="11"/>
      <c r="D65" s="1"/>
      <c r="E65" s="1"/>
      <c r="F65" s="12"/>
      <c r="G65" s="12"/>
      <c r="H65" s="67"/>
    </row>
    <row r="66" spans="1:8" x14ac:dyDescent="0.2">
      <c r="A66" s="1"/>
      <c r="B66" s="1"/>
      <c r="C66" s="2" t="s">
        <v>111</v>
      </c>
      <c r="D66" s="1"/>
      <c r="E66" s="1"/>
      <c r="F66" s="12"/>
      <c r="G66" s="12"/>
      <c r="H66" s="67"/>
    </row>
    <row r="67" spans="1:8" x14ac:dyDescent="0.2">
      <c r="A67" s="3">
        <v>1</v>
      </c>
      <c r="B67" s="4"/>
      <c r="C67" s="4" t="s">
        <v>953</v>
      </c>
      <c r="D67" s="4" t="s">
        <v>690</v>
      </c>
      <c r="E67" s="5">
        <v>-15000</v>
      </c>
      <c r="F67" s="6">
        <v>-72.577500000000001</v>
      </c>
      <c r="G67" s="7">
        <v>-6.2407299999999999E-3</v>
      </c>
      <c r="H67" s="67"/>
    </row>
    <row r="68" spans="1:8" ht="25.5" x14ac:dyDescent="0.2">
      <c r="A68" s="3">
        <v>2</v>
      </c>
      <c r="B68" s="4"/>
      <c r="C68" s="4" t="s">
        <v>921</v>
      </c>
      <c r="D68" s="4" t="s">
        <v>690</v>
      </c>
      <c r="E68" s="5">
        <v>-18000</v>
      </c>
      <c r="F68" s="6">
        <v>-85.103999999999999</v>
      </c>
      <c r="G68" s="7">
        <v>-7.3178499999999999E-3</v>
      </c>
      <c r="H68" s="67"/>
    </row>
    <row r="69" spans="1:8" x14ac:dyDescent="0.2">
      <c r="A69" s="3">
        <v>3</v>
      </c>
      <c r="B69" s="4"/>
      <c r="C69" s="4" t="s">
        <v>944</v>
      </c>
      <c r="D69" s="4" t="s">
        <v>708</v>
      </c>
      <c r="E69" s="5">
        <v>-3250</v>
      </c>
      <c r="F69" s="6">
        <v>-121.61987499999999</v>
      </c>
      <c r="G69" s="7">
        <v>-1.0457749999999998E-2</v>
      </c>
      <c r="H69" s="67"/>
    </row>
    <row r="70" spans="1:8" x14ac:dyDescent="0.2">
      <c r="A70" s="3">
        <v>4</v>
      </c>
      <c r="B70" s="4"/>
      <c r="C70" s="4" t="s">
        <v>954</v>
      </c>
      <c r="D70" s="4" t="s">
        <v>690</v>
      </c>
      <c r="E70" s="5">
        <v>-150000</v>
      </c>
      <c r="F70" s="6">
        <v>-122.175</v>
      </c>
      <c r="G70" s="7">
        <v>-1.0505480000000001E-2</v>
      </c>
      <c r="H70" s="67"/>
    </row>
    <row r="71" spans="1:8" x14ac:dyDescent="0.2">
      <c r="A71" s="3">
        <v>5</v>
      </c>
      <c r="B71" s="4"/>
      <c r="C71" s="4" t="s">
        <v>928</v>
      </c>
      <c r="D71" s="4" t="s">
        <v>690</v>
      </c>
      <c r="E71" s="5">
        <v>-80000</v>
      </c>
      <c r="F71" s="6">
        <v>-169.32</v>
      </c>
      <c r="G71" s="7">
        <v>-1.455935E-2</v>
      </c>
      <c r="H71" s="67"/>
    </row>
    <row r="72" spans="1:8" x14ac:dyDescent="0.2">
      <c r="A72" s="3">
        <v>6</v>
      </c>
      <c r="B72" s="4"/>
      <c r="C72" s="4" t="s">
        <v>935</v>
      </c>
      <c r="D72" s="4" t="s">
        <v>690</v>
      </c>
      <c r="E72" s="5">
        <v>-10000</v>
      </c>
      <c r="F72" s="6">
        <v>-226.595</v>
      </c>
      <c r="G72" s="7">
        <v>-1.948426E-2</v>
      </c>
      <c r="H72" s="67"/>
    </row>
    <row r="73" spans="1:8" x14ac:dyDescent="0.2">
      <c r="A73" s="3">
        <v>7</v>
      </c>
      <c r="B73" s="4"/>
      <c r="C73" s="4" t="s">
        <v>932</v>
      </c>
      <c r="D73" s="4" t="s">
        <v>690</v>
      </c>
      <c r="E73" s="5">
        <v>-60000</v>
      </c>
      <c r="F73" s="6">
        <v>-227.01</v>
      </c>
      <c r="G73" s="7">
        <v>-1.9519949999999998E-2</v>
      </c>
      <c r="H73" s="67"/>
    </row>
    <row r="74" spans="1:8" x14ac:dyDescent="0.2">
      <c r="A74" s="3">
        <v>8</v>
      </c>
      <c r="B74" s="4"/>
      <c r="C74" s="4" t="s">
        <v>955</v>
      </c>
      <c r="D74" s="4" t="s">
        <v>690</v>
      </c>
      <c r="E74" s="5">
        <v>-27000</v>
      </c>
      <c r="F74" s="6">
        <v>-233.739</v>
      </c>
      <c r="G74" s="7">
        <v>-2.009855E-2</v>
      </c>
      <c r="H74" s="67"/>
    </row>
    <row r="75" spans="1:8" x14ac:dyDescent="0.2">
      <c r="A75" s="3">
        <v>9</v>
      </c>
      <c r="B75" s="4"/>
      <c r="C75" s="4" t="s">
        <v>919</v>
      </c>
      <c r="D75" s="4" t="s">
        <v>690</v>
      </c>
      <c r="E75" s="5">
        <v>-38871</v>
      </c>
      <c r="F75" s="6">
        <v>-258.12287550000002</v>
      </c>
      <c r="G75" s="7">
        <v>-2.2195260000000001E-2</v>
      </c>
      <c r="H75" s="67"/>
    </row>
    <row r="76" spans="1:8" x14ac:dyDescent="0.2">
      <c r="A76" s="3">
        <v>10</v>
      </c>
      <c r="B76" s="4"/>
      <c r="C76" s="4" t="s">
        <v>951</v>
      </c>
      <c r="D76" s="4" t="s">
        <v>690</v>
      </c>
      <c r="E76" s="5">
        <v>-40000</v>
      </c>
      <c r="F76" s="6">
        <v>-286.38</v>
      </c>
      <c r="G76" s="7">
        <v>-2.4625009999999999E-2</v>
      </c>
      <c r="H76" s="67"/>
    </row>
    <row r="77" spans="1:8" x14ac:dyDescent="0.2">
      <c r="A77" s="3">
        <v>11</v>
      </c>
      <c r="B77" s="4"/>
      <c r="C77" s="4" t="s">
        <v>934</v>
      </c>
      <c r="D77" s="4" t="s">
        <v>690</v>
      </c>
      <c r="E77" s="5">
        <v>-55000</v>
      </c>
      <c r="F77" s="6">
        <v>-395.83499999999998</v>
      </c>
      <c r="G77" s="7">
        <v>-3.4036730000000001E-2</v>
      </c>
      <c r="H77" s="67"/>
    </row>
    <row r="78" spans="1:8" x14ac:dyDescent="0.2">
      <c r="A78" s="3">
        <v>12</v>
      </c>
      <c r="B78" s="4"/>
      <c r="C78" s="4" t="s">
        <v>950</v>
      </c>
      <c r="D78" s="4" t="s">
        <v>690</v>
      </c>
      <c r="E78" s="5">
        <v>-36000</v>
      </c>
      <c r="F78" s="6">
        <v>-522.12599999999998</v>
      </c>
      <c r="G78" s="7">
        <v>-4.4896140000000001E-2</v>
      </c>
      <c r="H78" s="67"/>
    </row>
    <row r="79" spans="1:8" ht="25.5" x14ac:dyDescent="0.2">
      <c r="A79" s="3">
        <v>13</v>
      </c>
      <c r="B79" s="4"/>
      <c r="C79" s="4" t="s">
        <v>948</v>
      </c>
      <c r="D79" s="4" t="s">
        <v>690</v>
      </c>
      <c r="E79" s="5">
        <v>-21000</v>
      </c>
      <c r="F79" s="6">
        <v>-588.399</v>
      </c>
      <c r="G79" s="7">
        <v>-5.0594760000000003E-2</v>
      </c>
      <c r="H79" s="67"/>
    </row>
    <row r="80" spans="1:8" x14ac:dyDescent="0.2">
      <c r="A80" s="3">
        <v>14</v>
      </c>
      <c r="B80" s="4"/>
      <c r="C80" s="4" t="s">
        <v>933</v>
      </c>
      <c r="D80" s="4" t="s">
        <v>690</v>
      </c>
      <c r="E80" s="5">
        <v>-30000</v>
      </c>
      <c r="F80" s="6">
        <v>-818.07</v>
      </c>
      <c r="G80" s="7">
        <v>-7.0343520000000007E-2</v>
      </c>
      <c r="H80" s="67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9">
        <v>-4127.0732504999996</v>
      </c>
      <c r="G81" s="10">
        <v>-0.35487534100000001</v>
      </c>
      <c r="H81" s="67"/>
    </row>
    <row r="82" spans="1:8" x14ac:dyDescent="0.2">
      <c r="A82" s="1"/>
      <c r="B82" s="1"/>
      <c r="C82" s="11"/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112</v>
      </c>
      <c r="D83" s="1"/>
      <c r="E83" s="1"/>
      <c r="F83" s="9">
        <v>9050.6925735000023</v>
      </c>
      <c r="G83" s="10">
        <v>0.77824342599999996</v>
      </c>
      <c r="H83" s="67"/>
    </row>
    <row r="84" spans="1:8" x14ac:dyDescent="0.2">
      <c r="A84" s="1"/>
      <c r="B84" s="1"/>
      <c r="C84" s="11"/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113</v>
      </c>
      <c r="D85" s="1"/>
      <c r="E85" s="1"/>
      <c r="F85" s="12"/>
      <c r="G85" s="12"/>
      <c r="H85" s="67"/>
    </row>
    <row r="86" spans="1:8" ht="25.5" x14ac:dyDescent="0.2">
      <c r="A86" s="1"/>
      <c r="B86" s="1"/>
      <c r="C86" s="2" t="s">
        <v>10</v>
      </c>
      <c r="D86" s="1"/>
      <c r="E86" s="1"/>
      <c r="F86" s="12"/>
      <c r="G86" s="12"/>
      <c r="H86" s="67"/>
    </row>
    <row r="87" spans="1:8" x14ac:dyDescent="0.2">
      <c r="A87" s="3">
        <v>1</v>
      </c>
      <c r="B87" s="4" t="s">
        <v>709</v>
      </c>
      <c r="C87" s="4" t="s">
        <v>710</v>
      </c>
      <c r="D87" s="4" t="s">
        <v>685</v>
      </c>
      <c r="E87" s="5">
        <v>50</v>
      </c>
      <c r="F87" s="6">
        <v>513.14549999999997</v>
      </c>
      <c r="G87" s="7">
        <v>4.4123928E-2</v>
      </c>
      <c r="H87" s="67">
        <v>3.6349999999999998</v>
      </c>
    </row>
    <row r="88" spans="1:8" ht="25.5" x14ac:dyDescent="0.2">
      <c r="A88" s="3">
        <v>2</v>
      </c>
      <c r="B88" s="4" t="s">
        <v>711</v>
      </c>
      <c r="C88" s="4" t="s">
        <v>712</v>
      </c>
      <c r="D88" s="4" t="s">
        <v>685</v>
      </c>
      <c r="E88" s="5">
        <v>30</v>
      </c>
      <c r="F88" s="6">
        <v>307.49430000000001</v>
      </c>
      <c r="G88" s="7">
        <v>2.6440564E-2</v>
      </c>
      <c r="H88" s="67">
        <v>3.7349999999999999</v>
      </c>
    </row>
    <row r="89" spans="1:8" x14ac:dyDescent="0.2">
      <c r="A89" s="3">
        <v>3</v>
      </c>
      <c r="B89" s="4" t="s">
        <v>713</v>
      </c>
      <c r="C89" s="4" t="s">
        <v>714</v>
      </c>
      <c r="D89" s="4" t="s">
        <v>685</v>
      </c>
      <c r="E89" s="5">
        <v>20</v>
      </c>
      <c r="F89" s="6">
        <v>209.86760000000001</v>
      </c>
      <c r="G89" s="7">
        <v>1.8045920999999999E-2</v>
      </c>
      <c r="H89" s="67">
        <v>4.4400000000000004</v>
      </c>
    </row>
    <row r="90" spans="1:8" x14ac:dyDescent="0.2">
      <c r="A90" s="1"/>
      <c r="B90" s="1"/>
      <c r="C90" s="2" t="s">
        <v>105</v>
      </c>
      <c r="D90" s="1"/>
      <c r="E90" s="1" t="s">
        <v>106</v>
      </c>
      <c r="F90" s="9">
        <v>1030.5074</v>
      </c>
      <c r="G90" s="10">
        <v>8.8610412999999999E-2</v>
      </c>
      <c r="H90" s="67"/>
    </row>
    <row r="91" spans="1:8" x14ac:dyDescent="0.2">
      <c r="A91" s="1"/>
      <c r="B91" s="1"/>
      <c r="C91" s="11"/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114</v>
      </c>
      <c r="D92" s="1"/>
      <c r="E92" s="1"/>
      <c r="F92" s="1"/>
      <c r="G92" s="1"/>
      <c r="H92" s="67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7"/>
    </row>
    <row r="94" spans="1:8" x14ac:dyDescent="0.2">
      <c r="A94" s="1"/>
      <c r="B94" s="1"/>
      <c r="C94" s="11"/>
      <c r="D94" s="1"/>
      <c r="E94" s="1"/>
      <c r="F94" s="12"/>
      <c r="G94" s="12"/>
      <c r="H94" s="67"/>
    </row>
    <row r="95" spans="1:8" x14ac:dyDescent="0.2">
      <c r="A95" s="1"/>
      <c r="B95" s="1"/>
      <c r="C95" s="2" t="s">
        <v>115</v>
      </c>
      <c r="D95" s="1"/>
      <c r="E95" s="1"/>
      <c r="F95" s="1"/>
      <c r="G95" s="1"/>
      <c r="H95" s="67"/>
    </row>
    <row r="96" spans="1:8" ht="25.5" x14ac:dyDescent="0.2">
      <c r="A96" s="3">
        <v>1</v>
      </c>
      <c r="B96" s="4" t="s">
        <v>715</v>
      </c>
      <c r="C96" s="4" t="s">
        <v>1008</v>
      </c>
      <c r="D96" s="4" t="s">
        <v>716</v>
      </c>
      <c r="E96" s="5">
        <v>200000</v>
      </c>
      <c r="F96" s="6">
        <v>212.99539999999999</v>
      </c>
      <c r="G96" s="7">
        <v>1.8314871E-2</v>
      </c>
      <c r="H96" s="67">
        <v>4.4429999999999996</v>
      </c>
    </row>
    <row r="97" spans="1:8" x14ac:dyDescent="0.2">
      <c r="A97" s="1"/>
      <c r="B97" s="1"/>
      <c r="C97" s="2" t="s">
        <v>105</v>
      </c>
      <c r="D97" s="1"/>
      <c r="E97" s="1" t="s">
        <v>106</v>
      </c>
      <c r="F97" s="9">
        <v>212.99539999999999</v>
      </c>
      <c r="G97" s="10">
        <v>1.8314871E-2</v>
      </c>
      <c r="H97" s="67"/>
    </row>
    <row r="98" spans="1:8" x14ac:dyDescent="0.2">
      <c r="A98" s="1"/>
      <c r="B98" s="1"/>
      <c r="C98" s="11"/>
      <c r="D98" s="1"/>
      <c r="E98" s="1"/>
      <c r="F98" s="12"/>
      <c r="G98" s="12"/>
      <c r="H98" s="67"/>
    </row>
    <row r="99" spans="1:8" x14ac:dyDescent="0.2">
      <c r="A99" s="1"/>
      <c r="B99" s="1"/>
      <c r="C99" s="2" t="s">
        <v>116</v>
      </c>
      <c r="D99" s="1"/>
      <c r="E99" s="1"/>
      <c r="F99" s="12"/>
      <c r="G99" s="12"/>
      <c r="H99" s="67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7"/>
    </row>
    <row r="101" spans="1:8" x14ac:dyDescent="0.2">
      <c r="A101" s="1"/>
      <c r="B101" s="1"/>
      <c r="C101" s="11"/>
      <c r="D101" s="1"/>
      <c r="E101" s="1"/>
      <c r="F101" s="12"/>
      <c r="G101" s="12"/>
      <c r="H101" s="67"/>
    </row>
    <row r="102" spans="1:8" x14ac:dyDescent="0.2">
      <c r="A102" s="1"/>
      <c r="B102" s="1"/>
      <c r="C102" s="2" t="s">
        <v>117</v>
      </c>
      <c r="D102" s="1"/>
      <c r="E102" s="1"/>
      <c r="F102" s="9">
        <v>1243.5028</v>
      </c>
      <c r="G102" s="10">
        <v>0.106925284</v>
      </c>
      <c r="H102" s="67"/>
    </row>
    <row r="103" spans="1:8" x14ac:dyDescent="0.2">
      <c r="A103" s="1"/>
      <c r="B103" s="1"/>
      <c r="C103" s="11"/>
      <c r="D103" s="1"/>
      <c r="E103" s="1"/>
      <c r="F103" s="12"/>
      <c r="G103" s="12"/>
      <c r="H103" s="67"/>
    </row>
    <row r="104" spans="1:8" x14ac:dyDescent="0.2">
      <c r="A104" s="1"/>
      <c r="B104" s="1"/>
      <c r="C104" s="2" t="s">
        <v>118</v>
      </c>
      <c r="D104" s="1"/>
      <c r="E104" s="1"/>
      <c r="F104" s="12"/>
      <c r="G104" s="12"/>
      <c r="H104" s="67"/>
    </row>
    <row r="105" spans="1:8" x14ac:dyDescent="0.2">
      <c r="A105" s="1"/>
      <c r="B105" s="1"/>
      <c r="C105" s="2" t="s">
        <v>119</v>
      </c>
      <c r="D105" s="1"/>
      <c r="E105" s="1"/>
      <c r="F105" s="12"/>
      <c r="G105" s="12"/>
      <c r="H105" s="67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">
        <v>0</v>
      </c>
      <c r="H106" s="67"/>
    </row>
    <row r="107" spans="1:8" x14ac:dyDescent="0.2">
      <c r="A107" s="1"/>
      <c r="B107" s="1"/>
      <c r="C107" s="11"/>
      <c r="D107" s="1"/>
      <c r="E107" s="1"/>
      <c r="F107" s="12"/>
      <c r="G107" s="12"/>
      <c r="H107" s="67"/>
    </row>
    <row r="108" spans="1:8" x14ac:dyDescent="0.2">
      <c r="A108" s="1"/>
      <c r="B108" s="1"/>
      <c r="C108" s="2" t="s">
        <v>120</v>
      </c>
      <c r="D108" s="1"/>
      <c r="E108" s="1"/>
      <c r="F108" s="12"/>
      <c r="G108" s="12"/>
      <c r="H108" s="67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">
        <v>0</v>
      </c>
      <c r="H109" s="67"/>
    </row>
    <row r="110" spans="1:8" x14ac:dyDescent="0.2">
      <c r="A110" s="1"/>
      <c r="B110" s="1"/>
      <c r="C110" s="11"/>
      <c r="D110" s="1"/>
      <c r="E110" s="1"/>
      <c r="F110" s="12"/>
      <c r="G110" s="12"/>
      <c r="H110" s="67"/>
    </row>
    <row r="111" spans="1:8" x14ac:dyDescent="0.2">
      <c r="A111" s="1"/>
      <c r="B111" s="1"/>
      <c r="C111" s="2" t="s">
        <v>121</v>
      </c>
      <c r="D111" s="1"/>
      <c r="E111" s="1"/>
      <c r="F111" s="12"/>
      <c r="G111" s="12"/>
      <c r="H111" s="67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">
        <v>0</v>
      </c>
      <c r="H112" s="67"/>
    </row>
    <row r="113" spans="1:8" x14ac:dyDescent="0.2">
      <c r="A113" s="1"/>
      <c r="B113" s="1"/>
      <c r="C113" s="11"/>
      <c r="D113" s="1"/>
      <c r="E113" s="1"/>
      <c r="F113" s="12"/>
      <c r="G113" s="12"/>
      <c r="H113" s="67"/>
    </row>
    <row r="114" spans="1:8" x14ac:dyDescent="0.2">
      <c r="A114" s="1"/>
      <c r="B114" s="1"/>
      <c r="C114" s="2" t="s">
        <v>122</v>
      </c>
      <c r="D114" s="1"/>
      <c r="E114" s="1"/>
      <c r="F114" s="12"/>
      <c r="G114" s="12"/>
      <c r="H114" s="67"/>
    </row>
    <row r="115" spans="1:8" x14ac:dyDescent="0.2">
      <c r="A115" s="3">
        <v>1</v>
      </c>
      <c r="B115" s="4"/>
      <c r="C115" s="4" t="s">
        <v>123</v>
      </c>
      <c r="D115" s="4"/>
      <c r="E115" s="8"/>
      <c r="F115" s="6">
        <v>183.10272499999999</v>
      </c>
      <c r="G115" s="7">
        <v>1.5744484999999999E-2</v>
      </c>
      <c r="H115" s="67">
        <v>3.1047477660654299</v>
      </c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9">
        <v>183.10272499999999</v>
      </c>
      <c r="G116" s="10">
        <v>1.5744484999999999E-2</v>
      </c>
      <c r="H116" s="67"/>
    </row>
    <row r="117" spans="1:8" x14ac:dyDescent="0.2">
      <c r="A117" s="1"/>
      <c r="B117" s="1"/>
      <c r="C117" s="11"/>
      <c r="D117" s="1"/>
      <c r="E117" s="1"/>
      <c r="F117" s="12"/>
      <c r="G117" s="12"/>
      <c r="H117" s="67"/>
    </row>
    <row r="118" spans="1:8" x14ac:dyDescent="0.2">
      <c r="A118" s="1"/>
      <c r="B118" s="1"/>
      <c r="C118" s="2" t="s">
        <v>124</v>
      </c>
      <c r="D118" s="1"/>
      <c r="E118" s="1"/>
      <c r="F118" s="9">
        <v>183.10272499999999</v>
      </c>
      <c r="G118" s="10">
        <v>1.5744484999999999E-2</v>
      </c>
      <c r="H118" s="67"/>
    </row>
    <row r="119" spans="1:8" x14ac:dyDescent="0.2">
      <c r="A119" s="1"/>
      <c r="B119" s="1"/>
      <c r="C119" s="12"/>
      <c r="D119" s="1"/>
      <c r="E119" s="1"/>
      <c r="F119" s="1"/>
      <c r="G119" s="1"/>
      <c r="H119" s="67"/>
    </row>
    <row r="120" spans="1:8" x14ac:dyDescent="0.2">
      <c r="A120" s="1"/>
      <c r="B120" s="1"/>
      <c r="C120" s="2" t="s">
        <v>125</v>
      </c>
      <c r="D120" s="1"/>
      <c r="E120" s="1"/>
      <c r="F120" s="1"/>
      <c r="G120" s="1"/>
      <c r="H120" s="67"/>
    </row>
    <row r="121" spans="1:8" x14ac:dyDescent="0.2">
      <c r="A121" s="1"/>
      <c r="B121" s="1"/>
      <c r="C121" s="2" t="s">
        <v>126</v>
      </c>
      <c r="D121" s="1"/>
      <c r="E121" s="1"/>
      <c r="F121" s="1"/>
      <c r="G121" s="1"/>
      <c r="H121" s="67"/>
    </row>
    <row r="122" spans="1:8" x14ac:dyDescent="0.2">
      <c r="A122" s="1"/>
      <c r="B122" s="1"/>
      <c r="C122" s="2" t="s">
        <v>105</v>
      </c>
      <c r="D122" s="1"/>
      <c r="E122" s="1" t="s">
        <v>106</v>
      </c>
      <c r="F122" s="13">
        <v>0</v>
      </c>
      <c r="G122" s="14">
        <v>0</v>
      </c>
      <c r="H122" s="67"/>
    </row>
    <row r="123" spans="1:8" x14ac:dyDescent="0.2">
      <c r="A123" s="1"/>
      <c r="B123" s="1"/>
      <c r="C123" s="11"/>
      <c r="D123" s="1"/>
      <c r="E123" s="1"/>
      <c r="F123" s="12"/>
      <c r="G123" s="12"/>
      <c r="H123" s="67"/>
    </row>
    <row r="124" spans="1:8" x14ac:dyDescent="0.2">
      <c r="A124" s="1"/>
      <c r="B124" s="1"/>
      <c r="C124" s="2" t="s">
        <v>127</v>
      </c>
      <c r="D124" s="1"/>
      <c r="E124" s="1"/>
      <c r="F124" s="1"/>
      <c r="G124" s="1"/>
      <c r="H124" s="67"/>
    </row>
    <row r="125" spans="1:8" x14ac:dyDescent="0.2">
      <c r="A125" s="1"/>
      <c r="B125" s="1"/>
      <c r="C125" s="2" t="s">
        <v>128</v>
      </c>
      <c r="D125" s="1"/>
      <c r="E125" s="1"/>
      <c r="F125" s="1"/>
      <c r="G125" s="1"/>
      <c r="H125" s="67"/>
    </row>
    <row r="126" spans="1:8" x14ac:dyDescent="0.2">
      <c r="A126" s="1"/>
      <c r="B126" s="1"/>
      <c r="C126" s="2" t="s">
        <v>105</v>
      </c>
      <c r="D126" s="1"/>
      <c r="E126" s="1" t="s">
        <v>106</v>
      </c>
      <c r="F126" s="13">
        <v>0</v>
      </c>
      <c r="G126" s="14">
        <v>0</v>
      </c>
      <c r="H126" s="67"/>
    </row>
    <row r="127" spans="1:8" x14ac:dyDescent="0.2">
      <c r="A127" s="1"/>
      <c r="B127" s="1"/>
      <c r="C127" s="11"/>
      <c r="D127" s="1"/>
      <c r="E127" s="1"/>
      <c r="F127" s="12"/>
      <c r="G127" s="12"/>
      <c r="H127" s="67"/>
    </row>
    <row r="128" spans="1:8" x14ac:dyDescent="0.2">
      <c r="A128" s="1"/>
      <c r="B128" s="1"/>
      <c r="C128" s="11"/>
      <c r="D128" s="1"/>
      <c r="E128" s="1"/>
      <c r="F128" s="12"/>
      <c r="G128" s="12"/>
      <c r="H128" s="67"/>
    </row>
    <row r="129" spans="1:8" ht="25.5" x14ac:dyDescent="0.2">
      <c r="A129" s="1"/>
      <c r="B129" s="1"/>
      <c r="C129" s="2" t="s">
        <v>129</v>
      </c>
      <c r="D129" s="1"/>
      <c r="E129" s="1"/>
      <c r="F129" s="12"/>
      <c r="G129" s="12"/>
      <c r="H129" s="67"/>
    </row>
    <row r="130" spans="1:8" x14ac:dyDescent="0.2">
      <c r="A130" s="1"/>
      <c r="B130" s="1"/>
      <c r="C130" s="2" t="s">
        <v>105</v>
      </c>
      <c r="D130" s="1"/>
      <c r="E130" s="1" t="s">
        <v>106</v>
      </c>
      <c r="F130" s="13">
        <v>0</v>
      </c>
      <c r="G130" s="14">
        <v>0</v>
      </c>
      <c r="H130" s="67"/>
    </row>
    <row r="131" spans="1:8" x14ac:dyDescent="0.2">
      <c r="A131" s="1"/>
      <c r="B131" s="1"/>
      <c r="C131" s="11"/>
      <c r="D131" s="1"/>
      <c r="E131" s="1"/>
      <c r="F131" s="12"/>
      <c r="G131" s="12"/>
      <c r="H131" s="67"/>
    </row>
    <row r="132" spans="1:8" x14ac:dyDescent="0.2">
      <c r="A132" s="8"/>
      <c r="B132" s="4"/>
      <c r="C132" s="4" t="s">
        <v>692</v>
      </c>
      <c r="D132" s="4"/>
      <c r="E132" s="8"/>
      <c r="F132" s="6">
        <v>1222.9457805</v>
      </c>
      <c r="G132" s="7">
        <v>0.10515764399999999</v>
      </c>
      <c r="H132" s="67"/>
    </row>
    <row r="133" spans="1:8" x14ac:dyDescent="0.2">
      <c r="A133" s="8"/>
      <c r="B133" s="4"/>
      <c r="C133" s="4" t="s">
        <v>971</v>
      </c>
      <c r="D133" s="4"/>
      <c r="E133" s="8"/>
      <c r="F133" s="6">
        <v>-70.601645290000306</v>
      </c>
      <c r="G133" s="7">
        <v>-6.0708355314106196E-3</v>
      </c>
      <c r="H133" s="67"/>
    </row>
    <row r="134" spans="1:8" x14ac:dyDescent="0.2">
      <c r="A134" s="11"/>
      <c r="B134" s="11"/>
      <c r="C134" s="2" t="s">
        <v>131</v>
      </c>
      <c r="D134" s="15"/>
      <c r="E134" s="15"/>
      <c r="F134" s="9">
        <v>11629.642233710003</v>
      </c>
      <c r="G134" s="10">
        <v>1.0000000034685894</v>
      </c>
      <c r="H134" s="67"/>
    </row>
    <row r="135" spans="1:8" ht="14.1" customHeight="1" x14ac:dyDescent="0.2">
      <c r="A135" s="16"/>
      <c r="B135" s="16"/>
      <c r="C135" s="16"/>
      <c r="D135" s="17"/>
      <c r="E135" s="17"/>
      <c r="F135" s="17"/>
      <c r="G135" s="17"/>
    </row>
    <row r="136" spans="1:8" ht="17.100000000000001" customHeight="1" x14ac:dyDescent="0.2">
      <c r="A136" s="18"/>
      <c r="B136" s="170" t="s">
        <v>717</v>
      </c>
      <c r="C136" s="170"/>
      <c r="D136" s="170"/>
      <c r="E136" s="170"/>
      <c r="F136" s="170"/>
      <c r="G136" s="20"/>
    </row>
    <row r="137" spans="1:8" s="98" customFormat="1" ht="17.100000000000001" customHeight="1" x14ac:dyDescent="0.2">
      <c r="A137" s="115"/>
      <c r="B137" s="177" t="s">
        <v>866</v>
      </c>
      <c r="C137" s="177"/>
      <c r="D137" s="177"/>
      <c r="E137" s="177"/>
      <c r="F137" s="177"/>
      <c r="G137" s="116"/>
    </row>
    <row r="138" spans="1:8" ht="14.1" customHeight="1" x14ac:dyDescent="0.2">
      <c r="A138" s="18"/>
      <c r="B138" s="18"/>
      <c r="C138" s="18"/>
      <c r="D138" s="20"/>
      <c r="E138" s="20"/>
      <c r="F138" s="20"/>
      <c r="G138" s="20"/>
    </row>
    <row r="139" spans="1:8" ht="14.1" customHeight="1" x14ac:dyDescent="0.2">
      <c r="A139" s="18"/>
      <c r="B139" s="168" t="s">
        <v>133</v>
      </c>
      <c r="C139" s="169"/>
      <c r="D139" s="12" t="s">
        <v>106</v>
      </c>
      <c r="E139" s="21"/>
      <c r="F139" s="20"/>
      <c r="G139" s="20"/>
    </row>
    <row r="140" spans="1:8" ht="29.1" customHeight="1" x14ac:dyDescent="0.2">
      <c r="A140" s="18"/>
      <c r="B140" s="165" t="s">
        <v>134</v>
      </c>
      <c r="C140" s="166"/>
      <c r="D140" s="2" t="s">
        <v>135</v>
      </c>
      <c r="E140" s="21"/>
      <c r="F140" s="20"/>
      <c r="G140" s="20"/>
    </row>
    <row r="141" spans="1:8" ht="17.100000000000001" customHeight="1" x14ac:dyDescent="0.2">
      <c r="A141" s="18"/>
      <c r="B141" s="165" t="s">
        <v>136</v>
      </c>
      <c r="C141" s="166"/>
      <c r="D141" s="2" t="s">
        <v>135</v>
      </c>
      <c r="E141" s="21"/>
      <c r="F141" s="20"/>
      <c r="G141" s="20"/>
    </row>
    <row r="142" spans="1:8" ht="17.100000000000001" customHeight="1" x14ac:dyDescent="0.2">
      <c r="A142" s="18"/>
      <c r="B142" s="165" t="s">
        <v>137</v>
      </c>
      <c r="C142" s="166"/>
      <c r="D142" s="12" t="s">
        <v>106</v>
      </c>
      <c r="E142" s="21"/>
      <c r="F142" s="20"/>
      <c r="G142" s="20"/>
    </row>
    <row r="143" spans="1:8" ht="24" customHeight="1" x14ac:dyDescent="0.2">
      <c r="A143" s="22"/>
      <c r="B143" s="23" t="s">
        <v>106</v>
      </c>
      <c r="C143" s="23" t="s">
        <v>138</v>
      </c>
      <c r="D143" s="23" t="s">
        <v>139</v>
      </c>
      <c r="E143" s="22"/>
      <c r="F143" s="22"/>
      <c r="G143" s="22"/>
    </row>
    <row r="144" spans="1:8" ht="18" customHeight="1" x14ac:dyDescent="0.2">
      <c r="A144" s="22"/>
      <c r="B144" s="23" t="s">
        <v>140</v>
      </c>
      <c r="C144" s="23" t="s">
        <v>141</v>
      </c>
      <c r="D144" s="23" t="s">
        <v>142</v>
      </c>
      <c r="E144" s="22"/>
      <c r="F144" s="22"/>
      <c r="G144" s="22"/>
    </row>
    <row r="145" spans="1:7" ht="17.100000000000001" customHeight="1" x14ac:dyDescent="0.2">
      <c r="A145" s="22"/>
      <c r="B145" s="4" t="s">
        <v>143</v>
      </c>
      <c r="C145" s="24">
        <v>12.7498</v>
      </c>
      <c r="D145" s="24">
        <v>13.117000000000001</v>
      </c>
      <c r="E145" s="22"/>
      <c r="F145" s="19"/>
      <c r="G145" s="25"/>
    </row>
    <row r="146" spans="1:7" ht="17.100000000000001" customHeight="1" x14ac:dyDescent="0.2">
      <c r="A146" s="22"/>
      <c r="B146" s="4" t="s">
        <v>988</v>
      </c>
      <c r="C146" s="24">
        <v>12.749700000000001</v>
      </c>
      <c r="D146" s="24">
        <v>13.116899999999999</v>
      </c>
      <c r="E146" s="22"/>
      <c r="F146" s="19"/>
      <c r="G146" s="25"/>
    </row>
    <row r="147" spans="1:7" ht="17.100000000000001" customHeight="1" x14ac:dyDescent="0.2">
      <c r="A147" s="22"/>
      <c r="B147" s="4" t="s">
        <v>144</v>
      </c>
      <c r="C147" s="24">
        <v>12.1732</v>
      </c>
      <c r="D147" s="24">
        <v>12.505699999999999</v>
      </c>
      <c r="E147" s="22"/>
      <c r="F147" s="19"/>
      <c r="G147" s="25"/>
    </row>
    <row r="148" spans="1:7" ht="17.100000000000001" customHeight="1" x14ac:dyDescent="0.2">
      <c r="A148" s="22"/>
      <c r="B148" s="4" t="s">
        <v>989</v>
      </c>
      <c r="C148" s="24">
        <v>12.173</v>
      </c>
      <c r="D148" s="24">
        <v>12.5055</v>
      </c>
      <c r="E148" s="22"/>
      <c r="F148" s="19"/>
      <c r="G148" s="25"/>
    </row>
    <row r="149" spans="1:7" ht="14.1" customHeight="1" x14ac:dyDescent="0.2">
      <c r="A149" s="22"/>
      <c r="B149" s="22"/>
      <c r="C149" s="22"/>
      <c r="D149" s="22"/>
      <c r="E149" s="22"/>
      <c r="F149" s="22"/>
      <c r="G149" s="22"/>
    </row>
    <row r="150" spans="1:7" ht="17.100000000000001" customHeight="1" x14ac:dyDescent="0.2">
      <c r="A150" s="22"/>
      <c r="B150" s="165" t="s">
        <v>990</v>
      </c>
      <c r="C150" s="166"/>
      <c r="D150" s="2" t="s">
        <v>135</v>
      </c>
      <c r="E150" s="22"/>
      <c r="F150" s="22"/>
      <c r="G150" s="22"/>
    </row>
    <row r="151" spans="1:7" ht="18" customHeight="1" x14ac:dyDescent="0.2">
      <c r="A151" s="22"/>
      <c r="B151" s="26" t="s">
        <v>145</v>
      </c>
      <c r="C151" s="26" t="s">
        <v>145</v>
      </c>
      <c r="D151" s="26"/>
      <c r="E151" s="22"/>
      <c r="F151" s="22"/>
      <c r="G151" s="22"/>
    </row>
    <row r="152" spans="1:7" s="158" customFormat="1" x14ac:dyDescent="0.2">
      <c r="B152" s="167" t="s">
        <v>822</v>
      </c>
      <c r="C152" s="167"/>
      <c r="D152" s="167"/>
      <c r="E152" s="167"/>
      <c r="F152" s="167"/>
    </row>
    <row r="153" spans="1:7" ht="14.1" customHeight="1" x14ac:dyDescent="0.2">
      <c r="A153" s="22"/>
      <c r="B153" s="19"/>
      <c r="C153" s="19"/>
      <c r="D153" s="22"/>
      <c r="E153" s="22"/>
      <c r="F153" s="22"/>
      <c r="G153" s="22"/>
    </row>
    <row r="154" spans="1:7" ht="29.1" customHeight="1" x14ac:dyDescent="0.2">
      <c r="A154" s="22"/>
      <c r="B154" s="165" t="s">
        <v>146</v>
      </c>
      <c r="C154" s="166"/>
      <c r="D154" s="2" t="s">
        <v>962</v>
      </c>
      <c r="E154" s="22"/>
      <c r="F154" s="22"/>
      <c r="G154" s="22"/>
    </row>
    <row r="155" spans="1:7" ht="29.1" customHeight="1" x14ac:dyDescent="0.2">
      <c r="A155" s="22"/>
      <c r="B155" s="165" t="s">
        <v>147</v>
      </c>
      <c r="C155" s="166"/>
      <c r="D155" s="2" t="s">
        <v>135</v>
      </c>
      <c r="E155" s="22"/>
      <c r="F155" s="22"/>
      <c r="G155" s="22"/>
    </row>
    <row r="156" spans="1:7" ht="17.100000000000001" customHeight="1" x14ac:dyDescent="0.2">
      <c r="A156" s="140" t="s">
        <v>106</v>
      </c>
      <c r="B156" s="175" t="s">
        <v>964</v>
      </c>
      <c r="C156" s="176"/>
      <c r="D156" s="141">
        <v>0.50912004966827307</v>
      </c>
      <c r="E156" s="140" t="s">
        <v>106</v>
      </c>
      <c r="F156" s="142" t="s">
        <v>106</v>
      </c>
      <c r="G156" s="143" t="s">
        <v>106</v>
      </c>
    </row>
    <row r="157" spans="1:7" ht="17.100000000000001" customHeight="1" x14ac:dyDescent="0.2">
      <c r="A157" s="140" t="s">
        <v>106</v>
      </c>
      <c r="B157" s="175" t="s">
        <v>965</v>
      </c>
      <c r="C157" s="176"/>
      <c r="D157" s="141">
        <v>0.48164239564942563</v>
      </c>
      <c r="E157" s="140" t="s">
        <v>106</v>
      </c>
      <c r="F157" s="140" t="s">
        <v>106</v>
      </c>
      <c r="G157" s="140" t="s">
        <v>106</v>
      </c>
    </row>
    <row r="158" spans="1:7" ht="17.100000000000001" customHeight="1" x14ac:dyDescent="0.2">
      <c r="A158" s="22"/>
      <c r="B158" s="165" t="s">
        <v>966</v>
      </c>
      <c r="C158" s="166"/>
      <c r="D158" s="27">
        <v>4.633684038115943</v>
      </c>
      <c r="E158" s="22"/>
      <c r="F158" s="19"/>
      <c r="G158" s="25"/>
    </row>
    <row r="159" spans="1:7" ht="17.100000000000001" customHeight="1" x14ac:dyDescent="0.2">
      <c r="A159" s="22"/>
      <c r="B159" s="165" t="s">
        <v>967</v>
      </c>
      <c r="C159" s="166"/>
      <c r="D159" s="2" t="s">
        <v>135</v>
      </c>
      <c r="E159" s="22"/>
      <c r="F159" s="22"/>
      <c r="G159" s="22"/>
    </row>
  </sheetData>
  <mergeCells count="17">
    <mergeCell ref="B139:C139"/>
    <mergeCell ref="B136:F136"/>
    <mergeCell ref="B137:F137"/>
    <mergeCell ref="A1:H1"/>
    <mergeCell ref="A2:H2"/>
    <mergeCell ref="A3:H3"/>
    <mergeCell ref="B158:C158"/>
    <mergeCell ref="B159:C159"/>
    <mergeCell ref="B140:C140"/>
    <mergeCell ref="B141:C141"/>
    <mergeCell ref="B142:C142"/>
    <mergeCell ref="B150:C150"/>
    <mergeCell ref="B154:C154"/>
    <mergeCell ref="B155:C155"/>
    <mergeCell ref="B156:C156"/>
    <mergeCell ref="B157:C157"/>
    <mergeCell ref="B152:F15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H12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718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398</v>
      </c>
      <c r="C7" s="4" t="s">
        <v>399</v>
      </c>
      <c r="D7" s="4" t="s">
        <v>24</v>
      </c>
      <c r="E7" s="5">
        <v>592354</v>
      </c>
      <c r="F7" s="6">
        <v>9367.4861560000008</v>
      </c>
      <c r="G7" s="7">
        <v>0.217950531</v>
      </c>
      <c r="H7" s="67"/>
    </row>
    <row r="8" spans="1:8" x14ac:dyDescent="0.2">
      <c r="A8" s="3">
        <v>2</v>
      </c>
      <c r="B8" s="4" t="s">
        <v>22</v>
      </c>
      <c r="C8" s="4" t="s">
        <v>23</v>
      </c>
      <c r="D8" s="4" t="s">
        <v>24</v>
      </c>
      <c r="E8" s="5">
        <v>886497</v>
      </c>
      <c r="F8" s="6">
        <v>6374.3566785000003</v>
      </c>
      <c r="G8" s="7">
        <v>0.14831027199999999</v>
      </c>
      <c r="H8" s="67"/>
    </row>
    <row r="9" spans="1:8" ht="25.5" x14ac:dyDescent="0.2">
      <c r="A9" s="3">
        <v>3</v>
      </c>
      <c r="B9" s="4" t="s">
        <v>402</v>
      </c>
      <c r="C9" s="4" t="s">
        <v>403</v>
      </c>
      <c r="D9" s="4" t="s">
        <v>81</v>
      </c>
      <c r="E9" s="5">
        <v>161518</v>
      </c>
      <c r="F9" s="6">
        <v>4520.0812299999998</v>
      </c>
      <c r="G9" s="7">
        <v>0.105167393</v>
      </c>
      <c r="H9" s="67"/>
    </row>
    <row r="10" spans="1:8" x14ac:dyDescent="0.2">
      <c r="A10" s="3">
        <v>4</v>
      </c>
      <c r="B10" s="4" t="s">
        <v>354</v>
      </c>
      <c r="C10" s="4" t="s">
        <v>355</v>
      </c>
      <c r="D10" s="4" t="s">
        <v>24</v>
      </c>
      <c r="E10" s="5">
        <v>466660</v>
      </c>
      <c r="F10" s="6">
        <v>3670.2809000000002</v>
      </c>
      <c r="G10" s="7">
        <v>8.539534E-2</v>
      </c>
      <c r="H10" s="67"/>
    </row>
    <row r="11" spans="1:8" x14ac:dyDescent="0.2">
      <c r="A11" s="3">
        <v>5</v>
      </c>
      <c r="B11" s="4" t="s">
        <v>404</v>
      </c>
      <c r="C11" s="4" t="s">
        <v>405</v>
      </c>
      <c r="D11" s="4" t="s">
        <v>24</v>
      </c>
      <c r="E11" s="5">
        <v>782092</v>
      </c>
      <c r="F11" s="6">
        <v>3332.1029659999999</v>
      </c>
      <c r="G11" s="7">
        <v>7.7527053999999998E-2</v>
      </c>
      <c r="H11" s="67"/>
    </row>
    <row r="12" spans="1:8" x14ac:dyDescent="0.2">
      <c r="A12" s="3">
        <v>6</v>
      </c>
      <c r="B12" s="4" t="s">
        <v>388</v>
      </c>
      <c r="C12" s="4" t="s">
        <v>389</v>
      </c>
      <c r="D12" s="4" t="s">
        <v>1002</v>
      </c>
      <c r="E12" s="5">
        <v>17895</v>
      </c>
      <c r="F12" s="6">
        <v>3068.7688125</v>
      </c>
      <c r="G12" s="7">
        <v>7.1400137000000002E-2</v>
      </c>
      <c r="H12" s="67"/>
    </row>
    <row r="13" spans="1:8" x14ac:dyDescent="0.2">
      <c r="A13" s="3">
        <v>7</v>
      </c>
      <c r="B13" s="4" t="s">
        <v>509</v>
      </c>
      <c r="C13" s="4" t="s">
        <v>510</v>
      </c>
      <c r="D13" s="4" t="s">
        <v>24</v>
      </c>
      <c r="E13" s="5">
        <v>517173</v>
      </c>
      <c r="F13" s="6">
        <v>1538.072502</v>
      </c>
      <c r="G13" s="7">
        <v>3.5785878E-2</v>
      </c>
      <c r="H13" s="67"/>
    </row>
    <row r="14" spans="1:8" x14ac:dyDescent="0.2">
      <c r="A14" s="3">
        <v>8</v>
      </c>
      <c r="B14" s="4" t="s">
        <v>192</v>
      </c>
      <c r="C14" s="4" t="s">
        <v>193</v>
      </c>
      <c r="D14" s="4" t="s">
        <v>81</v>
      </c>
      <c r="E14" s="5">
        <v>198851</v>
      </c>
      <c r="F14" s="6">
        <v>1134.7432315000001</v>
      </c>
      <c r="G14" s="7">
        <v>2.6401734999999999E-2</v>
      </c>
      <c r="H14" s="67"/>
    </row>
    <row r="15" spans="1:8" x14ac:dyDescent="0.2">
      <c r="A15" s="3">
        <v>9</v>
      </c>
      <c r="B15" s="4" t="s">
        <v>433</v>
      </c>
      <c r="C15" s="4" t="s">
        <v>434</v>
      </c>
      <c r="D15" s="4" t="s">
        <v>24</v>
      </c>
      <c r="E15" s="5">
        <v>62105</v>
      </c>
      <c r="F15" s="6">
        <v>1089.135385</v>
      </c>
      <c r="G15" s="7">
        <v>2.5340590999999999E-2</v>
      </c>
      <c r="H15" s="67"/>
    </row>
    <row r="16" spans="1:8" x14ac:dyDescent="0.2">
      <c r="A16" s="3">
        <v>10</v>
      </c>
      <c r="B16" s="4" t="s">
        <v>313</v>
      </c>
      <c r="C16" s="4" t="s">
        <v>314</v>
      </c>
      <c r="D16" s="4" t="s">
        <v>24</v>
      </c>
      <c r="E16" s="5">
        <v>70067</v>
      </c>
      <c r="F16" s="6">
        <v>792.28260250000005</v>
      </c>
      <c r="G16" s="7">
        <v>1.8433805000000001E-2</v>
      </c>
      <c r="H16" s="67"/>
    </row>
    <row r="17" spans="1:8" ht="25.5" x14ac:dyDescent="0.2">
      <c r="A17" s="3">
        <v>11</v>
      </c>
      <c r="B17" s="4" t="s">
        <v>307</v>
      </c>
      <c r="C17" s="4" t="s">
        <v>308</v>
      </c>
      <c r="D17" s="4" t="s">
        <v>81</v>
      </c>
      <c r="E17" s="5">
        <v>141241</v>
      </c>
      <c r="F17" s="6">
        <v>782.54576050000003</v>
      </c>
      <c r="G17" s="7">
        <v>1.8207260999999999E-2</v>
      </c>
      <c r="H17" s="67"/>
    </row>
    <row r="18" spans="1:8" x14ac:dyDescent="0.2">
      <c r="A18" s="3">
        <v>12</v>
      </c>
      <c r="B18" s="4" t="s">
        <v>79</v>
      </c>
      <c r="C18" s="4" t="s">
        <v>80</v>
      </c>
      <c r="D18" s="4" t="s">
        <v>81</v>
      </c>
      <c r="E18" s="5">
        <v>260000</v>
      </c>
      <c r="F18" s="6">
        <v>758.29</v>
      </c>
      <c r="G18" s="7">
        <v>1.7642908999999998E-2</v>
      </c>
      <c r="H18" s="67"/>
    </row>
    <row r="19" spans="1:8" x14ac:dyDescent="0.2">
      <c r="A19" s="3">
        <v>13</v>
      </c>
      <c r="B19" s="4" t="s">
        <v>340</v>
      </c>
      <c r="C19" s="4" t="s">
        <v>341</v>
      </c>
      <c r="D19" s="4" t="s">
        <v>81</v>
      </c>
      <c r="E19" s="5">
        <v>54241</v>
      </c>
      <c r="F19" s="6">
        <v>733.71800699999994</v>
      </c>
      <c r="G19" s="7">
        <v>1.7071200000000002E-2</v>
      </c>
      <c r="H19" s="67"/>
    </row>
    <row r="20" spans="1:8" x14ac:dyDescent="0.2">
      <c r="A20" s="3">
        <v>14</v>
      </c>
      <c r="B20" s="4" t="s">
        <v>655</v>
      </c>
      <c r="C20" s="4" t="s">
        <v>656</v>
      </c>
      <c r="D20" s="4" t="s">
        <v>24</v>
      </c>
      <c r="E20" s="5">
        <v>63263</v>
      </c>
      <c r="F20" s="6">
        <v>627.82201199999997</v>
      </c>
      <c r="G20" s="7">
        <v>1.4607349E-2</v>
      </c>
      <c r="H20" s="67"/>
    </row>
    <row r="21" spans="1:8" x14ac:dyDescent="0.2">
      <c r="A21" s="3">
        <v>15</v>
      </c>
      <c r="B21" s="4" t="s">
        <v>554</v>
      </c>
      <c r="C21" s="4" t="s">
        <v>555</v>
      </c>
      <c r="D21" s="4" t="s">
        <v>81</v>
      </c>
      <c r="E21" s="5">
        <v>7202</v>
      </c>
      <c r="F21" s="6">
        <v>541.91449</v>
      </c>
      <c r="G21" s="7">
        <v>1.2608563999999999E-2</v>
      </c>
      <c r="H21" s="67"/>
    </row>
    <row r="22" spans="1:8" x14ac:dyDescent="0.2">
      <c r="A22" s="3">
        <v>16</v>
      </c>
      <c r="B22" s="4" t="s">
        <v>406</v>
      </c>
      <c r="C22" s="4" t="s">
        <v>407</v>
      </c>
      <c r="D22" s="4" t="s">
        <v>1002</v>
      </c>
      <c r="E22" s="5">
        <v>37738</v>
      </c>
      <c r="F22" s="6">
        <v>449.85582900000003</v>
      </c>
      <c r="G22" s="7">
        <v>1.0466662999999999E-2</v>
      </c>
      <c r="H22" s="67"/>
    </row>
    <row r="23" spans="1:8" x14ac:dyDescent="0.2">
      <c r="A23" s="3">
        <v>17</v>
      </c>
      <c r="B23" s="4" t="s">
        <v>719</v>
      </c>
      <c r="C23" s="4" t="s">
        <v>720</v>
      </c>
      <c r="D23" s="4" t="s">
        <v>81</v>
      </c>
      <c r="E23" s="5">
        <v>414772</v>
      </c>
      <c r="F23" s="6">
        <v>447.33160199999998</v>
      </c>
      <c r="G23" s="7">
        <v>1.0407932E-2</v>
      </c>
      <c r="H23" s="67"/>
    </row>
    <row r="24" spans="1:8" x14ac:dyDescent="0.2">
      <c r="A24" s="3">
        <v>18</v>
      </c>
      <c r="B24" s="4" t="s">
        <v>338</v>
      </c>
      <c r="C24" s="4" t="s">
        <v>339</v>
      </c>
      <c r="D24" s="4" t="s">
        <v>24</v>
      </c>
      <c r="E24" s="5">
        <v>498429</v>
      </c>
      <c r="F24" s="6">
        <v>404.97356250000001</v>
      </c>
      <c r="G24" s="7">
        <v>9.4223999999999992E-3</v>
      </c>
      <c r="H24" s="67"/>
    </row>
    <row r="25" spans="1:8" x14ac:dyDescent="0.2">
      <c r="A25" s="3">
        <v>19</v>
      </c>
      <c r="B25" s="4" t="s">
        <v>305</v>
      </c>
      <c r="C25" s="4" t="s">
        <v>306</v>
      </c>
      <c r="D25" s="4" t="s">
        <v>1002</v>
      </c>
      <c r="E25" s="5">
        <v>31042</v>
      </c>
      <c r="F25" s="6">
        <v>337.783523</v>
      </c>
      <c r="G25" s="7">
        <v>7.8591089999999995E-3</v>
      </c>
      <c r="H25" s="67"/>
    </row>
    <row r="26" spans="1:8" ht="25.5" x14ac:dyDescent="0.2">
      <c r="A26" s="3">
        <v>20</v>
      </c>
      <c r="B26" s="4" t="s">
        <v>435</v>
      </c>
      <c r="C26" s="4" t="s">
        <v>436</v>
      </c>
      <c r="D26" s="4" t="s">
        <v>1002</v>
      </c>
      <c r="E26" s="5">
        <v>19277</v>
      </c>
      <c r="F26" s="6">
        <v>307.39104200000003</v>
      </c>
      <c r="G26" s="7">
        <v>7.151976E-3</v>
      </c>
      <c r="H26" s="67"/>
    </row>
    <row r="27" spans="1:8" x14ac:dyDescent="0.2">
      <c r="A27" s="3">
        <v>21</v>
      </c>
      <c r="B27" s="4" t="s">
        <v>579</v>
      </c>
      <c r="C27" s="4" t="s">
        <v>580</v>
      </c>
      <c r="D27" s="4" t="s">
        <v>1002</v>
      </c>
      <c r="E27" s="5">
        <v>39000</v>
      </c>
      <c r="F27" s="6">
        <v>279.92250000000001</v>
      </c>
      <c r="G27" s="7">
        <v>6.5128740000000001E-3</v>
      </c>
      <c r="H27" s="67"/>
    </row>
    <row r="28" spans="1:8" x14ac:dyDescent="0.2">
      <c r="A28" s="3">
        <v>22</v>
      </c>
      <c r="B28" s="4" t="s">
        <v>378</v>
      </c>
      <c r="C28" s="4" t="s">
        <v>379</v>
      </c>
      <c r="D28" s="4" t="s">
        <v>81</v>
      </c>
      <c r="E28" s="5">
        <v>59054</v>
      </c>
      <c r="F28" s="6">
        <v>237.544715</v>
      </c>
      <c r="G28" s="7">
        <v>5.5268829999999998E-3</v>
      </c>
      <c r="H28" s="67"/>
    </row>
    <row r="29" spans="1:8" x14ac:dyDescent="0.2">
      <c r="A29" s="3">
        <v>23</v>
      </c>
      <c r="B29" s="4" t="s">
        <v>543</v>
      </c>
      <c r="C29" s="4" t="s">
        <v>544</v>
      </c>
      <c r="D29" s="4" t="s">
        <v>1003</v>
      </c>
      <c r="E29" s="5">
        <v>16200</v>
      </c>
      <c r="F29" s="6">
        <v>193.64670000000001</v>
      </c>
      <c r="G29" s="7">
        <v>4.5055210000000002E-3</v>
      </c>
      <c r="H29" s="67"/>
    </row>
    <row r="30" spans="1:8" x14ac:dyDescent="0.2">
      <c r="A30" s="3">
        <v>24</v>
      </c>
      <c r="B30" s="4" t="s">
        <v>721</v>
      </c>
      <c r="C30" s="4" t="s">
        <v>722</v>
      </c>
      <c r="D30" s="4" t="s">
        <v>81</v>
      </c>
      <c r="E30" s="5">
        <v>184713</v>
      </c>
      <c r="F30" s="6">
        <v>170.7671685</v>
      </c>
      <c r="G30" s="7">
        <v>3.9731890000000002E-3</v>
      </c>
      <c r="H30" s="67"/>
    </row>
    <row r="31" spans="1:8" x14ac:dyDescent="0.2">
      <c r="A31" s="3">
        <v>25</v>
      </c>
      <c r="B31" s="4" t="s">
        <v>348</v>
      </c>
      <c r="C31" s="4" t="s">
        <v>349</v>
      </c>
      <c r="D31" s="4" t="s">
        <v>1003</v>
      </c>
      <c r="E31" s="5">
        <v>15113</v>
      </c>
      <c r="F31" s="6">
        <v>109.055408</v>
      </c>
      <c r="G31" s="7">
        <v>2.5373599999999998E-3</v>
      </c>
      <c r="H31" s="67"/>
    </row>
    <row r="32" spans="1:8" ht="25.5" x14ac:dyDescent="0.2">
      <c r="A32" s="3">
        <v>26</v>
      </c>
      <c r="B32" s="4" t="s">
        <v>723</v>
      </c>
      <c r="C32" s="4" t="s">
        <v>724</v>
      </c>
      <c r="D32" s="4" t="s">
        <v>81</v>
      </c>
      <c r="E32" s="5">
        <v>31804</v>
      </c>
      <c r="F32" s="6">
        <v>50.934106</v>
      </c>
      <c r="G32" s="7">
        <v>1.185069E-3</v>
      </c>
      <c r="H32" s="67"/>
    </row>
    <row r="33" spans="1:8" x14ac:dyDescent="0.2">
      <c r="A33" s="1"/>
      <c r="B33" s="1"/>
      <c r="C33" s="2" t="s">
        <v>105</v>
      </c>
      <c r="D33" s="1"/>
      <c r="E33" s="1" t="s">
        <v>106</v>
      </c>
      <c r="F33" s="9">
        <v>41320.806889500003</v>
      </c>
      <c r="G33" s="10">
        <v>0.96139899500000003</v>
      </c>
      <c r="H33" s="67"/>
    </row>
    <row r="34" spans="1:8" x14ac:dyDescent="0.2">
      <c r="A34" s="1"/>
      <c r="B34" s="1"/>
      <c r="C34" s="11"/>
      <c r="D34" s="1"/>
      <c r="E34" s="1"/>
      <c r="F34" s="12"/>
      <c r="G34" s="12"/>
      <c r="H34" s="67"/>
    </row>
    <row r="35" spans="1:8" x14ac:dyDescent="0.2">
      <c r="A35" s="1"/>
      <c r="B35" s="1"/>
      <c r="C35" s="2" t="s">
        <v>107</v>
      </c>
      <c r="D35" s="1"/>
      <c r="E35" s="1"/>
      <c r="F35" s="1"/>
      <c r="G35" s="1"/>
      <c r="H35" s="67"/>
    </row>
    <row r="36" spans="1:8" x14ac:dyDescent="0.2">
      <c r="A36" s="1"/>
      <c r="B36" s="1"/>
      <c r="C36" s="2" t="s">
        <v>105</v>
      </c>
      <c r="D36" s="1"/>
      <c r="E36" s="1" t="s">
        <v>106</v>
      </c>
      <c r="F36" s="13">
        <v>0</v>
      </c>
      <c r="G36" s="14">
        <v>0</v>
      </c>
      <c r="H36" s="67"/>
    </row>
    <row r="37" spans="1:8" x14ac:dyDescent="0.2">
      <c r="A37" s="1"/>
      <c r="B37" s="1"/>
      <c r="C37" s="11"/>
      <c r="D37" s="1"/>
      <c r="E37" s="1"/>
      <c r="F37" s="12"/>
      <c r="G37" s="12"/>
      <c r="H37" s="67"/>
    </row>
    <row r="38" spans="1:8" x14ac:dyDescent="0.2">
      <c r="A38" s="1"/>
      <c r="B38" s="1"/>
      <c r="C38" s="2" t="s">
        <v>108</v>
      </c>
      <c r="D38" s="1"/>
      <c r="E38" s="1"/>
      <c r="F38" s="1"/>
      <c r="G38" s="1"/>
      <c r="H38" s="67"/>
    </row>
    <row r="39" spans="1:8" x14ac:dyDescent="0.2">
      <c r="A39" s="1"/>
      <c r="B39" s="1"/>
      <c r="C39" s="2" t="s">
        <v>105</v>
      </c>
      <c r="D39" s="1"/>
      <c r="E39" s="1" t="s">
        <v>106</v>
      </c>
      <c r="F39" s="13">
        <v>0</v>
      </c>
      <c r="G39" s="14">
        <v>0</v>
      </c>
      <c r="H39" s="67"/>
    </row>
    <row r="40" spans="1:8" x14ac:dyDescent="0.2">
      <c r="A40" s="1"/>
      <c r="B40" s="1"/>
      <c r="C40" s="11"/>
      <c r="D40" s="1"/>
      <c r="E40" s="1"/>
      <c r="F40" s="12"/>
      <c r="G40" s="12"/>
      <c r="H40" s="67"/>
    </row>
    <row r="41" spans="1:8" x14ac:dyDescent="0.2">
      <c r="A41" s="1"/>
      <c r="B41" s="1"/>
      <c r="C41" s="2" t="s">
        <v>109</v>
      </c>
      <c r="D41" s="1"/>
      <c r="E41" s="1"/>
      <c r="F41" s="1"/>
      <c r="G41" s="1"/>
      <c r="H41" s="67"/>
    </row>
    <row r="42" spans="1:8" x14ac:dyDescent="0.2">
      <c r="A42" s="1"/>
      <c r="B42" s="1"/>
      <c r="C42" s="2" t="s">
        <v>105</v>
      </c>
      <c r="D42" s="1"/>
      <c r="E42" s="1" t="s">
        <v>106</v>
      </c>
      <c r="F42" s="13">
        <v>0</v>
      </c>
      <c r="G42" s="14">
        <v>0</v>
      </c>
      <c r="H42" s="67"/>
    </row>
    <row r="43" spans="1:8" x14ac:dyDescent="0.2">
      <c r="A43" s="1"/>
      <c r="B43" s="1"/>
      <c r="C43" s="11"/>
      <c r="D43" s="1"/>
      <c r="E43" s="1"/>
      <c r="F43" s="12"/>
      <c r="G43" s="12"/>
      <c r="H43" s="67"/>
    </row>
    <row r="44" spans="1:8" x14ac:dyDescent="0.2">
      <c r="A44" s="1"/>
      <c r="B44" s="1"/>
      <c r="C44" s="2" t="s">
        <v>110</v>
      </c>
      <c r="D44" s="1"/>
      <c r="E44" s="1"/>
      <c r="F44" s="12"/>
      <c r="G44" s="12"/>
      <c r="H44" s="67"/>
    </row>
    <row r="45" spans="1:8" x14ac:dyDescent="0.2">
      <c r="A45" s="1"/>
      <c r="B45" s="1"/>
      <c r="C45" s="2" t="s">
        <v>105</v>
      </c>
      <c r="D45" s="1"/>
      <c r="E45" s="1" t="s">
        <v>106</v>
      </c>
      <c r="F45" s="13">
        <v>0</v>
      </c>
      <c r="G45" s="14">
        <v>0</v>
      </c>
      <c r="H45" s="67"/>
    </row>
    <row r="46" spans="1:8" x14ac:dyDescent="0.2">
      <c r="A46" s="1"/>
      <c r="B46" s="1"/>
      <c r="C46" s="11"/>
      <c r="D46" s="1"/>
      <c r="E46" s="1"/>
      <c r="F46" s="12"/>
      <c r="G46" s="12"/>
      <c r="H46" s="67"/>
    </row>
    <row r="47" spans="1:8" x14ac:dyDescent="0.2">
      <c r="A47" s="1"/>
      <c r="B47" s="1"/>
      <c r="C47" s="2" t="s">
        <v>111</v>
      </c>
      <c r="D47" s="1"/>
      <c r="E47" s="1"/>
      <c r="F47" s="12"/>
      <c r="G47" s="12"/>
      <c r="H47" s="67"/>
    </row>
    <row r="48" spans="1:8" x14ac:dyDescent="0.2">
      <c r="A48" s="1"/>
      <c r="B48" s="1"/>
      <c r="C48" s="2" t="s">
        <v>105</v>
      </c>
      <c r="D48" s="1"/>
      <c r="E48" s="1" t="s">
        <v>106</v>
      </c>
      <c r="F48" s="13">
        <v>0</v>
      </c>
      <c r="G48" s="14">
        <v>0</v>
      </c>
      <c r="H48" s="67"/>
    </row>
    <row r="49" spans="1:8" x14ac:dyDescent="0.2">
      <c r="A49" s="1"/>
      <c r="B49" s="1"/>
      <c r="C49" s="11"/>
      <c r="D49" s="1"/>
      <c r="E49" s="1"/>
      <c r="F49" s="12"/>
      <c r="G49" s="12"/>
      <c r="H49" s="67"/>
    </row>
    <row r="50" spans="1:8" x14ac:dyDescent="0.2">
      <c r="A50" s="1"/>
      <c r="B50" s="1"/>
      <c r="C50" s="2" t="s">
        <v>112</v>
      </c>
      <c r="D50" s="1"/>
      <c r="E50" s="1"/>
      <c r="F50" s="9">
        <v>41320.806889500003</v>
      </c>
      <c r="G50" s="10">
        <v>0.96139899500000003</v>
      </c>
      <c r="H50" s="67"/>
    </row>
    <row r="51" spans="1:8" x14ac:dyDescent="0.2">
      <c r="A51" s="1"/>
      <c r="B51" s="1"/>
      <c r="C51" s="11"/>
      <c r="D51" s="1"/>
      <c r="E51" s="1"/>
      <c r="F51" s="12"/>
      <c r="G51" s="12"/>
      <c r="H51" s="67"/>
    </row>
    <row r="52" spans="1:8" x14ac:dyDescent="0.2">
      <c r="A52" s="1"/>
      <c r="B52" s="1"/>
      <c r="C52" s="2" t="s">
        <v>113</v>
      </c>
      <c r="D52" s="1"/>
      <c r="E52" s="1"/>
      <c r="F52" s="12"/>
      <c r="G52" s="12"/>
      <c r="H52" s="67"/>
    </row>
    <row r="53" spans="1:8" ht="25.5" x14ac:dyDescent="0.2">
      <c r="A53" s="1"/>
      <c r="B53" s="1"/>
      <c r="C53" s="2" t="s">
        <v>10</v>
      </c>
      <c r="D53" s="1"/>
      <c r="E53" s="1"/>
      <c r="F53" s="12"/>
      <c r="G53" s="12"/>
      <c r="H53" s="67"/>
    </row>
    <row r="54" spans="1:8" x14ac:dyDescent="0.2">
      <c r="A54" s="1"/>
      <c r="B54" s="1"/>
      <c r="C54" s="2" t="s">
        <v>105</v>
      </c>
      <c r="D54" s="1"/>
      <c r="E54" s="1" t="s">
        <v>106</v>
      </c>
      <c r="F54" s="13">
        <v>0</v>
      </c>
      <c r="G54" s="14">
        <v>0</v>
      </c>
      <c r="H54" s="67"/>
    </row>
    <row r="55" spans="1:8" x14ac:dyDescent="0.2">
      <c r="A55" s="1"/>
      <c r="B55" s="1"/>
      <c r="C55" s="11"/>
      <c r="D55" s="1"/>
      <c r="E55" s="1"/>
      <c r="F55" s="12"/>
      <c r="G55" s="12"/>
      <c r="H55" s="67"/>
    </row>
    <row r="56" spans="1:8" x14ac:dyDescent="0.2">
      <c r="A56" s="1"/>
      <c r="B56" s="1"/>
      <c r="C56" s="2" t="s">
        <v>114</v>
      </c>
      <c r="D56" s="1"/>
      <c r="E56" s="1"/>
      <c r="F56" s="1"/>
      <c r="G56" s="1"/>
      <c r="H56" s="67"/>
    </row>
    <row r="57" spans="1:8" x14ac:dyDescent="0.2">
      <c r="A57" s="1"/>
      <c r="B57" s="1"/>
      <c r="C57" s="2" t="s">
        <v>105</v>
      </c>
      <c r="D57" s="1"/>
      <c r="E57" s="1" t="s">
        <v>106</v>
      </c>
      <c r="F57" s="13">
        <v>0</v>
      </c>
      <c r="G57" s="14">
        <v>0</v>
      </c>
      <c r="H57" s="67"/>
    </row>
    <row r="58" spans="1:8" x14ac:dyDescent="0.2">
      <c r="A58" s="1"/>
      <c r="B58" s="1"/>
      <c r="C58" s="11"/>
      <c r="D58" s="1"/>
      <c r="E58" s="1"/>
      <c r="F58" s="12"/>
      <c r="G58" s="12"/>
      <c r="H58" s="67"/>
    </row>
    <row r="59" spans="1:8" x14ac:dyDescent="0.2">
      <c r="A59" s="1"/>
      <c r="B59" s="1"/>
      <c r="C59" s="2" t="s">
        <v>115</v>
      </c>
      <c r="D59" s="1"/>
      <c r="E59" s="1"/>
      <c r="F59" s="1"/>
      <c r="G59" s="1"/>
      <c r="H59" s="67"/>
    </row>
    <row r="60" spans="1:8" x14ac:dyDescent="0.2">
      <c r="A60" s="1"/>
      <c r="B60" s="1"/>
      <c r="C60" s="2" t="s">
        <v>105</v>
      </c>
      <c r="D60" s="1"/>
      <c r="E60" s="1" t="s">
        <v>106</v>
      </c>
      <c r="F60" s="13">
        <v>0</v>
      </c>
      <c r="G60" s="14">
        <v>0</v>
      </c>
      <c r="H60" s="67"/>
    </row>
    <row r="61" spans="1:8" x14ac:dyDescent="0.2">
      <c r="A61" s="1"/>
      <c r="B61" s="1"/>
      <c r="C61" s="11"/>
      <c r="D61" s="1"/>
      <c r="E61" s="1"/>
      <c r="F61" s="12"/>
      <c r="G61" s="12"/>
      <c r="H61" s="67"/>
    </row>
    <row r="62" spans="1:8" x14ac:dyDescent="0.2">
      <c r="A62" s="1"/>
      <c r="B62" s="1"/>
      <c r="C62" s="2" t="s">
        <v>116</v>
      </c>
      <c r="D62" s="1"/>
      <c r="E62" s="1"/>
      <c r="F62" s="12"/>
      <c r="G62" s="12"/>
      <c r="H62" s="67"/>
    </row>
    <row r="63" spans="1:8" x14ac:dyDescent="0.2">
      <c r="A63" s="1"/>
      <c r="B63" s="1"/>
      <c r="C63" s="2" t="s">
        <v>105</v>
      </c>
      <c r="D63" s="1"/>
      <c r="E63" s="1" t="s">
        <v>106</v>
      </c>
      <c r="F63" s="13">
        <v>0</v>
      </c>
      <c r="G63" s="14">
        <v>0</v>
      </c>
      <c r="H63" s="67"/>
    </row>
    <row r="64" spans="1:8" x14ac:dyDescent="0.2">
      <c r="A64" s="1"/>
      <c r="B64" s="1"/>
      <c r="C64" s="11"/>
      <c r="D64" s="1"/>
      <c r="E64" s="1"/>
      <c r="F64" s="12"/>
      <c r="G64" s="12"/>
      <c r="H64" s="67"/>
    </row>
    <row r="65" spans="1:8" x14ac:dyDescent="0.2">
      <c r="A65" s="1"/>
      <c r="B65" s="1"/>
      <c r="C65" s="2" t="s">
        <v>117</v>
      </c>
      <c r="D65" s="1"/>
      <c r="E65" s="1"/>
      <c r="F65" s="9">
        <v>0</v>
      </c>
      <c r="G65" s="10">
        <v>0</v>
      </c>
      <c r="H65" s="67"/>
    </row>
    <row r="66" spans="1:8" x14ac:dyDescent="0.2">
      <c r="A66" s="1"/>
      <c r="B66" s="1"/>
      <c r="C66" s="11"/>
      <c r="D66" s="1"/>
      <c r="E66" s="1"/>
      <c r="F66" s="12"/>
      <c r="G66" s="12"/>
      <c r="H66" s="67"/>
    </row>
    <row r="67" spans="1:8" x14ac:dyDescent="0.2">
      <c r="A67" s="1"/>
      <c r="B67" s="1"/>
      <c r="C67" s="2" t="s">
        <v>118</v>
      </c>
      <c r="D67" s="1"/>
      <c r="E67" s="1"/>
      <c r="F67" s="12"/>
      <c r="G67" s="12"/>
      <c r="H67" s="67"/>
    </row>
    <row r="68" spans="1:8" x14ac:dyDescent="0.2">
      <c r="A68" s="1"/>
      <c r="B68" s="1"/>
      <c r="C68" s="2" t="s">
        <v>119</v>
      </c>
      <c r="D68" s="1"/>
      <c r="E68" s="1"/>
      <c r="F68" s="12"/>
      <c r="G68" s="12"/>
      <c r="H68" s="67"/>
    </row>
    <row r="69" spans="1:8" x14ac:dyDescent="0.2">
      <c r="A69" s="1"/>
      <c r="B69" s="1"/>
      <c r="C69" s="2" t="s">
        <v>105</v>
      </c>
      <c r="D69" s="1"/>
      <c r="E69" s="1" t="s">
        <v>106</v>
      </c>
      <c r="F69" s="13">
        <v>0</v>
      </c>
      <c r="G69" s="14">
        <v>0</v>
      </c>
      <c r="H69" s="67"/>
    </row>
    <row r="70" spans="1:8" x14ac:dyDescent="0.2">
      <c r="A70" s="1"/>
      <c r="B70" s="1"/>
      <c r="C70" s="11"/>
      <c r="D70" s="1"/>
      <c r="E70" s="1"/>
      <c r="F70" s="12"/>
      <c r="G70" s="12"/>
      <c r="H70" s="67"/>
    </row>
    <row r="71" spans="1:8" x14ac:dyDescent="0.2">
      <c r="A71" s="1"/>
      <c r="B71" s="1"/>
      <c r="C71" s="2" t="s">
        <v>120</v>
      </c>
      <c r="D71" s="1"/>
      <c r="E71" s="1"/>
      <c r="F71" s="12"/>
      <c r="G71" s="12"/>
      <c r="H71" s="67"/>
    </row>
    <row r="72" spans="1:8" x14ac:dyDescent="0.2">
      <c r="A72" s="1"/>
      <c r="B72" s="1"/>
      <c r="C72" s="2" t="s">
        <v>105</v>
      </c>
      <c r="D72" s="1"/>
      <c r="E72" s="1" t="s">
        <v>106</v>
      </c>
      <c r="F72" s="13">
        <v>0</v>
      </c>
      <c r="G72" s="14">
        <v>0</v>
      </c>
      <c r="H72" s="67"/>
    </row>
    <row r="73" spans="1:8" x14ac:dyDescent="0.2">
      <c r="A73" s="1"/>
      <c r="B73" s="1"/>
      <c r="C73" s="11"/>
      <c r="D73" s="1"/>
      <c r="E73" s="1"/>
      <c r="F73" s="12"/>
      <c r="G73" s="12"/>
      <c r="H73" s="67"/>
    </row>
    <row r="74" spans="1:8" x14ac:dyDescent="0.2">
      <c r="A74" s="1"/>
      <c r="B74" s="1"/>
      <c r="C74" s="2" t="s">
        <v>121</v>
      </c>
      <c r="D74" s="1"/>
      <c r="E74" s="1"/>
      <c r="F74" s="12"/>
      <c r="G74" s="12"/>
      <c r="H74" s="67"/>
    </row>
    <row r="75" spans="1:8" x14ac:dyDescent="0.2">
      <c r="A75" s="1"/>
      <c r="B75" s="1"/>
      <c r="C75" s="2" t="s">
        <v>105</v>
      </c>
      <c r="D75" s="1"/>
      <c r="E75" s="1" t="s">
        <v>106</v>
      </c>
      <c r="F75" s="13">
        <v>0</v>
      </c>
      <c r="G75" s="14">
        <v>0</v>
      </c>
      <c r="H75" s="67"/>
    </row>
    <row r="76" spans="1:8" x14ac:dyDescent="0.2">
      <c r="A76" s="1"/>
      <c r="B76" s="1"/>
      <c r="C76" s="11"/>
      <c r="D76" s="1"/>
      <c r="E76" s="1"/>
      <c r="F76" s="12"/>
      <c r="G76" s="12"/>
      <c r="H76" s="67"/>
    </row>
    <row r="77" spans="1:8" x14ac:dyDescent="0.2">
      <c r="A77" s="1"/>
      <c r="B77" s="1"/>
      <c r="C77" s="2" t="s">
        <v>122</v>
      </c>
      <c r="D77" s="1"/>
      <c r="E77" s="1"/>
      <c r="F77" s="12"/>
      <c r="G77" s="12"/>
      <c r="H77" s="67"/>
    </row>
    <row r="78" spans="1:8" x14ac:dyDescent="0.2">
      <c r="A78" s="3">
        <v>1</v>
      </c>
      <c r="B78" s="4"/>
      <c r="C78" s="4" t="s">
        <v>123</v>
      </c>
      <c r="D78" s="4"/>
      <c r="E78" s="8"/>
      <c r="F78" s="6">
        <v>1641.5942637000001</v>
      </c>
      <c r="G78" s="7">
        <v>3.8194487999999999E-2</v>
      </c>
      <c r="H78" s="67">
        <v>3.1047477660654299</v>
      </c>
    </row>
    <row r="79" spans="1:8" x14ac:dyDescent="0.2">
      <c r="A79" s="1"/>
      <c r="B79" s="1"/>
      <c r="C79" s="2" t="s">
        <v>105</v>
      </c>
      <c r="D79" s="1"/>
      <c r="E79" s="1" t="s">
        <v>106</v>
      </c>
      <c r="F79" s="9">
        <v>1641.5942637000001</v>
      </c>
      <c r="G79" s="10">
        <v>3.8194487999999999E-2</v>
      </c>
      <c r="H79" s="67"/>
    </row>
    <row r="80" spans="1:8" x14ac:dyDescent="0.2">
      <c r="A80" s="1"/>
      <c r="B80" s="1"/>
      <c r="C80" s="11"/>
      <c r="D80" s="1"/>
      <c r="E80" s="1"/>
      <c r="F80" s="12"/>
      <c r="G80" s="12"/>
      <c r="H80" s="67"/>
    </row>
    <row r="81" spans="1:8" x14ac:dyDescent="0.2">
      <c r="A81" s="1"/>
      <c r="B81" s="1"/>
      <c r="C81" s="2" t="s">
        <v>124</v>
      </c>
      <c r="D81" s="1"/>
      <c r="E81" s="1"/>
      <c r="F81" s="9">
        <v>1641.5942637000001</v>
      </c>
      <c r="G81" s="10">
        <v>3.8194487999999999E-2</v>
      </c>
      <c r="H81" s="67"/>
    </row>
    <row r="82" spans="1:8" x14ac:dyDescent="0.2">
      <c r="A82" s="1"/>
      <c r="B82" s="1"/>
      <c r="C82" s="12"/>
      <c r="D82" s="1"/>
      <c r="E82" s="1"/>
      <c r="F82" s="1"/>
      <c r="G82" s="1"/>
      <c r="H82" s="67"/>
    </row>
    <row r="83" spans="1:8" x14ac:dyDescent="0.2">
      <c r="A83" s="1"/>
      <c r="B83" s="1"/>
      <c r="C83" s="2" t="s">
        <v>125</v>
      </c>
      <c r="D83" s="1"/>
      <c r="E83" s="1"/>
      <c r="F83" s="1"/>
      <c r="G83" s="1"/>
      <c r="H83" s="67"/>
    </row>
    <row r="84" spans="1:8" x14ac:dyDescent="0.2">
      <c r="A84" s="1"/>
      <c r="B84" s="1"/>
      <c r="C84" s="2" t="s">
        <v>126</v>
      </c>
      <c r="D84" s="1"/>
      <c r="E84" s="1"/>
      <c r="F84" s="1"/>
      <c r="G84" s="1"/>
      <c r="H84" s="67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7"/>
    </row>
    <row r="86" spans="1:8" x14ac:dyDescent="0.2">
      <c r="A86" s="1"/>
      <c r="B86" s="1"/>
      <c r="C86" s="11"/>
      <c r="D86" s="1"/>
      <c r="E86" s="1"/>
      <c r="F86" s="12"/>
      <c r="G86" s="12"/>
      <c r="H86" s="67"/>
    </row>
    <row r="87" spans="1:8" x14ac:dyDescent="0.2">
      <c r="A87" s="1"/>
      <c r="B87" s="1"/>
      <c r="C87" s="2" t="s">
        <v>127</v>
      </c>
      <c r="D87" s="1"/>
      <c r="E87" s="1"/>
      <c r="F87" s="1"/>
      <c r="G87" s="1"/>
      <c r="H87" s="67"/>
    </row>
    <row r="88" spans="1:8" x14ac:dyDescent="0.2">
      <c r="A88" s="1"/>
      <c r="B88" s="1"/>
      <c r="C88" s="2" t="s">
        <v>128</v>
      </c>
      <c r="D88" s="1"/>
      <c r="E88" s="1"/>
      <c r="F88" s="1"/>
      <c r="G88" s="1"/>
      <c r="H88" s="67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">
        <v>0</v>
      </c>
      <c r="H89" s="67"/>
    </row>
    <row r="90" spans="1:8" x14ac:dyDescent="0.2">
      <c r="A90" s="1"/>
      <c r="B90" s="1"/>
      <c r="C90" s="11"/>
      <c r="D90" s="1"/>
      <c r="E90" s="1"/>
      <c r="F90" s="12"/>
      <c r="G90" s="12"/>
      <c r="H90" s="67"/>
    </row>
    <row r="91" spans="1:8" x14ac:dyDescent="0.2">
      <c r="A91" s="1"/>
      <c r="B91" s="1"/>
      <c r="C91" s="11"/>
      <c r="D91" s="1"/>
      <c r="E91" s="1"/>
      <c r="F91" s="12"/>
      <c r="G91" s="12"/>
      <c r="H91" s="67"/>
    </row>
    <row r="92" spans="1:8" ht="25.5" x14ac:dyDescent="0.2">
      <c r="A92" s="1"/>
      <c r="B92" s="1"/>
      <c r="C92" s="2" t="s">
        <v>129</v>
      </c>
      <c r="D92" s="1"/>
      <c r="E92" s="1"/>
      <c r="F92" s="12"/>
      <c r="G92" s="12"/>
      <c r="H92" s="67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7"/>
    </row>
    <row r="94" spans="1:8" x14ac:dyDescent="0.2">
      <c r="A94" s="1"/>
      <c r="B94" s="1"/>
      <c r="C94" s="11"/>
      <c r="D94" s="1"/>
      <c r="E94" s="1"/>
      <c r="F94" s="12"/>
      <c r="G94" s="12"/>
      <c r="H94" s="67"/>
    </row>
    <row r="95" spans="1:8" x14ac:dyDescent="0.2">
      <c r="A95" s="1"/>
      <c r="B95" s="4"/>
      <c r="C95" s="4"/>
      <c r="D95" s="2"/>
      <c r="E95" s="1"/>
      <c r="F95" s="4"/>
      <c r="G95" s="8"/>
      <c r="H95" s="67"/>
    </row>
    <row r="96" spans="1:8" x14ac:dyDescent="0.2">
      <c r="A96" s="8"/>
      <c r="B96" s="4"/>
      <c r="C96" s="4" t="s">
        <v>130</v>
      </c>
      <c r="D96" s="4"/>
      <c r="E96" s="8"/>
      <c r="F96" s="6">
        <v>17.472004290000001</v>
      </c>
      <c r="G96" s="7">
        <v>4.06516E-4</v>
      </c>
      <c r="H96" s="67"/>
    </row>
    <row r="97" spans="1:8" x14ac:dyDescent="0.2">
      <c r="A97" s="11"/>
      <c r="B97" s="11"/>
      <c r="C97" s="2" t="s">
        <v>131</v>
      </c>
      <c r="D97" s="15"/>
      <c r="E97" s="15"/>
      <c r="F97" s="9">
        <v>42979.873157490001</v>
      </c>
      <c r="G97" s="10">
        <v>0.99999999900000003</v>
      </c>
      <c r="H97" s="67"/>
    </row>
    <row r="98" spans="1:8" ht="14.1" customHeight="1" x14ac:dyDescent="0.2">
      <c r="A98" s="16"/>
      <c r="B98" s="16"/>
      <c r="C98" s="16"/>
      <c r="D98" s="17"/>
      <c r="E98" s="17"/>
      <c r="F98" s="17"/>
      <c r="G98" s="17"/>
    </row>
    <row r="99" spans="1:8" ht="14.1" customHeight="1" x14ac:dyDescent="0.2">
      <c r="A99" s="18"/>
      <c r="B99" s="170" t="s">
        <v>106</v>
      </c>
      <c r="C99" s="170"/>
      <c r="D99" s="170"/>
      <c r="E99" s="170"/>
      <c r="F99" s="170"/>
      <c r="G99" s="20"/>
    </row>
    <row r="100" spans="1:8" ht="14.1" customHeight="1" x14ac:dyDescent="0.2">
      <c r="A100" s="18"/>
      <c r="B100" s="170" t="s">
        <v>106</v>
      </c>
      <c r="C100" s="170"/>
      <c r="D100" s="170"/>
      <c r="E100" s="170"/>
      <c r="F100" s="170"/>
      <c r="G100" s="20"/>
    </row>
    <row r="101" spans="1:8" ht="14.1" customHeight="1" x14ac:dyDescent="0.2">
      <c r="A101" s="18"/>
      <c r="B101" s="18"/>
      <c r="C101" s="18"/>
      <c r="D101" s="20"/>
      <c r="E101" s="20"/>
      <c r="F101" s="20"/>
      <c r="G101" s="20"/>
    </row>
    <row r="102" spans="1:8" ht="14.1" customHeight="1" x14ac:dyDescent="0.2">
      <c r="A102" s="18"/>
      <c r="B102" s="168" t="s">
        <v>133</v>
      </c>
      <c r="C102" s="169"/>
      <c r="D102" s="12" t="s">
        <v>106</v>
      </c>
      <c r="E102" s="21"/>
      <c r="F102" s="20"/>
      <c r="G102" s="20"/>
    </row>
    <row r="103" spans="1:8" ht="29.1" customHeight="1" x14ac:dyDescent="0.2">
      <c r="A103" s="18"/>
      <c r="B103" s="165" t="s">
        <v>134</v>
      </c>
      <c r="C103" s="166"/>
      <c r="D103" s="2" t="s">
        <v>135</v>
      </c>
      <c r="E103" s="21"/>
      <c r="F103" s="20"/>
      <c r="G103" s="20"/>
    </row>
    <row r="104" spans="1:8" ht="17.100000000000001" customHeight="1" x14ac:dyDescent="0.2">
      <c r="A104" s="18"/>
      <c r="B104" s="165" t="s">
        <v>136</v>
      </c>
      <c r="C104" s="166"/>
      <c r="D104" s="2" t="s">
        <v>135</v>
      </c>
      <c r="E104" s="21"/>
      <c r="F104" s="20"/>
      <c r="G104" s="20"/>
    </row>
    <row r="105" spans="1:8" ht="17.100000000000001" customHeight="1" x14ac:dyDescent="0.2">
      <c r="A105" s="18"/>
      <c r="B105" s="165" t="s">
        <v>137</v>
      </c>
      <c r="C105" s="166"/>
      <c r="D105" s="12" t="s">
        <v>106</v>
      </c>
      <c r="E105" s="21"/>
      <c r="F105" s="20"/>
      <c r="G105" s="20"/>
    </row>
    <row r="106" spans="1:8" ht="24" customHeight="1" x14ac:dyDescent="0.2">
      <c r="A106" s="22"/>
      <c r="B106" s="23" t="s">
        <v>106</v>
      </c>
      <c r="C106" s="23" t="s">
        <v>138</v>
      </c>
      <c r="D106" s="23" t="s">
        <v>139</v>
      </c>
      <c r="E106" s="22"/>
      <c r="F106" s="22"/>
      <c r="G106" s="22"/>
    </row>
    <row r="107" spans="1:8" ht="18" customHeight="1" x14ac:dyDescent="0.2">
      <c r="A107" s="22"/>
      <c r="B107" s="23" t="s">
        <v>140</v>
      </c>
      <c r="C107" s="23" t="s">
        <v>141</v>
      </c>
      <c r="D107" s="23" t="s">
        <v>142</v>
      </c>
      <c r="E107" s="22"/>
      <c r="F107" s="22"/>
      <c r="G107" s="22"/>
    </row>
    <row r="108" spans="1:8" ht="17.100000000000001" customHeight="1" x14ac:dyDescent="0.2">
      <c r="A108" s="22"/>
      <c r="B108" s="4" t="s">
        <v>143</v>
      </c>
      <c r="C108" s="24">
        <v>60.103400000000001</v>
      </c>
      <c r="D108" s="24">
        <v>63.724699999999999</v>
      </c>
      <c r="E108" s="22"/>
      <c r="F108" s="19"/>
      <c r="G108" s="25"/>
    </row>
    <row r="109" spans="1:8" ht="17.100000000000001" customHeight="1" x14ac:dyDescent="0.2">
      <c r="A109" s="22"/>
      <c r="B109" s="4" t="s">
        <v>988</v>
      </c>
      <c r="C109" s="24">
        <v>23.604900000000001</v>
      </c>
      <c r="D109" s="24">
        <v>25.027100000000001</v>
      </c>
      <c r="E109" s="22"/>
      <c r="F109" s="19"/>
      <c r="G109" s="25"/>
    </row>
    <row r="110" spans="1:8" ht="29.1" customHeight="1" x14ac:dyDescent="0.2">
      <c r="A110" s="22"/>
      <c r="B110" s="4" t="s">
        <v>396</v>
      </c>
      <c r="C110" s="24">
        <v>61.797499999999999</v>
      </c>
      <c r="D110" s="24">
        <v>65.520700000000005</v>
      </c>
      <c r="E110" s="22"/>
      <c r="F110" s="19"/>
      <c r="G110" s="25"/>
    </row>
    <row r="111" spans="1:8" ht="29.1" customHeight="1" x14ac:dyDescent="0.2">
      <c r="A111" s="22"/>
      <c r="B111" s="4" t="s">
        <v>991</v>
      </c>
      <c r="C111" s="24">
        <v>24.022600000000001</v>
      </c>
      <c r="D111" s="24">
        <v>25.4697</v>
      </c>
      <c r="E111" s="22"/>
      <c r="F111" s="19"/>
      <c r="G111" s="25"/>
    </row>
    <row r="112" spans="1:8" ht="17.100000000000001" customHeight="1" x14ac:dyDescent="0.2">
      <c r="A112" s="22"/>
      <c r="B112" s="4" t="s">
        <v>144</v>
      </c>
      <c r="C112" s="24">
        <v>56.3645</v>
      </c>
      <c r="D112" s="24">
        <v>59.689300000000003</v>
      </c>
      <c r="E112" s="22"/>
      <c r="F112" s="19"/>
      <c r="G112" s="25"/>
    </row>
    <row r="113" spans="1:7" ht="17.100000000000001" customHeight="1" x14ac:dyDescent="0.2">
      <c r="A113" s="22"/>
      <c r="B113" s="4" t="s">
        <v>989</v>
      </c>
      <c r="C113" s="24">
        <v>21.776399999999999</v>
      </c>
      <c r="D113" s="24">
        <v>23.061</v>
      </c>
      <c r="E113" s="22"/>
      <c r="F113" s="19"/>
      <c r="G113" s="25"/>
    </row>
    <row r="114" spans="1:7" ht="14.1" customHeight="1" x14ac:dyDescent="0.2">
      <c r="A114" s="22"/>
      <c r="B114" s="22"/>
      <c r="C114" s="22"/>
      <c r="D114" s="22"/>
      <c r="E114" s="22"/>
      <c r="F114" s="22"/>
      <c r="G114" s="22"/>
    </row>
    <row r="115" spans="1:7" ht="17.100000000000001" customHeight="1" x14ac:dyDescent="0.2">
      <c r="A115" s="22"/>
      <c r="B115" s="165" t="s">
        <v>990</v>
      </c>
      <c r="C115" s="166"/>
      <c r="D115" s="2" t="s">
        <v>135</v>
      </c>
      <c r="E115" s="22"/>
      <c r="F115" s="22"/>
      <c r="G115" s="22"/>
    </row>
    <row r="116" spans="1:7" ht="18" customHeight="1" x14ac:dyDescent="0.2">
      <c r="A116" s="22"/>
      <c r="B116" s="26" t="s">
        <v>145</v>
      </c>
      <c r="C116" s="26" t="s">
        <v>145</v>
      </c>
      <c r="D116" s="26"/>
      <c r="E116" s="22"/>
      <c r="F116" s="22"/>
      <c r="G116" s="22"/>
    </row>
    <row r="117" spans="1:7" s="158" customFormat="1" x14ac:dyDescent="0.2">
      <c r="B117" s="167" t="s">
        <v>822</v>
      </c>
      <c r="C117" s="167"/>
      <c r="D117" s="167"/>
      <c r="E117" s="167"/>
      <c r="F117" s="167"/>
    </row>
    <row r="118" spans="1:7" ht="14.1" customHeight="1" x14ac:dyDescent="0.2">
      <c r="A118" s="22"/>
      <c r="B118" s="19"/>
      <c r="C118" s="19"/>
      <c r="D118" s="22"/>
      <c r="E118" s="22"/>
      <c r="F118" s="22"/>
      <c r="G118" s="22"/>
    </row>
    <row r="119" spans="1:7" ht="29.1" customHeight="1" x14ac:dyDescent="0.2">
      <c r="A119" s="22"/>
      <c r="B119" s="165" t="s">
        <v>146</v>
      </c>
      <c r="C119" s="166"/>
      <c r="D119" s="2" t="s">
        <v>135</v>
      </c>
      <c r="E119" s="22"/>
      <c r="F119" s="22"/>
      <c r="G119" s="22"/>
    </row>
    <row r="120" spans="1:7" ht="29.1" customHeight="1" x14ac:dyDescent="0.2">
      <c r="A120" s="22"/>
      <c r="B120" s="165" t="s">
        <v>147</v>
      </c>
      <c r="C120" s="166"/>
      <c r="D120" s="2" t="s">
        <v>135</v>
      </c>
      <c r="E120" s="22"/>
      <c r="F120" s="22"/>
      <c r="G120" s="22"/>
    </row>
    <row r="121" spans="1:7" ht="17.100000000000001" customHeight="1" x14ac:dyDescent="0.2">
      <c r="A121" s="22"/>
      <c r="B121" s="165" t="s">
        <v>148</v>
      </c>
      <c r="C121" s="166"/>
      <c r="D121" s="27">
        <v>0.22457292838420254</v>
      </c>
      <c r="E121" s="22"/>
      <c r="F121" s="19"/>
      <c r="G121" s="25"/>
    </row>
    <row r="122" spans="1:7" ht="17.100000000000001" customHeight="1" x14ac:dyDescent="0.2">
      <c r="A122" s="22"/>
      <c r="B122" s="165" t="s">
        <v>149</v>
      </c>
      <c r="C122" s="166"/>
      <c r="D122" s="2" t="s">
        <v>135</v>
      </c>
      <c r="E122" s="22"/>
      <c r="F122" s="22"/>
      <c r="G122" s="22"/>
    </row>
  </sheetData>
  <mergeCells count="15">
    <mergeCell ref="B102:C102"/>
    <mergeCell ref="B99:F99"/>
    <mergeCell ref="B100:F100"/>
    <mergeCell ref="A1:H1"/>
    <mergeCell ref="A2:H2"/>
    <mergeCell ref="A3:H3"/>
    <mergeCell ref="B121:C121"/>
    <mergeCell ref="B122:C122"/>
    <mergeCell ref="B103:C103"/>
    <mergeCell ref="B104:C104"/>
    <mergeCell ref="B105:C105"/>
    <mergeCell ref="B115:C115"/>
    <mergeCell ref="B119:C119"/>
    <mergeCell ref="B120:C120"/>
    <mergeCell ref="B117:F117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H13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725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22</v>
      </c>
      <c r="C7" s="4" t="s">
        <v>23</v>
      </c>
      <c r="D7" s="4" t="s">
        <v>24</v>
      </c>
      <c r="E7" s="5">
        <v>102145</v>
      </c>
      <c r="F7" s="6">
        <v>734.47362250000003</v>
      </c>
      <c r="G7" s="7">
        <v>8.1633844999999997E-2</v>
      </c>
      <c r="H7" s="67"/>
    </row>
    <row r="8" spans="1:8" x14ac:dyDescent="0.2">
      <c r="A8" s="3">
        <v>2</v>
      </c>
      <c r="B8" s="4" t="s">
        <v>404</v>
      </c>
      <c r="C8" s="4" t="s">
        <v>405</v>
      </c>
      <c r="D8" s="4" t="s">
        <v>24</v>
      </c>
      <c r="E8" s="5">
        <v>150297</v>
      </c>
      <c r="F8" s="6">
        <v>640.34036849999995</v>
      </c>
      <c r="G8" s="7">
        <v>7.1171306000000004E-2</v>
      </c>
      <c r="H8" s="67"/>
    </row>
    <row r="9" spans="1:8" x14ac:dyDescent="0.2">
      <c r="A9" s="3">
        <v>3</v>
      </c>
      <c r="B9" s="4" t="s">
        <v>354</v>
      </c>
      <c r="C9" s="4" t="s">
        <v>355</v>
      </c>
      <c r="D9" s="4" t="s">
        <v>24</v>
      </c>
      <c r="E9" s="5">
        <v>68473</v>
      </c>
      <c r="F9" s="6">
        <v>538.54014500000005</v>
      </c>
      <c r="G9" s="7">
        <v>5.9856611999999997E-2</v>
      </c>
      <c r="H9" s="67"/>
    </row>
    <row r="10" spans="1:8" x14ac:dyDescent="0.2">
      <c r="A10" s="3">
        <v>4</v>
      </c>
      <c r="B10" s="4" t="s">
        <v>11</v>
      </c>
      <c r="C10" s="4" t="s">
        <v>12</v>
      </c>
      <c r="D10" s="4" t="s">
        <v>13</v>
      </c>
      <c r="E10" s="5">
        <v>28039</v>
      </c>
      <c r="F10" s="6">
        <v>468.86815799999999</v>
      </c>
      <c r="G10" s="7">
        <v>5.2112845999999997E-2</v>
      </c>
      <c r="H10" s="67"/>
    </row>
    <row r="11" spans="1:8" ht="25.5" x14ac:dyDescent="0.2">
      <c r="A11" s="3">
        <v>5</v>
      </c>
      <c r="B11" s="4" t="s">
        <v>402</v>
      </c>
      <c r="C11" s="4" t="s">
        <v>403</v>
      </c>
      <c r="D11" s="4" t="s">
        <v>81</v>
      </c>
      <c r="E11" s="5">
        <v>16320</v>
      </c>
      <c r="F11" s="6">
        <v>456.71519999999998</v>
      </c>
      <c r="G11" s="7">
        <v>5.0762093000000001E-2</v>
      </c>
      <c r="H11" s="67"/>
    </row>
    <row r="12" spans="1:8" x14ac:dyDescent="0.2">
      <c r="A12" s="3">
        <v>6</v>
      </c>
      <c r="B12" s="4" t="s">
        <v>17</v>
      </c>
      <c r="C12" s="4" t="s">
        <v>18</v>
      </c>
      <c r="D12" s="4" t="s">
        <v>19</v>
      </c>
      <c r="E12" s="5">
        <v>66285</v>
      </c>
      <c r="F12" s="6">
        <v>440.16554250000002</v>
      </c>
      <c r="G12" s="7">
        <v>4.8922662999999998E-2</v>
      </c>
      <c r="H12" s="67"/>
    </row>
    <row r="13" spans="1:8" x14ac:dyDescent="0.2">
      <c r="A13" s="3">
        <v>7</v>
      </c>
      <c r="B13" s="4" t="s">
        <v>42</v>
      </c>
      <c r="C13" s="4" t="s">
        <v>43</v>
      </c>
      <c r="D13" s="4" t="s">
        <v>16</v>
      </c>
      <c r="E13" s="5">
        <v>64450</v>
      </c>
      <c r="F13" s="6">
        <v>303.97842500000002</v>
      </c>
      <c r="G13" s="7">
        <v>3.3786003000000002E-2</v>
      </c>
      <c r="H13" s="67"/>
    </row>
    <row r="14" spans="1:8" x14ac:dyDescent="0.2">
      <c r="A14" s="3">
        <v>8</v>
      </c>
      <c r="B14" s="4" t="s">
        <v>253</v>
      </c>
      <c r="C14" s="4" t="s">
        <v>254</v>
      </c>
      <c r="D14" s="4" t="s">
        <v>49</v>
      </c>
      <c r="E14" s="5">
        <v>27548</v>
      </c>
      <c r="F14" s="6">
        <v>290.35592000000003</v>
      </c>
      <c r="G14" s="7">
        <v>3.2271914999999998E-2</v>
      </c>
      <c r="H14" s="67"/>
    </row>
    <row r="15" spans="1:8" x14ac:dyDescent="0.2">
      <c r="A15" s="3">
        <v>9</v>
      </c>
      <c r="B15" s="4" t="s">
        <v>356</v>
      </c>
      <c r="C15" s="4" t="s">
        <v>357</v>
      </c>
      <c r="D15" s="4" t="s">
        <v>24</v>
      </c>
      <c r="E15" s="5">
        <v>367875</v>
      </c>
      <c r="F15" s="6">
        <v>284.55131249999999</v>
      </c>
      <c r="G15" s="7">
        <v>3.1626755999999999E-2</v>
      </c>
      <c r="H15" s="67"/>
    </row>
    <row r="16" spans="1:8" x14ac:dyDescent="0.2">
      <c r="A16" s="3">
        <v>10</v>
      </c>
      <c r="B16" s="4" t="s">
        <v>58</v>
      </c>
      <c r="C16" s="4" t="s">
        <v>59</v>
      </c>
      <c r="D16" s="4" t="s">
        <v>60</v>
      </c>
      <c r="E16" s="5">
        <v>191369</v>
      </c>
      <c r="F16" s="6">
        <v>279.68579349999999</v>
      </c>
      <c r="G16" s="7">
        <v>3.1085972999999999E-2</v>
      </c>
      <c r="H16" s="67"/>
    </row>
    <row r="17" spans="1:8" ht="25.5" x14ac:dyDescent="0.2">
      <c r="A17" s="3">
        <v>11</v>
      </c>
      <c r="B17" s="4" t="s">
        <v>429</v>
      </c>
      <c r="C17" s="4" t="s">
        <v>430</v>
      </c>
      <c r="D17" s="4" t="s">
        <v>52</v>
      </c>
      <c r="E17" s="5">
        <v>126780</v>
      </c>
      <c r="F17" s="6">
        <v>267.88614000000001</v>
      </c>
      <c r="G17" s="7">
        <v>2.9774488000000002E-2</v>
      </c>
      <c r="H17" s="67"/>
    </row>
    <row r="18" spans="1:8" x14ac:dyDescent="0.2">
      <c r="A18" s="3">
        <v>12</v>
      </c>
      <c r="B18" s="4" t="s">
        <v>643</v>
      </c>
      <c r="C18" s="4" t="s">
        <v>644</v>
      </c>
      <c r="D18" s="4" t="s">
        <v>16</v>
      </c>
      <c r="E18" s="5">
        <v>236958</v>
      </c>
      <c r="F18" s="6">
        <v>262.66794299999998</v>
      </c>
      <c r="G18" s="7">
        <v>2.9194505999999999E-2</v>
      </c>
      <c r="H18" s="67"/>
    </row>
    <row r="19" spans="1:8" x14ac:dyDescent="0.2">
      <c r="A19" s="3">
        <v>13</v>
      </c>
      <c r="B19" s="4" t="s">
        <v>338</v>
      </c>
      <c r="C19" s="4" t="s">
        <v>339</v>
      </c>
      <c r="D19" s="4" t="s">
        <v>24</v>
      </c>
      <c r="E19" s="5">
        <v>289203</v>
      </c>
      <c r="F19" s="6">
        <v>234.97743750000001</v>
      </c>
      <c r="G19" s="7">
        <v>2.6116815000000002E-2</v>
      </c>
      <c r="H19" s="67"/>
    </row>
    <row r="20" spans="1:8" ht="25.5" x14ac:dyDescent="0.2">
      <c r="A20" s="3">
        <v>14</v>
      </c>
      <c r="B20" s="4" t="s">
        <v>65</v>
      </c>
      <c r="C20" s="4" t="s">
        <v>66</v>
      </c>
      <c r="D20" s="4" t="s">
        <v>36</v>
      </c>
      <c r="E20" s="5">
        <v>29885</v>
      </c>
      <c r="F20" s="6">
        <v>217.60762750000001</v>
      </c>
      <c r="G20" s="7">
        <v>2.4186229E-2</v>
      </c>
      <c r="H20" s="67"/>
    </row>
    <row r="21" spans="1:8" x14ac:dyDescent="0.2">
      <c r="A21" s="3">
        <v>15</v>
      </c>
      <c r="B21" s="4" t="s">
        <v>350</v>
      </c>
      <c r="C21" s="4" t="s">
        <v>351</v>
      </c>
      <c r="D21" s="4" t="s">
        <v>46</v>
      </c>
      <c r="E21" s="5">
        <v>30688</v>
      </c>
      <c r="F21" s="6">
        <v>208.54030399999999</v>
      </c>
      <c r="G21" s="7">
        <v>2.3178431999999999E-2</v>
      </c>
      <c r="H21" s="67"/>
    </row>
    <row r="22" spans="1:8" ht="25.5" x14ac:dyDescent="0.2">
      <c r="A22" s="3">
        <v>16</v>
      </c>
      <c r="B22" s="4" t="s">
        <v>723</v>
      </c>
      <c r="C22" s="4" t="s">
        <v>724</v>
      </c>
      <c r="D22" s="4" t="s">
        <v>81</v>
      </c>
      <c r="E22" s="5">
        <v>130130</v>
      </c>
      <c r="F22" s="6">
        <v>208.40319500000001</v>
      </c>
      <c r="G22" s="7">
        <v>2.3163192999999999E-2</v>
      </c>
      <c r="H22" s="67"/>
    </row>
    <row r="23" spans="1:8" x14ac:dyDescent="0.2">
      <c r="A23" s="3">
        <v>17</v>
      </c>
      <c r="B23" s="4" t="s">
        <v>418</v>
      </c>
      <c r="C23" s="4" t="s">
        <v>419</v>
      </c>
      <c r="D23" s="4" t="s">
        <v>49</v>
      </c>
      <c r="E23" s="5">
        <v>13719</v>
      </c>
      <c r="F23" s="6">
        <v>198.95979750000001</v>
      </c>
      <c r="G23" s="7">
        <v>2.2113596999999999E-2</v>
      </c>
      <c r="H23" s="67"/>
    </row>
    <row r="24" spans="1:8" x14ac:dyDescent="0.2">
      <c r="A24" s="3">
        <v>18</v>
      </c>
      <c r="B24" s="4" t="s">
        <v>410</v>
      </c>
      <c r="C24" s="4" t="s">
        <v>411</v>
      </c>
      <c r="D24" s="4" t="s">
        <v>153</v>
      </c>
      <c r="E24" s="5">
        <v>33264</v>
      </c>
      <c r="F24" s="6">
        <v>191.65053599999999</v>
      </c>
      <c r="G24" s="7">
        <v>2.1301200999999999E-2</v>
      </c>
      <c r="H24" s="67"/>
    </row>
    <row r="25" spans="1:8" x14ac:dyDescent="0.2">
      <c r="A25" s="3">
        <v>19</v>
      </c>
      <c r="B25" s="4" t="s">
        <v>394</v>
      </c>
      <c r="C25" s="4" t="s">
        <v>395</v>
      </c>
      <c r="D25" s="4" t="s">
        <v>331</v>
      </c>
      <c r="E25" s="5">
        <v>83497</v>
      </c>
      <c r="F25" s="6">
        <v>173.75725700000001</v>
      </c>
      <c r="G25" s="7">
        <v>1.9312434E-2</v>
      </c>
      <c r="H25" s="67"/>
    </row>
    <row r="26" spans="1:8" x14ac:dyDescent="0.2">
      <c r="A26" s="3">
        <v>20</v>
      </c>
      <c r="B26" s="4" t="s">
        <v>726</v>
      </c>
      <c r="C26" s="4" t="s">
        <v>727</v>
      </c>
      <c r="D26" s="4" t="s">
        <v>184</v>
      </c>
      <c r="E26" s="5">
        <v>8727</v>
      </c>
      <c r="F26" s="6">
        <v>160.76006699999999</v>
      </c>
      <c r="G26" s="7">
        <v>1.7867846999999999E-2</v>
      </c>
      <c r="H26" s="67"/>
    </row>
    <row r="27" spans="1:8" x14ac:dyDescent="0.2">
      <c r="A27" s="3">
        <v>21</v>
      </c>
      <c r="B27" s="4" t="s">
        <v>416</v>
      </c>
      <c r="C27" s="4" t="s">
        <v>417</v>
      </c>
      <c r="D27" s="4" t="s">
        <v>187</v>
      </c>
      <c r="E27" s="5">
        <v>17601</v>
      </c>
      <c r="F27" s="6">
        <v>139.7607405</v>
      </c>
      <c r="G27" s="7">
        <v>1.5533854999999999E-2</v>
      </c>
      <c r="H27" s="67"/>
    </row>
    <row r="28" spans="1:8" x14ac:dyDescent="0.2">
      <c r="A28" s="3">
        <v>22</v>
      </c>
      <c r="B28" s="4" t="s">
        <v>99</v>
      </c>
      <c r="C28" s="4" t="s">
        <v>100</v>
      </c>
      <c r="D28" s="4" t="s">
        <v>60</v>
      </c>
      <c r="E28" s="5">
        <v>39574</v>
      </c>
      <c r="F28" s="6">
        <v>138.766231</v>
      </c>
      <c r="G28" s="7">
        <v>1.5423319E-2</v>
      </c>
      <c r="H28" s="67"/>
    </row>
    <row r="29" spans="1:8" x14ac:dyDescent="0.2">
      <c r="A29" s="3">
        <v>23</v>
      </c>
      <c r="B29" s="4" t="s">
        <v>70</v>
      </c>
      <c r="C29" s="4" t="s">
        <v>71</v>
      </c>
      <c r="D29" s="4" t="s">
        <v>27</v>
      </c>
      <c r="E29" s="5">
        <v>13730</v>
      </c>
      <c r="F29" s="6">
        <v>137.18329499999999</v>
      </c>
      <c r="G29" s="7">
        <v>1.5247382E-2</v>
      </c>
      <c r="H29" s="67"/>
    </row>
    <row r="30" spans="1:8" x14ac:dyDescent="0.2">
      <c r="A30" s="3">
        <v>24</v>
      </c>
      <c r="B30" s="4" t="s">
        <v>37</v>
      </c>
      <c r="C30" s="4" t="s">
        <v>38</v>
      </c>
      <c r="D30" s="4" t="s">
        <v>27</v>
      </c>
      <c r="E30" s="5">
        <v>10730</v>
      </c>
      <c r="F30" s="6">
        <v>127.788935</v>
      </c>
      <c r="G30" s="7">
        <v>1.4203235999999999E-2</v>
      </c>
      <c r="H30" s="67"/>
    </row>
    <row r="31" spans="1:8" ht="25.5" x14ac:dyDescent="0.2">
      <c r="A31" s="3">
        <v>25</v>
      </c>
      <c r="B31" s="4" t="s">
        <v>251</v>
      </c>
      <c r="C31" s="4" t="s">
        <v>252</v>
      </c>
      <c r="D31" s="4" t="s">
        <v>992</v>
      </c>
      <c r="E31" s="5">
        <v>77795</v>
      </c>
      <c r="F31" s="6">
        <v>127.27262</v>
      </c>
      <c r="G31" s="7">
        <v>1.414585E-2</v>
      </c>
      <c r="H31" s="67"/>
    </row>
    <row r="32" spans="1:8" x14ac:dyDescent="0.2">
      <c r="A32" s="3">
        <v>26</v>
      </c>
      <c r="B32" s="4" t="s">
        <v>344</v>
      </c>
      <c r="C32" s="4" t="s">
        <v>345</v>
      </c>
      <c r="D32" s="4" t="s">
        <v>49</v>
      </c>
      <c r="E32" s="5">
        <v>33343</v>
      </c>
      <c r="F32" s="6">
        <v>125.68643849999999</v>
      </c>
      <c r="G32" s="7">
        <v>1.3969552E-2</v>
      </c>
      <c r="H32" s="67"/>
    </row>
    <row r="33" spans="1:8" x14ac:dyDescent="0.2">
      <c r="A33" s="3">
        <v>27</v>
      </c>
      <c r="B33" s="4" t="s">
        <v>368</v>
      </c>
      <c r="C33" s="4" t="s">
        <v>369</v>
      </c>
      <c r="D33" s="4" t="s">
        <v>242</v>
      </c>
      <c r="E33" s="5">
        <v>14349</v>
      </c>
      <c r="F33" s="6">
        <v>113.77322100000001</v>
      </c>
      <c r="G33" s="7">
        <v>1.2645445E-2</v>
      </c>
      <c r="H33" s="67"/>
    </row>
    <row r="34" spans="1:8" x14ac:dyDescent="0.2">
      <c r="A34" s="3">
        <v>28</v>
      </c>
      <c r="B34" s="4" t="s">
        <v>259</v>
      </c>
      <c r="C34" s="4" t="s">
        <v>260</v>
      </c>
      <c r="D34" s="4" t="s">
        <v>261</v>
      </c>
      <c r="E34" s="5">
        <v>12900</v>
      </c>
      <c r="F34" s="6">
        <v>95.621250000000003</v>
      </c>
      <c r="G34" s="7">
        <v>1.0627925E-2</v>
      </c>
      <c r="H34" s="67"/>
    </row>
    <row r="35" spans="1:8" x14ac:dyDescent="0.2">
      <c r="A35" s="3">
        <v>29</v>
      </c>
      <c r="B35" s="4" t="s">
        <v>340</v>
      </c>
      <c r="C35" s="4" t="s">
        <v>341</v>
      </c>
      <c r="D35" s="4" t="s">
        <v>81</v>
      </c>
      <c r="E35" s="5">
        <v>6937</v>
      </c>
      <c r="F35" s="6">
        <v>93.836798999999999</v>
      </c>
      <c r="G35" s="7">
        <v>1.0429590000000001E-2</v>
      </c>
      <c r="H35" s="67"/>
    </row>
    <row r="36" spans="1:8" x14ac:dyDescent="0.2">
      <c r="A36" s="3">
        <v>30</v>
      </c>
      <c r="B36" s="4" t="s">
        <v>655</v>
      </c>
      <c r="C36" s="4" t="s">
        <v>656</v>
      </c>
      <c r="D36" s="4" t="s">
        <v>24</v>
      </c>
      <c r="E36" s="5">
        <v>9227</v>
      </c>
      <c r="F36" s="6">
        <v>91.568747999999999</v>
      </c>
      <c r="G36" s="7">
        <v>1.0177505E-2</v>
      </c>
      <c r="H36" s="67"/>
    </row>
    <row r="37" spans="1:8" x14ac:dyDescent="0.2">
      <c r="A37" s="3">
        <v>31</v>
      </c>
      <c r="B37" s="4" t="s">
        <v>681</v>
      </c>
      <c r="C37" s="4" t="s">
        <v>682</v>
      </c>
      <c r="D37" s="4" t="s">
        <v>187</v>
      </c>
      <c r="E37" s="5">
        <v>12500</v>
      </c>
      <c r="F37" s="6">
        <v>90.912499999999994</v>
      </c>
      <c r="G37" s="7">
        <v>1.0104566000000001E-2</v>
      </c>
      <c r="H37" s="67"/>
    </row>
    <row r="38" spans="1:8" x14ac:dyDescent="0.2">
      <c r="A38" s="3">
        <v>32</v>
      </c>
      <c r="B38" s="4" t="s">
        <v>14</v>
      </c>
      <c r="C38" s="4" t="s">
        <v>15</v>
      </c>
      <c r="D38" s="4" t="s">
        <v>16</v>
      </c>
      <c r="E38" s="5">
        <v>3900</v>
      </c>
      <c r="F38" s="6">
        <v>88.067850000000007</v>
      </c>
      <c r="G38" s="7">
        <v>9.7883940000000006E-3</v>
      </c>
      <c r="H38" s="67"/>
    </row>
    <row r="39" spans="1:8" x14ac:dyDescent="0.2">
      <c r="A39" s="3">
        <v>33</v>
      </c>
      <c r="B39" s="4" t="s">
        <v>677</v>
      </c>
      <c r="C39" s="4" t="s">
        <v>678</v>
      </c>
      <c r="D39" s="4" t="s">
        <v>187</v>
      </c>
      <c r="E39" s="5">
        <v>9147</v>
      </c>
      <c r="F39" s="6">
        <v>87.614539500000006</v>
      </c>
      <c r="G39" s="7">
        <v>9.7380100000000001E-3</v>
      </c>
      <c r="H39" s="67"/>
    </row>
    <row r="40" spans="1:8" x14ac:dyDescent="0.2">
      <c r="A40" s="3">
        <v>34</v>
      </c>
      <c r="B40" s="4" t="s">
        <v>541</v>
      </c>
      <c r="C40" s="4" t="s">
        <v>542</v>
      </c>
      <c r="D40" s="4" t="s">
        <v>24</v>
      </c>
      <c r="E40" s="5">
        <v>62204</v>
      </c>
      <c r="F40" s="6">
        <v>77.754999999999995</v>
      </c>
      <c r="G40" s="7">
        <v>8.6421610000000006E-3</v>
      </c>
      <c r="H40" s="67"/>
    </row>
    <row r="41" spans="1:8" x14ac:dyDescent="0.2">
      <c r="A41" s="3">
        <v>35</v>
      </c>
      <c r="B41" s="4" t="s">
        <v>298</v>
      </c>
      <c r="C41" s="4" t="s">
        <v>299</v>
      </c>
      <c r="D41" s="4" t="s">
        <v>1001</v>
      </c>
      <c r="E41" s="5">
        <v>219457</v>
      </c>
      <c r="F41" s="6">
        <v>75.932122000000007</v>
      </c>
      <c r="G41" s="7">
        <v>8.4395560000000008E-3</v>
      </c>
      <c r="H41" s="67"/>
    </row>
    <row r="42" spans="1:8" x14ac:dyDescent="0.2">
      <c r="A42" s="3">
        <v>36</v>
      </c>
      <c r="B42" s="4" t="s">
        <v>728</v>
      </c>
      <c r="C42" s="4" t="s">
        <v>729</v>
      </c>
      <c r="D42" s="4" t="s">
        <v>24</v>
      </c>
      <c r="E42" s="5">
        <v>178000</v>
      </c>
      <c r="F42" s="6">
        <v>68.53</v>
      </c>
      <c r="G42" s="7">
        <v>7.6168390000000002E-3</v>
      </c>
      <c r="H42" s="67"/>
    </row>
    <row r="43" spans="1:8" x14ac:dyDescent="0.2">
      <c r="A43" s="1"/>
      <c r="B43" s="1"/>
      <c r="C43" s="2" t="s">
        <v>105</v>
      </c>
      <c r="D43" s="1"/>
      <c r="E43" s="1" t="s">
        <v>106</v>
      </c>
      <c r="F43" s="9">
        <v>8242.9550815000002</v>
      </c>
      <c r="G43" s="10">
        <v>0.91617193900000005</v>
      </c>
      <c r="H43" s="67"/>
    </row>
    <row r="44" spans="1:8" x14ac:dyDescent="0.2">
      <c r="A44" s="1"/>
      <c r="B44" s="1"/>
      <c r="C44" s="11"/>
      <c r="D44" s="1"/>
      <c r="E44" s="1"/>
      <c r="F44" s="12"/>
      <c r="G44" s="12"/>
      <c r="H44" s="67"/>
    </row>
    <row r="45" spans="1:8" x14ac:dyDescent="0.2">
      <c r="A45" s="1"/>
      <c r="B45" s="1"/>
      <c r="C45" s="2" t="s">
        <v>107</v>
      </c>
      <c r="D45" s="1"/>
      <c r="E45" s="1"/>
      <c r="F45" s="1"/>
      <c r="G45" s="1"/>
      <c r="H45" s="67"/>
    </row>
    <row r="46" spans="1:8" x14ac:dyDescent="0.2">
      <c r="A46" s="1"/>
      <c r="B46" s="1"/>
      <c r="C46" s="2" t="s">
        <v>105</v>
      </c>
      <c r="D46" s="1"/>
      <c r="E46" s="1" t="s">
        <v>106</v>
      </c>
      <c r="F46" s="13">
        <v>0</v>
      </c>
      <c r="G46" s="14">
        <v>0</v>
      </c>
      <c r="H46" s="67"/>
    </row>
    <row r="47" spans="1:8" x14ac:dyDescent="0.2">
      <c r="A47" s="1"/>
      <c r="B47" s="1"/>
      <c r="C47" s="11"/>
      <c r="D47" s="1"/>
      <c r="E47" s="1"/>
      <c r="F47" s="12"/>
      <c r="G47" s="12"/>
      <c r="H47" s="67"/>
    </row>
    <row r="48" spans="1:8" x14ac:dyDescent="0.2">
      <c r="A48" s="1"/>
      <c r="B48" s="1"/>
      <c r="C48" s="2" t="s">
        <v>108</v>
      </c>
      <c r="D48" s="1"/>
      <c r="E48" s="1"/>
      <c r="F48" s="1"/>
      <c r="G48" s="1"/>
      <c r="H48" s="67"/>
    </row>
    <row r="49" spans="1:8" x14ac:dyDescent="0.2">
      <c r="A49" s="1"/>
      <c r="B49" s="1"/>
      <c r="C49" s="2" t="s">
        <v>105</v>
      </c>
      <c r="D49" s="1"/>
      <c r="E49" s="1" t="s">
        <v>106</v>
      </c>
      <c r="F49" s="13">
        <v>0</v>
      </c>
      <c r="G49" s="14">
        <v>0</v>
      </c>
      <c r="H49" s="67"/>
    </row>
    <row r="50" spans="1:8" x14ac:dyDescent="0.2">
      <c r="A50" s="1"/>
      <c r="B50" s="1"/>
      <c r="C50" s="11"/>
      <c r="D50" s="1"/>
      <c r="E50" s="1"/>
      <c r="F50" s="12"/>
      <c r="G50" s="12"/>
      <c r="H50" s="67"/>
    </row>
    <row r="51" spans="1:8" x14ac:dyDescent="0.2">
      <c r="A51" s="1"/>
      <c r="B51" s="1"/>
      <c r="C51" s="2" t="s">
        <v>109</v>
      </c>
      <c r="D51" s="1"/>
      <c r="E51" s="1"/>
      <c r="F51" s="1"/>
      <c r="G51" s="1"/>
      <c r="H51" s="67"/>
    </row>
    <row r="52" spans="1:8" x14ac:dyDescent="0.2">
      <c r="A52" s="1"/>
      <c r="B52" s="1"/>
      <c r="C52" s="2" t="s">
        <v>105</v>
      </c>
      <c r="D52" s="1"/>
      <c r="E52" s="1" t="s">
        <v>106</v>
      </c>
      <c r="F52" s="13">
        <v>0</v>
      </c>
      <c r="G52" s="14">
        <v>0</v>
      </c>
      <c r="H52" s="67"/>
    </row>
    <row r="53" spans="1:8" x14ac:dyDescent="0.2">
      <c r="A53" s="1"/>
      <c r="B53" s="1"/>
      <c r="C53" s="11"/>
      <c r="D53" s="1"/>
      <c r="E53" s="1"/>
      <c r="F53" s="12"/>
      <c r="G53" s="12"/>
      <c r="H53" s="67"/>
    </row>
    <row r="54" spans="1:8" x14ac:dyDescent="0.2">
      <c r="A54" s="1"/>
      <c r="B54" s="1"/>
      <c r="C54" s="2" t="s">
        <v>110</v>
      </c>
      <c r="D54" s="1"/>
      <c r="E54" s="1"/>
      <c r="F54" s="12"/>
      <c r="G54" s="12"/>
      <c r="H54" s="67"/>
    </row>
    <row r="55" spans="1:8" s="139" customFormat="1" ht="25.5" x14ac:dyDescent="0.2">
      <c r="A55" s="3">
        <v>1</v>
      </c>
      <c r="B55" s="4" t="s">
        <v>960</v>
      </c>
      <c r="C55" s="4" t="s">
        <v>961</v>
      </c>
      <c r="D55" s="4" t="s">
        <v>81</v>
      </c>
      <c r="E55" s="5">
        <v>12000</v>
      </c>
      <c r="F55" s="6">
        <v>100.518</v>
      </c>
      <c r="G55" s="7">
        <v>1.117218E-2</v>
      </c>
      <c r="H55" s="67"/>
    </row>
    <row r="56" spans="1:8" x14ac:dyDescent="0.2">
      <c r="A56" s="1"/>
      <c r="B56" s="1"/>
      <c r="C56" s="2" t="s">
        <v>105</v>
      </c>
      <c r="D56" s="1"/>
      <c r="E56" s="1" t="s">
        <v>106</v>
      </c>
      <c r="F56" s="13">
        <v>100.518</v>
      </c>
      <c r="G56" s="14">
        <v>1.117218E-2</v>
      </c>
      <c r="H56" s="67"/>
    </row>
    <row r="57" spans="1:8" x14ac:dyDescent="0.2">
      <c r="A57" s="1"/>
      <c r="B57" s="1"/>
      <c r="C57" s="11"/>
      <c r="D57" s="1"/>
      <c r="E57" s="1"/>
      <c r="F57" s="12"/>
      <c r="G57" s="12"/>
      <c r="H57" s="67"/>
    </row>
    <row r="58" spans="1:8" x14ac:dyDescent="0.2">
      <c r="A58" s="1"/>
      <c r="B58" s="1"/>
      <c r="C58" s="2" t="s">
        <v>111</v>
      </c>
      <c r="D58" s="1"/>
      <c r="E58" s="1"/>
      <c r="F58" s="12"/>
      <c r="G58" s="12"/>
      <c r="H58" s="67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13">
        <v>0</v>
      </c>
      <c r="G59" s="14">
        <v>0</v>
      </c>
      <c r="H59" s="67"/>
    </row>
    <row r="60" spans="1:8" x14ac:dyDescent="0.2">
      <c r="A60" s="1"/>
      <c r="B60" s="1"/>
      <c r="C60" s="11"/>
      <c r="D60" s="1"/>
      <c r="E60" s="1"/>
      <c r="F60" s="12"/>
      <c r="G60" s="12"/>
      <c r="H60" s="67"/>
    </row>
    <row r="61" spans="1:8" x14ac:dyDescent="0.2">
      <c r="A61" s="1"/>
      <c r="B61" s="1"/>
      <c r="C61" s="2" t="s">
        <v>112</v>
      </c>
      <c r="D61" s="1"/>
      <c r="E61" s="1"/>
      <c r="F61" s="9">
        <v>8343.4730815000003</v>
      </c>
      <c r="G61" s="10">
        <v>0.92734411900000002</v>
      </c>
      <c r="H61" s="67"/>
    </row>
    <row r="62" spans="1:8" x14ac:dyDescent="0.2">
      <c r="A62" s="1"/>
      <c r="B62" s="1"/>
      <c r="C62" s="11"/>
      <c r="D62" s="1"/>
      <c r="E62" s="1"/>
      <c r="F62" s="12"/>
      <c r="G62" s="12"/>
      <c r="H62" s="67"/>
    </row>
    <row r="63" spans="1:8" x14ac:dyDescent="0.2">
      <c r="A63" s="1"/>
      <c r="B63" s="1"/>
      <c r="C63" s="2" t="s">
        <v>113</v>
      </c>
      <c r="D63" s="1"/>
      <c r="E63" s="1"/>
      <c r="F63" s="12"/>
      <c r="G63" s="12"/>
      <c r="H63" s="67"/>
    </row>
    <row r="64" spans="1:8" ht="25.5" x14ac:dyDescent="0.2">
      <c r="A64" s="1"/>
      <c r="B64" s="1"/>
      <c r="C64" s="2" t="s">
        <v>10</v>
      </c>
      <c r="D64" s="1"/>
      <c r="E64" s="1"/>
      <c r="F64" s="12"/>
      <c r="G64" s="12"/>
      <c r="H64" s="67"/>
    </row>
    <row r="65" spans="1:8" x14ac:dyDescent="0.2">
      <c r="A65" s="1"/>
      <c r="B65" s="1"/>
      <c r="C65" s="2" t="s">
        <v>105</v>
      </c>
      <c r="D65" s="1"/>
      <c r="E65" s="1" t="s">
        <v>106</v>
      </c>
      <c r="F65" s="13">
        <v>0</v>
      </c>
      <c r="G65" s="14">
        <v>0</v>
      </c>
      <c r="H65" s="67"/>
    </row>
    <row r="66" spans="1:8" x14ac:dyDescent="0.2">
      <c r="A66" s="1"/>
      <c r="B66" s="1"/>
      <c r="C66" s="11"/>
      <c r="D66" s="1"/>
      <c r="E66" s="1"/>
      <c r="F66" s="12"/>
      <c r="G66" s="12"/>
      <c r="H66" s="67"/>
    </row>
    <row r="67" spans="1:8" x14ac:dyDescent="0.2">
      <c r="A67" s="1"/>
      <c r="B67" s="1"/>
      <c r="C67" s="2" t="s">
        <v>114</v>
      </c>
      <c r="D67" s="1"/>
      <c r="E67" s="1"/>
      <c r="F67" s="1"/>
      <c r="G67" s="1"/>
      <c r="H67" s="67"/>
    </row>
    <row r="68" spans="1:8" x14ac:dyDescent="0.2">
      <c r="A68" s="1"/>
      <c r="B68" s="1"/>
      <c r="C68" s="2" t="s">
        <v>105</v>
      </c>
      <c r="D68" s="1"/>
      <c r="E68" s="1" t="s">
        <v>106</v>
      </c>
      <c r="F68" s="13">
        <v>0</v>
      </c>
      <c r="G68" s="14">
        <v>0</v>
      </c>
      <c r="H68" s="67"/>
    </row>
    <row r="69" spans="1:8" x14ac:dyDescent="0.2">
      <c r="A69" s="1"/>
      <c r="B69" s="1"/>
      <c r="C69" s="11"/>
      <c r="D69" s="1"/>
      <c r="E69" s="1"/>
      <c r="F69" s="12"/>
      <c r="G69" s="12"/>
      <c r="H69" s="67"/>
    </row>
    <row r="70" spans="1:8" x14ac:dyDescent="0.2">
      <c r="A70" s="1"/>
      <c r="B70" s="1"/>
      <c r="C70" s="2" t="s">
        <v>115</v>
      </c>
      <c r="D70" s="1"/>
      <c r="E70" s="1"/>
      <c r="F70" s="1"/>
      <c r="G70" s="1"/>
      <c r="H70" s="67"/>
    </row>
    <row r="71" spans="1:8" x14ac:dyDescent="0.2">
      <c r="A71" s="1"/>
      <c r="B71" s="1"/>
      <c r="C71" s="2" t="s">
        <v>105</v>
      </c>
      <c r="D71" s="1"/>
      <c r="E71" s="1" t="s">
        <v>106</v>
      </c>
      <c r="F71" s="13">
        <v>0</v>
      </c>
      <c r="G71" s="14">
        <v>0</v>
      </c>
      <c r="H71" s="67"/>
    </row>
    <row r="72" spans="1:8" x14ac:dyDescent="0.2">
      <c r="A72" s="1"/>
      <c r="B72" s="1"/>
      <c r="C72" s="11"/>
      <c r="D72" s="1"/>
      <c r="E72" s="1"/>
      <c r="F72" s="12"/>
      <c r="G72" s="12"/>
      <c r="H72" s="67"/>
    </row>
    <row r="73" spans="1:8" x14ac:dyDescent="0.2">
      <c r="A73" s="1"/>
      <c r="B73" s="1"/>
      <c r="C73" s="2" t="s">
        <v>116</v>
      </c>
      <c r="D73" s="1"/>
      <c r="E73" s="1"/>
      <c r="F73" s="12"/>
      <c r="G73" s="12"/>
      <c r="H73" s="67"/>
    </row>
    <row r="74" spans="1:8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">
        <v>0</v>
      </c>
      <c r="H74" s="67"/>
    </row>
    <row r="75" spans="1:8" x14ac:dyDescent="0.2">
      <c r="A75" s="1"/>
      <c r="B75" s="1"/>
      <c r="C75" s="11"/>
      <c r="D75" s="1"/>
      <c r="E75" s="1"/>
      <c r="F75" s="12"/>
      <c r="G75" s="12"/>
      <c r="H75" s="67"/>
    </row>
    <row r="76" spans="1:8" x14ac:dyDescent="0.2">
      <c r="A76" s="1"/>
      <c r="B76" s="1"/>
      <c r="C76" s="2" t="s">
        <v>117</v>
      </c>
      <c r="D76" s="1"/>
      <c r="E76" s="1"/>
      <c r="F76" s="9">
        <v>0</v>
      </c>
      <c r="G76" s="10">
        <v>0</v>
      </c>
      <c r="H76" s="67"/>
    </row>
    <row r="77" spans="1:8" x14ac:dyDescent="0.2">
      <c r="A77" s="1"/>
      <c r="B77" s="1"/>
      <c r="C77" s="11"/>
      <c r="D77" s="1"/>
      <c r="E77" s="1"/>
      <c r="F77" s="12"/>
      <c r="G77" s="12"/>
      <c r="H77" s="67"/>
    </row>
    <row r="78" spans="1:8" x14ac:dyDescent="0.2">
      <c r="A78" s="1"/>
      <c r="B78" s="1"/>
      <c r="C78" s="2" t="s">
        <v>118</v>
      </c>
      <c r="D78" s="1"/>
      <c r="E78" s="1"/>
      <c r="F78" s="12"/>
      <c r="G78" s="12"/>
      <c r="H78" s="67"/>
    </row>
    <row r="79" spans="1:8" x14ac:dyDescent="0.2">
      <c r="A79" s="1"/>
      <c r="B79" s="1"/>
      <c r="C79" s="2" t="s">
        <v>119</v>
      </c>
      <c r="D79" s="1"/>
      <c r="E79" s="1"/>
      <c r="F79" s="12"/>
      <c r="G79" s="12"/>
      <c r="H79" s="67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7"/>
    </row>
    <row r="81" spans="1:8" x14ac:dyDescent="0.2">
      <c r="A81" s="1"/>
      <c r="B81" s="1"/>
      <c r="C81" s="11"/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120</v>
      </c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7"/>
    </row>
    <row r="84" spans="1:8" x14ac:dyDescent="0.2">
      <c r="A84" s="1"/>
      <c r="B84" s="1"/>
      <c r="C84" s="11"/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121</v>
      </c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7"/>
    </row>
    <row r="87" spans="1:8" x14ac:dyDescent="0.2">
      <c r="A87" s="1"/>
      <c r="B87" s="1"/>
      <c r="C87" s="11"/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122</v>
      </c>
      <c r="D88" s="1"/>
      <c r="E88" s="1"/>
      <c r="F88" s="12"/>
      <c r="G88" s="12"/>
      <c r="H88" s="67"/>
    </row>
    <row r="89" spans="1:8" x14ac:dyDescent="0.2">
      <c r="A89" s="3">
        <v>1</v>
      </c>
      <c r="B89" s="4"/>
      <c r="C89" s="4" t="s">
        <v>123</v>
      </c>
      <c r="D89" s="4"/>
      <c r="E89" s="8"/>
      <c r="F89" s="6">
        <v>645.80016739999996</v>
      </c>
      <c r="G89" s="7">
        <v>7.1778141000000004E-2</v>
      </c>
      <c r="H89" s="67">
        <v>3.1047477660654299</v>
      </c>
    </row>
    <row r="90" spans="1:8" x14ac:dyDescent="0.2">
      <c r="A90" s="1"/>
      <c r="B90" s="1"/>
      <c r="C90" s="2" t="s">
        <v>105</v>
      </c>
      <c r="D90" s="1"/>
      <c r="E90" s="1" t="s">
        <v>106</v>
      </c>
      <c r="F90" s="9">
        <v>645.80016739999996</v>
      </c>
      <c r="G90" s="10">
        <v>7.1778141000000004E-2</v>
      </c>
      <c r="H90" s="67"/>
    </row>
    <row r="91" spans="1:8" x14ac:dyDescent="0.2">
      <c r="A91" s="1"/>
      <c r="B91" s="1"/>
      <c r="C91" s="11"/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124</v>
      </c>
      <c r="D92" s="1"/>
      <c r="E92" s="1"/>
      <c r="F92" s="9">
        <v>645.80016739999996</v>
      </c>
      <c r="G92" s="10">
        <v>7.1778141000000004E-2</v>
      </c>
      <c r="H92" s="67"/>
    </row>
    <row r="93" spans="1:8" x14ac:dyDescent="0.2">
      <c r="A93" s="1"/>
      <c r="B93" s="1"/>
      <c r="C93" s="12"/>
      <c r="D93" s="1"/>
      <c r="E93" s="1"/>
      <c r="F93" s="1"/>
      <c r="G93" s="1"/>
      <c r="H93" s="67"/>
    </row>
    <row r="94" spans="1:8" x14ac:dyDescent="0.2">
      <c r="A94" s="1"/>
      <c r="B94" s="1"/>
      <c r="C94" s="2" t="s">
        <v>125</v>
      </c>
      <c r="D94" s="1"/>
      <c r="E94" s="1"/>
      <c r="F94" s="1"/>
      <c r="G94" s="1"/>
      <c r="H94" s="67"/>
    </row>
    <row r="95" spans="1:8" x14ac:dyDescent="0.2">
      <c r="A95" s="1"/>
      <c r="B95" s="1"/>
      <c r="C95" s="2" t="s">
        <v>126</v>
      </c>
      <c r="D95" s="1"/>
      <c r="E95" s="1"/>
      <c r="F95" s="1"/>
      <c r="G95" s="1"/>
      <c r="H95" s="67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7"/>
    </row>
    <row r="97" spans="1:8" x14ac:dyDescent="0.2">
      <c r="A97" s="1"/>
      <c r="B97" s="1"/>
      <c r="C97" s="11"/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127</v>
      </c>
      <c r="D98" s="1"/>
      <c r="E98" s="1"/>
      <c r="F98" s="1"/>
      <c r="G98" s="1"/>
      <c r="H98" s="67"/>
    </row>
    <row r="99" spans="1:8" x14ac:dyDescent="0.2">
      <c r="A99" s="1"/>
      <c r="B99" s="1"/>
      <c r="C99" s="2" t="s">
        <v>128</v>
      </c>
      <c r="D99" s="1"/>
      <c r="E99" s="1"/>
      <c r="F99" s="1"/>
      <c r="G99" s="1"/>
      <c r="H99" s="67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7"/>
    </row>
    <row r="101" spans="1:8" x14ac:dyDescent="0.2">
      <c r="A101" s="1"/>
      <c r="B101" s="1"/>
      <c r="C101" s="11"/>
      <c r="D101" s="1"/>
      <c r="E101" s="1"/>
      <c r="F101" s="12"/>
      <c r="G101" s="12"/>
      <c r="H101" s="67"/>
    </row>
    <row r="102" spans="1:8" x14ac:dyDescent="0.2">
      <c r="A102" s="1"/>
      <c r="B102" s="1"/>
      <c r="C102" s="11"/>
      <c r="D102" s="1"/>
      <c r="E102" s="1"/>
      <c r="F102" s="12"/>
      <c r="G102" s="12"/>
      <c r="H102" s="67"/>
    </row>
    <row r="103" spans="1:8" ht="25.5" x14ac:dyDescent="0.2">
      <c r="A103" s="1"/>
      <c r="B103" s="1"/>
      <c r="C103" s="2" t="s">
        <v>129</v>
      </c>
      <c r="D103" s="1"/>
      <c r="E103" s="1"/>
      <c r="F103" s="12"/>
      <c r="G103" s="12"/>
      <c r="H103" s="67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">
        <v>0</v>
      </c>
      <c r="H104" s="67"/>
    </row>
    <row r="105" spans="1:8" x14ac:dyDescent="0.2">
      <c r="A105" s="1"/>
      <c r="B105" s="1"/>
      <c r="C105" s="11"/>
      <c r="D105" s="1"/>
      <c r="E105" s="1"/>
      <c r="F105" s="12"/>
      <c r="G105" s="12"/>
      <c r="H105" s="67"/>
    </row>
    <row r="106" spans="1:8" x14ac:dyDescent="0.2">
      <c r="A106" s="1"/>
      <c r="B106" s="4"/>
      <c r="C106" s="4"/>
      <c r="D106" s="2"/>
      <c r="E106" s="1"/>
      <c r="F106" s="4"/>
      <c r="G106" s="8"/>
      <c r="H106" s="67"/>
    </row>
    <row r="107" spans="1:8" x14ac:dyDescent="0.2">
      <c r="A107" s="8"/>
      <c r="B107" s="4"/>
      <c r="C107" s="4" t="s">
        <v>130</v>
      </c>
      <c r="D107" s="4"/>
      <c r="E107" s="8"/>
      <c r="F107" s="6">
        <v>7.8972098199999996</v>
      </c>
      <c r="G107" s="7">
        <v>8.7774399999999996E-4</v>
      </c>
      <c r="H107" s="67"/>
    </row>
    <row r="108" spans="1:8" x14ac:dyDescent="0.2">
      <c r="A108" s="11"/>
      <c r="B108" s="11"/>
      <c r="C108" s="2" t="s">
        <v>131</v>
      </c>
      <c r="D108" s="15"/>
      <c r="E108" s="15"/>
      <c r="F108" s="9">
        <v>8997.1704587200002</v>
      </c>
      <c r="G108" s="10">
        <v>1.0000000040000001</v>
      </c>
      <c r="H108" s="67"/>
    </row>
    <row r="109" spans="1:8" ht="14.1" customHeight="1" x14ac:dyDescent="0.2">
      <c r="A109" s="16"/>
      <c r="B109" s="16"/>
      <c r="C109" s="16"/>
      <c r="D109" s="17"/>
      <c r="E109" s="17"/>
      <c r="F109" s="17"/>
      <c r="G109" s="17"/>
    </row>
    <row r="110" spans="1:8" ht="14.1" customHeight="1" x14ac:dyDescent="0.2">
      <c r="A110" s="18"/>
      <c r="B110" s="170" t="s">
        <v>106</v>
      </c>
      <c r="C110" s="170"/>
      <c r="D110" s="170"/>
      <c r="E110" s="170"/>
      <c r="F110" s="170"/>
      <c r="G110" s="20"/>
    </row>
    <row r="111" spans="1:8" ht="14.1" customHeight="1" x14ac:dyDescent="0.2">
      <c r="A111" s="18"/>
      <c r="B111" s="170" t="s">
        <v>106</v>
      </c>
      <c r="C111" s="170"/>
      <c r="D111" s="170"/>
      <c r="E111" s="170"/>
      <c r="F111" s="170"/>
      <c r="G111" s="20"/>
    </row>
    <row r="112" spans="1:8" ht="14.1" customHeight="1" x14ac:dyDescent="0.2">
      <c r="A112" s="18"/>
      <c r="B112" s="18"/>
      <c r="C112" s="18"/>
      <c r="D112" s="20"/>
      <c r="E112" s="20"/>
      <c r="F112" s="20"/>
      <c r="G112" s="20"/>
    </row>
    <row r="113" spans="1:7" ht="14.1" customHeight="1" x14ac:dyDescent="0.2">
      <c r="A113" s="18"/>
      <c r="B113" s="168" t="s">
        <v>133</v>
      </c>
      <c r="C113" s="169"/>
      <c r="D113" s="12" t="s">
        <v>106</v>
      </c>
      <c r="E113" s="21"/>
      <c r="F113" s="20"/>
      <c r="G113" s="20"/>
    </row>
    <row r="114" spans="1:7" ht="29.1" customHeight="1" x14ac:dyDescent="0.2">
      <c r="A114" s="18"/>
      <c r="B114" s="165" t="s">
        <v>134</v>
      </c>
      <c r="C114" s="166"/>
      <c r="D114" s="2" t="s">
        <v>135</v>
      </c>
      <c r="E114" s="21"/>
      <c r="F114" s="20"/>
      <c r="G114" s="20"/>
    </row>
    <row r="115" spans="1:7" ht="17.100000000000001" customHeight="1" x14ac:dyDescent="0.2">
      <c r="A115" s="18"/>
      <c r="B115" s="165" t="s">
        <v>136</v>
      </c>
      <c r="C115" s="166"/>
      <c r="D115" s="2" t="s">
        <v>135</v>
      </c>
      <c r="E115" s="21"/>
      <c r="F115" s="20"/>
      <c r="G115" s="20"/>
    </row>
    <row r="116" spans="1:7" ht="17.100000000000001" customHeight="1" x14ac:dyDescent="0.2">
      <c r="A116" s="18"/>
      <c r="B116" s="165" t="s">
        <v>137</v>
      </c>
      <c r="C116" s="166"/>
      <c r="D116" s="12" t="s">
        <v>106</v>
      </c>
      <c r="E116" s="21"/>
      <c r="F116" s="20"/>
      <c r="G116" s="20"/>
    </row>
    <row r="117" spans="1:7" ht="24" customHeight="1" x14ac:dyDescent="0.2">
      <c r="A117" s="22"/>
      <c r="B117" s="23" t="s">
        <v>106</v>
      </c>
      <c r="C117" s="23" t="s">
        <v>138</v>
      </c>
      <c r="D117" s="23" t="s">
        <v>139</v>
      </c>
      <c r="E117" s="22"/>
      <c r="F117" s="22"/>
      <c r="G117" s="22"/>
    </row>
    <row r="118" spans="1:7" ht="18" customHeight="1" x14ac:dyDescent="0.2">
      <c r="A118" s="22"/>
      <c r="B118" s="23" t="s">
        <v>140</v>
      </c>
      <c r="C118" s="23" t="s">
        <v>141</v>
      </c>
      <c r="D118" s="23" t="s">
        <v>142</v>
      </c>
      <c r="E118" s="22"/>
      <c r="F118" s="22"/>
      <c r="G118" s="22"/>
    </row>
    <row r="119" spans="1:7" ht="17.100000000000001" customHeight="1" x14ac:dyDescent="0.2">
      <c r="A119" s="22"/>
      <c r="B119" s="4" t="s">
        <v>143</v>
      </c>
      <c r="C119" s="24">
        <v>15.7684</v>
      </c>
      <c r="D119" s="24">
        <v>15.995900000000001</v>
      </c>
      <c r="E119" s="22"/>
      <c r="F119" s="19"/>
      <c r="G119" s="25"/>
    </row>
    <row r="120" spans="1:7" ht="17.100000000000001" customHeight="1" x14ac:dyDescent="0.2">
      <c r="A120" s="22"/>
      <c r="B120" s="4" t="s">
        <v>988</v>
      </c>
      <c r="C120" s="24">
        <v>13.8066</v>
      </c>
      <c r="D120" s="24">
        <v>14.0059</v>
      </c>
      <c r="E120" s="22"/>
      <c r="F120" s="19"/>
      <c r="G120" s="25"/>
    </row>
    <row r="121" spans="1:7" ht="17.100000000000001" customHeight="1" x14ac:dyDescent="0.2">
      <c r="A121" s="22"/>
      <c r="B121" s="4" t="s">
        <v>144</v>
      </c>
      <c r="C121" s="24">
        <v>15.1951</v>
      </c>
      <c r="D121" s="24">
        <v>15.4064</v>
      </c>
      <c r="E121" s="22"/>
      <c r="F121" s="19"/>
      <c r="G121" s="25"/>
    </row>
    <row r="122" spans="1:7" ht="17.100000000000001" customHeight="1" x14ac:dyDescent="0.2">
      <c r="A122" s="22"/>
      <c r="B122" s="4" t="s">
        <v>989</v>
      </c>
      <c r="C122" s="24">
        <v>13.659800000000001</v>
      </c>
      <c r="D122" s="24">
        <v>13.8497</v>
      </c>
      <c r="E122" s="22"/>
      <c r="F122" s="19"/>
      <c r="G122" s="25"/>
    </row>
    <row r="123" spans="1:7" ht="14.1" customHeight="1" x14ac:dyDescent="0.2">
      <c r="A123" s="22"/>
      <c r="B123" s="22"/>
      <c r="C123" s="22"/>
      <c r="D123" s="22"/>
      <c r="E123" s="22"/>
      <c r="F123" s="22"/>
      <c r="G123" s="22"/>
    </row>
    <row r="124" spans="1:7" ht="17.100000000000001" customHeight="1" x14ac:dyDescent="0.2">
      <c r="A124" s="22"/>
      <c r="B124" s="165" t="s">
        <v>990</v>
      </c>
      <c r="C124" s="166"/>
      <c r="D124" s="2" t="s">
        <v>135</v>
      </c>
      <c r="E124" s="22"/>
      <c r="F124" s="22"/>
      <c r="G124" s="22"/>
    </row>
    <row r="125" spans="1:7" ht="18" customHeight="1" x14ac:dyDescent="0.2">
      <c r="A125" s="22"/>
      <c r="B125" s="26" t="s">
        <v>145</v>
      </c>
      <c r="C125" s="26" t="s">
        <v>145</v>
      </c>
      <c r="D125" s="26"/>
      <c r="E125" s="22"/>
      <c r="F125" s="22"/>
      <c r="G125" s="22"/>
    </row>
    <row r="126" spans="1:7" s="158" customFormat="1" x14ac:dyDescent="0.2">
      <c r="B126" s="167" t="s">
        <v>822</v>
      </c>
      <c r="C126" s="167"/>
      <c r="D126" s="167"/>
      <c r="E126" s="167"/>
      <c r="F126" s="167"/>
    </row>
    <row r="127" spans="1:7" ht="14.1" customHeight="1" x14ac:dyDescent="0.2">
      <c r="A127" s="22"/>
      <c r="B127" s="19"/>
      <c r="C127" s="19"/>
      <c r="D127" s="22"/>
      <c r="E127" s="22"/>
      <c r="F127" s="22"/>
      <c r="G127" s="22"/>
    </row>
    <row r="128" spans="1:7" ht="29.1" customHeight="1" x14ac:dyDescent="0.2">
      <c r="A128" s="22"/>
      <c r="B128" s="165" t="s">
        <v>146</v>
      </c>
      <c r="C128" s="166"/>
      <c r="D128" s="2" t="s">
        <v>135</v>
      </c>
      <c r="E128" s="22"/>
      <c r="F128" s="22"/>
      <c r="G128" s="22"/>
    </row>
    <row r="129" spans="1:7" ht="29.1" customHeight="1" x14ac:dyDescent="0.2">
      <c r="A129" s="22"/>
      <c r="B129" s="165" t="s">
        <v>147</v>
      </c>
      <c r="C129" s="166"/>
      <c r="D129" s="2" t="s">
        <v>135</v>
      </c>
      <c r="E129" s="22"/>
      <c r="F129" s="22"/>
      <c r="G129" s="22"/>
    </row>
    <row r="130" spans="1:7" ht="17.100000000000001" customHeight="1" x14ac:dyDescent="0.2">
      <c r="A130" s="22"/>
      <c r="B130" s="165" t="s">
        <v>148</v>
      </c>
      <c r="C130" s="166"/>
      <c r="D130" s="27">
        <v>0.47785498192731568</v>
      </c>
      <c r="E130" s="22"/>
      <c r="F130" s="19"/>
      <c r="G130" s="25"/>
    </row>
    <row r="131" spans="1:7" ht="17.100000000000001" customHeight="1" x14ac:dyDescent="0.2">
      <c r="A131" s="22"/>
      <c r="B131" s="165" t="s">
        <v>149</v>
      </c>
      <c r="C131" s="166"/>
      <c r="D131" s="2" t="s">
        <v>135</v>
      </c>
      <c r="E131" s="22"/>
      <c r="F131" s="22"/>
      <c r="G131" s="22"/>
    </row>
  </sheetData>
  <mergeCells count="15">
    <mergeCell ref="B113:C113"/>
    <mergeCell ref="B110:F110"/>
    <mergeCell ref="B111:F111"/>
    <mergeCell ref="A1:H1"/>
    <mergeCell ref="A2:H2"/>
    <mergeCell ref="A3:H3"/>
    <mergeCell ref="B130:C130"/>
    <mergeCell ref="B131:C131"/>
    <mergeCell ref="B114:C114"/>
    <mergeCell ref="B115:C115"/>
    <mergeCell ref="B116:C116"/>
    <mergeCell ref="B124:C124"/>
    <mergeCell ref="B128:C128"/>
    <mergeCell ref="B129:C129"/>
    <mergeCell ref="B126:F126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H12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730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22</v>
      </c>
      <c r="C7" s="4" t="s">
        <v>23</v>
      </c>
      <c r="D7" s="4" t="s">
        <v>24</v>
      </c>
      <c r="E7" s="5">
        <v>47713</v>
      </c>
      <c r="F7" s="6">
        <v>343.08032650000001</v>
      </c>
      <c r="G7" s="7">
        <v>8.4375547999999995E-2</v>
      </c>
      <c r="H7" s="67"/>
    </row>
    <row r="8" spans="1:8" x14ac:dyDescent="0.2">
      <c r="A8" s="3">
        <v>2</v>
      </c>
      <c r="B8" s="4" t="s">
        <v>404</v>
      </c>
      <c r="C8" s="4" t="s">
        <v>405</v>
      </c>
      <c r="D8" s="4" t="s">
        <v>24</v>
      </c>
      <c r="E8" s="5">
        <v>65489</v>
      </c>
      <c r="F8" s="6">
        <v>279.01588450000003</v>
      </c>
      <c r="G8" s="7">
        <v>6.8619843E-2</v>
      </c>
      <c r="H8" s="67"/>
    </row>
    <row r="9" spans="1:8" x14ac:dyDescent="0.2">
      <c r="A9" s="3">
        <v>3</v>
      </c>
      <c r="B9" s="4" t="s">
        <v>17</v>
      </c>
      <c r="C9" s="4" t="s">
        <v>18</v>
      </c>
      <c r="D9" s="4" t="s">
        <v>19</v>
      </c>
      <c r="E9" s="5">
        <v>36000</v>
      </c>
      <c r="F9" s="6">
        <v>239.05799999999999</v>
      </c>
      <c r="G9" s="7">
        <v>5.8792790999999997E-2</v>
      </c>
      <c r="H9" s="67"/>
    </row>
    <row r="10" spans="1:8" x14ac:dyDescent="0.2">
      <c r="A10" s="3">
        <v>4</v>
      </c>
      <c r="B10" s="4" t="s">
        <v>354</v>
      </c>
      <c r="C10" s="4" t="s">
        <v>355</v>
      </c>
      <c r="D10" s="4" t="s">
        <v>24</v>
      </c>
      <c r="E10" s="5">
        <v>28150</v>
      </c>
      <c r="F10" s="6">
        <v>221.39975000000001</v>
      </c>
      <c r="G10" s="7">
        <v>5.4450004000000003E-2</v>
      </c>
      <c r="H10" s="67"/>
    </row>
    <row r="11" spans="1:8" x14ac:dyDescent="0.2">
      <c r="A11" s="3">
        <v>5</v>
      </c>
      <c r="B11" s="4" t="s">
        <v>418</v>
      </c>
      <c r="C11" s="4" t="s">
        <v>419</v>
      </c>
      <c r="D11" s="4" t="s">
        <v>49</v>
      </c>
      <c r="E11" s="5">
        <v>11306</v>
      </c>
      <c r="F11" s="6">
        <v>163.96526499999999</v>
      </c>
      <c r="G11" s="7">
        <v>4.0324840000000001E-2</v>
      </c>
      <c r="H11" s="67"/>
    </row>
    <row r="12" spans="1:8" x14ac:dyDescent="0.2">
      <c r="A12" s="3">
        <v>6</v>
      </c>
      <c r="B12" s="4" t="s">
        <v>350</v>
      </c>
      <c r="C12" s="4" t="s">
        <v>351</v>
      </c>
      <c r="D12" s="4" t="s">
        <v>46</v>
      </c>
      <c r="E12" s="5">
        <v>22001</v>
      </c>
      <c r="F12" s="6">
        <v>149.50779549999999</v>
      </c>
      <c r="G12" s="7">
        <v>3.6769238000000003E-2</v>
      </c>
      <c r="H12" s="67"/>
    </row>
    <row r="13" spans="1:8" x14ac:dyDescent="0.2">
      <c r="A13" s="3">
        <v>7</v>
      </c>
      <c r="B13" s="4" t="s">
        <v>356</v>
      </c>
      <c r="C13" s="4" t="s">
        <v>357</v>
      </c>
      <c r="D13" s="4" t="s">
        <v>24</v>
      </c>
      <c r="E13" s="5">
        <v>189994</v>
      </c>
      <c r="F13" s="6">
        <v>146.96035900000001</v>
      </c>
      <c r="G13" s="7">
        <v>3.6142734000000003E-2</v>
      </c>
      <c r="H13" s="67"/>
    </row>
    <row r="14" spans="1:8" x14ac:dyDescent="0.2">
      <c r="A14" s="3">
        <v>8</v>
      </c>
      <c r="B14" s="4" t="s">
        <v>58</v>
      </c>
      <c r="C14" s="4" t="s">
        <v>59</v>
      </c>
      <c r="D14" s="4" t="s">
        <v>60</v>
      </c>
      <c r="E14" s="5">
        <v>94248</v>
      </c>
      <c r="F14" s="6">
        <v>137.74345199999999</v>
      </c>
      <c r="G14" s="7">
        <v>3.3875970999999998E-2</v>
      </c>
      <c r="H14" s="67"/>
    </row>
    <row r="15" spans="1:8" x14ac:dyDescent="0.2">
      <c r="A15" s="3">
        <v>9</v>
      </c>
      <c r="B15" s="4" t="s">
        <v>340</v>
      </c>
      <c r="C15" s="4" t="s">
        <v>341</v>
      </c>
      <c r="D15" s="4" t="s">
        <v>81</v>
      </c>
      <c r="E15" s="5">
        <v>9517</v>
      </c>
      <c r="F15" s="6">
        <v>128.736459</v>
      </c>
      <c r="G15" s="7">
        <v>3.1660833999999999E-2</v>
      </c>
      <c r="H15" s="67"/>
    </row>
    <row r="16" spans="1:8" x14ac:dyDescent="0.2">
      <c r="A16" s="3">
        <v>10</v>
      </c>
      <c r="B16" s="4" t="s">
        <v>99</v>
      </c>
      <c r="C16" s="4" t="s">
        <v>100</v>
      </c>
      <c r="D16" s="4" t="s">
        <v>60</v>
      </c>
      <c r="E16" s="5">
        <v>36000</v>
      </c>
      <c r="F16" s="6">
        <v>126.23399999999999</v>
      </c>
      <c r="G16" s="7">
        <v>3.1045390999999999E-2</v>
      </c>
      <c r="H16" s="67"/>
    </row>
    <row r="17" spans="1:8" ht="25.5" x14ac:dyDescent="0.2">
      <c r="A17" s="3">
        <v>11</v>
      </c>
      <c r="B17" s="4" t="s">
        <v>429</v>
      </c>
      <c r="C17" s="4" t="s">
        <v>430</v>
      </c>
      <c r="D17" s="4" t="s">
        <v>52</v>
      </c>
      <c r="E17" s="5">
        <v>58689</v>
      </c>
      <c r="F17" s="6">
        <v>124.009857</v>
      </c>
      <c r="G17" s="7">
        <v>3.0498396000000001E-2</v>
      </c>
      <c r="H17" s="67"/>
    </row>
    <row r="18" spans="1:8" x14ac:dyDescent="0.2">
      <c r="A18" s="3">
        <v>12</v>
      </c>
      <c r="B18" s="4" t="s">
        <v>253</v>
      </c>
      <c r="C18" s="4" t="s">
        <v>254</v>
      </c>
      <c r="D18" s="4" t="s">
        <v>49</v>
      </c>
      <c r="E18" s="5">
        <v>11000</v>
      </c>
      <c r="F18" s="6">
        <v>115.94</v>
      </c>
      <c r="G18" s="7">
        <v>2.8513733999999999E-2</v>
      </c>
      <c r="H18" s="67"/>
    </row>
    <row r="19" spans="1:8" x14ac:dyDescent="0.2">
      <c r="A19" s="3">
        <v>13</v>
      </c>
      <c r="B19" s="4" t="s">
        <v>259</v>
      </c>
      <c r="C19" s="4" t="s">
        <v>260</v>
      </c>
      <c r="D19" s="4" t="s">
        <v>261</v>
      </c>
      <c r="E19" s="5">
        <v>15000</v>
      </c>
      <c r="F19" s="6">
        <v>111.1875</v>
      </c>
      <c r="G19" s="7">
        <v>2.7344925999999999E-2</v>
      </c>
      <c r="H19" s="67"/>
    </row>
    <row r="20" spans="1:8" x14ac:dyDescent="0.2">
      <c r="A20" s="3">
        <v>14</v>
      </c>
      <c r="B20" s="4" t="s">
        <v>643</v>
      </c>
      <c r="C20" s="4" t="s">
        <v>644</v>
      </c>
      <c r="D20" s="4" t="s">
        <v>16</v>
      </c>
      <c r="E20" s="5">
        <v>100000</v>
      </c>
      <c r="F20" s="6">
        <v>110.85</v>
      </c>
      <c r="G20" s="7">
        <v>2.7261923E-2</v>
      </c>
      <c r="H20" s="67"/>
    </row>
    <row r="21" spans="1:8" x14ac:dyDescent="0.2">
      <c r="A21" s="3">
        <v>15</v>
      </c>
      <c r="B21" s="4" t="s">
        <v>394</v>
      </c>
      <c r="C21" s="4" t="s">
        <v>395</v>
      </c>
      <c r="D21" s="4" t="s">
        <v>331</v>
      </c>
      <c r="E21" s="5">
        <v>50965</v>
      </c>
      <c r="F21" s="6">
        <v>106.058165</v>
      </c>
      <c r="G21" s="7">
        <v>2.6083441999999998E-2</v>
      </c>
      <c r="H21" s="67"/>
    </row>
    <row r="22" spans="1:8" x14ac:dyDescent="0.2">
      <c r="A22" s="3">
        <v>16</v>
      </c>
      <c r="B22" s="4" t="s">
        <v>416</v>
      </c>
      <c r="C22" s="4" t="s">
        <v>417</v>
      </c>
      <c r="D22" s="4" t="s">
        <v>187</v>
      </c>
      <c r="E22" s="5">
        <v>12800</v>
      </c>
      <c r="F22" s="6">
        <v>101.6384</v>
      </c>
      <c r="G22" s="7">
        <v>2.4996465999999998E-2</v>
      </c>
      <c r="H22" s="67"/>
    </row>
    <row r="23" spans="1:8" x14ac:dyDescent="0.2">
      <c r="A23" s="3">
        <v>17</v>
      </c>
      <c r="B23" s="4" t="s">
        <v>11</v>
      </c>
      <c r="C23" s="4" t="s">
        <v>12</v>
      </c>
      <c r="D23" s="4" t="s">
        <v>13</v>
      </c>
      <c r="E23" s="5">
        <v>6000</v>
      </c>
      <c r="F23" s="6">
        <v>100.33199999999999</v>
      </c>
      <c r="G23" s="7">
        <v>2.4675176E-2</v>
      </c>
      <c r="H23" s="67"/>
    </row>
    <row r="24" spans="1:8" x14ac:dyDescent="0.2">
      <c r="A24" s="3">
        <v>18</v>
      </c>
      <c r="B24" s="4" t="s">
        <v>42</v>
      </c>
      <c r="C24" s="4" t="s">
        <v>43</v>
      </c>
      <c r="D24" s="4" t="s">
        <v>16</v>
      </c>
      <c r="E24" s="5">
        <v>21000</v>
      </c>
      <c r="F24" s="6">
        <v>99.046499999999995</v>
      </c>
      <c r="G24" s="7">
        <v>2.4359025999999999E-2</v>
      </c>
      <c r="H24" s="67"/>
    </row>
    <row r="25" spans="1:8" x14ac:dyDescent="0.2">
      <c r="A25" s="3">
        <v>19</v>
      </c>
      <c r="B25" s="4" t="s">
        <v>177</v>
      </c>
      <c r="C25" s="4" t="s">
        <v>178</v>
      </c>
      <c r="D25" s="4" t="s">
        <v>179</v>
      </c>
      <c r="E25" s="5">
        <v>40000</v>
      </c>
      <c r="F25" s="6">
        <v>95.8</v>
      </c>
      <c r="G25" s="7">
        <v>2.3560597999999999E-2</v>
      </c>
      <c r="H25" s="67"/>
    </row>
    <row r="26" spans="1:8" ht="25.5" x14ac:dyDescent="0.2">
      <c r="A26" s="3">
        <v>20</v>
      </c>
      <c r="B26" s="4" t="s">
        <v>319</v>
      </c>
      <c r="C26" s="4" t="s">
        <v>320</v>
      </c>
      <c r="D26" s="4" t="s">
        <v>52</v>
      </c>
      <c r="E26" s="5">
        <v>16000</v>
      </c>
      <c r="F26" s="6">
        <v>95.552000000000007</v>
      </c>
      <c r="G26" s="7">
        <v>2.3499605999999999E-2</v>
      </c>
      <c r="H26" s="67"/>
    </row>
    <row r="27" spans="1:8" ht="25.5" x14ac:dyDescent="0.2">
      <c r="A27" s="3">
        <v>21</v>
      </c>
      <c r="B27" s="4" t="s">
        <v>723</v>
      </c>
      <c r="C27" s="4" t="s">
        <v>724</v>
      </c>
      <c r="D27" s="4" t="s">
        <v>81</v>
      </c>
      <c r="E27" s="5">
        <v>58527</v>
      </c>
      <c r="F27" s="6">
        <v>93.730990500000004</v>
      </c>
      <c r="G27" s="7">
        <v>2.3051755E-2</v>
      </c>
      <c r="H27" s="67"/>
    </row>
    <row r="28" spans="1:8" x14ac:dyDescent="0.2">
      <c r="A28" s="3">
        <v>22</v>
      </c>
      <c r="B28" s="4" t="s">
        <v>726</v>
      </c>
      <c r="C28" s="4" t="s">
        <v>727</v>
      </c>
      <c r="D28" s="4" t="s">
        <v>184</v>
      </c>
      <c r="E28" s="5">
        <v>5000</v>
      </c>
      <c r="F28" s="6">
        <v>92.105000000000004</v>
      </c>
      <c r="G28" s="7">
        <v>2.2651866999999999E-2</v>
      </c>
      <c r="H28" s="67"/>
    </row>
    <row r="29" spans="1:8" x14ac:dyDescent="0.2">
      <c r="A29" s="3">
        <v>23</v>
      </c>
      <c r="B29" s="4" t="s">
        <v>731</v>
      </c>
      <c r="C29" s="4" t="s">
        <v>732</v>
      </c>
      <c r="D29" s="4" t="s">
        <v>242</v>
      </c>
      <c r="E29" s="5">
        <v>90000</v>
      </c>
      <c r="F29" s="6">
        <v>91.844999999999999</v>
      </c>
      <c r="G29" s="7">
        <v>2.2587923999999999E-2</v>
      </c>
      <c r="H29" s="67"/>
    </row>
    <row r="30" spans="1:8" ht="25.5" x14ac:dyDescent="0.2">
      <c r="A30" s="3">
        <v>24</v>
      </c>
      <c r="B30" s="4" t="s">
        <v>240</v>
      </c>
      <c r="C30" s="4" t="s">
        <v>241</v>
      </c>
      <c r="D30" s="4" t="s">
        <v>52</v>
      </c>
      <c r="E30" s="5">
        <v>22000</v>
      </c>
      <c r="F30" s="6">
        <v>88.825000000000003</v>
      </c>
      <c r="G30" s="7">
        <v>2.1845198999999999E-2</v>
      </c>
      <c r="H30" s="67"/>
    </row>
    <row r="31" spans="1:8" ht="25.5" x14ac:dyDescent="0.2">
      <c r="A31" s="3">
        <v>25</v>
      </c>
      <c r="B31" s="4" t="s">
        <v>65</v>
      </c>
      <c r="C31" s="4" t="s">
        <v>66</v>
      </c>
      <c r="D31" s="4" t="s">
        <v>36</v>
      </c>
      <c r="E31" s="5">
        <v>10000</v>
      </c>
      <c r="F31" s="6">
        <v>72.814999999999998</v>
      </c>
      <c r="G31" s="7">
        <v>1.7907776E-2</v>
      </c>
      <c r="H31" s="67"/>
    </row>
    <row r="32" spans="1:8" x14ac:dyDescent="0.2">
      <c r="A32" s="3">
        <v>26</v>
      </c>
      <c r="B32" s="4" t="s">
        <v>677</v>
      </c>
      <c r="C32" s="4" t="s">
        <v>678</v>
      </c>
      <c r="D32" s="4" t="s">
        <v>187</v>
      </c>
      <c r="E32" s="5">
        <v>7217</v>
      </c>
      <c r="F32" s="6">
        <v>69.128034499999998</v>
      </c>
      <c r="G32" s="7">
        <v>1.7001021000000002E-2</v>
      </c>
      <c r="H32" s="67"/>
    </row>
    <row r="33" spans="1:8" ht="25.5" x14ac:dyDescent="0.2">
      <c r="A33" s="3">
        <v>27</v>
      </c>
      <c r="B33" s="4" t="s">
        <v>251</v>
      </c>
      <c r="C33" s="4" t="s">
        <v>252</v>
      </c>
      <c r="D33" s="4" t="s">
        <v>992</v>
      </c>
      <c r="E33" s="5">
        <v>34257</v>
      </c>
      <c r="F33" s="6">
        <v>56.044452</v>
      </c>
      <c r="G33" s="7">
        <v>1.3783307E-2</v>
      </c>
      <c r="H33" s="67"/>
    </row>
    <row r="34" spans="1:8" x14ac:dyDescent="0.2">
      <c r="A34" s="3">
        <v>28</v>
      </c>
      <c r="B34" s="4" t="s">
        <v>210</v>
      </c>
      <c r="C34" s="4" t="s">
        <v>211</v>
      </c>
      <c r="D34" s="4" t="s">
        <v>212</v>
      </c>
      <c r="E34" s="5">
        <v>20000</v>
      </c>
      <c r="F34" s="6">
        <v>50.14</v>
      </c>
      <c r="G34" s="7">
        <v>1.2331194E-2</v>
      </c>
      <c r="H34" s="67"/>
    </row>
    <row r="35" spans="1:8" x14ac:dyDescent="0.2">
      <c r="A35" s="3">
        <v>29</v>
      </c>
      <c r="B35" s="4" t="s">
        <v>344</v>
      </c>
      <c r="C35" s="4" t="s">
        <v>345</v>
      </c>
      <c r="D35" s="4" t="s">
        <v>49</v>
      </c>
      <c r="E35" s="5">
        <v>12997</v>
      </c>
      <c r="F35" s="6">
        <v>48.992191499999997</v>
      </c>
      <c r="G35" s="7">
        <v>1.2048906999999999E-2</v>
      </c>
      <c r="H35" s="67"/>
    </row>
    <row r="36" spans="1:8" x14ac:dyDescent="0.2">
      <c r="A36" s="3">
        <v>30</v>
      </c>
      <c r="B36" s="4" t="s">
        <v>681</v>
      </c>
      <c r="C36" s="4" t="s">
        <v>682</v>
      </c>
      <c r="D36" s="4" t="s">
        <v>187</v>
      </c>
      <c r="E36" s="5">
        <v>5900</v>
      </c>
      <c r="F36" s="6">
        <v>42.910699999999999</v>
      </c>
      <c r="G36" s="7">
        <v>1.0553254E-2</v>
      </c>
      <c r="H36" s="67"/>
    </row>
    <row r="37" spans="1:8" ht="25.5" x14ac:dyDescent="0.2">
      <c r="A37" s="3">
        <v>31</v>
      </c>
      <c r="B37" s="4" t="s">
        <v>513</v>
      </c>
      <c r="C37" s="4" t="s">
        <v>514</v>
      </c>
      <c r="D37" s="4" t="s">
        <v>52</v>
      </c>
      <c r="E37" s="5">
        <v>11000</v>
      </c>
      <c r="F37" s="6">
        <v>40.595500000000001</v>
      </c>
      <c r="G37" s="7">
        <v>9.9838649999999998E-3</v>
      </c>
      <c r="H37" s="67"/>
    </row>
    <row r="38" spans="1:8" x14ac:dyDescent="0.2">
      <c r="A38" s="1"/>
      <c r="B38" s="1"/>
      <c r="C38" s="2" t="s">
        <v>105</v>
      </c>
      <c r="D38" s="1"/>
      <c r="E38" s="1" t="s">
        <v>106</v>
      </c>
      <c r="F38" s="9">
        <v>3743.247582</v>
      </c>
      <c r="G38" s="10">
        <v>0.92059655600000001</v>
      </c>
      <c r="H38" s="67"/>
    </row>
    <row r="39" spans="1:8" x14ac:dyDescent="0.2">
      <c r="A39" s="1"/>
      <c r="B39" s="1"/>
      <c r="C39" s="11"/>
      <c r="D39" s="1"/>
      <c r="E39" s="1"/>
      <c r="F39" s="12"/>
      <c r="G39" s="12"/>
      <c r="H39" s="67"/>
    </row>
    <row r="40" spans="1:8" x14ac:dyDescent="0.2">
      <c r="A40" s="1"/>
      <c r="B40" s="1"/>
      <c r="C40" s="2" t="s">
        <v>107</v>
      </c>
      <c r="D40" s="1"/>
      <c r="E40" s="1"/>
      <c r="F40" s="1"/>
      <c r="G40" s="1"/>
      <c r="H40" s="67"/>
    </row>
    <row r="41" spans="1:8" x14ac:dyDescent="0.2">
      <c r="A41" s="1"/>
      <c r="B41" s="1"/>
      <c r="C41" s="2" t="s">
        <v>105</v>
      </c>
      <c r="D41" s="1"/>
      <c r="E41" s="1" t="s">
        <v>106</v>
      </c>
      <c r="F41" s="13">
        <v>0</v>
      </c>
      <c r="G41" s="14">
        <v>0</v>
      </c>
      <c r="H41" s="67"/>
    </row>
    <row r="42" spans="1:8" x14ac:dyDescent="0.2">
      <c r="A42" s="1"/>
      <c r="B42" s="1"/>
      <c r="C42" s="11"/>
      <c r="D42" s="1"/>
      <c r="E42" s="1"/>
      <c r="F42" s="12"/>
      <c r="G42" s="12"/>
      <c r="H42" s="67"/>
    </row>
    <row r="43" spans="1:8" x14ac:dyDescent="0.2">
      <c r="A43" s="1"/>
      <c r="B43" s="1"/>
      <c r="C43" s="2" t="s">
        <v>108</v>
      </c>
      <c r="D43" s="1"/>
      <c r="E43" s="1"/>
      <c r="F43" s="1"/>
      <c r="G43" s="1"/>
      <c r="H43" s="67"/>
    </row>
    <row r="44" spans="1:8" x14ac:dyDescent="0.2">
      <c r="A44" s="1"/>
      <c r="B44" s="1"/>
      <c r="C44" s="2" t="s">
        <v>105</v>
      </c>
      <c r="D44" s="1"/>
      <c r="E44" s="1" t="s">
        <v>106</v>
      </c>
      <c r="F44" s="13">
        <v>0</v>
      </c>
      <c r="G44" s="14">
        <v>0</v>
      </c>
      <c r="H44" s="67"/>
    </row>
    <row r="45" spans="1:8" x14ac:dyDescent="0.2">
      <c r="A45" s="1"/>
      <c r="B45" s="1"/>
      <c r="C45" s="11"/>
      <c r="D45" s="1"/>
      <c r="E45" s="1"/>
      <c r="F45" s="12"/>
      <c r="G45" s="12"/>
      <c r="H45" s="67"/>
    </row>
    <row r="46" spans="1:8" x14ac:dyDescent="0.2">
      <c r="A46" s="1"/>
      <c r="B46" s="1"/>
      <c r="C46" s="2" t="s">
        <v>109</v>
      </c>
      <c r="D46" s="1"/>
      <c r="E46" s="1"/>
      <c r="F46" s="1"/>
      <c r="G46" s="1"/>
      <c r="H46" s="67"/>
    </row>
    <row r="47" spans="1:8" x14ac:dyDescent="0.2">
      <c r="A47" s="1"/>
      <c r="B47" s="1"/>
      <c r="C47" s="2" t="s">
        <v>105</v>
      </c>
      <c r="D47" s="1"/>
      <c r="E47" s="1" t="s">
        <v>106</v>
      </c>
      <c r="F47" s="13">
        <v>0</v>
      </c>
      <c r="G47" s="14">
        <v>0</v>
      </c>
      <c r="H47" s="67"/>
    </row>
    <row r="48" spans="1:8" x14ac:dyDescent="0.2">
      <c r="A48" s="1"/>
      <c r="B48" s="1"/>
      <c r="C48" s="11"/>
      <c r="D48" s="1"/>
      <c r="E48" s="1"/>
      <c r="F48" s="12"/>
      <c r="G48" s="12"/>
      <c r="H48" s="67"/>
    </row>
    <row r="49" spans="1:8" x14ac:dyDescent="0.2">
      <c r="A49" s="1"/>
      <c r="B49" s="1"/>
      <c r="C49" s="2" t="s">
        <v>110</v>
      </c>
      <c r="D49" s="1"/>
      <c r="E49" s="1"/>
      <c r="F49" s="12"/>
      <c r="G49" s="12"/>
      <c r="H49" s="67"/>
    </row>
    <row r="50" spans="1:8" x14ac:dyDescent="0.2">
      <c r="A50" s="1"/>
      <c r="B50" s="1"/>
      <c r="C50" s="2" t="s">
        <v>105</v>
      </c>
      <c r="D50" s="1"/>
      <c r="E50" s="1" t="s">
        <v>106</v>
      </c>
      <c r="F50" s="13">
        <v>0</v>
      </c>
      <c r="G50" s="14">
        <v>0</v>
      </c>
      <c r="H50" s="67"/>
    </row>
    <row r="51" spans="1:8" x14ac:dyDescent="0.2">
      <c r="A51" s="1"/>
      <c r="B51" s="1"/>
      <c r="C51" s="11"/>
      <c r="D51" s="1"/>
      <c r="E51" s="1"/>
      <c r="F51" s="12"/>
      <c r="G51" s="12"/>
      <c r="H51" s="67"/>
    </row>
    <row r="52" spans="1:8" x14ac:dyDescent="0.2">
      <c r="A52" s="1"/>
      <c r="B52" s="1"/>
      <c r="C52" s="2" t="s">
        <v>111</v>
      </c>
      <c r="D52" s="1"/>
      <c r="E52" s="1"/>
      <c r="F52" s="12"/>
      <c r="G52" s="12"/>
      <c r="H52" s="67"/>
    </row>
    <row r="53" spans="1:8" x14ac:dyDescent="0.2">
      <c r="A53" s="1"/>
      <c r="B53" s="1"/>
      <c r="C53" s="2" t="s">
        <v>105</v>
      </c>
      <c r="D53" s="1"/>
      <c r="E53" s="1" t="s">
        <v>106</v>
      </c>
      <c r="F53" s="13">
        <v>0</v>
      </c>
      <c r="G53" s="14">
        <v>0</v>
      </c>
      <c r="H53" s="67"/>
    </row>
    <row r="54" spans="1:8" x14ac:dyDescent="0.2">
      <c r="A54" s="1"/>
      <c r="B54" s="1"/>
      <c r="C54" s="11"/>
      <c r="D54" s="1"/>
      <c r="E54" s="1"/>
      <c r="F54" s="12"/>
      <c r="G54" s="12"/>
      <c r="H54" s="67"/>
    </row>
    <row r="55" spans="1:8" x14ac:dyDescent="0.2">
      <c r="A55" s="1"/>
      <c r="B55" s="1"/>
      <c r="C55" s="2" t="s">
        <v>112</v>
      </c>
      <c r="D55" s="1"/>
      <c r="E55" s="1"/>
      <c r="F55" s="9">
        <v>3743.247582</v>
      </c>
      <c r="G55" s="10">
        <v>0.92059655600000001</v>
      </c>
      <c r="H55" s="67"/>
    </row>
    <row r="56" spans="1:8" x14ac:dyDescent="0.2">
      <c r="A56" s="1"/>
      <c r="B56" s="1"/>
      <c r="C56" s="11"/>
      <c r="D56" s="1"/>
      <c r="E56" s="1"/>
      <c r="F56" s="12"/>
      <c r="G56" s="12"/>
      <c r="H56" s="67"/>
    </row>
    <row r="57" spans="1:8" x14ac:dyDescent="0.2">
      <c r="A57" s="1"/>
      <c r="B57" s="1"/>
      <c r="C57" s="2" t="s">
        <v>113</v>
      </c>
      <c r="D57" s="1"/>
      <c r="E57" s="1"/>
      <c r="F57" s="12"/>
      <c r="G57" s="12"/>
      <c r="H57" s="67"/>
    </row>
    <row r="58" spans="1:8" ht="25.5" x14ac:dyDescent="0.2">
      <c r="A58" s="1"/>
      <c r="B58" s="1"/>
      <c r="C58" s="2" t="s">
        <v>10</v>
      </c>
      <c r="D58" s="1"/>
      <c r="E58" s="1"/>
      <c r="F58" s="12"/>
      <c r="G58" s="12"/>
      <c r="H58" s="67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13">
        <v>0</v>
      </c>
      <c r="G59" s="14">
        <v>0</v>
      </c>
      <c r="H59" s="67"/>
    </row>
    <row r="60" spans="1:8" x14ac:dyDescent="0.2">
      <c r="A60" s="1"/>
      <c r="B60" s="1"/>
      <c r="C60" s="11"/>
      <c r="D60" s="1"/>
      <c r="E60" s="1"/>
      <c r="F60" s="12"/>
      <c r="G60" s="12"/>
      <c r="H60" s="67"/>
    </row>
    <row r="61" spans="1:8" x14ac:dyDescent="0.2">
      <c r="A61" s="1"/>
      <c r="B61" s="1"/>
      <c r="C61" s="2" t="s">
        <v>114</v>
      </c>
      <c r="D61" s="1"/>
      <c r="E61" s="1"/>
      <c r="F61" s="1"/>
      <c r="G61" s="1"/>
      <c r="H61" s="67"/>
    </row>
    <row r="62" spans="1:8" x14ac:dyDescent="0.2">
      <c r="A62" s="1"/>
      <c r="B62" s="1"/>
      <c r="C62" s="2" t="s">
        <v>105</v>
      </c>
      <c r="D62" s="1"/>
      <c r="E62" s="1" t="s">
        <v>106</v>
      </c>
      <c r="F62" s="13">
        <v>0</v>
      </c>
      <c r="G62" s="14">
        <v>0</v>
      </c>
      <c r="H62" s="67"/>
    </row>
    <row r="63" spans="1:8" x14ac:dyDescent="0.2">
      <c r="A63" s="1"/>
      <c r="B63" s="1"/>
      <c r="C63" s="11"/>
      <c r="D63" s="1"/>
      <c r="E63" s="1"/>
      <c r="F63" s="12"/>
      <c r="G63" s="12"/>
      <c r="H63" s="67"/>
    </row>
    <row r="64" spans="1:8" x14ac:dyDescent="0.2">
      <c r="A64" s="1"/>
      <c r="B64" s="1"/>
      <c r="C64" s="2" t="s">
        <v>115</v>
      </c>
      <c r="D64" s="1"/>
      <c r="E64" s="1"/>
      <c r="F64" s="1"/>
      <c r="G64" s="1"/>
      <c r="H64" s="67"/>
    </row>
    <row r="65" spans="1:8" x14ac:dyDescent="0.2">
      <c r="A65" s="1"/>
      <c r="B65" s="1"/>
      <c r="C65" s="2" t="s">
        <v>105</v>
      </c>
      <c r="D65" s="1"/>
      <c r="E65" s="1" t="s">
        <v>106</v>
      </c>
      <c r="F65" s="13">
        <v>0</v>
      </c>
      <c r="G65" s="14">
        <v>0</v>
      </c>
      <c r="H65" s="67"/>
    </row>
    <row r="66" spans="1:8" x14ac:dyDescent="0.2">
      <c r="A66" s="1"/>
      <c r="B66" s="1"/>
      <c r="C66" s="11"/>
      <c r="D66" s="1"/>
      <c r="E66" s="1"/>
      <c r="F66" s="12"/>
      <c r="G66" s="12"/>
      <c r="H66" s="67"/>
    </row>
    <row r="67" spans="1:8" x14ac:dyDescent="0.2">
      <c r="A67" s="1"/>
      <c r="B67" s="1"/>
      <c r="C67" s="2" t="s">
        <v>116</v>
      </c>
      <c r="D67" s="1"/>
      <c r="E67" s="1"/>
      <c r="F67" s="12"/>
      <c r="G67" s="12"/>
      <c r="H67" s="67"/>
    </row>
    <row r="68" spans="1:8" x14ac:dyDescent="0.2">
      <c r="A68" s="1"/>
      <c r="B68" s="1"/>
      <c r="C68" s="2" t="s">
        <v>105</v>
      </c>
      <c r="D68" s="1"/>
      <c r="E68" s="1" t="s">
        <v>106</v>
      </c>
      <c r="F68" s="13">
        <v>0</v>
      </c>
      <c r="G68" s="14">
        <v>0</v>
      </c>
      <c r="H68" s="67"/>
    </row>
    <row r="69" spans="1:8" x14ac:dyDescent="0.2">
      <c r="A69" s="1"/>
      <c r="B69" s="1"/>
      <c r="C69" s="11"/>
      <c r="D69" s="1"/>
      <c r="E69" s="1"/>
      <c r="F69" s="12"/>
      <c r="G69" s="12"/>
      <c r="H69" s="67"/>
    </row>
    <row r="70" spans="1:8" x14ac:dyDescent="0.2">
      <c r="A70" s="1"/>
      <c r="B70" s="1"/>
      <c r="C70" s="2" t="s">
        <v>117</v>
      </c>
      <c r="D70" s="1"/>
      <c r="E70" s="1"/>
      <c r="F70" s="9">
        <v>0</v>
      </c>
      <c r="G70" s="10">
        <v>0</v>
      </c>
      <c r="H70" s="67"/>
    </row>
    <row r="71" spans="1:8" x14ac:dyDescent="0.2">
      <c r="A71" s="1"/>
      <c r="B71" s="1"/>
      <c r="C71" s="11"/>
      <c r="D71" s="1"/>
      <c r="E71" s="1"/>
      <c r="F71" s="12"/>
      <c r="G71" s="12"/>
      <c r="H71" s="67"/>
    </row>
    <row r="72" spans="1:8" x14ac:dyDescent="0.2">
      <c r="A72" s="1"/>
      <c r="B72" s="1"/>
      <c r="C72" s="2" t="s">
        <v>118</v>
      </c>
      <c r="D72" s="1"/>
      <c r="E72" s="1"/>
      <c r="F72" s="12"/>
      <c r="G72" s="12"/>
      <c r="H72" s="67"/>
    </row>
    <row r="73" spans="1:8" x14ac:dyDescent="0.2">
      <c r="A73" s="1"/>
      <c r="B73" s="1"/>
      <c r="C73" s="2" t="s">
        <v>119</v>
      </c>
      <c r="D73" s="1"/>
      <c r="E73" s="1"/>
      <c r="F73" s="12"/>
      <c r="G73" s="12"/>
      <c r="H73" s="67"/>
    </row>
    <row r="74" spans="1:8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">
        <v>0</v>
      </c>
      <c r="H74" s="67"/>
    </row>
    <row r="75" spans="1:8" x14ac:dyDescent="0.2">
      <c r="A75" s="1"/>
      <c r="B75" s="1"/>
      <c r="C75" s="11"/>
      <c r="D75" s="1"/>
      <c r="E75" s="1"/>
      <c r="F75" s="12"/>
      <c r="G75" s="12"/>
      <c r="H75" s="67"/>
    </row>
    <row r="76" spans="1:8" x14ac:dyDescent="0.2">
      <c r="A76" s="1"/>
      <c r="B76" s="1"/>
      <c r="C76" s="2" t="s">
        <v>120</v>
      </c>
      <c r="D76" s="1"/>
      <c r="E76" s="1"/>
      <c r="F76" s="12"/>
      <c r="G76" s="12"/>
      <c r="H76" s="67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7"/>
    </row>
    <row r="78" spans="1:8" x14ac:dyDescent="0.2">
      <c r="A78" s="1"/>
      <c r="B78" s="1"/>
      <c r="C78" s="11"/>
      <c r="D78" s="1"/>
      <c r="E78" s="1"/>
      <c r="F78" s="12"/>
      <c r="G78" s="12"/>
      <c r="H78" s="67"/>
    </row>
    <row r="79" spans="1:8" x14ac:dyDescent="0.2">
      <c r="A79" s="1"/>
      <c r="B79" s="1"/>
      <c r="C79" s="2" t="s">
        <v>121</v>
      </c>
      <c r="D79" s="1"/>
      <c r="E79" s="1"/>
      <c r="F79" s="12"/>
      <c r="G79" s="12"/>
      <c r="H79" s="67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7"/>
    </row>
    <row r="81" spans="1:8" x14ac:dyDescent="0.2">
      <c r="A81" s="1"/>
      <c r="B81" s="1"/>
      <c r="C81" s="11"/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122</v>
      </c>
      <c r="D82" s="1"/>
      <c r="E82" s="1"/>
      <c r="F82" s="12"/>
      <c r="G82" s="12"/>
      <c r="H82" s="67"/>
    </row>
    <row r="83" spans="1:8" x14ac:dyDescent="0.2">
      <c r="A83" s="3">
        <v>1</v>
      </c>
      <c r="B83" s="4"/>
      <c r="C83" s="4" t="s">
        <v>123</v>
      </c>
      <c r="D83" s="4"/>
      <c r="E83" s="8"/>
      <c r="F83" s="6">
        <v>290.31060589999998</v>
      </c>
      <c r="G83" s="7">
        <v>7.1397612999999999E-2</v>
      </c>
      <c r="H83" s="67">
        <v>3.1047477660654299</v>
      </c>
    </row>
    <row r="84" spans="1:8" x14ac:dyDescent="0.2">
      <c r="A84" s="1"/>
      <c r="B84" s="1"/>
      <c r="C84" s="2" t="s">
        <v>105</v>
      </c>
      <c r="D84" s="1"/>
      <c r="E84" s="1" t="s">
        <v>106</v>
      </c>
      <c r="F84" s="9">
        <v>290.31060589999998</v>
      </c>
      <c r="G84" s="10">
        <v>7.1397612999999999E-2</v>
      </c>
      <c r="H84" s="67"/>
    </row>
    <row r="85" spans="1:8" x14ac:dyDescent="0.2">
      <c r="A85" s="1"/>
      <c r="B85" s="1"/>
      <c r="C85" s="11"/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124</v>
      </c>
      <c r="D86" s="1"/>
      <c r="E86" s="1"/>
      <c r="F86" s="9">
        <v>290.31060589999998</v>
      </c>
      <c r="G86" s="10">
        <v>7.1397612999999999E-2</v>
      </c>
      <c r="H86" s="67"/>
    </row>
    <row r="87" spans="1:8" x14ac:dyDescent="0.2">
      <c r="A87" s="1"/>
      <c r="B87" s="1"/>
      <c r="C87" s="12"/>
      <c r="D87" s="1"/>
      <c r="E87" s="1"/>
      <c r="F87" s="1"/>
      <c r="G87" s="1"/>
      <c r="H87" s="67"/>
    </row>
    <row r="88" spans="1:8" x14ac:dyDescent="0.2">
      <c r="A88" s="1"/>
      <c r="B88" s="1"/>
      <c r="C88" s="2" t="s">
        <v>125</v>
      </c>
      <c r="D88" s="1"/>
      <c r="E88" s="1"/>
      <c r="F88" s="1"/>
      <c r="G88" s="1"/>
      <c r="H88" s="67"/>
    </row>
    <row r="89" spans="1:8" x14ac:dyDescent="0.2">
      <c r="A89" s="1"/>
      <c r="B89" s="1"/>
      <c r="C89" s="2" t="s">
        <v>126</v>
      </c>
      <c r="D89" s="1"/>
      <c r="E89" s="1"/>
      <c r="F89" s="1"/>
      <c r="G89" s="1"/>
      <c r="H89" s="67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">
        <v>0</v>
      </c>
      <c r="H90" s="67"/>
    </row>
    <row r="91" spans="1:8" x14ac:dyDescent="0.2">
      <c r="A91" s="1"/>
      <c r="B91" s="1"/>
      <c r="C91" s="11"/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127</v>
      </c>
      <c r="D92" s="1"/>
      <c r="E92" s="1"/>
      <c r="F92" s="1"/>
      <c r="G92" s="1"/>
      <c r="H92" s="67"/>
    </row>
    <row r="93" spans="1:8" x14ac:dyDescent="0.2">
      <c r="A93" s="1"/>
      <c r="B93" s="1"/>
      <c r="C93" s="2" t="s">
        <v>128</v>
      </c>
      <c r="D93" s="1"/>
      <c r="E93" s="1"/>
      <c r="F93" s="1"/>
      <c r="G93" s="1"/>
      <c r="H93" s="67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">
        <v>0</v>
      </c>
      <c r="H94" s="67"/>
    </row>
    <row r="95" spans="1:8" x14ac:dyDescent="0.2">
      <c r="A95" s="1"/>
      <c r="B95" s="1"/>
      <c r="C95" s="11"/>
      <c r="D95" s="1"/>
      <c r="E95" s="1"/>
      <c r="F95" s="12"/>
      <c r="G95" s="12"/>
      <c r="H95" s="67"/>
    </row>
    <row r="96" spans="1:8" x14ac:dyDescent="0.2">
      <c r="A96" s="1"/>
      <c r="B96" s="1"/>
      <c r="C96" s="11"/>
      <c r="D96" s="1"/>
      <c r="E96" s="1"/>
      <c r="F96" s="12"/>
      <c r="G96" s="12"/>
      <c r="H96" s="67"/>
    </row>
    <row r="97" spans="1:8" ht="25.5" x14ac:dyDescent="0.2">
      <c r="A97" s="1"/>
      <c r="B97" s="1"/>
      <c r="C97" s="2" t="s">
        <v>129</v>
      </c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7"/>
    </row>
    <row r="99" spans="1:8" x14ac:dyDescent="0.2">
      <c r="A99" s="1"/>
      <c r="B99" s="1"/>
      <c r="C99" s="11"/>
      <c r="D99" s="1"/>
      <c r="E99" s="1"/>
      <c r="F99" s="12"/>
      <c r="G99" s="12"/>
      <c r="H99" s="67"/>
    </row>
    <row r="100" spans="1:8" x14ac:dyDescent="0.2">
      <c r="A100" s="1"/>
      <c r="B100" s="4"/>
      <c r="C100" s="4"/>
      <c r="D100" s="2"/>
      <c r="E100" s="1"/>
      <c r="F100" s="4"/>
      <c r="G100" s="8"/>
      <c r="H100" s="67"/>
    </row>
    <row r="101" spans="1:8" x14ac:dyDescent="0.2">
      <c r="A101" s="8"/>
      <c r="B101" s="4"/>
      <c r="C101" s="4" t="s">
        <v>130</v>
      </c>
      <c r="D101" s="4"/>
      <c r="E101" s="8"/>
      <c r="F101" s="6">
        <v>32.55259813</v>
      </c>
      <c r="G101" s="7">
        <v>8.0058319999999992E-3</v>
      </c>
      <c r="H101" s="67"/>
    </row>
    <row r="102" spans="1:8" x14ac:dyDescent="0.2">
      <c r="A102" s="11"/>
      <c r="B102" s="11"/>
      <c r="C102" s="2" t="s">
        <v>131</v>
      </c>
      <c r="D102" s="15"/>
      <c r="E102" s="15"/>
      <c r="F102" s="9">
        <v>4066.1107860299999</v>
      </c>
      <c r="G102" s="10">
        <v>1.0000000010000001</v>
      </c>
      <c r="H102" s="67"/>
    </row>
    <row r="103" spans="1:8" ht="14.1" customHeight="1" x14ac:dyDescent="0.2">
      <c r="A103" s="16"/>
      <c r="B103" s="16"/>
      <c r="C103" s="16"/>
      <c r="D103" s="17"/>
      <c r="E103" s="17"/>
      <c r="F103" s="17"/>
      <c r="G103" s="17"/>
    </row>
    <row r="104" spans="1:8" ht="14.1" customHeight="1" x14ac:dyDescent="0.2">
      <c r="A104" s="18"/>
      <c r="B104" s="170" t="s">
        <v>106</v>
      </c>
      <c r="C104" s="170"/>
      <c r="D104" s="170"/>
      <c r="E104" s="170"/>
      <c r="F104" s="170"/>
      <c r="G104" s="20"/>
    </row>
    <row r="105" spans="1:8" ht="14.1" customHeight="1" x14ac:dyDescent="0.2">
      <c r="A105" s="18"/>
      <c r="B105" s="170" t="s">
        <v>106</v>
      </c>
      <c r="C105" s="170"/>
      <c r="D105" s="170"/>
      <c r="E105" s="170"/>
      <c r="F105" s="170"/>
      <c r="G105" s="20"/>
    </row>
    <row r="106" spans="1:8" ht="14.1" customHeight="1" x14ac:dyDescent="0.2">
      <c r="A106" s="18"/>
      <c r="B106" s="18"/>
      <c r="C106" s="18"/>
      <c r="D106" s="20"/>
      <c r="E106" s="20"/>
      <c r="F106" s="20"/>
      <c r="G106" s="20"/>
    </row>
    <row r="107" spans="1:8" ht="14.1" customHeight="1" x14ac:dyDescent="0.2">
      <c r="A107" s="18"/>
      <c r="B107" s="168" t="s">
        <v>133</v>
      </c>
      <c r="C107" s="169"/>
      <c r="D107" s="12" t="s">
        <v>106</v>
      </c>
      <c r="E107" s="21"/>
      <c r="F107" s="20"/>
      <c r="G107" s="20"/>
    </row>
    <row r="108" spans="1:8" ht="29.1" customHeight="1" x14ac:dyDescent="0.2">
      <c r="A108" s="18"/>
      <c r="B108" s="165" t="s">
        <v>134</v>
      </c>
      <c r="C108" s="166"/>
      <c r="D108" s="2" t="s">
        <v>135</v>
      </c>
      <c r="E108" s="21"/>
      <c r="F108" s="20"/>
      <c r="G108" s="20"/>
    </row>
    <row r="109" spans="1:8" ht="17.100000000000001" customHeight="1" x14ac:dyDescent="0.2">
      <c r="A109" s="18"/>
      <c r="B109" s="165" t="s">
        <v>136</v>
      </c>
      <c r="C109" s="166"/>
      <c r="D109" s="2" t="s">
        <v>135</v>
      </c>
      <c r="E109" s="21"/>
      <c r="F109" s="20"/>
      <c r="G109" s="20"/>
    </row>
    <row r="110" spans="1:8" ht="17.100000000000001" customHeight="1" x14ac:dyDescent="0.2">
      <c r="A110" s="18"/>
      <c r="B110" s="165" t="s">
        <v>137</v>
      </c>
      <c r="C110" s="166"/>
      <c r="D110" s="12" t="s">
        <v>106</v>
      </c>
      <c r="E110" s="21"/>
      <c r="F110" s="20"/>
      <c r="G110" s="20"/>
    </row>
    <row r="111" spans="1:8" ht="24" customHeight="1" x14ac:dyDescent="0.2">
      <c r="A111" s="22"/>
      <c r="B111" s="23" t="s">
        <v>106</v>
      </c>
      <c r="C111" s="23" t="s">
        <v>138</v>
      </c>
      <c r="D111" s="23" t="s">
        <v>139</v>
      </c>
      <c r="E111" s="22"/>
      <c r="F111" s="22"/>
      <c r="G111" s="22"/>
    </row>
    <row r="112" spans="1:8" ht="18" customHeight="1" x14ac:dyDescent="0.2">
      <c r="A112" s="22"/>
      <c r="B112" s="23" t="s">
        <v>140</v>
      </c>
      <c r="C112" s="23" t="s">
        <v>141</v>
      </c>
      <c r="D112" s="23" t="s">
        <v>142</v>
      </c>
      <c r="E112" s="22"/>
      <c r="F112" s="22"/>
      <c r="G112" s="22"/>
    </row>
    <row r="113" spans="1:7" ht="17.100000000000001" customHeight="1" x14ac:dyDescent="0.2">
      <c r="A113" s="22"/>
      <c r="B113" s="4" t="s">
        <v>143</v>
      </c>
      <c r="C113" s="24">
        <v>14.689399999999999</v>
      </c>
      <c r="D113" s="24">
        <v>14.544700000000001</v>
      </c>
      <c r="E113" s="22"/>
      <c r="F113" s="19"/>
      <c r="G113" s="25"/>
    </row>
    <row r="114" spans="1:7" ht="17.100000000000001" customHeight="1" x14ac:dyDescent="0.2">
      <c r="A114" s="22"/>
      <c r="B114" s="4" t="s">
        <v>988</v>
      </c>
      <c r="C114" s="24">
        <v>13.6107</v>
      </c>
      <c r="D114" s="24">
        <v>13.476599999999999</v>
      </c>
      <c r="E114" s="22"/>
      <c r="F114" s="19"/>
      <c r="G114" s="25"/>
    </row>
    <row r="115" spans="1:7" ht="17.100000000000001" customHeight="1" x14ac:dyDescent="0.2">
      <c r="A115" s="22"/>
      <c r="B115" s="4" t="s">
        <v>144</v>
      </c>
      <c r="C115" s="24">
        <v>14.280200000000001</v>
      </c>
      <c r="D115" s="24">
        <v>14.1332</v>
      </c>
      <c r="E115" s="22"/>
      <c r="F115" s="19"/>
      <c r="G115" s="25"/>
    </row>
    <row r="116" spans="1:7" ht="17.100000000000001" customHeight="1" x14ac:dyDescent="0.2">
      <c r="A116" s="22"/>
      <c r="B116" s="4" t="s">
        <v>989</v>
      </c>
      <c r="C116" s="24">
        <v>13.508800000000001</v>
      </c>
      <c r="D116" s="24">
        <v>13.3698</v>
      </c>
      <c r="E116" s="22"/>
      <c r="F116" s="19"/>
      <c r="G116" s="25"/>
    </row>
    <row r="117" spans="1:7" ht="14.1" customHeight="1" x14ac:dyDescent="0.2">
      <c r="A117" s="22"/>
      <c r="B117" s="22"/>
      <c r="C117" s="22"/>
      <c r="D117" s="22"/>
      <c r="E117" s="22"/>
      <c r="F117" s="22"/>
      <c r="G117" s="22"/>
    </row>
    <row r="118" spans="1:7" ht="17.100000000000001" customHeight="1" x14ac:dyDescent="0.2">
      <c r="A118" s="22"/>
      <c r="B118" s="165" t="s">
        <v>990</v>
      </c>
      <c r="C118" s="166"/>
      <c r="D118" s="2" t="s">
        <v>135</v>
      </c>
      <c r="E118" s="22"/>
      <c r="F118" s="22"/>
      <c r="G118" s="22"/>
    </row>
    <row r="119" spans="1:7" ht="18" customHeight="1" x14ac:dyDescent="0.2">
      <c r="A119" s="22"/>
      <c r="B119" s="26" t="s">
        <v>145</v>
      </c>
      <c r="C119" s="26" t="s">
        <v>145</v>
      </c>
      <c r="D119" s="26"/>
      <c r="E119" s="22"/>
      <c r="F119" s="22"/>
      <c r="G119" s="22"/>
    </row>
    <row r="120" spans="1:7" s="158" customFormat="1" x14ac:dyDescent="0.2">
      <c r="B120" s="167" t="s">
        <v>822</v>
      </c>
      <c r="C120" s="167"/>
      <c r="D120" s="167"/>
      <c r="E120" s="167"/>
      <c r="F120" s="167"/>
    </row>
    <row r="121" spans="1:7" ht="14.1" customHeight="1" x14ac:dyDescent="0.2">
      <c r="A121" s="22"/>
      <c r="B121" s="19"/>
      <c r="C121" s="19"/>
      <c r="D121" s="22"/>
      <c r="E121" s="22"/>
      <c r="F121" s="22"/>
      <c r="G121" s="22"/>
    </row>
    <row r="122" spans="1:7" ht="29.1" customHeight="1" x14ac:dyDescent="0.2">
      <c r="A122" s="22"/>
      <c r="B122" s="165" t="s">
        <v>146</v>
      </c>
      <c r="C122" s="166"/>
      <c r="D122" s="2" t="s">
        <v>135</v>
      </c>
      <c r="E122" s="22"/>
      <c r="F122" s="22"/>
      <c r="G122" s="22"/>
    </row>
    <row r="123" spans="1:7" ht="29.1" customHeight="1" x14ac:dyDescent="0.2">
      <c r="A123" s="22"/>
      <c r="B123" s="165" t="s">
        <v>147</v>
      </c>
      <c r="C123" s="166"/>
      <c r="D123" s="2" t="s">
        <v>135</v>
      </c>
      <c r="E123" s="22"/>
      <c r="F123" s="22"/>
      <c r="G123" s="22"/>
    </row>
    <row r="124" spans="1:7" ht="17.100000000000001" customHeight="1" x14ac:dyDescent="0.2">
      <c r="A124" s="22"/>
      <c r="B124" s="165" t="s">
        <v>148</v>
      </c>
      <c r="C124" s="166"/>
      <c r="D124" s="27">
        <v>0.84519325873807782</v>
      </c>
      <c r="E124" s="22"/>
      <c r="F124" s="19"/>
      <c r="G124" s="25"/>
    </row>
    <row r="125" spans="1:7" ht="17.100000000000001" customHeight="1" x14ac:dyDescent="0.2">
      <c r="A125" s="22"/>
      <c r="B125" s="165" t="s">
        <v>149</v>
      </c>
      <c r="C125" s="166"/>
      <c r="D125" s="2" t="s">
        <v>135</v>
      </c>
      <c r="E125" s="22"/>
      <c r="F125" s="22"/>
      <c r="G125" s="22"/>
    </row>
  </sheetData>
  <mergeCells count="15">
    <mergeCell ref="B107:C107"/>
    <mergeCell ref="B104:F104"/>
    <mergeCell ref="B105:F105"/>
    <mergeCell ref="A1:H1"/>
    <mergeCell ref="A2:H2"/>
    <mergeCell ref="A3:H3"/>
    <mergeCell ref="B124:C124"/>
    <mergeCell ref="B125:C125"/>
    <mergeCell ref="B108:C108"/>
    <mergeCell ref="B109:C109"/>
    <mergeCell ref="B110:C110"/>
    <mergeCell ref="B118:C118"/>
    <mergeCell ref="B122:C122"/>
    <mergeCell ref="B123:C123"/>
    <mergeCell ref="B120:F120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H13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</row>
    <row r="2" spans="1:8" ht="17.100000000000001" customHeight="1" x14ac:dyDescent="0.2">
      <c r="A2" s="172" t="s">
        <v>733</v>
      </c>
      <c r="B2" s="173"/>
      <c r="C2" s="173"/>
      <c r="D2" s="173"/>
      <c r="E2" s="173"/>
      <c r="F2" s="173"/>
      <c r="G2" s="173"/>
      <c r="H2" s="174"/>
    </row>
    <row r="3" spans="1:8" ht="21" customHeight="1" x14ac:dyDescent="0.2">
      <c r="A3" s="171" t="s">
        <v>977</v>
      </c>
      <c r="B3" s="171"/>
      <c r="C3" s="171"/>
      <c r="D3" s="171"/>
      <c r="E3" s="171"/>
      <c r="F3" s="171"/>
      <c r="G3" s="171"/>
      <c r="H3" s="171"/>
    </row>
    <row r="4" spans="1:8" s="160" customFormat="1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47" t="s">
        <v>808</v>
      </c>
    </row>
    <row r="5" spans="1:8" x14ac:dyDescent="0.2">
      <c r="A5" s="1"/>
      <c r="B5" s="1"/>
      <c r="C5" s="2" t="s">
        <v>9</v>
      </c>
      <c r="D5" s="1"/>
      <c r="E5" s="1"/>
      <c r="F5" s="1"/>
      <c r="G5" s="1"/>
      <c r="H5" s="67"/>
    </row>
    <row r="6" spans="1:8" ht="25.5" x14ac:dyDescent="0.2">
      <c r="A6" s="1"/>
      <c r="B6" s="1"/>
      <c r="C6" s="2" t="s">
        <v>10</v>
      </c>
      <c r="D6" s="1"/>
      <c r="E6" s="1"/>
      <c r="F6" s="1"/>
      <c r="G6" s="1"/>
      <c r="H6" s="67"/>
    </row>
    <row r="7" spans="1:8" x14ac:dyDescent="0.2">
      <c r="A7" s="3">
        <v>1</v>
      </c>
      <c r="B7" s="4" t="s">
        <v>22</v>
      </c>
      <c r="C7" s="4" t="s">
        <v>23</v>
      </c>
      <c r="D7" s="4" t="s">
        <v>24</v>
      </c>
      <c r="E7" s="5">
        <v>180295</v>
      </c>
      <c r="F7" s="6">
        <v>1296.4111975000001</v>
      </c>
      <c r="G7" s="7">
        <v>8.1913542000000006E-2</v>
      </c>
      <c r="H7" s="67"/>
    </row>
    <row r="8" spans="1:8" x14ac:dyDescent="0.2">
      <c r="A8" s="3">
        <v>2</v>
      </c>
      <c r="B8" s="4" t="s">
        <v>404</v>
      </c>
      <c r="C8" s="4" t="s">
        <v>405</v>
      </c>
      <c r="D8" s="4" t="s">
        <v>24</v>
      </c>
      <c r="E8" s="5">
        <v>264724</v>
      </c>
      <c r="F8" s="6">
        <v>1127.8566020000001</v>
      </c>
      <c r="G8" s="7">
        <v>7.1263445999999994E-2</v>
      </c>
      <c r="H8" s="67"/>
    </row>
    <row r="9" spans="1:8" x14ac:dyDescent="0.2">
      <c r="A9" s="3">
        <v>3</v>
      </c>
      <c r="B9" s="4" t="s">
        <v>354</v>
      </c>
      <c r="C9" s="4" t="s">
        <v>355</v>
      </c>
      <c r="D9" s="4" t="s">
        <v>24</v>
      </c>
      <c r="E9" s="5">
        <v>120791</v>
      </c>
      <c r="F9" s="6">
        <v>950.02121499999998</v>
      </c>
      <c r="G9" s="7">
        <v>6.0026943999999999E-2</v>
      </c>
      <c r="H9" s="67"/>
    </row>
    <row r="10" spans="1:8" x14ac:dyDescent="0.2">
      <c r="A10" s="3">
        <v>4</v>
      </c>
      <c r="B10" s="4" t="s">
        <v>11</v>
      </c>
      <c r="C10" s="4" t="s">
        <v>12</v>
      </c>
      <c r="D10" s="4" t="s">
        <v>13</v>
      </c>
      <c r="E10" s="5">
        <v>49460</v>
      </c>
      <c r="F10" s="6">
        <v>827.07011999999997</v>
      </c>
      <c r="G10" s="7">
        <v>5.2258298000000002E-2</v>
      </c>
      <c r="H10" s="67"/>
    </row>
    <row r="11" spans="1:8" ht="25.5" x14ac:dyDescent="0.2">
      <c r="A11" s="3">
        <v>5</v>
      </c>
      <c r="B11" s="4" t="s">
        <v>402</v>
      </c>
      <c r="C11" s="4" t="s">
        <v>403</v>
      </c>
      <c r="D11" s="4" t="s">
        <v>81</v>
      </c>
      <c r="E11" s="5">
        <v>28698</v>
      </c>
      <c r="F11" s="6">
        <v>803.11352999999997</v>
      </c>
      <c r="G11" s="7">
        <v>5.0744604999999998E-2</v>
      </c>
      <c r="H11" s="67"/>
    </row>
    <row r="12" spans="1:8" x14ac:dyDescent="0.2">
      <c r="A12" s="3">
        <v>6</v>
      </c>
      <c r="B12" s="4" t="s">
        <v>17</v>
      </c>
      <c r="C12" s="4" t="s">
        <v>18</v>
      </c>
      <c r="D12" s="4" t="s">
        <v>19</v>
      </c>
      <c r="E12" s="5">
        <v>117223</v>
      </c>
      <c r="F12" s="6">
        <v>778.4193315</v>
      </c>
      <c r="G12" s="7">
        <v>4.9184304999999998E-2</v>
      </c>
      <c r="H12" s="67"/>
    </row>
    <row r="13" spans="1:8" x14ac:dyDescent="0.2">
      <c r="A13" s="3">
        <v>7</v>
      </c>
      <c r="B13" s="4" t="s">
        <v>42</v>
      </c>
      <c r="C13" s="4" t="s">
        <v>43</v>
      </c>
      <c r="D13" s="4" t="s">
        <v>16</v>
      </c>
      <c r="E13" s="5">
        <v>113768</v>
      </c>
      <c r="F13" s="6">
        <v>536.586772</v>
      </c>
      <c r="G13" s="7">
        <v>3.3904152E-2</v>
      </c>
      <c r="H13" s="67"/>
    </row>
    <row r="14" spans="1:8" x14ac:dyDescent="0.2">
      <c r="A14" s="3">
        <v>8</v>
      </c>
      <c r="B14" s="4" t="s">
        <v>253</v>
      </c>
      <c r="C14" s="4" t="s">
        <v>254</v>
      </c>
      <c r="D14" s="4" t="s">
        <v>49</v>
      </c>
      <c r="E14" s="5">
        <v>48594</v>
      </c>
      <c r="F14" s="6">
        <v>512.18075999999996</v>
      </c>
      <c r="G14" s="7">
        <v>3.2362061999999997E-2</v>
      </c>
      <c r="H14" s="67"/>
    </row>
    <row r="15" spans="1:8" x14ac:dyDescent="0.2">
      <c r="A15" s="3">
        <v>9</v>
      </c>
      <c r="B15" s="4" t="s">
        <v>356</v>
      </c>
      <c r="C15" s="4" t="s">
        <v>357</v>
      </c>
      <c r="D15" s="4" t="s">
        <v>24</v>
      </c>
      <c r="E15" s="5">
        <v>651045</v>
      </c>
      <c r="F15" s="6">
        <v>503.58330749999999</v>
      </c>
      <c r="G15" s="7">
        <v>3.1818833999999997E-2</v>
      </c>
      <c r="H15" s="67"/>
    </row>
    <row r="16" spans="1:8" x14ac:dyDescent="0.2">
      <c r="A16" s="3">
        <v>10</v>
      </c>
      <c r="B16" s="4" t="s">
        <v>58</v>
      </c>
      <c r="C16" s="4" t="s">
        <v>59</v>
      </c>
      <c r="D16" s="4" t="s">
        <v>60</v>
      </c>
      <c r="E16" s="5">
        <v>337303</v>
      </c>
      <c r="F16" s="6">
        <v>492.96833450000003</v>
      </c>
      <c r="G16" s="7">
        <v>3.1148128000000001E-2</v>
      </c>
      <c r="H16" s="67"/>
    </row>
    <row r="17" spans="1:8" ht="25.5" x14ac:dyDescent="0.2">
      <c r="A17" s="3">
        <v>11</v>
      </c>
      <c r="B17" s="4" t="s">
        <v>429</v>
      </c>
      <c r="C17" s="4" t="s">
        <v>430</v>
      </c>
      <c r="D17" s="4" t="s">
        <v>52</v>
      </c>
      <c r="E17" s="5">
        <v>223057</v>
      </c>
      <c r="F17" s="6">
        <v>471.31944099999998</v>
      </c>
      <c r="G17" s="7">
        <v>2.9780246E-2</v>
      </c>
      <c r="H17" s="67"/>
    </row>
    <row r="18" spans="1:8" x14ac:dyDescent="0.2">
      <c r="A18" s="3">
        <v>12</v>
      </c>
      <c r="B18" s="4" t="s">
        <v>643</v>
      </c>
      <c r="C18" s="4" t="s">
        <v>644</v>
      </c>
      <c r="D18" s="4" t="s">
        <v>16</v>
      </c>
      <c r="E18" s="5">
        <v>417847</v>
      </c>
      <c r="F18" s="6">
        <v>463.18339950000001</v>
      </c>
      <c r="G18" s="7">
        <v>2.9266172E-2</v>
      </c>
      <c r="H18" s="67"/>
    </row>
    <row r="19" spans="1:8" x14ac:dyDescent="0.2">
      <c r="A19" s="3">
        <v>13</v>
      </c>
      <c r="B19" s="4" t="s">
        <v>338</v>
      </c>
      <c r="C19" s="4" t="s">
        <v>339</v>
      </c>
      <c r="D19" s="4" t="s">
        <v>24</v>
      </c>
      <c r="E19" s="5">
        <v>508830</v>
      </c>
      <c r="F19" s="6">
        <v>413.424375</v>
      </c>
      <c r="G19" s="7">
        <v>2.6122155000000001E-2</v>
      </c>
      <c r="H19" s="67"/>
    </row>
    <row r="20" spans="1:8" ht="25.5" x14ac:dyDescent="0.2">
      <c r="A20" s="3">
        <v>14</v>
      </c>
      <c r="B20" s="4" t="s">
        <v>65</v>
      </c>
      <c r="C20" s="4" t="s">
        <v>66</v>
      </c>
      <c r="D20" s="4" t="s">
        <v>36</v>
      </c>
      <c r="E20" s="5">
        <v>52829</v>
      </c>
      <c r="F20" s="6">
        <v>384.67436350000003</v>
      </c>
      <c r="G20" s="7">
        <v>2.4305589999999998E-2</v>
      </c>
      <c r="H20" s="67"/>
    </row>
    <row r="21" spans="1:8" ht="25.5" x14ac:dyDescent="0.2">
      <c r="A21" s="3">
        <v>15</v>
      </c>
      <c r="B21" s="4" t="s">
        <v>723</v>
      </c>
      <c r="C21" s="4" t="s">
        <v>724</v>
      </c>
      <c r="D21" s="4" t="s">
        <v>81</v>
      </c>
      <c r="E21" s="5">
        <v>229311</v>
      </c>
      <c r="F21" s="6">
        <v>367.24156649999998</v>
      </c>
      <c r="G21" s="7">
        <v>2.3204102000000001E-2</v>
      </c>
      <c r="H21" s="67"/>
    </row>
    <row r="22" spans="1:8" x14ac:dyDescent="0.2">
      <c r="A22" s="3">
        <v>16</v>
      </c>
      <c r="B22" s="4" t="s">
        <v>350</v>
      </c>
      <c r="C22" s="4" t="s">
        <v>351</v>
      </c>
      <c r="D22" s="4" t="s">
        <v>46</v>
      </c>
      <c r="E22" s="5">
        <v>53943</v>
      </c>
      <c r="F22" s="6">
        <v>366.56965650000001</v>
      </c>
      <c r="G22" s="7">
        <v>2.3161647E-2</v>
      </c>
      <c r="H22" s="67"/>
    </row>
    <row r="23" spans="1:8" x14ac:dyDescent="0.2">
      <c r="A23" s="3">
        <v>17</v>
      </c>
      <c r="B23" s="4" t="s">
        <v>418</v>
      </c>
      <c r="C23" s="4" t="s">
        <v>419</v>
      </c>
      <c r="D23" s="4" t="s">
        <v>49</v>
      </c>
      <c r="E23" s="5">
        <v>24230</v>
      </c>
      <c r="F23" s="6">
        <v>351.39557500000001</v>
      </c>
      <c r="G23" s="7">
        <v>2.2202875E-2</v>
      </c>
      <c r="H23" s="67"/>
    </row>
    <row r="24" spans="1:8" x14ac:dyDescent="0.2">
      <c r="A24" s="3">
        <v>18</v>
      </c>
      <c r="B24" s="4" t="s">
        <v>410</v>
      </c>
      <c r="C24" s="4" t="s">
        <v>411</v>
      </c>
      <c r="D24" s="4" t="s">
        <v>153</v>
      </c>
      <c r="E24" s="5">
        <v>59157</v>
      </c>
      <c r="F24" s="6">
        <v>340.8330555</v>
      </c>
      <c r="G24" s="7">
        <v>2.1535484000000001E-2</v>
      </c>
      <c r="H24" s="67"/>
    </row>
    <row r="25" spans="1:8" x14ac:dyDescent="0.2">
      <c r="A25" s="3">
        <v>19</v>
      </c>
      <c r="B25" s="4" t="s">
        <v>394</v>
      </c>
      <c r="C25" s="4" t="s">
        <v>395</v>
      </c>
      <c r="D25" s="4" t="s">
        <v>331</v>
      </c>
      <c r="E25" s="5">
        <v>147228</v>
      </c>
      <c r="F25" s="6">
        <v>306.38146799999998</v>
      </c>
      <c r="G25" s="7">
        <v>1.9358666E-2</v>
      </c>
      <c r="H25" s="67"/>
    </row>
    <row r="26" spans="1:8" x14ac:dyDescent="0.2">
      <c r="A26" s="3">
        <v>20</v>
      </c>
      <c r="B26" s="4" t="s">
        <v>726</v>
      </c>
      <c r="C26" s="4" t="s">
        <v>727</v>
      </c>
      <c r="D26" s="4" t="s">
        <v>184</v>
      </c>
      <c r="E26" s="5">
        <v>15187</v>
      </c>
      <c r="F26" s="6">
        <v>279.759727</v>
      </c>
      <c r="G26" s="7">
        <v>1.7676575E-2</v>
      </c>
      <c r="H26" s="67"/>
    </row>
    <row r="27" spans="1:8" x14ac:dyDescent="0.2">
      <c r="A27" s="3">
        <v>21</v>
      </c>
      <c r="B27" s="4" t="s">
        <v>416</v>
      </c>
      <c r="C27" s="4" t="s">
        <v>417</v>
      </c>
      <c r="D27" s="4" t="s">
        <v>187</v>
      </c>
      <c r="E27" s="5">
        <v>31039</v>
      </c>
      <c r="F27" s="6">
        <v>246.4651795</v>
      </c>
      <c r="G27" s="7">
        <v>1.5572864E-2</v>
      </c>
      <c r="H27" s="67"/>
    </row>
    <row r="28" spans="1:8" x14ac:dyDescent="0.2">
      <c r="A28" s="3">
        <v>22</v>
      </c>
      <c r="B28" s="4" t="s">
        <v>99</v>
      </c>
      <c r="C28" s="4" t="s">
        <v>100</v>
      </c>
      <c r="D28" s="4" t="s">
        <v>60</v>
      </c>
      <c r="E28" s="5">
        <v>69341</v>
      </c>
      <c r="F28" s="6">
        <v>243.1442165</v>
      </c>
      <c r="G28" s="7">
        <v>1.536303E-2</v>
      </c>
      <c r="H28" s="67"/>
    </row>
    <row r="29" spans="1:8" x14ac:dyDescent="0.2">
      <c r="A29" s="3">
        <v>23</v>
      </c>
      <c r="B29" s="4" t="s">
        <v>70</v>
      </c>
      <c r="C29" s="4" t="s">
        <v>71</v>
      </c>
      <c r="D29" s="4" t="s">
        <v>27</v>
      </c>
      <c r="E29" s="5">
        <v>24242</v>
      </c>
      <c r="F29" s="6">
        <v>242.213943</v>
      </c>
      <c r="G29" s="7">
        <v>1.5304251E-2</v>
      </c>
      <c r="H29" s="67"/>
    </row>
    <row r="30" spans="1:8" x14ac:dyDescent="0.2">
      <c r="A30" s="3">
        <v>24</v>
      </c>
      <c r="B30" s="4" t="s">
        <v>37</v>
      </c>
      <c r="C30" s="4" t="s">
        <v>38</v>
      </c>
      <c r="D30" s="4" t="s">
        <v>27</v>
      </c>
      <c r="E30" s="5">
        <v>19018</v>
      </c>
      <c r="F30" s="6">
        <v>226.49487099999999</v>
      </c>
      <c r="G30" s="7">
        <v>1.4311044E-2</v>
      </c>
      <c r="H30" s="67"/>
    </row>
    <row r="31" spans="1:8" ht="25.5" x14ac:dyDescent="0.2">
      <c r="A31" s="3">
        <v>25</v>
      </c>
      <c r="B31" s="4" t="s">
        <v>251</v>
      </c>
      <c r="C31" s="4" t="s">
        <v>252</v>
      </c>
      <c r="D31" s="4" t="s">
        <v>992</v>
      </c>
      <c r="E31" s="5">
        <v>136653</v>
      </c>
      <c r="F31" s="6">
        <v>223.56430800000001</v>
      </c>
      <c r="G31" s="7">
        <v>1.4125876000000001E-2</v>
      </c>
      <c r="H31" s="67"/>
    </row>
    <row r="32" spans="1:8" x14ac:dyDescent="0.2">
      <c r="A32" s="3">
        <v>26</v>
      </c>
      <c r="B32" s="4" t="s">
        <v>344</v>
      </c>
      <c r="C32" s="4" t="s">
        <v>345</v>
      </c>
      <c r="D32" s="4" t="s">
        <v>49</v>
      </c>
      <c r="E32" s="5">
        <v>58801</v>
      </c>
      <c r="F32" s="6">
        <v>221.65036950000001</v>
      </c>
      <c r="G32" s="7">
        <v>1.4004944E-2</v>
      </c>
      <c r="H32" s="67"/>
    </row>
    <row r="33" spans="1:8" x14ac:dyDescent="0.2">
      <c r="A33" s="3">
        <v>27</v>
      </c>
      <c r="B33" s="4" t="s">
        <v>368</v>
      </c>
      <c r="C33" s="4" t="s">
        <v>369</v>
      </c>
      <c r="D33" s="4" t="s">
        <v>242</v>
      </c>
      <c r="E33" s="5">
        <v>24891</v>
      </c>
      <c r="F33" s="6">
        <v>197.360739</v>
      </c>
      <c r="G33" s="7">
        <v>1.2470208E-2</v>
      </c>
      <c r="H33" s="67"/>
    </row>
    <row r="34" spans="1:8" x14ac:dyDescent="0.2">
      <c r="A34" s="3">
        <v>28</v>
      </c>
      <c r="B34" s="4" t="s">
        <v>259</v>
      </c>
      <c r="C34" s="4" t="s">
        <v>260</v>
      </c>
      <c r="D34" s="4" t="s">
        <v>261</v>
      </c>
      <c r="E34" s="5">
        <v>22774</v>
      </c>
      <c r="F34" s="6">
        <v>168.812275</v>
      </c>
      <c r="G34" s="7">
        <v>1.0666378000000001E-2</v>
      </c>
      <c r="H34" s="67"/>
    </row>
    <row r="35" spans="1:8" x14ac:dyDescent="0.2">
      <c r="A35" s="3">
        <v>29</v>
      </c>
      <c r="B35" s="4" t="s">
        <v>340</v>
      </c>
      <c r="C35" s="4" t="s">
        <v>341</v>
      </c>
      <c r="D35" s="4" t="s">
        <v>81</v>
      </c>
      <c r="E35" s="5">
        <v>12203</v>
      </c>
      <c r="F35" s="6">
        <v>165.06998100000001</v>
      </c>
      <c r="G35" s="7">
        <v>1.0429921E-2</v>
      </c>
      <c r="H35" s="67"/>
    </row>
    <row r="36" spans="1:8" x14ac:dyDescent="0.2">
      <c r="A36" s="3">
        <v>30</v>
      </c>
      <c r="B36" s="4" t="s">
        <v>655</v>
      </c>
      <c r="C36" s="4" t="s">
        <v>656</v>
      </c>
      <c r="D36" s="4" t="s">
        <v>24</v>
      </c>
      <c r="E36" s="5">
        <v>16160</v>
      </c>
      <c r="F36" s="6">
        <v>160.37183999999999</v>
      </c>
      <c r="G36" s="7">
        <v>1.0133069999999999E-2</v>
      </c>
      <c r="H36" s="67"/>
    </row>
    <row r="37" spans="1:8" x14ac:dyDescent="0.2">
      <c r="A37" s="3">
        <v>31</v>
      </c>
      <c r="B37" s="4" t="s">
        <v>681</v>
      </c>
      <c r="C37" s="4" t="s">
        <v>682</v>
      </c>
      <c r="D37" s="4" t="s">
        <v>187</v>
      </c>
      <c r="E37" s="5">
        <v>22000</v>
      </c>
      <c r="F37" s="6">
        <v>160.006</v>
      </c>
      <c r="G37" s="7">
        <v>1.0109954000000001E-2</v>
      </c>
      <c r="H37" s="67"/>
    </row>
    <row r="38" spans="1:8" x14ac:dyDescent="0.2">
      <c r="A38" s="3">
        <v>32</v>
      </c>
      <c r="B38" s="4" t="s">
        <v>677</v>
      </c>
      <c r="C38" s="4" t="s">
        <v>678</v>
      </c>
      <c r="D38" s="4" t="s">
        <v>187</v>
      </c>
      <c r="E38" s="5">
        <v>16040</v>
      </c>
      <c r="F38" s="6">
        <v>153.63914</v>
      </c>
      <c r="G38" s="7">
        <v>9.7076650000000007E-3</v>
      </c>
      <c r="H38" s="67"/>
    </row>
    <row r="39" spans="1:8" x14ac:dyDescent="0.2">
      <c r="A39" s="3">
        <v>33</v>
      </c>
      <c r="B39" s="4" t="s">
        <v>14</v>
      </c>
      <c r="C39" s="4" t="s">
        <v>15</v>
      </c>
      <c r="D39" s="4" t="s">
        <v>16</v>
      </c>
      <c r="E39" s="5">
        <v>6800</v>
      </c>
      <c r="F39" s="6">
        <v>153.55420000000001</v>
      </c>
      <c r="G39" s="7">
        <v>9.7022979999999998E-3</v>
      </c>
      <c r="H39" s="67"/>
    </row>
    <row r="40" spans="1:8" x14ac:dyDescent="0.2">
      <c r="A40" s="3">
        <v>34</v>
      </c>
      <c r="B40" s="4" t="s">
        <v>541</v>
      </c>
      <c r="C40" s="4" t="s">
        <v>542</v>
      </c>
      <c r="D40" s="4" t="s">
        <v>24</v>
      </c>
      <c r="E40" s="5">
        <v>110000</v>
      </c>
      <c r="F40" s="6">
        <v>137.5</v>
      </c>
      <c r="G40" s="7">
        <v>8.6879160000000004E-3</v>
      </c>
      <c r="H40" s="67"/>
    </row>
    <row r="41" spans="1:8" x14ac:dyDescent="0.2">
      <c r="A41" s="3">
        <v>35</v>
      </c>
      <c r="B41" s="4" t="s">
        <v>298</v>
      </c>
      <c r="C41" s="4" t="s">
        <v>299</v>
      </c>
      <c r="D41" s="4" t="s">
        <v>1001</v>
      </c>
      <c r="E41" s="5">
        <v>385868</v>
      </c>
      <c r="F41" s="6">
        <v>133.51032799999999</v>
      </c>
      <c r="G41" s="7">
        <v>8.4358290000000006E-3</v>
      </c>
      <c r="H41" s="67"/>
    </row>
    <row r="42" spans="1:8" x14ac:dyDescent="0.2">
      <c r="A42" s="3">
        <v>36</v>
      </c>
      <c r="B42" s="4" t="s">
        <v>728</v>
      </c>
      <c r="C42" s="4" t="s">
        <v>729</v>
      </c>
      <c r="D42" s="4" t="s">
        <v>24</v>
      </c>
      <c r="E42" s="5">
        <v>310000</v>
      </c>
      <c r="F42" s="6">
        <v>119.35</v>
      </c>
      <c r="G42" s="7">
        <v>7.5411109999999996E-3</v>
      </c>
      <c r="H42" s="67"/>
    </row>
    <row r="43" spans="1:8" x14ac:dyDescent="0.2">
      <c r="A43" s="1"/>
      <c r="B43" s="1"/>
      <c r="C43" s="2" t="s">
        <v>105</v>
      </c>
      <c r="D43" s="1"/>
      <c r="E43" s="1" t="s">
        <v>106</v>
      </c>
      <c r="F43" s="9">
        <v>14525.701187999999</v>
      </c>
      <c r="G43" s="10">
        <v>0.91780418699999999</v>
      </c>
      <c r="H43" s="67"/>
    </row>
    <row r="44" spans="1:8" x14ac:dyDescent="0.2">
      <c r="A44" s="1"/>
      <c r="B44" s="1"/>
      <c r="C44" s="11"/>
      <c r="D44" s="1"/>
      <c r="E44" s="1"/>
      <c r="F44" s="12"/>
      <c r="G44" s="12"/>
      <c r="H44" s="67"/>
    </row>
    <row r="45" spans="1:8" x14ac:dyDescent="0.2">
      <c r="A45" s="1"/>
      <c r="B45" s="1"/>
      <c r="C45" s="2" t="s">
        <v>107</v>
      </c>
      <c r="D45" s="1"/>
      <c r="E45" s="1"/>
      <c r="F45" s="1"/>
      <c r="G45" s="1"/>
      <c r="H45" s="67"/>
    </row>
    <row r="46" spans="1:8" x14ac:dyDescent="0.2">
      <c r="A46" s="1"/>
      <c r="B46" s="1"/>
      <c r="C46" s="2" t="s">
        <v>105</v>
      </c>
      <c r="D46" s="1"/>
      <c r="E46" s="1" t="s">
        <v>106</v>
      </c>
      <c r="F46" s="13">
        <v>0</v>
      </c>
      <c r="G46" s="14">
        <v>0</v>
      </c>
      <c r="H46" s="67"/>
    </row>
    <row r="47" spans="1:8" x14ac:dyDescent="0.2">
      <c r="A47" s="1"/>
      <c r="B47" s="1"/>
      <c r="C47" s="11"/>
      <c r="D47" s="1"/>
      <c r="E47" s="1"/>
      <c r="F47" s="12"/>
      <c r="G47" s="12"/>
      <c r="H47" s="67"/>
    </row>
    <row r="48" spans="1:8" x14ac:dyDescent="0.2">
      <c r="A48" s="1"/>
      <c r="B48" s="1"/>
      <c r="C48" s="2" t="s">
        <v>108</v>
      </c>
      <c r="D48" s="1"/>
      <c r="E48" s="1"/>
      <c r="F48" s="1"/>
      <c r="G48" s="1"/>
      <c r="H48" s="67"/>
    </row>
    <row r="49" spans="1:8" x14ac:dyDescent="0.2">
      <c r="A49" s="1"/>
      <c r="B49" s="1"/>
      <c r="C49" s="2" t="s">
        <v>105</v>
      </c>
      <c r="D49" s="1"/>
      <c r="E49" s="1" t="s">
        <v>106</v>
      </c>
      <c r="F49" s="13">
        <v>0</v>
      </c>
      <c r="G49" s="14">
        <v>0</v>
      </c>
      <c r="H49" s="67"/>
    </row>
    <row r="50" spans="1:8" x14ac:dyDescent="0.2">
      <c r="A50" s="1"/>
      <c r="B50" s="1"/>
      <c r="C50" s="11"/>
      <c r="D50" s="1"/>
      <c r="E50" s="1"/>
      <c r="F50" s="12"/>
      <c r="G50" s="12"/>
      <c r="H50" s="67"/>
    </row>
    <row r="51" spans="1:8" x14ac:dyDescent="0.2">
      <c r="A51" s="1"/>
      <c r="B51" s="1"/>
      <c r="C51" s="2" t="s">
        <v>109</v>
      </c>
      <c r="D51" s="1"/>
      <c r="E51" s="1"/>
      <c r="F51" s="1"/>
      <c r="G51" s="1"/>
      <c r="H51" s="67"/>
    </row>
    <row r="52" spans="1:8" x14ac:dyDescent="0.2">
      <c r="A52" s="1"/>
      <c r="B52" s="1"/>
      <c r="C52" s="2" t="s">
        <v>105</v>
      </c>
      <c r="D52" s="1"/>
      <c r="E52" s="1" t="s">
        <v>106</v>
      </c>
      <c r="F52" s="13">
        <v>0</v>
      </c>
      <c r="G52" s="14">
        <v>0</v>
      </c>
      <c r="H52" s="67"/>
    </row>
    <row r="53" spans="1:8" x14ac:dyDescent="0.2">
      <c r="A53" s="1"/>
      <c r="B53" s="1"/>
      <c r="C53" s="11"/>
      <c r="D53" s="1"/>
      <c r="E53" s="1"/>
      <c r="F53" s="12"/>
      <c r="G53" s="12"/>
      <c r="H53" s="67"/>
    </row>
    <row r="54" spans="1:8" x14ac:dyDescent="0.2">
      <c r="A54" s="1"/>
      <c r="B54" s="1"/>
      <c r="C54" s="2" t="s">
        <v>110</v>
      </c>
      <c r="D54" s="1"/>
      <c r="E54" s="1"/>
      <c r="F54" s="12"/>
      <c r="G54" s="12"/>
      <c r="H54" s="67"/>
    </row>
    <row r="55" spans="1:8" s="139" customFormat="1" ht="25.5" x14ac:dyDescent="0.2">
      <c r="A55" s="3">
        <v>1</v>
      </c>
      <c r="B55" s="4" t="s">
        <v>960</v>
      </c>
      <c r="C55" s="4" t="s">
        <v>961</v>
      </c>
      <c r="D55" s="4" t="s">
        <v>81</v>
      </c>
      <c r="E55" s="5">
        <v>21600</v>
      </c>
      <c r="F55" s="6">
        <v>180.9324</v>
      </c>
      <c r="G55" s="7">
        <v>1.143219E-2</v>
      </c>
      <c r="H55" s="67"/>
    </row>
    <row r="56" spans="1:8" x14ac:dyDescent="0.2">
      <c r="A56" s="1"/>
      <c r="B56" s="1"/>
      <c r="C56" s="2" t="s">
        <v>105</v>
      </c>
      <c r="D56" s="1"/>
      <c r="E56" s="1" t="s">
        <v>106</v>
      </c>
      <c r="F56" s="13">
        <v>180.9324</v>
      </c>
      <c r="G56" s="14">
        <v>1.143219E-2</v>
      </c>
      <c r="H56" s="67"/>
    </row>
    <row r="57" spans="1:8" x14ac:dyDescent="0.2">
      <c r="A57" s="1"/>
      <c r="B57" s="1"/>
      <c r="C57" s="11"/>
      <c r="D57" s="1"/>
      <c r="E57" s="1"/>
      <c r="F57" s="12"/>
      <c r="G57" s="12"/>
      <c r="H57" s="67"/>
    </row>
    <row r="58" spans="1:8" x14ac:dyDescent="0.2">
      <c r="A58" s="1"/>
      <c r="B58" s="1"/>
      <c r="C58" s="2" t="s">
        <v>111</v>
      </c>
      <c r="D58" s="1"/>
      <c r="E58" s="1"/>
      <c r="F58" s="12"/>
      <c r="G58" s="12"/>
      <c r="H58" s="67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13">
        <v>0</v>
      </c>
      <c r="G59" s="14">
        <v>0</v>
      </c>
      <c r="H59" s="67"/>
    </row>
    <row r="60" spans="1:8" x14ac:dyDescent="0.2">
      <c r="A60" s="1"/>
      <c r="B60" s="1"/>
      <c r="C60" s="11"/>
      <c r="D60" s="1"/>
      <c r="E60" s="1"/>
      <c r="F60" s="12"/>
      <c r="G60" s="12"/>
      <c r="H60" s="67"/>
    </row>
    <row r="61" spans="1:8" x14ac:dyDescent="0.2">
      <c r="A61" s="1"/>
      <c r="B61" s="1"/>
      <c r="C61" s="2" t="s">
        <v>112</v>
      </c>
      <c r="D61" s="1"/>
      <c r="E61" s="1"/>
      <c r="F61" s="9">
        <v>14706.633587999999</v>
      </c>
      <c r="G61" s="10">
        <v>0.92923637699999995</v>
      </c>
      <c r="H61" s="67"/>
    </row>
    <row r="62" spans="1:8" x14ac:dyDescent="0.2">
      <c r="A62" s="1"/>
      <c r="B62" s="1"/>
      <c r="C62" s="11"/>
      <c r="D62" s="1"/>
      <c r="E62" s="1"/>
      <c r="F62" s="12"/>
      <c r="G62" s="12"/>
      <c r="H62" s="67"/>
    </row>
    <row r="63" spans="1:8" x14ac:dyDescent="0.2">
      <c r="A63" s="1"/>
      <c r="B63" s="1"/>
      <c r="C63" s="2" t="s">
        <v>113</v>
      </c>
      <c r="D63" s="1"/>
      <c r="E63" s="1"/>
      <c r="F63" s="12"/>
      <c r="G63" s="12"/>
      <c r="H63" s="67"/>
    </row>
    <row r="64" spans="1:8" ht="25.5" x14ac:dyDescent="0.2">
      <c r="A64" s="1"/>
      <c r="B64" s="1"/>
      <c r="C64" s="2" t="s">
        <v>10</v>
      </c>
      <c r="D64" s="1"/>
      <c r="E64" s="1"/>
      <c r="F64" s="12"/>
      <c r="G64" s="12"/>
      <c r="H64" s="67"/>
    </row>
    <row r="65" spans="1:8" x14ac:dyDescent="0.2">
      <c r="A65" s="1"/>
      <c r="B65" s="1"/>
      <c r="C65" s="2" t="s">
        <v>105</v>
      </c>
      <c r="D65" s="1"/>
      <c r="E65" s="1" t="s">
        <v>106</v>
      </c>
      <c r="F65" s="13">
        <v>0</v>
      </c>
      <c r="G65" s="14">
        <v>0</v>
      </c>
      <c r="H65" s="67"/>
    </row>
    <row r="66" spans="1:8" x14ac:dyDescent="0.2">
      <c r="A66" s="1"/>
      <c r="B66" s="1"/>
      <c r="C66" s="11"/>
      <c r="D66" s="1"/>
      <c r="E66" s="1"/>
      <c r="F66" s="12"/>
      <c r="G66" s="12"/>
      <c r="H66" s="67"/>
    </row>
    <row r="67" spans="1:8" x14ac:dyDescent="0.2">
      <c r="A67" s="1"/>
      <c r="B67" s="1"/>
      <c r="C67" s="2" t="s">
        <v>114</v>
      </c>
      <c r="D67" s="1"/>
      <c r="E67" s="1"/>
      <c r="F67" s="1"/>
      <c r="G67" s="1"/>
      <c r="H67" s="67"/>
    </row>
    <row r="68" spans="1:8" x14ac:dyDescent="0.2">
      <c r="A68" s="1"/>
      <c r="B68" s="1"/>
      <c r="C68" s="2" t="s">
        <v>105</v>
      </c>
      <c r="D68" s="1"/>
      <c r="E68" s="1" t="s">
        <v>106</v>
      </c>
      <c r="F68" s="13">
        <v>0</v>
      </c>
      <c r="G68" s="14">
        <v>0</v>
      </c>
      <c r="H68" s="67"/>
    </row>
    <row r="69" spans="1:8" x14ac:dyDescent="0.2">
      <c r="A69" s="1"/>
      <c r="B69" s="1"/>
      <c r="C69" s="11"/>
      <c r="D69" s="1"/>
      <c r="E69" s="1"/>
      <c r="F69" s="12"/>
      <c r="G69" s="12"/>
      <c r="H69" s="67"/>
    </row>
    <row r="70" spans="1:8" x14ac:dyDescent="0.2">
      <c r="A70" s="1"/>
      <c r="B70" s="1"/>
      <c r="C70" s="2" t="s">
        <v>115</v>
      </c>
      <c r="D70" s="1"/>
      <c r="E70" s="1"/>
      <c r="F70" s="1"/>
      <c r="G70" s="1"/>
      <c r="H70" s="67"/>
    </row>
    <row r="71" spans="1:8" x14ac:dyDescent="0.2">
      <c r="A71" s="1"/>
      <c r="B71" s="1"/>
      <c r="C71" s="2" t="s">
        <v>105</v>
      </c>
      <c r="D71" s="1"/>
      <c r="E71" s="1" t="s">
        <v>106</v>
      </c>
      <c r="F71" s="13">
        <v>0</v>
      </c>
      <c r="G71" s="14">
        <v>0</v>
      </c>
      <c r="H71" s="67"/>
    </row>
    <row r="72" spans="1:8" x14ac:dyDescent="0.2">
      <c r="A72" s="1"/>
      <c r="B72" s="1"/>
      <c r="C72" s="11"/>
      <c r="D72" s="1"/>
      <c r="E72" s="1"/>
      <c r="F72" s="12"/>
      <c r="G72" s="12"/>
      <c r="H72" s="67"/>
    </row>
    <row r="73" spans="1:8" x14ac:dyDescent="0.2">
      <c r="A73" s="1"/>
      <c r="B73" s="1"/>
      <c r="C73" s="2" t="s">
        <v>116</v>
      </c>
      <c r="D73" s="1"/>
      <c r="E73" s="1"/>
      <c r="F73" s="12"/>
      <c r="G73" s="12"/>
      <c r="H73" s="67"/>
    </row>
    <row r="74" spans="1:8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">
        <v>0</v>
      </c>
      <c r="H74" s="67"/>
    </row>
    <row r="75" spans="1:8" x14ac:dyDescent="0.2">
      <c r="A75" s="1"/>
      <c r="B75" s="1"/>
      <c r="C75" s="11"/>
      <c r="D75" s="1"/>
      <c r="E75" s="1"/>
      <c r="F75" s="12"/>
      <c r="G75" s="12"/>
      <c r="H75" s="67"/>
    </row>
    <row r="76" spans="1:8" x14ac:dyDescent="0.2">
      <c r="A76" s="1"/>
      <c r="B76" s="1"/>
      <c r="C76" s="2" t="s">
        <v>117</v>
      </c>
      <c r="D76" s="1"/>
      <c r="E76" s="1"/>
      <c r="F76" s="9">
        <v>0</v>
      </c>
      <c r="G76" s="10">
        <v>0</v>
      </c>
      <c r="H76" s="67"/>
    </row>
    <row r="77" spans="1:8" x14ac:dyDescent="0.2">
      <c r="A77" s="1"/>
      <c r="B77" s="1"/>
      <c r="C77" s="11"/>
      <c r="D77" s="1"/>
      <c r="E77" s="1"/>
      <c r="F77" s="12"/>
      <c r="G77" s="12"/>
      <c r="H77" s="67"/>
    </row>
    <row r="78" spans="1:8" x14ac:dyDescent="0.2">
      <c r="A78" s="1"/>
      <c r="B78" s="1"/>
      <c r="C78" s="2" t="s">
        <v>118</v>
      </c>
      <c r="D78" s="1"/>
      <c r="E78" s="1"/>
      <c r="F78" s="12"/>
      <c r="G78" s="12"/>
      <c r="H78" s="67"/>
    </row>
    <row r="79" spans="1:8" x14ac:dyDescent="0.2">
      <c r="A79" s="1"/>
      <c r="B79" s="1"/>
      <c r="C79" s="2" t="s">
        <v>119</v>
      </c>
      <c r="D79" s="1"/>
      <c r="E79" s="1"/>
      <c r="F79" s="12"/>
      <c r="G79" s="12"/>
      <c r="H79" s="67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7"/>
    </row>
    <row r="81" spans="1:8" x14ac:dyDescent="0.2">
      <c r="A81" s="1"/>
      <c r="B81" s="1"/>
      <c r="C81" s="11"/>
      <c r="D81" s="1"/>
      <c r="E81" s="1"/>
      <c r="F81" s="12"/>
      <c r="G81" s="12"/>
      <c r="H81" s="67"/>
    </row>
    <row r="82" spans="1:8" x14ac:dyDescent="0.2">
      <c r="A82" s="1"/>
      <c r="B82" s="1"/>
      <c r="C82" s="2" t="s">
        <v>120</v>
      </c>
      <c r="D82" s="1"/>
      <c r="E82" s="1"/>
      <c r="F82" s="12"/>
      <c r="G82" s="12"/>
      <c r="H82" s="67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7"/>
    </row>
    <row r="84" spans="1:8" x14ac:dyDescent="0.2">
      <c r="A84" s="1"/>
      <c r="B84" s="1"/>
      <c r="C84" s="11"/>
      <c r="D84" s="1"/>
      <c r="E84" s="1"/>
      <c r="F84" s="12"/>
      <c r="G84" s="12"/>
      <c r="H84" s="67"/>
    </row>
    <row r="85" spans="1:8" x14ac:dyDescent="0.2">
      <c r="A85" s="1"/>
      <c r="B85" s="1"/>
      <c r="C85" s="2" t="s">
        <v>121</v>
      </c>
      <c r="D85" s="1"/>
      <c r="E85" s="1"/>
      <c r="F85" s="12"/>
      <c r="G85" s="12"/>
      <c r="H85" s="67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7"/>
    </row>
    <row r="87" spans="1:8" x14ac:dyDescent="0.2">
      <c r="A87" s="1"/>
      <c r="B87" s="1"/>
      <c r="C87" s="11"/>
      <c r="D87" s="1"/>
      <c r="E87" s="1"/>
      <c r="F87" s="12"/>
      <c r="G87" s="12"/>
      <c r="H87" s="67"/>
    </row>
    <row r="88" spans="1:8" x14ac:dyDescent="0.2">
      <c r="A88" s="1"/>
      <c r="B88" s="1"/>
      <c r="C88" s="2" t="s">
        <v>122</v>
      </c>
      <c r="D88" s="1"/>
      <c r="E88" s="1"/>
      <c r="F88" s="12"/>
      <c r="G88" s="12"/>
      <c r="H88" s="67"/>
    </row>
    <row r="89" spans="1:8" x14ac:dyDescent="0.2">
      <c r="A89" s="3">
        <v>1</v>
      </c>
      <c r="B89" s="4"/>
      <c r="C89" s="4" t="s">
        <v>123</v>
      </c>
      <c r="D89" s="4"/>
      <c r="E89" s="8"/>
      <c r="F89" s="6">
        <v>1108.059747</v>
      </c>
      <c r="G89" s="7">
        <v>7.0012584000000003E-2</v>
      </c>
      <c r="H89" s="67">
        <v>3.1047477660654299</v>
      </c>
    </row>
    <row r="90" spans="1:8" x14ac:dyDescent="0.2">
      <c r="A90" s="1"/>
      <c r="B90" s="1"/>
      <c r="C90" s="2" t="s">
        <v>105</v>
      </c>
      <c r="D90" s="1"/>
      <c r="E90" s="1" t="s">
        <v>106</v>
      </c>
      <c r="F90" s="9">
        <v>1108.059747</v>
      </c>
      <c r="G90" s="10">
        <v>7.0012584000000003E-2</v>
      </c>
      <c r="H90" s="67"/>
    </row>
    <row r="91" spans="1:8" x14ac:dyDescent="0.2">
      <c r="A91" s="1"/>
      <c r="B91" s="1"/>
      <c r="C91" s="11"/>
      <c r="D91" s="1"/>
      <c r="E91" s="1"/>
      <c r="F91" s="12"/>
      <c r="G91" s="12"/>
      <c r="H91" s="67"/>
    </row>
    <row r="92" spans="1:8" x14ac:dyDescent="0.2">
      <c r="A92" s="1"/>
      <c r="B92" s="1"/>
      <c r="C92" s="2" t="s">
        <v>124</v>
      </c>
      <c r="D92" s="1"/>
      <c r="E92" s="1"/>
      <c r="F92" s="9">
        <v>1108.059747</v>
      </c>
      <c r="G92" s="10">
        <v>7.0012584000000003E-2</v>
      </c>
      <c r="H92" s="67"/>
    </row>
    <row r="93" spans="1:8" x14ac:dyDescent="0.2">
      <c r="A93" s="1"/>
      <c r="B93" s="1"/>
      <c r="C93" s="12"/>
      <c r="D93" s="1"/>
      <c r="E93" s="1"/>
      <c r="F93" s="1"/>
      <c r="G93" s="1"/>
      <c r="H93" s="67"/>
    </row>
    <row r="94" spans="1:8" x14ac:dyDescent="0.2">
      <c r="A94" s="1"/>
      <c r="B94" s="1"/>
      <c r="C94" s="2" t="s">
        <v>125</v>
      </c>
      <c r="D94" s="1"/>
      <c r="E94" s="1"/>
      <c r="F94" s="1"/>
      <c r="G94" s="1"/>
      <c r="H94" s="67"/>
    </row>
    <row r="95" spans="1:8" x14ac:dyDescent="0.2">
      <c r="A95" s="1"/>
      <c r="B95" s="1"/>
      <c r="C95" s="2" t="s">
        <v>126</v>
      </c>
      <c r="D95" s="1"/>
      <c r="E95" s="1"/>
      <c r="F95" s="1"/>
      <c r="G95" s="1"/>
      <c r="H95" s="67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7"/>
    </row>
    <row r="97" spans="1:8" x14ac:dyDescent="0.2">
      <c r="A97" s="1"/>
      <c r="B97" s="1"/>
      <c r="C97" s="11"/>
      <c r="D97" s="1"/>
      <c r="E97" s="1"/>
      <c r="F97" s="12"/>
      <c r="G97" s="12"/>
      <c r="H97" s="67"/>
    </row>
    <row r="98" spans="1:8" x14ac:dyDescent="0.2">
      <c r="A98" s="1"/>
      <c r="B98" s="1"/>
      <c r="C98" s="2" t="s">
        <v>127</v>
      </c>
      <c r="D98" s="1"/>
      <c r="E98" s="1"/>
      <c r="F98" s="1"/>
      <c r="G98" s="1"/>
      <c r="H98" s="67"/>
    </row>
    <row r="99" spans="1:8" x14ac:dyDescent="0.2">
      <c r="A99" s="1"/>
      <c r="B99" s="1"/>
      <c r="C99" s="2" t="s">
        <v>128</v>
      </c>
      <c r="D99" s="1"/>
      <c r="E99" s="1"/>
      <c r="F99" s="1"/>
      <c r="G99" s="1"/>
      <c r="H99" s="67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7"/>
    </row>
    <row r="101" spans="1:8" x14ac:dyDescent="0.2">
      <c r="A101" s="1"/>
      <c r="B101" s="1"/>
      <c r="C101" s="11"/>
      <c r="D101" s="1"/>
      <c r="E101" s="1"/>
      <c r="F101" s="12"/>
      <c r="G101" s="12"/>
      <c r="H101" s="67"/>
    </row>
    <row r="102" spans="1:8" x14ac:dyDescent="0.2">
      <c r="A102" s="1"/>
      <c r="B102" s="1"/>
      <c r="C102" s="11"/>
      <c r="D102" s="1"/>
      <c r="E102" s="1"/>
      <c r="F102" s="12"/>
      <c r="G102" s="12"/>
      <c r="H102" s="67"/>
    </row>
    <row r="103" spans="1:8" ht="25.5" x14ac:dyDescent="0.2">
      <c r="A103" s="1"/>
      <c r="B103" s="1"/>
      <c r="C103" s="2" t="s">
        <v>129</v>
      </c>
      <c r="D103" s="1"/>
      <c r="E103" s="1"/>
      <c r="F103" s="12"/>
      <c r="G103" s="12"/>
      <c r="H103" s="67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">
        <v>0</v>
      </c>
      <c r="H104" s="67"/>
    </row>
    <row r="105" spans="1:8" x14ac:dyDescent="0.2">
      <c r="A105" s="1"/>
      <c r="B105" s="1"/>
      <c r="C105" s="11"/>
      <c r="D105" s="1"/>
      <c r="E105" s="1"/>
      <c r="F105" s="12"/>
      <c r="G105" s="12"/>
      <c r="H105" s="67"/>
    </row>
    <row r="106" spans="1:8" x14ac:dyDescent="0.2">
      <c r="A106" s="1"/>
      <c r="B106" s="4"/>
      <c r="C106" s="4"/>
      <c r="D106" s="2"/>
      <c r="E106" s="1"/>
      <c r="F106" s="4"/>
      <c r="G106" s="8"/>
      <c r="H106" s="67"/>
    </row>
    <row r="107" spans="1:8" x14ac:dyDescent="0.2">
      <c r="A107" s="8"/>
      <c r="B107" s="4"/>
      <c r="C107" s="4" t="s">
        <v>130</v>
      </c>
      <c r="D107" s="4"/>
      <c r="E107" s="8"/>
      <c r="F107" s="6">
        <v>11.88638209</v>
      </c>
      <c r="G107" s="7">
        <v>7.51039E-4</v>
      </c>
      <c r="H107" s="67"/>
    </row>
    <row r="108" spans="1:8" x14ac:dyDescent="0.2">
      <c r="A108" s="11"/>
      <c r="B108" s="11"/>
      <c r="C108" s="2" t="s">
        <v>131</v>
      </c>
      <c r="D108" s="15"/>
      <c r="E108" s="15"/>
      <c r="F108" s="9">
        <v>15826.579717089999</v>
      </c>
      <c r="G108" s="10">
        <v>0.99999999999999989</v>
      </c>
      <c r="H108" s="67"/>
    </row>
    <row r="109" spans="1:8" ht="14.1" customHeight="1" x14ac:dyDescent="0.2">
      <c r="A109" s="16"/>
      <c r="B109" s="16"/>
      <c r="C109" s="16"/>
      <c r="D109" s="17"/>
      <c r="E109" s="17"/>
      <c r="F109" s="20"/>
      <c r="G109" s="20"/>
      <c r="H109" s="20"/>
    </row>
    <row r="110" spans="1:8" ht="14.1" customHeight="1" x14ac:dyDescent="0.2">
      <c r="A110" s="18"/>
      <c r="B110" s="170" t="s">
        <v>106</v>
      </c>
      <c r="C110" s="170"/>
      <c r="D110" s="170"/>
      <c r="E110" s="170"/>
      <c r="F110" s="170"/>
      <c r="G110" s="20"/>
    </row>
    <row r="111" spans="1:8" ht="14.1" customHeight="1" x14ac:dyDescent="0.2">
      <c r="A111" s="18"/>
      <c r="B111" s="170" t="s">
        <v>106</v>
      </c>
      <c r="C111" s="170"/>
      <c r="D111" s="170"/>
      <c r="E111" s="170"/>
      <c r="F111" s="170"/>
      <c r="G111" s="20"/>
    </row>
    <row r="112" spans="1:8" ht="14.1" customHeight="1" x14ac:dyDescent="0.2">
      <c r="A112" s="18"/>
      <c r="B112" s="18"/>
      <c r="C112" s="18"/>
      <c r="D112" s="20"/>
      <c r="E112" s="20"/>
      <c r="F112" s="20"/>
      <c r="G112" s="20"/>
    </row>
    <row r="113" spans="1:7" ht="14.1" customHeight="1" x14ac:dyDescent="0.2">
      <c r="A113" s="18"/>
      <c r="B113" s="168" t="s">
        <v>133</v>
      </c>
      <c r="C113" s="169"/>
      <c r="D113" s="12" t="s">
        <v>106</v>
      </c>
      <c r="E113" s="21"/>
      <c r="F113" s="20"/>
      <c r="G113" s="20"/>
    </row>
    <row r="114" spans="1:7" ht="29.1" customHeight="1" x14ac:dyDescent="0.2">
      <c r="A114" s="18"/>
      <c r="B114" s="165" t="s">
        <v>134</v>
      </c>
      <c r="C114" s="166"/>
      <c r="D114" s="2" t="s">
        <v>135</v>
      </c>
      <c r="E114" s="21"/>
      <c r="F114" s="20"/>
      <c r="G114" s="20"/>
    </row>
    <row r="115" spans="1:7" ht="17.100000000000001" customHeight="1" x14ac:dyDescent="0.2">
      <c r="A115" s="18"/>
      <c r="B115" s="165" t="s">
        <v>136</v>
      </c>
      <c r="C115" s="166"/>
      <c r="D115" s="2" t="s">
        <v>135</v>
      </c>
      <c r="E115" s="21"/>
      <c r="F115" s="20"/>
      <c r="G115" s="20"/>
    </row>
    <row r="116" spans="1:7" ht="17.100000000000001" customHeight="1" x14ac:dyDescent="0.2">
      <c r="A116" s="18"/>
      <c r="B116" s="165" t="s">
        <v>137</v>
      </c>
      <c r="C116" s="166"/>
      <c r="D116" s="12" t="s">
        <v>106</v>
      </c>
      <c r="E116" s="21"/>
      <c r="F116" s="20"/>
      <c r="G116" s="20"/>
    </row>
    <row r="117" spans="1:7" ht="24" customHeight="1" x14ac:dyDescent="0.2">
      <c r="A117" s="22"/>
      <c r="B117" s="23" t="s">
        <v>106</v>
      </c>
      <c r="C117" s="23" t="s">
        <v>138</v>
      </c>
      <c r="D117" s="23" t="s">
        <v>139</v>
      </c>
      <c r="E117" s="22"/>
      <c r="F117" s="22"/>
      <c r="G117" s="22"/>
    </row>
    <row r="118" spans="1:7" ht="18" customHeight="1" x14ac:dyDescent="0.2">
      <c r="A118" s="22"/>
      <c r="B118" s="23" t="s">
        <v>140</v>
      </c>
      <c r="C118" s="23" t="s">
        <v>141</v>
      </c>
      <c r="D118" s="23" t="s">
        <v>142</v>
      </c>
      <c r="E118" s="22"/>
      <c r="F118" s="22"/>
      <c r="G118" s="22"/>
    </row>
    <row r="119" spans="1:7" ht="17.100000000000001" customHeight="1" x14ac:dyDescent="0.2">
      <c r="A119" s="22"/>
      <c r="B119" s="4" t="s">
        <v>143</v>
      </c>
      <c r="C119" s="24">
        <v>15.9337</v>
      </c>
      <c r="D119" s="24">
        <v>16.164400000000001</v>
      </c>
      <c r="E119" s="22"/>
      <c r="F119" s="19"/>
      <c r="G119" s="25"/>
    </row>
    <row r="120" spans="1:7" ht="17.100000000000001" customHeight="1" x14ac:dyDescent="0.2">
      <c r="A120" s="22"/>
      <c r="B120" s="4" t="s">
        <v>988</v>
      </c>
      <c r="C120" s="24">
        <v>13.847300000000001</v>
      </c>
      <c r="D120" s="24">
        <v>14.047800000000001</v>
      </c>
      <c r="E120" s="22"/>
      <c r="F120" s="19"/>
      <c r="G120" s="25"/>
    </row>
    <row r="121" spans="1:7" ht="17.100000000000001" customHeight="1" x14ac:dyDescent="0.2">
      <c r="A121" s="22"/>
      <c r="B121" s="4" t="s">
        <v>144</v>
      </c>
      <c r="C121" s="24">
        <v>15.3146</v>
      </c>
      <c r="D121" s="24">
        <v>15.5281</v>
      </c>
      <c r="E121" s="22"/>
      <c r="F121" s="19"/>
      <c r="G121" s="25"/>
    </row>
    <row r="122" spans="1:7" ht="17.100000000000001" customHeight="1" x14ac:dyDescent="0.2">
      <c r="A122" s="22"/>
      <c r="B122" s="4" t="s">
        <v>989</v>
      </c>
      <c r="C122" s="24">
        <v>13.6859</v>
      </c>
      <c r="D122" s="24">
        <v>13.8766</v>
      </c>
      <c r="E122" s="22"/>
      <c r="F122" s="19"/>
      <c r="G122" s="25"/>
    </row>
    <row r="123" spans="1:7" ht="14.1" customHeight="1" x14ac:dyDescent="0.2">
      <c r="A123" s="22"/>
      <c r="B123" s="22"/>
      <c r="C123" s="22"/>
      <c r="D123" s="22"/>
      <c r="E123" s="22"/>
      <c r="F123" s="22"/>
      <c r="G123" s="22"/>
    </row>
    <row r="124" spans="1:7" ht="17.100000000000001" customHeight="1" x14ac:dyDescent="0.2">
      <c r="A124" s="22"/>
      <c r="B124" s="165" t="s">
        <v>990</v>
      </c>
      <c r="C124" s="166"/>
      <c r="D124" s="2" t="s">
        <v>135</v>
      </c>
      <c r="E124" s="22"/>
      <c r="F124" s="22"/>
      <c r="G124" s="22"/>
    </row>
    <row r="125" spans="1:7" ht="18" customHeight="1" x14ac:dyDescent="0.2">
      <c r="A125" s="22"/>
      <c r="B125" s="26" t="s">
        <v>145</v>
      </c>
      <c r="C125" s="26" t="s">
        <v>145</v>
      </c>
      <c r="D125" s="26"/>
      <c r="E125" s="22"/>
      <c r="F125" s="22"/>
      <c r="G125" s="22"/>
    </row>
    <row r="126" spans="1:7" s="158" customFormat="1" x14ac:dyDescent="0.2">
      <c r="B126" s="167" t="s">
        <v>822</v>
      </c>
      <c r="C126" s="167"/>
      <c r="D126" s="167"/>
      <c r="E126" s="167"/>
      <c r="F126" s="167"/>
    </row>
    <row r="127" spans="1:7" ht="14.1" customHeight="1" x14ac:dyDescent="0.2">
      <c r="A127" s="22"/>
      <c r="B127" s="19"/>
      <c r="C127" s="19"/>
      <c r="D127" s="22"/>
      <c r="E127" s="22"/>
      <c r="F127" s="22"/>
      <c r="G127" s="22"/>
    </row>
    <row r="128" spans="1:7" ht="29.1" customHeight="1" x14ac:dyDescent="0.2">
      <c r="A128" s="22"/>
      <c r="B128" s="165" t="s">
        <v>146</v>
      </c>
      <c r="C128" s="166"/>
      <c r="D128" s="2" t="s">
        <v>135</v>
      </c>
      <c r="E128" s="22"/>
      <c r="F128" s="22"/>
      <c r="G128" s="22"/>
    </row>
    <row r="129" spans="1:7" ht="29.1" customHeight="1" x14ac:dyDescent="0.2">
      <c r="A129" s="22"/>
      <c r="B129" s="165" t="s">
        <v>147</v>
      </c>
      <c r="C129" s="166"/>
      <c r="D129" s="2" t="s">
        <v>135</v>
      </c>
      <c r="E129" s="22"/>
      <c r="F129" s="22"/>
      <c r="G129" s="22"/>
    </row>
    <row r="130" spans="1:7" ht="17.100000000000001" customHeight="1" x14ac:dyDescent="0.2">
      <c r="A130" s="22"/>
      <c r="B130" s="165" t="s">
        <v>148</v>
      </c>
      <c r="C130" s="166"/>
      <c r="D130" s="27">
        <v>0.47631737960528803</v>
      </c>
      <c r="E130" s="22"/>
      <c r="F130" s="19"/>
      <c r="G130" s="25"/>
    </row>
    <row r="131" spans="1:7" ht="17.100000000000001" customHeight="1" x14ac:dyDescent="0.2">
      <c r="A131" s="22"/>
      <c r="B131" s="165" t="s">
        <v>149</v>
      </c>
      <c r="C131" s="166"/>
      <c r="D131" s="2" t="s">
        <v>135</v>
      </c>
      <c r="E131" s="22"/>
      <c r="F131" s="22"/>
      <c r="G131" s="22"/>
    </row>
  </sheetData>
  <mergeCells count="15">
    <mergeCell ref="B113:C113"/>
    <mergeCell ref="B110:F110"/>
    <mergeCell ref="B111:F111"/>
    <mergeCell ref="A1:H1"/>
    <mergeCell ref="A2:H2"/>
    <mergeCell ref="A3:H3"/>
    <mergeCell ref="B130:C130"/>
    <mergeCell ref="B131:C131"/>
    <mergeCell ref="B114:C114"/>
    <mergeCell ref="B115:C115"/>
    <mergeCell ref="B116:C116"/>
    <mergeCell ref="B124:C124"/>
    <mergeCell ref="B128:C128"/>
    <mergeCell ref="B129:C129"/>
    <mergeCell ref="B126:F126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3C252-8EB0-46EA-BBB8-2BDA91E3E092}">
  <dimension ref="A1:K36"/>
  <sheetViews>
    <sheetView workbookViewId="0">
      <selection sqref="A1:H1"/>
    </sheetView>
  </sheetViews>
  <sheetFormatPr defaultRowHeight="15" x14ac:dyDescent="0.25"/>
  <cols>
    <col min="1" max="1" width="5.42578125" style="41" bestFit="1" customWidth="1"/>
    <col min="2" max="2" width="19.7109375" style="41" bestFit="1" customWidth="1"/>
    <col min="3" max="3" width="40.28515625" style="41" bestFit="1" customWidth="1"/>
    <col min="4" max="4" width="15.28515625" style="41" bestFit="1" customWidth="1"/>
    <col min="5" max="5" width="11.42578125" style="41" bestFit="1" customWidth="1"/>
    <col min="6" max="6" width="10.140625" style="41" bestFit="1" customWidth="1"/>
    <col min="7" max="7" width="8.5703125" style="41" bestFit="1" customWidth="1"/>
    <col min="8" max="8" width="8.42578125" style="41" bestFit="1" customWidth="1"/>
    <col min="9" max="10" width="9.140625" style="41"/>
    <col min="11" max="11" width="10.5703125" style="41" bestFit="1" customWidth="1"/>
    <col min="12" max="250" width="9.140625" style="41"/>
    <col min="251" max="251" width="5.42578125" style="41" bestFit="1" customWidth="1"/>
    <col min="252" max="252" width="20.42578125" style="41" bestFit="1" customWidth="1"/>
    <col min="253" max="253" width="41.42578125" style="41" customWidth="1"/>
    <col min="254" max="254" width="15.28515625" style="41" bestFit="1" customWidth="1"/>
    <col min="255" max="255" width="16.7109375" style="41" bestFit="1" customWidth="1"/>
    <col min="256" max="256" width="11.28515625" style="41" bestFit="1" customWidth="1"/>
    <col min="257" max="257" width="14" style="41" bestFit="1" customWidth="1"/>
    <col min="258" max="258" width="11.85546875" style="41" bestFit="1" customWidth="1"/>
    <col min="259" max="259" width="14.85546875" style="41" bestFit="1" customWidth="1"/>
    <col min="260" max="260" width="9.7109375" style="41" customWidth="1"/>
    <col min="261" max="261" width="4.85546875" style="41" customWidth="1"/>
    <col min="262" max="506" width="9.140625" style="41"/>
    <col min="507" max="507" width="5.42578125" style="41" bestFit="1" customWidth="1"/>
    <col min="508" max="508" width="20.42578125" style="41" bestFit="1" customWidth="1"/>
    <col min="509" max="509" width="41.42578125" style="41" customWidth="1"/>
    <col min="510" max="510" width="15.28515625" style="41" bestFit="1" customWidth="1"/>
    <col min="511" max="511" width="16.7109375" style="41" bestFit="1" customWidth="1"/>
    <col min="512" max="512" width="11.28515625" style="41" bestFit="1" customWidth="1"/>
    <col min="513" max="513" width="14" style="41" bestFit="1" customWidth="1"/>
    <col min="514" max="514" width="11.85546875" style="41" bestFit="1" customWidth="1"/>
    <col min="515" max="515" width="14.85546875" style="41" bestFit="1" customWidth="1"/>
    <col min="516" max="516" width="9.7109375" style="41" customWidth="1"/>
    <col min="517" max="517" width="4.85546875" style="41" customWidth="1"/>
    <col min="518" max="762" width="9.140625" style="41"/>
    <col min="763" max="763" width="5.42578125" style="41" bestFit="1" customWidth="1"/>
    <col min="764" max="764" width="20.42578125" style="41" bestFit="1" customWidth="1"/>
    <col min="765" max="765" width="41.42578125" style="41" customWidth="1"/>
    <col min="766" max="766" width="15.28515625" style="41" bestFit="1" customWidth="1"/>
    <col min="767" max="767" width="16.7109375" style="41" bestFit="1" customWidth="1"/>
    <col min="768" max="768" width="11.28515625" style="41" bestFit="1" customWidth="1"/>
    <col min="769" max="769" width="14" style="41" bestFit="1" customWidth="1"/>
    <col min="770" max="770" width="11.85546875" style="41" bestFit="1" customWidth="1"/>
    <col min="771" max="771" width="14.85546875" style="41" bestFit="1" customWidth="1"/>
    <col min="772" max="772" width="9.7109375" style="41" customWidth="1"/>
    <col min="773" max="773" width="4.85546875" style="41" customWidth="1"/>
    <col min="774" max="1018" width="9.140625" style="41"/>
    <col min="1019" max="1019" width="5.42578125" style="41" bestFit="1" customWidth="1"/>
    <col min="1020" max="1020" width="20.42578125" style="41" bestFit="1" customWidth="1"/>
    <col min="1021" max="1021" width="41.42578125" style="41" customWidth="1"/>
    <col min="1022" max="1022" width="15.28515625" style="41" bestFit="1" customWidth="1"/>
    <col min="1023" max="1023" width="16.7109375" style="41" bestFit="1" customWidth="1"/>
    <col min="1024" max="1024" width="11.28515625" style="41" bestFit="1" customWidth="1"/>
    <col min="1025" max="1025" width="14" style="41" bestFit="1" customWidth="1"/>
    <col min="1026" max="1026" width="11.85546875" style="41" bestFit="1" customWidth="1"/>
    <col min="1027" max="1027" width="14.85546875" style="41" bestFit="1" customWidth="1"/>
    <col min="1028" max="1028" width="9.7109375" style="41" customWidth="1"/>
    <col min="1029" max="1029" width="4.85546875" style="41" customWidth="1"/>
    <col min="1030" max="1274" width="9.140625" style="41"/>
    <col min="1275" max="1275" width="5.42578125" style="41" bestFit="1" customWidth="1"/>
    <col min="1276" max="1276" width="20.42578125" style="41" bestFit="1" customWidth="1"/>
    <col min="1277" max="1277" width="41.42578125" style="41" customWidth="1"/>
    <col min="1278" max="1278" width="15.28515625" style="41" bestFit="1" customWidth="1"/>
    <col min="1279" max="1279" width="16.7109375" style="41" bestFit="1" customWidth="1"/>
    <col min="1280" max="1280" width="11.28515625" style="41" bestFit="1" customWidth="1"/>
    <col min="1281" max="1281" width="14" style="41" bestFit="1" customWidth="1"/>
    <col min="1282" max="1282" width="11.85546875" style="41" bestFit="1" customWidth="1"/>
    <col min="1283" max="1283" width="14.85546875" style="41" bestFit="1" customWidth="1"/>
    <col min="1284" max="1284" width="9.7109375" style="41" customWidth="1"/>
    <col min="1285" max="1285" width="4.85546875" style="41" customWidth="1"/>
    <col min="1286" max="1530" width="9.140625" style="41"/>
    <col min="1531" max="1531" width="5.42578125" style="41" bestFit="1" customWidth="1"/>
    <col min="1532" max="1532" width="20.42578125" style="41" bestFit="1" customWidth="1"/>
    <col min="1533" max="1533" width="41.42578125" style="41" customWidth="1"/>
    <col min="1534" max="1534" width="15.28515625" style="41" bestFit="1" customWidth="1"/>
    <col min="1535" max="1535" width="16.7109375" style="41" bestFit="1" customWidth="1"/>
    <col min="1536" max="1536" width="11.28515625" style="41" bestFit="1" customWidth="1"/>
    <col min="1537" max="1537" width="14" style="41" bestFit="1" customWidth="1"/>
    <col min="1538" max="1538" width="11.85546875" style="41" bestFit="1" customWidth="1"/>
    <col min="1539" max="1539" width="14.85546875" style="41" bestFit="1" customWidth="1"/>
    <col min="1540" max="1540" width="9.7109375" style="41" customWidth="1"/>
    <col min="1541" max="1541" width="4.85546875" style="41" customWidth="1"/>
    <col min="1542" max="1786" width="9.140625" style="41"/>
    <col min="1787" max="1787" width="5.42578125" style="41" bestFit="1" customWidth="1"/>
    <col min="1788" max="1788" width="20.42578125" style="41" bestFit="1" customWidth="1"/>
    <col min="1789" max="1789" width="41.42578125" style="41" customWidth="1"/>
    <col min="1790" max="1790" width="15.28515625" style="41" bestFit="1" customWidth="1"/>
    <col min="1791" max="1791" width="16.7109375" style="41" bestFit="1" customWidth="1"/>
    <col min="1792" max="1792" width="11.28515625" style="41" bestFit="1" customWidth="1"/>
    <col min="1793" max="1793" width="14" style="41" bestFit="1" customWidth="1"/>
    <col min="1794" max="1794" width="11.85546875" style="41" bestFit="1" customWidth="1"/>
    <col min="1795" max="1795" width="14.85546875" style="41" bestFit="1" customWidth="1"/>
    <col min="1796" max="1796" width="9.7109375" style="41" customWidth="1"/>
    <col min="1797" max="1797" width="4.85546875" style="41" customWidth="1"/>
    <col min="1798" max="2042" width="9.140625" style="41"/>
    <col min="2043" max="2043" width="5.42578125" style="41" bestFit="1" customWidth="1"/>
    <col min="2044" max="2044" width="20.42578125" style="41" bestFit="1" customWidth="1"/>
    <col min="2045" max="2045" width="41.42578125" style="41" customWidth="1"/>
    <col min="2046" max="2046" width="15.28515625" style="41" bestFit="1" customWidth="1"/>
    <col min="2047" max="2047" width="16.7109375" style="41" bestFit="1" customWidth="1"/>
    <col min="2048" max="2048" width="11.28515625" style="41" bestFit="1" customWidth="1"/>
    <col min="2049" max="2049" width="14" style="41" bestFit="1" customWidth="1"/>
    <col min="2050" max="2050" width="11.85546875" style="41" bestFit="1" customWidth="1"/>
    <col min="2051" max="2051" width="14.85546875" style="41" bestFit="1" customWidth="1"/>
    <col min="2052" max="2052" width="9.7109375" style="41" customWidth="1"/>
    <col min="2053" max="2053" width="4.85546875" style="41" customWidth="1"/>
    <col min="2054" max="2298" width="9.140625" style="41"/>
    <col min="2299" max="2299" width="5.42578125" style="41" bestFit="1" customWidth="1"/>
    <col min="2300" max="2300" width="20.42578125" style="41" bestFit="1" customWidth="1"/>
    <col min="2301" max="2301" width="41.42578125" style="41" customWidth="1"/>
    <col min="2302" max="2302" width="15.28515625" style="41" bestFit="1" customWidth="1"/>
    <col min="2303" max="2303" width="16.7109375" style="41" bestFit="1" customWidth="1"/>
    <col min="2304" max="2304" width="11.28515625" style="41" bestFit="1" customWidth="1"/>
    <col min="2305" max="2305" width="14" style="41" bestFit="1" customWidth="1"/>
    <col min="2306" max="2306" width="11.85546875" style="41" bestFit="1" customWidth="1"/>
    <col min="2307" max="2307" width="14.85546875" style="41" bestFit="1" customWidth="1"/>
    <col min="2308" max="2308" width="9.7109375" style="41" customWidth="1"/>
    <col min="2309" max="2309" width="4.85546875" style="41" customWidth="1"/>
    <col min="2310" max="2554" width="9.140625" style="41"/>
    <col min="2555" max="2555" width="5.42578125" style="41" bestFit="1" customWidth="1"/>
    <col min="2556" max="2556" width="20.42578125" style="41" bestFit="1" customWidth="1"/>
    <col min="2557" max="2557" width="41.42578125" style="41" customWidth="1"/>
    <col min="2558" max="2558" width="15.28515625" style="41" bestFit="1" customWidth="1"/>
    <col min="2559" max="2559" width="16.7109375" style="41" bestFit="1" customWidth="1"/>
    <col min="2560" max="2560" width="11.28515625" style="41" bestFit="1" customWidth="1"/>
    <col min="2561" max="2561" width="14" style="41" bestFit="1" customWidth="1"/>
    <col min="2562" max="2562" width="11.85546875" style="41" bestFit="1" customWidth="1"/>
    <col min="2563" max="2563" width="14.85546875" style="41" bestFit="1" customWidth="1"/>
    <col min="2564" max="2564" width="9.7109375" style="41" customWidth="1"/>
    <col min="2565" max="2565" width="4.85546875" style="41" customWidth="1"/>
    <col min="2566" max="2810" width="9.140625" style="41"/>
    <col min="2811" max="2811" width="5.42578125" style="41" bestFit="1" customWidth="1"/>
    <col min="2812" max="2812" width="20.42578125" style="41" bestFit="1" customWidth="1"/>
    <col min="2813" max="2813" width="41.42578125" style="41" customWidth="1"/>
    <col min="2814" max="2814" width="15.28515625" style="41" bestFit="1" customWidth="1"/>
    <col min="2815" max="2815" width="16.7109375" style="41" bestFit="1" customWidth="1"/>
    <col min="2816" max="2816" width="11.28515625" style="41" bestFit="1" customWidth="1"/>
    <col min="2817" max="2817" width="14" style="41" bestFit="1" customWidth="1"/>
    <col min="2818" max="2818" width="11.85546875" style="41" bestFit="1" customWidth="1"/>
    <col min="2819" max="2819" width="14.85546875" style="41" bestFit="1" customWidth="1"/>
    <col min="2820" max="2820" width="9.7109375" style="41" customWidth="1"/>
    <col min="2821" max="2821" width="4.85546875" style="41" customWidth="1"/>
    <col min="2822" max="3066" width="9.140625" style="41"/>
    <col min="3067" max="3067" width="5.42578125" style="41" bestFit="1" customWidth="1"/>
    <col min="3068" max="3068" width="20.42578125" style="41" bestFit="1" customWidth="1"/>
    <col min="3069" max="3069" width="41.42578125" style="41" customWidth="1"/>
    <col min="3070" max="3070" width="15.28515625" style="41" bestFit="1" customWidth="1"/>
    <col min="3071" max="3071" width="16.7109375" style="41" bestFit="1" customWidth="1"/>
    <col min="3072" max="3072" width="11.28515625" style="41" bestFit="1" customWidth="1"/>
    <col min="3073" max="3073" width="14" style="41" bestFit="1" customWidth="1"/>
    <col min="3074" max="3074" width="11.85546875" style="41" bestFit="1" customWidth="1"/>
    <col min="3075" max="3075" width="14.85546875" style="41" bestFit="1" customWidth="1"/>
    <col min="3076" max="3076" width="9.7109375" style="41" customWidth="1"/>
    <col min="3077" max="3077" width="4.85546875" style="41" customWidth="1"/>
    <col min="3078" max="3322" width="9.140625" style="41"/>
    <col min="3323" max="3323" width="5.42578125" style="41" bestFit="1" customWidth="1"/>
    <col min="3324" max="3324" width="20.42578125" style="41" bestFit="1" customWidth="1"/>
    <col min="3325" max="3325" width="41.42578125" style="41" customWidth="1"/>
    <col min="3326" max="3326" width="15.28515625" style="41" bestFit="1" customWidth="1"/>
    <col min="3327" max="3327" width="16.7109375" style="41" bestFit="1" customWidth="1"/>
    <col min="3328" max="3328" width="11.28515625" style="41" bestFit="1" customWidth="1"/>
    <col min="3329" max="3329" width="14" style="41" bestFit="1" customWidth="1"/>
    <col min="3330" max="3330" width="11.85546875" style="41" bestFit="1" customWidth="1"/>
    <col min="3331" max="3331" width="14.85546875" style="41" bestFit="1" customWidth="1"/>
    <col min="3332" max="3332" width="9.7109375" style="41" customWidth="1"/>
    <col min="3333" max="3333" width="4.85546875" style="41" customWidth="1"/>
    <col min="3334" max="3578" width="9.140625" style="41"/>
    <col min="3579" max="3579" width="5.42578125" style="41" bestFit="1" customWidth="1"/>
    <col min="3580" max="3580" width="20.42578125" style="41" bestFit="1" customWidth="1"/>
    <col min="3581" max="3581" width="41.42578125" style="41" customWidth="1"/>
    <col min="3582" max="3582" width="15.28515625" style="41" bestFit="1" customWidth="1"/>
    <col min="3583" max="3583" width="16.7109375" style="41" bestFit="1" customWidth="1"/>
    <col min="3584" max="3584" width="11.28515625" style="41" bestFit="1" customWidth="1"/>
    <col min="3585" max="3585" width="14" style="41" bestFit="1" customWidth="1"/>
    <col min="3586" max="3586" width="11.85546875" style="41" bestFit="1" customWidth="1"/>
    <col min="3587" max="3587" width="14.85546875" style="41" bestFit="1" customWidth="1"/>
    <col min="3588" max="3588" width="9.7109375" style="41" customWidth="1"/>
    <col min="3589" max="3589" width="4.85546875" style="41" customWidth="1"/>
    <col min="3590" max="3834" width="9.140625" style="41"/>
    <col min="3835" max="3835" width="5.42578125" style="41" bestFit="1" customWidth="1"/>
    <col min="3836" max="3836" width="20.42578125" style="41" bestFit="1" customWidth="1"/>
    <col min="3837" max="3837" width="41.42578125" style="41" customWidth="1"/>
    <col min="3838" max="3838" width="15.28515625" style="41" bestFit="1" customWidth="1"/>
    <col min="3839" max="3839" width="16.7109375" style="41" bestFit="1" customWidth="1"/>
    <col min="3840" max="3840" width="11.28515625" style="41" bestFit="1" customWidth="1"/>
    <col min="3841" max="3841" width="14" style="41" bestFit="1" customWidth="1"/>
    <col min="3842" max="3842" width="11.85546875" style="41" bestFit="1" customWidth="1"/>
    <col min="3843" max="3843" width="14.85546875" style="41" bestFit="1" customWidth="1"/>
    <col min="3844" max="3844" width="9.7109375" style="41" customWidth="1"/>
    <col min="3845" max="3845" width="4.85546875" style="41" customWidth="1"/>
    <col min="3846" max="4090" width="9.140625" style="41"/>
    <col min="4091" max="4091" width="5.42578125" style="41" bestFit="1" customWidth="1"/>
    <col min="4092" max="4092" width="20.42578125" style="41" bestFit="1" customWidth="1"/>
    <col min="4093" max="4093" width="41.42578125" style="41" customWidth="1"/>
    <col min="4094" max="4094" width="15.28515625" style="41" bestFit="1" customWidth="1"/>
    <col min="4095" max="4095" width="16.7109375" style="41" bestFit="1" customWidth="1"/>
    <col min="4096" max="4096" width="11.28515625" style="41" bestFit="1" customWidth="1"/>
    <col min="4097" max="4097" width="14" style="41" bestFit="1" customWidth="1"/>
    <col min="4098" max="4098" width="11.85546875" style="41" bestFit="1" customWidth="1"/>
    <col min="4099" max="4099" width="14.85546875" style="41" bestFit="1" customWidth="1"/>
    <col min="4100" max="4100" width="9.7109375" style="41" customWidth="1"/>
    <col min="4101" max="4101" width="4.85546875" style="41" customWidth="1"/>
    <col min="4102" max="4346" width="9.140625" style="41"/>
    <col min="4347" max="4347" width="5.42578125" style="41" bestFit="1" customWidth="1"/>
    <col min="4348" max="4348" width="20.42578125" style="41" bestFit="1" customWidth="1"/>
    <col min="4349" max="4349" width="41.42578125" style="41" customWidth="1"/>
    <col min="4350" max="4350" width="15.28515625" style="41" bestFit="1" customWidth="1"/>
    <col min="4351" max="4351" width="16.7109375" style="41" bestFit="1" customWidth="1"/>
    <col min="4352" max="4352" width="11.28515625" style="41" bestFit="1" customWidth="1"/>
    <col min="4353" max="4353" width="14" style="41" bestFit="1" customWidth="1"/>
    <col min="4354" max="4354" width="11.85546875" style="41" bestFit="1" customWidth="1"/>
    <col min="4355" max="4355" width="14.85546875" style="41" bestFit="1" customWidth="1"/>
    <col min="4356" max="4356" width="9.7109375" style="41" customWidth="1"/>
    <col min="4357" max="4357" width="4.85546875" style="41" customWidth="1"/>
    <col min="4358" max="4602" width="9.140625" style="41"/>
    <col min="4603" max="4603" width="5.42578125" style="41" bestFit="1" customWidth="1"/>
    <col min="4604" max="4604" width="20.42578125" style="41" bestFit="1" customWidth="1"/>
    <col min="4605" max="4605" width="41.42578125" style="41" customWidth="1"/>
    <col min="4606" max="4606" width="15.28515625" style="41" bestFit="1" customWidth="1"/>
    <col min="4607" max="4607" width="16.7109375" style="41" bestFit="1" customWidth="1"/>
    <col min="4608" max="4608" width="11.28515625" style="41" bestFit="1" customWidth="1"/>
    <col min="4609" max="4609" width="14" style="41" bestFit="1" customWidth="1"/>
    <col min="4610" max="4610" width="11.85546875" style="41" bestFit="1" customWidth="1"/>
    <col min="4611" max="4611" width="14.85546875" style="41" bestFit="1" customWidth="1"/>
    <col min="4612" max="4612" width="9.7109375" style="41" customWidth="1"/>
    <col min="4613" max="4613" width="4.85546875" style="41" customWidth="1"/>
    <col min="4614" max="4858" width="9.140625" style="41"/>
    <col min="4859" max="4859" width="5.42578125" style="41" bestFit="1" customWidth="1"/>
    <col min="4860" max="4860" width="20.42578125" style="41" bestFit="1" customWidth="1"/>
    <col min="4861" max="4861" width="41.42578125" style="41" customWidth="1"/>
    <col min="4862" max="4862" width="15.28515625" style="41" bestFit="1" customWidth="1"/>
    <col min="4863" max="4863" width="16.7109375" style="41" bestFit="1" customWidth="1"/>
    <col min="4864" max="4864" width="11.28515625" style="41" bestFit="1" customWidth="1"/>
    <col min="4865" max="4865" width="14" style="41" bestFit="1" customWidth="1"/>
    <col min="4866" max="4866" width="11.85546875" style="41" bestFit="1" customWidth="1"/>
    <col min="4867" max="4867" width="14.85546875" style="41" bestFit="1" customWidth="1"/>
    <col min="4868" max="4868" width="9.7109375" style="41" customWidth="1"/>
    <col min="4869" max="4869" width="4.85546875" style="41" customWidth="1"/>
    <col min="4870" max="5114" width="9.140625" style="41"/>
    <col min="5115" max="5115" width="5.42578125" style="41" bestFit="1" customWidth="1"/>
    <col min="5116" max="5116" width="20.42578125" style="41" bestFit="1" customWidth="1"/>
    <col min="5117" max="5117" width="41.42578125" style="41" customWidth="1"/>
    <col min="5118" max="5118" width="15.28515625" style="41" bestFit="1" customWidth="1"/>
    <col min="5119" max="5119" width="16.7109375" style="41" bestFit="1" customWidth="1"/>
    <col min="5120" max="5120" width="11.28515625" style="41" bestFit="1" customWidth="1"/>
    <col min="5121" max="5121" width="14" style="41" bestFit="1" customWidth="1"/>
    <col min="5122" max="5122" width="11.85546875" style="41" bestFit="1" customWidth="1"/>
    <col min="5123" max="5123" width="14.85546875" style="41" bestFit="1" customWidth="1"/>
    <col min="5124" max="5124" width="9.7109375" style="41" customWidth="1"/>
    <col min="5125" max="5125" width="4.85546875" style="41" customWidth="1"/>
    <col min="5126" max="5370" width="9.140625" style="41"/>
    <col min="5371" max="5371" width="5.42578125" style="41" bestFit="1" customWidth="1"/>
    <col min="5372" max="5372" width="20.42578125" style="41" bestFit="1" customWidth="1"/>
    <col min="5373" max="5373" width="41.42578125" style="41" customWidth="1"/>
    <col min="5374" max="5374" width="15.28515625" style="41" bestFit="1" customWidth="1"/>
    <col min="5375" max="5375" width="16.7109375" style="41" bestFit="1" customWidth="1"/>
    <col min="5376" max="5376" width="11.28515625" style="41" bestFit="1" customWidth="1"/>
    <col min="5377" max="5377" width="14" style="41" bestFit="1" customWidth="1"/>
    <col min="5378" max="5378" width="11.85546875" style="41" bestFit="1" customWidth="1"/>
    <col min="5379" max="5379" width="14.85546875" style="41" bestFit="1" customWidth="1"/>
    <col min="5380" max="5380" width="9.7109375" style="41" customWidth="1"/>
    <col min="5381" max="5381" width="4.85546875" style="41" customWidth="1"/>
    <col min="5382" max="5626" width="9.140625" style="41"/>
    <col min="5627" max="5627" width="5.42578125" style="41" bestFit="1" customWidth="1"/>
    <col min="5628" max="5628" width="20.42578125" style="41" bestFit="1" customWidth="1"/>
    <col min="5629" max="5629" width="41.42578125" style="41" customWidth="1"/>
    <col min="5630" max="5630" width="15.28515625" style="41" bestFit="1" customWidth="1"/>
    <col min="5631" max="5631" width="16.7109375" style="41" bestFit="1" customWidth="1"/>
    <col min="5632" max="5632" width="11.28515625" style="41" bestFit="1" customWidth="1"/>
    <col min="5633" max="5633" width="14" style="41" bestFit="1" customWidth="1"/>
    <col min="5634" max="5634" width="11.85546875" style="41" bestFit="1" customWidth="1"/>
    <col min="5635" max="5635" width="14.85546875" style="41" bestFit="1" customWidth="1"/>
    <col min="5636" max="5636" width="9.7109375" style="41" customWidth="1"/>
    <col min="5637" max="5637" width="4.85546875" style="41" customWidth="1"/>
    <col min="5638" max="5882" width="9.140625" style="41"/>
    <col min="5883" max="5883" width="5.42578125" style="41" bestFit="1" customWidth="1"/>
    <col min="5884" max="5884" width="20.42578125" style="41" bestFit="1" customWidth="1"/>
    <col min="5885" max="5885" width="41.42578125" style="41" customWidth="1"/>
    <col min="5886" max="5886" width="15.28515625" style="41" bestFit="1" customWidth="1"/>
    <col min="5887" max="5887" width="16.7109375" style="41" bestFit="1" customWidth="1"/>
    <col min="5888" max="5888" width="11.28515625" style="41" bestFit="1" customWidth="1"/>
    <col min="5889" max="5889" width="14" style="41" bestFit="1" customWidth="1"/>
    <col min="5890" max="5890" width="11.85546875" style="41" bestFit="1" customWidth="1"/>
    <col min="5891" max="5891" width="14.85546875" style="41" bestFit="1" customWidth="1"/>
    <col min="5892" max="5892" width="9.7109375" style="41" customWidth="1"/>
    <col min="5893" max="5893" width="4.85546875" style="41" customWidth="1"/>
    <col min="5894" max="6138" width="9.140625" style="41"/>
    <col min="6139" max="6139" width="5.42578125" style="41" bestFit="1" customWidth="1"/>
    <col min="6140" max="6140" width="20.42578125" style="41" bestFit="1" customWidth="1"/>
    <col min="6141" max="6141" width="41.42578125" style="41" customWidth="1"/>
    <col min="6142" max="6142" width="15.28515625" style="41" bestFit="1" customWidth="1"/>
    <col min="6143" max="6143" width="16.7109375" style="41" bestFit="1" customWidth="1"/>
    <col min="6144" max="6144" width="11.28515625" style="41" bestFit="1" customWidth="1"/>
    <col min="6145" max="6145" width="14" style="41" bestFit="1" customWidth="1"/>
    <col min="6146" max="6146" width="11.85546875" style="41" bestFit="1" customWidth="1"/>
    <col min="6147" max="6147" width="14.85546875" style="41" bestFit="1" customWidth="1"/>
    <col min="6148" max="6148" width="9.7109375" style="41" customWidth="1"/>
    <col min="6149" max="6149" width="4.85546875" style="41" customWidth="1"/>
    <col min="6150" max="6394" width="9.140625" style="41"/>
    <col min="6395" max="6395" width="5.42578125" style="41" bestFit="1" customWidth="1"/>
    <col min="6396" max="6396" width="20.42578125" style="41" bestFit="1" customWidth="1"/>
    <col min="6397" max="6397" width="41.42578125" style="41" customWidth="1"/>
    <col min="6398" max="6398" width="15.28515625" style="41" bestFit="1" customWidth="1"/>
    <col min="6399" max="6399" width="16.7109375" style="41" bestFit="1" customWidth="1"/>
    <col min="6400" max="6400" width="11.28515625" style="41" bestFit="1" customWidth="1"/>
    <col min="6401" max="6401" width="14" style="41" bestFit="1" customWidth="1"/>
    <col min="6402" max="6402" width="11.85546875" style="41" bestFit="1" customWidth="1"/>
    <col min="6403" max="6403" width="14.85546875" style="41" bestFit="1" customWidth="1"/>
    <col min="6404" max="6404" width="9.7109375" style="41" customWidth="1"/>
    <col min="6405" max="6405" width="4.85546875" style="41" customWidth="1"/>
    <col min="6406" max="6650" width="9.140625" style="41"/>
    <col min="6651" max="6651" width="5.42578125" style="41" bestFit="1" customWidth="1"/>
    <col min="6652" max="6652" width="20.42578125" style="41" bestFit="1" customWidth="1"/>
    <col min="6653" max="6653" width="41.42578125" style="41" customWidth="1"/>
    <col min="6654" max="6654" width="15.28515625" style="41" bestFit="1" customWidth="1"/>
    <col min="6655" max="6655" width="16.7109375" style="41" bestFit="1" customWidth="1"/>
    <col min="6656" max="6656" width="11.28515625" style="41" bestFit="1" customWidth="1"/>
    <col min="6657" max="6657" width="14" style="41" bestFit="1" customWidth="1"/>
    <col min="6658" max="6658" width="11.85546875" style="41" bestFit="1" customWidth="1"/>
    <col min="6659" max="6659" width="14.85546875" style="41" bestFit="1" customWidth="1"/>
    <col min="6660" max="6660" width="9.7109375" style="41" customWidth="1"/>
    <col min="6661" max="6661" width="4.85546875" style="41" customWidth="1"/>
    <col min="6662" max="6906" width="9.140625" style="41"/>
    <col min="6907" max="6907" width="5.42578125" style="41" bestFit="1" customWidth="1"/>
    <col min="6908" max="6908" width="20.42578125" style="41" bestFit="1" customWidth="1"/>
    <col min="6909" max="6909" width="41.42578125" style="41" customWidth="1"/>
    <col min="6910" max="6910" width="15.28515625" style="41" bestFit="1" customWidth="1"/>
    <col min="6911" max="6911" width="16.7109375" style="41" bestFit="1" customWidth="1"/>
    <col min="6912" max="6912" width="11.28515625" style="41" bestFit="1" customWidth="1"/>
    <col min="6913" max="6913" width="14" style="41" bestFit="1" customWidth="1"/>
    <col min="6914" max="6914" width="11.85546875" style="41" bestFit="1" customWidth="1"/>
    <col min="6915" max="6915" width="14.85546875" style="41" bestFit="1" customWidth="1"/>
    <col min="6916" max="6916" width="9.7109375" style="41" customWidth="1"/>
    <col min="6917" max="6917" width="4.85546875" style="41" customWidth="1"/>
    <col min="6918" max="7162" width="9.140625" style="41"/>
    <col min="7163" max="7163" width="5.42578125" style="41" bestFit="1" customWidth="1"/>
    <col min="7164" max="7164" width="20.42578125" style="41" bestFit="1" customWidth="1"/>
    <col min="7165" max="7165" width="41.42578125" style="41" customWidth="1"/>
    <col min="7166" max="7166" width="15.28515625" style="41" bestFit="1" customWidth="1"/>
    <col min="7167" max="7167" width="16.7109375" style="41" bestFit="1" customWidth="1"/>
    <col min="7168" max="7168" width="11.28515625" style="41" bestFit="1" customWidth="1"/>
    <col min="7169" max="7169" width="14" style="41" bestFit="1" customWidth="1"/>
    <col min="7170" max="7170" width="11.85546875" style="41" bestFit="1" customWidth="1"/>
    <col min="7171" max="7171" width="14.85546875" style="41" bestFit="1" customWidth="1"/>
    <col min="7172" max="7172" width="9.7109375" style="41" customWidth="1"/>
    <col min="7173" max="7173" width="4.85546875" style="41" customWidth="1"/>
    <col min="7174" max="7418" width="9.140625" style="41"/>
    <col min="7419" max="7419" width="5.42578125" style="41" bestFit="1" customWidth="1"/>
    <col min="7420" max="7420" width="20.42578125" style="41" bestFit="1" customWidth="1"/>
    <col min="7421" max="7421" width="41.42578125" style="41" customWidth="1"/>
    <col min="7422" max="7422" width="15.28515625" style="41" bestFit="1" customWidth="1"/>
    <col min="7423" max="7423" width="16.7109375" style="41" bestFit="1" customWidth="1"/>
    <col min="7424" max="7424" width="11.28515625" style="41" bestFit="1" customWidth="1"/>
    <col min="7425" max="7425" width="14" style="41" bestFit="1" customWidth="1"/>
    <col min="7426" max="7426" width="11.85546875" style="41" bestFit="1" customWidth="1"/>
    <col min="7427" max="7427" width="14.85546875" style="41" bestFit="1" customWidth="1"/>
    <col min="7428" max="7428" width="9.7109375" style="41" customWidth="1"/>
    <col min="7429" max="7429" width="4.85546875" style="41" customWidth="1"/>
    <col min="7430" max="7674" width="9.140625" style="41"/>
    <col min="7675" max="7675" width="5.42578125" style="41" bestFit="1" customWidth="1"/>
    <col min="7676" max="7676" width="20.42578125" style="41" bestFit="1" customWidth="1"/>
    <col min="7677" max="7677" width="41.42578125" style="41" customWidth="1"/>
    <col min="7678" max="7678" width="15.28515625" style="41" bestFit="1" customWidth="1"/>
    <col min="7679" max="7679" width="16.7109375" style="41" bestFit="1" customWidth="1"/>
    <col min="7680" max="7680" width="11.28515625" style="41" bestFit="1" customWidth="1"/>
    <col min="7681" max="7681" width="14" style="41" bestFit="1" customWidth="1"/>
    <col min="7682" max="7682" width="11.85546875" style="41" bestFit="1" customWidth="1"/>
    <col min="7683" max="7683" width="14.85546875" style="41" bestFit="1" customWidth="1"/>
    <col min="7684" max="7684" width="9.7109375" style="41" customWidth="1"/>
    <col min="7685" max="7685" width="4.85546875" style="41" customWidth="1"/>
    <col min="7686" max="7930" width="9.140625" style="41"/>
    <col min="7931" max="7931" width="5.42578125" style="41" bestFit="1" customWidth="1"/>
    <col min="7932" max="7932" width="20.42578125" style="41" bestFit="1" customWidth="1"/>
    <col min="7933" max="7933" width="41.42578125" style="41" customWidth="1"/>
    <col min="7934" max="7934" width="15.28515625" style="41" bestFit="1" customWidth="1"/>
    <col min="7935" max="7935" width="16.7109375" style="41" bestFit="1" customWidth="1"/>
    <col min="7936" max="7936" width="11.28515625" style="41" bestFit="1" customWidth="1"/>
    <col min="7937" max="7937" width="14" style="41" bestFit="1" customWidth="1"/>
    <col min="7938" max="7938" width="11.85546875" style="41" bestFit="1" customWidth="1"/>
    <col min="7939" max="7939" width="14.85546875" style="41" bestFit="1" customWidth="1"/>
    <col min="7940" max="7940" width="9.7109375" style="41" customWidth="1"/>
    <col min="7941" max="7941" width="4.85546875" style="41" customWidth="1"/>
    <col min="7942" max="8186" width="9.140625" style="41"/>
    <col min="8187" max="8187" width="5.42578125" style="41" bestFit="1" customWidth="1"/>
    <col min="8188" max="8188" width="20.42578125" style="41" bestFit="1" customWidth="1"/>
    <col min="8189" max="8189" width="41.42578125" style="41" customWidth="1"/>
    <col min="8190" max="8190" width="15.28515625" style="41" bestFit="1" customWidth="1"/>
    <col min="8191" max="8191" width="16.7109375" style="41" bestFit="1" customWidth="1"/>
    <col min="8192" max="8192" width="11.28515625" style="41" bestFit="1" customWidth="1"/>
    <col min="8193" max="8193" width="14" style="41" bestFit="1" customWidth="1"/>
    <col min="8194" max="8194" width="11.85546875" style="41" bestFit="1" customWidth="1"/>
    <col min="8195" max="8195" width="14.85546875" style="41" bestFit="1" customWidth="1"/>
    <col min="8196" max="8196" width="9.7109375" style="41" customWidth="1"/>
    <col min="8197" max="8197" width="4.85546875" style="41" customWidth="1"/>
    <col min="8198" max="8442" width="9.140625" style="41"/>
    <col min="8443" max="8443" width="5.42578125" style="41" bestFit="1" customWidth="1"/>
    <col min="8444" max="8444" width="20.42578125" style="41" bestFit="1" customWidth="1"/>
    <col min="8445" max="8445" width="41.42578125" style="41" customWidth="1"/>
    <col min="8446" max="8446" width="15.28515625" style="41" bestFit="1" customWidth="1"/>
    <col min="8447" max="8447" width="16.7109375" style="41" bestFit="1" customWidth="1"/>
    <col min="8448" max="8448" width="11.28515625" style="41" bestFit="1" customWidth="1"/>
    <col min="8449" max="8449" width="14" style="41" bestFit="1" customWidth="1"/>
    <col min="8450" max="8450" width="11.85546875" style="41" bestFit="1" customWidth="1"/>
    <col min="8451" max="8451" width="14.85546875" style="41" bestFit="1" customWidth="1"/>
    <col min="8452" max="8452" width="9.7109375" style="41" customWidth="1"/>
    <col min="8453" max="8453" width="4.85546875" style="41" customWidth="1"/>
    <col min="8454" max="8698" width="9.140625" style="41"/>
    <col min="8699" max="8699" width="5.42578125" style="41" bestFit="1" customWidth="1"/>
    <col min="8700" max="8700" width="20.42578125" style="41" bestFit="1" customWidth="1"/>
    <col min="8701" max="8701" width="41.42578125" style="41" customWidth="1"/>
    <col min="8702" max="8702" width="15.28515625" style="41" bestFit="1" customWidth="1"/>
    <col min="8703" max="8703" width="16.7109375" style="41" bestFit="1" customWidth="1"/>
    <col min="8704" max="8704" width="11.28515625" style="41" bestFit="1" customWidth="1"/>
    <col min="8705" max="8705" width="14" style="41" bestFit="1" customWidth="1"/>
    <col min="8706" max="8706" width="11.85546875" style="41" bestFit="1" customWidth="1"/>
    <col min="8707" max="8707" width="14.85546875" style="41" bestFit="1" customWidth="1"/>
    <col min="8708" max="8708" width="9.7109375" style="41" customWidth="1"/>
    <col min="8709" max="8709" width="4.85546875" style="41" customWidth="1"/>
    <col min="8710" max="8954" width="9.140625" style="41"/>
    <col min="8955" max="8955" width="5.42578125" style="41" bestFit="1" customWidth="1"/>
    <col min="8956" max="8956" width="20.42578125" style="41" bestFit="1" customWidth="1"/>
    <col min="8957" max="8957" width="41.42578125" style="41" customWidth="1"/>
    <col min="8958" max="8958" width="15.28515625" style="41" bestFit="1" customWidth="1"/>
    <col min="8959" max="8959" width="16.7109375" style="41" bestFit="1" customWidth="1"/>
    <col min="8960" max="8960" width="11.28515625" style="41" bestFit="1" customWidth="1"/>
    <col min="8961" max="8961" width="14" style="41" bestFit="1" customWidth="1"/>
    <col min="8962" max="8962" width="11.85546875" style="41" bestFit="1" customWidth="1"/>
    <col min="8963" max="8963" width="14.85546875" style="41" bestFit="1" customWidth="1"/>
    <col min="8964" max="8964" width="9.7109375" style="41" customWidth="1"/>
    <col min="8965" max="8965" width="4.85546875" style="41" customWidth="1"/>
    <col min="8966" max="9210" width="9.140625" style="41"/>
    <col min="9211" max="9211" width="5.42578125" style="41" bestFit="1" customWidth="1"/>
    <col min="9212" max="9212" width="20.42578125" style="41" bestFit="1" customWidth="1"/>
    <col min="9213" max="9213" width="41.42578125" style="41" customWidth="1"/>
    <col min="9214" max="9214" width="15.28515625" style="41" bestFit="1" customWidth="1"/>
    <col min="9215" max="9215" width="16.7109375" style="41" bestFit="1" customWidth="1"/>
    <col min="9216" max="9216" width="11.28515625" style="41" bestFit="1" customWidth="1"/>
    <col min="9217" max="9217" width="14" style="41" bestFit="1" customWidth="1"/>
    <col min="9218" max="9218" width="11.85546875" style="41" bestFit="1" customWidth="1"/>
    <col min="9219" max="9219" width="14.85546875" style="41" bestFit="1" customWidth="1"/>
    <col min="9220" max="9220" width="9.7109375" style="41" customWidth="1"/>
    <col min="9221" max="9221" width="4.85546875" style="41" customWidth="1"/>
    <col min="9222" max="9466" width="9.140625" style="41"/>
    <col min="9467" max="9467" width="5.42578125" style="41" bestFit="1" customWidth="1"/>
    <col min="9468" max="9468" width="20.42578125" style="41" bestFit="1" customWidth="1"/>
    <col min="9469" max="9469" width="41.42578125" style="41" customWidth="1"/>
    <col min="9470" max="9470" width="15.28515625" style="41" bestFit="1" customWidth="1"/>
    <col min="9471" max="9471" width="16.7109375" style="41" bestFit="1" customWidth="1"/>
    <col min="9472" max="9472" width="11.28515625" style="41" bestFit="1" customWidth="1"/>
    <col min="9473" max="9473" width="14" style="41" bestFit="1" customWidth="1"/>
    <col min="9474" max="9474" width="11.85546875" style="41" bestFit="1" customWidth="1"/>
    <col min="9475" max="9475" width="14.85546875" style="41" bestFit="1" customWidth="1"/>
    <col min="9476" max="9476" width="9.7109375" style="41" customWidth="1"/>
    <col min="9477" max="9477" width="4.85546875" style="41" customWidth="1"/>
    <col min="9478" max="9722" width="9.140625" style="41"/>
    <col min="9723" max="9723" width="5.42578125" style="41" bestFit="1" customWidth="1"/>
    <col min="9724" max="9724" width="20.42578125" style="41" bestFit="1" customWidth="1"/>
    <col min="9725" max="9725" width="41.42578125" style="41" customWidth="1"/>
    <col min="9726" max="9726" width="15.28515625" style="41" bestFit="1" customWidth="1"/>
    <col min="9727" max="9727" width="16.7109375" style="41" bestFit="1" customWidth="1"/>
    <col min="9728" max="9728" width="11.28515625" style="41" bestFit="1" customWidth="1"/>
    <col min="9729" max="9729" width="14" style="41" bestFit="1" customWidth="1"/>
    <col min="9730" max="9730" width="11.85546875" style="41" bestFit="1" customWidth="1"/>
    <col min="9731" max="9731" width="14.85546875" style="41" bestFit="1" customWidth="1"/>
    <col min="9732" max="9732" width="9.7109375" style="41" customWidth="1"/>
    <col min="9733" max="9733" width="4.85546875" style="41" customWidth="1"/>
    <col min="9734" max="9978" width="9.140625" style="41"/>
    <col min="9979" max="9979" width="5.42578125" style="41" bestFit="1" customWidth="1"/>
    <col min="9980" max="9980" width="20.42578125" style="41" bestFit="1" customWidth="1"/>
    <col min="9981" max="9981" width="41.42578125" style="41" customWidth="1"/>
    <col min="9982" max="9982" width="15.28515625" style="41" bestFit="1" customWidth="1"/>
    <col min="9983" max="9983" width="16.7109375" style="41" bestFit="1" customWidth="1"/>
    <col min="9984" max="9984" width="11.28515625" style="41" bestFit="1" customWidth="1"/>
    <col min="9985" max="9985" width="14" style="41" bestFit="1" customWidth="1"/>
    <col min="9986" max="9986" width="11.85546875" style="41" bestFit="1" customWidth="1"/>
    <col min="9987" max="9987" width="14.85546875" style="41" bestFit="1" customWidth="1"/>
    <col min="9988" max="9988" width="9.7109375" style="41" customWidth="1"/>
    <col min="9989" max="9989" width="4.85546875" style="41" customWidth="1"/>
    <col min="9990" max="10234" width="9.140625" style="41"/>
    <col min="10235" max="10235" width="5.42578125" style="41" bestFit="1" customWidth="1"/>
    <col min="10236" max="10236" width="20.42578125" style="41" bestFit="1" customWidth="1"/>
    <col min="10237" max="10237" width="41.42578125" style="41" customWidth="1"/>
    <col min="10238" max="10238" width="15.28515625" style="41" bestFit="1" customWidth="1"/>
    <col min="10239" max="10239" width="16.7109375" style="41" bestFit="1" customWidth="1"/>
    <col min="10240" max="10240" width="11.28515625" style="41" bestFit="1" customWidth="1"/>
    <col min="10241" max="10241" width="14" style="41" bestFit="1" customWidth="1"/>
    <col min="10242" max="10242" width="11.85546875" style="41" bestFit="1" customWidth="1"/>
    <col min="10243" max="10243" width="14.85546875" style="41" bestFit="1" customWidth="1"/>
    <col min="10244" max="10244" width="9.7109375" style="41" customWidth="1"/>
    <col min="10245" max="10245" width="4.85546875" style="41" customWidth="1"/>
    <col min="10246" max="10490" width="9.140625" style="41"/>
    <col min="10491" max="10491" width="5.42578125" style="41" bestFit="1" customWidth="1"/>
    <col min="10492" max="10492" width="20.42578125" style="41" bestFit="1" customWidth="1"/>
    <col min="10493" max="10493" width="41.42578125" style="41" customWidth="1"/>
    <col min="10494" max="10494" width="15.28515625" style="41" bestFit="1" customWidth="1"/>
    <col min="10495" max="10495" width="16.7109375" style="41" bestFit="1" customWidth="1"/>
    <col min="10496" max="10496" width="11.28515625" style="41" bestFit="1" customWidth="1"/>
    <col min="10497" max="10497" width="14" style="41" bestFit="1" customWidth="1"/>
    <col min="10498" max="10498" width="11.85546875" style="41" bestFit="1" customWidth="1"/>
    <col min="10499" max="10499" width="14.85546875" style="41" bestFit="1" customWidth="1"/>
    <col min="10500" max="10500" width="9.7109375" style="41" customWidth="1"/>
    <col min="10501" max="10501" width="4.85546875" style="41" customWidth="1"/>
    <col min="10502" max="10746" width="9.140625" style="41"/>
    <col min="10747" max="10747" width="5.42578125" style="41" bestFit="1" customWidth="1"/>
    <col min="10748" max="10748" width="20.42578125" style="41" bestFit="1" customWidth="1"/>
    <col min="10749" max="10749" width="41.42578125" style="41" customWidth="1"/>
    <col min="10750" max="10750" width="15.28515625" style="41" bestFit="1" customWidth="1"/>
    <col min="10751" max="10751" width="16.7109375" style="41" bestFit="1" customWidth="1"/>
    <col min="10752" max="10752" width="11.28515625" style="41" bestFit="1" customWidth="1"/>
    <col min="10753" max="10753" width="14" style="41" bestFit="1" customWidth="1"/>
    <col min="10754" max="10754" width="11.85546875" style="41" bestFit="1" customWidth="1"/>
    <col min="10755" max="10755" width="14.85546875" style="41" bestFit="1" customWidth="1"/>
    <col min="10756" max="10756" width="9.7109375" style="41" customWidth="1"/>
    <col min="10757" max="10757" width="4.85546875" style="41" customWidth="1"/>
    <col min="10758" max="11002" width="9.140625" style="41"/>
    <col min="11003" max="11003" width="5.42578125" style="41" bestFit="1" customWidth="1"/>
    <col min="11004" max="11004" width="20.42578125" style="41" bestFit="1" customWidth="1"/>
    <col min="11005" max="11005" width="41.42578125" style="41" customWidth="1"/>
    <col min="11006" max="11006" width="15.28515625" style="41" bestFit="1" customWidth="1"/>
    <col min="11007" max="11007" width="16.7109375" style="41" bestFit="1" customWidth="1"/>
    <col min="11008" max="11008" width="11.28515625" style="41" bestFit="1" customWidth="1"/>
    <col min="11009" max="11009" width="14" style="41" bestFit="1" customWidth="1"/>
    <col min="11010" max="11010" width="11.85546875" style="41" bestFit="1" customWidth="1"/>
    <col min="11011" max="11011" width="14.85546875" style="41" bestFit="1" customWidth="1"/>
    <col min="11012" max="11012" width="9.7109375" style="41" customWidth="1"/>
    <col min="11013" max="11013" width="4.85546875" style="41" customWidth="1"/>
    <col min="11014" max="11258" width="9.140625" style="41"/>
    <col min="11259" max="11259" width="5.42578125" style="41" bestFit="1" customWidth="1"/>
    <col min="11260" max="11260" width="20.42578125" style="41" bestFit="1" customWidth="1"/>
    <col min="11261" max="11261" width="41.42578125" style="41" customWidth="1"/>
    <col min="11262" max="11262" width="15.28515625" style="41" bestFit="1" customWidth="1"/>
    <col min="11263" max="11263" width="16.7109375" style="41" bestFit="1" customWidth="1"/>
    <col min="11264" max="11264" width="11.28515625" style="41" bestFit="1" customWidth="1"/>
    <col min="11265" max="11265" width="14" style="41" bestFit="1" customWidth="1"/>
    <col min="11266" max="11266" width="11.85546875" style="41" bestFit="1" customWidth="1"/>
    <col min="11267" max="11267" width="14.85546875" style="41" bestFit="1" customWidth="1"/>
    <col min="11268" max="11268" width="9.7109375" style="41" customWidth="1"/>
    <col min="11269" max="11269" width="4.85546875" style="41" customWidth="1"/>
    <col min="11270" max="11514" width="9.140625" style="41"/>
    <col min="11515" max="11515" width="5.42578125" style="41" bestFit="1" customWidth="1"/>
    <col min="11516" max="11516" width="20.42578125" style="41" bestFit="1" customWidth="1"/>
    <col min="11517" max="11517" width="41.42578125" style="41" customWidth="1"/>
    <col min="11518" max="11518" width="15.28515625" style="41" bestFit="1" customWidth="1"/>
    <col min="11519" max="11519" width="16.7109375" style="41" bestFit="1" customWidth="1"/>
    <col min="11520" max="11520" width="11.28515625" style="41" bestFit="1" customWidth="1"/>
    <col min="11521" max="11521" width="14" style="41" bestFit="1" customWidth="1"/>
    <col min="11522" max="11522" width="11.85546875" style="41" bestFit="1" customWidth="1"/>
    <col min="11523" max="11523" width="14.85546875" style="41" bestFit="1" customWidth="1"/>
    <col min="11524" max="11524" width="9.7109375" style="41" customWidth="1"/>
    <col min="11525" max="11525" width="4.85546875" style="41" customWidth="1"/>
    <col min="11526" max="11770" width="9.140625" style="41"/>
    <col min="11771" max="11771" width="5.42578125" style="41" bestFit="1" customWidth="1"/>
    <col min="11772" max="11772" width="20.42578125" style="41" bestFit="1" customWidth="1"/>
    <col min="11773" max="11773" width="41.42578125" style="41" customWidth="1"/>
    <col min="11774" max="11774" width="15.28515625" style="41" bestFit="1" customWidth="1"/>
    <col min="11775" max="11775" width="16.7109375" style="41" bestFit="1" customWidth="1"/>
    <col min="11776" max="11776" width="11.28515625" style="41" bestFit="1" customWidth="1"/>
    <col min="11777" max="11777" width="14" style="41" bestFit="1" customWidth="1"/>
    <col min="11778" max="11778" width="11.85546875" style="41" bestFit="1" customWidth="1"/>
    <col min="11779" max="11779" width="14.85546875" style="41" bestFit="1" customWidth="1"/>
    <col min="11780" max="11780" width="9.7109375" style="41" customWidth="1"/>
    <col min="11781" max="11781" width="4.85546875" style="41" customWidth="1"/>
    <col min="11782" max="12026" width="9.140625" style="41"/>
    <col min="12027" max="12027" width="5.42578125" style="41" bestFit="1" customWidth="1"/>
    <col min="12028" max="12028" width="20.42578125" style="41" bestFit="1" customWidth="1"/>
    <col min="12029" max="12029" width="41.42578125" style="41" customWidth="1"/>
    <col min="12030" max="12030" width="15.28515625" style="41" bestFit="1" customWidth="1"/>
    <col min="12031" max="12031" width="16.7109375" style="41" bestFit="1" customWidth="1"/>
    <col min="12032" max="12032" width="11.28515625" style="41" bestFit="1" customWidth="1"/>
    <col min="12033" max="12033" width="14" style="41" bestFit="1" customWidth="1"/>
    <col min="12034" max="12034" width="11.85546875" style="41" bestFit="1" customWidth="1"/>
    <col min="12035" max="12035" width="14.85546875" style="41" bestFit="1" customWidth="1"/>
    <col min="12036" max="12036" width="9.7109375" style="41" customWidth="1"/>
    <col min="12037" max="12037" width="4.85546875" style="41" customWidth="1"/>
    <col min="12038" max="12282" width="9.140625" style="41"/>
    <col min="12283" max="12283" width="5.42578125" style="41" bestFit="1" customWidth="1"/>
    <col min="12284" max="12284" width="20.42578125" style="41" bestFit="1" customWidth="1"/>
    <col min="12285" max="12285" width="41.42578125" style="41" customWidth="1"/>
    <col min="12286" max="12286" width="15.28515625" style="41" bestFit="1" customWidth="1"/>
    <col min="12287" max="12287" width="16.7109375" style="41" bestFit="1" customWidth="1"/>
    <col min="12288" max="12288" width="11.28515625" style="41" bestFit="1" customWidth="1"/>
    <col min="12289" max="12289" width="14" style="41" bestFit="1" customWidth="1"/>
    <col min="12290" max="12290" width="11.85546875" style="41" bestFit="1" customWidth="1"/>
    <col min="12291" max="12291" width="14.85546875" style="41" bestFit="1" customWidth="1"/>
    <col min="12292" max="12292" width="9.7109375" style="41" customWidth="1"/>
    <col min="12293" max="12293" width="4.85546875" style="41" customWidth="1"/>
    <col min="12294" max="12538" width="9.140625" style="41"/>
    <col min="12539" max="12539" width="5.42578125" style="41" bestFit="1" customWidth="1"/>
    <col min="12540" max="12540" width="20.42578125" style="41" bestFit="1" customWidth="1"/>
    <col min="12541" max="12541" width="41.42578125" style="41" customWidth="1"/>
    <col min="12542" max="12542" width="15.28515625" style="41" bestFit="1" customWidth="1"/>
    <col min="12543" max="12543" width="16.7109375" style="41" bestFit="1" customWidth="1"/>
    <col min="12544" max="12544" width="11.28515625" style="41" bestFit="1" customWidth="1"/>
    <col min="12545" max="12545" width="14" style="41" bestFit="1" customWidth="1"/>
    <col min="12546" max="12546" width="11.85546875" style="41" bestFit="1" customWidth="1"/>
    <col min="12547" max="12547" width="14.85546875" style="41" bestFit="1" customWidth="1"/>
    <col min="12548" max="12548" width="9.7109375" style="41" customWidth="1"/>
    <col min="12549" max="12549" width="4.85546875" style="41" customWidth="1"/>
    <col min="12550" max="12794" width="9.140625" style="41"/>
    <col min="12795" max="12795" width="5.42578125" style="41" bestFit="1" customWidth="1"/>
    <col min="12796" max="12796" width="20.42578125" style="41" bestFit="1" customWidth="1"/>
    <col min="12797" max="12797" width="41.42578125" style="41" customWidth="1"/>
    <col min="12798" max="12798" width="15.28515625" style="41" bestFit="1" customWidth="1"/>
    <col min="12799" max="12799" width="16.7109375" style="41" bestFit="1" customWidth="1"/>
    <col min="12800" max="12800" width="11.28515625" style="41" bestFit="1" customWidth="1"/>
    <col min="12801" max="12801" width="14" style="41" bestFit="1" customWidth="1"/>
    <col min="12802" max="12802" width="11.85546875" style="41" bestFit="1" customWidth="1"/>
    <col min="12803" max="12803" width="14.85546875" style="41" bestFit="1" customWidth="1"/>
    <col min="12804" max="12804" width="9.7109375" style="41" customWidth="1"/>
    <col min="12805" max="12805" width="4.85546875" style="41" customWidth="1"/>
    <col min="12806" max="13050" width="9.140625" style="41"/>
    <col min="13051" max="13051" width="5.42578125" style="41" bestFit="1" customWidth="1"/>
    <col min="13052" max="13052" width="20.42578125" style="41" bestFit="1" customWidth="1"/>
    <col min="13053" max="13053" width="41.42578125" style="41" customWidth="1"/>
    <col min="13054" max="13054" width="15.28515625" style="41" bestFit="1" customWidth="1"/>
    <col min="13055" max="13055" width="16.7109375" style="41" bestFit="1" customWidth="1"/>
    <col min="13056" max="13056" width="11.28515625" style="41" bestFit="1" customWidth="1"/>
    <col min="13057" max="13057" width="14" style="41" bestFit="1" customWidth="1"/>
    <col min="13058" max="13058" width="11.85546875" style="41" bestFit="1" customWidth="1"/>
    <col min="13059" max="13059" width="14.85546875" style="41" bestFit="1" customWidth="1"/>
    <col min="13060" max="13060" width="9.7109375" style="41" customWidth="1"/>
    <col min="13061" max="13061" width="4.85546875" style="41" customWidth="1"/>
    <col min="13062" max="13306" width="9.140625" style="41"/>
    <col min="13307" max="13307" width="5.42578125" style="41" bestFit="1" customWidth="1"/>
    <col min="13308" max="13308" width="20.42578125" style="41" bestFit="1" customWidth="1"/>
    <col min="13309" max="13309" width="41.42578125" style="41" customWidth="1"/>
    <col min="13310" max="13310" width="15.28515625" style="41" bestFit="1" customWidth="1"/>
    <col min="13311" max="13311" width="16.7109375" style="41" bestFit="1" customWidth="1"/>
    <col min="13312" max="13312" width="11.28515625" style="41" bestFit="1" customWidth="1"/>
    <col min="13313" max="13313" width="14" style="41" bestFit="1" customWidth="1"/>
    <col min="13314" max="13314" width="11.85546875" style="41" bestFit="1" customWidth="1"/>
    <col min="13315" max="13315" width="14.85546875" style="41" bestFit="1" customWidth="1"/>
    <col min="13316" max="13316" width="9.7109375" style="41" customWidth="1"/>
    <col min="13317" max="13317" width="4.85546875" style="41" customWidth="1"/>
    <col min="13318" max="13562" width="9.140625" style="41"/>
    <col min="13563" max="13563" width="5.42578125" style="41" bestFit="1" customWidth="1"/>
    <col min="13564" max="13564" width="20.42578125" style="41" bestFit="1" customWidth="1"/>
    <col min="13565" max="13565" width="41.42578125" style="41" customWidth="1"/>
    <col min="13566" max="13566" width="15.28515625" style="41" bestFit="1" customWidth="1"/>
    <col min="13567" max="13567" width="16.7109375" style="41" bestFit="1" customWidth="1"/>
    <col min="13568" max="13568" width="11.28515625" style="41" bestFit="1" customWidth="1"/>
    <col min="13569" max="13569" width="14" style="41" bestFit="1" customWidth="1"/>
    <col min="13570" max="13570" width="11.85546875" style="41" bestFit="1" customWidth="1"/>
    <col min="13571" max="13571" width="14.85546875" style="41" bestFit="1" customWidth="1"/>
    <col min="13572" max="13572" width="9.7109375" style="41" customWidth="1"/>
    <col min="13573" max="13573" width="4.85546875" style="41" customWidth="1"/>
    <col min="13574" max="13818" width="9.140625" style="41"/>
    <col min="13819" max="13819" width="5.42578125" style="41" bestFit="1" customWidth="1"/>
    <col min="13820" max="13820" width="20.42578125" style="41" bestFit="1" customWidth="1"/>
    <col min="13821" max="13821" width="41.42578125" style="41" customWidth="1"/>
    <col min="13822" max="13822" width="15.28515625" style="41" bestFit="1" customWidth="1"/>
    <col min="13823" max="13823" width="16.7109375" style="41" bestFit="1" customWidth="1"/>
    <col min="13824" max="13824" width="11.28515625" style="41" bestFit="1" customWidth="1"/>
    <col min="13825" max="13825" width="14" style="41" bestFit="1" customWidth="1"/>
    <col min="13826" max="13826" width="11.85546875" style="41" bestFit="1" customWidth="1"/>
    <col min="13827" max="13827" width="14.85546875" style="41" bestFit="1" customWidth="1"/>
    <col min="13828" max="13828" width="9.7109375" style="41" customWidth="1"/>
    <col min="13829" max="13829" width="4.85546875" style="41" customWidth="1"/>
    <col min="13830" max="14074" width="9.140625" style="41"/>
    <col min="14075" max="14075" width="5.42578125" style="41" bestFit="1" customWidth="1"/>
    <col min="14076" max="14076" width="20.42578125" style="41" bestFit="1" customWidth="1"/>
    <col min="14077" max="14077" width="41.42578125" style="41" customWidth="1"/>
    <col min="14078" max="14078" width="15.28515625" style="41" bestFit="1" customWidth="1"/>
    <col min="14079" max="14079" width="16.7109375" style="41" bestFit="1" customWidth="1"/>
    <col min="14080" max="14080" width="11.28515625" style="41" bestFit="1" customWidth="1"/>
    <col min="14081" max="14081" width="14" style="41" bestFit="1" customWidth="1"/>
    <col min="14082" max="14082" width="11.85546875" style="41" bestFit="1" customWidth="1"/>
    <col min="14083" max="14083" width="14.85546875" style="41" bestFit="1" customWidth="1"/>
    <col min="14084" max="14084" width="9.7109375" style="41" customWidth="1"/>
    <col min="14085" max="14085" width="4.85546875" style="41" customWidth="1"/>
    <col min="14086" max="14330" width="9.140625" style="41"/>
    <col min="14331" max="14331" width="5.42578125" style="41" bestFit="1" customWidth="1"/>
    <col min="14332" max="14332" width="20.42578125" style="41" bestFit="1" customWidth="1"/>
    <col min="14333" max="14333" width="41.42578125" style="41" customWidth="1"/>
    <col min="14334" max="14334" width="15.28515625" style="41" bestFit="1" customWidth="1"/>
    <col min="14335" max="14335" width="16.7109375" style="41" bestFit="1" customWidth="1"/>
    <col min="14336" max="14336" width="11.28515625" style="41" bestFit="1" customWidth="1"/>
    <col min="14337" max="14337" width="14" style="41" bestFit="1" customWidth="1"/>
    <col min="14338" max="14338" width="11.85546875" style="41" bestFit="1" customWidth="1"/>
    <col min="14339" max="14339" width="14.85546875" style="41" bestFit="1" customWidth="1"/>
    <col min="14340" max="14340" width="9.7109375" style="41" customWidth="1"/>
    <col min="14341" max="14341" width="4.85546875" style="41" customWidth="1"/>
    <col min="14342" max="14586" width="9.140625" style="41"/>
    <col min="14587" max="14587" width="5.42578125" style="41" bestFit="1" customWidth="1"/>
    <col min="14588" max="14588" width="20.42578125" style="41" bestFit="1" customWidth="1"/>
    <col min="14589" max="14589" width="41.42578125" style="41" customWidth="1"/>
    <col min="14590" max="14590" width="15.28515625" style="41" bestFit="1" customWidth="1"/>
    <col min="14591" max="14591" width="16.7109375" style="41" bestFit="1" customWidth="1"/>
    <col min="14592" max="14592" width="11.28515625" style="41" bestFit="1" customWidth="1"/>
    <col min="14593" max="14593" width="14" style="41" bestFit="1" customWidth="1"/>
    <col min="14594" max="14594" width="11.85546875" style="41" bestFit="1" customWidth="1"/>
    <col min="14595" max="14595" width="14.85546875" style="41" bestFit="1" customWidth="1"/>
    <col min="14596" max="14596" width="9.7109375" style="41" customWidth="1"/>
    <col min="14597" max="14597" width="4.85546875" style="41" customWidth="1"/>
    <col min="14598" max="14842" width="9.140625" style="41"/>
    <col min="14843" max="14843" width="5.42578125" style="41" bestFit="1" customWidth="1"/>
    <col min="14844" max="14844" width="20.42578125" style="41" bestFit="1" customWidth="1"/>
    <col min="14845" max="14845" width="41.42578125" style="41" customWidth="1"/>
    <col min="14846" max="14846" width="15.28515625" style="41" bestFit="1" customWidth="1"/>
    <col min="14847" max="14847" width="16.7109375" style="41" bestFit="1" customWidth="1"/>
    <col min="14848" max="14848" width="11.28515625" style="41" bestFit="1" customWidth="1"/>
    <col min="14849" max="14849" width="14" style="41" bestFit="1" customWidth="1"/>
    <col min="14850" max="14850" width="11.85546875" style="41" bestFit="1" customWidth="1"/>
    <col min="14851" max="14851" width="14.85546875" style="41" bestFit="1" customWidth="1"/>
    <col min="14852" max="14852" width="9.7109375" style="41" customWidth="1"/>
    <col min="14853" max="14853" width="4.85546875" style="41" customWidth="1"/>
    <col min="14854" max="15098" width="9.140625" style="41"/>
    <col min="15099" max="15099" width="5.42578125" style="41" bestFit="1" customWidth="1"/>
    <col min="15100" max="15100" width="20.42578125" style="41" bestFit="1" customWidth="1"/>
    <col min="15101" max="15101" width="41.42578125" style="41" customWidth="1"/>
    <col min="15102" max="15102" width="15.28515625" style="41" bestFit="1" customWidth="1"/>
    <col min="15103" max="15103" width="16.7109375" style="41" bestFit="1" customWidth="1"/>
    <col min="15104" max="15104" width="11.28515625" style="41" bestFit="1" customWidth="1"/>
    <col min="15105" max="15105" width="14" style="41" bestFit="1" customWidth="1"/>
    <col min="15106" max="15106" width="11.85546875" style="41" bestFit="1" customWidth="1"/>
    <col min="15107" max="15107" width="14.85546875" style="41" bestFit="1" customWidth="1"/>
    <col min="15108" max="15108" width="9.7109375" style="41" customWidth="1"/>
    <col min="15109" max="15109" width="4.85546875" style="41" customWidth="1"/>
    <col min="15110" max="15354" width="9.140625" style="41"/>
    <col min="15355" max="15355" width="5.42578125" style="41" bestFit="1" customWidth="1"/>
    <col min="15356" max="15356" width="20.42578125" style="41" bestFit="1" customWidth="1"/>
    <col min="15357" max="15357" width="41.42578125" style="41" customWidth="1"/>
    <col min="15358" max="15358" width="15.28515625" style="41" bestFit="1" customWidth="1"/>
    <col min="15359" max="15359" width="16.7109375" style="41" bestFit="1" customWidth="1"/>
    <col min="15360" max="15360" width="11.28515625" style="41" bestFit="1" customWidth="1"/>
    <col min="15361" max="15361" width="14" style="41" bestFit="1" customWidth="1"/>
    <col min="15362" max="15362" width="11.85546875" style="41" bestFit="1" customWidth="1"/>
    <col min="15363" max="15363" width="14.85546875" style="41" bestFit="1" customWidth="1"/>
    <col min="15364" max="15364" width="9.7109375" style="41" customWidth="1"/>
    <col min="15365" max="15365" width="4.85546875" style="41" customWidth="1"/>
    <col min="15366" max="15610" width="9.140625" style="41"/>
    <col min="15611" max="15611" width="5.42578125" style="41" bestFit="1" customWidth="1"/>
    <col min="15612" max="15612" width="20.42578125" style="41" bestFit="1" customWidth="1"/>
    <col min="15613" max="15613" width="41.42578125" style="41" customWidth="1"/>
    <col min="15614" max="15614" width="15.28515625" style="41" bestFit="1" customWidth="1"/>
    <col min="15615" max="15615" width="16.7109375" style="41" bestFit="1" customWidth="1"/>
    <col min="15616" max="15616" width="11.28515625" style="41" bestFit="1" customWidth="1"/>
    <col min="15617" max="15617" width="14" style="41" bestFit="1" customWidth="1"/>
    <col min="15618" max="15618" width="11.85546875" style="41" bestFit="1" customWidth="1"/>
    <col min="15619" max="15619" width="14.85546875" style="41" bestFit="1" customWidth="1"/>
    <col min="15620" max="15620" width="9.7109375" style="41" customWidth="1"/>
    <col min="15621" max="15621" width="4.85546875" style="41" customWidth="1"/>
    <col min="15622" max="15866" width="9.140625" style="41"/>
    <col min="15867" max="15867" width="5.42578125" style="41" bestFit="1" customWidth="1"/>
    <col min="15868" max="15868" width="20.42578125" style="41" bestFit="1" customWidth="1"/>
    <col min="15869" max="15869" width="41.42578125" style="41" customWidth="1"/>
    <col min="15870" max="15870" width="15.28515625" style="41" bestFit="1" customWidth="1"/>
    <col min="15871" max="15871" width="16.7109375" style="41" bestFit="1" customWidth="1"/>
    <col min="15872" max="15872" width="11.28515625" style="41" bestFit="1" customWidth="1"/>
    <col min="15873" max="15873" width="14" style="41" bestFit="1" customWidth="1"/>
    <col min="15874" max="15874" width="11.85546875" style="41" bestFit="1" customWidth="1"/>
    <col min="15875" max="15875" width="14.85546875" style="41" bestFit="1" customWidth="1"/>
    <col min="15876" max="15876" width="9.7109375" style="41" customWidth="1"/>
    <col min="15877" max="15877" width="4.85546875" style="41" customWidth="1"/>
    <col min="15878" max="16122" width="9.140625" style="41"/>
    <col min="16123" max="16123" width="5.42578125" style="41" bestFit="1" customWidth="1"/>
    <col min="16124" max="16124" width="20.42578125" style="41" bestFit="1" customWidth="1"/>
    <col min="16125" max="16125" width="41.42578125" style="41" customWidth="1"/>
    <col min="16126" max="16126" width="15.28515625" style="41" bestFit="1" customWidth="1"/>
    <col min="16127" max="16127" width="16.7109375" style="41" bestFit="1" customWidth="1"/>
    <col min="16128" max="16128" width="11.28515625" style="41" bestFit="1" customWidth="1"/>
    <col min="16129" max="16129" width="14" style="41" bestFit="1" customWidth="1"/>
    <col min="16130" max="16130" width="11.85546875" style="41" bestFit="1" customWidth="1"/>
    <col min="16131" max="16131" width="14.85546875" style="41" bestFit="1" customWidth="1"/>
    <col min="16132" max="16132" width="9.7109375" style="41" customWidth="1"/>
    <col min="16133" max="16133" width="4.85546875" style="41" customWidth="1"/>
    <col min="16134" max="16384" width="9.140625" style="41"/>
  </cols>
  <sheetData>
    <row r="1" spans="1:11" x14ac:dyDescent="0.25">
      <c r="A1" s="192" t="s">
        <v>0</v>
      </c>
      <c r="B1" s="192"/>
      <c r="C1" s="192"/>
      <c r="D1" s="192"/>
      <c r="E1" s="192"/>
      <c r="F1" s="192"/>
      <c r="G1" s="192"/>
      <c r="H1" s="192"/>
    </row>
    <row r="2" spans="1:11" x14ac:dyDescent="0.25">
      <c r="A2" s="193" t="s">
        <v>803</v>
      </c>
      <c r="B2" s="193"/>
      <c r="C2" s="193"/>
      <c r="D2" s="193"/>
      <c r="E2" s="193"/>
      <c r="F2" s="193"/>
      <c r="G2" s="193"/>
      <c r="H2" s="193"/>
    </row>
    <row r="3" spans="1:11" ht="15" customHeight="1" x14ac:dyDescent="0.25">
      <c r="A3" s="194" t="s">
        <v>804</v>
      </c>
      <c r="B3" s="194"/>
      <c r="C3" s="194"/>
      <c r="D3" s="194"/>
      <c r="E3" s="194"/>
      <c r="F3" s="194"/>
      <c r="G3" s="194"/>
      <c r="H3" s="194"/>
    </row>
    <row r="4" spans="1:11" ht="45" x14ac:dyDescent="0.25">
      <c r="A4" s="42" t="s">
        <v>2</v>
      </c>
      <c r="B4" s="42" t="s">
        <v>805</v>
      </c>
      <c r="C4" s="42" t="s">
        <v>806</v>
      </c>
      <c r="D4" s="42" t="s">
        <v>807</v>
      </c>
      <c r="E4" s="42" t="s">
        <v>6</v>
      </c>
      <c r="F4" s="42" t="s">
        <v>7</v>
      </c>
      <c r="G4" s="42" t="s">
        <v>8</v>
      </c>
      <c r="H4" s="43" t="s">
        <v>808</v>
      </c>
    </row>
    <row r="5" spans="1:11" ht="26.25" x14ac:dyDescent="0.25">
      <c r="A5" s="44"/>
      <c r="B5" s="44"/>
      <c r="C5" s="45" t="s">
        <v>809</v>
      </c>
      <c r="D5" s="44"/>
      <c r="E5" s="44"/>
      <c r="F5" s="46"/>
      <c r="G5" s="46"/>
      <c r="H5" s="47"/>
    </row>
    <row r="6" spans="1:11" ht="26.25" x14ac:dyDescent="0.25">
      <c r="A6" s="44">
        <v>1</v>
      </c>
      <c r="B6" s="44" t="s">
        <v>810</v>
      </c>
      <c r="C6" s="48" t="s">
        <v>811</v>
      </c>
      <c r="D6" s="44" t="s">
        <v>812</v>
      </c>
      <c r="E6" s="49">
        <v>8884047.0639999993</v>
      </c>
      <c r="F6" s="50">
        <v>8682.6643397999997</v>
      </c>
      <c r="G6" s="51">
        <f>F6/$F$18*100</f>
        <v>98.018485456972385</v>
      </c>
      <c r="H6" s="47"/>
      <c r="I6" s="52"/>
      <c r="K6" s="53"/>
    </row>
    <row r="7" spans="1:11" x14ac:dyDescent="0.25">
      <c r="A7" s="54"/>
      <c r="B7" s="47"/>
      <c r="C7" s="47"/>
      <c r="D7" s="47"/>
      <c r="E7" s="47"/>
      <c r="F7" s="47"/>
      <c r="G7" s="47"/>
      <c r="H7" s="55"/>
    </row>
    <row r="8" spans="1:11" ht="25.5" x14ac:dyDescent="0.25">
      <c r="A8" s="56"/>
      <c r="B8" s="56"/>
      <c r="C8" s="57" t="s">
        <v>813</v>
      </c>
      <c r="D8" s="57"/>
      <c r="E8" s="58"/>
      <c r="F8" s="59">
        <f>F6</f>
        <v>8682.6643397999997</v>
      </c>
      <c r="G8" s="60">
        <f>G6</f>
        <v>98.018485456972385</v>
      </c>
      <c r="H8" s="61"/>
    </row>
    <row r="9" spans="1:11" x14ac:dyDescent="0.25">
      <c r="A9" s="56"/>
      <c r="B9" s="56"/>
      <c r="C9" s="56"/>
      <c r="D9" s="56"/>
      <c r="E9" s="56"/>
      <c r="F9" s="62"/>
      <c r="G9" s="56"/>
      <c r="H9" s="47"/>
    </row>
    <row r="10" spans="1:11" x14ac:dyDescent="0.25">
      <c r="A10" s="44"/>
      <c r="B10" s="44"/>
      <c r="C10" s="63" t="s">
        <v>814</v>
      </c>
      <c r="D10" s="63"/>
      <c r="E10" s="63"/>
      <c r="F10" s="64"/>
      <c r="G10" s="56"/>
      <c r="H10" s="47"/>
    </row>
    <row r="11" spans="1:11" x14ac:dyDescent="0.25">
      <c r="A11" s="56"/>
      <c r="B11" s="56"/>
      <c r="C11" s="65" t="s">
        <v>123</v>
      </c>
      <c r="D11" s="63"/>
      <c r="E11" s="63"/>
      <c r="F11" s="66">
        <v>223.02500000000001</v>
      </c>
      <c r="G11" s="51">
        <f>F11/$F$18*100</f>
        <v>2.5177263410766391</v>
      </c>
      <c r="H11" s="67">
        <v>3.1</v>
      </c>
    </row>
    <row r="12" spans="1:11" x14ac:dyDescent="0.25">
      <c r="A12" s="56"/>
      <c r="B12" s="56"/>
      <c r="C12" s="65" t="s">
        <v>815</v>
      </c>
      <c r="D12" s="63"/>
      <c r="E12" s="63"/>
      <c r="F12" s="66">
        <v>0</v>
      </c>
      <c r="G12" s="66">
        <f>F12/$F$18*100</f>
        <v>0</v>
      </c>
      <c r="H12" s="67"/>
    </row>
    <row r="13" spans="1:11" x14ac:dyDescent="0.25">
      <c r="A13" s="56"/>
      <c r="B13" s="56"/>
      <c r="C13" s="65"/>
      <c r="D13" s="63"/>
      <c r="E13" s="63"/>
      <c r="F13" s="66"/>
      <c r="G13" s="51"/>
      <c r="H13" s="47"/>
    </row>
    <row r="14" spans="1:11" x14ac:dyDescent="0.25">
      <c r="A14" s="56"/>
      <c r="B14" s="56"/>
      <c r="C14" s="68" t="s">
        <v>124</v>
      </c>
      <c r="D14" s="56"/>
      <c r="E14" s="56"/>
      <c r="F14" s="69">
        <f>SUM(F11:F12)</f>
        <v>223.02500000000001</v>
      </c>
      <c r="G14" s="60">
        <f>SUM(G11:G13)</f>
        <v>2.5177263410766391</v>
      </c>
      <c r="H14" s="47"/>
    </row>
    <row r="15" spans="1:11" x14ac:dyDescent="0.25">
      <c r="A15" s="56"/>
      <c r="B15" s="56"/>
      <c r="C15" s="56"/>
      <c r="D15" s="56"/>
      <c r="E15" s="56"/>
      <c r="F15" s="62"/>
      <c r="G15" s="56"/>
      <c r="H15" s="47"/>
    </row>
    <row r="16" spans="1:11" x14ac:dyDescent="0.25">
      <c r="A16" s="56"/>
      <c r="B16" s="56"/>
      <c r="C16" s="65" t="s">
        <v>816</v>
      </c>
      <c r="D16" s="63"/>
      <c r="E16" s="63"/>
      <c r="F16" s="66">
        <f>F18-F14-F8</f>
        <v>-47.498663499998656</v>
      </c>
      <c r="G16" s="51">
        <f>F16/$F$18*100</f>
        <v>-0.53621179804901753</v>
      </c>
      <c r="H16" s="70"/>
    </row>
    <row r="17" spans="1:9" x14ac:dyDescent="0.25">
      <c r="A17" s="56"/>
      <c r="B17" s="56"/>
      <c r="C17" s="56"/>
      <c r="D17" s="56"/>
      <c r="E17" s="56"/>
      <c r="F17" s="62"/>
      <c r="G17" s="56"/>
      <c r="H17" s="47"/>
    </row>
    <row r="18" spans="1:9" x14ac:dyDescent="0.25">
      <c r="A18" s="56"/>
      <c r="B18" s="56"/>
      <c r="C18" s="68" t="s">
        <v>131</v>
      </c>
      <c r="D18" s="56"/>
      <c r="E18" s="56"/>
      <c r="F18" s="69">
        <v>8858.1906763000006</v>
      </c>
      <c r="G18" s="71">
        <f>G16+G14+G8</f>
        <v>100</v>
      </c>
      <c r="H18" s="72"/>
      <c r="I18" s="52"/>
    </row>
    <row r="19" spans="1:9" x14ac:dyDescent="0.25">
      <c r="F19" s="73"/>
      <c r="H19" s="74"/>
    </row>
    <row r="20" spans="1:9" x14ac:dyDescent="0.25">
      <c r="B20" s="75" t="s">
        <v>133</v>
      </c>
      <c r="C20" s="76"/>
      <c r="D20" s="76"/>
      <c r="E20" s="76"/>
      <c r="F20" s="77"/>
      <c r="G20" s="76"/>
    </row>
    <row r="21" spans="1:9" x14ac:dyDescent="0.25">
      <c r="B21" s="76" t="s">
        <v>817</v>
      </c>
      <c r="C21" s="76"/>
      <c r="D21" s="76"/>
      <c r="E21" s="76"/>
      <c r="F21" s="78"/>
      <c r="G21" s="78"/>
    </row>
    <row r="22" spans="1:9" x14ac:dyDescent="0.25">
      <c r="B22" s="190" t="s">
        <v>818</v>
      </c>
      <c r="C22" s="190"/>
      <c r="D22" s="76"/>
      <c r="E22" s="76"/>
      <c r="F22" s="79"/>
      <c r="G22" s="79"/>
    </row>
    <row r="23" spans="1:9" x14ac:dyDescent="0.25">
      <c r="B23" s="190" t="s">
        <v>137</v>
      </c>
      <c r="C23" s="190"/>
      <c r="D23" s="80"/>
      <c r="E23" s="80"/>
      <c r="F23" s="76" t="s">
        <v>145</v>
      </c>
      <c r="G23" s="76"/>
    </row>
    <row r="24" spans="1:9" x14ac:dyDescent="0.25">
      <c r="B24" s="81"/>
      <c r="C24" s="81"/>
      <c r="D24" s="80"/>
      <c r="E24" s="80"/>
      <c r="F24" s="76"/>
      <c r="G24" s="76"/>
    </row>
    <row r="25" spans="1:9" x14ac:dyDescent="0.25">
      <c r="B25" s="82"/>
      <c r="C25" s="83" t="s">
        <v>138</v>
      </c>
      <c r="D25" s="83" t="s">
        <v>139</v>
      </c>
      <c r="E25" s="84"/>
      <c r="F25" s="84"/>
      <c r="G25" s="76"/>
    </row>
    <row r="26" spans="1:9" x14ac:dyDescent="0.25">
      <c r="B26" s="85" t="s">
        <v>819</v>
      </c>
      <c r="C26" s="86">
        <v>44408</v>
      </c>
      <c r="D26" s="86">
        <v>44439</v>
      </c>
      <c r="E26" s="87"/>
      <c r="F26" s="87"/>
      <c r="G26" s="88"/>
    </row>
    <row r="27" spans="1:9" x14ac:dyDescent="0.25">
      <c r="B27" s="89" t="s">
        <v>143</v>
      </c>
      <c r="C27" s="90">
        <v>26.712800000000001</v>
      </c>
      <c r="D27" s="90">
        <v>26.4893</v>
      </c>
      <c r="E27" s="91"/>
      <c r="F27" s="88"/>
      <c r="G27" s="88"/>
    </row>
    <row r="28" spans="1:9" x14ac:dyDescent="0.25">
      <c r="B28" s="92" t="s">
        <v>820</v>
      </c>
      <c r="C28" s="90">
        <v>23.764399999999998</v>
      </c>
      <c r="D28" s="90">
        <v>23.563700000000001</v>
      </c>
      <c r="E28" s="91"/>
      <c r="F28" s="88"/>
      <c r="G28" s="88"/>
    </row>
    <row r="29" spans="1:9" x14ac:dyDescent="0.25">
      <c r="B29" s="89" t="s">
        <v>144</v>
      </c>
      <c r="C29" s="90">
        <v>25.4359</v>
      </c>
      <c r="D29" s="90">
        <v>25.195599999999999</v>
      </c>
      <c r="E29" s="91"/>
      <c r="F29" s="88"/>
      <c r="G29" s="88"/>
    </row>
    <row r="30" spans="1:9" x14ac:dyDescent="0.25">
      <c r="B30" s="92" t="s">
        <v>821</v>
      </c>
      <c r="C30" s="90">
        <v>21.797499999999999</v>
      </c>
      <c r="D30" s="90">
        <v>21.590599999999998</v>
      </c>
      <c r="E30" s="91"/>
      <c r="F30" s="88"/>
      <c r="G30" s="88"/>
    </row>
    <row r="31" spans="1:9" ht="15" customHeight="1" x14ac:dyDescent="0.25">
      <c r="B31" s="93" t="s">
        <v>822</v>
      </c>
      <c r="C31" s="94"/>
      <c r="D31" s="94"/>
      <c r="E31" s="94"/>
      <c r="F31" s="94"/>
      <c r="G31" s="76"/>
    </row>
    <row r="32" spans="1:9" ht="15" customHeight="1" x14ac:dyDescent="0.25">
      <c r="B32" s="93"/>
      <c r="C32" s="94"/>
      <c r="D32" s="94"/>
      <c r="E32" s="94"/>
      <c r="F32" s="94"/>
      <c r="G32" s="76"/>
    </row>
    <row r="33" spans="2:7" x14ac:dyDescent="0.25">
      <c r="B33" s="195" t="s">
        <v>823</v>
      </c>
      <c r="C33" s="195"/>
      <c r="D33" s="195"/>
      <c r="E33" s="95"/>
      <c r="F33" s="95"/>
      <c r="G33" s="88"/>
    </row>
    <row r="34" spans="2:7" x14ac:dyDescent="0.25">
      <c r="B34" s="190" t="s">
        <v>824</v>
      </c>
      <c r="C34" s="190"/>
      <c r="D34" s="190"/>
      <c r="E34" s="76"/>
      <c r="F34" s="76"/>
      <c r="G34" s="76"/>
    </row>
    <row r="35" spans="2:7" ht="15" customHeight="1" x14ac:dyDescent="0.25">
      <c r="B35" s="96" t="s">
        <v>825</v>
      </c>
      <c r="C35" s="96"/>
      <c r="D35" s="96"/>
      <c r="E35" s="97"/>
      <c r="F35" s="97"/>
      <c r="G35" s="76"/>
    </row>
    <row r="36" spans="2:7" x14ac:dyDescent="0.25">
      <c r="B36" s="191" t="s">
        <v>826</v>
      </c>
      <c r="C36" s="191"/>
      <c r="D36" s="191"/>
      <c r="E36" s="88"/>
      <c r="F36" s="88"/>
      <c r="G36" s="88"/>
    </row>
  </sheetData>
  <mergeCells count="8">
    <mergeCell ref="B34:D34"/>
    <mergeCell ref="B36:D36"/>
    <mergeCell ref="A1:H1"/>
    <mergeCell ref="A2:H2"/>
    <mergeCell ref="A3:H3"/>
    <mergeCell ref="B22:C22"/>
    <mergeCell ref="B23:C23"/>
    <mergeCell ref="B33:D33"/>
  </mergeCells>
  <pageMargins left="0.7" right="0.7" top="0.75" bottom="0.75" header="0.3" footer="0.3"/>
  <pageSetup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26CB-7523-44EA-83A1-3AC68B484876}">
  <dimension ref="B1:L218"/>
  <sheetViews>
    <sheetView workbookViewId="0"/>
  </sheetViews>
  <sheetFormatPr defaultRowHeight="12.75" x14ac:dyDescent="0.2"/>
  <cols>
    <col min="1" max="1" width="5" style="226" customWidth="1"/>
    <col min="2" max="2" width="41.140625" style="226" customWidth="1"/>
    <col min="3" max="3" width="44.85546875" style="226" bestFit="1" customWidth="1"/>
    <col min="4" max="4" width="18.7109375" style="226" customWidth="1"/>
    <col min="5" max="5" width="21.28515625" style="226" customWidth="1"/>
    <col min="6" max="6" width="16.5703125" style="226" customWidth="1"/>
    <col min="7" max="7" width="19" style="226" customWidth="1"/>
    <col min="8" max="8" width="17.5703125" style="226" customWidth="1"/>
    <col min="9" max="9" width="15.5703125" style="226" bestFit="1" customWidth="1"/>
    <col min="10" max="10" width="13.5703125" style="226" customWidth="1"/>
    <col min="11" max="11" width="20.5703125" style="226" customWidth="1"/>
    <col min="12" max="12" width="12.42578125" style="226" bestFit="1" customWidth="1"/>
    <col min="13" max="256" width="9.140625" style="226"/>
    <col min="257" max="257" width="23" style="226" customWidth="1"/>
    <col min="258" max="258" width="41.140625" style="226" customWidth="1"/>
    <col min="259" max="259" width="44.85546875" style="226" bestFit="1" customWidth="1"/>
    <col min="260" max="260" width="18.7109375" style="226" customWidth="1"/>
    <col min="261" max="261" width="21.28515625" style="226" customWidth="1"/>
    <col min="262" max="262" width="16.5703125" style="226" customWidth="1"/>
    <col min="263" max="263" width="19" style="226" customWidth="1"/>
    <col min="264" max="264" width="17.5703125" style="226" customWidth="1"/>
    <col min="265" max="265" width="15.5703125" style="226" bestFit="1" customWidth="1"/>
    <col min="266" max="266" width="13.5703125" style="226" customWidth="1"/>
    <col min="267" max="267" width="20.5703125" style="226" customWidth="1"/>
    <col min="268" max="268" width="12.42578125" style="226" bestFit="1" customWidth="1"/>
    <col min="269" max="512" width="9.140625" style="226"/>
    <col min="513" max="513" width="23" style="226" customWidth="1"/>
    <col min="514" max="514" width="41.140625" style="226" customWidth="1"/>
    <col min="515" max="515" width="44.85546875" style="226" bestFit="1" customWidth="1"/>
    <col min="516" max="516" width="18.7109375" style="226" customWidth="1"/>
    <col min="517" max="517" width="21.28515625" style="226" customWidth="1"/>
    <col min="518" max="518" width="16.5703125" style="226" customWidth="1"/>
    <col min="519" max="519" width="19" style="226" customWidth="1"/>
    <col min="520" max="520" width="17.5703125" style="226" customWidth="1"/>
    <col min="521" max="521" width="15.5703125" style="226" bestFit="1" customWidth="1"/>
    <col min="522" max="522" width="13.5703125" style="226" customWidth="1"/>
    <col min="523" max="523" width="20.5703125" style="226" customWidth="1"/>
    <col min="524" max="524" width="12.42578125" style="226" bestFit="1" customWidth="1"/>
    <col min="525" max="768" width="9.140625" style="226"/>
    <col min="769" max="769" width="23" style="226" customWidth="1"/>
    <col min="770" max="770" width="41.140625" style="226" customWidth="1"/>
    <col min="771" max="771" width="44.85546875" style="226" bestFit="1" customWidth="1"/>
    <col min="772" max="772" width="18.7109375" style="226" customWidth="1"/>
    <col min="773" max="773" width="21.28515625" style="226" customWidth="1"/>
    <col min="774" max="774" width="16.5703125" style="226" customWidth="1"/>
    <col min="775" max="775" width="19" style="226" customWidth="1"/>
    <col min="776" max="776" width="17.5703125" style="226" customWidth="1"/>
    <col min="777" max="777" width="15.5703125" style="226" bestFit="1" customWidth="1"/>
    <col min="778" max="778" width="13.5703125" style="226" customWidth="1"/>
    <col min="779" max="779" width="20.5703125" style="226" customWidth="1"/>
    <col min="780" max="780" width="12.42578125" style="226" bestFit="1" customWidth="1"/>
    <col min="781" max="1024" width="9.140625" style="226"/>
    <col min="1025" max="1025" width="23" style="226" customWidth="1"/>
    <col min="1026" max="1026" width="41.140625" style="226" customWidth="1"/>
    <col min="1027" max="1027" width="44.85546875" style="226" bestFit="1" customWidth="1"/>
    <col min="1028" max="1028" width="18.7109375" style="226" customWidth="1"/>
    <col min="1029" max="1029" width="21.28515625" style="226" customWidth="1"/>
    <col min="1030" max="1030" width="16.5703125" style="226" customWidth="1"/>
    <col min="1031" max="1031" width="19" style="226" customWidth="1"/>
    <col min="1032" max="1032" width="17.5703125" style="226" customWidth="1"/>
    <col min="1033" max="1033" width="15.5703125" style="226" bestFit="1" customWidth="1"/>
    <col min="1034" max="1034" width="13.5703125" style="226" customWidth="1"/>
    <col min="1035" max="1035" width="20.5703125" style="226" customWidth="1"/>
    <col min="1036" max="1036" width="12.42578125" style="226" bestFit="1" customWidth="1"/>
    <col min="1037" max="1280" width="9.140625" style="226"/>
    <col min="1281" max="1281" width="23" style="226" customWidth="1"/>
    <col min="1282" max="1282" width="41.140625" style="226" customWidth="1"/>
    <col min="1283" max="1283" width="44.85546875" style="226" bestFit="1" customWidth="1"/>
    <col min="1284" max="1284" width="18.7109375" style="226" customWidth="1"/>
    <col min="1285" max="1285" width="21.28515625" style="226" customWidth="1"/>
    <col min="1286" max="1286" width="16.5703125" style="226" customWidth="1"/>
    <col min="1287" max="1287" width="19" style="226" customWidth="1"/>
    <col min="1288" max="1288" width="17.5703125" style="226" customWidth="1"/>
    <col min="1289" max="1289" width="15.5703125" style="226" bestFit="1" customWidth="1"/>
    <col min="1290" max="1290" width="13.5703125" style="226" customWidth="1"/>
    <col min="1291" max="1291" width="20.5703125" style="226" customWidth="1"/>
    <col min="1292" max="1292" width="12.42578125" style="226" bestFit="1" customWidth="1"/>
    <col min="1293" max="1536" width="9.140625" style="226"/>
    <col min="1537" max="1537" width="23" style="226" customWidth="1"/>
    <col min="1538" max="1538" width="41.140625" style="226" customWidth="1"/>
    <col min="1539" max="1539" width="44.85546875" style="226" bestFit="1" customWidth="1"/>
    <col min="1540" max="1540" width="18.7109375" style="226" customWidth="1"/>
    <col min="1541" max="1541" width="21.28515625" style="226" customWidth="1"/>
    <col min="1542" max="1542" width="16.5703125" style="226" customWidth="1"/>
    <col min="1543" max="1543" width="19" style="226" customWidth="1"/>
    <col min="1544" max="1544" width="17.5703125" style="226" customWidth="1"/>
    <col min="1545" max="1545" width="15.5703125" style="226" bestFit="1" customWidth="1"/>
    <col min="1546" max="1546" width="13.5703125" style="226" customWidth="1"/>
    <col min="1547" max="1547" width="20.5703125" style="226" customWidth="1"/>
    <col min="1548" max="1548" width="12.42578125" style="226" bestFit="1" customWidth="1"/>
    <col min="1549" max="1792" width="9.140625" style="226"/>
    <col min="1793" max="1793" width="23" style="226" customWidth="1"/>
    <col min="1794" max="1794" width="41.140625" style="226" customWidth="1"/>
    <col min="1795" max="1795" width="44.85546875" style="226" bestFit="1" customWidth="1"/>
    <col min="1796" max="1796" width="18.7109375" style="226" customWidth="1"/>
    <col min="1797" max="1797" width="21.28515625" style="226" customWidth="1"/>
    <col min="1798" max="1798" width="16.5703125" style="226" customWidth="1"/>
    <col min="1799" max="1799" width="19" style="226" customWidth="1"/>
    <col min="1800" max="1800" width="17.5703125" style="226" customWidth="1"/>
    <col min="1801" max="1801" width="15.5703125" style="226" bestFit="1" customWidth="1"/>
    <col min="1802" max="1802" width="13.5703125" style="226" customWidth="1"/>
    <col min="1803" max="1803" width="20.5703125" style="226" customWidth="1"/>
    <col min="1804" max="1804" width="12.42578125" style="226" bestFit="1" customWidth="1"/>
    <col min="1805" max="2048" width="9.140625" style="226"/>
    <col min="2049" max="2049" width="23" style="226" customWidth="1"/>
    <col min="2050" max="2050" width="41.140625" style="226" customWidth="1"/>
    <col min="2051" max="2051" width="44.85546875" style="226" bestFit="1" customWidth="1"/>
    <col min="2052" max="2052" width="18.7109375" style="226" customWidth="1"/>
    <col min="2053" max="2053" width="21.28515625" style="226" customWidth="1"/>
    <col min="2054" max="2054" width="16.5703125" style="226" customWidth="1"/>
    <col min="2055" max="2055" width="19" style="226" customWidth="1"/>
    <col min="2056" max="2056" width="17.5703125" style="226" customWidth="1"/>
    <col min="2057" max="2057" width="15.5703125" style="226" bestFit="1" customWidth="1"/>
    <col min="2058" max="2058" width="13.5703125" style="226" customWidth="1"/>
    <col min="2059" max="2059" width="20.5703125" style="226" customWidth="1"/>
    <col min="2060" max="2060" width="12.42578125" style="226" bestFit="1" customWidth="1"/>
    <col min="2061" max="2304" width="9.140625" style="226"/>
    <col min="2305" max="2305" width="23" style="226" customWidth="1"/>
    <col min="2306" max="2306" width="41.140625" style="226" customWidth="1"/>
    <col min="2307" max="2307" width="44.85546875" style="226" bestFit="1" customWidth="1"/>
    <col min="2308" max="2308" width="18.7109375" style="226" customWidth="1"/>
    <col min="2309" max="2309" width="21.28515625" style="226" customWidth="1"/>
    <col min="2310" max="2310" width="16.5703125" style="226" customWidth="1"/>
    <col min="2311" max="2311" width="19" style="226" customWidth="1"/>
    <col min="2312" max="2312" width="17.5703125" style="226" customWidth="1"/>
    <col min="2313" max="2313" width="15.5703125" style="226" bestFit="1" customWidth="1"/>
    <col min="2314" max="2314" width="13.5703125" style="226" customWidth="1"/>
    <col min="2315" max="2315" width="20.5703125" style="226" customWidth="1"/>
    <col min="2316" max="2316" width="12.42578125" style="226" bestFit="1" customWidth="1"/>
    <col min="2317" max="2560" width="9.140625" style="226"/>
    <col min="2561" max="2561" width="23" style="226" customWidth="1"/>
    <col min="2562" max="2562" width="41.140625" style="226" customWidth="1"/>
    <col min="2563" max="2563" width="44.85546875" style="226" bestFit="1" customWidth="1"/>
    <col min="2564" max="2564" width="18.7109375" style="226" customWidth="1"/>
    <col min="2565" max="2565" width="21.28515625" style="226" customWidth="1"/>
    <col min="2566" max="2566" width="16.5703125" style="226" customWidth="1"/>
    <col min="2567" max="2567" width="19" style="226" customWidth="1"/>
    <col min="2568" max="2568" width="17.5703125" style="226" customWidth="1"/>
    <col min="2569" max="2569" width="15.5703125" style="226" bestFit="1" customWidth="1"/>
    <col min="2570" max="2570" width="13.5703125" style="226" customWidth="1"/>
    <col min="2571" max="2571" width="20.5703125" style="226" customWidth="1"/>
    <col min="2572" max="2572" width="12.42578125" style="226" bestFit="1" customWidth="1"/>
    <col min="2573" max="2816" width="9.140625" style="226"/>
    <col min="2817" max="2817" width="23" style="226" customWidth="1"/>
    <col min="2818" max="2818" width="41.140625" style="226" customWidth="1"/>
    <col min="2819" max="2819" width="44.85546875" style="226" bestFit="1" customWidth="1"/>
    <col min="2820" max="2820" width="18.7109375" style="226" customWidth="1"/>
    <col min="2821" max="2821" width="21.28515625" style="226" customWidth="1"/>
    <col min="2822" max="2822" width="16.5703125" style="226" customWidth="1"/>
    <col min="2823" max="2823" width="19" style="226" customWidth="1"/>
    <col min="2824" max="2824" width="17.5703125" style="226" customWidth="1"/>
    <col min="2825" max="2825" width="15.5703125" style="226" bestFit="1" customWidth="1"/>
    <col min="2826" max="2826" width="13.5703125" style="226" customWidth="1"/>
    <col min="2827" max="2827" width="20.5703125" style="226" customWidth="1"/>
    <col min="2828" max="2828" width="12.42578125" style="226" bestFit="1" customWidth="1"/>
    <col min="2829" max="3072" width="9.140625" style="226"/>
    <col min="3073" max="3073" width="23" style="226" customWidth="1"/>
    <col min="3074" max="3074" width="41.140625" style="226" customWidth="1"/>
    <col min="3075" max="3075" width="44.85546875" style="226" bestFit="1" customWidth="1"/>
    <col min="3076" max="3076" width="18.7109375" style="226" customWidth="1"/>
    <col min="3077" max="3077" width="21.28515625" style="226" customWidth="1"/>
    <col min="3078" max="3078" width="16.5703125" style="226" customWidth="1"/>
    <col min="3079" max="3079" width="19" style="226" customWidth="1"/>
    <col min="3080" max="3080" width="17.5703125" style="226" customWidth="1"/>
    <col min="3081" max="3081" width="15.5703125" style="226" bestFit="1" customWidth="1"/>
    <col min="3082" max="3082" width="13.5703125" style="226" customWidth="1"/>
    <col min="3083" max="3083" width="20.5703125" style="226" customWidth="1"/>
    <col min="3084" max="3084" width="12.42578125" style="226" bestFit="1" customWidth="1"/>
    <col min="3085" max="3328" width="9.140625" style="226"/>
    <col min="3329" max="3329" width="23" style="226" customWidth="1"/>
    <col min="3330" max="3330" width="41.140625" style="226" customWidth="1"/>
    <col min="3331" max="3331" width="44.85546875" style="226" bestFit="1" customWidth="1"/>
    <col min="3332" max="3332" width="18.7109375" style="226" customWidth="1"/>
    <col min="3333" max="3333" width="21.28515625" style="226" customWidth="1"/>
    <col min="3334" max="3334" width="16.5703125" style="226" customWidth="1"/>
    <col min="3335" max="3335" width="19" style="226" customWidth="1"/>
    <col min="3336" max="3336" width="17.5703125" style="226" customWidth="1"/>
    <col min="3337" max="3337" width="15.5703125" style="226" bestFit="1" customWidth="1"/>
    <col min="3338" max="3338" width="13.5703125" style="226" customWidth="1"/>
    <col min="3339" max="3339" width="20.5703125" style="226" customWidth="1"/>
    <col min="3340" max="3340" width="12.42578125" style="226" bestFit="1" customWidth="1"/>
    <col min="3341" max="3584" width="9.140625" style="226"/>
    <col min="3585" max="3585" width="23" style="226" customWidth="1"/>
    <col min="3586" max="3586" width="41.140625" style="226" customWidth="1"/>
    <col min="3587" max="3587" width="44.85546875" style="226" bestFit="1" customWidth="1"/>
    <col min="3588" max="3588" width="18.7109375" style="226" customWidth="1"/>
    <col min="3589" max="3589" width="21.28515625" style="226" customWidth="1"/>
    <col min="3590" max="3590" width="16.5703125" style="226" customWidth="1"/>
    <col min="3591" max="3591" width="19" style="226" customWidth="1"/>
    <col min="3592" max="3592" width="17.5703125" style="226" customWidth="1"/>
    <col min="3593" max="3593" width="15.5703125" style="226" bestFit="1" customWidth="1"/>
    <col min="3594" max="3594" width="13.5703125" style="226" customWidth="1"/>
    <col min="3595" max="3595" width="20.5703125" style="226" customWidth="1"/>
    <col min="3596" max="3596" width="12.42578125" style="226" bestFit="1" customWidth="1"/>
    <col min="3597" max="3840" width="9.140625" style="226"/>
    <col min="3841" max="3841" width="23" style="226" customWidth="1"/>
    <col min="3842" max="3842" width="41.140625" style="226" customWidth="1"/>
    <col min="3843" max="3843" width="44.85546875" style="226" bestFit="1" customWidth="1"/>
    <col min="3844" max="3844" width="18.7109375" style="226" customWidth="1"/>
    <col min="3845" max="3845" width="21.28515625" style="226" customWidth="1"/>
    <col min="3846" max="3846" width="16.5703125" style="226" customWidth="1"/>
    <col min="3847" max="3847" width="19" style="226" customWidth="1"/>
    <col min="3848" max="3848" width="17.5703125" style="226" customWidth="1"/>
    <col min="3849" max="3849" width="15.5703125" style="226" bestFit="1" customWidth="1"/>
    <col min="3850" max="3850" width="13.5703125" style="226" customWidth="1"/>
    <col min="3851" max="3851" width="20.5703125" style="226" customWidth="1"/>
    <col min="3852" max="3852" width="12.42578125" style="226" bestFit="1" customWidth="1"/>
    <col min="3853" max="4096" width="9.140625" style="226"/>
    <col min="4097" max="4097" width="23" style="226" customWidth="1"/>
    <col min="4098" max="4098" width="41.140625" style="226" customWidth="1"/>
    <col min="4099" max="4099" width="44.85546875" style="226" bestFit="1" customWidth="1"/>
    <col min="4100" max="4100" width="18.7109375" style="226" customWidth="1"/>
    <col min="4101" max="4101" width="21.28515625" style="226" customWidth="1"/>
    <col min="4102" max="4102" width="16.5703125" style="226" customWidth="1"/>
    <col min="4103" max="4103" width="19" style="226" customWidth="1"/>
    <col min="4104" max="4104" width="17.5703125" style="226" customWidth="1"/>
    <col min="4105" max="4105" width="15.5703125" style="226" bestFit="1" customWidth="1"/>
    <col min="4106" max="4106" width="13.5703125" style="226" customWidth="1"/>
    <col min="4107" max="4107" width="20.5703125" style="226" customWidth="1"/>
    <col min="4108" max="4108" width="12.42578125" style="226" bestFit="1" customWidth="1"/>
    <col min="4109" max="4352" width="9.140625" style="226"/>
    <col min="4353" max="4353" width="23" style="226" customWidth="1"/>
    <col min="4354" max="4354" width="41.140625" style="226" customWidth="1"/>
    <col min="4355" max="4355" width="44.85546875" style="226" bestFit="1" customWidth="1"/>
    <col min="4356" max="4356" width="18.7109375" style="226" customWidth="1"/>
    <col min="4357" max="4357" width="21.28515625" style="226" customWidth="1"/>
    <col min="4358" max="4358" width="16.5703125" style="226" customWidth="1"/>
    <col min="4359" max="4359" width="19" style="226" customWidth="1"/>
    <col min="4360" max="4360" width="17.5703125" style="226" customWidth="1"/>
    <col min="4361" max="4361" width="15.5703125" style="226" bestFit="1" customWidth="1"/>
    <col min="4362" max="4362" width="13.5703125" style="226" customWidth="1"/>
    <col min="4363" max="4363" width="20.5703125" style="226" customWidth="1"/>
    <col min="4364" max="4364" width="12.42578125" style="226" bestFit="1" customWidth="1"/>
    <col min="4365" max="4608" width="9.140625" style="226"/>
    <col min="4609" max="4609" width="23" style="226" customWidth="1"/>
    <col min="4610" max="4610" width="41.140625" style="226" customWidth="1"/>
    <col min="4611" max="4611" width="44.85546875" style="226" bestFit="1" customWidth="1"/>
    <col min="4612" max="4612" width="18.7109375" style="226" customWidth="1"/>
    <col min="4613" max="4613" width="21.28515625" style="226" customWidth="1"/>
    <col min="4614" max="4614" width="16.5703125" style="226" customWidth="1"/>
    <col min="4615" max="4615" width="19" style="226" customWidth="1"/>
    <col min="4616" max="4616" width="17.5703125" style="226" customWidth="1"/>
    <col min="4617" max="4617" width="15.5703125" style="226" bestFit="1" customWidth="1"/>
    <col min="4618" max="4618" width="13.5703125" style="226" customWidth="1"/>
    <col min="4619" max="4619" width="20.5703125" style="226" customWidth="1"/>
    <col min="4620" max="4620" width="12.42578125" style="226" bestFit="1" customWidth="1"/>
    <col min="4621" max="4864" width="9.140625" style="226"/>
    <col min="4865" max="4865" width="23" style="226" customWidth="1"/>
    <col min="4866" max="4866" width="41.140625" style="226" customWidth="1"/>
    <col min="4867" max="4867" width="44.85546875" style="226" bestFit="1" customWidth="1"/>
    <col min="4868" max="4868" width="18.7109375" style="226" customWidth="1"/>
    <col min="4869" max="4869" width="21.28515625" style="226" customWidth="1"/>
    <col min="4870" max="4870" width="16.5703125" style="226" customWidth="1"/>
    <col min="4871" max="4871" width="19" style="226" customWidth="1"/>
    <col min="4872" max="4872" width="17.5703125" style="226" customWidth="1"/>
    <col min="4873" max="4873" width="15.5703125" style="226" bestFit="1" customWidth="1"/>
    <col min="4874" max="4874" width="13.5703125" style="226" customWidth="1"/>
    <col min="4875" max="4875" width="20.5703125" style="226" customWidth="1"/>
    <col min="4876" max="4876" width="12.42578125" style="226" bestFit="1" customWidth="1"/>
    <col min="4877" max="5120" width="9.140625" style="226"/>
    <col min="5121" max="5121" width="23" style="226" customWidth="1"/>
    <col min="5122" max="5122" width="41.140625" style="226" customWidth="1"/>
    <col min="5123" max="5123" width="44.85546875" style="226" bestFit="1" customWidth="1"/>
    <col min="5124" max="5124" width="18.7109375" style="226" customWidth="1"/>
    <col min="5125" max="5125" width="21.28515625" style="226" customWidth="1"/>
    <col min="5126" max="5126" width="16.5703125" style="226" customWidth="1"/>
    <col min="5127" max="5127" width="19" style="226" customWidth="1"/>
    <col min="5128" max="5128" width="17.5703125" style="226" customWidth="1"/>
    <col min="5129" max="5129" width="15.5703125" style="226" bestFit="1" customWidth="1"/>
    <col min="5130" max="5130" width="13.5703125" style="226" customWidth="1"/>
    <col min="5131" max="5131" width="20.5703125" style="226" customWidth="1"/>
    <col min="5132" max="5132" width="12.42578125" style="226" bestFit="1" customWidth="1"/>
    <col min="5133" max="5376" width="9.140625" style="226"/>
    <col min="5377" max="5377" width="23" style="226" customWidth="1"/>
    <col min="5378" max="5378" width="41.140625" style="226" customWidth="1"/>
    <col min="5379" max="5379" width="44.85546875" style="226" bestFit="1" customWidth="1"/>
    <col min="5380" max="5380" width="18.7109375" style="226" customWidth="1"/>
    <col min="5381" max="5381" width="21.28515625" style="226" customWidth="1"/>
    <col min="5382" max="5382" width="16.5703125" style="226" customWidth="1"/>
    <col min="5383" max="5383" width="19" style="226" customWidth="1"/>
    <col min="5384" max="5384" width="17.5703125" style="226" customWidth="1"/>
    <col min="5385" max="5385" width="15.5703125" style="226" bestFit="1" customWidth="1"/>
    <col min="5386" max="5386" width="13.5703125" style="226" customWidth="1"/>
    <col min="5387" max="5387" width="20.5703125" style="226" customWidth="1"/>
    <col min="5388" max="5388" width="12.42578125" style="226" bestFit="1" customWidth="1"/>
    <col min="5389" max="5632" width="9.140625" style="226"/>
    <col min="5633" max="5633" width="23" style="226" customWidth="1"/>
    <col min="5634" max="5634" width="41.140625" style="226" customWidth="1"/>
    <col min="5635" max="5635" width="44.85546875" style="226" bestFit="1" customWidth="1"/>
    <col min="5636" max="5636" width="18.7109375" style="226" customWidth="1"/>
    <col min="5637" max="5637" width="21.28515625" style="226" customWidth="1"/>
    <col min="5638" max="5638" width="16.5703125" style="226" customWidth="1"/>
    <col min="5639" max="5639" width="19" style="226" customWidth="1"/>
    <col min="5640" max="5640" width="17.5703125" style="226" customWidth="1"/>
    <col min="5641" max="5641" width="15.5703125" style="226" bestFit="1" customWidth="1"/>
    <col min="5642" max="5642" width="13.5703125" style="226" customWidth="1"/>
    <col min="5643" max="5643" width="20.5703125" style="226" customWidth="1"/>
    <col min="5644" max="5644" width="12.42578125" style="226" bestFit="1" customWidth="1"/>
    <col min="5645" max="5888" width="9.140625" style="226"/>
    <col min="5889" max="5889" width="23" style="226" customWidth="1"/>
    <col min="5890" max="5890" width="41.140625" style="226" customWidth="1"/>
    <col min="5891" max="5891" width="44.85546875" style="226" bestFit="1" customWidth="1"/>
    <col min="5892" max="5892" width="18.7109375" style="226" customWidth="1"/>
    <col min="5893" max="5893" width="21.28515625" style="226" customWidth="1"/>
    <col min="5894" max="5894" width="16.5703125" style="226" customWidth="1"/>
    <col min="5895" max="5895" width="19" style="226" customWidth="1"/>
    <col min="5896" max="5896" width="17.5703125" style="226" customWidth="1"/>
    <col min="5897" max="5897" width="15.5703125" style="226" bestFit="1" customWidth="1"/>
    <col min="5898" max="5898" width="13.5703125" style="226" customWidth="1"/>
    <col min="5899" max="5899" width="20.5703125" style="226" customWidth="1"/>
    <col min="5900" max="5900" width="12.42578125" style="226" bestFit="1" customWidth="1"/>
    <col min="5901" max="6144" width="9.140625" style="226"/>
    <col min="6145" max="6145" width="23" style="226" customWidth="1"/>
    <col min="6146" max="6146" width="41.140625" style="226" customWidth="1"/>
    <col min="6147" max="6147" width="44.85546875" style="226" bestFit="1" customWidth="1"/>
    <col min="6148" max="6148" width="18.7109375" style="226" customWidth="1"/>
    <col min="6149" max="6149" width="21.28515625" style="226" customWidth="1"/>
    <col min="6150" max="6150" width="16.5703125" style="226" customWidth="1"/>
    <col min="6151" max="6151" width="19" style="226" customWidth="1"/>
    <col min="6152" max="6152" width="17.5703125" style="226" customWidth="1"/>
    <col min="6153" max="6153" width="15.5703125" style="226" bestFit="1" customWidth="1"/>
    <col min="6154" max="6154" width="13.5703125" style="226" customWidth="1"/>
    <col min="6155" max="6155" width="20.5703125" style="226" customWidth="1"/>
    <col min="6156" max="6156" width="12.42578125" style="226" bestFit="1" customWidth="1"/>
    <col min="6157" max="6400" width="9.140625" style="226"/>
    <col min="6401" max="6401" width="23" style="226" customWidth="1"/>
    <col min="6402" max="6402" width="41.140625" style="226" customWidth="1"/>
    <col min="6403" max="6403" width="44.85546875" style="226" bestFit="1" customWidth="1"/>
    <col min="6404" max="6404" width="18.7109375" style="226" customWidth="1"/>
    <col min="6405" max="6405" width="21.28515625" style="226" customWidth="1"/>
    <col min="6406" max="6406" width="16.5703125" style="226" customWidth="1"/>
    <col min="6407" max="6407" width="19" style="226" customWidth="1"/>
    <col min="6408" max="6408" width="17.5703125" style="226" customWidth="1"/>
    <col min="6409" max="6409" width="15.5703125" style="226" bestFit="1" customWidth="1"/>
    <col min="6410" max="6410" width="13.5703125" style="226" customWidth="1"/>
    <col min="6411" max="6411" width="20.5703125" style="226" customWidth="1"/>
    <col min="6412" max="6412" width="12.42578125" style="226" bestFit="1" customWidth="1"/>
    <col min="6413" max="6656" width="9.140625" style="226"/>
    <col min="6657" max="6657" width="23" style="226" customWidth="1"/>
    <col min="6658" max="6658" width="41.140625" style="226" customWidth="1"/>
    <col min="6659" max="6659" width="44.85546875" style="226" bestFit="1" customWidth="1"/>
    <col min="6660" max="6660" width="18.7109375" style="226" customWidth="1"/>
    <col min="6661" max="6661" width="21.28515625" style="226" customWidth="1"/>
    <col min="6662" max="6662" width="16.5703125" style="226" customWidth="1"/>
    <col min="6663" max="6663" width="19" style="226" customWidth="1"/>
    <col min="6664" max="6664" width="17.5703125" style="226" customWidth="1"/>
    <col min="6665" max="6665" width="15.5703125" style="226" bestFit="1" customWidth="1"/>
    <col min="6666" max="6666" width="13.5703125" style="226" customWidth="1"/>
    <col min="6667" max="6667" width="20.5703125" style="226" customWidth="1"/>
    <col min="6668" max="6668" width="12.42578125" style="226" bestFit="1" customWidth="1"/>
    <col min="6669" max="6912" width="9.140625" style="226"/>
    <col min="6913" max="6913" width="23" style="226" customWidth="1"/>
    <col min="6914" max="6914" width="41.140625" style="226" customWidth="1"/>
    <col min="6915" max="6915" width="44.85546875" style="226" bestFit="1" customWidth="1"/>
    <col min="6916" max="6916" width="18.7109375" style="226" customWidth="1"/>
    <col min="6917" max="6917" width="21.28515625" style="226" customWidth="1"/>
    <col min="6918" max="6918" width="16.5703125" style="226" customWidth="1"/>
    <col min="6919" max="6919" width="19" style="226" customWidth="1"/>
    <col min="6920" max="6920" width="17.5703125" style="226" customWidth="1"/>
    <col min="6921" max="6921" width="15.5703125" style="226" bestFit="1" customWidth="1"/>
    <col min="6922" max="6922" width="13.5703125" style="226" customWidth="1"/>
    <col min="6923" max="6923" width="20.5703125" style="226" customWidth="1"/>
    <col min="6924" max="6924" width="12.42578125" style="226" bestFit="1" customWidth="1"/>
    <col min="6925" max="7168" width="9.140625" style="226"/>
    <col min="7169" max="7169" width="23" style="226" customWidth="1"/>
    <col min="7170" max="7170" width="41.140625" style="226" customWidth="1"/>
    <col min="7171" max="7171" width="44.85546875" style="226" bestFit="1" customWidth="1"/>
    <col min="7172" max="7172" width="18.7109375" style="226" customWidth="1"/>
    <col min="7173" max="7173" width="21.28515625" style="226" customWidth="1"/>
    <col min="7174" max="7174" width="16.5703125" style="226" customWidth="1"/>
    <col min="7175" max="7175" width="19" style="226" customWidth="1"/>
    <col min="7176" max="7176" width="17.5703125" style="226" customWidth="1"/>
    <col min="7177" max="7177" width="15.5703125" style="226" bestFit="1" customWidth="1"/>
    <col min="7178" max="7178" width="13.5703125" style="226" customWidth="1"/>
    <col min="7179" max="7179" width="20.5703125" style="226" customWidth="1"/>
    <col min="7180" max="7180" width="12.42578125" style="226" bestFit="1" customWidth="1"/>
    <col min="7181" max="7424" width="9.140625" style="226"/>
    <col min="7425" max="7425" width="23" style="226" customWidth="1"/>
    <col min="7426" max="7426" width="41.140625" style="226" customWidth="1"/>
    <col min="7427" max="7427" width="44.85546875" style="226" bestFit="1" customWidth="1"/>
    <col min="7428" max="7428" width="18.7109375" style="226" customWidth="1"/>
    <col min="7429" max="7429" width="21.28515625" style="226" customWidth="1"/>
    <col min="7430" max="7430" width="16.5703125" style="226" customWidth="1"/>
    <col min="7431" max="7431" width="19" style="226" customWidth="1"/>
    <col min="7432" max="7432" width="17.5703125" style="226" customWidth="1"/>
    <col min="7433" max="7433" width="15.5703125" style="226" bestFit="1" customWidth="1"/>
    <col min="7434" max="7434" width="13.5703125" style="226" customWidth="1"/>
    <col min="7435" max="7435" width="20.5703125" style="226" customWidth="1"/>
    <col min="7436" max="7436" width="12.42578125" style="226" bestFit="1" customWidth="1"/>
    <col min="7437" max="7680" width="9.140625" style="226"/>
    <col min="7681" max="7681" width="23" style="226" customWidth="1"/>
    <col min="7682" max="7682" width="41.140625" style="226" customWidth="1"/>
    <col min="7683" max="7683" width="44.85546875" style="226" bestFit="1" customWidth="1"/>
    <col min="7684" max="7684" width="18.7109375" style="226" customWidth="1"/>
    <col min="7685" max="7685" width="21.28515625" style="226" customWidth="1"/>
    <col min="7686" max="7686" width="16.5703125" style="226" customWidth="1"/>
    <col min="7687" max="7687" width="19" style="226" customWidth="1"/>
    <col min="7688" max="7688" width="17.5703125" style="226" customWidth="1"/>
    <col min="7689" max="7689" width="15.5703125" style="226" bestFit="1" customWidth="1"/>
    <col min="7690" max="7690" width="13.5703125" style="226" customWidth="1"/>
    <col min="7691" max="7691" width="20.5703125" style="226" customWidth="1"/>
    <col min="7692" max="7692" width="12.42578125" style="226" bestFit="1" customWidth="1"/>
    <col min="7693" max="7936" width="9.140625" style="226"/>
    <col min="7937" max="7937" width="23" style="226" customWidth="1"/>
    <col min="7938" max="7938" width="41.140625" style="226" customWidth="1"/>
    <col min="7939" max="7939" width="44.85546875" style="226" bestFit="1" customWidth="1"/>
    <col min="7940" max="7940" width="18.7109375" style="226" customWidth="1"/>
    <col min="7941" max="7941" width="21.28515625" style="226" customWidth="1"/>
    <col min="7942" max="7942" width="16.5703125" style="226" customWidth="1"/>
    <col min="7943" max="7943" width="19" style="226" customWidth="1"/>
    <col min="7944" max="7944" width="17.5703125" style="226" customWidth="1"/>
    <col min="7945" max="7945" width="15.5703125" style="226" bestFit="1" customWidth="1"/>
    <col min="7946" max="7946" width="13.5703125" style="226" customWidth="1"/>
    <col min="7947" max="7947" width="20.5703125" style="226" customWidth="1"/>
    <col min="7948" max="7948" width="12.42578125" style="226" bestFit="1" customWidth="1"/>
    <col min="7949" max="8192" width="9.140625" style="226"/>
    <col min="8193" max="8193" width="23" style="226" customWidth="1"/>
    <col min="8194" max="8194" width="41.140625" style="226" customWidth="1"/>
    <col min="8195" max="8195" width="44.85546875" style="226" bestFit="1" customWidth="1"/>
    <col min="8196" max="8196" width="18.7109375" style="226" customWidth="1"/>
    <col min="8197" max="8197" width="21.28515625" style="226" customWidth="1"/>
    <col min="8198" max="8198" width="16.5703125" style="226" customWidth="1"/>
    <col min="8199" max="8199" width="19" style="226" customWidth="1"/>
    <col min="8200" max="8200" width="17.5703125" style="226" customWidth="1"/>
    <col min="8201" max="8201" width="15.5703125" style="226" bestFit="1" customWidth="1"/>
    <col min="8202" max="8202" width="13.5703125" style="226" customWidth="1"/>
    <col min="8203" max="8203" width="20.5703125" style="226" customWidth="1"/>
    <col min="8204" max="8204" width="12.42578125" style="226" bestFit="1" customWidth="1"/>
    <col min="8205" max="8448" width="9.140625" style="226"/>
    <col min="8449" max="8449" width="23" style="226" customWidth="1"/>
    <col min="8450" max="8450" width="41.140625" style="226" customWidth="1"/>
    <col min="8451" max="8451" width="44.85546875" style="226" bestFit="1" customWidth="1"/>
    <col min="8452" max="8452" width="18.7109375" style="226" customWidth="1"/>
    <col min="8453" max="8453" width="21.28515625" style="226" customWidth="1"/>
    <col min="8454" max="8454" width="16.5703125" style="226" customWidth="1"/>
    <col min="8455" max="8455" width="19" style="226" customWidth="1"/>
    <col min="8456" max="8456" width="17.5703125" style="226" customWidth="1"/>
    <col min="8457" max="8457" width="15.5703125" style="226" bestFit="1" customWidth="1"/>
    <col min="8458" max="8458" width="13.5703125" style="226" customWidth="1"/>
    <col min="8459" max="8459" width="20.5703125" style="226" customWidth="1"/>
    <col min="8460" max="8460" width="12.42578125" style="226" bestFit="1" customWidth="1"/>
    <col min="8461" max="8704" width="9.140625" style="226"/>
    <col min="8705" max="8705" width="23" style="226" customWidth="1"/>
    <col min="8706" max="8706" width="41.140625" style="226" customWidth="1"/>
    <col min="8707" max="8707" width="44.85546875" style="226" bestFit="1" customWidth="1"/>
    <col min="8708" max="8708" width="18.7109375" style="226" customWidth="1"/>
    <col min="8709" max="8709" width="21.28515625" style="226" customWidth="1"/>
    <col min="8710" max="8710" width="16.5703125" style="226" customWidth="1"/>
    <col min="8711" max="8711" width="19" style="226" customWidth="1"/>
    <col min="8712" max="8712" width="17.5703125" style="226" customWidth="1"/>
    <col min="8713" max="8713" width="15.5703125" style="226" bestFit="1" customWidth="1"/>
    <col min="8714" max="8714" width="13.5703125" style="226" customWidth="1"/>
    <col min="8715" max="8715" width="20.5703125" style="226" customWidth="1"/>
    <col min="8716" max="8716" width="12.42578125" style="226" bestFit="1" customWidth="1"/>
    <col min="8717" max="8960" width="9.140625" style="226"/>
    <col min="8961" max="8961" width="23" style="226" customWidth="1"/>
    <col min="8962" max="8962" width="41.140625" style="226" customWidth="1"/>
    <col min="8963" max="8963" width="44.85546875" style="226" bestFit="1" customWidth="1"/>
    <col min="8964" max="8964" width="18.7109375" style="226" customWidth="1"/>
    <col min="8965" max="8965" width="21.28515625" style="226" customWidth="1"/>
    <col min="8966" max="8966" width="16.5703125" style="226" customWidth="1"/>
    <col min="8967" max="8967" width="19" style="226" customWidth="1"/>
    <col min="8968" max="8968" width="17.5703125" style="226" customWidth="1"/>
    <col min="8969" max="8969" width="15.5703125" style="226" bestFit="1" customWidth="1"/>
    <col min="8970" max="8970" width="13.5703125" style="226" customWidth="1"/>
    <col min="8971" max="8971" width="20.5703125" style="226" customWidth="1"/>
    <col min="8972" max="8972" width="12.42578125" style="226" bestFit="1" customWidth="1"/>
    <col min="8973" max="9216" width="9.140625" style="226"/>
    <col min="9217" max="9217" width="23" style="226" customWidth="1"/>
    <col min="9218" max="9218" width="41.140625" style="226" customWidth="1"/>
    <col min="9219" max="9219" width="44.85546875" style="226" bestFit="1" customWidth="1"/>
    <col min="9220" max="9220" width="18.7109375" style="226" customWidth="1"/>
    <col min="9221" max="9221" width="21.28515625" style="226" customWidth="1"/>
    <col min="9222" max="9222" width="16.5703125" style="226" customWidth="1"/>
    <col min="9223" max="9223" width="19" style="226" customWidth="1"/>
    <col min="9224" max="9224" width="17.5703125" style="226" customWidth="1"/>
    <col min="9225" max="9225" width="15.5703125" style="226" bestFit="1" customWidth="1"/>
    <col min="9226" max="9226" width="13.5703125" style="226" customWidth="1"/>
    <col min="9227" max="9227" width="20.5703125" style="226" customWidth="1"/>
    <col min="9228" max="9228" width="12.42578125" style="226" bestFit="1" customWidth="1"/>
    <col min="9229" max="9472" width="9.140625" style="226"/>
    <col min="9473" max="9473" width="23" style="226" customWidth="1"/>
    <col min="9474" max="9474" width="41.140625" style="226" customWidth="1"/>
    <col min="9475" max="9475" width="44.85546875" style="226" bestFit="1" customWidth="1"/>
    <col min="9476" max="9476" width="18.7109375" style="226" customWidth="1"/>
    <col min="9477" max="9477" width="21.28515625" style="226" customWidth="1"/>
    <col min="9478" max="9478" width="16.5703125" style="226" customWidth="1"/>
    <col min="9479" max="9479" width="19" style="226" customWidth="1"/>
    <col min="9480" max="9480" width="17.5703125" style="226" customWidth="1"/>
    <col min="9481" max="9481" width="15.5703125" style="226" bestFit="1" customWidth="1"/>
    <col min="9482" max="9482" width="13.5703125" style="226" customWidth="1"/>
    <col min="9483" max="9483" width="20.5703125" style="226" customWidth="1"/>
    <col min="9484" max="9484" width="12.42578125" style="226" bestFit="1" customWidth="1"/>
    <col min="9485" max="9728" width="9.140625" style="226"/>
    <col min="9729" max="9729" width="23" style="226" customWidth="1"/>
    <col min="9730" max="9730" width="41.140625" style="226" customWidth="1"/>
    <col min="9731" max="9731" width="44.85546875" style="226" bestFit="1" customWidth="1"/>
    <col min="9732" max="9732" width="18.7109375" style="226" customWidth="1"/>
    <col min="9733" max="9733" width="21.28515625" style="226" customWidth="1"/>
    <col min="9734" max="9734" width="16.5703125" style="226" customWidth="1"/>
    <col min="9735" max="9735" width="19" style="226" customWidth="1"/>
    <col min="9736" max="9736" width="17.5703125" style="226" customWidth="1"/>
    <col min="9737" max="9737" width="15.5703125" style="226" bestFit="1" customWidth="1"/>
    <col min="9738" max="9738" width="13.5703125" style="226" customWidth="1"/>
    <col min="9739" max="9739" width="20.5703125" style="226" customWidth="1"/>
    <col min="9740" max="9740" width="12.42578125" style="226" bestFit="1" customWidth="1"/>
    <col min="9741" max="9984" width="9.140625" style="226"/>
    <col min="9985" max="9985" width="23" style="226" customWidth="1"/>
    <col min="9986" max="9986" width="41.140625" style="226" customWidth="1"/>
    <col min="9987" max="9987" width="44.85546875" style="226" bestFit="1" customWidth="1"/>
    <col min="9988" max="9988" width="18.7109375" style="226" customWidth="1"/>
    <col min="9989" max="9989" width="21.28515625" style="226" customWidth="1"/>
    <col min="9990" max="9990" width="16.5703125" style="226" customWidth="1"/>
    <col min="9991" max="9991" width="19" style="226" customWidth="1"/>
    <col min="9992" max="9992" width="17.5703125" style="226" customWidth="1"/>
    <col min="9993" max="9993" width="15.5703125" style="226" bestFit="1" customWidth="1"/>
    <col min="9994" max="9994" width="13.5703125" style="226" customWidth="1"/>
    <col min="9995" max="9995" width="20.5703125" style="226" customWidth="1"/>
    <col min="9996" max="9996" width="12.42578125" style="226" bestFit="1" customWidth="1"/>
    <col min="9997" max="10240" width="9.140625" style="226"/>
    <col min="10241" max="10241" width="23" style="226" customWidth="1"/>
    <col min="10242" max="10242" width="41.140625" style="226" customWidth="1"/>
    <col min="10243" max="10243" width="44.85546875" style="226" bestFit="1" customWidth="1"/>
    <col min="10244" max="10244" width="18.7109375" style="226" customWidth="1"/>
    <col min="10245" max="10245" width="21.28515625" style="226" customWidth="1"/>
    <col min="10246" max="10246" width="16.5703125" style="226" customWidth="1"/>
    <col min="10247" max="10247" width="19" style="226" customWidth="1"/>
    <col min="10248" max="10248" width="17.5703125" style="226" customWidth="1"/>
    <col min="10249" max="10249" width="15.5703125" style="226" bestFit="1" customWidth="1"/>
    <col min="10250" max="10250" width="13.5703125" style="226" customWidth="1"/>
    <col min="10251" max="10251" width="20.5703125" style="226" customWidth="1"/>
    <col min="10252" max="10252" width="12.42578125" style="226" bestFit="1" customWidth="1"/>
    <col min="10253" max="10496" width="9.140625" style="226"/>
    <col min="10497" max="10497" width="23" style="226" customWidth="1"/>
    <col min="10498" max="10498" width="41.140625" style="226" customWidth="1"/>
    <col min="10499" max="10499" width="44.85546875" style="226" bestFit="1" customWidth="1"/>
    <col min="10500" max="10500" width="18.7109375" style="226" customWidth="1"/>
    <col min="10501" max="10501" width="21.28515625" style="226" customWidth="1"/>
    <col min="10502" max="10502" width="16.5703125" style="226" customWidth="1"/>
    <col min="10503" max="10503" width="19" style="226" customWidth="1"/>
    <col min="10504" max="10504" width="17.5703125" style="226" customWidth="1"/>
    <col min="10505" max="10505" width="15.5703125" style="226" bestFit="1" customWidth="1"/>
    <col min="10506" max="10506" width="13.5703125" style="226" customWidth="1"/>
    <col min="10507" max="10507" width="20.5703125" style="226" customWidth="1"/>
    <col min="10508" max="10508" width="12.42578125" style="226" bestFit="1" customWidth="1"/>
    <col min="10509" max="10752" width="9.140625" style="226"/>
    <col min="10753" max="10753" width="23" style="226" customWidth="1"/>
    <col min="10754" max="10754" width="41.140625" style="226" customWidth="1"/>
    <col min="10755" max="10755" width="44.85546875" style="226" bestFit="1" customWidth="1"/>
    <col min="10756" max="10756" width="18.7109375" style="226" customWidth="1"/>
    <col min="10757" max="10757" width="21.28515625" style="226" customWidth="1"/>
    <col min="10758" max="10758" width="16.5703125" style="226" customWidth="1"/>
    <col min="10759" max="10759" width="19" style="226" customWidth="1"/>
    <col min="10760" max="10760" width="17.5703125" style="226" customWidth="1"/>
    <col min="10761" max="10761" width="15.5703125" style="226" bestFit="1" customWidth="1"/>
    <col min="10762" max="10762" width="13.5703125" style="226" customWidth="1"/>
    <col min="10763" max="10763" width="20.5703125" style="226" customWidth="1"/>
    <col min="10764" max="10764" width="12.42578125" style="226" bestFit="1" customWidth="1"/>
    <col min="10765" max="11008" width="9.140625" style="226"/>
    <col min="11009" max="11009" width="23" style="226" customWidth="1"/>
    <col min="11010" max="11010" width="41.140625" style="226" customWidth="1"/>
    <col min="11011" max="11011" width="44.85546875" style="226" bestFit="1" customWidth="1"/>
    <col min="11012" max="11012" width="18.7109375" style="226" customWidth="1"/>
    <col min="11013" max="11013" width="21.28515625" style="226" customWidth="1"/>
    <col min="11014" max="11014" width="16.5703125" style="226" customWidth="1"/>
    <col min="11015" max="11015" width="19" style="226" customWidth="1"/>
    <col min="11016" max="11016" width="17.5703125" style="226" customWidth="1"/>
    <col min="11017" max="11017" width="15.5703125" style="226" bestFit="1" customWidth="1"/>
    <col min="11018" max="11018" width="13.5703125" style="226" customWidth="1"/>
    <col min="11019" max="11019" width="20.5703125" style="226" customWidth="1"/>
    <col min="11020" max="11020" width="12.42578125" style="226" bestFit="1" customWidth="1"/>
    <col min="11021" max="11264" width="9.140625" style="226"/>
    <col min="11265" max="11265" width="23" style="226" customWidth="1"/>
    <col min="11266" max="11266" width="41.140625" style="226" customWidth="1"/>
    <col min="11267" max="11267" width="44.85546875" style="226" bestFit="1" customWidth="1"/>
    <col min="11268" max="11268" width="18.7109375" style="226" customWidth="1"/>
    <col min="11269" max="11269" width="21.28515625" style="226" customWidth="1"/>
    <col min="11270" max="11270" width="16.5703125" style="226" customWidth="1"/>
    <col min="11271" max="11271" width="19" style="226" customWidth="1"/>
    <col min="11272" max="11272" width="17.5703125" style="226" customWidth="1"/>
    <col min="11273" max="11273" width="15.5703125" style="226" bestFit="1" customWidth="1"/>
    <col min="11274" max="11274" width="13.5703125" style="226" customWidth="1"/>
    <col min="11275" max="11275" width="20.5703125" style="226" customWidth="1"/>
    <col min="11276" max="11276" width="12.42578125" style="226" bestFit="1" customWidth="1"/>
    <col min="11277" max="11520" width="9.140625" style="226"/>
    <col min="11521" max="11521" width="23" style="226" customWidth="1"/>
    <col min="11522" max="11522" width="41.140625" style="226" customWidth="1"/>
    <col min="11523" max="11523" width="44.85546875" style="226" bestFit="1" customWidth="1"/>
    <col min="11524" max="11524" width="18.7109375" style="226" customWidth="1"/>
    <col min="11525" max="11525" width="21.28515625" style="226" customWidth="1"/>
    <col min="11526" max="11526" width="16.5703125" style="226" customWidth="1"/>
    <col min="11527" max="11527" width="19" style="226" customWidth="1"/>
    <col min="11528" max="11528" width="17.5703125" style="226" customWidth="1"/>
    <col min="11529" max="11529" width="15.5703125" style="226" bestFit="1" customWidth="1"/>
    <col min="11530" max="11530" width="13.5703125" style="226" customWidth="1"/>
    <col min="11531" max="11531" width="20.5703125" style="226" customWidth="1"/>
    <col min="11532" max="11532" width="12.42578125" style="226" bestFit="1" customWidth="1"/>
    <col min="11533" max="11776" width="9.140625" style="226"/>
    <col min="11777" max="11777" width="23" style="226" customWidth="1"/>
    <col min="11778" max="11778" width="41.140625" style="226" customWidth="1"/>
    <col min="11779" max="11779" width="44.85546875" style="226" bestFit="1" customWidth="1"/>
    <col min="11780" max="11780" width="18.7109375" style="226" customWidth="1"/>
    <col min="11781" max="11781" width="21.28515625" style="226" customWidth="1"/>
    <col min="11782" max="11782" width="16.5703125" style="226" customWidth="1"/>
    <col min="11783" max="11783" width="19" style="226" customWidth="1"/>
    <col min="11784" max="11784" width="17.5703125" style="226" customWidth="1"/>
    <col min="11785" max="11785" width="15.5703125" style="226" bestFit="1" customWidth="1"/>
    <col min="11786" max="11786" width="13.5703125" style="226" customWidth="1"/>
    <col min="11787" max="11787" width="20.5703125" style="226" customWidth="1"/>
    <col min="11788" max="11788" width="12.42578125" style="226" bestFit="1" customWidth="1"/>
    <col min="11789" max="12032" width="9.140625" style="226"/>
    <col min="12033" max="12033" width="23" style="226" customWidth="1"/>
    <col min="12034" max="12034" width="41.140625" style="226" customWidth="1"/>
    <col min="12035" max="12035" width="44.85546875" style="226" bestFit="1" customWidth="1"/>
    <col min="12036" max="12036" width="18.7109375" style="226" customWidth="1"/>
    <col min="12037" max="12037" width="21.28515625" style="226" customWidth="1"/>
    <col min="12038" max="12038" width="16.5703125" style="226" customWidth="1"/>
    <col min="12039" max="12039" width="19" style="226" customWidth="1"/>
    <col min="12040" max="12040" width="17.5703125" style="226" customWidth="1"/>
    <col min="12041" max="12041" width="15.5703125" style="226" bestFit="1" customWidth="1"/>
    <col min="12042" max="12042" width="13.5703125" style="226" customWidth="1"/>
    <col min="12043" max="12043" width="20.5703125" style="226" customWidth="1"/>
    <col min="12044" max="12044" width="12.42578125" style="226" bestFit="1" customWidth="1"/>
    <col min="12045" max="12288" width="9.140625" style="226"/>
    <col min="12289" max="12289" width="23" style="226" customWidth="1"/>
    <col min="12290" max="12290" width="41.140625" style="226" customWidth="1"/>
    <col min="12291" max="12291" width="44.85546875" style="226" bestFit="1" customWidth="1"/>
    <col min="12292" max="12292" width="18.7109375" style="226" customWidth="1"/>
    <col min="12293" max="12293" width="21.28515625" style="226" customWidth="1"/>
    <col min="12294" max="12294" width="16.5703125" style="226" customWidth="1"/>
    <col min="12295" max="12295" width="19" style="226" customWidth="1"/>
    <col min="12296" max="12296" width="17.5703125" style="226" customWidth="1"/>
    <col min="12297" max="12297" width="15.5703125" style="226" bestFit="1" customWidth="1"/>
    <col min="12298" max="12298" width="13.5703125" style="226" customWidth="1"/>
    <col min="12299" max="12299" width="20.5703125" style="226" customWidth="1"/>
    <col min="12300" max="12300" width="12.42578125" style="226" bestFit="1" customWidth="1"/>
    <col min="12301" max="12544" width="9.140625" style="226"/>
    <col min="12545" max="12545" width="23" style="226" customWidth="1"/>
    <col min="12546" max="12546" width="41.140625" style="226" customWidth="1"/>
    <col min="12547" max="12547" width="44.85546875" style="226" bestFit="1" customWidth="1"/>
    <col min="12548" max="12548" width="18.7109375" style="226" customWidth="1"/>
    <col min="12549" max="12549" width="21.28515625" style="226" customWidth="1"/>
    <col min="12550" max="12550" width="16.5703125" style="226" customWidth="1"/>
    <col min="12551" max="12551" width="19" style="226" customWidth="1"/>
    <col min="12552" max="12552" width="17.5703125" style="226" customWidth="1"/>
    <col min="12553" max="12553" width="15.5703125" style="226" bestFit="1" customWidth="1"/>
    <col min="12554" max="12554" width="13.5703125" style="226" customWidth="1"/>
    <col min="12555" max="12555" width="20.5703125" style="226" customWidth="1"/>
    <col min="12556" max="12556" width="12.42578125" style="226" bestFit="1" customWidth="1"/>
    <col min="12557" max="12800" width="9.140625" style="226"/>
    <col min="12801" max="12801" width="23" style="226" customWidth="1"/>
    <col min="12802" max="12802" width="41.140625" style="226" customWidth="1"/>
    <col min="12803" max="12803" width="44.85546875" style="226" bestFit="1" customWidth="1"/>
    <col min="12804" max="12804" width="18.7109375" style="226" customWidth="1"/>
    <col min="12805" max="12805" width="21.28515625" style="226" customWidth="1"/>
    <col min="12806" max="12806" width="16.5703125" style="226" customWidth="1"/>
    <col min="12807" max="12807" width="19" style="226" customWidth="1"/>
    <col min="12808" max="12808" width="17.5703125" style="226" customWidth="1"/>
    <col min="12809" max="12809" width="15.5703125" style="226" bestFit="1" customWidth="1"/>
    <col min="12810" max="12810" width="13.5703125" style="226" customWidth="1"/>
    <col min="12811" max="12811" width="20.5703125" style="226" customWidth="1"/>
    <col min="12812" max="12812" width="12.42578125" style="226" bestFit="1" customWidth="1"/>
    <col min="12813" max="13056" width="9.140625" style="226"/>
    <col min="13057" max="13057" width="23" style="226" customWidth="1"/>
    <col min="13058" max="13058" width="41.140625" style="226" customWidth="1"/>
    <col min="13059" max="13059" width="44.85546875" style="226" bestFit="1" customWidth="1"/>
    <col min="13060" max="13060" width="18.7109375" style="226" customWidth="1"/>
    <col min="13061" max="13061" width="21.28515625" style="226" customWidth="1"/>
    <col min="13062" max="13062" width="16.5703125" style="226" customWidth="1"/>
    <col min="13063" max="13063" width="19" style="226" customWidth="1"/>
    <col min="13064" max="13064" width="17.5703125" style="226" customWidth="1"/>
    <col min="13065" max="13065" width="15.5703125" style="226" bestFit="1" customWidth="1"/>
    <col min="13066" max="13066" width="13.5703125" style="226" customWidth="1"/>
    <col min="13067" max="13067" width="20.5703125" style="226" customWidth="1"/>
    <col min="13068" max="13068" width="12.42578125" style="226" bestFit="1" customWidth="1"/>
    <col min="13069" max="13312" width="9.140625" style="226"/>
    <col min="13313" max="13313" width="23" style="226" customWidth="1"/>
    <col min="13314" max="13314" width="41.140625" style="226" customWidth="1"/>
    <col min="13315" max="13315" width="44.85546875" style="226" bestFit="1" customWidth="1"/>
    <col min="13316" max="13316" width="18.7109375" style="226" customWidth="1"/>
    <col min="13317" max="13317" width="21.28515625" style="226" customWidth="1"/>
    <col min="13318" max="13318" width="16.5703125" style="226" customWidth="1"/>
    <col min="13319" max="13319" width="19" style="226" customWidth="1"/>
    <col min="13320" max="13320" width="17.5703125" style="226" customWidth="1"/>
    <col min="13321" max="13321" width="15.5703125" style="226" bestFit="1" customWidth="1"/>
    <col min="13322" max="13322" width="13.5703125" style="226" customWidth="1"/>
    <col min="13323" max="13323" width="20.5703125" style="226" customWidth="1"/>
    <col min="13324" max="13324" width="12.42578125" style="226" bestFit="1" customWidth="1"/>
    <col min="13325" max="13568" width="9.140625" style="226"/>
    <col min="13569" max="13569" width="23" style="226" customWidth="1"/>
    <col min="13570" max="13570" width="41.140625" style="226" customWidth="1"/>
    <col min="13571" max="13571" width="44.85546875" style="226" bestFit="1" customWidth="1"/>
    <col min="13572" max="13572" width="18.7109375" style="226" customWidth="1"/>
    <col min="13573" max="13573" width="21.28515625" style="226" customWidth="1"/>
    <col min="13574" max="13574" width="16.5703125" style="226" customWidth="1"/>
    <col min="13575" max="13575" width="19" style="226" customWidth="1"/>
    <col min="13576" max="13576" width="17.5703125" style="226" customWidth="1"/>
    <col min="13577" max="13577" width="15.5703125" style="226" bestFit="1" customWidth="1"/>
    <col min="13578" max="13578" width="13.5703125" style="226" customWidth="1"/>
    <col min="13579" max="13579" width="20.5703125" style="226" customWidth="1"/>
    <col min="13580" max="13580" width="12.42578125" style="226" bestFit="1" customWidth="1"/>
    <col min="13581" max="13824" width="9.140625" style="226"/>
    <col min="13825" max="13825" width="23" style="226" customWidth="1"/>
    <col min="13826" max="13826" width="41.140625" style="226" customWidth="1"/>
    <col min="13827" max="13827" width="44.85546875" style="226" bestFit="1" customWidth="1"/>
    <col min="13828" max="13828" width="18.7109375" style="226" customWidth="1"/>
    <col min="13829" max="13829" width="21.28515625" style="226" customWidth="1"/>
    <col min="13830" max="13830" width="16.5703125" style="226" customWidth="1"/>
    <col min="13831" max="13831" width="19" style="226" customWidth="1"/>
    <col min="13832" max="13832" width="17.5703125" style="226" customWidth="1"/>
    <col min="13833" max="13833" width="15.5703125" style="226" bestFit="1" customWidth="1"/>
    <col min="13834" max="13834" width="13.5703125" style="226" customWidth="1"/>
    <col min="13835" max="13835" width="20.5703125" style="226" customWidth="1"/>
    <col min="13836" max="13836" width="12.42578125" style="226" bestFit="1" customWidth="1"/>
    <col min="13837" max="14080" width="9.140625" style="226"/>
    <col min="14081" max="14081" width="23" style="226" customWidth="1"/>
    <col min="14082" max="14082" width="41.140625" style="226" customWidth="1"/>
    <col min="14083" max="14083" width="44.85546875" style="226" bestFit="1" customWidth="1"/>
    <col min="14084" max="14084" width="18.7109375" style="226" customWidth="1"/>
    <col min="14085" max="14085" width="21.28515625" style="226" customWidth="1"/>
    <col min="14086" max="14086" width="16.5703125" style="226" customWidth="1"/>
    <col min="14087" max="14087" width="19" style="226" customWidth="1"/>
    <col min="14088" max="14088" width="17.5703125" style="226" customWidth="1"/>
    <col min="14089" max="14089" width="15.5703125" style="226" bestFit="1" customWidth="1"/>
    <col min="14090" max="14090" width="13.5703125" style="226" customWidth="1"/>
    <col min="14091" max="14091" width="20.5703125" style="226" customWidth="1"/>
    <col min="14092" max="14092" width="12.42578125" style="226" bestFit="1" customWidth="1"/>
    <col min="14093" max="14336" width="9.140625" style="226"/>
    <col min="14337" max="14337" width="23" style="226" customWidth="1"/>
    <col min="14338" max="14338" width="41.140625" style="226" customWidth="1"/>
    <col min="14339" max="14339" width="44.85546875" style="226" bestFit="1" customWidth="1"/>
    <col min="14340" max="14340" width="18.7109375" style="226" customWidth="1"/>
    <col min="14341" max="14341" width="21.28515625" style="226" customWidth="1"/>
    <col min="14342" max="14342" width="16.5703125" style="226" customWidth="1"/>
    <col min="14343" max="14343" width="19" style="226" customWidth="1"/>
    <col min="14344" max="14344" width="17.5703125" style="226" customWidth="1"/>
    <col min="14345" max="14345" width="15.5703125" style="226" bestFit="1" customWidth="1"/>
    <col min="14346" max="14346" width="13.5703125" style="226" customWidth="1"/>
    <col min="14347" max="14347" width="20.5703125" style="226" customWidth="1"/>
    <col min="14348" max="14348" width="12.42578125" style="226" bestFit="1" customWidth="1"/>
    <col min="14349" max="14592" width="9.140625" style="226"/>
    <col min="14593" max="14593" width="23" style="226" customWidth="1"/>
    <col min="14594" max="14594" width="41.140625" style="226" customWidth="1"/>
    <col min="14595" max="14595" width="44.85546875" style="226" bestFit="1" customWidth="1"/>
    <col min="14596" max="14596" width="18.7109375" style="226" customWidth="1"/>
    <col min="14597" max="14597" width="21.28515625" style="226" customWidth="1"/>
    <col min="14598" max="14598" width="16.5703125" style="226" customWidth="1"/>
    <col min="14599" max="14599" width="19" style="226" customWidth="1"/>
    <col min="14600" max="14600" width="17.5703125" style="226" customWidth="1"/>
    <col min="14601" max="14601" width="15.5703125" style="226" bestFit="1" customWidth="1"/>
    <col min="14602" max="14602" width="13.5703125" style="226" customWidth="1"/>
    <col min="14603" max="14603" width="20.5703125" style="226" customWidth="1"/>
    <col min="14604" max="14604" width="12.42578125" style="226" bestFit="1" customWidth="1"/>
    <col min="14605" max="14848" width="9.140625" style="226"/>
    <col min="14849" max="14849" width="23" style="226" customWidth="1"/>
    <col min="14850" max="14850" width="41.140625" style="226" customWidth="1"/>
    <col min="14851" max="14851" width="44.85546875" style="226" bestFit="1" customWidth="1"/>
    <col min="14852" max="14852" width="18.7109375" style="226" customWidth="1"/>
    <col min="14853" max="14853" width="21.28515625" style="226" customWidth="1"/>
    <col min="14854" max="14854" width="16.5703125" style="226" customWidth="1"/>
    <col min="14855" max="14855" width="19" style="226" customWidth="1"/>
    <col min="14856" max="14856" width="17.5703125" style="226" customWidth="1"/>
    <col min="14857" max="14857" width="15.5703125" style="226" bestFit="1" customWidth="1"/>
    <col min="14858" max="14858" width="13.5703125" style="226" customWidth="1"/>
    <col min="14859" max="14859" width="20.5703125" style="226" customWidth="1"/>
    <col min="14860" max="14860" width="12.42578125" style="226" bestFit="1" customWidth="1"/>
    <col min="14861" max="15104" width="9.140625" style="226"/>
    <col min="15105" max="15105" width="23" style="226" customWidth="1"/>
    <col min="15106" max="15106" width="41.140625" style="226" customWidth="1"/>
    <col min="15107" max="15107" width="44.85546875" style="226" bestFit="1" customWidth="1"/>
    <col min="15108" max="15108" width="18.7109375" style="226" customWidth="1"/>
    <col min="15109" max="15109" width="21.28515625" style="226" customWidth="1"/>
    <col min="15110" max="15110" width="16.5703125" style="226" customWidth="1"/>
    <col min="15111" max="15111" width="19" style="226" customWidth="1"/>
    <col min="15112" max="15112" width="17.5703125" style="226" customWidth="1"/>
    <col min="15113" max="15113" width="15.5703125" style="226" bestFit="1" customWidth="1"/>
    <col min="15114" max="15114" width="13.5703125" style="226" customWidth="1"/>
    <col min="15115" max="15115" width="20.5703125" style="226" customWidth="1"/>
    <col min="15116" max="15116" width="12.42578125" style="226" bestFit="1" customWidth="1"/>
    <col min="15117" max="15360" width="9.140625" style="226"/>
    <col min="15361" max="15361" width="23" style="226" customWidth="1"/>
    <col min="15362" max="15362" width="41.140625" style="226" customWidth="1"/>
    <col min="15363" max="15363" width="44.85546875" style="226" bestFit="1" customWidth="1"/>
    <col min="15364" max="15364" width="18.7109375" style="226" customWidth="1"/>
    <col min="15365" max="15365" width="21.28515625" style="226" customWidth="1"/>
    <col min="15366" max="15366" width="16.5703125" style="226" customWidth="1"/>
    <col min="15367" max="15367" width="19" style="226" customWidth="1"/>
    <col min="15368" max="15368" width="17.5703125" style="226" customWidth="1"/>
    <col min="15369" max="15369" width="15.5703125" style="226" bestFit="1" customWidth="1"/>
    <col min="15370" max="15370" width="13.5703125" style="226" customWidth="1"/>
    <col min="15371" max="15371" width="20.5703125" style="226" customWidth="1"/>
    <col min="15372" max="15372" width="12.42578125" style="226" bestFit="1" customWidth="1"/>
    <col min="15373" max="15616" width="9.140625" style="226"/>
    <col min="15617" max="15617" width="23" style="226" customWidth="1"/>
    <col min="15618" max="15618" width="41.140625" style="226" customWidth="1"/>
    <col min="15619" max="15619" width="44.85546875" style="226" bestFit="1" customWidth="1"/>
    <col min="15620" max="15620" width="18.7109375" style="226" customWidth="1"/>
    <col min="15621" max="15621" width="21.28515625" style="226" customWidth="1"/>
    <col min="15622" max="15622" width="16.5703125" style="226" customWidth="1"/>
    <col min="15623" max="15623" width="19" style="226" customWidth="1"/>
    <col min="15624" max="15624" width="17.5703125" style="226" customWidth="1"/>
    <col min="15625" max="15625" width="15.5703125" style="226" bestFit="1" customWidth="1"/>
    <col min="15626" max="15626" width="13.5703125" style="226" customWidth="1"/>
    <col min="15627" max="15627" width="20.5703125" style="226" customWidth="1"/>
    <col min="15628" max="15628" width="12.42578125" style="226" bestFit="1" customWidth="1"/>
    <col min="15629" max="15872" width="9.140625" style="226"/>
    <col min="15873" max="15873" width="23" style="226" customWidth="1"/>
    <col min="15874" max="15874" width="41.140625" style="226" customWidth="1"/>
    <col min="15875" max="15875" width="44.85546875" style="226" bestFit="1" customWidth="1"/>
    <col min="15876" max="15876" width="18.7109375" style="226" customWidth="1"/>
    <col min="15877" max="15877" width="21.28515625" style="226" customWidth="1"/>
    <col min="15878" max="15878" width="16.5703125" style="226" customWidth="1"/>
    <col min="15879" max="15879" width="19" style="226" customWidth="1"/>
    <col min="15880" max="15880" width="17.5703125" style="226" customWidth="1"/>
    <col min="15881" max="15881" width="15.5703125" style="226" bestFit="1" customWidth="1"/>
    <col min="15882" max="15882" width="13.5703125" style="226" customWidth="1"/>
    <col min="15883" max="15883" width="20.5703125" style="226" customWidth="1"/>
    <col min="15884" max="15884" width="12.42578125" style="226" bestFit="1" customWidth="1"/>
    <col min="15885" max="16128" width="9.140625" style="226"/>
    <col min="16129" max="16129" width="23" style="226" customWidth="1"/>
    <col min="16130" max="16130" width="41.140625" style="226" customWidth="1"/>
    <col min="16131" max="16131" width="44.85546875" style="226" bestFit="1" customWidth="1"/>
    <col min="16132" max="16132" width="18.7109375" style="226" customWidth="1"/>
    <col min="16133" max="16133" width="21.28515625" style="226" customWidth="1"/>
    <col min="16134" max="16134" width="16.5703125" style="226" customWidth="1"/>
    <col min="16135" max="16135" width="19" style="226" customWidth="1"/>
    <col min="16136" max="16136" width="17.5703125" style="226" customWidth="1"/>
    <col min="16137" max="16137" width="15.5703125" style="226" bestFit="1" customWidth="1"/>
    <col min="16138" max="16138" width="13.5703125" style="226" customWidth="1"/>
    <col min="16139" max="16139" width="20.5703125" style="226" customWidth="1"/>
    <col min="16140" max="16140" width="12.42578125" style="226" bestFit="1" customWidth="1"/>
    <col min="16141" max="16384" width="9.140625" style="226"/>
  </cols>
  <sheetData>
    <row r="1" spans="2:7" x14ac:dyDescent="0.2">
      <c r="G1" s="227" t="s">
        <v>1014</v>
      </c>
    </row>
    <row r="2" spans="2:7" x14ac:dyDescent="0.2">
      <c r="B2" s="228" t="s">
        <v>1015</v>
      </c>
      <c r="C2" s="228"/>
      <c r="D2" s="228"/>
      <c r="E2" s="228"/>
      <c r="F2" s="228"/>
      <c r="G2" s="228"/>
    </row>
    <row r="3" spans="2:7" x14ac:dyDescent="0.2">
      <c r="B3" s="228" t="s">
        <v>1016</v>
      </c>
      <c r="C3" s="228"/>
      <c r="D3" s="228"/>
      <c r="E3" s="228"/>
      <c r="F3" s="228"/>
      <c r="G3" s="228"/>
    </row>
    <row r="4" spans="2:7" x14ac:dyDescent="0.2">
      <c r="B4" s="227"/>
      <c r="C4" s="227"/>
      <c r="D4" s="227"/>
      <c r="E4" s="227"/>
      <c r="F4" s="227"/>
      <c r="G4" s="227"/>
    </row>
    <row r="5" spans="2:7" x14ac:dyDescent="0.2">
      <c r="B5" s="228" t="s">
        <v>1017</v>
      </c>
      <c r="C5" s="228"/>
      <c r="D5" s="228"/>
      <c r="E5" s="228"/>
      <c r="F5" s="228"/>
      <c r="G5" s="228"/>
    </row>
    <row r="6" spans="2:7" x14ac:dyDescent="0.2">
      <c r="B6" s="227" t="s">
        <v>1018</v>
      </c>
    </row>
    <row r="8" spans="2:7" ht="25.5" x14ac:dyDescent="0.2">
      <c r="B8" s="229" t="s">
        <v>1019</v>
      </c>
      <c r="C8" s="229" t="s">
        <v>1020</v>
      </c>
      <c r="D8" s="229" t="s">
        <v>1021</v>
      </c>
      <c r="E8" s="230" t="s">
        <v>1022</v>
      </c>
      <c r="F8" s="230" t="s">
        <v>1023</v>
      </c>
      <c r="G8" s="230" t="s">
        <v>1024</v>
      </c>
    </row>
    <row r="9" spans="2:7" x14ac:dyDescent="0.2">
      <c r="B9" s="231" t="s">
        <v>687</v>
      </c>
      <c r="C9" s="232" t="s">
        <v>922</v>
      </c>
      <c r="D9" s="233" t="s">
        <v>1025</v>
      </c>
      <c r="E9" s="234">
        <v>682.46</v>
      </c>
      <c r="F9" s="234">
        <v>751.3</v>
      </c>
      <c r="G9" s="235">
        <v>62.484974399999992</v>
      </c>
    </row>
    <row r="10" spans="2:7" x14ac:dyDescent="0.2">
      <c r="B10" s="231" t="s">
        <v>687</v>
      </c>
      <c r="C10" s="232" t="s">
        <v>930</v>
      </c>
      <c r="D10" s="233" t="s">
        <v>1025</v>
      </c>
      <c r="E10" s="234">
        <v>4804.71</v>
      </c>
      <c r="F10" s="234">
        <v>4973.25</v>
      </c>
      <c r="G10" s="235">
        <v>74.973825600000012</v>
      </c>
    </row>
    <row r="11" spans="2:7" x14ac:dyDescent="0.2">
      <c r="B11" s="231" t="s">
        <v>687</v>
      </c>
      <c r="C11" s="232" t="s">
        <v>916</v>
      </c>
      <c r="D11" s="233" t="s">
        <v>1025</v>
      </c>
      <c r="E11" s="234">
        <v>124.08</v>
      </c>
      <c r="F11" s="234">
        <v>122.95</v>
      </c>
      <c r="G11" s="235">
        <v>53.558889000000001</v>
      </c>
    </row>
    <row r="12" spans="2:7" x14ac:dyDescent="0.2">
      <c r="B12" s="231" t="s">
        <v>687</v>
      </c>
      <c r="C12" s="232" t="s">
        <v>936</v>
      </c>
      <c r="D12" s="233" t="s">
        <v>1025</v>
      </c>
      <c r="E12" s="234">
        <v>752.77</v>
      </c>
      <c r="F12" s="234">
        <v>787.4</v>
      </c>
      <c r="G12" s="235">
        <v>177.727284</v>
      </c>
    </row>
    <row r="13" spans="2:7" x14ac:dyDescent="0.2">
      <c r="B13" s="231" t="s">
        <v>687</v>
      </c>
      <c r="C13" s="232" t="s">
        <v>924</v>
      </c>
      <c r="D13" s="233" t="s">
        <v>1025</v>
      </c>
      <c r="E13" s="234">
        <v>16304.48</v>
      </c>
      <c r="F13" s="234">
        <v>17145.900000000001</v>
      </c>
      <c r="G13" s="235">
        <v>66.6777582</v>
      </c>
    </row>
    <row r="14" spans="2:7" x14ac:dyDescent="0.2">
      <c r="B14" s="231" t="s">
        <v>687</v>
      </c>
      <c r="C14" s="232" t="s">
        <v>918</v>
      </c>
      <c r="D14" s="233" t="s">
        <v>1025</v>
      </c>
      <c r="E14" s="234">
        <v>749.11</v>
      </c>
      <c r="F14" s="234">
        <v>767.4</v>
      </c>
      <c r="G14" s="235">
        <v>48.242159999999998</v>
      </c>
    </row>
    <row r="15" spans="2:7" x14ac:dyDescent="0.2">
      <c r="B15" s="231" t="s">
        <v>687</v>
      </c>
      <c r="C15" s="232" t="s">
        <v>919</v>
      </c>
      <c r="D15" s="233" t="s">
        <v>1025</v>
      </c>
      <c r="E15" s="234">
        <v>627.86</v>
      </c>
      <c r="F15" s="234">
        <v>664.05</v>
      </c>
      <c r="G15" s="235">
        <v>45.893321999999991</v>
      </c>
    </row>
    <row r="16" spans="2:7" x14ac:dyDescent="0.2">
      <c r="B16" s="231" t="s">
        <v>687</v>
      </c>
      <c r="C16" s="232" t="s">
        <v>921</v>
      </c>
      <c r="D16" s="233" t="s">
        <v>1025</v>
      </c>
      <c r="E16" s="234">
        <v>456.49</v>
      </c>
      <c r="F16" s="234">
        <v>472.8</v>
      </c>
      <c r="G16" s="235">
        <v>86.160852000000006</v>
      </c>
    </row>
    <row r="17" spans="2:7" x14ac:dyDescent="0.2">
      <c r="B17" s="231" t="s">
        <v>687</v>
      </c>
      <c r="C17" s="232" t="s">
        <v>917</v>
      </c>
      <c r="D17" s="233" t="s">
        <v>1025</v>
      </c>
      <c r="E17" s="234">
        <v>154.12</v>
      </c>
      <c r="F17" s="234">
        <v>159.6</v>
      </c>
      <c r="G17" s="235">
        <v>60.953040000000001</v>
      </c>
    </row>
    <row r="18" spans="2:7" x14ac:dyDescent="0.2">
      <c r="B18" s="231" t="s">
        <v>687</v>
      </c>
      <c r="C18" s="232" t="s">
        <v>913</v>
      </c>
      <c r="D18" s="233" t="s">
        <v>1025</v>
      </c>
      <c r="E18" s="234">
        <v>608.53</v>
      </c>
      <c r="F18" s="234">
        <v>621.9</v>
      </c>
      <c r="G18" s="235">
        <v>22.029300800000001</v>
      </c>
    </row>
    <row r="19" spans="2:7" x14ac:dyDescent="0.2">
      <c r="B19" s="231" t="s">
        <v>687</v>
      </c>
      <c r="C19" s="232" t="s">
        <v>923</v>
      </c>
      <c r="D19" s="233" t="s">
        <v>1025</v>
      </c>
      <c r="E19" s="234">
        <v>1569</v>
      </c>
      <c r="F19" s="234">
        <v>1582.55</v>
      </c>
      <c r="G19" s="235">
        <v>42.566703400000002</v>
      </c>
    </row>
    <row r="20" spans="2:7" x14ac:dyDescent="0.2">
      <c r="B20" s="231" t="s">
        <v>687</v>
      </c>
      <c r="C20" s="232" t="s">
        <v>925</v>
      </c>
      <c r="D20" s="233" t="s">
        <v>1025</v>
      </c>
      <c r="E20" s="234">
        <v>678.69</v>
      </c>
      <c r="F20" s="234">
        <v>718.25</v>
      </c>
      <c r="G20" s="235">
        <v>53.023989</v>
      </c>
    </row>
    <row r="21" spans="2:7" x14ac:dyDescent="0.2">
      <c r="B21" s="231" t="s">
        <v>687</v>
      </c>
      <c r="C21" s="232" t="s">
        <v>933</v>
      </c>
      <c r="D21" s="233" t="s">
        <v>1025</v>
      </c>
      <c r="E21" s="234">
        <v>2619.19</v>
      </c>
      <c r="F21" s="234">
        <v>2726.9</v>
      </c>
      <c r="G21" s="235">
        <v>68.077831500000002</v>
      </c>
    </row>
    <row r="22" spans="2:7" x14ac:dyDescent="0.2">
      <c r="B22" s="236" t="s">
        <v>687</v>
      </c>
      <c r="C22" s="237" t="s">
        <v>934</v>
      </c>
      <c r="D22" s="233" t="s">
        <v>1025</v>
      </c>
      <c r="E22" s="234">
        <v>687.64</v>
      </c>
      <c r="F22" s="234">
        <v>719.7</v>
      </c>
      <c r="G22" s="235">
        <v>95.298224000000005</v>
      </c>
    </row>
    <row r="23" spans="2:7" x14ac:dyDescent="0.2">
      <c r="B23" s="231" t="s">
        <v>687</v>
      </c>
      <c r="C23" s="238" t="s">
        <v>931</v>
      </c>
      <c r="D23" s="233" t="s">
        <v>1025</v>
      </c>
      <c r="E23" s="234">
        <v>522.44000000000005</v>
      </c>
      <c r="F23" s="234">
        <v>543.79999999999995</v>
      </c>
      <c r="G23" s="235">
        <v>68.966152000000008</v>
      </c>
    </row>
    <row r="24" spans="2:7" x14ac:dyDescent="0.2">
      <c r="B24" s="231" t="s">
        <v>687</v>
      </c>
      <c r="C24" s="238" t="s">
        <v>928</v>
      </c>
      <c r="D24" s="233" t="s">
        <v>1025</v>
      </c>
      <c r="E24" s="234">
        <v>210.52</v>
      </c>
      <c r="F24" s="234">
        <v>211.65</v>
      </c>
      <c r="G24" s="235">
        <v>60.650807999999998</v>
      </c>
    </row>
    <row r="25" spans="2:7" x14ac:dyDescent="0.2">
      <c r="B25" s="231" t="s">
        <v>687</v>
      </c>
      <c r="C25" s="239" t="s">
        <v>932</v>
      </c>
      <c r="D25" s="233" t="s">
        <v>1025</v>
      </c>
      <c r="E25" s="234">
        <v>375.61</v>
      </c>
      <c r="F25" s="234">
        <v>378.35</v>
      </c>
      <c r="G25" s="235">
        <v>117.4250268</v>
      </c>
    </row>
    <row r="26" spans="2:7" x14ac:dyDescent="0.2">
      <c r="B26" s="231" t="s">
        <v>687</v>
      </c>
      <c r="C26" s="239" t="s">
        <v>929</v>
      </c>
      <c r="D26" s="233" t="s">
        <v>1025</v>
      </c>
      <c r="E26" s="234">
        <v>375.3</v>
      </c>
      <c r="F26" s="234">
        <v>394.5</v>
      </c>
      <c r="G26" s="235">
        <v>88.392600000000002</v>
      </c>
    </row>
    <row r="27" spans="2:7" x14ac:dyDescent="0.2">
      <c r="B27" s="231" t="s">
        <v>687</v>
      </c>
      <c r="C27" s="239" t="s">
        <v>915</v>
      </c>
      <c r="D27" s="233" t="s">
        <v>1025</v>
      </c>
      <c r="E27" s="234">
        <v>212.29</v>
      </c>
      <c r="F27" s="234">
        <v>217.2</v>
      </c>
      <c r="G27" s="235">
        <v>53.019399999999997</v>
      </c>
    </row>
    <row r="28" spans="2:7" x14ac:dyDescent="0.2">
      <c r="B28" s="231" t="s">
        <v>687</v>
      </c>
      <c r="C28" s="239" t="s">
        <v>912</v>
      </c>
      <c r="D28" s="233" t="s">
        <v>1025</v>
      </c>
      <c r="E28" s="234">
        <v>31135.18</v>
      </c>
      <c r="F28" s="234">
        <v>31543.1</v>
      </c>
      <c r="G28" s="235">
        <v>20.826026000000002</v>
      </c>
    </row>
    <row r="29" spans="2:7" x14ac:dyDescent="0.2">
      <c r="B29" s="231" t="s">
        <v>687</v>
      </c>
      <c r="C29" s="239" t="s">
        <v>935</v>
      </c>
      <c r="D29" s="233" t="s">
        <v>1025</v>
      </c>
      <c r="E29" s="234">
        <v>2194.75</v>
      </c>
      <c r="F29" s="234">
        <v>2265.9499999999998</v>
      </c>
      <c r="G29" s="235">
        <v>125.07706</v>
      </c>
    </row>
    <row r="30" spans="2:7" x14ac:dyDescent="0.2">
      <c r="B30" s="231" t="s">
        <v>687</v>
      </c>
      <c r="C30" s="239" t="s">
        <v>926</v>
      </c>
      <c r="D30" s="233" t="s">
        <v>1025</v>
      </c>
      <c r="E30" s="234">
        <v>417.04</v>
      </c>
      <c r="F30" s="234">
        <v>426.35</v>
      </c>
      <c r="G30" s="235">
        <v>89.965351999999996</v>
      </c>
    </row>
    <row r="31" spans="2:7" x14ac:dyDescent="0.2">
      <c r="B31" s="231" t="s">
        <v>687</v>
      </c>
      <c r="C31" s="239" t="s">
        <v>927</v>
      </c>
      <c r="D31" s="233" t="s">
        <v>1025</v>
      </c>
      <c r="E31" s="234">
        <v>1279.48</v>
      </c>
      <c r="F31" s="234">
        <v>1353.1</v>
      </c>
      <c r="G31" s="235">
        <v>86.532414000000003</v>
      </c>
    </row>
    <row r="32" spans="2:7" x14ac:dyDescent="0.2">
      <c r="B32" s="231" t="s">
        <v>687</v>
      </c>
      <c r="C32" s="239" t="s">
        <v>914</v>
      </c>
      <c r="D32" s="233" t="s">
        <v>1025</v>
      </c>
      <c r="E32" s="234">
        <v>1445.28</v>
      </c>
      <c r="F32" s="234">
        <v>1450.75</v>
      </c>
      <c r="G32" s="235">
        <v>46.955377200000001</v>
      </c>
    </row>
    <row r="33" spans="2:8" x14ac:dyDescent="0.2">
      <c r="B33" s="231" t="s">
        <v>687</v>
      </c>
      <c r="C33" s="239" t="s">
        <v>920</v>
      </c>
      <c r="D33" s="233" t="s">
        <v>1025</v>
      </c>
      <c r="E33" s="234">
        <v>282.54000000000002</v>
      </c>
      <c r="F33" s="234">
        <v>302.55</v>
      </c>
      <c r="G33" s="235">
        <v>65.837335999999993</v>
      </c>
    </row>
    <row r="34" spans="2:8" x14ac:dyDescent="0.2">
      <c r="B34" s="231" t="s">
        <v>778</v>
      </c>
      <c r="C34" s="240" t="s">
        <v>922</v>
      </c>
      <c r="D34" s="233" t="s">
        <v>1025</v>
      </c>
      <c r="E34" s="234">
        <v>705.14</v>
      </c>
      <c r="F34" s="234">
        <v>751.3</v>
      </c>
      <c r="G34" s="235">
        <v>119.76286759999999</v>
      </c>
    </row>
    <row r="35" spans="2:8" x14ac:dyDescent="0.2">
      <c r="B35" s="231" t="s">
        <v>778</v>
      </c>
      <c r="C35" s="240" t="s">
        <v>936</v>
      </c>
      <c r="D35" s="233" t="s">
        <v>1025</v>
      </c>
      <c r="E35" s="234">
        <v>748.83</v>
      </c>
      <c r="F35" s="234">
        <v>787.4</v>
      </c>
      <c r="G35" s="235">
        <v>160.80087599999999</v>
      </c>
    </row>
    <row r="36" spans="2:8" x14ac:dyDescent="0.2">
      <c r="B36" s="231" t="s">
        <v>778</v>
      </c>
      <c r="C36" s="240" t="s">
        <v>944</v>
      </c>
      <c r="D36" s="233" t="s">
        <v>1025</v>
      </c>
      <c r="E36" s="234">
        <v>3708.96</v>
      </c>
      <c r="F36" s="234">
        <v>3742.15</v>
      </c>
      <c r="G36" s="235">
        <v>97.868404999999996</v>
      </c>
    </row>
    <row r="37" spans="2:8" x14ac:dyDescent="0.2">
      <c r="B37" s="231" t="s">
        <v>778</v>
      </c>
      <c r="C37" s="240" t="s">
        <v>919</v>
      </c>
      <c r="D37" s="233" t="s">
        <v>1025</v>
      </c>
      <c r="E37" s="234">
        <v>619.66999999999996</v>
      </c>
      <c r="F37" s="234">
        <v>664.05</v>
      </c>
      <c r="G37" s="235">
        <v>406.92078839999994</v>
      </c>
    </row>
    <row r="38" spans="2:8" x14ac:dyDescent="0.2">
      <c r="B38" s="231" t="s">
        <v>778</v>
      </c>
      <c r="C38" s="240" t="s">
        <v>938</v>
      </c>
      <c r="D38" s="233" t="s">
        <v>1025</v>
      </c>
      <c r="E38" s="234">
        <v>54.39</v>
      </c>
      <c r="F38" s="234">
        <v>52.75</v>
      </c>
      <c r="G38" s="235">
        <v>16.8360941</v>
      </c>
    </row>
    <row r="39" spans="2:8" x14ac:dyDescent="0.2">
      <c r="B39" s="231" t="s">
        <v>778</v>
      </c>
      <c r="C39" s="240" t="s">
        <v>945</v>
      </c>
      <c r="D39" s="233" t="s">
        <v>1025</v>
      </c>
      <c r="E39" s="234">
        <v>4578.5</v>
      </c>
      <c r="F39" s="234">
        <v>4708.6499999999996</v>
      </c>
      <c r="G39" s="235">
        <v>179.45334399999999</v>
      </c>
      <c r="H39" s="241"/>
    </row>
    <row r="40" spans="2:8" ht="18" customHeight="1" x14ac:dyDescent="0.2">
      <c r="B40" s="231" t="s">
        <v>778</v>
      </c>
      <c r="C40" s="240" t="s">
        <v>937</v>
      </c>
      <c r="D40" s="233" t="s">
        <v>1025</v>
      </c>
      <c r="E40" s="234">
        <v>1358.18</v>
      </c>
      <c r="F40" s="234">
        <v>1350.55</v>
      </c>
      <c r="G40" s="235">
        <v>4.0533818000000004</v>
      </c>
      <c r="H40" s="241"/>
    </row>
    <row r="41" spans="2:8" x14ac:dyDescent="0.2">
      <c r="B41" s="231" t="s">
        <v>778</v>
      </c>
      <c r="C41" s="240" t="s">
        <v>941</v>
      </c>
      <c r="D41" s="233" t="s">
        <v>1025</v>
      </c>
      <c r="E41" s="234">
        <v>1460.1</v>
      </c>
      <c r="F41" s="234">
        <v>1502.25</v>
      </c>
      <c r="G41" s="235">
        <v>77.155291300000002</v>
      </c>
      <c r="H41" s="241"/>
    </row>
    <row r="42" spans="2:8" x14ac:dyDescent="0.2">
      <c r="B42" s="231" t="s">
        <v>778</v>
      </c>
      <c r="C42" s="240" t="s">
        <v>948</v>
      </c>
      <c r="D42" s="233" t="s">
        <v>1025</v>
      </c>
      <c r="E42" s="234">
        <v>2715.43</v>
      </c>
      <c r="F42" s="234">
        <v>2801.9</v>
      </c>
      <c r="G42" s="235">
        <v>369.92161499999997</v>
      </c>
      <c r="H42" s="241"/>
    </row>
    <row r="43" spans="2:8" x14ac:dyDescent="0.2">
      <c r="B43" s="231" t="s">
        <v>778</v>
      </c>
      <c r="C43" s="240" t="s">
        <v>925</v>
      </c>
      <c r="D43" s="233" t="s">
        <v>1025</v>
      </c>
      <c r="E43" s="234">
        <v>678.52</v>
      </c>
      <c r="F43" s="234">
        <v>718.25</v>
      </c>
      <c r="G43" s="235">
        <v>229.77061900000001</v>
      </c>
      <c r="H43" s="241"/>
    </row>
    <row r="44" spans="2:8" x14ac:dyDescent="0.2">
      <c r="B44" s="231" t="s">
        <v>778</v>
      </c>
      <c r="C44" s="240" t="s">
        <v>934</v>
      </c>
      <c r="D44" s="233" t="s">
        <v>1025</v>
      </c>
      <c r="E44" s="234">
        <v>688.92</v>
      </c>
      <c r="F44" s="234">
        <v>719.7</v>
      </c>
      <c r="G44" s="235">
        <v>838.62437120000004</v>
      </c>
      <c r="H44" s="241"/>
    </row>
    <row r="45" spans="2:8" x14ac:dyDescent="0.2">
      <c r="B45" s="231" t="s">
        <v>778</v>
      </c>
      <c r="C45" s="240" t="s">
        <v>949</v>
      </c>
      <c r="D45" s="233" t="s">
        <v>1025</v>
      </c>
      <c r="E45" s="234">
        <v>522.99</v>
      </c>
      <c r="F45" s="234">
        <v>544.75</v>
      </c>
      <c r="G45" s="235">
        <v>270.16149999999999</v>
      </c>
      <c r="H45" s="241"/>
    </row>
    <row r="46" spans="2:8" x14ac:dyDescent="0.2">
      <c r="B46" s="231" t="s">
        <v>778</v>
      </c>
      <c r="C46" s="240" t="s">
        <v>951</v>
      </c>
      <c r="D46" s="233" t="s">
        <v>1025</v>
      </c>
      <c r="E46" s="234">
        <v>700.09</v>
      </c>
      <c r="F46" s="234">
        <v>715.95</v>
      </c>
      <c r="G46" s="242">
        <v>430.67474399999998</v>
      </c>
      <c r="H46" s="241"/>
    </row>
    <row r="47" spans="2:8" x14ac:dyDescent="0.2">
      <c r="B47" s="231" t="s">
        <v>778</v>
      </c>
      <c r="C47" s="240" t="s">
        <v>952</v>
      </c>
      <c r="D47" s="233" t="s">
        <v>1025</v>
      </c>
      <c r="E47" s="234">
        <v>16629.87</v>
      </c>
      <c r="F47" s="234">
        <v>17122.25</v>
      </c>
      <c r="G47" s="242">
        <v>586.00935000000004</v>
      </c>
      <c r="H47" s="241"/>
    </row>
    <row r="48" spans="2:8" x14ac:dyDescent="0.2">
      <c r="B48" s="231" t="s">
        <v>778</v>
      </c>
      <c r="C48" s="240" t="s">
        <v>947</v>
      </c>
      <c r="D48" s="233" t="s">
        <v>1025</v>
      </c>
      <c r="E48" s="234">
        <v>2237.1799999999998</v>
      </c>
      <c r="F48" s="234">
        <v>2286.9499999999998</v>
      </c>
      <c r="G48" s="242">
        <v>234.05354410000001</v>
      </c>
      <c r="H48" s="241"/>
    </row>
    <row r="49" spans="2:8" x14ac:dyDescent="0.2">
      <c r="B49" s="231" t="s">
        <v>778</v>
      </c>
      <c r="C49" s="240" t="s">
        <v>942</v>
      </c>
      <c r="D49" s="233" t="s">
        <v>1025</v>
      </c>
      <c r="E49" s="234">
        <v>36.4</v>
      </c>
      <c r="F49" s="234">
        <v>36.799999999999997</v>
      </c>
      <c r="G49" s="242">
        <v>131.22175999999999</v>
      </c>
      <c r="H49" s="241"/>
    </row>
    <row r="50" spans="2:8" x14ac:dyDescent="0.2">
      <c r="B50" s="231" t="s">
        <v>778</v>
      </c>
      <c r="C50" s="240" t="s">
        <v>935</v>
      </c>
      <c r="D50" s="233" t="s">
        <v>1025</v>
      </c>
      <c r="E50" s="234">
        <v>2184.8000000000002</v>
      </c>
      <c r="F50" s="234">
        <v>2265.9499999999998</v>
      </c>
      <c r="G50" s="242">
        <v>450.27741600000002</v>
      </c>
      <c r="H50" s="243"/>
    </row>
    <row r="51" spans="2:8" x14ac:dyDescent="0.2">
      <c r="B51" s="231" t="s">
        <v>778</v>
      </c>
      <c r="C51" s="240" t="s">
        <v>926</v>
      </c>
      <c r="D51" s="233" t="s">
        <v>1025</v>
      </c>
      <c r="E51" s="234">
        <v>412.17</v>
      </c>
      <c r="F51" s="234">
        <v>426.35</v>
      </c>
      <c r="G51" s="242">
        <v>674.74014</v>
      </c>
      <c r="H51" s="241"/>
    </row>
    <row r="52" spans="2:8" x14ac:dyDescent="0.2">
      <c r="B52" s="231" t="s">
        <v>778</v>
      </c>
      <c r="C52" s="240" t="s">
        <v>939</v>
      </c>
      <c r="D52" s="233" t="s">
        <v>1025</v>
      </c>
      <c r="E52" s="234">
        <v>835.09</v>
      </c>
      <c r="F52" s="234">
        <v>847.95</v>
      </c>
      <c r="G52" s="242">
        <v>54.904710000000001</v>
      </c>
      <c r="H52" s="244"/>
    </row>
    <row r="53" spans="2:8" x14ac:dyDescent="0.2">
      <c r="B53" s="231" t="s">
        <v>778</v>
      </c>
      <c r="C53" s="240" t="s">
        <v>940</v>
      </c>
      <c r="D53" s="233" t="s">
        <v>1025</v>
      </c>
      <c r="E53" s="234">
        <v>293.33</v>
      </c>
      <c r="F53" s="234">
        <v>288.5</v>
      </c>
      <c r="G53" s="242">
        <v>76.385202800000002</v>
      </c>
      <c r="H53" s="244"/>
    </row>
    <row r="54" spans="2:8" x14ac:dyDescent="0.2">
      <c r="B54" s="231" t="s">
        <v>778</v>
      </c>
      <c r="C54" s="240" t="s">
        <v>946</v>
      </c>
      <c r="D54" s="233" t="s">
        <v>1025</v>
      </c>
      <c r="E54" s="234">
        <v>3649.59</v>
      </c>
      <c r="F54" s="234">
        <v>3789.55</v>
      </c>
      <c r="G54" s="242">
        <v>248.2441312</v>
      </c>
      <c r="H54" s="244"/>
    </row>
    <row r="55" spans="2:8" x14ac:dyDescent="0.2">
      <c r="B55" s="231" t="s">
        <v>778</v>
      </c>
      <c r="C55" s="240" t="s">
        <v>950</v>
      </c>
      <c r="D55" s="233" t="s">
        <v>1025</v>
      </c>
      <c r="E55" s="234">
        <v>1458.25</v>
      </c>
      <c r="F55" s="234">
        <v>1450.35</v>
      </c>
      <c r="G55" s="242">
        <v>386.83954050000006</v>
      </c>
      <c r="H55" s="244"/>
    </row>
    <row r="56" spans="2:8" x14ac:dyDescent="0.2">
      <c r="B56" s="231" t="s">
        <v>778</v>
      </c>
      <c r="C56" s="240" t="s">
        <v>943</v>
      </c>
      <c r="D56" s="233" t="s">
        <v>1025</v>
      </c>
      <c r="E56" s="234">
        <v>1824.46</v>
      </c>
      <c r="F56" s="234">
        <v>1923.45</v>
      </c>
      <c r="G56" s="242">
        <v>91.956093599999988</v>
      </c>
      <c r="H56" s="244"/>
    </row>
    <row r="57" spans="2:8" x14ac:dyDescent="0.2">
      <c r="B57" s="231" t="s">
        <v>778</v>
      </c>
      <c r="C57" s="240" t="s">
        <v>920</v>
      </c>
      <c r="D57" s="233" t="s">
        <v>1025</v>
      </c>
      <c r="E57" s="234">
        <v>283.33999999999997</v>
      </c>
      <c r="F57" s="234">
        <v>302.55</v>
      </c>
      <c r="G57" s="242">
        <v>55.961735599999997</v>
      </c>
      <c r="H57" s="244"/>
    </row>
    <row r="58" spans="2:8" x14ac:dyDescent="0.2">
      <c r="B58" s="231" t="s">
        <v>705</v>
      </c>
      <c r="C58" s="240" t="s">
        <v>944</v>
      </c>
      <c r="D58" s="233" t="s">
        <v>1025</v>
      </c>
      <c r="E58" s="234">
        <v>3770.79</v>
      </c>
      <c r="F58" s="234">
        <v>3742.15</v>
      </c>
      <c r="G58" s="242">
        <v>25.445785299999997</v>
      </c>
      <c r="H58" s="244"/>
    </row>
    <row r="59" spans="2:8" x14ac:dyDescent="0.2">
      <c r="B59" s="231" t="s">
        <v>705</v>
      </c>
      <c r="C59" s="240" t="s">
        <v>919</v>
      </c>
      <c r="D59" s="233" t="s">
        <v>1025</v>
      </c>
      <c r="E59" s="234">
        <v>620.49</v>
      </c>
      <c r="F59" s="234">
        <v>664.05</v>
      </c>
      <c r="G59" s="242">
        <v>64.250650800000003</v>
      </c>
      <c r="H59" s="244"/>
    </row>
    <row r="60" spans="2:8" x14ac:dyDescent="0.2">
      <c r="B60" s="231" t="s">
        <v>705</v>
      </c>
      <c r="C60" s="240" t="s">
        <v>921</v>
      </c>
      <c r="D60" s="233" t="s">
        <v>1025</v>
      </c>
      <c r="E60" s="234">
        <v>456.58</v>
      </c>
      <c r="F60" s="234">
        <v>472.8</v>
      </c>
      <c r="G60" s="235">
        <v>37.461239999999997</v>
      </c>
    </row>
    <row r="61" spans="2:8" x14ac:dyDescent="0.2">
      <c r="B61" s="231" t="s">
        <v>705</v>
      </c>
      <c r="C61" s="240" t="s">
        <v>954</v>
      </c>
      <c r="D61" s="233" t="s">
        <v>1025</v>
      </c>
      <c r="E61" s="234">
        <v>79.349999999999994</v>
      </c>
      <c r="F61" s="234">
        <v>81.45</v>
      </c>
      <c r="G61" s="235">
        <v>35.521124999999998</v>
      </c>
    </row>
    <row r="62" spans="2:8" x14ac:dyDescent="0.2">
      <c r="B62" s="231" t="s">
        <v>705</v>
      </c>
      <c r="C62" s="240" t="s">
        <v>948</v>
      </c>
      <c r="D62" s="233" t="s">
        <v>1025</v>
      </c>
      <c r="E62" s="234">
        <v>2731.12</v>
      </c>
      <c r="F62" s="234">
        <v>2801.9</v>
      </c>
      <c r="G62" s="235">
        <v>152.32066499999999</v>
      </c>
    </row>
    <row r="63" spans="2:8" x14ac:dyDescent="0.2">
      <c r="B63" s="231" t="s">
        <v>705</v>
      </c>
      <c r="C63" s="240" t="s">
        <v>933</v>
      </c>
      <c r="D63" s="233" t="s">
        <v>1025</v>
      </c>
      <c r="E63" s="234">
        <v>2652.08</v>
      </c>
      <c r="F63" s="234">
        <v>2726.9</v>
      </c>
      <c r="G63" s="235">
        <v>144.84645000000003</v>
      </c>
    </row>
    <row r="64" spans="2:8" x14ac:dyDescent="0.2">
      <c r="B64" s="231" t="s">
        <v>705</v>
      </c>
      <c r="C64" s="240" t="s">
        <v>934</v>
      </c>
      <c r="D64" s="233" t="s">
        <v>1025</v>
      </c>
      <c r="E64" s="234">
        <v>687.91</v>
      </c>
      <c r="F64" s="234">
        <v>719.7</v>
      </c>
      <c r="G64" s="235">
        <v>95.298224000000005</v>
      </c>
    </row>
    <row r="65" spans="2:7" x14ac:dyDescent="0.2">
      <c r="B65" s="231" t="s">
        <v>705</v>
      </c>
      <c r="C65" s="240" t="s">
        <v>928</v>
      </c>
      <c r="D65" s="233" t="s">
        <v>1025</v>
      </c>
      <c r="E65" s="234">
        <v>208.91</v>
      </c>
      <c r="F65" s="234">
        <v>211.65</v>
      </c>
      <c r="G65" s="235">
        <v>36.982199999999999</v>
      </c>
    </row>
    <row r="66" spans="2:7" x14ac:dyDescent="0.2">
      <c r="B66" s="231" t="s">
        <v>705</v>
      </c>
      <c r="C66" s="240" t="s">
        <v>932</v>
      </c>
      <c r="D66" s="233" t="s">
        <v>1025</v>
      </c>
      <c r="E66" s="234">
        <v>375.8</v>
      </c>
      <c r="F66" s="234">
        <v>378.35</v>
      </c>
      <c r="G66" s="235">
        <v>78.283351199999998</v>
      </c>
    </row>
    <row r="67" spans="2:7" x14ac:dyDescent="0.2">
      <c r="B67" s="231" t="s">
        <v>705</v>
      </c>
      <c r="C67" s="240" t="s">
        <v>951</v>
      </c>
      <c r="D67" s="233" t="s">
        <v>1025</v>
      </c>
      <c r="E67" s="234">
        <v>693.34</v>
      </c>
      <c r="F67" s="234">
        <v>715.95</v>
      </c>
      <c r="G67" s="235">
        <v>57.423299200000002</v>
      </c>
    </row>
    <row r="68" spans="2:7" x14ac:dyDescent="0.2">
      <c r="B68" s="231" t="s">
        <v>705</v>
      </c>
      <c r="C68" s="240" t="s">
        <v>935</v>
      </c>
      <c r="D68" s="233" t="s">
        <v>1025</v>
      </c>
      <c r="E68" s="234">
        <v>2162.89</v>
      </c>
      <c r="F68" s="234">
        <v>2265.9499999999998</v>
      </c>
      <c r="G68" s="235">
        <v>50.030824000000003</v>
      </c>
    </row>
    <row r="69" spans="2:7" x14ac:dyDescent="0.2">
      <c r="B69" s="231" t="s">
        <v>705</v>
      </c>
      <c r="C69" s="240" t="s">
        <v>953</v>
      </c>
      <c r="D69" s="233" t="s">
        <v>1025</v>
      </c>
      <c r="E69" s="234">
        <v>488.85</v>
      </c>
      <c r="F69" s="234">
        <v>483.85</v>
      </c>
      <c r="G69" s="235">
        <v>28.245337999999997</v>
      </c>
    </row>
    <row r="70" spans="2:7" x14ac:dyDescent="0.2">
      <c r="B70" s="231" t="s">
        <v>705</v>
      </c>
      <c r="C70" s="240" t="s">
        <v>955</v>
      </c>
      <c r="D70" s="233" t="s">
        <v>1025</v>
      </c>
      <c r="E70" s="234">
        <v>838.94</v>
      </c>
      <c r="F70" s="234">
        <v>865.7</v>
      </c>
      <c r="G70" s="235">
        <v>63.290666000000009</v>
      </c>
    </row>
    <row r="71" spans="2:7" x14ac:dyDescent="0.2">
      <c r="B71" s="231" t="s">
        <v>705</v>
      </c>
      <c r="C71" s="232" t="s">
        <v>950</v>
      </c>
      <c r="D71" s="233" t="s">
        <v>1025</v>
      </c>
      <c r="E71" s="234">
        <v>1461.76</v>
      </c>
      <c r="F71" s="234">
        <v>1450.35</v>
      </c>
      <c r="G71" s="235">
        <v>114.33681</v>
      </c>
    </row>
    <row r="72" spans="2:7" x14ac:dyDescent="0.2">
      <c r="B72" s="245"/>
      <c r="C72" s="246"/>
      <c r="E72" s="247"/>
      <c r="F72" s="247"/>
      <c r="G72" s="247"/>
    </row>
    <row r="74" spans="2:7" x14ac:dyDescent="0.2">
      <c r="B74" s="227" t="s">
        <v>1026</v>
      </c>
    </row>
    <row r="76" spans="2:7" x14ac:dyDescent="0.2">
      <c r="B76" s="248" t="s">
        <v>1019</v>
      </c>
      <c r="C76" s="248" t="s">
        <v>1027</v>
      </c>
    </row>
    <row r="77" spans="2:7" x14ac:dyDescent="0.2">
      <c r="B77" s="231" t="s">
        <v>687</v>
      </c>
      <c r="C77" s="249">
        <v>72.27</v>
      </c>
    </row>
    <row r="78" spans="2:7" x14ac:dyDescent="0.2">
      <c r="B78" s="231" t="s">
        <v>778</v>
      </c>
      <c r="C78" s="250">
        <v>25.47</v>
      </c>
    </row>
    <row r="79" spans="2:7" x14ac:dyDescent="0.2">
      <c r="B79" s="251" t="s">
        <v>705</v>
      </c>
      <c r="C79" s="249">
        <v>35.49</v>
      </c>
    </row>
    <row r="81" spans="2:11" x14ac:dyDescent="0.2">
      <c r="B81" s="227" t="s">
        <v>1028</v>
      </c>
    </row>
    <row r="82" spans="2:11" x14ac:dyDescent="0.2">
      <c r="B82" s="227"/>
    </row>
    <row r="83" spans="2:11" ht="63.75" x14ac:dyDescent="0.2">
      <c r="B83" s="229" t="s">
        <v>1019</v>
      </c>
      <c r="C83" s="230" t="s">
        <v>1029</v>
      </c>
      <c r="D83" s="230" t="s">
        <v>1030</v>
      </c>
      <c r="E83" s="230" t="s">
        <v>1031</v>
      </c>
      <c r="F83" s="230" t="s">
        <v>1032</v>
      </c>
      <c r="G83" s="230" t="s">
        <v>1033</v>
      </c>
    </row>
    <row r="84" spans="2:11" ht="15" customHeight="1" x14ac:dyDescent="0.2">
      <c r="B84" s="251" t="s">
        <v>747</v>
      </c>
      <c r="C84" s="252">
        <v>500</v>
      </c>
      <c r="D84" s="252">
        <v>500</v>
      </c>
      <c r="E84" s="242">
        <v>3653.5999000000002</v>
      </c>
      <c r="F84" s="242">
        <v>3563.7611000000002</v>
      </c>
      <c r="G84" s="253">
        <v>-89.838799999999992</v>
      </c>
      <c r="H84" s="254"/>
      <c r="I84" s="255"/>
      <c r="J84" s="256"/>
    </row>
    <row r="85" spans="2:11" ht="15" customHeight="1" x14ac:dyDescent="0.2">
      <c r="B85" s="257" t="s">
        <v>487</v>
      </c>
      <c r="C85" s="258">
        <v>150</v>
      </c>
      <c r="D85" s="258">
        <v>150</v>
      </c>
      <c r="E85" s="259">
        <v>1264.2937999999999</v>
      </c>
      <c r="F85" s="259">
        <v>1229.8857</v>
      </c>
      <c r="G85" s="253">
        <v>-34.408099999999877</v>
      </c>
      <c r="H85" s="254"/>
      <c r="I85" s="255"/>
      <c r="J85" s="256"/>
    </row>
    <row r="86" spans="2:11" ht="15" customHeight="1" x14ac:dyDescent="0.2">
      <c r="B86" s="231" t="s">
        <v>687</v>
      </c>
      <c r="C86" s="252">
        <v>3180</v>
      </c>
      <c r="D86" s="252">
        <v>3180</v>
      </c>
      <c r="E86" s="242">
        <v>26108.338799999998</v>
      </c>
      <c r="F86" s="242">
        <v>25555.757400000002</v>
      </c>
      <c r="G86" s="253">
        <v>-552.58139999999548</v>
      </c>
      <c r="H86" s="254"/>
      <c r="I86" s="255"/>
      <c r="J86" s="256"/>
    </row>
    <row r="87" spans="2:11" ht="15" customHeight="1" x14ac:dyDescent="0.2">
      <c r="B87" s="231" t="s">
        <v>778</v>
      </c>
      <c r="C87" s="258">
        <v>15258</v>
      </c>
      <c r="D87" s="258">
        <v>15258</v>
      </c>
      <c r="E87" s="259">
        <v>129422.63598999998</v>
      </c>
      <c r="F87" s="259">
        <v>125454.01329999999</v>
      </c>
      <c r="G87" s="253">
        <v>-3968.6226899999892</v>
      </c>
      <c r="H87" s="254"/>
      <c r="I87" s="260"/>
      <c r="J87" s="260"/>
      <c r="K87" s="256"/>
    </row>
    <row r="88" spans="2:11" ht="15" customHeight="1" x14ac:dyDescent="0.2">
      <c r="B88" s="251" t="s">
        <v>693</v>
      </c>
      <c r="C88" s="252">
        <v>225</v>
      </c>
      <c r="D88" s="252">
        <v>225</v>
      </c>
      <c r="E88" s="242">
        <v>1868.9585999999999</v>
      </c>
      <c r="F88" s="242">
        <v>1845.4069999999999</v>
      </c>
      <c r="G88" s="253">
        <v>-23.551600000000008</v>
      </c>
      <c r="H88" s="254"/>
      <c r="I88" s="255"/>
      <c r="J88" s="256"/>
    </row>
    <row r="89" spans="2:11" ht="15" customHeight="1" x14ac:dyDescent="0.2">
      <c r="B89" s="231" t="s">
        <v>705</v>
      </c>
      <c r="C89" s="258">
        <v>2286</v>
      </c>
      <c r="D89" s="258">
        <v>2286</v>
      </c>
      <c r="E89" s="259">
        <v>18656.500699999997</v>
      </c>
      <c r="F89" s="259">
        <v>18099.389500000001</v>
      </c>
      <c r="G89" s="253">
        <v>-557.11119999999573</v>
      </c>
      <c r="H89" s="254"/>
      <c r="I89" s="260"/>
      <c r="J89" s="260"/>
    </row>
    <row r="90" spans="2:11" ht="15" hidden="1" customHeight="1" x14ac:dyDescent="0.2">
      <c r="B90" s="257" t="s">
        <v>549</v>
      </c>
      <c r="C90" s="258"/>
      <c r="D90" s="258"/>
      <c r="E90" s="259"/>
      <c r="F90" s="259"/>
      <c r="G90" s="253">
        <v>0</v>
      </c>
      <c r="H90" s="254"/>
      <c r="I90" s="255"/>
      <c r="J90" s="256"/>
    </row>
    <row r="91" spans="2:11" ht="15" hidden="1" customHeight="1" x14ac:dyDescent="0.2">
      <c r="B91" s="251" t="s">
        <v>780</v>
      </c>
      <c r="C91" s="258"/>
      <c r="D91" s="258"/>
      <c r="E91" s="259"/>
      <c r="F91" s="259"/>
      <c r="G91" s="253">
        <v>0</v>
      </c>
      <c r="H91" s="254"/>
      <c r="I91" s="255"/>
      <c r="J91" s="256"/>
    </row>
    <row r="92" spans="2:11" ht="15" customHeight="1" x14ac:dyDescent="0.2">
      <c r="B92" s="251" t="s">
        <v>300</v>
      </c>
      <c r="C92" s="252">
        <v>150</v>
      </c>
      <c r="D92" s="252">
        <v>150</v>
      </c>
      <c r="E92" s="242">
        <v>974.16041050000001</v>
      </c>
      <c r="F92" s="242">
        <v>953.35225989999992</v>
      </c>
      <c r="G92" s="253">
        <v>-20.80815060000009</v>
      </c>
      <c r="H92" s="254"/>
      <c r="I92" s="255"/>
      <c r="J92" s="256"/>
    </row>
    <row r="93" spans="2:11" ht="15" hidden="1" customHeight="1" x14ac:dyDescent="0.2">
      <c r="B93" s="251" t="str">
        <f>B140</f>
        <v>Sundaram Equity Fund</v>
      </c>
      <c r="C93" s="252"/>
      <c r="D93" s="252"/>
      <c r="E93" s="242"/>
      <c r="F93" s="242"/>
      <c r="G93" s="253">
        <f t="shared" ref="G93:G110" si="0">+F93-E93</f>
        <v>0</v>
      </c>
      <c r="H93" s="254"/>
      <c r="I93" s="255"/>
      <c r="J93" s="256"/>
    </row>
    <row r="94" spans="2:11" ht="15" hidden="1" customHeight="1" x14ac:dyDescent="0.2">
      <c r="B94" s="251" t="str">
        <f>B157</f>
        <v>Sundaram Small Cap Fund</v>
      </c>
      <c r="C94" s="252"/>
      <c r="D94" s="252"/>
      <c r="E94" s="242"/>
      <c r="F94" s="242"/>
      <c r="G94" s="253">
        <f t="shared" si="0"/>
        <v>0</v>
      </c>
      <c r="H94" s="254"/>
      <c r="I94" s="255"/>
      <c r="J94" s="256"/>
    </row>
    <row r="95" spans="2:11" ht="15" hidden="1" customHeight="1" x14ac:dyDescent="0.2">
      <c r="B95" s="231" t="s">
        <v>1034</v>
      </c>
      <c r="C95" s="258"/>
      <c r="D95" s="258"/>
      <c r="E95" s="259"/>
      <c r="F95" s="259"/>
      <c r="G95" s="253">
        <f t="shared" si="0"/>
        <v>0</v>
      </c>
      <c r="H95" s="254"/>
      <c r="I95" s="255"/>
      <c r="J95" s="256"/>
    </row>
    <row r="96" spans="2:11" ht="15" hidden="1" customHeight="1" x14ac:dyDescent="0.2">
      <c r="B96" s="231" t="s">
        <v>1035</v>
      </c>
      <c r="C96" s="258"/>
      <c r="D96" s="258"/>
      <c r="E96" s="259"/>
      <c r="F96" s="259"/>
      <c r="G96" s="253">
        <f t="shared" si="0"/>
        <v>0</v>
      </c>
      <c r="H96" s="254"/>
      <c r="I96" s="255"/>
      <c r="J96" s="256"/>
    </row>
    <row r="97" spans="2:10" ht="15" hidden="1" customHeight="1" x14ac:dyDescent="0.2">
      <c r="B97" s="231" t="s">
        <v>1036</v>
      </c>
      <c r="C97" s="258"/>
      <c r="D97" s="258"/>
      <c r="E97" s="259"/>
      <c r="F97" s="259"/>
      <c r="G97" s="253">
        <f t="shared" si="0"/>
        <v>0</v>
      </c>
      <c r="H97" s="254"/>
      <c r="I97" s="255"/>
      <c r="J97" s="256"/>
    </row>
    <row r="98" spans="2:10" ht="15" hidden="1" customHeight="1" x14ac:dyDescent="0.2">
      <c r="B98" s="231" t="s">
        <v>1037</v>
      </c>
      <c r="C98" s="258"/>
      <c r="D98" s="258"/>
      <c r="E98" s="259"/>
      <c r="F98" s="259"/>
      <c r="G98" s="253">
        <f t="shared" si="0"/>
        <v>0</v>
      </c>
      <c r="H98" s="254"/>
      <c r="I98" s="255"/>
      <c r="J98" s="256"/>
    </row>
    <row r="99" spans="2:10" ht="15" hidden="1" customHeight="1" x14ac:dyDescent="0.2">
      <c r="B99" s="231" t="s">
        <v>447</v>
      </c>
      <c r="C99" s="258"/>
      <c r="D99" s="258"/>
      <c r="E99" s="259"/>
      <c r="F99" s="259"/>
      <c r="G99" s="253">
        <f t="shared" si="0"/>
        <v>0</v>
      </c>
      <c r="H99" s="254"/>
      <c r="I99" s="255"/>
      <c r="J99" s="256"/>
    </row>
    <row r="100" spans="2:10" ht="15" hidden="1" customHeight="1" x14ac:dyDescent="0.2">
      <c r="B100" s="231" t="s">
        <v>464</v>
      </c>
      <c r="C100" s="258"/>
      <c r="D100" s="258"/>
      <c r="E100" s="259"/>
      <c r="F100" s="259"/>
      <c r="G100" s="253">
        <f t="shared" si="0"/>
        <v>0</v>
      </c>
      <c r="H100" s="254"/>
      <c r="I100" s="255"/>
      <c r="J100" s="256"/>
    </row>
    <row r="101" spans="2:10" ht="15" hidden="1" customHeight="1" x14ac:dyDescent="0.2">
      <c r="B101" s="231" t="s">
        <v>465</v>
      </c>
      <c r="C101" s="258"/>
      <c r="D101" s="258"/>
      <c r="E101" s="259"/>
      <c r="F101" s="259"/>
      <c r="G101" s="253">
        <f t="shared" si="0"/>
        <v>0</v>
      </c>
      <c r="H101" s="254"/>
      <c r="I101" s="255"/>
      <c r="J101" s="256"/>
    </row>
    <row r="102" spans="2:10" ht="15" hidden="1" customHeight="1" x14ac:dyDescent="0.2">
      <c r="B102" s="231" t="s">
        <v>468</v>
      </c>
      <c r="C102" s="258"/>
      <c r="D102" s="258"/>
      <c r="E102" s="259"/>
      <c r="F102" s="259"/>
      <c r="G102" s="253">
        <f t="shared" si="0"/>
        <v>0</v>
      </c>
      <c r="H102" s="254"/>
      <c r="I102" s="255"/>
      <c r="J102" s="256"/>
    </row>
    <row r="103" spans="2:10" ht="15" hidden="1" customHeight="1" x14ac:dyDescent="0.2">
      <c r="B103" s="231" t="s">
        <v>471</v>
      </c>
      <c r="C103" s="258"/>
      <c r="D103" s="258"/>
      <c r="E103" s="259"/>
      <c r="F103" s="259"/>
      <c r="G103" s="253">
        <f t="shared" si="0"/>
        <v>0</v>
      </c>
      <c r="H103" s="254"/>
      <c r="I103" s="255"/>
      <c r="J103" s="256"/>
    </row>
    <row r="104" spans="2:10" ht="15" hidden="1" customHeight="1" x14ac:dyDescent="0.2">
      <c r="B104" s="231" t="s">
        <v>469</v>
      </c>
      <c r="C104" s="258"/>
      <c r="D104" s="258"/>
      <c r="E104" s="259"/>
      <c r="F104" s="259"/>
      <c r="G104" s="253">
        <f t="shared" si="0"/>
        <v>0</v>
      </c>
      <c r="H104" s="254"/>
      <c r="I104" s="255"/>
      <c r="J104" s="256"/>
    </row>
    <row r="105" spans="2:10" ht="15" hidden="1" customHeight="1" x14ac:dyDescent="0.2">
      <c r="B105" s="231" t="s">
        <v>470</v>
      </c>
      <c r="C105" s="258"/>
      <c r="D105" s="258"/>
      <c r="E105" s="259"/>
      <c r="F105" s="259"/>
      <c r="G105" s="253">
        <f t="shared" si="0"/>
        <v>0</v>
      </c>
      <c r="H105" s="254"/>
      <c r="I105" s="255"/>
      <c r="J105" s="256"/>
    </row>
    <row r="106" spans="2:10" ht="15" hidden="1" customHeight="1" x14ac:dyDescent="0.2">
      <c r="B106" s="231" t="s">
        <v>295</v>
      </c>
      <c r="C106" s="258"/>
      <c r="D106" s="258"/>
      <c r="E106" s="259"/>
      <c r="F106" s="259"/>
      <c r="G106" s="253">
        <f t="shared" si="0"/>
        <v>0</v>
      </c>
      <c r="H106" s="254"/>
      <c r="I106" s="255"/>
      <c r="J106" s="256"/>
    </row>
    <row r="107" spans="2:10" ht="15" hidden="1" customHeight="1" x14ac:dyDescent="0.2">
      <c r="B107" s="231" t="s">
        <v>292</v>
      </c>
      <c r="C107" s="258"/>
      <c r="D107" s="258"/>
      <c r="E107" s="259"/>
      <c r="F107" s="259"/>
      <c r="G107" s="253">
        <f t="shared" si="0"/>
        <v>0</v>
      </c>
      <c r="H107" s="254"/>
      <c r="I107" s="255"/>
      <c r="J107" s="256"/>
    </row>
    <row r="108" spans="2:10" ht="15" hidden="1" customHeight="1" x14ac:dyDescent="0.2">
      <c r="B108" s="231" t="s">
        <v>150</v>
      </c>
      <c r="C108" s="258"/>
      <c r="D108" s="258"/>
      <c r="E108" s="259"/>
      <c r="F108" s="259"/>
      <c r="G108" s="253">
        <f t="shared" si="0"/>
        <v>0</v>
      </c>
      <c r="H108" s="254"/>
      <c r="I108" s="255"/>
      <c r="J108" s="256"/>
    </row>
    <row r="109" spans="2:10" ht="15" hidden="1" customHeight="1" x14ac:dyDescent="0.2">
      <c r="B109" s="231" t="s">
        <v>289</v>
      </c>
      <c r="C109" s="258"/>
      <c r="D109" s="258"/>
      <c r="E109" s="259"/>
      <c r="F109" s="259"/>
      <c r="G109" s="253">
        <f t="shared" si="0"/>
        <v>0</v>
      </c>
      <c r="H109" s="254"/>
      <c r="I109" s="255"/>
      <c r="J109" s="256"/>
    </row>
    <row r="110" spans="2:10" ht="15" hidden="1" customHeight="1" x14ac:dyDescent="0.2">
      <c r="B110" s="231" t="s">
        <v>1038</v>
      </c>
      <c r="C110" s="258"/>
      <c r="D110" s="258"/>
      <c r="E110" s="259"/>
      <c r="F110" s="259"/>
      <c r="G110" s="253">
        <f t="shared" si="0"/>
        <v>0</v>
      </c>
      <c r="H110" s="254"/>
      <c r="I110" s="255"/>
      <c r="J110" s="256"/>
    </row>
    <row r="111" spans="2:10" ht="15" customHeight="1" x14ac:dyDescent="0.2">
      <c r="H111" s="254"/>
      <c r="I111" s="255"/>
      <c r="J111" s="256"/>
    </row>
    <row r="112" spans="2:10" ht="15" customHeight="1" x14ac:dyDescent="0.2">
      <c r="E112" s="256"/>
      <c r="F112" s="256"/>
      <c r="H112" s="254"/>
      <c r="I112" s="255"/>
      <c r="J112" s="256"/>
    </row>
    <row r="113" spans="2:12" x14ac:dyDescent="0.2">
      <c r="B113" s="227" t="s">
        <v>1039</v>
      </c>
      <c r="F113" s="256"/>
      <c r="G113" s="255"/>
      <c r="H113" s="254"/>
      <c r="I113" s="255"/>
      <c r="L113" s="254"/>
    </row>
    <row r="114" spans="2:12" x14ac:dyDescent="0.2">
      <c r="H114" s="261"/>
      <c r="L114" s="255"/>
    </row>
    <row r="115" spans="2:12" ht="25.5" x14ac:dyDescent="0.2">
      <c r="B115" s="229" t="s">
        <v>1019</v>
      </c>
      <c r="C115" s="229" t="s">
        <v>1020</v>
      </c>
      <c r="D115" s="229" t="s">
        <v>1021</v>
      </c>
      <c r="E115" s="230" t="s">
        <v>1022</v>
      </c>
      <c r="F115" s="230" t="s">
        <v>1023</v>
      </c>
      <c r="G115" s="230" t="s">
        <v>1040</v>
      </c>
    </row>
    <row r="116" spans="2:12" x14ac:dyDescent="0.2">
      <c r="B116" s="233" t="s">
        <v>1041</v>
      </c>
      <c r="C116" s="233" t="s">
        <v>1041</v>
      </c>
      <c r="D116" s="233" t="s">
        <v>1041</v>
      </c>
      <c r="E116" s="233" t="s">
        <v>1041</v>
      </c>
      <c r="F116" s="233" t="s">
        <v>1041</v>
      </c>
      <c r="G116" s="233" t="s">
        <v>1041</v>
      </c>
    </row>
    <row r="117" spans="2:12" x14ac:dyDescent="0.2">
      <c r="D117" s="262"/>
      <c r="E117" s="263"/>
      <c r="F117" s="263"/>
      <c r="G117" s="263"/>
      <c r="I117" s="255"/>
    </row>
    <row r="118" spans="2:12" x14ac:dyDescent="0.2">
      <c r="C118" s="264"/>
      <c r="D118" s="265"/>
      <c r="E118" s="266"/>
      <c r="F118" s="267"/>
      <c r="G118" s="267"/>
      <c r="I118" s="255"/>
    </row>
    <row r="119" spans="2:12" x14ac:dyDescent="0.2">
      <c r="B119" s="227" t="s">
        <v>1042</v>
      </c>
      <c r="I119" s="255"/>
    </row>
    <row r="120" spans="2:12" x14ac:dyDescent="0.2">
      <c r="I120" s="255"/>
      <c r="L120" s="256"/>
    </row>
    <row r="121" spans="2:12" x14ac:dyDescent="0.2">
      <c r="B121" s="248" t="s">
        <v>1019</v>
      </c>
      <c r="C121" s="248" t="s">
        <v>1027</v>
      </c>
    </row>
    <row r="122" spans="2:12" x14ac:dyDescent="0.2">
      <c r="B122" s="233" t="s">
        <v>1041</v>
      </c>
      <c r="C122" s="233" t="s">
        <v>1041</v>
      </c>
    </row>
    <row r="123" spans="2:12" x14ac:dyDescent="0.2">
      <c r="B123" s="268"/>
      <c r="C123" s="269"/>
    </row>
    <row r="124" spans="2:12" x14ac:dyDescent="0.2">
      <c r="B124" s="268"/>
      <c r="C124" s="269"/>
    </row>
    <row r="125" spans="2:12" x14ac:dyDescent="0.2">
      <c r="B125" s="227" t="s">
        <v>1043</v>
      </c>
    </row>
    <row r="126" spans="2:12" x14ac:dyDescent="0.2">
      <c r="B126" s="227"/>
    </row>
    <row r="127" spans="2:12" ht="63.75" x14ac:dyDescent="0.2">
      <c r="B127" s="229" t="s">
        <v>1019</v>
      </c>
      <c r="C127" s="230" t="s">
        <v>1029</v>
      </c>
      <c r="D127" s="230" t="s">
        <v>1030</v>
      </c>
      <c r="E127" s="230" t="s">
        <v>1031</v>
      </c>
      <c r="F127" s="230" t="s">
        <v>1044</v>
      </c>
      <c r="G127" s="230" t="s">
        <v>1045</v>
      </c>
    </row>
    <row r="128" spans="2:12" ht="15" customHeight="1" x14ac:dyDescent="0.2">
      <c r="B128" s="231" t="s">
        <v>1</v>
      </c>
      <c r="C128" s="258">
        <v>186</v>
      </c>
      <c r="D128" s="258">
        <v>186</v>
      </c>
      <c r="E128" s="259">
        <v>1514.4937</v>
      </c>
      <c r="F128" s="259">
        <v>1546.2087999999999</v>
      </c>
      <c r="G128" s="270">
        <v>31.715099999999893</v>
      </c>
      <c r="H128" s="254"/>
      <c r="I128" s="255"/>
    </row>
    <row r="129" spans="2:9" hidden="1" x14ac:dyDescent="0.2">
      <c r="B129" s="251" t="s">
        <v>747</v>
      </c>
      <c r="C129" s="250"/>
      <c r="D129" s="250"/>
      <c r="E129" s="271"/>
      <c r="F129" s="271"/>
      <c r="G129" s="270">
        <v>0</v>
      </c>
    </row>
    <row r="130" spans="2:9" hidden="1" x14ac:dyDescent="0.2">
      <c r="B130" s="251" t="s">
        <v>487</v>
      </c>
      <c r="C130" s="250"/>
      <c r="D130" s="250"/>
      <c r="E130" s="271"/>
      <c r="F130" s="271"/>
      <c r="G130" s="270">
        <v>0</v>
      </c>
    </row>
    <row r="131" spans="2:9" ht="15" hidden="1" customHeight="1" x14ac:dyDescent="0.2">
      <c r="B131" s="231" t="s">
        <v>687</v>
      </c>
      <c r="C131" s="272"/>
      <c r="D131" s="272"/>
      <c r="E131" s="271"/>
      <c r="F131" s="271"/>
      <c r="G131" s="270">
        <v>0</v>
      </c>
      <c r="H131" s="273"/>
      <c r="I131" s="274"/>
    </row>
    <row r="132" spans="2:9" x14ac:dyDescent="0.2">
      <c r="B132" s="231" t="s">
        <v>778</v>
      </c>
      <c r="C132" s="272">
        <v>952</v>
      </c>
      <c r="D132" s="272">
        <v>952</v>
      </c>
      <c r="E132" s="271">
        <v>8135.0730999999996</v>
      </c>
      <c r="F132" s="271">
        <v>8105.1299999999992</v>
      </c>
      <c r="G132" s="270">
        <v>-29.943100000000413</v>
      </c>
      <c r="H132" s="273"/>
      <c r="I132" s="255"/>
    </row>
    <row r="133" spans="2:9" x14ac:dyDescent="0.2">
      <c r="B133" s="251" t="s">
        <v>747</v>
      </c>
      <c r="C133" s="272">
        <v>660</v>
      </c>
      <c r="D133" s="272">
        <v>660</v>
      </c>
      <c r="E133" s="271">
        <v>5131.2337331999997</v>
      </c>
      <c r="F133" s="271">
        <v>4978.7044343999996</v>
      </c>
      <c r="G133" s="270">
        <v>-152.52929880000011</v>
      </c>
      <c r="H133" s="273"/>
      <c r="I133" s="255"/>
    </row>
    <row r="134" spans="2:9" x14ac:dyDescent="0.2">
      <c r="B134" s="257" t="s">
        <v>487</v>
      </c>
      <c r="C134" s="250">
        <v>250</v>
      </c>
      <c r="D134" s="250">
        <v>250</v>
      </c>
      <c r="E134" s="271">
        <v>1517.3780769</v>
      </c>
      <c r="F134" s="271">
        <v>1594.5</v>
      </c>
      <c r="G134" s="270">
        <v>77.121923100000004</v>
      </c>
    </row>
    <row r="135" spans="2:9" s="227" customFormat="1" x14ac:dyDescent="0.2">
      <c r="B135" s="257" t="s">
        <v>549</v>
      </c>
      <c r="C135" s="258">
        <v>50</v>
      </c>
      <c r="D135" s="258">
        <v>50</v>
      </c>
      <c r="E135" s="259">
        <v>495.94999039999999</v>
      </c>
      <c r="F135" s="259">
        <v>530.76250000000005</v>
      </c>
      <c r="G135" s="270">
        <v>34.812509600000055</v>
      </c>
      <c r="H135" s="273"/>
      <c r="I135" s="275"/>
    </row>
    <row r="136" spans="2:9" x14ac:dyDescent="0.2">
      <c r="B136" s="251" t="s">
        <v>780</v>
      </c>
      <c r="C136" s="250">
        <v>1650</v>
      </c>
      <c r="D136" s="250">
        <v>1650</v>
      </c>
      <c r="E136" s="271">
        <v>11599.911244200001</v>
      </c>
      <c r="F136" s="271">
        <v>12029.942695899999</v>
      </c>
      <c r="G136" s="270">
        <v>430.0314516999988</v>
      </c>
      <c r="H136" s="276"/>
    </row>
    <row r="137" spans="2:9" x14ac:dyDescent="0.2">
      <c r="B137" s="257" t="s">
        <v>693</v>
      </c>
      <c r="C137" s="272">
        <v>400</v>
      </c>
      <c r="D137" s="272">
        <v>400</v>
      </c>
      <c r="E137" s="271">
        <v>2923.2110035999999</v>
      </c>
      <c r="F137" s="271">
        <v>2997.0668999999998</v>
      </c>
      <c r="G137" s="270">
        <v>73.855896399999892</v>
      </c>
      <c r="H137" s="273"/>
      <c r="I137" s="276"/>
    </row>
    <row r="138" spans="2:9" x14ac:dyDescent="0.2">
      <c r="B138" s="277" t="s">
        <v>570</v>
      </c>
      <c r="C138" s="272">
        <v>200</v>
      </c>
      <c r="D138" s="272">
        <v>200</v>
      </c>
      <c r="E138" s="271">
        <v>3074.3</v>
      </c>
      <c r="F138" s="271">
        <v>3083.01</v>
      </c>
      <c r="G138" s="270">
        <v>8.7100000000000364</v>
      </c>
      <c r="H138" s="273"/>
    </row>
    <row r="139" spans="2:9" hidden="1" x14ac:dyDescent="0.2">
      <c r="B139" s="251" t="s">
        <v>780</v>
      </c>
      <c r="C139" s="272"/>
      <c r="D139" s="272"/>
      <c r="E139" s="271"/>
      <c r="F139" s="271"/>
      <c r="G139" s="270">
        <v>0</v>
      </c>
      <c r="H139" s="273"/>
      <c r="I139" s="255"/>
    </row>
    <row r="140" spans="2:9" s="227" customFormat="1" x14ac:dyDescent="0.2">
      <c r="B140" s="231" t="s">
        <v>694</v>
      </c>
      <c r="C140" s="258">
        <v>808</v>
      </c>
      <c r="D140" s="258">
        <v>808</v>
      </c>
      <c r="E140" s="259">
        <v>6441.5020000000004</v>
      </c>
      <c r="F140" s="259">
        <v>6415.01</v>
      </c>
      <c r="G140" s="270">
        <v>-26.492000000000189</v>
      </c>
      <c r="H140" s="273"/>
      <c r="I140" s="275"/>
    </row>
    <row r="141" spans="2:9" s="227" customFormat="1" hidden="1" x14ac:dyDescent="0.2">
      <c r="B141" s="231" t="s">
        <v>718</v>
      </c>
      <c r="C141" s="258"/>
      <c r="D141" s="258"/>
      <c r="E141" s="259"/>
      <c r="F141" s="259"/>
      <c r="G141" s="270">
        <f t="shared" ref="G141:G157" si="1">+F141-E141</f>
        <v>0</v>
      </c>
      <c r="H141" s="273"/>
      <c r="I141" s="275"/>
    </row>
    <row r="142" spans="2:9" hidden="1" x14ac:dyDescent="0.2">
      <c r="B142" s="231" t="s">
        <v>470</v>
      </c>
      <c r="C142" s="258"/>
      <c r="D142" s="258"/>
      <c r="E142" s="259"/>
      <c r="F142" s="259"/>
      <c r="G142" s="270">
        <f t="shared" si="1"/>
        <v>0</v>
      </c>
      <c r="H142" s="254"/>
      <c r="I142" s="255"/>
    </row>
    <row r="143" spans="2:9" hidden="1" x14ac:dyDescent="0.2">
      <c r="B143" s="231" t="s">
        <v>469</v>
      </c>
      <c r="C143" s="258"/>
      <c r="D143" s="258"/>
      <c r="E143" s="259"/>
      <c r="F143" s="259"/>
      <c r="G143" s="270">
        <f t="shared" si="1"/>
        <v>0</v>
      </c>
      <c r="H143" s="254"/>
      <c r="I143" s="255"/>
    </row>
    <row r="144" spans="2:9" hidden="1" x14ac:dyDescent="0.2">
      <c r="B144" s="231" t="s">
        <v>468</v>
      </c>
      <c r="C144" s="258"/>
      <c r="D144" s="258"/>
      <c r="E144" s="259"/>
      <c r="F144" s="259"/>
      <c r="G144" s="270">
        <f t="shared" si="1"/>
        <v>0</v>
      </c>
      <c r="H144" s="254"/>
      <c r="I144" s="255"/>
    </row>
    <row r="145" spans="2:9" hidden="1" x14ac:dyDescent="0.2">
      <c r="B145" s="231" t="s">
        <v>465</v>
      </c>
      <c r="C145" s="258"/>
      <c r="D145" s="258"/>
      <c r="E145" s="259"/>
      <c r="F145" s="259"/>
      <c r="G145" s="270">
        <f t="shared" si="1"/>
        <v>0</v>
      </c>
      <c r="H145" s="254"/>
      <c r="I145" s="255"/>
    </row>
    <row r="146" spans="2:9" hidden="1" x14ac:dyDescent="0.2">
      <c r="B146" s="231" t="s">
        <v>464</v>
      </c>
      <c r="C146" s="258"/>
      <c r="D146" s="258"/>
      <c r="E146" s="259"/>
      <c r="F146" s="259"/>
      <c r="G146" s="270">
        <f t="shared" si="1"/>
        <v>0</v>
      </c>
      <c r="H146" s="254"/>
      <c r="I146" s="255"/>
    </row>
    <row r="147" spans="2:9" hidden="1" x14ac:dyDescent="0.2">
      <c r="B147" s="231" t="s">
        <v>447</v>
      </c>
      <c r="C147" s="258"/>
      <c r="D147" s="258"/>
      <c r="E147" s="259"/>
      <c r="F147" s="259"/>
      <c r="G147" s="270">
        <f t="shared" si="1"/>
        <v>0</v>
      </c>
      <c r="H147" s="254"/>
      <c r="I147" s="255"/>
    </row>
    <row r="148" spans="2:9" hidden="1" x14ac:dyDescent="0.2">
      <c r="B148" s="231" t="s">
        <v>397</v>
      </c>
      <c r="C148" s="258"/>
      <c r="D148" s="258"/>
      <c r="E148" s="259"/>
      <c r="F148" s="259"/>
      <c r="G148" s="270">
        <f t="shared" si="1"/>
        <v>0</v>
      </c>
      <c r="H148" s="254"/>
      <c r="I148" s="255"/>
    </row>
    <row r="149" spans="2:9" hidden="1" x14ac:dyDescent="0.2">
      <c r="B149" s="231" t="s">
        <v>745</v>
      </c>
      <c r="C149" s="258"/>
      <c r="D149" s="258"/>
      <c r="E149" s="259"/>
      <c r="F149" s="259"/>
      <c r="G149" s="270">
        <f t="shared" si="1"/>
        <v>0</v>
      </c>
      <c r="H149" s="254"/>
      <c r="I149" s="255"/>
    </row>
    <row r="150" spans="2:9" hidden="1" x14ac:dyDescent="0.2">
      <c r="B150" s="231" t="s">
        <v>1035</v>
      </c>
      <c r="C150" s="258"/>
      <c r="D150" s="258"/>
      <c r="E150" s="259"/>
      <c r="F150" s="259"/>
      <c r="G150" s="270">
        <f t="shared" si="1"/>
        <v>0</v>
      </c>
      <c r="H150" s="254"/>
      <c r="I150" s="255"/>
    </row>
    <row r="151" spans="2:9" hidden="1" x14ac:dyDescent="0.2">
      <c r="B151" s="231" t="s">
        <v>1034</v>
      </c>
      <c r="C151" s="258"/>
      <c r="D151" s="258"/>
      <c r="E151" s="259"/>
      <c r="F151" s="259"/>
      <c r="G151" s="270">
        <f t="shared" si="1"/>
        <v>0</v>
      </c>
      <c r="H151" s="254"/>
      <c r="I151" s="255"/>
    </row>
    <row r="152" spans="2:9" hidden="1" x14ac:dyDescent="0.2">
      <c r="B152" s="231" t="s">
        <v>295</v>
      </c>
      <c r="C152" s="258"/>
      <c r="D152" s="258"/>
      <c r="E152" s="259"/>
      <c r="F152" s="259"/>
      <c r="G152" s="270">
        <f t="shared" si="1"/>
        <v>0</v>
      </c>
      <c r="H152" s="254"/>
      <c r="I152" s="255"/>
    </row>
    <row r="153" spans="2:9" hidden="1" x14ac:dyDescent="0.2">
      <c r="B153" s="231" t="s">
        <v>292</v>
      </c>
      <c r="C153" s="258"/>
      <c r="D153" s="258"/>
      <c r="E153" s="259"/>
      <c r="F153" s="259"/>
      <c r="G153" s="270">
        <f t="shared" si="1"/>
        <v>0</v>
      </c>
      <c r="H153" s="254"/>
      <c r="I153" s="255"/>
    </row>
    <row r="154" spans="2:9" hidden="1" x14ac:dyDescent="0.2">
      <c r="B154" s="231" t="s">
        <v>1036</v>
      </c>
      <c r="C154" s="258"/>
      <c r="D154" s="258"/>
      <c r="E154" s="259"/>
      <c r="F154" s="259"/>
      <c r="G154" s="270">
        <f t="shared" si="1"/>
        <v>0</v>
      </c>
      <c r="H154" s="254"/>
      <c r="I154" s="255"/>
    </row>
    <row r="155" spans="2:9" hidden="1" x14ac:dyDescent="0.2">
      <c r="B155" s="231" t="s">
        <v>1037</v>
      </c>
      <c r="C155" s="258"/>
      <c r="D155" s="258"/>
      <c r="E155" s="259"/>
      <c r="F155" s="259"/>
      <c r="G155" s="270">
        <f t="shared" si="1"/>
        <v>0</v>
      </c>
      <c r="H155" s="254"/>
      <c r="I155" s="255"/>
    </row>
    <row r="156" spans="2:9" hidden="1" x14ac:dyDescent="0.2">
      <c r="B156" s="231" t="s">
        <v>1038</v>
      </c>
      <c r="C156" s="258"/>
      <c r="D156" s="258"/>
      <c r="E156" s="259"/>
      <c r="F156" s="259"/>
      <c r="G156" s="270">
        <f t="shared" si="1"/>
        <v>0</v>
      </c>
      <c r="H156" s="254"/>
      <c r="I156" s="255"/>
    </row>
    <row r="157" spans="2:9" hidden="1" x14ac:dyDescent="0.2">
      <c r="B157" s="231" t="s">
        <v>506</v>
      </c>
      <c r="C157" s="258"/>
      <c r="D157" s="258"/>
      <c r="E157" s="259"/>
      <c r="F157" s="259"/>
      <c r="G157" s="270">
        <f t="shared" si="1"/>
        <v>0</v>
      </c>
      <c r="H157" s="254"/>
      <c r="I157" s="255"/>
    </row>
    <row r="158" spans="2:9" ht="15" customHeight="1" x14ac:dyDescent="0.2">
      <c r="H158" s="254"/>
      <c r="I158" s="255"/>
    </row>
    <row r="159" spans="2:9" x14ac:dyDescent="0.2">
      <c r="B159" s="278"/>
      <c r="C159" s="279"/>
      <c r="D159" s="279"/>
      <c r="E159" s="280"/>
      <c r="F159" s="280"/>
      <c r="G159" s="280"/>
      <c r="H159" s="255"/>
    </row>
    <row r="160" spans="2:9" x14ac:dyDescent="0.2">
      <c r="B160" s="227" t="s">
        <v>1046</v>
      </c>
      <c r="D160" s="281"/>
    </row>
    <row r="162" spans="2:7" ht="25.5" x14ac:dyDescent="0.2">
      <c r="B162" s="230" t="s">
        <v>1019</v>
      </c>
      <c r="C162" s="230" t="s">
        <v>1020</v>
      </c>
      <c r="D162" s="230" t="s">
        <v>1047</v>
      </c>
      <c r="E162" s="230" t="s">
        <v>1048</v>
      </c>
      <c r="F162" s="230" t="s">
        <v>1049</v>
      </c>
      <c r="G162" s="230" t="s">
        <v>1050</v>
      </c>
    </row>
    <row r="163" spans="2:7" x14ac:dyDescent="0.2">
      <c r="B163" s="282" t="s">
        <v>1041</v>
      </c>
      <c r="C163" s="282" t="s">
        <v>1041</v>
      </c>
      <c r="D163" s="282" t="s">
        <v>1041</v>
      </c>
      <c r="E163" s="282" t="s">
        <v>1041</v>
      </c>
      <c r="F163" s="282" t="s">
        <v>1041</v>
      </c>
      <c r="G163" s="282" t="s">
        <v>1041</v>
      </c>
    </row>
    <row r="164" spans="2:7" x14ac:dyDescent="0.2">
      <c r="D164" s="281"/>
      <c r="E164" s="281"/>
      <c r="F164" s="283"/>
      <c r="G164" s="283"/>
    </row>
    <row r="165" spans="2:7" x14ac:dyDescent="0.2">
      <c r="D165" s="281"/>
      <c r="E165" s="281"/>
      <c r="F165" s="283"/>
      <c r="G165" s="283"/>
    </row>
    <row r="166" spans="2:7" x14ac:dyDescent="0.2">
      <c r="B166" s="227" t="s">
        <v>1051</v>
      </c>
      <c r="G166" s="226" t="s">
        <v>145</v>
      </c>
    </row>
    <row r="167" spans="2:7" x14ac:dyDescent="0.2">
      <c r="B167" s="227"/>
    </row>
    <row r="168" spans="2:7" x14ac:dyDescent="0.2">
      <c r="B168" s="248" t="s">
        <v>1019</v>
      </c>
      <c r="C168" s="248" t="s">
        <v>1027</v>
      </c>
    </row>
    <row r="169" spans="2:7" x14ac:dyDescent="0.2">
      <c r="B169" s="282" t="s">
        <v>1041</v>
      </c>
      <c r="C169" s="282" t="s">
        <v>1041</v>
      </c>
    </row>
    <row r="170" spans="2:7" x14ac:dyDescent="0.2">
      <c r="C170" s="284"/>
      <c r="D170" s="269"/>
    </row>
    <row r="171" spans="2:7" x14ac:dyDescent="0.2">
      <c r="B171" s="227" t="s">
        <v>1052</v>
      </c>
    </row>
    <row r="173" spans="2:7" ht="38.25" x14ac:dyDescent="0.2">
      <c r="B173" s="229" t="s">
        <v>1019</v>
      </c>
      <c r="C173" s="230" t="s">
        <v>1053</v>
      </c>
      <c r="D173" s="230" t="s">
        <v>1054</v>
      </c>
      <c r="E173" s="230" t="s">
        <v>1055</v>
      </c>
      <c r="F173" s="230" t="s">
        <v>1056</v>
      </c>
    </row>
    <row r="174" spans="2:7" x14ac:dyDescent="0.2">
      <c r="B174" s="277"/>
      <c r="C174" s="282"/>
      <c r="D174" s="285"/>
      <c r="E174" s="270"/>
      <c r="F174" s="270">
        <f>+E174-D174</f>
        <v>0</v>
      </c>
    </row>
    <row r="175" spans="2:7" x14ac:dyDescent="0.2">
      <c r="B175" s="286"/>
      <c r="C175" s="287"/>
      <c r="D175" s="288"/>
      <c r="E175" s="288"/>
      <c r="F175" s="289"/>
    </row>
    <row r="176" spans="2:7" x14ac:dyDescent="0.2">
      <c r="B176" s="286"/>
      <c r="C176" s="287"/>
      <c r="D176" s="288"/>
      <c r="E176" s="288"/>
      <c r="F176" s="289"/>
    </row>
    <row r="178" spans="2:7" x14ac:dyDescent="0.2">
      <c r="B178" s="227" t="s">
        <v>1057</v>
      </c>
    </row>
    <row r="180" spans="2:7" ht="25.5" x14ac:dyDescent="0.2">
      <c r="B180" s="230" t="s">
        <v>1019</v>
      </c>
      <c r="C180" s="230" t="s">
        <v>1020</v>
      </c>
      <c r="D180" s="230" t="s">
        <v>1047</v>
      </c>
      <c r="E180" s="230" t="s">
        <v>1048</v>
      </c>
      <c r="F180" s="230" t="s">
        <v>1049</v>
      </c>
      <c r="G180" s="230" t="s">
        <v>1050</v>
      </c>
    </row>
    <row r="181" spans="2:7" x14ac:dyDescent="0.2">
      <c r="B181" s="231" t="s">
        <v>1041</v>
      </c>
      <c r="C181" s="231" t="s">
        <v>1041</v>
      </c>
      <c r="D181" s="231" t="s">
        <v>1041</v>
      </c>
      <c r="E181" s="231" t="s">
        <v>1041</v>
      </c>
      <c r="F181" s="231" t="s">
        <v>1041</v>
      </c>
      <c r="G181" s="231" t="s">
        <v>1041</v>
      </c>
    </row>
    <row r="182" spans="2:7" x14ac:dyDescent="0.2">
      <c r="C182" s="264"/>
      <c r="D182" s="290"/>
      <c r="E182" s="291"/>
      <c r="F182" s="283"/>
      <c r="G182" s="283"/>
    </row>
    <row r="183" spans="2:7" x14ac:dyDescent="0.2">
      <c r="B183" s="227" t="s">
        <v>1058</v>
      </c>
    </row>
    <row r="184" spans="2:7" x14ac:dyDescent="0.2">
      <c r="B184" s="227"/>
    </row>
    <row r="185" spans="2:7" x14ac:dyDescent="0.2">
      <c r="B185" s="248" t="s">
        <v>1019</v>
      </c>
      <c r="C185" s="248" t="s">
        <v>1027</v>
      </c>
    </row>
    <row r="186" spans="2:7" x14ac:dyDescent="0.2">
      <c r="B186" s="231" t="s">
        <v>1041</v>
      </c>
      <c r="C186" s="231" t="s">
        <v>1041</v>
      </c>
    </row>
    <row r="187" spans="2:7" x14ac:dyDescent="0.2">
      <c r="B187" s="268"/>
      <c r="C187" s="269"/>
    </row>
    <row r="188" spans="2:7" x14ac:dyDescent="0.2">
      <c r="B188" s="227" t="s">
        <v>1059</v>
      </c>
    </row>
    <row r="190" spans="2:7" ht="38.25" x14ac:dyDescent="0.2">
      <c r="B190" s="229" t="s">
        <v>1019</v>
      </c>
      <c r="C190" s="230" t="s">
        <v>1053</v>
      </c>
      <c r="D190" s="230" t="s">
        <v>1060</v>
      </c>
      <c r="E190" s="230" t="s">
        <v>1061</v>
      </c>
      <c r="F190" s="230" t="s">
        <v>1056</v>
      </c>
    </row>
    <row r="191" spans="2:7" x14ac:dyDescent="0.2">
      <c r="B191" s="231"/>
      <c r="C191" s="282"/>
      <c r="D191" s="285"/>
      <c r="E191" s="282"/>
      <c r="F191" s="282"/>
    </row>
    <row r="192" spans="2:7" x14ac:dyDescent="0.2">
      <c r="G192" s="292"/>
    </row>
    <row r="193" spans="2:7" x14ac:dyDescent="0.2">
      <c r="F193" s="260"/>
      <c r="G193" s="256"/>
    </row>
    <row r="194" spans="2:7" x14ac:dyDescent="0.2">
      <c r="B194" s="227" t="s">
        <v>1062</v>
      </c>
    </row>
    <row r="195" spans="2:7" x14ac:dyDescent="0.2">
      <c r="B195" s="227"/>
    </row>
    <row r="196" spans="2:7" x14ac:dyDescent="0.2">
      <c r="E196" s="256"/>
    </row>
    <row r="197" spans="2:7" x14ac:dyDescent="0.2">
      <c r="B197" s="227" t="s">
        <v>1063</v>
      </c>
      <c r="E197" s="256"/>
    </row>
    <row r="198" spans="2:7" x14ac:dyDescent="0.2">
      <c r="E198" s="256"/>
    </row>
    <row r="199" spans="2:7" ht="25.5" x14ac:dyDescent="0.2">
      <c r="B199" s="229" t="s">
        <v>1019</v>
      </c>
      <c r="C199" s="230" t="s">
        <v>1020</v>
      </c>
      <c r="D199" s="230" t="s">
        <v>1021</v>
      </c>
      <c r="E199" s="230" t="s">
        <v>1064</v>
      </c>
      <c r="F199" s="230" t="s">
        <v>1065</v>
      </c>
      <c r="G199" s="230" t="s">
        <v>1066</v>
      </c>
    </row>
    <row r="200" spans="2:7" x14ac:dyDescent="0.2">
      <c r="B200" s="251" t="s">
        <v>1041</v>
      </c>
      <c r="C200" s="257" t="s">
        <v>1041</v>
      </c>
      <c r="D200" s="293" t="s">
        <v>1041</v>
      </c>
      <c r="E200" s="294" t="s">
        <v>1041</v>
      </c>
      <c r="F200" s="294" t="s">
        <v>1041</v>
      </c>
      <c r="G200" s="294" t="s">
        <v>1041</v>
      </c>
    </row>
    <row r="201" spans="2:7" x14ac:dyDescent="0.2">
      <c r="E201" s="256"/>
    </row>
    <row r="202" spans="2:7" x14ac:dyDescent="0.2">
      <c r="B202" s="227" t="s">
        <v>1067</v>
      </c>
      <c r="E202" s="256"/>
    </row>
    <row r="203" spans="2:7" x14ac:dyDescent="0.2">
      <c r="B203" s="227"/>
      <c r="E203" s="256"/>
    </row>
    <row r="204" spans="2:7" x14ac:dyDescent="0.2">
      <c r="B204" s="248" t="s">
        <v>1019</v>
      </c>
      <c r="C204" s="248" t="s">
        <v>1027</v>
      </c>
      <c r="E204" s="256"/>
    </row>
    <row r="205" spans="2:7" x14ac:dyDescent="0.2">
      <c r="B205" s="282" t="s">
        <v>1041</v>
      </c>
      <c r="C205" s="250" t="s">
        <v>1041</v>
      </c>
      <c r="E205" s="256"/>
    </row>
    <row r="206" spans="2:7" x14ac:dyDescent="0.2">
      <c r="E206" s="256"/>
    </row>
    <row r="207" spans="2:7" x14ac:dyDescent="0.2">
      <c r="B207" s="227" t="s">
        <v>1068</v>
      </c>
      <c r="E207" s="256"/>
    </row>
    <row r="208" spans="2:7" x14ac:dyDescent="0.2">
      <c r="E208" s="256"/>
    </row>
    <row r="209" spans="2:10" ht="63.75" x14ac:dyDescent="0.2">
      <c r="B209" s="229" t="s">
        <v>1019</v>
      </c>
      <c r="C209" s="230" t="s">
        <v>1029</v>
      </c>
      <c r="D209" s="230" t="s">
        <v>1030</v>
      </c>
      <c r="E209" s="230" t="s">
        <v>1031</v>
      </c>
      <c r="F209" s="230" t="s">
        <v>1032</v>
      </c>
      <c r="G209" s="230" t="s">
        <v>1033</v>
      </c>
    </row>
    <row r="210" spans="2:10" x14ac:dyDescent="0.2">
      <c r="B210" s="250"/>
      <c r="C210" s="250"/>
      <c r="D210" s="252"/>
      <c r="E210" s="295"/>
      <c r="F210" s="296"/>
      <c r="G210" s="297"/>
      <c r="I210" s="255"/>
      <c r="J210" s="256"/>
    </row>
    <row r="211" spans="2:10" x14ac:dyDescent="0.2">
      <c r="E211" s="256"/>
    </row>
    <row r="212" spans="2:10" x14ac:dyDescent="0.2">
      <c r="E212" s="256"/>
    </row>
    <row r="213" spans="2:10" x14ac:dyDescent="0.2">
      <c r="B213" s="227" t="s">
        <v>1069</v>
      </c>
      <c r="E213" s="256"/>
    </row>
    <row r="214" spans="2:10" x14ac:dyDescent="0.2">
      <c r="E214" s="256"/>
    </row>
    <row r="215" spans="2:10" ht="63.75" x14ac:dyDescent="0.2">
      <c r="B215" s="229" t="s">
        <v>1019</v>
      </c>
      <c r="C215" s="230" t="s">
        <v>1029</v>
      </c>
      <c r="D215" s="230" t="s">
        <v>1030</v>
      </c>
      <c r="E215" s="230" t="s">
        <v>1031</v>
      </c>
      <c r="F215" s="230" t="s">
        <v>1032</v>
      </c>
      <c r="G215" s="230" t="s">
        <v>1033</v>
      </c>
    </row>
    <row r="216" spans="2:10" x14ac:dyDescent="0.2">
      <c r="B216" s="233"/>
      <c r="C216" s="282"/>
      <c r="D216" s="282"/>
      <c r="E216" s="298"/>
      <c r="F216" s="298"/>
      <c r="G216" s="298"/>
    </row>
    <row r="217" spans="2:10" x14ac:dyDescent="0.2">
      <c r="E217" s="256"/>
    </row>
    <row r="218" spans="2:10" x14ac:dyDescent="0.2">
      <c r="B218" s="226" t="s">
        <v>1070</v>
      </c>
    </row>
  </sheetData>
  <mergeCells count="3">
    <mergeCell ref="B2:G2"/>
    <mergeCell ref="B3:G3"/>
    <mergeCell ref="B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Index</vt:lpstr>
      <vt:lpstr>CAPEXG</vt:lpstr>
      <vt:lpstr>MICAP14</vt:lpstr>
      <vt:lpstr>MICAP15</vt:lpstr>
      <vt:lpstr>MICAP16</vt:lpstr>
      <vt:lpstr>MICAP17</vt:lpstr>
      <vt:lpstr>MIDCAP</vt:lpstr>
      <vt:lpstr>MULTI1</vt:lpstr>
      <vt:lpstr>MULTI2</vt:lpstr>
      <vt:lpstr>MULTIP</vt:lpstr>
      <vt:lpstr>SESCAP1</vt:lpstr>
      <vt:lpstr>SESCAP2</vt:lpstr>
      <vt:lpstr>SESCAP3</vt:lpstr>
      <vt:lpstr>SESCAP4</vt:lpstr>
      <vt:lpstr>SESCAP5</vt:lpstr>
      <vt:lpstr>SESCAP6</vt:lpstr>
      <vt:lpstr>SESCAP7</vt:lpstr>
      <vt:lpstr>SFOCUS</vt:lpstr>
      <vt:lpstr>SLTADV3</vt:lpstr>
      <vt:lpstr>SLTADV4</vt:lpstr>
      <vt:lpstr>SLTAX1</vt:lpstr>
      <vt:lpstr>SLTAX2</vt:lpstr>
      <vt:lpstr>SLTAX3</vt:lpstr>
      <vt:lpstr>SLTAX4</vt:lpstr>
      <vt:lpstr>SLTAX5</vt:lpstr>
      <vt:lpstr>SLTAX6</vt:lpstr>
      <vt:lpstr>SMILE</vt:lpstr>
      <vt:lpstr>SRURAL</vt:lpstr>
      <vt:lpstr>SSFUND</vt:lpstr>
      <vt:lpstr>SSN100</vt:lpstr>
      <vt:lpstr>STAX</vt:lpstr>
      <vt:lpstr>SUNARF</vt:lpstr>
      <vt:lpstr>SUNBAF</vt:lpstr>
      <vt:lpstr>SUNBAL</vt:lpstr>
      <vt:lpstr>SUNBCF</vt:lpstr>
      <vt:lpstr>SUNEQF</vt:lpstr>
      <vt:lpstr>SUNESF</vt:lpstr>
      <vt:lpstr>SUNFOP</vt:lpstr>
      <vt:lpstr>SUNVALF10</vt:lpstr>
      <vt:lpstr>SUNVALF7</vt:lpstr>
      <vt:lpstr>SUNVALF9</vt:lpstr>
      <vt:lpstr>GLOB</vt:lpstr>
      <vt:lpstr>Annexure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Venkat Raman R - Sundaram Mutual</cp:lastModifiedBy>
  <dcterms:created xsi:type="dcterms:W3CDTF">2021-09-01T09:24:52Z</dcterms:created>
  <dcterms:modified xsi:type="dcterms:W3CDTF">2021-09-10T12:29:50Z</dcterms:modified>
</cp:coreProperties>
</file>