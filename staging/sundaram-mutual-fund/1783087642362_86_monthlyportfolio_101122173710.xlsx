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L:\SAMCWEB_V2.0\uploaddir\MonthlyPortfolio\"/>
    </mc:Choice>
  </mc:AlternateContent>
  <xr:revisionPtr revIDLastSave="0" documentId="13_ncr:1_{579AB357-FF02-4638-A389-B7AE4161DA7E}" xr6:coauthVersionLast="47" xr6:coauthVersionMax="47" xr10:uidLastSave="{00000000-0000-0000-0000-000000000000}"/>
  <bookViews>
    <workbookView xWindow="-120" yWindow="-120" windowWidth="29040" windowHeight="15720" tabRatio="900" xr2:uid="{00000000-000D-0000-FFFF-FFFF00000000}"/>
  </bookViews>
  <sheets>
    <sheet name="Index" sheetId="37" r:id="rId1"/>
    <sheet name="CAPEXG" sheetId="1" r:id="rId2"/>
    <sheet name="MIDCAP" sheetId="2" r:id="rId3"/>
    <sheet name="MULTI1" sheetId="3" r:id="rId4"/>
    <sheet name="MULTI2" sheetId="4" r:id="rId5"/>
    <sheet name="MULTIP" sheetId="5" r:id="rId6"/>
    <sheet name="SESCAP1" sheetId="6" r:id="rId7"/>
    <sheet name="SESCAP2" sheetId="7" r:id="rId8"/>
    <sheet name="SESCAP3" sheetId="8" r:id="rId9"/>
    <sheet name="SESCAP4" sheetId="9" r:id="rId10"/>
    <sheet name="SESCAP5" sheetId="10" r:id="rId11"/>
    <sheet name="SESCAP6" sheetId="11" r:id="rId12"/>
    <sheet name="SESCAP7" sheetId="12" r:id="rId13"/>
    <sheet name="SLTADV3" sheetId="13" r:id="rId14"/>
    <sheet name="SLTADV4" sheetId="14" r:id="rId15"/>
    <sheet name="SLTAX1" sheetId="15" r:id="rId16"/>
    <sheet name="SLTAX2" sheetId="16" r:id="rId17"/>
    <sheet name="SLTAX3" sheetId="17" r:id="rId18"/>
    <sheet name="SLTAX4" sheetId="18" r:id="rId19"/>
    <sheet name="SLTAX5" sheetId="19" r:id="rId20"/>
    <sheet name="SLTAX6" sheetId="20" r:id="rId21"/>
    <sheet name="SMILE" sheetId="21" r:id="rId22"/>
    <sheet name="SPAHF" sheetId="35" r:id="rId23"/>
    <sheet name="SPARF" sheetId="22" r:id="rId24"/>
    <sheet name="SPBAF" sheetId="36" r:id="rId25"/>
    <sheet name="SPDYF" sheetId="23" r:id="rId26"/>
    <sheet name="SPESF" sheetId="24" r:id="rId27"/>
    <sheet name="SPFOCUS" sheetId="25" r:id="rId28"/>
    <sheet name="SPMUCF" sheetId="26" r:id="rId29"/>
    <sheet name="SPSN100" sheetId="27" r:id="rId30"/>
    <sheet name="SPTAX" sheetId="28" r:id="rId31"/>
    <sheet name="SRURAL" sheetId="29" r:id="rId32"/>
    <sheet name="SSFUND" sheetId="30" r:id="rId33"/>
    <sheet name="STAX" sheetId="31" r:id="rId34"/>
    <sheet name="SUNBCF" sheetId="32" r:id="rId35"/>
    <sheet name="SUNFCF" sheetId="33" r:id="rId36"/>
    <sheet name="SUNFOP" sheetId="34" r:id="rId37"/>
    <sheet name="GLOB" sheetId="38" r:id="rId38"/>
    <sheet name="Annexure-A" sheetId="39"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4" i="39" l="1"/>
  <c r="G127" i="39"/>
  <c r="G126" i="39"/>
  <c r="G125" i="39"/>
  <c r="G124" i="39"/>
  <c r="F123" i="39"/>
  <c r="E123" i="39"/>
  <c r="G123" i="39" s="1"/>
  <c r="D123" i="39"/>
  <c r="C123" i="39"/>
  <c r="G122" i="39"/>
  <c r="G121" i="39"/>
  <c r="F120" i="39"/>
  <c r="G120" i="39" s="1"/>
  <c r="E120" i="39"/>
  <c r="D120" i="39"/>
  <c r="C120" i="39"/>
  <c r="G119" i="39"/>
  <c r="F119" i="39"/>
  <c r="E119" i="39"/>
  <c r="D119" i="39"/>
  <c r="C119" i="39"/>
  <c r="F118" i="39"/>
  <c r="G118" i="39" s="1"/>
  <c r="E118" i="39"/>
  <c r="D118" i="39"/>
  <c r="C118" i="39"/>
  <c r="G101" i="39"/>
  <c r="F101" i="39"/>
  <c r="E101" i="39"/>
  <c r="D101" i="39"/>
  <c r="C101" i="39"/>
  <c r="G100" i="39"/>
  <c r="F100" i="39"/>
  <c r="E100" i="39"/>
  <c r="D100" i="39"/>
  <c r="C100" i="39"/>
  <c r="F99" i="39"/>
  <c r="G99" i="39" s="1"/>
  <c r="E99" i="39"/>
  <c r="D99" i="39"/>
  <c r="C99" i="39"/>
  <c r="G98" i="39"/>
  <c r="F97" i="39"/>
  <c r="G97" i="39" s="1"/>
  <c r="E97" i="39"/>
  <c r="D97" i="39"/>
  <c r="C97" i="39"/>
  <c r="G96" i="39"/>
  <c r="F96" i="39"/>
  <c r="E96" i="39"/>
  <c r="D96" i="39"/>
  <c r="C96" i="39"/>
  <c r="F95" i="39"/>
  <c r="G95" i="39" s="1"/>
  <c r="E95" i="39"/>
  <c r="D95" i="39"/>
  <c r="C95" i="39"/>
</calcChain>
</file>

<file path=xl/sharedStrings.xml><?xml version="1.0" encoding="utf-8"?>
<sst xmlns="http://schemas.openxmlformats.org/spreadsheetml/2006/main" count="10673" uniqueCount="1170">
  <si>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</si>
  <si>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</si>
  <si>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</si>
  <si>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</si>
  <si>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</si>
  <si>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</si>
  <si>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</si>
  <si>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</si>
  <si>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</si>
  <si>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</si>
  <si>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</si>
  <si>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</si>
  <si>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</si>
  <si>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</si>
  <si>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INE090A01021</t>
  </si>
  <si>
    <t>ICICI Bank Ltd</t>
  </si>
  <si>
    <t>Banks</t>
  </si>
  <si>
    <t>INE397D01024</t>
  </si>
  <si>
    <t>Bharti Airtel Ltd</t>
  </si>
  <si>
    <t>Telecom - Services</t>
  </si>
  <si>
    <t>INE002A01018</t>
  </si>
  <si>
    <t>Reliance Industries Ltd</t>
  </si>
  <si>
    <t>Petroleum Products</t>
  </si>
  <si>
    <t>INE481G01011</t>
  </si>
  <si>
    <t>Ultratech Cement Ltd</t>
  </si>
  <si>
    <t>Cement &amp; Cement Products</t>
  </si>
  <si>
    <t>INE733E01010</t>
  </si>
  <si>
    <t>NTPC Ltd</t>
  </si>
  <si>
    <t>Power</t>
  </si>
  <si>
    <t>INE999A01015</t>
  </si>
  <si>
    <t>KSB Ltd</t>
  </si>
  <si>
    <t>Industrial Products</t>
  </si>
  <si>
    <t>INE536A01023</t>
  </si>
  <si>
    <t>Grindwell Norton Ltd</t>
  </si>
  <si>
    <t>INE117A01022</t>
  </si>
  <si>
    <t>ABB India Ltd</t>
  </si>
  <si>
    <t>Electrical Equipment</t>
  </si>
  <si>
    <t>INE455K01017</t>
  </si>
  <si>
    <t>Polycab India Ltd</t>
  </si>
  <si>
    <t>INE111A01025</t>
  </si>
  <si>
    <t>Container Corporation of India Ltd</t>
  </si>
  <si>
    <t>Transport Services</t>
  </si>
  <si>
    <t>INE062A01020</t>
  </si>
  <si>
    <t>State Bank of India</t>
  </si>
  <si>
    <t>INE284A01012</t>
  </si>
  <si>
    <t>ESAB India Ltd</t>
  </si>
  <si>
    <t>INE208A01029</t>
  </si>
  <si>
    <t>Ashok Leyland Ltd</t>
  </si>
  <si>
    <t>Agricultural, Commercial &amp; Construction Vehicles</t>
  </si>
  <si>
    <t>INE671A01010</t>
  </si>
  <si>
    <t>Honeywell Automation India Ltd</t>
  </si>
  <si>
    <t>Industrial Manufacturing</t>
  </si>
  <si>
    <t>INE245A01021</t>
  </si>
  <si>
    <t>Tata Power Company Ltd</t>
  </si>
  <si>
    <t>INE752E01010</t>
  </si>
  <si>
    <t>Power Grid Corporation of India Ltd</t>
  </si>
  <si>
    <t>INE195J01029</t>
  </si>
  <si>
    <t>PNC Infratech Ltd</t>
  </si>
  <si>
    <t>INE868B01028</t>
  </si>
  <si>
    <t>NCC Ltd</t>
  </si>
  <si>
    <t>INE742F01042</t>
  </si>
  <si>
    <t>Adani Ports and Special Economic Zone Ltd</t>
  </si>
  <si>
    <t>Transport Infrastructure</t>
  </si>
  <si>
    <t>INE823G01014</t>
  </si>
  <si>
    <t>JK Cement Ltd</t>
  </si>
  <si>
    <t>INE263A01024</t>
  </si>
  <si>
    <t>Bharat Electronics Ltd</t>
  </si>
  <si>
    <t>Aerospace &amp; Defense</t>
  </si>
  <si>
    <t>INE585B01010</t>
  </si>
  <si>
    <t>Maruti Suzuki India Ltd</t>
  </si>
  <si>
    <t>Automobiles</t>
  </si>
  <si>
    <t>INE541A01023</t>
  </si>
  <si>
    <t>GMM Pfaudler Ltd</t>
  </si>
  <si>
    <t>INE003A01024</t>
  </si>
  <si>
    <t>Siemens Ltd</t>
  </si>
  <si>
    <t>INE152M01016</t>
  </si>
  <si>
    <t>Triveni Turbine Ltd</t>
  </si>
  <si>
    <t>INE878B01027</t>
  </si>
  <si>
    <t>KEI Industries Ltd</t>
  </si>
  <si>
    <t>INE702C01027</t>
  </si>
  <si>
    <t>APL Apollo Tubes Ltd</t>
  </si>
  <si>
    <t>INE766P01016</t>
  </si>
  <si>
    <t>Mahindra Logistics Ltd</t>
  </si>
  <si>
    <t>INE079A01024</t>
  </si>
  <si>
    <t>Ambuja Cements Ltd</t>
  </si>
  <si>
    <t>INE070A01015</t>
  </si>
  <si>
    <t>Shree Cement Ltd</t>
  </si>
  <si>
    <t>INE513A01022</t>
  </si>
  <si>
    <t>Schaeffler India Ltd</t>
  </si>
  <si>
    <t>Auto Components</t>
  </si>
  <si>
    <t>INE258A01016</t>
  </si>
  <si>
    <t>BEML Ltd</t>
  </si>
  <si>
    <t>INE298A01020</t>
  </si>
  <si>
    <t>Cummins India Ltd</t>
  </si>
  <si>
    <t>INE791I01019</t>
  </si>
  <si>
    <t>Brigade Enterprises Ltd</t>
  </si>
  <si>
    <t>Realty</t>
  </si>
  <si>
    <t>INE121A01024</t>
  </si>
  <si>
    <t>Cholamandalam Investment and Finance Company Ltd</t>
  </si>
  <si>
    <t>Finance</t>
  </si>
  <si>
    <t>INE093I01010</t>
  </si>
  <si>
    <t>Oberoi Realty Ltd</t>
  </si>
  <si>
    <t>INE634I01029</t>
  </si>
  <si>
    <t>KNR Construction Ltd</t>
  </si>
  <si>
    <t>INE029A01011</t>
  </si>
  <si>
    <t>Bharat Petroleum Corporation Ltd</t>
  </si>
  <si>
    <t>INE073K01018</t>
  </si>
  <si>
    <t>Sona BLW Precision Forgings Ltd</t>
  </si>
  <si>
    <t>INE08ZM01014</t>
  </si>
  <si>
    <t>Green Panel Industries Ltd</t>
  </si>
  <si>
    <t>Consumer Durables</t>
  </si>
  <si>
    <t>INE811K01011</t>
  </si>
  <si>
    <t>Prestige Estates Projects Ltd</t>
  </si>
  <si>
    <t>INE038A01020</t>
  </si>
  <si>
    <t>Hindalco Industries Ltd</t>
  </si>
  <si>
    <t>Non - Ferrous Metals</t>
  </si>
  <si>
    <t>INE201P01022</t>
  </si>
  <si>
    <t>GR Infraprojects Ltd</t>
  </si>
  <si>
    <t>INE213A01029</t>
  </si>
  <si>
    <t>Oil &amp; Natural Gas Corporation Ltd</t>
  </si>
  <si>
    <t>Oil</t>
  </si>
  <si>
    <t>INE331A01037</t>
  </si>
  <si>
    <t>The Ramco Cements Ltd</t>
  </si>
  <si>
    <t>INE371P01015</t>
  </si>
  <si>
    <t>Amber Enterprises India Ltd</t>
  </si>
  <si>
    <t>INE0N7W01012</t>
  </si>
  <si>
    <t>BEML Land and Assets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</si>
  <si>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</si>
  <si>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</si>
  <si>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</si>
  <si>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</si>
  <si>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</si>
  <si>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</si>
  <si>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</si>
  <si>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</si>
  <si>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</si>
  <si>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</si>
  <si>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</si>
  <si>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</si>
  <si>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</si>
  <si>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</si>
  <si>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</si>
  <si>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</si>
  <si>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</si>
  <si>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</si>
  <si>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</si>
  <si>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</si>
  <si>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</si>
  <si>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</si>
  <si>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</si>
  <si>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</si>
  <si>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</si>
  <si>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</si>
  <si>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</si>
  <si>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</si>
  <si>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</si>
  <si>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</si>
  <si>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</si>
  <si>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</si>
  <si>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</si>
  <si>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</si>
  <si>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</si>
  <si>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</si>
  <si>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</si>
  <si>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</si>
  <si>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</si>
  <si>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30/09/2022</t>
  </si>
  <si>
    <t>31/10/2022</t>
  </si>
  <si>
    <t>Direct Plan - Growth</t>
  </si>
  <si>
    <t>Regular Plan - Growth</t>
  </si>
  <si>
    <t xml:space="preserve"> </t>
  </si>
  <si>
    <t>e) Total outstanding exposure in derivative instruments at the end of the period</t>
  </si>
  <si>
    <t>f) Total investments in foreign securities /ADR'S/GDR'S at the end of the period</t>
  </si>
  <si>
    <t>g) Portfolio Turnover Ratio</t>
  </si>
  <si>
    <t>h) Repo in corporate debt</t>
  </si>
  <si>
    <t>Sundaram Mid Cap Fund</t>
  </si>
  <si>
    <t>INE171A01029</t>
  </si>
  <si>
    <t>The Federal Bank  Ltd</t>
  </si>
  <si>
    <t>INE238A01034</t>
  </si>
  <si>
    <t>Axis Bank Ltd</t>
  </si>
  <si>
    <t>INE849A01020</t>
  </si>
  <si>
    <t>Trent Ltd</t>
  </si>
  <si>
    <t>Retailing</t>
  </si>
  <si>
    <t>INE200M01013</t>
  </si>
  <si>
    <t>Varun Beverages Ltd</t>
  </si>
  <si>
    <t>Beverages</t>
  </si>
  <si>
    <t>INE647A01010</t>
  </si>
  <si>
    <t>SRF Ltd</t>
  </si>
  <si>
    <t>Chemicals &amp; Petrochemicals</t>
  </si>
  <si>
    <t>INE299U01018</t>
  </si>
  <si>
    <t>Crompton Greaves Consumer Electricals Ltd</t>
  </si>
  <si>
    <t>INE761H01022</t>
  </si>
  <si>
    <t>Page Industries Ltd</t>
  </si>
  <si>
    <t>Textiles &amp; Apparels</t>
  </si>
  <si>
    <t>INE028A01039</t>
  </si>
  <si>
    <t>Bank of Baroda</t>
  </si>
  <si>
    <t>INE048G01026</t>
  </si>
  <si>
    <t>Navin Fluorine International Ltd</t>
  </si>
  <si>
    <t>INE974X01010</t>
  </si>
  <si>
    <t>Tube Investments of India Ltd</t>
  </si>
  <si>
    <t>INE949L01017</t>
  </si>
  <si>
    <t>AU Small Finance Bank Ltd</t>
  </si>
  <si>
    <t>INE947Q01028</t>
  </si>
  <si>
    <t>Laurus Labs Ltd</t>
  </si>
  <si>
    <t>Pharmaceuticals &amp; Biotechnology</t>
  </si>
  <si>
    <t>INE721A01013</t>
  </si>
  <si>
    <t>Shriram Transport Finance Company Ltd</t>
  </si>
  <si>
    <t>INE603J01030</t>
  </si>
  <si>
    <t>PI Industries Ltd</t>
  </si>
  <si>
    <t>Fertilizers &amp; Agrochemicals</t>
  </si>
  <si>
    <t>INE437A01024</t>
  </si>
  <si>
    <t>Apollo Hospitals Enterprise Ltd</t>
  </si>
  <si>
    <t>Healthcare Services</t>
  </si>
  <si>
    <t>INE262H01013</t>
  </si>
  <si>
    <t>Persistent Systems Ltd</t>
  </si>
  <si>
    <t>INE686F01025</t>
  </si>
  <si>
    <t>United Breweries Ltd</t>
  </si>
  <si>
    <t>INE246F01010</t>
  </si>
  <si>
    <t>Gujarat State Petronet Ltd</t>
  </si>
  <si>
    <t>Gas</t>
  </si>
  <si>
    <t>INE018I01017</t>
  </si>
  <si>
    <t>MindTree Ltd</t>
  </si>
  <si>
    <t>INE571A01038</t>
  </si>
  <si>
    <t>IPCA Laboratories Ltd</t>
  </si>
  <si>
    <t>INE169A01031</t>
  </si>
  <si>
    <t>Coromandel International Ltd</t>
  </si>
  <si>
    <t>INE303R01014</t>
  </si>
  <si>
    <t>Kalyan Jewellers India Ltd</t>
  </si>
  <si>
    <t>INE797F01020</t>
  </si>
  <si>
    <t>Jubilant Foodworks Ltd</t>
  </si>
  <si>
    <t>Leisure Services</t>
  </si>
  <si>
    <t>INE105A01035</t>
  </si>
  <si>
    <t>Sundaram Clayton Ltd</t>
  </si>
  <si>
    <t>INE226A01021</t>
  </si>
  <si>
    <t>Voltas Ltd</t>
  </si>
  <si>
    <t>INE749A01030</t>
  </si>
  <si>
    <t>Jindal Steel &amp; Power Ltd</t>
  </si>
  <si>
    <t>Ferrous Metals</t>
  </si>
  <si>
    <t>INE256A01028</t>
  </si>
  <si>
    <t>Zee Entertainment Enterprises Ltd</t>
  </si>
  <si>
    <t>Entertainment</t>
  </si>
  <si>
    <t>INE006I01046</t>
  </si>
  <si>
    <t>Astral Ltd</t>
  </si>
  <si>
    <t>INE180A01020</t>
  </si>
  <si>
    <t>Max Financial Services Ltd</t>
  </si>
  <si>
    <t>Insurance</t>
  </si>
  <si>
    <t>INE149A01033</t>
  </si>
  <si>
    <t>Cholamandalam Financial Holdings Ltd</t>
  </si>
  <si>
    <t>INE465A01025</t>
  </si>
  <si>
    <t>Bharat Forge Ltd</t>
  </si>
  <si>
    <t>INE115A01026</t>
  </si>
  <si>
    <t>LIC Housing Finance Ltd</t>
  </si>
  <si>
    <t>INE068V01023</t>
  </si>
  <si>
    <t>Gland Pharma Ltd</t>
  </si>
  <si>
    <t>INE342J01019</t>
  </si>
  <si>
    <t>ZF Commercial Vehicle Control Systems I Ltd</t>
  </si>
  <si>
    <t>INE061F01013</t>
  </si>
  <si>
    <t>Fortis Health Care Ltd</t>
  </si>
  <si>
    <t>INE918I01026</t>
  </si>
  <si>
    <t>Bajaj Finserv Ltd</t>
  </si>
  <si>
    <t>INE00R701025</t>
  </si>
  <si>
    <t>Dalmia Cement (Bharat) Ltd.</t>
  </si>
  <si>
    <t>INE317I01021</t>
  </si>
  <si>
    <t>Metro Brands Ltd</t>
  </si>
  <si>
    <t>INE040A01034</t>
  </si>
  <si>
    <t>HDFC Bank Ltd</t>
  </si>
  <si>
    <t>INE473B01035</t>
  </si>
  <si>
    <t>Hatsun Agro Product Ltd</t>
  </si>
  <si>
    <t>Food Products</t>
  </si>
  <si>
    <t>INE405E01023</t>
  </si>
  <si>
    <t>UNO Minda Ltd</t>
  </si>
  <si>
    <t>INE494B01023</t>
  </si>
  <si>
    <t>TVS Motor Company Ltd</t>
  </si>
  <si>
    <t>INE356A01018</t>
  </si>
  <si>
    <t>MphasiS Ltd</t>
  </si>
  <si>
    <t>INE722A01011</t>
  </si>
  <si>
    <t>Shriram City Union Finance Ltd</t>
  </si>
  <si>
    <t>INE217B01036</t>
  </si>
  <si>
    <t>Kajaria Ceramics Ltd</t>
  </si>
  <si>
    <t>INE094A01015</t>
  </si>
  <si>
    <t>Hindustan Petroleum Corporation Ltd</t>
  </si>
  <si>
    <t>INE548C01032</t>
  </si>
  <si>
    <t>Emami Ltd</t>
  </si>
  <si>
    <t>Personal Products</t>
  </si>
  <si>
    <t>INE203G01027</t>
  </si>
  <si>
    <t>Indraprastha Gas Ltd</t>
  </si>
  <si>
    <t>INE010V01017</t>
  </si>
  <si>
    <t>L&amp;T Technology Services Ltd</t>
  </si>
  <si>
    <t>It - Services</t>
  </si>
  <si>
    <t>INE787D01026</t>
  </si>
  <si>
    <t>Balkrishna Industries Ltd</t>
  </si>
  <si>
    <t>INE930P01018</t>
  </si>
  <si>
    <t>Anupam Rasayan India Ltd</t>
  </si>
  <si>
    <t>INE935N01020</t>
  </si>
  <si>
    <t>Dixon Technologies (India) Ltd</t>
  </si>
  <si>
    <t>Sundaram Multi Cap Fund Series I</t>
  </si>
  <si>
    <t>INE009A01021</t>
  </si>
  <si>
    <t>Infosys Ltd</t>
  </si>
  <si>
    <t>INE001A01036</t>
  </si>
  <si>
    <t>Housing Development Finance Corporation Ltd</t>
  </si>
  <si>
    <t>INE123W01016</t>
  </si>
  <si>
    <t>SBI Life Insurance Company Ltd</t>
  </si>
  <si>
    <t>INE044A01036</t>
  </si>
  <si>
    <t>Sun Pharmaceutical Industries Ltd</t>
  </si>
  <si>
    <t>INE312H01016</t>
  </si>
  <si>
    <t>INOX Leisure Ltd</t>
  </si>
  <si>
    <t>INE467B01029</t>
  </si>
  <si>
    <t>Tata Consultancy Services Ltd</t>
  </si>
  <si>
    <t>INE030A01027</t>
  </si>
  <si>
    <t>Hindustan UniLever Ltd</t>
  </si>
  <si>
    <t>Diversified Fmcg</t>
  </si>
  <si>
    <t>INE101A01026</t>
  </si>
  <si>
    <t>Mahindra &amp; Mahindra Ltd</t>
  </si>
  <si>
    <t>INE860A01027</t>
  </si>
  <si>
    <t>HCL Technologies Ltd</t>
  </si>
  <si>
    <t>INE154A01025</t>
  </si>
  <si>
    <t>ITC Ltd</t>
  </si>
  <si>
    <t>INE615P01015</t>
  </si>
  <si>
    <t>Quess Corp Ltd</t>
  </si>
  <si>
    <t>Commercial Services &amp; Supplies</t>
  </si>
  <si>
    <t>INE806T01012</t>
  </si>
  <si>
    <t>Sapphire Foods India Ltd</t>
  </si>
  <si>
    <t>INE732I01013</t>
  </si>
  <si>
    <t>Angel One Ltd</t>
  </si>
  <si>
    <t>Capital Markets</t>
  </si>
  <si>
    <t>INE075A01022</t>
  </si>
  <si>
    <t>Wipro Ltd</t>
  </si>
  <si>
    <t>INE763G01038</t>
  </si>
  <si>
    <t>ICICI Securities Ltd</t>
  </si>
  <si>
    <t>INE488A01050</t>
  </si>
  <si>
    <t>Chemplast Sanmar Ltd</t>
  </si>
  <si>
    <t>INE669C01036</t>
  </si>
  <si>
    <t>Tech Mahindra Ltd</t>
  </si>
  <si>
    <t>INE731H01025</t>
  </si>
  <si>
    <t>ACTION CONSTRUCTION EQUIPMENTS LTD</t>
  </si>
  <si>
    <t>INE237A01028</t>
  </si>
  <si>
    <t>Kotak Mahindra Bank Ltd</t>
  </si>
  <si>
    <t>INE217L01019</t>
  </si>
  <si>
    <t>Shriram Properties Ltd</t>
  </si>
  <si>
    <t>INE095A01012</t>
  </si>
  <si>
    <t>IndusInd Bank Ltd</t>
  </si>
  <si>
    <t>INE081A01020</t>
  </si>
  <si>
    <t>Tata Steel Ltd</t>
  </si>
  <si>
    <t>IN9397D01014</t>
  </si>
  <si>
    <t>Sundaram Multi Cap Fund -Series II</t>
  </si>
  <si>
    <t>Sundaram Large and Mid Cap Fund</t>
  </si>
  <si>
    <t>INE476A01014</t>
  </si>
  <si>
    <t>Canara Bank</t>
  </si>
  <si>
    <t>INE296A01024</t>
  </si>
  <si>
    <t>Bajaj Finance Ltd</t>
  </si>
  <si>
    <t>INE893J01029</t>
  </si>
  <si>
    <t>Mold-Tek Packaging Ltd</t>
  </si>
  <si>
    <t>INE361B01024</t>
  </si>
  <si>
    <t>Divis Laboratories Ltd</t>
  </si>
  <si>
    <t>INE192R01011</t>
  </si>
  <si>
    <t>Avenue Supermarts Ltd</t>
  </si>
  <si>
    <t>INE586V01016</t>
  </si>
  <si>
    <t>TCI Express Ltd</t>
  </si>
  <si>
    <t>INE155A01022</t>
  </si>
  <si>
    <t>Tata Motors Ltd</t>
  </si>
  <si>
    <t>INE100A01010</t>
  </si>
  <si>
    <t>Atul Ltd</t>
  </si>
  <si>
    <t>INE053A01029</t>
  </si>
  <si>
    <t>The Indian Hotels Company Ltd</t>
  </si>
  <si>
    <t>INE192A01025</t>
  </si>
  <si>
    <t>TATA Consumer Products Ltd</t>
  </si>
  <si>
    <t>Agricultural Food &amp; Other Products</t>
  </si>
  <si>
    <t>INE131B01039</t>
  </si>
  <si>
    <t>Relaxo Footwears Ltd</t>
  </si>
  <si>
    <t>INE387A01021</t>
  </si>
  <si>
    <t>Sundram Fasteners Ltd</t>
  </si>
  <si>
    <t>INE280A01028</t>
  </si>
  <si>
    <t>Titan Company Ltd</t>
  </si>
  <si>
    <t>INE388Y01029</t>
  </si>
  <si>
    <t>FSN E–Commerce Ventures Ltd(NYKAA)</t>
  </si>
  <si>
    <t>INE775A01035</t>
  </si>
  <si>
    <t>Samvardhana Motherson International Ltd</t>
  </si>
  <si>
    <t>INE883A01011</t>
  </si>
  <si>
    <t>MRF Ltd</t>
  </si>
  <si>
    <t>Sundaram Emerging Small Cap Series I</t>
  </si>
  <si>
    <t>INE988K01017</t>
  </si>
  <si>
    <t>Equitas Holdings Ltd</t>
  </si>
  <si>
    <t>INE429E01023</t>
  </si>
  <si>
    <t>Safari Industries (India) Ltd</t>
  </si>
  <si>
    <t>INE00WC01027</t>
  </si>
  <si>
    <t>Affle (India) Ltd</t>
  </si>
  <si>
    <t>INE348B01021</t>
  </si>
  <si>
    <t>Century Plyboards (India) Ltd</t>
  </si>
  <si>
    <t>INE477A01020</t>
  </si>
  <si>
    <t>Can Fin Homes Ltd</t>
  </si>
  <si>
    <t>INE864I01014</t>
  </si>
  <si>
    <t>MTAR Technologies Ltd</t>
  </si>
  <si>
    <t>INE274F01020</t>
  </si>
  <si>
    <t>Westlife Development Ltd</t>
  </si>
  <si>
    <t>INE481N01025</t>
  </si>
  <si>
    <t>Home First Finance Company Ltd</t>
  </si>
  <si>
    <t>INE136B01020</t>
  </si>
  <si>
    <t>Cyient Ltd</t>
  </si>
  <si>
    <t>INE00IN01015</t>
  </si>
  <si>
    <t>Stove Kraft Ltd</t>
  </si>
  <si>
    <t>INE120A01034</t>
  </si>
  <si>
    <t>Carborundum Universal Ltd</t>
  </si>
  <si>
    <t>INE285J01028</t>
  </si>
  <si>
    <t>SIS Ltd</t>
  </si>
  <si>
    <t>INE442H01029</t>
  </si>
  <si>
    <t>Ashoka Buildcon Ltd</t>
  </si>
  <si>
    <t>INE741K01010</t>
  </si>
  <si>
    <t>Creditaccess Grameen Ltd</t>
  </si>
  <si>
    <t>INE02A801020</t>
  </si>
  <si>
    <t>Rossari Biotech Ltd</t>
  </si>
  <si>
    <t>INE873D01024</t>
  </si>
  <si>
    <t>Indoco Remedies Ltd</t>
  </si>
  <si>
    <t>INE296E01026</t>
  </si>
  <si>
    <t>Rajapalayam Mills Ltd</t>
  </si>
  <si>
    <t>INE472A01039</t>
  </si>
  <si>
    <t>Blue Star Ltd</t>
  </si>
  <si>
    <t>INE075I01017</t>
  </si>
  <si>
    <t>Healthcare Global Enterprises Ltd</t>
  </si>
  <si>
    <t>INE220B01022</t>
  </si>
  <si>
    <t>Kalpataru Power Transmission Ltd</t>
  </si>
  <si>
    <t>INE421D01022</t>
  </si>
  <si>
    <t>CCL Products (India) Ltd</t>
  </si>
  <si>
    <t>INE056C01010</t>
  </si>
  <si>
    <t>Tata Metaliks Ltd</t>
  </si>
  <si>
    <t>INE782A01015</t>
  </si>
  <si>
    <t>Johnson Controls-Hitachi AirConditioning India Ltd</t>
  </si>
  <si>
    <t>INE227C01017</t>
  </si>
  <si>
    <t>MM Forgings Ltd</t>
  </si>
  <si>
    <t>INE199A01012</t>
  </si>
  <si>
    <t>Procter &amp; Gamble Health Ltd</t>
  </si>
  <si>
    <t>INE0H5O01029</t>
  </si>
  <si>
    <t>Windlas Biotech Ltd</t>
  </si>
  <si>
    <t>INE934S01014</t>
  </si>
  <si>
    <t>GNA Axles Ltd</t>
  </si>
  <si>
    <t>INE0JS101016</t>
  </si>
  <si>
    <t>Dreamfolks Services Ltd</t>
  </si>
  <si>
    <t>INE679A01013</t>
  </si>
  <si>
    <t>CSB Bank Ltd</t>
  </si>
  <si>
    <t>Sundaram Emerging Small Cap Series II</t>
  </si>
  <si>
    <t>INE045A01017</t>
  </si>
  <si>
    <t>Ador Welding Ltd</t>
  </si>
  <si>
    <t>INE745G01035</t>
  </si>
  <si>
    <t>Multi Commodity Exchange of India Ltd</t>
  </si>
  <si>
    <t>INE572A01028</t>
  </si>
  <si>
    <t>JB Chemicals &amp; Pharmaceuticals Ltd</t>
  </si>
  <si>
    <t>INE717A01029</t>
  </si>
  <si>
    <t>Kennametal India Ltd</t>
  </si>
  <si>
    <t>INE978A01027</t>
  </si>
  <si>
    <t>Heritage Foods Ltd</t>
  </si>
  <si>
    <t>INE043D01016</t>
  </si>
  <si>
    <t>IDFC Ltd</t>
  </si>
  <si>
    <t>INE060A01024</t>
  </si>
  <si>
    <t>Navneet Education Ltd</t>
  </si>
  <si>
    <t>Printing &amp; Publication</t>
  </si>
  <si>
    <t>INE834I01025</t>
  </si>
  <si>
    <t>Khadim India Ltd</t>
  </si>
  <si>
    <t>INE565V01010</t>
  </si>
  <si>
    <t>Valiant Organics Ltd</t>
  </si>
  <si>
    <t>Sundaram Emerging Small Cap Series III</t>
  </si>
  <si>
    <t>INE211B01039</t>
  </si>
  <si>
    <t>The Phoenix Mills Ltd</t>
  </si>
  <si>
    <t>INE04I401011</t>
  </si>
  <si>
    <t>KPIT Technologies Ltd</t>
  </si>
  <si>
    <t>INE126A01031</t>
  </si>
  <si>
    <t>EID Parry India Ltd</t>
  </si>
  <si>
    <t>INE067A01029</t>
  </si>
  <si>
    <t>CG Power and Industrial Solutions Ltd</t>
  </si>
  <si>
    <t>Sundaram Emerging Small Cap Series IV</t>
  </si>
  <si>
    <t>INE688A01022</t>
  </si>
  <si>
    <t>Transport Corporation of India Ltd</t>
  </si>
  <si>
    <t>Sundaram Emerging Small Cap Series V</t>
  </si>
  <si>
    <t>Sundaram Emerging Small Cap Series VI</t>
  </si>
  <si>
    <t>Sundaram Emerging Small Cap Series VII</t>
  </si>
  <si>
    <t>INE435A01028</t>
  </si>
  <si>
    <t>International Paper APPM Ltd</t>
  </si>
  <si>
    <t>Paper, Forest &amp; Jute Products</t>
  </si>
  <si>
    <t>INE058A01010</t>
  </si>
  <si>
    <t>Sanofi India Ltd</t>
  </si>
  <si>
    <t>INE716A01013</t>
  </si>
  <si>
    <t>Whirlpool of India Ltd</t>
  </si>
  <si>
    <t>INE586B01026</t>
  </si>
  <si>
    <t>Taj GVK Hotels &amp; Resorts Ltd</t>
  </si>
  <si>
    <t>INE517F01014</t>
  </si>
  <si>
    <t>Gujarat Pipavav Port Ltd</t>
  </si>
  <si>
    <t>INE182A01018</t>
  </si>
  <si>
    <t>Pfizer Ltd</t>
  </si>
  <si>
    <t>Sundaram Long Term Tax Advantage Fund Series III</t>
  </si>
  <si>
    <t>Sundaram Long Term Tax Advantage Fund Series IV</t>
  </si>
  <si>
    <t>Sundaram Long Term Tax Advantage Fund Series-I</t>
  </si>
  <si>
    <t>INE647O01011</t>
  </si>
  <si>
    <t>Aditya Birla Fashion and Retail Ltd</t>
  </si>
  <si>
    <t>INE059A01026</t>
  </si>
  <si>
    <t>Cipla Ltd</t>
  </si>
  <si>
    <t>INE340A01012</t>
  </si>
  <si>
    <t>Birla Corporation Ltd</t>
  </si>
  <si>
    <t>Sundaram Long Term Tax Advantage Fund Series-II</t>
  </si>
  <si>
    <t>Sundaram Long Term Micro Cap Tax Advantage Fund Series III</t>
  </si>
  <si>
    <t>INE386C01029</t>
  </si>
  <si>
    <t>Astra Microwave Products Ltd</t>
  </si>
  <si>
    <t>INE884B01025</t>
  </si>
  <si>
    <t>Kirloskar Ferrous Ind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</si>
  <si>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</si>
  <si>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</si>
  <si>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</si>
  <si>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</si>
  <si>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</si>
  <si>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</si>
  <si>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INE596I01012</t>
  </si>
  <si>
    <t>Computer Age Management Services Ltd</t>
  </si>
  <si>
    <t>INE136S01016</t>
  </si>
  <si>
    <t>Neogen Chemicals Ltd</t>
  </si>
  <si>
    <t>INE725G01011</t>
  </si>
  <si>
    <t>ICRA Ltd</t>
  </si>
  <si>
    <t>INE098F01031</t>
  </si>
  <si>
    <t>Amrutanjan Health Care Ltd</t>
  </si>
  <si>
    <t>INE743M01012</t>
  </si>
  <si>
    <t>RHI Magnesita India Ltd</t>
  </si>
  <si>
    <t>INE094J01016</t>
  </si>
  <si>
    <t>UTI Asset Management Co Ltd</t>
  </si>
  <si>
    <t>INE0BV301023</t>
  </si>
  <si>
    <t>CE Info Systems Private Limited</t>
  </si>
  <si>
    <t>IN9155A01020</t>
  </si>
  <si>
    <t>INE836A01035</t>
  </si>
  <si>
    <t>Birlasoft Ltd</t>
  </si>
  <si>
    <t>INE142Z01019</t>
  </si>
  <si>
    <t>Orient Electric Ltd</t>
  </si>
  <si>
    <t>INE03QK01018</t>
  </si>
  <si>
    <t>Suven Pharmaceuticals Ltd</t>
  </si>
  <si>
    <t>INE451A01017</t>
  </si>
  <si>
    <t>Force Motors Ltd</t>
  </si>
  <si>
    <t>INE295F01017</t>
  </si>
  <si>
    <t>Butterfly Gandhimathi Appliances Ltd</t>
  </si>
  <si>
    <t>INE768C01010</t>
  </si>
  <si>
    <t>Zydus Wellness Ltd</t>
  </si>
  <si>
    <t>INE736A01011</t>
  </si>
  <si>
    <t>Central Depository Services (India) Ltd</t>
  </si>
  <si>
    <t>INE325A01013</t>
  </si>
  <si>
    <t>Timken India Ltd</t>
  </si>
  <si>
    <t>INE287B01021</t>
  </si>
  <si>
    <t>Subros Ltd</t>
  </si>
  <si>
    <t>INE0BJS01011</t>
  </si>
  <si>
    <t>Go Fashion (India ) Ltd</t>
  </si>
  <si>
    <t>INE739E01017</t>
  </si>
  <si>
    <t>Cera Sanitaryware Ltd</t>
  </si>
  <si>
    <t>INE00F201020</t>
  </si>
  <si>
    <t>Prudent Corporate Advisory Services Ltd</t>
  </si>
  <si>
    <t>INE054A01027</t>
  </si>
  <si>
    <t>VIP Industries Ltd</t>
  </si>
  <si>
    <t>INE119A01028</t>
  </si>
  <si>
    <t>Balrampur Chini Mills Ltd</t>
  </si>
  <si>
    <t>INE177F01017</t>
  </si>
  <si>
    <t>Kovai Medical Center &amp; Hospital Ltd</t>
  </si>
  <si>
    <t>INE930H01031</t>
  </si>
  <si>
    <t>K.P.R. Mill Ltd</t>
  </si>
  <si>
    <t>INE450U01017</t>
  </si>
  <si>
    <t>Route Mobile Ltd</t>
  </si>
  <si>
    <t>INE670A01012</t>
  </si>
  <si>
    <t>Tata Elxsi Ltd</t>
  </si>
  <si>
    <t>INE825V01034</t>
  </si>
  <si>
    <t>Vedant Fashions Ltd</t>
  </si>
  <si>
    <t>INE544R01021</t>
  </si>
  <si>
    <t>Greenlam Industries Ltd</t>
  </si>
  <si>
    <t>INE021A01026</t>
  </si>
  <si>
    <t>Asian Paints Ltd</t>
  </si>
  <si>
    <t>INE406A01037</t>
  </si>
  <si>
    <t>Aurobindo Pharma Ltd</t>
  </si>
  <si>
    <t>INE010B01027</t>
  </si>
  <si>
    <t>Zydus Lifesciences Ltd</t>
  </si>
  <si>
    <t>INE498L01015</t>
  </si>
  <si>
    <t>L&amp;T Finance Holdings Ltd</t>
  </si>
  <si>
    <t>Stock Future</t>
  </si>
  <si>
    <t>IN002022Y096</t>
  </si>
  <si>
    <t>Sovereign</t>
  </si>
  <si>
    <t>IN002021Z434</t>
  </si>
  <si>
    <t>INF173K01GU0</t>
  </si>
  <si>
    <t>Margin Money For Derivatives</t>
  </si>
  <si>
    <t>Sundaram Dividend Yield Fund</t>
  </si>
  <si>
    <t>INE212H01026</t>
  </si>
  <si>
    <t>AIA Engineering Ltd</t>
  </si>
  <si>
    <t>INE917I01010</t>
  </si>
  <si>
    <t>Bajaj Auto Ltd</t>
  </si>
  <si>
    <t>INE066A01021</t>
  </si>
  <si>
    <t>Eicher Motors Ltd</t>
  </si>
  <si>
    <t>INE710A01016</t>
  </si>
  <si>
    <t>VST Industries Ltd</t>
  </si>
  <si>
    <t>Cigarettes &amp; Tobacco Products</t>
  </si>
  <si>
    <t>INE916U01025</t>
  </si>
  <si>
    <t>Sheela Foam Ltd</t>
  </si>
  <si>
    <t>INE216A01030</t>
  </si>
  <si>
    <t>Britannia Industries Ltd</t>
  </si>
  <si>
    <t>INE267A01025</t>
  </si>
  <si>
    <t>Hindustan Zinc Ltd</t>
  </si>
  <si>
    <t>INE482A01020</t>
  </si>
  <si>
    <t>Ceat Ltd</t>
  </si>
  <si>
    <t>IDIA00069480</t>
  </si>
  <si>
    <t>INE759J01022</t>
  </si>
  <si>
    <t>INE02CF01010</t>
  </si>
  <si>
    <t>IDIA00069477</t>
  </si>
  <si>
    <t>INE216A08027</t>
  </si>
  <si>
    <t>Britannia Industries Ltd - 5.5% - 03/06/2024**</t>
  </si>
  <si>
    <t>CRISIL AAA</t>
  </si>
  <si>
    <t>** Thinly traded / Non Traded Securities</t>
  </si>
  <si>
    <t>Sundaram Equity Savings Fund</t>
  </si>
  <si>
    <t>INE02YR01019</t>
  </si>
  <si>
    <t>Eletroncis Mart India Ltd</t>
  </si>
  <si>
    <t>INE854D01024</t>
  </si>
  <si>
    <t>United Spirits Ltd</t>
  </si>
  <si>
    <t>INE227W01023</t>
  </si>
  <si>
    <t>Clean Science &amp; Technology Ltd</t>
  </si>
  <si>
    <t>INE646L01027</t>
  </si>
  <si>
    <t>Interglobe Aviation Ltd</t>
  </si>
  <si>
    <t>INE205A01025</t>
  </si>
  <si>
    <t>Vedanta Ltd</t>
  </si>
  <si>
    <t>Diversified Metals</t>
  </si>
  <si>
    <t>INE765G01017</t>
  </si>
  <si>
    <t>ICICI Lombard General Insurance Company Ltd</t>
  </si>
  <si>
    <t>INE795G01014</t>
  </si>
  <si>
    <t>HDFC Life Insurance Company Ltd</t>
  </si>
  <si>
    <t>INE115A07OV2</t>
  </si>
  <si>
    <t>LIC Housing Finance Ltd - 5.45% - 25/08/2023</t>
  </si>
  <si>
    <t>CARE AAA</t>
  </si>
  <si>
    <t>INE020B08AT3</t>
  </si>
  <si>
    <t>REC Ltd - 7.99% - 23/02/2023**</t>
  </si>
  <si>
    <t>INE053F07BB3</t>
  </si>
  <si>
    <t>Indian Railway Finance Corporation Ltd - 8.25% - 28/02/2024**</t>
  </si>
  <si>
    <t>INE733E07JD2</t>
  </si>
  <si>
    <t>NTPC Ltd - 8.8% - 04/04/2023**</t>
  </si>
  <si>
    <t>INE020B08CG6</t>
  </si>
  <si>
    <t>REC Ltd - 7.24% - 31/12/2022**</t>
  </si>
  <si>
    <t>INE261F08CA0</t>
  </si>
  <si>
    <t>National Bank for Agricultural &amp; Rural Development - 6.4% - 31/07/2023</t>
  </si>
  <si>
    <t>ICRA AAA</t>
  </si>
  <si>
    <t>IN0020200112</t>
  </si>
  <si>
    <t>5.22% Central Government Securities 15/06/2025</t>
  </si>
  <si>
    <t>IN0020200278</t>
  </si>
  <si>
    <t>5.15% Central Government Securities 09/11/2025</t>
  </si>
  <si>
    <t>IN2220150022</t>
  </si>
  <si>
    <t>8.14% Maharashtra State Development Loan 27/05/2025</t>
  </si>
  <si>
    <t>IN0020190396</t>
  </si>
  <si>
    <t>6.18% Central Government Securities 04/11/2024</t>
  </si>
  <si>
    <t>IN002021Z442</t>
  </si>
  <si>
    <t>IN002022Y112</t>
  </si>
  <si>
    <t>Sundaram Multi Cap Fund</t>
  </si>
  <si>
    <t>INE470A01017</t>
  </si>
  <si>
    <t>3M India Ltd</t>
  </si>
  <si>
    <t>Diversified</t>
  </si>
  <si>
    <t>INE852S01026</t>
  </si>
  <si>
    <t>Entertainment And Electronic Media</t>
  </si>
  <si>
    <t>INE147E01013</t>
  </si>
  <si>
    <t>INE604A01011</t>
  </si>
  <si>
    <t>IDIA00069359</t>
  </si>
  <si>
    <t>IDIA00069356</t>
  </si>
  <si>
    <t>INE348C01011</t>
  </si>
  <si>
    <t>INE431E01011</t>
  </si>
  <si>
    <t>Healthcare Equipment &amp; Supplies</t>
  </si>
  <si>
    <t>INE406B01019</t>
  </si>
  <si>
    <t>INE522F01014</t>
  </si>
  <si>
    <t>Coal India Ltd</t>
  </si>
  <si>
    <t>Consumable Fuels</t>
  </si>
  <si>
    <t>INE127D01025</t>
  </si>
  <si>
    <t>HDFC Asset Management Company Ltd</t>
  </si>
  <si>
    <t>INE271C01023</t>
  </si>
  <si>
    <t>DLF Ltd</t>
  </si>
  <si>
    <t>INE066F01012</t>
  </si>
  <si>
    <t>Hindustan Aeronautics Ltd</t>
  </si>
  <si>
    <t>INE239A01016</t>
  </si>
  <si>
    <t>Nestle India Ltd</t>
  </si>
  <si>
    <t>INE335Y01020</t>
  </si>
  <si>
    <t>Indian Railway Catering &amp; Tourism Corporation Ltd</t>
  </si>
  <si>
    <t>INE628A01036</t>
  </si>
  <si>
    <t>UPL Ltd</t>
  </si>
  <si>
    <t>INE685A01028</t>
  </si>
  <si>
    <t>Torrent Pharmaceuticals Ltd</t>
  </si>
  <si>
    <t>INE758T01015</t>
  </si>
  <si>
    <t>Zomato Ltd</t>
  </si>
  <si>
    <t>INE399L01023</t>
  </si>
  <si>
    <t>Adani Total Gas Ltd</t>
  </si>
  <si>
    <t>INE019A01038</t>
  </si>
  <si>
    <t>JSW Steel Ltd</t>
  </si>
  <si>
    <t>INE089A01023</t>
  </si>
  <si>
    <t>Dr. Reddys Laboratories Ltd</t>
  </si>
  <si>
    <t>INE214T01019</t>
  </si>
  <si>
    <t>Larsen &amp; Toubro Infotech Ltd</t>
  </si>
  <si>
    <t>INE129A01019</t>
  </si>
  <si>
    <t>GAIL (India) Ltd</t>
  </si>
  <si>
    <t>INE323A01026</t>
  </si>
  <si>
    <t>Bosch Ltd</t>
  </si>
  <si>
    <t>INE259A01022</t>
  </si>
  <si>
    <t>Colgate Palmolive (India) Ltd</t>
  </si>
  <si>
    <t>INE047A01021</t>
  </si>
  <si>
    <t>Grasim Industries Ltd</t>
  </si>
  <si>
    <t>INE012A01025</t>
  </si>
  <si>
    <t>ACC Ltd</t>
  </si>
  <si>
    <t>INE414G01012</t>
  </si>
  <si>
    <t>Muthoot Finance Ltd</t>
  </si>
  <si>
    <t>INE242A01010</t>
  </si>
  <si>
    <t>Indian Oil Corporation Ltd</t>
  </si>
  <si>
    <t>INE158A01026</t>
  </si>
  <si>
    <t>Hero MotoCorp Ltd</t>
  </si>
  <si>
    <t>INE663F01024</t>
  </si>
  <si>
    <t>Info Edge (India) Ltd</t>
  </si>
  <si>
    <t>INE364U01010</t>
  </si>
  <si>
    <t>Adani Green Energy Ltd</t>
  </si>
  <si>
    <t>INE118A01012</t>
  </si>
  <si>
    <t>Bajaj Holdings &amp; Investment Ltd</t>
  </si>
  <si>
    <t>INE016A01026</t>
  </si>
  <si>
    <t>Dabur India Ltd</t>
  </si>
  <si>
    <t>INE121J01017</t>
  </si>
  <si>
    <t>Indus Towers Ltd (Prev Bharti Infratel Ltd)</t>
  </si>
  <si>
    <t>INE179A01014</t>
  </si>
  <si>
    <t>Procter &amp; Gamble Hygiene and Health Care Ltd</t>
  </si>
  <si>
    <t>INE196A01026</t>
  </si>
  <si>
    <t>Marico Ltd</t>
  </si>
  <si>
    <t>INE423A01024</t>
  </si>
  <si>
    <t>Adani Enterprises</t>
  </si>
  <si>
    <t>Metals &amp; Minerals Trading</t>
  </si>
  <si>
    <t>INE982J01020</t>
  </si>
  <si>
    <t>One 97 Communications Ltd</t>
  </si>
  <si>
    <t>Financial Technology (Fintech)</t>
  </si>
  <si>
    <t>INE931S01010</t>
  </si>
  <si>
    <t>Adani Transmission Ltd</t>
  </si>
  <si>
    <t>INE376G01013</t>
  </si>
  <si>
    <t>Biocon Ltd</t>
  </si>
  <si>
    <t>INE0J1Y01017</t>
  </si>
  <si>
    <t>LIC of India Ltd</t>
  </si>
  <si>
    <t>INE726G01019</t>
  </si>
  <si>
    <t>ICICI Prudential Life Insurance Company Ltd</t>
  </si>
  <si>
    <t>INE102D01028</t>
  </si>
  <si>
    <t>Godrej Consumer Products Ltd</t>
  </si>
  <si>
    <t>INE463A01038</t>
  </si>
  <si>
    <t>Berger Paints (I) Ltd</t>
  </si>
  <si>
    <t>INE176B01034</t>
  </si>
  <si>
    <t>Havells India Ltd</t>
  </si>
  <si>
    <t>INE318A01026</t>
  </si>
  <si>
    <t>Pidilite Industries Ltd</t>
  </si>
  <si>
    <t>INE018E01016</t>
  </si>
  <si>
    <t>SBI Cards and Payment Services Ltd</t>
  </si>
  <si>
    <t>INE545U01014</t>
  </si>
  <si>
    <t>Bandhan Bank Ltd</t>
  </si>
  <si>
    <t>INEDUMMYYESB</t>
  </si>
  <si>
    <t>INE591G01017</t>
  </si>
  <si>
    <t>Coforge Ltd</t>
  </si>
  <si>
    <t>Sundaram Consumption Fund</t>
  </si>
  <si>
    <t>INE872J01023</t>
  </si>
  <si>
    <t>Devyani international limited</t>
  </si>
  <si>
    <t>INE355A01028</t>
  </si>
  <si>
    <t>Somany Ceramics Ltd</t>
  </si>
  <si>
    <t>Sundaram Services Fund</t>
  </si>
  <si>
    <t>INE191H01014</t>
  </si>
  <si>
    <t>PVR Ltd</t>
  </si>
  <si>
    <t>INE112L01020</t>
  </si>
  <si>
    <t>Metropolis Healthcare Ltd</t>
  </si>
  <si>
    <t>MU0295S00016</t>
  </si>
  <si>
    <t>Make My Trip Ltd (USD)</t>
  </si>
  <si>
    <t>Sundaram Diversified Equity</t>
  </si>
  <si>
    <t>Sundaram Large Cap Fund</t>
  </si>
  <si>
    <t>Sundaram Flexi Cap Fund</t>
  </si>
  <si>
    <t>Sundaram Financial Services Opportunities Fund</t>
  </si>
  <si>
    <t>Institutional Plan - Growth</t>
  </si>
  <si>
    <t>Sundaram Aggressive Hybrid Fund</t>
  </si>
  <si>
    <t>INE134E08KO6</t>
  </si>
  <si>
    <t>Power Finance Corporation Ltd - 6.83% - 24/04/2023**</t>
  </si>
  <si>
    <t>INE020B08DR1</t>
  </si>
  <si>
    <t>REC Ltd - 5.74% - 20/06/2024</t>
  </si>
  <si>
    <t>INE028A08158</t>
  </si>
  <si>
    <t>IND AAA</t>
  </si>
  <si>
    <t>INE557F08FG1</t>
  </si>
  <si>
    <t>National Housing Bank  - 7.05% - 18/12/2024**</t>
  </si>
  <si>
    <t>INE001A07SG6</t>
  </si>
  <si>
    <t>Housing Development Finance Corporation Ltd - 7.35% - 10/02/2025**</t>
  </si>
  <si>
    <t>INE134E08KD9</t>
  </si>
  <si>
    <t>Power Finance Corporation Ltd - 8.1% - 04/06/2024**</t>
  </si>
  <si>
    <t>INE261F08BK1</t>
  </si>
  <si>
    <t>National Bank for Agricultural &amp; Rural Development - 7.69% - 29/05/2024**</t>
  </si>
  <si>
    <t>INE018A08BA7</t>
  </si>
  <si>
    <t>Larsen &amp; Toubro Ltd - 7.7% - 28/04/2025**</t>
  </si>
  <si>
    <t>INE115A07OJ7</t>
  </si>
  <si>
    <t>LIC Housing Finance Ltd - 7.445% - 13/01/2023**</t>
  </si>
  <si>
    <t>INE115A07PC9</t>
  </si>
  <si>
    <t>LIC Housing Finance Ltd - 5.35% - 20/03/2023</t>
  </si>
  <si>
    <t>INE261F08DI1</t>
  </si>
  <si>
    <t>National Bank for Agricultural &amp; Rural Development - 5.23% - 31/01/2025**</t>
  </si>
  <si>
    <t>INE090A08TU6</t>
  </si>
  <si>
    <t>ICICI Bank Ltd - 7.6% - 07/10/2023</t>
  </si>
  <si>
    <t>INE261F08AT4</t>
  </si>
  <si>
    <t>National Bank for Agricultural &amp; Rural Development - 8.5% - 31/01/2023</t>
  </si>
  <si>
    <t>INE557F08FI7</t>
  </si>
  <si>
    <t>National Housing Bank  - 6.55% - 17/04/2023**</t>
  </si>
  <si>
    <t>INE261F08DF7</t>
  </si>
  <si>
    <t>National Bank for Agricultural &amp; Rural Development - 5.27% - 23/07/2024**</t>
  </si>
  <si>
    <t>INE895D07487</t>
  </si>
  <si>
    <t>Tata Sons Pvt Ltd - 9.3% - 19/06/2024**</t>
  </si>
  <si>
    <t>IN0020220052</t>
  </si>
  <si>
    <t>6.69% Central Government Securities 27/06/2024</t>
  </si>
  <si>
    <t>IN0020220060</t>
  </si>
  <si>
    <t xml:space="preserve">7.26% Central Government Securities 22/08/2032 </t>
  </si>
  <si>
    <t>IN0020210186</t>
  </si>
  <si>
    <t>5.74% Central Government Securities 15/11/2026</t>
  </si>
  <si>
    <t>IN0020210160</t>
  </si>
  <si>
    <t>IN0020210244</t>
  </si>
  <si>
    <t>6.54% Central Government Securities 17/01/2032</t>
  </si>
  <si>
    <t>IN0020130012</t>
  </si>
  <si>
    <t>7.16% Central Government Securities 20/05/2023</t>
  </si>
  <si>
    <t>IN0020220037</t>
  </si>
  <si>
    <t>7.38% Central Government Securities 20/06/2027</t>
  </si>
  <si>
    <t>IN0020160050</t>
  </si>
  <si>
    <t xml:space="preserve">6.84% Central Government Securities 19/12/2022 </t>
  </si>
  <si>
    <t>IN2220150030</t>
  </si>
  <si>
    <t>8.25% Maharashtra State Development Loan 10/06/2025</t>
  </si>
  <si>
    <t>IN1920140119</t>
  </si>
  <si>
    <t>8.08% Karnataka State Development Loan 11/03/2025</t>
  </si>
  <si>
    <t>IN2220140205</t>
  </si>
  <si>
    <t>8.06% Maharashtra State Development Loan 11/02/2025</t>
  </si>
  <si>
    <t>INE040A16DL7</t>
  </si>
  <si>
    <t>HDFC Bank Ltd - 16/01/2023</t>
  </si>
  <si>
    <t>IND A1+</t>
  </si>
  <si>
    <t>INE028A16CO8</t>
  </si>
  <si>
    <t>Bank of Baroda - 14/02/2023**</t>
  </si>
  <si>
    <t>INE028A16CW1</t>
  </si>
  <si>
    <t>Bank of Baroda - 05/05/2023**</t>
  </si>
  <si>
    <t>INE028A16CT7</t>
  </si>
  <si>
    <t>Bank of Baroda - 17/08/2023**</t>
  </si>
  <si>
    <t>INE476A16TV8</t>
  </si>
  <si>
    <t>Canara Bank - 18/08/2023**</t>
  </si>
  <si>
    <t>CRISIL A1+</t>
  </si>
  <si>
    <t>INE556F16994</t>
  </si>
  <si>
    <t>Small Industries Development Bank of India - 01/09/2023**</t>
  </si>
  <si>
    <t>INE062A16465</t>
  </si>
  <si>
    <t>State Bank of India - 12/09/2023**</t>
  </si>
  <si>
    <t>INE001A14YV9</t>
  </si>
  <si>
    <t>Housing Development Finance Corporation Ltd - 17/05/2023**</t>
  </si>
  <si>
    <t>IN002021Z426</t>
  </si>
  <si>
    <t>364 Days - T Bill - 05/01/2023</t>
  </si>
  <si>
    <t>IN002021Z368</t>
  </si>
  <si>
    <t>364 Days - T Bill - 01/12/2022</t>
  </si>
  <si>
    <t>Cash and Other Net Current Assets^</t>
  </si>
  <si>
    <t>**Non Traded Securities</t>
  </si>
  <si>
    <t>^ Net current assets includes interest accrued on fixed income securities</t>
  </si>
  <si>
    <t>Individual &amp; HUF</t>
  </si>
  <si>
    <t>Others</t>
  </si>
  <si>
    <t>Sundaram Balanced Advantage Fund</t>
  </si>
  <si>
    <t>INE148I01020</t>
  </si>
  <si>
    <t>Indiabulls Housing Finance Ltd</t>
  </si>
  <si>
    <t>Index Future</t>
  </si>
  <si>
    <t>INE094A08085</t>
  </si>
  <si>
    <t>Hindustan Petroleum Corporation Ltd - 4.79% - 23/10/2023**</t>
  </si>
  <si>
    <t>INE115A07OH1</t>
  </si>
  <si>
    <t>LIC Housing Finance Ltd - 7.6% - 22/11/2022**</t>
  </si>
  <si>
    <t>INE001A07SH4</t>
  </si>
  <si>
    <t>Housing Development Finance Corporation Ltd - 6.99% - 13/02/2023**</t>
  </si>
  <si>
    <t>INE020B08CN2</t>
  </si>
  <si>
    <t>REC Ltd - 6.8% - 30/06/2023**</t>
  </si>
  <si>
    <t>INE261F08BW6</t>
  </si>
  <si>
    <t>National Bank for Agricultural &amp; Rural Development - 6.72% - 14/04/2023**</t>
  </si>
  <si>
    <t>INE020B08DC3</t>
  </si>
  <si>
    <t>REC Ltd - 5.69% - 30/09/2023**</t>
  </si>
  <si>
    <t>INE134E08KJ6</t>
  </si>
  <si>
    <t>Power Finance Corporation Ltd - 7.04% - 14/04/2023**</t>
  </si>
  <si>
    <t>INE053F07BZ2</t>
  </si>
  <si>
    <t>Indian Railway Finance Corporation Ltd - 6.59% - 14/04/2023**</t>
  </si>
  <si>
    <t>INE242A08460</t>
  </si>
  <si>
    <t>Indian Oil Corporation Ltd - 5.05% - 25/11/2022**</t>
  </si>
  <si>
    <t>IN0020210046</t>
  </si>
  <si>
    <t>4.26% Central Government Securities 17/05/2023</t>
  </si>
  <si>
    <t>INE040A16DG7</t>
  </si>
  <si>
    <t>HDFC Bank Ltd - 13/04/2023**</t>
  </si>
  <si>
    <t>S.NO.</t>
  </si>
  <si>
    <t>ACRONYM</t>
  </si>
  <si>
    <t>SCHEME NAME</t>
  </si>
  <si>
    <t>CAPEXG</t>
  </si>
  <si>
    <t>MIDCAP</t>
  </si>
  <si>
    <t>MULTI1</t>
  </si>
  <si>
    <t>MULTI2</t>
  </si>
  <si>
    <t>Sundaram Multi Cap Fund Series II</t>
  </si>
  <si>
    <t>MULTIP</t>
  </si>
  <si>
    <t>Sundaram  Large And Mid Cap Fund</t>
  </si>
  <si>
    <t>SESCAP1</t>
  </si>
  <si>
    <t>SESCAP2</t>
  </si>
  <si>
    <t>SESCAP3</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</si>
  <si>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</si>
  <si>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</si>
  <si>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</si>
  <si>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</si>
  <si>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</si>
  <si>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</si>
  <si>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</si>
  <si>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</si>
  <si>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</si>
  <si>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</si>
  <si>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</si>
  <si>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</si>
  <si>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</si>
  <si>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</si>
  <si>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</si>
  <si>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</si>
  <si>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</si>
  <si>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</si>
  <si>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</si>
  <si>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</si>
  <si>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</si>
  <si>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</si>
  <si>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</si>
  <si>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</si>
  <si>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</si>
  <si>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</si>
  <si>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</si>
  <si>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 xml:space="preserve">Sundaram Smart Nifty 100 Equal Weight Fund </t>
  </si>
  <si>
    <t>SPTAX</t>
  </si>
  <si>
    <t>SRURAL</t>
  </si>
  <si>
    <t>SSFUND</t>
  </si>
  <si>
    <t>STAX</t>
  </si>
  <si>
    <t>SUNBCF</t>
  </si>
  <si>
    <t>SUNFCF</t>
  </si>
  <si>
    <t>SUNFOP</t>
  </si>
  <si>
    <t>GLOB</t>
  </si>
  <si>
    <t>Sundaram Global Brand Fund</t>
  </si>
  <si>
    <t>S.NO</t>
  </si>
  <si>
    <t>ISIN CODE</t>
  </si>
  <si>
    <t>Name of the Instrument</t>
  </si>
  <si>
    <t>Industry/ Rating</t>
  </si>
  <si>
    <t>YTM (%)</t>
  </si>
  <si>
    <t>A) Investments in Foreign Securities - Units of Mutual Funds</t>
  </si>
  <si>
    <t>SG9999013908</t>
  </si>
  <si>
    <t>SUNDARAM GLOBAL BRAND FUND -MASTER CLASS (Singapore)</t>
  </si>
  <si>
    <t>Mutual Funds</t>
  </si>
  <si>
    <t>Total for Investments in Foreign Securities - Units of Mutual Funds</t>
  </si>
  <si>
    <t>B) Money Market Investments</t>
  </si>
  <si>
    <t>ReverseRepo / TREPS</t>
  </si>
  <si>
    <t>Cash and Other Net Curent Assets</t>
  </si>
  <si>
    <t>a) Total securities below investment grade or default  - Nil</t>
  </si>
  <si>
    <t>b) Total value and percentage of illiquid equity shares - Nil</t>
  </si>
  <si>
    <t>Options</t>
  </si>
  <si>
    <t>d) IDCW declared during the period (Rupees per unit) - Nil</t>
  </si>
  <si>
    <t>e) Total outstanding exposure in derivative instrumentsat the end of the period - Nil</t>
  </si>
  <si>
    <t>f) Total investments in foreign securities /ADR'S/GDR'S  at the end of the period - Rs. 10975.74 lacs</t>
  </si>
  <si>
    <t>g) Repo in Corporate Debt - Nil</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</si>
  <si>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</si>
  <si>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</si>
  <si>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L&amp;T Finance Holdings Limited November 2022</t>
  </si>
  <si>
    <t>Zydus Lifesciences Limited November 2022</t>
  </si>
  <si>
    <t>Ambuja Cements Limited November 2022</t>
  </si>
  <si>
    <t>Aurobindo Pharma Limited November 2022</t>
  </si>
  <si>
    <t>Wipro Limited November 2022</t>
  </si>
  <si>
    <t>Siemens Limited November 2022</t>
  </si>
  <si>
    <t>Sun Pharmaceutical Industries Limited November 2022</t>
  </si>
  <si>
    <t>Kotak Mahindra Bank Limited November 2022</t>
  </si>
  <si>
    <t>Asian Paints Limited November 2022</t>
  </si>
  <si>
    <t>ICICI Bank Limited November 2022</t>
  </si>
  <si>
    <t>Maruti Suzuki India Limited November 2022</t>
  </si>
  <si>
    <t>Larsen &amp; Toubro Limited November 2022</t>
  </si>
  <si>
    <t>Axis Bank Limited November 2022</t>
  </si>
  <si>
    <t>Adani Ports &amp; SEZ Limited November 2022</t>
  </si>
  <si>
    <t>Bajaj Finance Limited November 2022</t>
  </si>
  <si>
    <t>Zee Entertainment Enterprises Limited November 2022</t>
  </si>
  <si>
    <t>HDFC Bank Limited November 2022</t>
  </si>
  <si>
    <t>State Bank of India November 2022</t>
  </si>
  <si>
    <t>DLF Limited November 2022</t>
  </si>
  <si>
    <t>Hindustan Petroleum Corporation Limited November 2022</t>
  </si>
  <si>
    <t>Mahindra &amp; Mahindra Limited November 2022</t>
  </si>
  <si>
    <t>Tech Mahindra Limited November 2022</t>
  </si>
  <si>
    <t>Vedanta Limited November 2022</t>
  </si>
  <si>
    <t>Tata Power Company Limited November 2022</t>
  </si>
  <si>
    <t>Jindal Steel &amp; Power Limited November 2022</t>
  </si>
  <si>
    <t>Tata Motors Limited November 2022</t>
  </si>
  <si>
    <t>Indiabulls Housing Finance Limited November 2022</t>
  </si>
  <si>
    <t>Hindustan Unilever Limited November 2022</t>
  </si>
  <si>
    <t>UltraTech Cement Limited November 2022</t>
  </si>
  <si>
    <t>LIC Housing Finance Limited November 2022</t>
  </si>
  <si>
    <t>HDFC Life Insurance Company Limited November 2022</t>
  </si>
  <si>
    <t>United Spirits Limited November 2022</t>
  </si>
  <si>
    <t>Navin Fluorine International Limited November 2022</t>
  </si>
  <si>
    <t>Hindalco Industries Limited November 2022</t>
  </si>
  <si>
    <t>Housing Development Fin Corp Limited November 2022</t>
  </si>
  <si>
    <t>Infosys Limited November 2022</t>
  </si>
  <si>
    <t>Nifty November 2022</t>
  </si>
  <si>
    <t>Divis Labarotories Limited November 2022</t>
  </si>
  <si>
    <t>TATA Consumer Products Limited November 2022</t>
  </si>
  <si>
    <t>Bank of Baroda November 2022</t>
  </si>
  <si>
    <t>Titan Company Limited November 2022</t>
  </si>
  <si>
    <t>TATA Consultancy Services Limited November 2022</t>
  </si>
  <si>
    <t>Ashok Leyland Limited November 2022</t>
  </si>
  <si>
    <t>Tata Steel Limited November 2022</t>
  </si>
  <si>
    <t>Metropolis Healthcare Limited November 2022</t>
  </si>
  <si>
    <t>INE0GGX23010</t>
  </si>
  <si>
    <t>Power Grid Infrastructure Investment Trust (InvIT)</t>
  </si>
  <si>
    <t>Sundaram Liquid Fund - Direct Growth @@</t>
  </si>
  <si>
    <t xml:space="preserve"> @@ Placed as margin for derivatives</t>
  </si>
  <si>
    <t>INE041025011</t>
  </si>
  <si>
    <t>Embassy Office Parks (REIT)</t>
  </si>
  <si>
    <t>INE001A13049</t>
  </si>
  <si>
    <t>Housing Development Finance Corporation Ltd.</t>
  </si>
  <si>
    <t>Hindustan Dorr-Oliver Ltd @</t>
  </si>
  <si>
    <t>Yes Bank Ltd ~</t>
  </si>
  <si>
    <t>~ Any realization beyond the carrying value shall be distributed to the investors existed as on March 13, 2020.</t>
  </si>
  <si>
    <t>873.03 Lacs</t>
  </si>
  <si>
    <t>Tirrihannah Company Ltd @</t>
  </si>
  <si>
    <t>Crystal Cable Industries Ltd @</t>
  </si>
  <si>
    <t>Sandur Laminates Ltd @</t>
  </si>
  <si>
    <t>Minerava Holdings Ltd @</t>
  </si>
  <si>
    <t>Chennai Super Kings Ltd @</t>
  </si>
  <si>
    <t>Virtual Dynamics Software Ltd @</t>
  </si>
  <si>
    <t>b) Total value and percentage of illiquid equity shares @</t>
  </si>
  <si>
    <t>Rs. 19.45 lacs / 0.02%</t>
  </si>
  <si>
    <t>0.00 / #</t>
  </si>
  <si>
    <t>Rs. 1.59 lacs / 0.00%</t>
  </si>
  <si>
    <t>Rs. 5.46 lacs/ 0.02%</t>
  </si>
  <si>
    <t>Crescent Finstock Ltd @</t>
  </si>
  <si>
    <t>Precision Fasteners Ltd @</t>
  </si>
  <si>
    <t>Noble Brothers Impex Ltd @</t>
  </si>
  <si>
    <t>Balmer Lawrie Freight Containers Ltd @</t>
  </si>
  <si>
    <t>Mukerian Papers Ltd @</t>
  </si>
  <si>
    <t>Sangam Health Care Products Ltd @</t>
  </si>
  <si>
    <t>Rs.52.76 lacs / 0.03%</t>
  </si>
  <si>
    <t>Bharti Airtel Ltd - Partly Paid Right Shares</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</si>
  <si>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</si>
  <si>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</si>
  <si>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</si>
  <si>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</si>
  <si>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</si>
  <si>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</si>
  <si>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</si>
  <si>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</si>
  <si>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</si>
  <si>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</si>
  <si>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</si>
  <si>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</si>
  <si>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</si>
  <si>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</si>
  <si>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</si>
  <si>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</si>
  <si>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</si>
  <si>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</si>
  <si>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</si>
  <si>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to AUM as on 31/10/2022</t>
  </si>
  <si>
    <t>k) Exposure to securities classified as below investment grade or default as on October 31, 2022:-</t>
  </si>
  <si>
    <t>Refer below point k)</t>
  </si>
  <si>
    <t>Annexure-A</t>
  </si>
  <si>
    <t>21.50% Dewan Rubber Ltd</t>
  </si>
  <si>
    <t>Not Available</t>
  </si>
  <si>
    <t>Chemox Chemicals Industries</t>
  </si>
  <si>
    <t>i) Exposure to securities classified as below investment grade or default as on October 31, 2022:-</t>
  </si>
  <si>
    <t>Refer below point i)</t>
  </si>
  <si>
    <t>15% Premier Vinyl Ltd</t>
  </si>
  <si>
    <t>18% Jord Engineering Ltd</t>
  </si>
  <si>
    <t>g) Average Maturity - only for Debt portion (years)</t>
  </si>
  <si>
    <t>h) Macaulay Duration - only for Debt portion (years)</t>
  </si>
  <si>
    <t>i) Portfolio Turnover Ratio</t>
  </si>
  <si>
    <t>j) Repo in corporate debt</t>
  </si>
  <si>
    <t>Direct Plan - IDCW</t>
  </si>
  <si>
    <t>Regular Plan - IDCW</t>
  </si>
  <si>
    <t>Tata Motors Ltd - DVR</t>
  </si>
  <si>
    <t>Cash and Other Net Current Assets ^</t>
  </si>
  <si>
    <t>182 Days - T Bill - 01/12/2022*</t>
  </si>
  <si>
    <t>364 Days - T Bill - 12/01/2023*</t>
  </si>
  <si>
    <t xml:space="preserve">* Investment earmarked for Derivative Margin </t>
  </si>
  <si>
    <t>364 Days - T Bill - 05/01/2023*</t>
  </si>
  <si>
    <t>182 Days - T Bill - 15/12/2022*</t>
  </si>
  <si>
    <t>364 Days - T Bill - 19/01/2023*</t>
  </si>
  <si>
    <t>Bank of Baroda - 8.55% - Call Dt 14/02/2024 (Tier II Bond under Basel III)**</t>
  </si>
  <si>
    <t>Yield to call date %</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</si>
  <si>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</si>
  <si>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</si>
  <si>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</si>
  <si>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</si>
  <si>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</si>
  <si>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</si>
  <si>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</si>
  <si>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</si>
  <si>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31 October 2022</t>
  </si>
  <si>
    <t>Sundaram Consumption Fund (Formerly Known as Sundaram Rural and Consumption Fund)</t>
  </si>
  <si>
    <t>Sundaram Aggressive Hybrid Fund (Formerly Known As Principal Hybrid Equity Fund)</t>
  </si>
  <si>
    <t>Sundaram Arbitrage Fund (Formerly Known As Principal Arbitrage Fund)</t>
  </si>
  <si>
    <t>Sundaram Balanced Advantage Fund (Formerly Known As Principal Balanced Advantage Fund)</t>
  </si>
  <si>
    <t>Sundaram Dividend Yield Fund (Formerly Known As Principal Dividend Yield Fund)</t>
  </si>
  <si>
    <t>Sundaram Equity Savings Fund (Formerly Known As Principal Equity Savings Fund)</t>
  </si>
  <si>
    <t>Sundaram Focused Fund (Formerly Known As Principal Focused Multicap Fund)</t>
  </si>
  <si>
    <t>Sundaram Multi Cap Fund (Formerly Known As Principal Multi Cap Growth Fund)</t>
  </si>
  <si>
    <t>Sundaram Nifty 100 Equal Weight Fund (Formerly Known As Principal Nifty 100 Equal Weight Fund)</t>
  </si>
  <si>
    <t>Sundaram Tax Savings Fund (ELSS) (Formerly Known As Principal Tax Savings Fund)</t>
  </si>
  <si>
    <t>Sundaram Large Cap Fund (Formerly Known As Sundaram Bluechip Fund)</t>
  </si>
  <si>
    <t>Index</t>
  </si>
  <si>
    <t>Scheme Riskometer</t>
  </si>
  <si>
    <t>Benchmark Riskometer - NIFTY Infrastructure TRI</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</si>
  <si>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</si>
  <si>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</si>
  <si>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</si>
  <si>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</si>
  <si>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</si>
  <si>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Small Cap INDEX</t>
  </si>
  <si>
    <t>Benchmark Riskometer - S&amp;P BSE 250 SmallCap</t>
  </si>
  <si>
    <t xml:space="preserve">       Benchmark Riskometer - S&amp;P BSE 500 INDEX</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</si>
  <si>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</si>
  <si>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</si>
  <si>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</si>
  <si>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</si>
  <si>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</si>
  <si>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</si>
  <si>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</si>
  <si>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Dividend Opportunities 50 TRI</t>
  </si>
  <si>
    <t>Benchmark Riskometer - Nifty Equity Savings INDEX</t>
  </si>
  <si>
    <t>Tier I Benchmark Riskometer - Nifty 500 TRI</t>
  </si>
  <si>
    <t>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</si>
  <si>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</si>
  <si>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</si>
  <si>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</si>
  <si>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</si>
  <si>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</si>
  <si>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</si>
  <si>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</si>
  <si>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</si>
  <si>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</si>
  <si>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Tier II Benchmark Riskometer - Nifty 500 TRI</t>
  </si>
  <si>
    <t>Benchmark Riskometer - Nifty Financial Services</t>
  </si>
  <si>
    <t>Benchmark Riskometer - MSCI ACWI TRI</t>
  </si>
  <si>
    <t>IT - Software</t>
  </si>
  <si>
    <t>Sundaram Tax Savings Fund (ELSS)</t>
  </si>
  <si>
    <t>%</t>
  </si>
  <si>
    <t>DERIVATIVES DISCLOSURE</t>
  </si>
  <si>
    <t>Disclosure regarding Derivative positions pursuant to SEBI Circular no CIR/IMD/DF/11/2010 dated August18,2010</t>
  </si>
  <si>
    <t>DETAILS OF INVESTMENTS IN DERIVATIVE INSTRUMENTS</t>
  </si>
  <si>
    <t>A. Hedging Positions through Futures as on October 31,2022 :</t>
  </si>
  <si>
    <t>Scheme Name</t>
  </si>
  <si>
    <t>Underlying</t>
  </si>
  <si>
    <t>Long/Short</t>
  </si>
  <si>
    <t>Futures Price When Purchased</t>
  </si>
  <si>
    <t>Current Price of the contract</t>
  </si>
  <si>
    <t>Margin maintained in       (Rs in Lakhs)*</t>
  </si>
  <si>
    <t>Sundaram Arbitrage Fund</t>
  </si>
  <si>
    <t>Short</t>
  </si>
  <si>
    <t xml:space="preserve">Total percentage of existing assets hedged through futures as a percentage of net assets </t>
  </si>
  <si>
    <t>For the period ended October 31,2022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</si>
  <si>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</si>
  <si>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</si>
  <si>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</si>
  <si>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</si>
  <si>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</si>
  <si>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October 31,2022 :</t>
  </si>
  <si>
    <t>Margin maintained in       (Rs. in Lakhs) *</t>
  </si>
  <si>
    <t>LONG</t>
  </si>
  <si>
    <t>Total percentage of existing assets due to non-hedging positions as a percentage of net assets</t>
  </si>
  <si>
    <t>For the period ended October 31,2022 following were the non-hedging transactions through futures which have been squared off / expired</t>
  </si>
  <si>
    <t>Gross Notional value of contracts where futures were sold      ( Rs. in Lakhs)</t>
  </si>
  <si>
    <t>Net Profit / (Loss) value on all contracts combined      (Rs. in lakhs)</t>
  </si>
  <si>
    <t>Sundaram Rural And Consumption Fund</t>
  </si>
  <si>
    <t>C. Hedging Positions through Put Options as on October 31,2022 :</t>
  </si>
  <si>
    <t>Call/Put</t>
  </si>
  <si>
    <t>Number of Contracts</t>
  </si>
  <si>
    <t>Option Price when purchased</t>
  </si>
  <si>
    <t>Current Option Price</t>
  </si>
  <si>
    <t>-</t>
  </si>
  <si>
    <t>Total % of existing assets hedged through Put Options</t>
  </si>
  <si>
    <t>For the period ended  October 31,2022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</si>
  <si>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</si>
  <si>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</si>
  <si>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</si>
  <si>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</si>
  <si>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October 31,2022 :</t>
  </si>
  <si>
    <t xml:space="preserve">Total Exposure through Options other than hedging as a percentage of net assets </t>
  </si>
  <si>
    <t>For the period ended October 31,2022 , the following non hedging transactions through options which have been already exercised/expired</t>
  </si>
  <si>
    <t>Gross Notional value of contracts  bought(Rs. in Lakhs)</t>
  </si>
  <si>
    <t>Gross Notional value of contracts  sold (Rs. in Lakhs)</t>
  </si>
  <si>
    <t>E. Hedging Positions through Swaps as on October 31,2022 - Nil</t>
  </si>
  <si>
    <t>F. Hedging Positions through Interest Rate Futures as on October 31,2022 :</t>
  </si>
  <si>
    <t xml:space="preserve">Futures Price
When Purchased </t>
  </si>
  <si>
    <t>Current Price of
the contract</t>
  </si>
  <si>
    <t>Margin maintained
in (Rs. in Lakhs)</t>
  </si>
  <si>
    <t>Total percentage of existing assets hedged through Interest Rate Futures a Percentage of net assets</t>
  </si>
  <si>
    <t>For the period ended October 31,2022 following were the hedging transactions through Interest Rate Futures which have been squared off/ expired</t>
  </si>
  <si>
    <t>For the period ended October 31,2022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</si>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</sst>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0.00"/>
    <numFmt numFmtId="170" formatCode="[$-1014009]#,##0.00%"/>
    <numFmt numFmtId="171" formatCode="[$-1014009]#,##0.0000;\-#,##0.0000"/>
    <numFmt numFmtId="172" formatCode="[$-1014009]#.0000"/>
    <numFmt numFmtId="173" formatCode="[$-1014009]#,##0.000000;\-#,##0.000000"/>
    <numFmt numFmtId="174" formatCode="[$-1014009]#,##0.00;\(#,##0.00\)"/>
    <numFmt numFmtId="175" formatCode="0.000"/>
    <numFmt numFmtId="176" formatCode="#,##0.000"/>
    <numFmt numFmtId="177" formatCode="0.00000"/>
    <numFmt numFmtId="178" formatCode="0.0000"/>
    <numFmt numFmtId="179" formatCode="_(* #,##0_);_(* \(#,##0\);_(* &quot;-&quot;??_);_(@_)"/>
    <numFmt numFmtId="180" formatCode="0.000000000"/>
    <numFmt numFmtId="181" formatCode="#,##0.0000;\(#,##0.0000\)"/>
    <numFmt numFmtId="182" formatCode="_(* #,##0.000_);_(* \(#,##0.000\);_(* &quot;-&quot;??_);_(@_)"/>
  </numFmts>
  <fonts count="35"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b/>
      <sz val="11"/>
      <name val="Calibri"/>
      <family val="2"/>
    </font>
    <font>
      <sz val="10"/>
      <name val="Calibri"/>
      <family val="2"/>
      <scheme val="minor"/>
    </font>
    <font>
      <b/>
      <sz val="10"/>
      <name val="Calibri"/>
      <family val="2"/>
      <scheme val="minor"/>
    </font>
    <font>
      <b/>
      <sz val="10"/>
      <color indexed="8"/>
      <name val="Calibri"/>
      <family val="2"/>
    </font>
    <font>
      <sz val="10"/>
      <color theme="1"/>
      <name val="Calibri"/>
      <family val="2"/>
      <scheme val="minor"/>
    </font>
    <font>
      <b/>
      <sz val="10"/>
      <color theme="1"/>
      <name val="Arial"/>
      <family val="2"/>
    </font>
    <font>
      <b/>
      <sz val="10"/>
      <color indexed="8"/>
      <name val="Calibri"/>
      <family val="2"/>
      <scheme val="minor"/>
    </font>
    <font>
      <sz val="10"/>
      <color indexed="8"/>
      <name val="Calibri"/>
      <family val="2"/>
      <scheme val="minor"/>
    </font>
    <font>
      <b/>
      <u/>
      <sz val="10"/>
      <name val="Calibri"/>
      <family val="2"/>
      <scheme val="minor"/>
    </font>
    <font>
      <sz val="10"/>
      <color indexed="8"/>
      <name val="Calibri"/>
      <family val="2"/>
    </font>
    <font>
      <b/>
      <i/>
      <sz val="10"/>
      <color indexed="8"/>
      <name val="Calibri"/>
      <family val="2"/>
    </font>
    <font>
      <b/>
      <sz val="10"/>
      <color theme="1"/>
      <name val="Calibri"/>
      <family val="2"/>
      <scheme val="minor"/>
    </font>
    <font>
      <b/>
      <sz val="11"/>
      <color indexed="8"/>
      <name val="Calibri"/>
      <family val="2"/>
    </font>
    <font>
      <b/>
      <sz val="11"/>
      <color theme="0"/>
      <name val="Calibri"/>
      <family val="2"/>
      <scheme val="minor"/>
    </font>
    <font>
      <sz val="11"/>
      <color theme="0"/>
      <name val="Calibri"/>
      <family val="2"/>
      <scheme val="minor"/>
    </font>
    <font>
      <u/>
      <sz val="11"/>
      <color rgb="FF002060"/>
      <name val="Calibri"/>
      <family val="2"/>
      <scheme val="minor"/>
    </font>
    <font>
      <sz val="11"/>
      <name val="Calibri"/>
      <family val="2"/>
    </font>
    <font>
      <b/>
      <sz val="10"/>
      <name val="Arial"/>
      <family val="2"/>
    </font>
    <font>
      <u/>
      <sz val="10"/>
      <color theme="10"/>
      <name val="Arial"/>
      <family val="2"/>
    </font>
  </fonts>
  <fills count="5">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8" tint="0.79998168889431442"/>
        <bgColor indexed="64"/>
      </patternFill>
    </fill>
  </fills>
  <borders count="1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bottom/>
      <diagonal/>
    </border>
  </borders>
  <cellStyleXfs count="16">
    <xf numFmtId="0" fontId="0" fillId="0" borderId="0">
      <alignment wrapText="1"/>
    </xf>
    <xf numFmtId="164" fontId="9" fillId="0" borderId="0" applyFont="0" applyFill="0" applyBorder="0" applyAlignment="0" applyProtection="0"/>
    <xf numFmtId="0" fontId="3" fillId="0" borderId="0"/>
    <xf numFmtId="0" fontId="12" fillId="0" borderId="0">
      <alignment wrapText="1"/>
    </xf>
    <xf numFmtId="0" fontId="14" fillId="0" borderId="0" applyNumberFormat="0" applyFill="0" applyBorder="0" applyAlignment="0" applyProtection="0">
      <alignment wrapText="1"/>
    </xf>
    <xf numFmtId="0" fontId="3"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alignment wrapText="1"/>
    </xf>
    <xf numFmtId="9" fontId="9"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0" fontId="34" fillId="0" borderId="0" applyNumberFormat="0" applyFill="0" applyBorder="0" applyAlignment="0" applyProtection="0">
      <alignment wrapText="1"/>
    </xf>
  </cellStyleXfs>
  <cellXfs count="317">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165"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9" fontId="6" fillId="2" borderId="4" xfId="0" applyNumberFormat="1" applyFont="1" applyFill="1" applyBorder="1" applyAlignment="1">
      <alignment horizontal="right" vertical="center" wrapText="1" readingOrder="1"/>
    </xf>
    <xf numFmtId="170"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171"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5" fillId="2" borderId="5" xfId="0" applyFont="1" applyFill="1" applyBorder="1" applyAlignment="1">
      <alignment horizontal="right" vertical="top" wrapText="1" readingOrder="1"/>
    </xf>
    <xf numFmtId="170" fontId="6" fillId="2" borderId="4" xfId="0" applyNumberFormat="1" applyFont="1" applyFill="1" applyBorder="1" applyAlignment="1">
      <alignment horizontal="left" vertical="center" wrapText="1" readingOrder="1"/>
    </xf>
    <xf numFmtId="0" fontId="6" fillId="2" borderId="4" xfId="0" applyFont="1" applyFill="1" applyBorder="1" applyAlignment="1">
      <alignment horizontal="left" vertical="top" wrapText="1" readingOrder="1"/>
    </xf>
    <xf numFmtId="172" fontId="5" fillId="2" borderId="4" xfId="0" applyNumberFormat="1" applyFont="1" applyFill="1" applyBorder="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3"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5" fillId="2" borderId="6" xfId="0" applyFont="1" applyFill="1" applyBorder="1" applyAlignment="1">
      <alignment horizontal="right" vertical="top" wrapText="1" readingOrder="1"/>
    </xf>
    <xf numFmtId="174" fontId="6"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10" fillId="0" borderId="7" xfId="2" applyFont="1" applyBorder="1" applyAlignment="1">
      <alignment horizontal="center" vertical="center"/>
    </xf>
    <xf numFmtId="0" fontId="11" fillId="0" borderId="7" xfId="2" applyFont="1" applyBorder="1" applyAlignment="1">
      <alignment horizontal="center" vertical="center"/>
    </xf>
    <xf numFmtId="0" fontId="13" fillId="0" borderId="0" xfId="3" applyFont="1">
      <alignment wrapText="1"/>
    </xf>
    <xf numFmtId="0" fontId="13" fillId="0" borderId="7" xfId="3" applyFont="1" applyBorder="1">
      <alignment wrapText="1"/>
    </xf>
    <xf numFmtId="0" fontId="15" fillId="0" borderId="7" xfId="4" applyFont="1" applyBorder="1" applyAlignment="1"/>
    <xf numFmtId="0" fontId="13" fillId="0" borderId="7" xfId="3" applyFont="1" applyBorder="1" applyAlignment="1"/>
    <xf numFmtId="0" fontId="3" fillId="0" borderId="0" xfId="5"/>
    <xf numFmtId="0" fontId="11" fillId="0" borderId="7" xfId="6" applyFont="1" applyBorder="1" applyAlignment="1">
      <alignment horizontal="center" vertical="center" wrapText="1"/>
    </xf>
    <xf numFmtId="0" fontId="16" fillId="0" borderId="7" xfId="0" applyFont="1" applyBorder="1" applyAlignment="1">
      <alignment horizontal="center" vertical="center" wrapText="1" readingOrder="1"/>
    </xf>
    <xf numFmtId="0" fontId="17" fillId="0" borderId="7" xfId="2" applyFont="1" applyBorder="1" applyProtection="1">
      <protection locked="0"/>
    </xf>
    <xf numFmtId="0" fontId="18" fillId="0" borderId="7" xfId="2" applyFont="1" applyBorder="1" applyAlignment="1" applyProtection="1">
      <alignment wrapText="1"/>
      <protection locked="0"/>
    </xf>
    <xf numFmtId="0" fontId="17" fillId="0" borderId="7" xfId="2" applyFont="1" applyBorder="1" applyAlignment="1">
      <alignment horizontal="right"/>
    </xf>
    <xf numFmtId="0" fontId="3" fillId="0" borderId="7" xfId="5" applyBorder="1"/>
    <xf numFmtId="0" fontId="17" fillId="0" borderId="7" xfId="2" applyFont="1" applyBorder="1" applyAlignment="1">
      <alignment horizontal="center"/>
    </xf>
    <xf numFmtId="176" fontId="3" fillId="0" borderId="7" xfId="5" applyNumberFormat="1" applyBorder="1"/>
    <xf numFmtId="0" fontId="17" fillId="0" borderId="7" xfId="2" applyFont="1" applyBorder="1"/>
    <xf numFmtId="0" fontId="18" fillId="0" borderId="7" xfId="6" applyFont="1" applyBorder="1" applyAlignment="1">
      <alignment vertical="center" wrapText="1"/>
    </xf>
    <xf numFmtId="175" fontId="18" fillId="0" borderId="7" xfId="6" applyNumberFormat="1" applyFont="1" applyBorder="1" applyAlignment="1">
      <alignment vertical="center" wrapText="1"/>
    </xf>
    <xf numFmtId="43" fontId="18" fillId="0" borderId="7" xfId="7" applyFont="1" applyFill="1" applyBorder="1" applyAlignment="1">
      <alignment vertical="center" wrapText="1"/>
    </xf>
    <xf numFmtId="10" fontId="18" fillId="0" borderId="7" xfId="1" applyNumberFormat="1" applyFont="1" applyBorder="1" applyAlignment="1">
      <alignment horizontal="right" vertical="center"/>
    </xf>
    <xf numFmtId="10" fontId="3" fillId="0" borderId="7" xfId="5" applyNumberFormat="1" applyBorder="1"/>
    <xf numFmtId="43" fontId="17" fillId="0" borderId="7" xfId="7" applyFont="1" applyFill="1" applyBorder="1" applyAlignment="1">
      <alignment horizontal="right"/>
    </xf>
    <xf numFmtId="0" fontId="18" fillId="0" borderId="7" xfId="2" applyFont="1" applyBorder="1" applyProtection="1">
      <protection locked="0"/>
    </xf>
    <xf numFmtId="43" fontId="17" fillId="0" borderId="7" xfId="7" applyFont="1" applyFill="1" applyBorder="1" applyAlignment="1" applyProtection="1">
      <alignment horizontal="right"/>
      <protection locked="0"/>
    </xf>
    <xf numFmtId="0" fontId="19" fillId="2" borderId="4" xfId="0" applyFont="1" applyFill="1" applyBorder="1" applyAlignment="1">
      <alignment horizontal="left" vertical="center" wrapText="1" readingOrder="1"/>
    </xf>
    <xf numFmtId="0" fontId="17" fillId="0" borderId="7" xfId="5" applyFont="1" applyBorder="1"/>
    <xf numFmtId="43" fontId="17" fillId="0" borderId="7" xfId="7" applyFont="1" applyFill="1" applyBorder="1"/>
    <xf numFmtId="10" fontId="17" fillId="0" borderId="7" xfId="7" applyNumberFormat="1" applyFont="1" applyFill="1" applyBorder="1"/>
    <xf numFmtId="2" fontId="20" fillId="0" borderId="7" xfId="5" applyNumberFormat="1" applyFont="1" applyBorder="1"/>
    <xf numFmtId="2" fontId="17" fillId="0" borderId="7" xfId="2" applyNumberFormat="1" applyFont="1" applyBorder="1" applyAlignment="1">
      <alignment horizontal="right"/>
    </xf>
    <xf numFmtId="0" fontId="18" fillId="0" borderId="7" xfId="2" applyFont="1" applyBorder="1"/>
    <xf numFmtId="43" fontId="18" fillId="0" borderId="7" xfId="7" applyFont="1" applyFill="1" applyBorder="1" applyAlignment="1">
      <alignment horizontal="right"/>
    </xf>
    <xf numFmtId="164" fontId="3" fillId="0" borderId="7" xfId="5" applyNumberFormat="1" applyBorder="1"/>
    <xf numFmtId="10" fontId="18" fillId="0" borderId="7" xfId="2" applyNumberFormat="1" applyFont="1" applyBorder="1" applyAlignment="1">
      <alignment horizontal="right"/>
    </xf>
    <xf numFmtId="4" fontId="21" fillId="0" borderId="7" xfId="0" applyNumberFormat="1" applyFont="1" applyBorder="1" applyAlignment="1"/>
    <xf numFmtId="4" fontId="3" fillId="0" borderId="0" xfId="5" applyNumberFormat="1"/>
    <xf numFmtId="177" fontId="3" fillId="0" borderId="0" xfId="5" applyNumberFormat="1"/>
    <xf numFmtId="0" fontId="22" fillId="0" borderId="0" xfId="8" applyFont="1" applyAlignment="1">
      <alignment horizontal="left" vertical="center" wrapText="1"/>
    </xf>
    <xf numFmtId="0" fontId="23" fillId="0" borderId="0" xfId="8" applyFont="1" applyAlignment="1">
      <alignment vertical="center"/>
    </xf>
    <xf numFmtId="164" fontId="23" fillId="0" borderId="0" xfId="8" applyNumberFormat="1" applyFont="1" applyAlignment="1">
      <alignment vertical="center"/>
    </xf>
    <xf numFmtId="4" fontId="24" fillId="0" borderId="0" xfId="5" applyNumberFormat="1" applyFont="1"/>
    <xf numFmtId="2" fontId="23" fillId="0" borderId="0" xfId="8" applyNumberFormat="1" applyFont="1" applyAlignment="1">
      <alignment vertical="center"/>
    </xf>
    <xf numFmtId="0" fontId="17" fillId="0" borderId="0" xfId="9" applyFont="1" applyAlignment="1">
      <alignment vertical="center"/>
    </xf>
    <xf numFmtId="0" fontId="23" fillId="0" borderId="7" xfId="8" applyFont="1" applyBorder="1" applyAlignment="1">
      <alignment vertical="center"/>
    </xf>
    <xf numFmtId="0" fontId="18" fillId="0" borderId="7" xfId="9" applyFont="1" applyBorder="1" applyAlignment="1">
      <alignment horizontal="center" vertical="center"/>
    </xf>
    <xf numFmtId="0" fontId="22" fillId="0" borderId="0" xfId="8" applyFont="1" applyAlignment="1">
      <alignment vertical="center"/>
    </xf>
    <xf numFmtId="0" fontId="18" fillId="0" borderId="7" xfId="9" applyFont="1" applyBorder="1" applyAlignment="1">
      <alignment vertical="center"/>
    </xf>
    <xf numFmtId="14" fontId="22" fillId="0" borderId="0" xfId="8" applyNumberFormat="1" applyFont="1" applyAlignment="1">
      <alignment horizontal="center"/>
    </xf>
    <xf numFmtId="0" fontId="20" fillId="0" borderId="0" xfId="5" applyFont="1"/>
    <xf numFmtId="0" fontId="23" fillId="0" borderId="7" xfId="8" applyFont="1" applyBorder="1" applyAlignment="1">
      <alignment horizontal="left" vertical="center"/>
    </xf>
    <xf numFmtId="178" fontId="20" fillId="0" borderId="7" xfId="5" applyNumberFormat="1" applyFont="1" applyBorder="1"/>
    <xf numFmtId="178" fontId="20" fillId="0" borderId="0" xfId="5" applyNumberFormat="1" applyFont="1"/>
    <xf numFmtId="10" fontId="20" fillId="0" borderId="0" xfId="5" applyNumberFormat="1" applyFont="1"/>
    <xf numFmtId="0" fontId="25" fillId="0" borderId="4" xfId="0" applyFont="1" applyBorder="1" applyAlignment="1">
      <alignment horizontal="left" vertical="center" wrapText="1" readingOrder="1"/>
    </xf>
    <xf numFmtId="0" fontId="25" fillId="0" borderId="7" xfId="0" applyFont="1" applyBorder="1" applyAlignment="1">
      <alignment horizontal="left" vertical="center" wrapText="1" readingOrder="1"/>
    </xf>
    <xf numFmtId="0" fontId="25" fillId="0" borderId="0" xfId="0" applyFont="1" applyAlignment="1">
      <alignment vertical="center" readingOrder="1"/>
    </xf>
    <xf numFmtId="0" fontId="25" fillId="0" borderId="0" xfId="0" applyFont="1" applyAlignment="1">
      <alignment vertical="center" wrapText="1" readingOrder="1"/>
    </xf>
    <xf numFmtId="0" fontId="17" fillId="0" borderId="0" xfId="8" applyFont="1" applyAlignment="1">
      <alignment horizontal="center" vertical="center"/>
    </xf>
    <xf numFmtId="0" fontId="23" fillId="0" borderId="0" xfId="8" quotePrefix="1" applyFont="1" applyAlignment="1">
      <alignment vertical="center"/>
    </xf>
    <xf numFmtId="0" fontId="17" fillId="0" borderId="0" xfId="5" applyFont="1" applyAlignment="1">
      <alignment vertical="center" wrapText="1"/>
    </xf>
    <xf numFmtId="14" fontId="10" fillId="0" borderId="7" xfId="5" applyNumberFormat="1" applyFont="1" applyBorder="1"/>
    <xf numFmtId="0" fontId="26" fillId="2" borderId="0" xfId="2" applyFont="1" applyFill="1" applyAlignment="1">
      <alignment horizontal="left" vertical="center" wrapText="1" readingOrder="1"/>
    </xf>
    <xf numFmtId="0" fontId="26" fillId="2" borderId="0" xfId="2" applyFont="1" applyFill="1" applyAlignment="1">
      <alignment horizontal="right" vertical="center" wrapText="1" readingOrder="1"/>
    </xf>
    <xf numFmtId="0" fontId="3" fillId="0" borderId="0" xfId="2" applyAlignment="1">
      <alignment wrapText="1"/>
    </xf>
    <xf numFmtId="0" fontId="25" fillId="2" borderId="4" xfId="0" applyFont="1" applyFill="1" applyBorder="1" applyAlignment="1">
      <alignment horizontal="left" vertical="center" wrapText="1" readingOrder="1"/>
    </xf>
    <xf numFmtId="166" fontId="25" fillId="0" borderId="4" xfId="0" applyNumberFormat="1" applyFont="1" applyBorder="1" applyAlignment="1">
      <alignment horizontal="right" vertical="center" wrapText="1" readingOrder="1"/>
    </xf>
    <xf numFmtId="167" fontId="25" fillId="0" borderId="4" xfId="0" applyNumberFormat="1" applyFont="1" applyBorder="1" applyAlignment="1">
      <alignment horizontal="right" vertical="center" wrapText="1" readingOrder="1"/>
    </xf>
    <xf numFmtId="168" fontId="25" fillId="0" borderId="4" xfId="0" applyNumberFormat="1" applyFont="1" applyBorder="1" applyAlignment="1">
      <alignment horizontal="right" vertical="center" wrapText="1" readingOrder="1"/>
    </xf>
    <xf numFmtId="167" fontId="25" fillId="2" borderId="4" xfId="0" applyNumberFormat="1" applyFont="1" applyFill="1" applyBorder="1" applyAlignment="1">
      <alignment horizontal="right" vertical="center" wrapText="1" readingOrder="1"/>
    </xf>
    <xf numFmtId="0" fontId="12" fillId="0" borderId="0" xfId="3">
      <alignment wrapText="1"/>
    </xf>
    <xf numFmtId="0" fontId="26" fillId="2" borderId="0" xfId="0" applyFont="1" applyFill="1" applyAlignment="1">
      <alignment horizontal="left" vertical="center" wrapText="1" readingOrder="1"/>
    </xf>
    <xf numFmtId="0" fontId="26" fillId="2" borderId="0" xfId="0" applyFont="1" applyFill="1" applyAlignment="1">
      <alignment horizontal="right" vertical="center" wrapText="1" readingOrder="1"/>
    </xf>
    <xf numFmtId="165" fontId="25" fillId="2" borderId="4" xfId="0" applyNumberFormat="1" applyFont="1" applyFill="1" applyBorder="1" applyAlignment="1">
      <alignment horizontal="right" vertical="center" wrapText="1" readingOrder="1"/>
    </xf>
    <xf numFmtId="166" fontId="25" fillId="2" borderId="4" xfId="0" applyNumberFormat="1" applyFont="1" applyFill="1" applyBorder="1" applyAlignment="1">
      <alignment horizontal="right" vertical="center" wrapText="1" readingOrder="1"/>
    </xf>
    <xf numFmtId="168" fontId="25" fillId="2" borderId="4" xfId="0" applyNumberFormat="1" applyFont="1" applyFill="1" applyBorder="1" applyAlignment="1">
      <alignment horizontal="right" vertical="center" wrapText="1" readingOrder="1"/>
    </xf>
    <xf numFmtId="0" fontId="25" fillId="2" borderId="0" xfId="0" applyFont="1" applyFill="1" applyAlignment="1">
      <alignment horizontal="left" vertical="center" readingOrder="1"/>
    </xf>
    <xf numFmtId="2" fontId="7" fillId="2" borderId="5" xfId="0" applyNumberFormat="1" applyFont="1" applyFill="1" applyBorder="1" applyAlignment="1">
      <alignment horizontal="right" vertical="center" wrapText="1" readingOrder="1"/>
    </xf>
    <xf numFmtId="0" fontId="0" fillId="0" borderId="0" xfId="0" applyAlignment="1">
      <alignment vertical="center" wrapText="1"/>
    </xf>
    <xf numFmtId="0" fontId="20" fillId="0" borderId="0" xfId="0" applyFont="1" applyAlignment="1">
      <alignment vertical="center"/>
    </xf>
    <xf numFmtId="0" fontId="27" fillId="0" borderId="7" xfId="0" applyFont="1" applyBorder="1" applyAlignment="1">
      <alignment horizontal="center" vertical="center" wrapText="1"/>
    </xf>
    <xf numFmtId="0" fontId="17" fillId="0" borderId="7" xfId="0" applyFont="1" applyBorder="1" applyAlignment="1">
      <alignment vertical="center" wrapText="1"/>
    </xf>
    <xf numFmtId="0" fontId="17" fillId="0" borderId="7" xfId="0" applyFont="1" applyBorder="1" applyAlignment="1">
      <alignment vertical="center"/>
    </xf>
    <xf numFmtId="2" fontId="17" fillId="0" borderId="7" xfId="0" applyNumberFormat="1" applyFont="1" applyBorder="1" applyAlignment="1">
      <alignment vertical="center"/>
    </xf>
    <xf numFmtId="10" fontId="20" fillId="0" borderId="7" xfId="11" applyNumberFormat="1" applyFont="1" applyBorder="1" applyAlignment="1">
      <alignment vertical="center"/>
    </xf>
    <xf numFmtId="4" fontId="17" fillId="0" borderId="7" xfId="0" applyNumberFormat="1" applyFont="1" applyBorder="1" applyAlignment="1">
      <alignment vertical="center"/>
    </xf>
    <xf numFmtId="0" fontId="27" fillId="0" borderId="7" xfId="12" applyFont="1" applyBorder="1" applyAlignment="1">
      <alignment horizontal="center" vertical="center"/>
    </xf>
    <xf numFmtId="0" fontId="27" fillId="0" borderId="0" xfId="12" applyFont="1" applyAlignment="1">
      <alignment horizontal="center" vertical="center"/>
    </xf>
    <xf numFmtId="0" fontId="12" fillId="0" borderId="0" xfId="3" applyAlignment="1">
      <alignment vertical="center" wrapText="1"/>
    </xf>
    <xf numFmtId="0" fontId="20" fillId="0" borderId="7" xfId="12" applyFont="1" applyBorder="1" applyAlignment="1">
      <alignment vertical="center"/>
    </xf>
    <xf numFmtId="0" fontId="20" fillId="0" borderId="7" xfId="12" applyFont="1" applyBorder="1" applyAlignment="1">
      <alignment vertical="center" wrapText="1"/>
    </xf>
    <xf numFmtId="0" fontId="20" fillId="0" borderId="0" xfId="12" applyFont="1" applyAlignment="1">
      <alignment horizontal="center" vertical="center"/>
    </xf>
    <xf numFmtId="0" fontId="27" fillId="0" borderId="7" xfId="12" applyFont="1" applyBorder="1" applyAlignment="1">
      <alignment horizontal="center" vertical="center" wrapText="1"/>
    </xf>
    <xf numFmtId="0" fontId="20" fillId="0" borderId="7" xfId="12" applyFont="1" applyBorder="1" applyAlignment="1">
      <alignment horizontal="left" vertical="center"/>
    </xf>
    <xf numFmtId="2" fontId="20" fillId="0" borderId="7" xfId="12" applyNumberFormat="1" applyFont="1" applyBorder="1" applyAlignment="1">
      <alignment horizontal="right" vertical="center" wrapText="1"/>
    </xf>
    <xf numFmtId="4" fontId="20" fillId="0" borderId="7" xfId="12" applyNumberFormat="1" applyFont="1" applyBorder="1" applyAlignment="1">
      <alignment horizontal="right" vertical="center"/>
    </xf>
    <xf numFmtId="0" fontId="20" fillId="0" borderId="0" xfId="0" applyFont="1" applyAlignment="1"/>
    <xf numFmtId="179" fontId="20" fillId="0" borderId="0" xfId="1" applyNumberFormat="1" applyFont="1"/>
    <xf numFmtId="164" fontId="20" fillId="0" borderId="0" xfId="1" applyFont="1"/>
    <xf numFmtId="0" fontId="27" fillId="0" borderId="7" xfId="0" applyFont="1" applyBorder="1" applyAlignment="1">
      <alignment horizontal="left" wrapText="1"/>
    </xf>
    <xf numFmtId="0" fontId="27" fillId="0" borderId="7" xfId="0" applyFont="1" applyBorder="1" applyAlignment="1">
      <alignment horizontal="center" wrapText="1"/>
    </xf>
    <xf numFmtId="0" fontId="17" fillId="0" borderId="7" xfId="0" applyFont="1" applyBorder="1" applyAlignment="1">
      <alignment horizontal="left" vertical="center" wrapText="1"/>
    </xf>
    <xf numFmtId="0" fontId="17" fillId="0" borderId="7" xfId="0" applyFont="1" applyBorder="1" applyAlignment="1">
      <alignment horizontal="center" vertical="center"/>
    </xf>
    <xf numFmtId="4" fontId="17" fillId="0" borderId="7" xfId="13" applyNumberFormat="1" applyFont="1" applyFill="1" applyBorder="1" applyAlignment="1">
      <alignment horizontal="center" vertical="center"/>
    </xf>
    <xf numFmtId="10" fontId="17" fillId="0" borderId="7" xfId="13" applyNumberFormat="1" applyFont="1" applyFill="1" applyBorder="1" applyAlignment="1">
      <alignment horizontal="center" vertical="center"/>
    </xf>
    <xf numFmtId="4" fontId="17" fillId="0" borderId="7" xfId="0" applyNumberFormat="1" applyFont="1" applyBorder="1" applyAlignment="1">
      <alignment horizontal="center" vertical="center"/>
    </xf>
    <xf numFmtId="0" fontId="17" fillId="0" borderId="0" xfId="0" applyFont="1" applyAlignment="1"/>
    <xf numFmtId="0" fontId="17" fillId="0" borderId="7" xfId="0" applyFont="1" applyBorder="1" applyAlignment="1">
      <alignment horizontal="left" vertical="center"/>
    </xf>
    <xf numFmtId="164" fontId="17" fillId="0" borderId="7" xfId="13" applyFont="1" applyFill="1" applyBorder="1" applyAlignment="1">
      <alignment horizontal="right" vertical="center"/>
    </xf>
    <xf numFmtId="164" fontId="17" fillId="0" borderId="7" xfId="13" applyFont="1" applyFill="1" applyBorder="1" applyAlignment="1">
      <alignment horizontal="center" vertical="center"/>
    </xf>
    <xf numFmtId="4" fontId="17" fillId="0" borderId="7" xfId="0" applyNumberFormat="1" applyFont="1" applyBorder="1" applyAlignment="1">
      <alignment horizontal="right" vertical="center"/>
    </xf>
    <xf numFmtId="0" fontId="25" fillId="2" borderId="0" xfId="0" applyFont="1" applyFill="1" applyAlignment="1">
      <alignment horizontal="left" vertical="center" wrapText="1" readingOrder="1"/>
    </xf>
    <xf numFmtId="0" fontId="25" fillId="2" borderId="0" xfId="0" applyFont="1" applyFill="1" applyAlignment="1">
      <alignment horizontal="right" vertical="top" wrapText="1" readingOrder="1"/>
    </xf>
    <xf numFmtId="174" fontId="19" fillId="2" borderId="4" xfId="0" applyNumberFormat="1" applyFont="1" applyFill="1" applyBorder="1" applyAlignment="1">
      <alignment horizontal="left" vertical="center" wrapText="1" readingOrder="1"/>
    </xf>
    <xf numFmtId="0" fontId="25" fillId="2" borderId="0" xfId="0" applyFont="1" applyFill="1" applyAlignment="1">
      <alignment horizontal="right" vertical="center" wrapText="1" readingOrder="1"/>
    </xf>
    <xf numFmtId="0" fontId="25" fillId="2" borderId="6" xfId="0" applyFont="1" applyFill="1" applyBorder="1" applyAlignment="1">
      <alignment horizontal="right" vertical="top" wrapText="1" readingOrder="1"/>
    </xf>
    <xf numFmtId="0" fontId="26" fillId="2" borderId="0" xfId="3" applyFont="1" applyFill="1" applyAlignment="1">
      <alignment horizontal="left" vertical="center" wrapText="1" readingOrder="1"/>
    </xf>
    <xf numFmtId="0" fontId="26" fillId="2" borderId="0" xfId="3" applyFont="1" applyFill="1" applyAlignment="1">
      <alignment horizontal="right" vertical="center" wrapText="1" readingOrder="1"/>
    </xf>
    <xf numFmtId="0" fontId="16" fillId="0" borderId="7" xfId="5" applyFont="1" applyBorder="1" applyAlignment="1">
      <alignment horizontal="center" vertical="center" wrapText="1" readingOrder="1"/>
    </xf>
    <xf numFmtId="0" fontId="16" fillId="0" borderId="11" xfId="0" applyFont="1" applyBorder="1" applyAlignment="1">
      <alignment horizontal="center" vertical="center" wrapText="1" readingOrder="1"/>
    </xf>
    <xf numFmtId="0" fontId="4" fillId="2" borderId="4" xfId="0" applyFont="1" applyFill="1" applyBorder="1" applyAlignment="1">
      <alignment horizontal="center" vertical="center" wrapText="1" readingOrder="1"/>
    </xf>
    <xf numFmtId="0" fontId="3" fillId="0" borderId="0" xfId="5" applyAlignment="1">
      <alignment horizontal="center" vertical="center"/>
    </xf>
    <xf numFmtId="0" fontId="0" fillId="0" borderId="0" xfId="0" applyAlignment="1">
      <alignment horizontal="center" vertical="center" wrapText="1"/>
    </xf>
    <xf numFmtId="0" fontId="31" fillId="4" borderId="0" xfId="4" applyFont="1" applyFill="1" applyBorder="1" applyAlignment="1">
      <alignment horizontal="center" vertical="center" wrapText="1"/>
    </xf>
    <xf numFmtId="0" fontId="10" fillId="0" borderId="0" xfId="0" applyFont="1" applyAlignment="1">
      <alignment horizontal="left" vertical="center"/>
    </xf>
    <xf numFmtId="0" fontId="0" fillId="0" borderId="0" xfId="0" applyAlignment="1"/>
    <xf numFmtId="0" fontId="14" fillId="4" borderId="0" xfId="4" applyFill="1" applyBorder="1" applyAlignment="1">
      <alignment horizontal="center" vertical="center" wrapText="1"/>
    </xf>
    <xf numFmtId="0" fontId="12" fillId="0" borderId="0" xfId="3" applyAlignment="1">
      <alignment horizontal="center" vertical="center" wrapText="1"/>
    </xf>
    <xf numFmtId="0" fontId="9" fillId="0" borderId="0" xfId="0" applyFont="1">
      <alignment wrapText="1"/>
    </xf>
    <xf numFmtId="0" fontId="29" fillId="0" borderId="0" xfId="12" applyFont="1" applyAlignment="1">
      <alignment horizontal="center" vertical="center"/>
    </xf>
    <xf numFmtId="4" fontId="30" fillId="0" borderId="0" xfId="12" applyNumberFormat="1" applyFont="1"/>
    <xf numFmtId="0" fontId="32" fillId="0" borderId="0" xfId="0" applyFont="1" applyAlignment="1">
      <alignment vertical="center" wrapText="1"/>
    </xf>
    <xf numFmtId="0" fontId="10" fillId="0" borderId="0" xfId="0" applyFont="1" applyAlignment="1">
      <alignment horizontal="left" vertical="top"/>
    </xf>
    <xf numFmtId="0" fontId="33" fillId="0" borderId="0" xfId="0" applyFont="1">
      <alignment wrapText="1"/>
    </xf>
    <xf numFmtId="0" fontId="10" fillId="0" borderId="0" xfId="0" applyFont="1" applyAlignment="1">
      <alignment horizontal="left"/>
    </xf>
    <xf numFmtId="0" fontId="14" fillId="0" borderId="0" xfId="4" applyFill="1" applyBorder="1" applyAlignment="1">
      <alignment horizontal="center" vertical="center" wrapText="1"/>
    </xf>
    <xf numFmtId="0" fontId="13" fillId="0" borderId="0" xfId="14" applyFont="1"/>
    <xf numFmtId="0" fontId="1" fillId="0" borderId="0" xfId="14" applyAlignment="1">
      <alignment vertical="center"/>
    </xf>
    <xf numFmtId="0" fontId="1" fillId="0" borderId="0" xfId="14"/>
    <xf numFmtId="0" fontId="1" fillId="0" borderId="0" xfId="14" applyAlignment="1">
      <alignment horizontal="center" vertical="center"/>
    </xf>
    <xf numFmtId="0" fontId="13" fillId="0" borderId="0" xfId="14" applyFont="1" applyAlignment="1">
      <alignment horizontal="center" vertical="center"/>
    </xf>
    <xf numFmtId="0" fontId="11" fillId="0" borderId="0" xfId="0" applyFont="1" applyAlignment="1">
      <alignment horizontal="left" vertical="center"/>
    </xf>
    <xf numFmtId="0" fontId="34" fillId="4" borderId="0" xfId="15" applyFill="1" applyBorder="1" applyAlignment="1">
      <alignment horizontal="center" vertical="center" wrapText="1"/>
    </xf>
    <xf numFmtId="164" fontId="17" fillId="0" borderId="7" xfId="1" applyFont="1" applyFill="1" applyBorder="1" applyAlignment="1">
      <alignment horizontal="right" vertical="center"/>
    </xf>
    <xf numFmtId="10" fontId="17" fillId="0" borderId="7" xfId="2" applyNumberFormat="1" applyFont="1" applyBorder="1" applyAlignment="1">
      <alignment horizontal="right" vertical="center"/>
    </xf>
    <xf numFmtId="0" fontId="17" fillId="0" borderId="7" xfId="2" applyFont="1" applyBorder="1" applyAlignment="1" applyProtection="1">
      <alignment horizontal="center" vertical="center"/>
      <protection locked="0"/>
    </xf>
    <xf numFmtId="175" fontId="13" fillId="0" borderId="0" xfId="14" applyNumberFormat="1" applyFont="1" applyAlignment="1">
      <alignment horizontal="center" vertical="center"/>
    </xf>
    <xf numFmtId="175" fontId="17" fillId="0" borderId="7" xfId="2" applyNumberFormat="1" applyFont="1" applyBorder="1" applyAlignment="1" applyProtection="1">
      <alignment horizontal="right" vertical="center"/>
      <protection locked="0"/>
    </xf>
    <xf numFmtId="0" fontId="3" fillId="0" borderId="7" xfId="5" applyBorder="1" applyAlignment="1">
      <alignment horizontal="right" vertical="center"/>
    </xf>
    <xf numFmtId="0" fontId="17" fillId="0" borderId="7" xfId="2" applyFont="1" applyBorder="1" applyAlignment="1" applyProtection="1">
      <alignment horizontal="left" vertical="center" wrapText="1"/>
      <protection locked="0"/>
    </xf>
    <xf numFmtId="10" fontId="20" fillId="0" borderId="7" xfId="11" applyNumberFormat="1" applyFont="1" applyFill="1" applyBorder="1" applyAlignment="1">
      <alignment vertical="center" wrapText="1"/>
    </xf>
    <xf numFmtId="0" fontId="18" fillId="0" borderId="0" xfId="0" applyFont="1" applyAlignment="1"/>
    <xf numFmtId="0" fontId="18" fillId="0" borderId="7" xfId="0" applyFont="1" applyBorder="1" applyAlignment="1">
      <alignment horizontal="center" vertical="top"/>
    </xf>
    <xf numFmtId="0" fontId="18" fillId="0" borderId="7" xfId="0" applyFont="1" applyBorder="1" applyAlignment="1">
      <alignment horizontal="center" vertical="top" wrapText="1"/>
    </xf>
    <xf numFmtId="0" fontId="17" fillId="0" borderId="7" xfId="0" applyFont="1" applyBorder="1" applyAlignment="1">
      <alignment horizontal="left" vertical="top"/>
    </xf>
    <xf numFmtId="0" fontId="17" fillId="0" borderId="7" xfId="0" applyFont="1" applyBorder="1" applyAlignment="1">
      <alignment horizontal="center" vertical="top"/>
    </xf>
    <xf numFmtId="174" fontId="5" fillId="2" borderId="4" xfId="0" applyNumberFormat="1" applyFont="1" applyFill="1" applyBorder="1" applyAlignment="1">
      <alignment vertical="center" readingOrder="1"/>
    </xf>
    <xf numFmtId="174" fontId="5" fillId="2" borderId="4" xfId="0" applyNumberFormat="1" applyFont="1" applyFill="1" applyBorder="1" applyAlignment="1">
      <alignment horizontal="right" vertical="center" readingOrder="1"/>
    </xf>
    <xf numFmtId="2" fontId="17" fillId="0" borderId="7" xfId="0" applyNumberFormat="1" applyFont="1" applyBorder="1" applyAlignment="1">
      <alignment horizontal="right" vertical="top" wrapText="1"/>
    </xf>
    <xf numFmtId="0" fontId="5" fillId="2" borderId="11" xfId="0" applyFont="1" applyFill="1" applyBorder="1" applyAlignment="1">
      <alignment horizontal="left" vertical="center" readingOrder="1"/>
    </xf>
    <xf numFmtId="0" fontId="5" fillId="2" borderId="4" xfId="0" applyFont="1" applyFill="1" applyBorder="1" applyAlignment="1">
      <alignment horizontal="left" vertical="center" readingOrder="1"/>
    </xf>
    <xf numFmtId="0" fontId="17" fillId="0" borderId="12" xfId="0" applyFont="1" applyBorder="1" applyAlignment="1">
      <alignment horizontal="left" vertical="top"/>
    </xf>
    <xf numFmtId="0" fontId="5" fillId="0" borderId="13" xfId="0" applyFont="1" applyBorder="1" applyAlignment="1">
      <alignment horizontal="left" vertical="center" readingOrder="1"/>
    </xf>
    <xf numFmtId="174" fontId="5" fillId="0" borderId="4" xfId="0" applyNumberFormat="1" applyFont="1" applyBorder="1" applyAlignment="1">
      <alignment horizontal="right" vertical="center" readingOrder="1"/>
    </xf>
    <xf numFmtId="0" fontId="5" fillId="2" borderId="8" xfId="0" applyFont="1" applyFill="1" applyBorder="1" applyAlignment="1">
      <alignment horizontal="left" vertical="center" readingOrder="1"/>
    </xf>
    <xf numFmtId="174" fontId="5" fillId="2" borderId="4" xfId="0" applyNumberFormat="1" applyFont="1" applyFill="1" applyBorder="1" applyAlignment="1">
      <alignment horizontal="right" vertical="center" wrapText="1" readingOrder="1"/>
    </xf>
    <xf numFmtId="2" fontId="17" fillId="0" borderId="14" xfId="0" applyNumberFormat="1" applyFont="1" applyBorder="1" applyAlignment="1">
      <alignment horizontal="right" vertical="top" wrapText="1"/>
    </xf>
    <xf numFmtId="0" fontId="5" fillId="2" borderId="4" xfId="0" applyFont="1" applyFill="1" applyBorder="1" applyAlignment="1">
      <alignment horizontal="left" vertical="top" readingOrder="1"/>
    </xf>
    <xf numFmtId="4" fontId="17" fillId="0" borderId="7" xfId="0" applyNumberFormat="1" applyFont="1" applyBorder="1" applyAlignment="1"/>
    <xf numFmtId="2" fontId="17" fillId="0" borderId="0" xfId="0" applyNumberFormat="1" applyFont="1" applyAlignment="1">
      <alignment horizontal="right" vertical="top" wrapText="1"/>
    </xf>
    <xf numFmtId="0" fontId="5" fillId="2" borderId="13" xfId="0" applyFont="1" applyFill="1" applyBorder="1" applyAlignment="1">
      <alignment horizontal="left" vertical="center" wrapText="1" readingOrder="1"/>
    </xf>
    <xf numFmtId="0" fontId="17" fillId="0" borderId="12" xfId="0" applyFont="1" applyBorder="1" applyAlignment="1">
      <alignment horizontal="center" vertical="top"/>
    </xf>
    <xf numFmtId="174" fontId="5" fillId="2" borderId="13" xfId="0" applyNumberFormat="1" applyFont="1" applyFill="1" applyBorder="1" applyAlignment="1">
      <alignment horizontal="right" vertical="center" wrapText="1" readingOrder="1"/>
    </xf>
    <xf numFmtId="174" fontId="5" fillId="2" borderId="13" xfId="0" applyNumberFormat="1" applyFont="1" applyFill="1" applyBorder="1" applyAlignment="1">
      <alignment horizontal="right" vertical="center" readingOrder="1"/>
    </xf>
    <xf numFmtId="2" fontId="17" fillId="0" borderId="12" xfId="0" applyNumberFormat="1" applyFont="1" applyBorder="1" applyAlignment="1">
      <alignment horizontal="right" vertical="top" wrapText="1"/>
    </xf>
    <xf numFmtId="0" fontId="5" fillId="2" borderId="7" xfId="0" applyFont="1" applyFill="1" applyBorder="1" applyAlignment="1">
      <alignment horizontal="left" vertical="center" wrapText="1" readingOrder="1"/>
    </xf>
    <xf numFmtId="174" fontId="5" fillId="2" borderId="7" xfId="0" applyNumberFormat="1" applyFont="1" applyFill="1" applyBorder="1" applyAlignment="1">
      <alignment horizontal="right" vertical="center" wrapText="1" readingOrder="1"/>
    </xf>
    <xf numFmtId="174" fontId="5" fillId="2" borderId="7" xfId="0" applyNumberFormat="1" applyFont="1" applyFill="1" applyBorder="1" applyAlignment="1">
      <alignment horizontal="right" vertical="center" readingOrder="1"/>
    </xf>
    <xf numFmtId="0" fontId="5" fillId="2" borderId="7" xfId="0" applyFont="1" applyFill="1" applyBorder="1" applyAlignment="1">
      <alignment horizontal="left" vertical="center" readingOrder="1"/>
    </xf>
    <xf numFmtId="174" fontId="17" fillId="0" borderId="0" xfId="0" applyNumberFormat="1" applyFont="1" applyAlignment="1"/>
    <xf numFmtId="0" fontId="18" fillId="0" borderId="7" xfId="0" applyFont="1" applyBorder="1" applyAlignment="1">
      <alignment horizontal="center"/>
    </xf>
    <xf numFmtId="10" fontId="17" fillId="0" borderId="7" xfId="11" applyNumberFormat="1" applyFont="1" applyFill="1" applyBorder="1" applyAlignment="1">
      <alignment horizontal="center"/>
    </xf>
    <xf numFmtId="10" fontId="17" fillId="0" borderId="7" xfId="0" applyNumberFormat="1" applyFont="1" applyBorder="1" applyAlignment="1">
      <alignment horizontal="center"/>
    </xf>
    <xf numFmtId="0" fontId="17" fillId="0" borderId="7" xfId="0" applyFont="1" applyBorder="1" applyAlignment="1"/>
    <xf numFmtId="164" fontId="17" fillId="0" borderId="0" xfId="1" applyFont="1" applyFill="1" applyBorder="1"/>
    <xf numFmtId="43" fontId="17" fillId="0" borderId="0" xfId="0" applyNumberFormat="1" applyFont="1" applyAlignment="1"/>
    <xf numFmtId="4" fontId="17" fillId="0" borderId="0" xfId="0" applyNumberFormat="1" applyFont="1" applyAlignment="1"/>
    <xf numFmtId="0" fontId="18" fillId="0" borderId="7" xfId="1" applyNumberFormat="1" applyFont="1" applyFill="1" applyBorder="1" applyAlignment="1">
      <alignment horizontal="center"/>
    </xf>
    <xf numFmtId="4" fontId="18" fillId="0" borderId="7" xfId="1" applyNumberFormat="1" applyFont="1" applyFill="1" applyBorder="1"/>
    <xf numFmtId="0" fontId="17" fillId="0" borderId="7" xfId="0" applyFont="1" applyBorder="1" applyAlignment="1">
      <alignment horizontal="left" vertical="top" wrapText="1"/>
    </xf>
    <xf numFmtId="37" fontId="17" fillId="0" borderId="7" xfId="1" applyNumberFormat="1" applyFont="1" applyFill="1" applyBorder="1" applyAlignment="1">
      <alignment horizontal="center"/>
    </xf>
    <xf numFmtId="43" fontId="17" fillId="0" borderId="7" xfId="1" applyNumberFormat="1" applyFont="1" applyFill="1" applyBorder="1"/>
    <xf numFmtId="0" fontId="17" fillId="0" borderId="7" xfId="1" applyNumberFormat="1" applyFont="1" applyFill="1" applyBorder="1" applyAlignment="1">
      <alignment horizontal="center"/>
    </xf>
    <xf numFmtId="4" fontId="17" fillId="0" borderId="7" xfId="1" applyNumberFormat="1" applyFont="1" applyFill="1" applyBorder="1"/>
    <xf numFmtId="164" fontId="17" fillId="0" borderId="7" xfId="1" applyFont="1" applyFill="1" applyBorder="1"/>
    <xf numFmtId="180" fontId="17" fillId="0" borderId="0" xfId="0" applyNumberFormat="1" applyFont="1" applyAlignment="1"/>
    <xf numFmtId="2" fontId="17" fillId="0" borderId="0" xfId="0" applyNumberFormat="1" applyFont="1" applyAlignment="1">
      <alignment vertical="top" wrapText="1"/>
    </xf>
    <xf numFmtId="164" fontId="17" fillId="0" borderId="0" xfId="1" applyFont="1" applyFill="1" applyBorder="1" applyAlignment="1"/>
    <xf numFmtId="0" fontId="17" fillId="0" borderId="0" xfId="0" applyFont="1" applyAlignment="1" applyProtection="1">
      <alignment horizontal="left"/>
      <protection locked="0"/>
    </xf>
    <xf numFmtId="0" fontId="17" fillId="0" borderId="0" xfId="0" applyFont="1" applyAlignment="1">
      <alignment horizontal="center" vertical="top"/>
    </xf>
    <xf numFmtId="164" fontId="17" fillId="0" borderId="0" xfId="1" applyFont="1" applyFill="1" applyBorder="1" applyAlignment="1" applyProtection="1">
      <alignment horizontal="left"/>
      <protection locked="0"/>
    </xf>
    <xf numFmtId="4" fontId="17" fillId="0" borderId="0" xfId="0" applyNumberFormat="1" applyFont="1" applyAlignment="1">
      <alignment horizontal="right" vertical="center"/>
    </xf>
    <xf numFmtId="0" fontId="17" fillId="0" borderId="0" xfId="0" applyFont="1" applyAlignment="1">
      <alignment horizontal="left" vertical="top"/>
    </xf>
    <xf numFmtId="10" fontId="17" fillId="0" borderId="0" xfId="0" applyNumberFormat="1" applyFont="1" applyAlignment="1">
      <alignment horizontal="center"/>
    </xf>
    <xf numFmtId="164" fontId="18" fillId="0" borderId="7" xfId="1" applyFont="1" applyFill="1" applyBorder="1" applyAlignment="1">
      <alignment horizontal="center" vertical="top" wrapText="1"/>
    </xf>
    <xf numFmtId="164" fontId="17" fillId="0" borderId="0" xfId="0" applyNumberFormat="1" applyFont="1" applyAlignment="1"/>
    <xf numFmtId="164" fontId="18" fillId="0" borderId="0" xfId="1" applyFont="1" applyFill="1" applyBorder="1"/>
    <xf numFmtId="176" fontId="17" fillId="0" borderId="7" xfId="1" applyNumberFormat="1" applyFont="1" applyFill="1" applyBorder="1"/>
    <xf numFmtId="1" fontId="17" fillId="0" borderId="7" xfId="0" applyNumberFormat="1" applyFont="1" applyBorder="1" applyAlignment="1">
      <alignment horizontal="center"/>
    </xf>
    <xf numFmtId="2" fontId="17" fillId="0" borderId="7" xfId="0" applyNumberFormat="1" applyFont="1" applyBorder="1" applyAlignment="1">
      <alignment horizontal="right"/>
    </xf>
    <xf numFmtId="164" fontId="17" fillId="0" borderId="7" xfId="1" applyFont="1" applyFill="1" applyBorder="1" applyAlignment="1">
      <alignment horizontal="center" vertical="top" wrapText="1"/>
    </xf>
    <xf numFmtId="0" fontId="17" fillId="0" borderId="7" xfId="0" applyFont="1" applyBorder="1" applyAlignment="1">
      <alignment vertical="top" wrapText="1"/>
    </xf>
    <xf numFmtId="43" fontId="18" fillId="0" borderId="0" xfId="0" applyNumberFormat="1" applyFont="1" applyAlignment="1"/>
    <xf numFmtId="0" fontId="17" fillId="0" borderId="7" xfId="0" applyFont="1" applyBorder="1" applyAlignment="1">
      <alignment horizontal="center"/>
    </xf>
    <xf numFmtId="0" fontId="18" fillId="0" borderId="0" xfId="0" applyFont="1" applyAlignment="1">
      <alignment vertical="top" wrapText="1"/>
    </xf>
    <xf numFmtId="0" fontId="17" fillId="0" borderId="0" xfId="0" applyFont="1" applyAlignment="1">
      <alignment horizontal="center"/>
    </xf>
    <xf numFmtId="2" fontId="17" fillId="0" borderId="0" xfId="0" applyNumberFormat="1" applyFont="1" applyAlignment="1">
      <alignment horizontal="right"/>
    </xf>
    <xf numFmtId="0" fontId="17" fillId="0" borderId="0" xfId="0" applyFont="1" applyAlignment="1">
      <alignment horizontal="right" vertical="top" wrapText="1"/>
    </xf>
    <xf numFmtId="0" fontId="17" fillId="0" borderId="7" xfId="0" applyFont="1" applyBorder="1" applyAlignment="1">
      <alignment horizontal="center" vertical="top" wrapText="1"/>
    </xf>
    <xf numFmtId="181" fontId="17" fillId="0" borderId="0" xfId="0" applyNumberFormat="1" applyFont="1" applyAlignment="1">
      <alignment horizontal="right" vertical="top" wrapText="1"/>
    </xf>
    <xf numFmtId="2" fontId="17" fillId="0" borderId="0" xfId="0" applyNumberFormat="1" applyFont="1" applyAlignment="1">
      <alignment horizontal="center"/>
    </xf>
    <xf numFmtId="0" fontId="17" fillId="0" borderId="7" xfId="0" applyFont="1" applyBorder="1" applyAlignment="1">
      <alignment horizontal="left"/>
    </xf>
    <xf numFmtId="2" fontId="17" fillId="0" borderId="7" xfId="0" applyNumberFormat="1" applyFont="1" applyBorder="1" applyAlignment="1">
      <alignment horizontal="center" vertical="top" wrapText="1"/>
    </xf>
    <xf numFmtId="0" fontId="17" fillId="0" borderId="0" xfId="0" applyFont="1" applyAlignment="1">
      <alignment horizontal="left"/>
    </xf>
    <xf numFmtId="0" fontId="17" fillId="0" borderId="0" xfId="0" applyFont="1" applyAlignment="1">
      <alignment horizontal="right" vertical="top"/>
    </xf>
    <xf numFmtId="2" fontId="17" fillId="0" borderId="0" xfId="0" applyNumberFormat="1" applyFont="1" applyAlignment="1">
      <alignment horizontal="right" vertical="top"/>
    </xf>
    <xf numFmtId="182" fontId="17" fillId="0" borderId="0" xfId="1" applyNumberFormat="1" applyFont="1" applyFill="1" applyBorder="1" applyAlignment="1">
      <alignment horizontal="center" vertical="top" wrapText="1"/>
    </xf>
    <xf numFmtId="0" fontId="17" fillId="0" borderId="0" xfId="0" applyFont="1" applyAlignment="1">
      <alignment horizontal="left" vertical="top" wrapText="1"/>
    </xf>
    <xf numFmtId="179" fontId="17" fillId="0" borderId="0" xfId="1" applyNumberFormat="1" applyFont="1" applyFill="1" applyBorder="1" applyAlignment="1">
      <alignment horizontal="right" vertical="top" wrapText="1"/>
    </xf>
    <xf numFmtId="2" fontId="17" fillId="0" borderId="0" xfId="0" applyNumberFormat="1" applyFont="1" applyAlignment="1"/>
    <xf numFmtId="4" fontId="17" fillId="0" borderId="0" xfId="1" applyNumberFormat="1" applyFont="1" applyFill="1" applyBorder="1"/>
    <xf numFmtId="2" fontId="17" fillId="0" borderId="7" xfId="0" applyNumberFormat="1" applyFont="1" applyBorder="1" applyAlignment="1">
      <alignment vertical="top" wrapText="1"/>
    </xf>
    <xf numFmtId="164" fontId="17" fillId="0" borderId="7" xfId="1" applyFont="1" applyFill="1" applyBorder="1" applyAlignment="1"/>
    <xf numFmtId="4" fontId="17" fillId="0" borderId="7" xfId="0" applyNumberFormat="1" applyFont="1" applyBorder="1" applyAlignment="1">
      <alignment horizontal="center"/>
    </xf>
    <xf numFmtId="4" fontId="17" fillId="0" borderId="7" xfId="1" applyNumberFormat="1" applyFont="1" applyFill="1" applyBorder="1" applyAlignment="1">
      <alignment horizontal="center"/>
    </xf>
    <xf numFmtId="4" fontId="18" fillId="0" borderId="7" xfId="0" applyNumberFormat="1" applyFont="1" applyBorder="1" applyAlignment="1">
      <alignment horizontal="center" vertical="top" wrapText="1"/>
    </xf>
    <xf numFmtId="4" fontId="17" fillId="0" borderId="7" xfId="0" applyNumberFormat="1" applyFont="1" applyBorder="1" applyAlignment="1">
      <alignment horizontal="center" vertical="top" wrapText="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25" fillId="2" borderId="1" xfId="0" applyFont="1" applyFill="1" applyBorder="1" applyAlignment="1">
      <alignment horizontal="left" vertical="center" wrapText="1" readingOrder="1"/>
    </xf>
    <xf numFmtId="0" fontId="25" fillId="2" borderId="3" xfId="0" applyFont="1" applyFill="1" applyBorder="1" applyAlignment="1">
      <alignment horizontal="left" vertical="center" wrapText="1" readingOrder="1"/>
    </xf>
    <xf numFmtId="0" fontId="11" fillId="0" borderId="0" xfId="10" applyFont="1" applyAlignment="1">
      <alignment horizontal="center" vertical="center" wrapText="1"/>
    </xf>
    <xf numFmtId="0" fontId="6" fillId="2" borderId="1"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5" fillId="2" borderId="0" xfId="0" applyFont="1" applyFill="1" applyAlignment="1">
      <alignment horizontal="left" vertical="center" wrapText="1" readingOrder="1"/>
    </xf>
    <xf numFmtId="0" fontId="28" fillId="2" borderId="7" xfId="0" applyFont="1" applyFill="1" applyBorder="1" applyAlignment="1">
      <alignment horizontal="center" vertical="center" wrapText="1" readingOrder="1"/>
    </xf>
    <xf numFmtId="0" fontId="28" fillId="2" borderId="8" xfId="0" applyFont="1" applyFill="1" applyBorder="1" applyAlignment="1">
      <alignment horizontal="center" vertical="center" readingOrder="1"/>
    </xf>
    <xf numFmtId="0" fontId="28" fillId="2" borderId="9" xfId="0" applyFont="1" applyFill="1" applyBorder="1" applyAlignment="1">
      <alignment horizontal="center" vertical="center" readingOrder="1"/>
    </xf>
    <xf numFmtId="0" fontId="28" fillId="2" borderId="10" xfId="0" applyFont="1" applyFill="1" applyBorder="1" applyAlignment="1">
      <alignment horizontal="center" vertical="center" readingOrder="1"/>
    </xf>
    <xf numFmtId="0" fontId="5" fillId="0" borderId="0" xfId="0" applyFont="1" applyAlignment="1">
      <alignment horizontal="left" vertical="center" wrapText="1" readingOrder="1"/>
    </xf>
    <xf numFmtId="0" fontId="28" fillId="0" borderId="7" xfId="0" applyFont="1" applyBorder="1" applyAlignment="1">
      <alignment horizontal="center" vertical="center" wrapText="1" readingOrder="1"/>
    </xf>
    <xf numFmtId="0" fontId="28" fillId="0" borderId="7" xfId="0" applyFont="1" applyBorder="1" applyAlignment="1">
      <alignment horizontal="center" vertical="center" readingOrder="1"/>
    </xf>
    <xf numFmtId="0" fontId="25" fillId="2" borderId="0" xfId="0" applyFont="1" applyFill="1" applyAlignment="1">
      <alignment horizontal="left" vertical="center" wrapText="1" readingOrder="1"/>
    </xf>
    <xf numFmtId="0" fontId="6" fillId="2" borderId="2" xfId="0" applyFont="1" applyFill="1" applyBorder="1" applyAlignment="1">
      <alignment horizontal="left" vertical="center" wrapText="1" readingOrder="1"/>
    </xf>
    <xf numFmtId="0" fontId="27" fillId="0" borderId="7" xfId="12" applyFont="1" applyBorder="1" applyAlignment="1">
      <alignment horizontal="center" vertical="center"/>
    </xf>
    <xf numFmtId="0" fontId="27" fillId="0" borderId="8" xfId="12" applyFont="1" applyBorder="1" applyAlignment="1">
      <alignment horizontal="center" vertical="center"/>
    </xf>
    <xf numFmtId="0" fontId="27" fillId="0" borderId="9" xfId="12" applyFont="1" applyBorder="1" applyAlignment="1">
      <alignment horizontal="center" vertical="center"/>
    </xf>
    <xf numFmtId="0" fontId="27" fillId="0" borderId="10" xfId="12" applyFont="1" applyBorder="1" applyAlignment="1">
      <alignment horizontal="center" vertical="center"/>
    </xf>
    <xf numFmtId="0" fontId="20" fillId="0" borderId="8" xfId="12" applyFont="1" applyBorder="1" applyAlignment="1">
      <alignment horizontal="left" vertical="center" wrapText="1"/>
    </xf>
    <xf numFmtId="0" fontId="20" fillId="0" borderId="9" xfId="12" applyFont="1" applyBorder="1" applyAlignment="1">
      <alignment horizontal="left" vertical="center" wrapText="1"/>
    </xf>
    <xf numFmtId="0" fontId="20" fillId="0" borderId="10" xfId="12" applyFont="1" applyBorder="1" applyAlignment="1">
      <alignment horizontal="left" vertical="center" wrapText="1"/>
    </xf>
    <xf numFmtId="0" fontId="27" fillId="0" borderId="8" xfId="12" applyFont="1" applyBorder="1" applyAlignment="1">
      <alignment horizontal="center" vertical="center" wrapText="1"/>
    </xf>
    <xf numFmtId="0" fontId="27" fillId="0" borderId="10" xfId="12" applyFont="1" applyBorder="1" applyAlignment="1">
      <alignment horizontal="center" vertical="center" wrapText="1"/>
    </xf>
    <xf numFmtId="0" fontId="20" fillId="0" borderId="8" xfId="1" applyNumberFormat="1" applyFont="1" applyBorder="1" applyAlignment="1">
      <alignment horizontal="center" vertical="center"/>
    </xf>
    <xf numFmtId="0" fontId="20" fillId="0" borderId="10" xfId="1" applyNumberFormat="1" applyFont="1" applyBorder="1" applyAlignment="1">
      <alignment horizontal="center" vertical="center"/>
    </xf>
    <xf numFmtId="0" fontId="25" fillId="0" borderId="1" xfId="0" applyFont="1" applyBorder="1" applyAlignment="1">
      <alignment horizontal="left" vertical="top" wrapText="1" readingOrder="1"/>
    </xf>
    <xf numFmtId="0" fontId="25" fillId="0" borderId="3" xfId="0" applyFont="1" applyBorder="1" applyAlignment="1">
      <alignment horizontal="left" vertical="top" wrapText="1" readingOrder="1"/>
    </xf>
    <xf numFmtId="0" fontId="25" fillId="2" borderId="0" xfId="3" applyFont="1" applyFill="1" applyAlignment="1">
      <alignment horizontal="left" vertical="center" wrapText="1" readingOrder="1"/>
    </xf>
    <xf numFmtId="0" fontId="25" fillId="0" borderId="1" xfId="0" applyFont="1" applyBorder="1" applyAlignment="1">
      <alignment horizontal="left" vertical="center" wrapText="1" readingOrder="1"/>
    </xf>
    <xf numFmtId="0" fontId="25" fillId="0" borderId="3" xfId="0" applyFont="1" applyBorder="1" applyAlignment="1">
      <alignment horizontal="left" vertical="center" wrapText="1" readingOrder="1"/>
    </xf>
    <xf numFmtId="0" fontId="23" fillId="0" borderId="0" xfId="8" applyFont="1" applyAlignment="1">
      <alignment horizontal="left" vertical="center"/>
    </xf>
    <xf numFmtId="0" fontId="20" fillId="0" borderId="0" xfId="5" applyFont="1" applyAlignment="1">
      <alignment horizontal="left"/>
    </xf>
    <xf numFmtId="0" fontId="10" fillId="0" borderId="7" xfId="5" applyFont="1" applyBorder="1" applyAlignment="1">
      <alignment horizontal="center"/>
    </xf>
    <xf numFmtId="0" fontId="11" fillId="0" borderId="7" xfId="6" applyFont="1" applyBorder="1" applyAlignment="1">
      <alignment horizontal="center" vertical="center"/>
    </xf>
    <xf numFmtId="0" fontId="16" fillId="3" borderId="7" xfId="6" applyFont="1" applyFill="1" applyBorder="1" applyAlignment="1">
      <alignment horizontal="center" vertical="center" wrapText="1"/>
    </xf>
    <xf numFmtId="0" fontId="23" fillId="0" borderId="8" xfId="8" applyFont="1" applyBorder="1" applyAlignment="1">
      <alignment horizontal="left" vertical="center"/>
    </xf>
    <xf numFmtId="0" fontId="23" fillId="0" borderId="9" xfId="8" applyFont="1" applyBorder="1" applyAlignment="1">
      <alignment horizontal="left" vertical="center"/>
    </xf>
    <xf numFmtId="0" fontId="23" fillId="0" borderId="10" xfId="8" applyFont="1" applyBorder="1" applyAlignment="1">
      <alignment horizontal="left" vertical="center"/>
    </xf>
    <xf numFmtId="0" fontId="23" fillId="0" borderId="0" xfId="8" applyFont="1" applyAlignment="1">
      <alignment horizontal="left"/>
    </xf>
    <xf numFmtId="0" fontId="18" fillId="0" borderId="0" xfId="0" applyFont="1" applyAlignment="1">
      <alignment horizontal="center"/>
    </xf>
  </cellXfs>
  <cellStyles count="16">
    <cellStyle name="Comma" xfId="1" builtinId="3"/>
    <cellStyle name="Comma 10" xfId="7" xr:uid="{D05B3091-E9C2-4562-8B75-FB25F2B9FC47}"/>
    <cellStyle name="Comma 2" xfId="13" xr:uid="{1CB61826-6F38-4C72-9970-3D8F519CCCD8}"/>
    <cellStyle name="Hyperlink" xfId="15" builtinId="8"/>
    <cellStyle name="Hyperlink 2" xfId="4" xr:uid="{0B7C0D46-FD04-4045-8C5A-40A5C88048D8}"/>
    <cellStyle name="Normal" xfId="0" builtinId="0"/>
    <cellStyle name="Normal 2" xfId="3" xr:uid="{E4BAA1F3-DF58-4A01-AF24-0F8D36986EC9}"/>
    <cellStyle name="Normal 2 2 3" xfId="12" xr:uid="{11D349EE-18BC-47A0-A501-A80C34726354}"/>
    <cellStyle name="Normal 2 2 3 2" xfId="2" xr:uid="{6C4AF809-4408-4556-ACAD-D927BC163D53}"/>
    <cellStyle name="Normal 3" xfId="10" xr:uid="{3A5C97D9-DF59-438E-B614-EF55C52D9619}"/>
    <cellStyle name="Normal 4" xfId="5" xr:uid="{700B7259-6825-41EF-A2E6-C89990A75FD2}"/>
    <cellStyle name="Normal 4 2" xfId="14" xr:uid="{743AD780-288A-45D1-BF2E-2258DB017A06}"/>
    <cellStyle name="Normal_Bonsaverportfolio 2 2" xfId="6" xr:uid="{C201CB25-A784-4A23-8DCA-292D67D3C3BE}"/>
    <cellStyle name="Normal_Halfyearly_Debtholdings_30092011 2" xfId="8" xr:uid="{2D59D492-AE88-4293-ADA0-A1E4489B5142}"/>
    <cellStyle name="Normal_Holdingotherschemes new" xfId="9" xr:uid="{162A6062-5DD6-4F6E-8A78-49F559E5EAAA}"/>
    <cellStyle name="Percent" xfId="1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7.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8.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4.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19050</xdr:rowOff>
    </xdr:from>
    <xdr:to>
      <xdr:col>14</xdr:col>
      <xdr:colOff>235942</xdr:colOff>
      <xdr:row>10</xdr:row>
      <xdr:rowOff>66675</xdr:rowOff>
    </xdr:to>
    <xdr:pic>
      <xdr:nvPicPr>
        <xdr:cNvPr id="2" name="Picture 1">
          <a:extLst>
            <a:ext uri="{FF2B5EF4-FFF2-40B4-BE49-F238E27FC236}">
              <a16:creationId xmlns:a16="http://schemas.microsoft.com/office/drawing/2014/main" id="{DF225BA0-C115-44A5-95FC-902EBFCD78C5}"/>
            </a:ext>
          </a:extLst>
        </xdr:cNvPr>
        <xdr:cNvPicPr>
          <a:picLocks noChangeAspect="1"/>
        </xdr:cNvPicPr>
      </xdr:nvPicPr>
      <xdr:blipFill>
        <a:blip xmlns:r="http://schemas.openxmlformats.org/officeDocument/2006/relationships" r:embed="rId1"/>
        <a:stretch>
          <a:fillRect/>
        </a:stretch>
      </xdr:blipFill>
      <xdr:spPr>
        <a:xfrm>
          <a:off x="10172700" y="457200"/>
          <a:ext cx="3283942" cy="2009775"/>
        </a:xfrm>
        <a:prstGeom prst="rect">
          <a:avLst/>
        </a:prstGeom>
      </xdr:spPr>
    </xdr:pic>
    <xdr:clientData/>
  </xdr:twoCellAnchor>
  <xdr:twoCellAnchor editAs="oneCell">
    <xdr:from>
      <xdr:col>8</xdr:col>
      <xdr:colOff>523874</xdr:colOff>
      <xdr:row>12</xdr:row>
      <xdr:rowOff>123825</xdr:rowOff>
    </xdr:from>
    <xdr:to>
      <xdr:col>14</xdr:col>
      <xdr:colOff>247649</xdr:colOff>
      <xdr:row>19</xdr:row>
      <xdr:rowOff>371475</xdr:rowOff>
    </xdr:to>
    <xdr:pic>
      <xdr:nvPicPr>
        <xdr:cNvPr id="3" name="Picture 2">
          <a:extLst>
            <a:ext uri="{FF2B5EF4-FFF2-40B4-BE49-F238E27FC236}">
              <a16:creationId xmlns:a16="http://schemas.microsoft.com/office/drawing/2014/main" id="{808DFE42-3D3F-4E1D-9A60-07DC7DF140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4" y="3095625"/>
          <a:ext cx="33813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676275</xdr:colOff>
      <xdr:row>2</xdr:row>
      <xdr:rowOff>114300</xdr:rowOff>
    </xdr:from>
    <xdr:to>
      <xdr:col>14</xdr:col>
      <xdr:colOff>95250</xdr:colOff>
      <xdr:row>10</xdr:row>
      <xdr:rowOff>161925</xdr:rowOff>
    </xdr:to>
    <xdr:pic>
      <xdr:nvPicPr>
        <xdr:cNvPr id="2" name="Picture 1">
          <a:extLst>
            <a:ext uri="{FF2B5EF4-FFF2-40B4-BE49-F238E27FC236}">
              <a16:creationId xmlns:a16="http://schemas.microsoft.com/office/drawing/2014/main" id="{8CDFC03A-1E75-48EB-B2E6-F79C9CFEF815}"/>
            </a:ext>
          </a:extLst>
        </xdr:cNvPr>
        <xdr:cNvPicPr>
          <a:picLocks noChangeAspect="1"/>
        </xdr:cNvPicPr>
      </xdr:nvPicPr>
      <xdr:blipFill>
        <a:blip xmlns:r="http://schemas.openxmlformats.org/officeDocument/2006/relationships" r:embed="rId1"/>
        <a:stretch>
          <a:fillRect/>
        </a:stretch>
      </xdr:blipFill>
      <xdr:spPr>
        <a:xfrm>
          <a:off x="10239375" y="552450"/>
          <a:ext cx="3305175" cy="2009775"/>
        </a:xfrm>
        <a:prstGeom prst="rect">
          <a:avLst/>
        </a:prstGeom>
      </xdr:spPr>
    </xdr:pic>
    <xdr:clientData/>
  </xdr:twoCellAnchor>
  <xdr:twoCellAnchor editAs="oneCell">
    <xdr:from>
      <xdr:col>8</xdr:col>
      <xdr:colOff>647702</xdr:colOff>
      <xdr:row>13</xdr:row>
      <xdr:rowOff>0</xdr:rowOff>
    </xdr:from>
    <xdr:to>
      <xdr:col>14</xdr:col>
      <xdr:colOff>85726</xdr:colOff>
      <xdr:row>19</xdr:row>
      <xdr:rowOff>28575</xdr:rowOff>
    </xdr:to>
    <xdr:pic>
      <xdr:nvPicPr>
        <xdr:cNvPr id="3" name="Picture 2">
          <a:extLst>
            <a:ext uri="{FF2B5EF4-FFF2-40B4-BE49-F238E27FC236}">
              <a16:creationId xmlns:a16="http://schemas.microsoft.com/office/drawing/2014/main" id="{AF4C1606-2BEE-40C5-8C36-E2A25EBB80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2" y="3181350"/>
          <a:ext cx="3324224"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685802</xdr:colOff>
      <xdr:row>22</xdr:row>
      <xdr:rowOff>57151</xdr:rowOff>
    </xdr:from>
    <xdr:to>
      <xdr:col>14</xdr:col>
      <xdr:colOff>123825</xdr:colOff>
      <xdr:row>27</xdr:row>
      <xdr:rowOff>46819</xdr:rowOff>
    </xdr:to>
    <xdr:pic>
      <xdr:nvPicPr>
        <xdr:cNvPr id="4" name="Picture 3">
          <a:extLst>
            <a:ext uri="{FF2B5EF4-FFF2-40B4-BE49-F238E27FC236}">
              <a16:creationId xmlns:a16="http://schemas.microsoft.com/office/drawing/2014/main" id="{FAD604B8-B183-4D64-993F-DB5DB58C55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48902" y="5734051"/>
          <a:ext cx="3324223" cy="1799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552450</xdr:colOff>
      <xdr:row>2</xdr:row>
      <xdr:rowOff>123825</xdr:rowOff>
    </xdr:from>
    <xdr:to>
      <xdr:col>14</xdr:col>
      <xdr:colOff>178792</xdr:colOff>
      <xdr:row>10</xdr:row>
      <xdr:rowOff>171450</xdr:rowOff>
    </xdr:to>
    <xdr:pic>
      <xdr:nvPicPr>
        <xdr:cNvPr id="2" name="Picture 1">
          <a:extLst>
            <a:ext uri="{FF2B5EF4-FFF2-40B4-BE49-F238E27FC236}">
              <a16:creationId xmlns:a16="http://schemas.microsoft.com/office/drawing/2014/main" id="{FBF24991-C4A1-4A5C-B523-C47C1CCEB45A}"/>
            </a:ext>
          </a:extLst>
        </xdr:cNvPr>
        <xdr:cNvPicPr>
          <a:picLocks noChangeAspect="1"/>
        </xdr:cNvPicPr>
      </xdr:nvPicPr>
      <xdr:blipFill>
        <a:blip xmlns:r="http://schemas.openxmlformats.org/officeDocument/2006/relationships" r:embed="rId1"/>
        <a:stretch>
          <a:fillRect/>
        </a:stretch>
      </xdr:blipFill>
      <xdr:spPr>
        <a:xfrm>
          <a:off x="10115550" y="561975"/>
          <a:ext cx="3283942" cy="2009775"/>
        </a:xfrm>
        <a:prstGeom prst="rect">
          <a:avLst/>
        </a:prstGeom>
      </xdr:spPr>
    </xdr:pic>
    <xdr:clientData/>
  </xdr:twoCellAnchor>
  <xdr:twoCellAnchor editAs="oneCell">
    <xdr:from>
      <xdr:col>8</xdr:col>
      <xdr:colOff>485775</xdr:colOff>
      <xdr:row>13</xdr:row>
      <xdr:rowOff>76200</xdr:rowOff>
    </xdr:from>
    <xdr:to>
      <xdr:col>14</xdr:col>
      <xdr:colOff>114300</xdr:colOff>
      <xdr:row>19</xdr:row>
      <xdr:rowOff>238125</xdr:rowOff>
    </xdr:to>
    <xdr:pic>
      <xdr:nvPicPr>
        <xdr:cNvPr id="3" name="Picture 2">
          <a:extLst>
            <a:ext uri="{FF2B5EF4-FFF2-40B4-BE49-F238E27FC236}">
              <a16:creationId xmlns:a16="http://schemas.microsoft.com/office/drawing/2014/main" id="{895F9543-A45E-418C-9076-3D0F4AEE02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3257550"/>
          <a:ext cx="32861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552450</xdr:colOff>
      <xdr:row>2</xdr:row>
      <xdr:rowOff>76200</xdr:rowOff>
    </xdr:from>
    <xdr:to>
      <xdr:col>14</xdr:col>
      <xdr:colOff>178792</xdr:colOff>
      <xdr:row>10</xdr:row>
      <xdr:rowOff>123825</xdr:rowOff>
    </xdr:to>
    <xdr:pic>
      <xdr:nvPicPr>
        <xdr:cNvPr id="2" name="Picture 1">
          <a:extLst>
            <a:ext uri="{FF2B5EF4-FFF2-40B4-BE49-F238E27FC236}">
              <a16:creationId xmlns:a16="http://schemas.microsoft.com/office/drawing/2014/main" id="{F5AF44AF-F8E1-44BD-9AA8-DCB3447C652F}"/>
            </a:ext>
          </a:extLst>
        </xdr:cNvPr>
        <xdr:cNvPicPr>
          <a:picLocks noChangeAspect="1"/>
        </xdr:cNvPicPr>
      </xdr:nvPicPr>
      <xdr:blipFill>
        <a:blip xmlns:r="http://schemas.openxmlformats.org/officeDocument/2006/relationships" r:embed="rId1"/>
        <a:stretch>
          <a:fillRect/>
        </a:stretch>
      </xdr:blipFill>
      <xdr:spPr>
        <a:xfrm>
          <a:off x="10115550" y="514350"/>
          <a:ext cx="3283942" cy="2009775"/>
        </a:xfrm>
        <a:prstGeom prst="rect">
          <a:avLst/>
        </a:prstGeom>
      </xdr:spPr>
    </xdr:pic>
    <xdr:clientData/>
  </xdr:twoCellAnchor>
  <xdr:twoCellAnchor editAs="oneCell">
    <xdr:from>
      <xdr:col>8</xdr:col>
      <xdr:colOff>514350</xdr:colOff>
      <xdr:row>13</xdr:row>
      <xdr:rowOff>28576</xdr:rowOff>
    </xdr:from>
    <xdr:to>
      <xdr:col>14</xdr:col>
      <xdr:colOff>161925</xdr:colOff>
      <xdr:row>19</xdr:row>
      <xdr:rowOff>238126</xdr:rowOff>
    </xdr:to>
    <xdr:pic>
      <xdr:nvPicPr>
        <xdr:cNvPr id="3" name="Picture 2">
          <a:extLst>
            <a:ext uri="{FF2B5EF4-FFF2-40B4-BE49-F238E27FC236}">
              <a16:creationId xmlns:a16="http://schemas.microsoft.com/office/drawing/2014/main" id="{B7236A6B-087E-43C7-A2EA-3522155DF0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362326"/>
          <a:ext cx="33051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190500</xdr:rowOff>
    </xdr:to>
    <xdr:pic>
      <xdr:nvPicPr>
        <xdr:cNvPr id="2" name="Picture 1">
          <a:extLst>
            <a:ext uri="{FF2B5EF4-FFF2-40B4-BE49-F238E27FC236}">
              <a16:creationId xmlns:a16="http://schemas.microsoft.com/office/drawing/2014/main" id="{DC9B8582-175E-453E-9C11-14E186C08A57}"/>
            </a:ext>
          </a:extLst>
        </xdr:cNvPr>
        <xdr:cNvPicPr>
          <a:picLocks noChangeAspect="1"/>
        </xdr:cNvPicPr>
      </xdr:nvPicPr>
      <xdr:blipFill>
        <a:blip xmlns:r="http://schemas.openxmlformats.org/officeDocument/2006/relationships" r:embed="rId1"/>
        <a:stretch>
          <a:fillRect/>
        </a:stretch>
      </xdr:blipFill>
      <xdr:spPr>
        <a:xfrm>
          <a:off x="10172700" y="581025"/>
          <a:ext cx="3283942" cy="2009775"/>
        </a:xfrm>
        <a:prstGeom prst="rect">
          <a:avLst/>
        </a:prstGeom>
      </xdr:spPr>
    </xdr:pic>
    <xdr:clientData/>
  </xdr:twoCellAnchor>
  <xdr:twoCellAnchor editAs="oneCell">
    <xdr:from>
      <xdr:col>9</xdr:col>
      <xdr:colOff>0</xdr:colOff>
      <xdr:row>13</xdr:row>
      <xdr:rowOff>152400</xdr:rowOff>
    </xdr:from>
    <xdr:to>
      <xdr:col>14</xdr:col>
      <xdr:colOff>225721</xdr:colOff>
      <xdr:row>19</xdr:row>
      <xdr:rowOff>28575</xdr:rowOff>
    </xdr:to>
    <xdr:pic>
      <xdr:nvPicPr>
        <xdr:cNvPr id="3" name="Picture 2">
          <a:extLst>
            <a:ext uri="{FF2B5EF4-FFF2-40B4-BE49-F238E27FC236}">
              <a16:creationId xmlns:a16="http://schemas.microsoft.com/office/drawing/2014/main" id="{5383CC6A-DC0E-4F73-B328-4309685D4F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19050</xdr:rowOff>
    </xdr:from>
    <xdr:ext cx="3273721" cy="1809750"/>
    <xdr:pic>
      <xdr:nvPicPr>
        <xdr:cNvPr id="4" name="Picture 3">
          <a:extLst>
            <a:ext uri="{FF2B5EF4-FFF2-40B4-BE49-F238E27FC236}">
              <a16:creationId xmlns:a16="http://schemas.microsoft.com/office/drawing/2014/main" id="{567477C4-2540-476A-A0BF-6BE76C1FFC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543550"/>
          <a:ext cx="3273721"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8</xdr:col>
      <xdr:colOff>466726</xdr:colOff>
      <xdr:row>13</xdr:row>
      <xdr:rowOff>104776</xdr:rowOff>
    </xdr:from>
    <xdr:to>
      <xdr:col>14</xdr:col>
      <xdr:colOff>114300</xdr:colOff>
      <xdr:row>20</xdr:row>
      <xdr:rowOff>47626</xdr:rowOff>
    </xdr:to>
    <xdr:pic>
      <xdr:nvPicPr>
        <xdr:cNvPr id="3" name="Picture 2">
          <a:extLst>
            <a:ext uri="{FF2B5EF4-FFF2-40B4-BE49-F238E27FC236}">
              <a16:creationId xmlns:a16="http://schemas.microsoft.com/office/drawing/2014/main" id="{0BA2FF11-3832-4DEB-8D4B-575DDD5AE3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29826" y="3286126"/>
          <a:ext cx="3305174"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523875</xdr:colOff>
      <xdr:row>2</xdr:row>
      <xdr:rowOff>133350</xdr:rowOff>
    </xdr:from>
    <xdr:to>
      <xdr:col>14</xdr:col>
      <xdr:colOff>85725</xdr:colOff>
      <xdr:row>9</xdr:row>
      <xdr:rowOff>123600</xdr:rowOff>
    </xdr:to>
    <xdr:pic>
      <xdr:nvPicPr>
        <xdr:cNvPr id="4" name="Picture 3">
          <a:extLst>
            <a:ext uri="{FF2B5EF4-FFF2-40B4-BE49-F238E27FC236}">
              <a16:creationId xmlns:a16="http://schemas.microsoft.com/office/drawing/2014/main" id="{DEE1E00B-FB42-42FE-84ED-45A220BC0BB8}"/>
            </a:ext>
          </a:extLst>
        </xdr:cNvPr>
        <xdr:cNvPicPr>
          <a:picLocks/>
        </xdr:cNvPicPr>
      </xdr:nvPicPr>
      <xdr:blipFill>
        <a:blip xmlns:r="http://schemas.openxmlformats.org/officeDocument/2006/relationships" r:embed="rId2"/>
        <a:stretch>
          <a:fillRect/>
        </a:stretch>
      </xdr:blipFill>
      <xdr:spPr>
        <a:xfrm>
          <a:off x="10086975" y="571500"/>
          <a:ext cx="3219450" cy="18952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9525</xdr:colOff>
      <xdr:row>2</xdr:row>
      <xdr:rowOff>66675</xdr:rowOff>
    </xdr:from>
    <xdr:to>
      <xdr:col>14</xdr:col>
      <xdr:colOff>171450</xdr:colOff>
      <xdr:row>9</xdr:row>
      <xdr:rowOff>171450</xdr:rowOff>
    </xdr:to>
    <xdr:pic>
      <xdr:nvPicPr>
        <xdr:cNvPr id="2" name="Picture 1">
          <a:extLst>
            <a:ext uri="{FF2B5EF4-FFF2-40B4-BE49-F238E27FC236}">
              <a16:creationId xmlns:a16="http://schemas.microsoft.com/office/drawing/2014/main" id="{B79673CD-FFB6-4981-A5B6-652F6CE1450E}"/>
            </a:ext>
          </a:extLst>
        </xdr:cNvPr>
        <xdr:cNvPicPr>
          <a:picLocks noChangeAspect="1"/>
        </xdr:cNvPicPr>
      </xdr:nvPicPr>
      <xdr:blipFill>
        <a:blip xmlns:r="http://schemas.openxmlformats.org/officeDocument/2006/relationships" r:embed="rId1"/>
        <a:stretch>
          <a:fillRect/>
        </a:stretch>
      </xdr:blipFill>
      <xdr:spPr>
        <a:xfrm>
          <a:off x="10182225" y="504825"/>
          <a:ext cx="3209925" cy="2009775"/>
        </a:xfrm>
        <a:prstGeom prst="rect">
          <a:avLst/>
        </a:prstGeom>
      </xdr:spPr>
    </xdr:pic>
    <xdr:clientData/>
  </xdr:twoCellAnchor>
  <xdr:twoCellAnchor editAs="oneCell">
    <xdr:from>
      <xdr:col>8</xdr:col>
      <xdr:colOff>504825</xdr:colOff>
      <xdr:row>13</xdr:row>
      <xdr:rowOff>95250</xdr:rowOff>
    </xdr:from>
    <xdr:to>
      <xdr:col>14</xdr:col>
      <xdr:colOff>120946</xdr:colOff>
      <xdr:row>22</xdr:row>
      <xdr:rowOff>0</xdr:rowOff>
    </xdr:to>
    <xdr:pic>
      <xdr:nvPicPr>
        <xdr:cNvPr id="3" name="Picture 2">
          <a:extLst>
            <a:ext uri="{FF2B5EF4-FFF2-40B4-BE49-F238E27FC236}">
              <a16:creationId xmlns:a16="http://schemas.microsoft.com/office/drawing/2014/main" id="{DCEF6364-7388-4829-859F-BC6AE2CB37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2766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552449</xdr:colOff>
      <xdr:row>2</xdr:row>
      <xdr:rowOff>57150</xdr:rowOff>
    </xdr:from>
    <xdr:to>
      <xdr:col>14</xdr:col>
      <xdr:colOff>152400</xdr:colOff>
      <xdr:row>10</xdr:row>
      <xdr:rowOff>104775</xdr:rowOff>
    </xdr:to>
    <xdr:pic>
      <xdr:nvPicPr>
        <xdr:cNvPr id="2" name="Picture 1">
          <a:extLst>
            <a:ext uri="{FF2B5EF4-FFF2-40B4-BE49-F238E27FC236}">
              <a16:creationId xmlns:a16="http://schemas.microsoft.com/office/drawing/2014/main" id="{07A53498-E432-43E2-B61B-54702711230D}"/>
            </a:ext>
          </a:extLst>
        </xdr:cNvPr>
        <xdr:cNvPicPr>
          <a:picLocks noChangeAspect="1"/>
        </xdr:cNvPicPr>
      </xdr:nvPicPr>
      <xdr:blipFill>
        <a:blip xmlns:r="http://schemas.openxmlformats.org/officeDocument/2006/relationships" r:embed="rId1"/>
        <a:stretch>
          <a:fillRect/>
        </a:stretch>
      </xdr:blipFill>
      <xdr:spPr>
        <a:xfrm>
          <a:off x="10115549" y="495300"/>
          <a:ext cx="3257551" cy="2009775"/>
        </a:xfrm>
        <a:prstGeom prst="rect">
          <a:avLst/>
        </a:prstGeom>
      </xdr:spPr>
    </xdr:pic>
    <xdr:clientData/>
  </xdr:twoCellAnchor>
  <xdr:twoCellAnchor editAs="oneCell">
    <xdr:from>
      <xdr:col>8</xdr:col>
      <xdr:colOff>542925</xdr:colOff>
      <xdr:row>13</xdr:row>
      <xdr:rowOff>133350</xdr:rowOff>
    </xdr:from>
    <xdr:to>
      <xdr:col>14</xdr:col>
      <xdr:colOff>161925</xdr:colOff>
      <xdr:row>21</xdr:row>
      <xdr:rowOff>76200</xdr:rowOff>
    </xdr:to>
    <xdr:pic>
      <xdr:nvPicPr>
        <xdr:cNvPr id="3" name="Picture 2">
          <a:extLst>
            <a:ext uri="{FF2B5EF4-FFF2-40B4-BE49-F238E27FC236}">
              <a16:creationId xmlns:a16="http://schemas.microsoft.com/office/drawing/2014/main" id="{56C4C96C-3D63-47FD-9543-51007B1D63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314700"/>
          <a:ext cx="32766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19049</xdr:colOff>
      <xdr:row>2</xdr:row>
      <xdr:rowOff>85725</xdr:rowOff>
    </xdr:from>
    <xdr:to>
      <xdr:col>14</xdr:col>
      <xdr:colOff>169266</xdr:colOff>
      <xdr:row>10</xdr:row>
      <xdr:rowOff>133350</xdr:rowOff>
    </xdr:to>
    <xdr:pic>
      <xdr:nvPicPr>
        <xdr:cNvPr id="2" name="Picture 1">
          <a:extLst>
            <a:ext uri="{FF2B5EF4-FFF2-40B4-BE49-F238E27FC236}">
              <a16:creationId xmlns:a16="http://schemas.microsoft.com/office/drawing/2014/main" id="{DA086578-5070-4E11-8825-12688DF2CC5D}"/>
            </a:ext>
          </a:extLst>
        </xdr:cNvPr>
        <xdr:cNvPicPr>
          <a:picLocks noChangeAspect="1"/>
        </xdr:cNvPicPr>
      </xdr:nvPicPr>
      <xdr:blipFill>
        <a:blip xmlns:r="http://schemas.openxmlformats.org/officeDocument/2006/relationships" r:embed="rId1"/>
        <a:stretch>
          <a:fillRect/>
        </a:stretch>
      </xdr:blipFill>
      <xdr:spPr>
        <a:xfrm>
          <a:off x="10191749" y="523875"/>
          <a:ext cx="3198217" cy="2009775"/>
        </a:xfrm>
        <a:prstGeom prst="rect">
          <a:avLst/>
        </a:prstGeom>
      </xdr:spPr>
    </xdr:pic>
    <xdr:clientData/>
  </xdr:twoCellAnchor>
  <xdr:twoCellAnchor editAs="oneCell">
    <xdr:from>
      <xdr:col>8</xdr:col>
      <xdr:colOff>552450</xdr:colOff>
      <xdr:row>13</xdr:row>
      <xdr:rowOff>76201</xdr:rowOff>
    </xdr:from>
    <xdr:to>
      <xdr:col>14</xdr:col>
      <xdr:colOff>159046</xdr:colOff>
      <xdr:row>20</xdr:row>
      <xdr:rowOff>133351</xdr:rowOff>
    </xdr:to>
    <xdr:pic>
      <xdr:nvPicPr>
        <xdr:cNvPr id="3" name="Picture 2">
          <a:extLst>
            <a:ext uri="{FF2B5EF4-FFF2-40B4-BE49-F238E27FC236}">
              <a16:creationId xmlns:a16="http://schemas.microsoft.com/office/drawing/2014/main" id="{2A29E5BA-C127-459B-8AE0-0A42177071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257551"/>
          <a:ext cx="3264196"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504825</xdr:colOff>
      <xdr:row>2</xdr:row>
      <xdr:rowOff>47625</xdr:rowOff>
    </xdr:from>
    <xdr:to>
      <xdr:col>14</xdr:col>
      <xdr:colOff>131167</xdr:colOff>
      <xdr:row>10</xdr:row>
      <xdr:rowOff>95250</xdr:rowOff>
    </xdr:to>
    <xdr:pic>
      <xdr:nvPicPr>
        <xdr:cNvPr id="2" name="Picture 1">
          <a:extLst>
            <a:ext uri="{FF2B5EF4-FFF2-40B4-BE49-F238E27FC236}">
              <a16:creationId xmlns:a16="http://schemas.microsoft.com/office/drawing/2014/main" id="{E69511C3-B468-4A70-AC59-4925F3190244}"/>
            </a:ext>
          </a:extLst>
        </xdr:cNvPr>
        <xdr:cNvPicPr>
          <a:picLocks noChangeAspect="1"/>
        </xdr:cNvPicPr>
      </xdr:nvPicPr>
      <xdr:blipFill>
        <a:blip xmlns:r="http://schemas.openxmlformats.org/officeDocument/2006/relationships" r:embed="rId1"/>
        <a:stretch>
          <a:fillRect/>
        </a:stretch>
      </xdr:blipFill>
      <xdr:spPr>
        <a:xfrm>
          <a:off x="10067925" y="485775"/>
          <a:ext cx="3283942" cy="2009775"/>
        </a:xfrm>
        <a:prstGeom prst="rect">
          <a:avLst/>
        </a:prstGeom>
      </xdr:spPr>
    </xdr:pic>
    <xdr:clientData/>
  </xdr:twoCellAnchor>
  <xdr:twoCellAnchor editAs="oneCell">
    <xdr:from>
      <xdr:col>8</xdr:col>
      <xdr:colOff>523875</xdr:colOff>
      <xdr:row>13</xdr:row>
      <xdr:rowOff>76200</xdr:rowOff>
    </xdr:from>
    <xdr:to>
      <xdr:col>14</xdr:col>
      <xdr:colOff>139996</xdr:colOff>
      <xdr:row>20</xdr:row>
      <xdr:rowOff>200025</xdr:rowOff>
    </xdr:to>
    <xdr:pic>
      <xdr:nvPicPr>
        <xdr:cNvPr id="3" name="Picture 2">
          <a:extLst>
            <a:ext uri="{FF2B5EF4-FFF2-40B4-BE49-F238E27FC236}">
              <a16:creationId xmlns:a16="http://schemas.microsoft.com/office/drawing/2014/main" id="{49913E76-23CD-473A-8AE1-7020E5A62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2575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514350</xdr:colOff>
      <xdr:row>2</xdr:row>
      <xdr:rowOff>66675</xdr:rowOff>
    </xdr:from>
    <xdr:to>
      <xdr:col>14</xdr:col>
      <xdr:colOff>140692</xdr:colOff>
      <xdr:row>10</xdr:row>
      <xdr:rowOff>114300</xdr:rowOff>
    </xdr:to>
    <xdr:pic>
      <xdr:nvPicPr>
        <xdr:cNvPr id="2" name="Picture 1">
          <a:extLst>
            <a:ext uri="{FF2B5EF4-FFF2-40B4-BE49-F238E27FC236}">
              <a16:creationId xmlns:a16="http://schemas.microsoft.com/office/drawing/2014/main" id="{BA3ABFC6-AC96-44BF-A9B3-F9A3836E64D8}"/>
            </a:ext>
          </a:extLst>
        </xdr:cNvPr>
        <xdr:cNvPicPr>
          <a:picLocks noChangeAspect="1"/>
        </xdr:cNvPicPr>
      </xdr:nvPicPr>
      <xdr:blipFill>
        <a:blip xmlns:r="http://schemas.openxmlformats.org/officeDocument/2006/relationships" r:embed="rId1"/>
        <a:stretch>
          <a:fillRect/>
        </a:stretch>
      </xdr:blipFill>
      <xdr:spPr>
        <a:xfrm>
          <a:off x="10077450" y="504825"/>
          <a:ext cx="3283942" cy="2009775"/>
        </a:xfrm>
        <a:prstGeom prst="rect">
          <a:avLst/>
        </a:prstGeom>
      </xdr:spPr>
    </xdr:pic>
    <xdr:clientData/>
  </xdr:twoCellAnchor>
  <xdr:twoCellAnchor editAs="oneCell">
    <xdr:from>
      <xdr:col>8</xdr:col>
      <xdr:colOff>485775</xdr:colOff>
      <xdr:row>14</xdr:row>
      <xdr:rowOff>57150</xdr:rowOff>
    </xdr:from>
    <xdr:to>
      <xdr:col>14</xdr:col>
      <xdr:colOff>101896</xdr:colOff>
      <xdr:row>21</xdr:row>
      <xdr:rowOff>190500</xdr:rowOff>
    </xdr:to>
    <xdr:pic>
      <xdr:nvPicPr>
        <xdr:cNvPr id="3" name="Picture 2">
          <a:extLst>
            <a:ext uri="{FF2B5EF4-FFF2-40B4-BE49-F238E27FC236}">
              <a16:creationId xmlns:a16="http://schemas.microsoft.com/office/drawing/2014/main" id="{F56F4DE6-9B95-4DF1-AB30-C319EFCABD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344805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523875</xdr:colOff>
      <xdr:row>2</xdr:row>
      <xdr:rowOff>76200</xdr:rowOff>
    </xdr:from>
    <xdr:to>
      <xdr:col>14</xdr:col>
      <xdr:colOff>150217</xdr:colOff>
      <xdr:row>9</xdr:row>
      <xdr:rowOff>180975</xdr:rowOff>
    </xdr:to>
    <xdr:pic>
      <xdr:nvPicPr>
        <xdr:cNvPr id="2" name="Picture 1">
          <a:extLst>
            <a:ext uri="{FF2B5EF4-FFF2-40B4-BE49-F238E27FC236}">
              <a16:creationId xmlns:a16="http://schemas.microsoft.com/office/drawing/2014/main" id="{58FF7177-4A4D-4EAD-8CBB-31BB0D4F027D}"/>
            </a:ext>
          </a:extLst>
        </xdr:cNvPr>
        <xdr:cNvPicPr>
          <a:picLocks noChangeAspect="1"/>
        </xdr:cNvPicPr>
      </xdr:nvPicPr>
      <xdr:blipFill>
        <a:blip xmlns:r="http://schemas.openxmlformats.org/officeDocument/2006/relationships" r:embed="rId1"/>
        <a:stretch>
          <a:fillRect/>
        </a:stretch>
      </xdr:blipFill>
      <xdr:spPr>
        <a:xfrm>
          <a:off x="10086975" y="514350"/>
          <a:ext cx="3283942" cy="2009775"/>
        </a:xfrm>
        <a:prstGeom prst="rect">
          <a:avLst/>
        </a:prstGeom>
      </xdr:spPr>
    </xdr:pic>
    <xdr:clientData/>
  </xdr:twoCellAnchor>
  <xdr:twoCellAnchor editAs="oneCell">
    <xdr:from>
      <xdr:col>8</xdr:col>
      <xdr:colOff>447675</xdr:colOff>
      <xdr:row>13</xdr:row>
      <xdr:rowOff>19050</xdr:rowOff>
    </xdr:from>
    <xdr:to>
      <xdr:col>14</xdr:col>
      <xdr:colOff>123825</xdr:colOff>
      <xdr:row>20</xdr:row>
      <xdr:rowOff>19050</xdr:rowOff>
    </xdr:to>
    <xdr:pic>
      <xdr:nvPicPr>
        <xdr:cNvPr id="3" name="Picture 2">
          <a:extLst>
            <a:ext uri="{FF2B5EF4-FFF2-40B4-BE49-F238E27FC236}">
              <a16:creationId xmlns:a16="http://schemas.microsoft.com/office/drawing/2014/main" id="{C8CAEED3-00AF-4EE6-A5D9-8DF778F856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10775" y="32004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226417</xdr:colOff>
      <xdr:row>10</xdr:row>
      <xdr:rowOff>28575</xdr:rowOff>
    </xdr:to>
    <xdr:pic>
      <xdr:nvPicPr>
        <xdr:cNvPr id="2" name="Picture 1">
          <a:extLst>
            <a:ext uri="{FF2B5EF4-FFF2-40B4-BE49-F238E27FC236}">
              <a16:creationId xmlns:a16="http://schemas.microsoft.com/office/drawing/2014/main" id="{AEC77C3D-9D85-4ACA-9CFF-B0C2542F88F8}"/>
            </a:ext>
          </a:extLst>
        </xdr:cNvPr>
        <xdr:cNvPicPr>
          <a:picLocks noChangeAspect="1"/>
        </xdr:cNvPicPr>
      </xdr:nvPicPr>
      <xdr:blipFill>
        <a:blip xmlns:r="http://schemas.openxmlformats.org/officeDocument/2006/relationships" r:embed="rId1"/>
        <a:stretch>
          <a:fillRect/>
        </a:stretch>
      </xdr:blipFill>
      <xdr:spPr>
        <a:xfrm>
          <a:off x="10163175" y="571500"/>
          <a:ext cx="3283942" cy="2009775"/>
        </a:xfrm>
        <a:prstGeom prst="rect">
          <a:avLst/>
        </a:prstGeom>
      </xdr:spPr>
    </xdr:pic>
    <xdr:clientData/>
  </xdr:twoCellAnchor>
  <xdr:twoCellAnchor editAs="oneCell">
    <xdr:from>
      <xdr:col>8</xdr:col>
      <xdr:colOff>590550</xdr:colOff>
      <xdr:row>12</xdr:row>
      <xdr:rowOff>352426</xdr:rowOff>
    </xdr:from>
    <xdr:to>
      <xdr:col>14</xdr:col>
      <xdr:colOff>206671</xdr:colOff>
      <xdr:row>19</xdr:row>
      <xdr:rowOff>323851</xdr:rowOff>
    </xdr:to>
    <xdr:pic>
      <xdr:nvPicPr>
        <xdr:cNvPr id="3" name="Picture 2">
          <a:extLst>
            <a:ext uri="{FF2B5EF4-FFF2-40B4-BE49-F238E27FC236}">
              <a16:creationId xmlns:a16="http://schemas.microsoft.com/office/drawing/2014/main" id="{5B64EE5D-6856-4EA6-9D68-B41DBAD99E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181351"/>
          <a:ext cx="3273721"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3</xdr:row>
      <xdr:rowOff>9525</xdr:rowOff>
    </xdr:from>
    <xdr:to>
      <xdr:col>14</xdr:col>
      <xdr:colOff>235942</xdr:colOff>
      <xdr:row>10</xdr:row>
      <xdr:rowOff>171450</xdr:rowOff>
    </xdr:to>
    <xdr:pic>
      <xdr:nvPicPr>
        <xdr:cNvPr id="2" name="Picture 1">
          <a:extLst>
            <a:ext uri="{FF2B5EF4-FFF2-40B4-BE49-F238E27FC236}">
              <a16:creationId xmlns:a16="http://schemas.microsoft.com/office/drawing/2014/main" id="{8CD0F7E8-3361-4AA9-87C1-42A7081201A3}"/>
            </a:ext>
          </a:extLst>
        </xdr:cNvPr>
        <xdr:cNvPicPr>
          <a:picLocks noChangeAspect="1"/>
        </xdr:cNvPicPr>
      </xdr:nvPicPr>
      <xdr:blipFill>
        <a:blip xmlns:r="http://schemas.openxmlformats.org/officeDocument/2006/relationships" r:embed="rId1"/>
        <a:stretch>
          <a:fillRect/>
        </a:stretch>
      </xdr:blipFill>
      <xdr:spPr>
        <a:xfrm>
          <a:off x="10172700" y="714375"/>
          <a:ext cx="3283942" cy="2009775"/>
        </a:xfrm>
        <a:prstGeom prst="rect">
          <a:avLst/>
        </a:prstGeom>
      </xdr:spPr>
    </xdr:pic>
    <xdr:clientData/>
  </xdr:twoCellAnchor>
  <xdr:twoCellAnchor editAs="oneCell">
    <xdr:from>
      <xdr:col>9</xdr:col>
      <xdr:colOff>0</xdr:colOff>
      <xdr:row>14</xdr:row>
      <xdr:rowOff>0</xdr:rowOff>
    </xdr:from>
    <xdr:to>
      <xdr:col>14</xdr:col>
      <xdr:colOff>285750</xdr:colOff>
      <xdr:row>21</xdr:row>
      <xdr:rowOff>0</xdr:rowOff>
    </xdr:to>
    <xdr:pic>
      <xdr:nvPicPr>
        <xdr:cNvPr id="3" name="Picture 2">
          <a:extLst>
            <a:ext uri="{FF2B5EF4-FFF2-40B4-BE49-F238E27FC236}">
              <a16:creationId xmlns:a16="http://schemas.microsoft.com/office/drawing/2014/main" id="{4555566D-CD66-4E70-84B3-D6B78362A2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235942</xdr:colOff>
      <xdr:row>11</xdr:row>
      <xdr:rowOff>76201</xdr:rowOff>
    </xdr:to>
    <xdr:pic>
      <xdr:nvPicPr>
        <xdr:cNvPr id="2" name="Picture 1">
          <a:extLst>
            <a:ext uri="{FF2B5EF4-FFF2-40B4-BE49-F238E27FC236}">
              <a16:creationId xmlns:a16="http://schemas.microsoft.com/office/drawing/2014/main" id="{D1DCED1A-28DE-46A4-9E2B-B9EBE551E2F8}"/>
            </a:ext>
          </a:extLst>
        </xdr:cNvPr>
        <xdr:cNvPicPr>
          <a:picLocks noChangeAspect="1"/>
        </xdr:cNvPicPr>
      </xdr:nvPicPr>
      <xdr:blipFill>
        <a:blip xmlns:r="http://schemas.openxmlformats.org/officeDocument/2006/relationships" r:embed="rId1"/>
        <a:stretch>
          <a:fillRect/>
        </a:stretch>
      </xdr:blipFill>
      <xdr:spPr>
        <a:xfrm>
          <a:off x="10172700" y="704851"/>
          <a:ext cx="3283942" cy="1981200"/>
        </a:xfrm>
        <a:prstGeom prst="rect">
          <a:avLst/>
        </a:prstGeom>
      </xdr:spPr>
    </xdr:pic>
    <xdr:clientData/>
  </xdr:twoCellAnchor>
  <xdr:twoCellAnchor editAs="oneCell">
    <xdr:from>
      <xdr:col>9</xdr:col>
      <xdr:colOff>0</xdr:colOff>
      <xdr:row>14</xdr:row>
      <xdr:rowOff>0</xdr:rowOff>
    </xdr:from>
    <xdr:to>
      <xdr:col>14</xdr:col>
      <xdr:colOff>225721</xdr:colOff>
      <xdr:row>20</xdr:row>
      <xdr:rowOff>180975</xdr:rowOff>
    </xdr:to>
    <xdr:pic>
      <xdr:nvPicPr>
        <xdr:cNvPr id="3" name="Picture 2">
          <a:extLst>
            <a:ext uri="{FF2B5EF4-FFF2-40B4-BE49-F238E27FC236}">
              <a16:creationId xmlns:a16="http://schemas.microsoft.com/office/drawing/2014/main" id="{A63CB067-9EB5-42AA-8CA4-99187CF67D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C552397F-6A70-437B-8E91-D99142865028}"/>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14</xdr:row>
      <xdr:rowOff>0</xdr:rowOff>
    </xdr:from>
    <xdr:to>
      <xdr:col>14</xdr:col>
      <xdr:colOff>225721</xdr:colOff>
      <xdr:row>20</xdr:row>
      <xdr:rowOff>190500</xdr:rowOff>
    </xdr:to>
    <xdr:pic>
      <xdr:nvPicPr>
        <xdr:cNvPr id="3" name="Picture 2">
          <a:extLst>
            <a:ext uri="{FF2B5EF4-FFF2-40B4-BE49-F238E27FC236}">
              <a16:creationId xmlns:a16="http://schemas.microsoft.com/office/drawing/2014/main" id="{011CD10B-8970-4CDA-A2FC-3876B9BE44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104775</xdr:rowOff>
    </xdr:to>
    <xdr:pic>
      <xdr:nvPicPr>
        <xdr:cNvPr id="2" name="Picture 1">
          <a:extLst>
            <a:ext uri="{FF2B5EF4-FFF2-40B4-BE49-F238E27FC236}">
              <a16:creationId xmlns:a16="http://schemas.microsoft.com/office/drawing/2014/main" id="{67D7B13C-0583-4087-BF7D-92DCC465AF57}"/>
            </a:ext>
          </a:extLst>
        </xdr:cNvPr>
        <xdr:cNvPicPr>
          <a:picLocks noChangeAspect="1"/>
        </xdr:cNvPicPr>
      </xdr:nvPicPr>
      <xdr:blipFill>
        <a:blip xmlns:r="http://schemas.openxmlformats.org/officeDocument/2006/relationships" r:embed="rId1"/>
        <a:stretch>
          <a:fillRect/>
        </a:stretch>
      </xdr:blipFill>
      <xdr:spPr>
        <a:xfrm>
          <a:off x="10172700" y="495300"/>
          <a:ext cx="3209925" cy="2009775"/>
        </a:xfrm>
        <a:prstGeom prst="rect">
          <a:avLst/>
        </a:prstGeom>
      </xdr:spPr>
    </xdr:pic>
    <xdr:clientData/>
  </xdr:twoCellAnchor>
  <xdr:twoCellAnchor editAs="oneCell">
    <xdr:from>
      <xdr:col>8</xdr:col>
      <xdr:colOff>523875</xdr:colOff>
      <xdr:row>13</xdr:row>
      <xdr:rowOff>66675</xdr:rowOff>
    </xdr:from>
    <xdr:to>
      <xdr:col>14</xdr:col>
      <xdr:colOff>139996</xdr:colOff>
      <xdr:row>21</xdr:row>
      <xdr:rowOff>152400</xdr:rowOff>
    </xdr:to>
    <xdr:pic>
      <xdr:nvPicPr>
        <xdr:cNvPr id="3" name="Picture 2">
          <a:extLst>
            <a:ext uri="{FF2B5EF4-FFF2-40B4-BE49-F238E27FC236}">
              <a16:creationId xmlns:a16="http://schemas.microsoft.com/office/drawing/2014/main" id="{72156B56-96E1-4DFA-A57F-54893811E0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2480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200025</xdr:colOff>
      <xdr:row>11</xdr:row>
      <xdr:rowOff>104775</xdr:rowOff>
    </xdr:to>
    <xdr:pic>
      <xdr:nvPicPr>
        <xdr:cNvPr id="2" name="Picture 1">
          <a:extLst>
            <a:ext uri="{FF2B5EF4-FFF2-40B4-BE49-F238E27FC236}">
              <a16:creationId xmlns:a16="http://schemas.microsoft.com/office/drawing/2014/main" id="{C8E040DD-A3CA-44B7-BA60-054CC38C0397}"/>
            </a:ext>
          </a:extLst>
        </xdr:cNvPr>
        <xdr:cNvPicPr>
          <a:picLocks noChangeAspect="1"/>
        </xdr:cNvPicPr>
      </xdr:nvPicPr>
      <xdr:blipFill>
        <a:blip xmlns:r="http://schemas.openxmlformats.org/officeDocument/2006/relationships" r:embed="rId1"/>
        <a:stretch>
          <a:fillRect/>
        </a:stretch>
      </xdr:blipFill>
      <xdr:spPr>
        <a:xfrm>
          <a:off x="10172700" y="704850"/>
          <a:ext cx="3248025" cy="2009775"/>
        </a:xfrm>
        <a:prstGeom prst="rect">
          <a:avLst/>
        </a:prstGeom>
      </xdr:spPr>
    </xdr:pic>
    <xdr:clientData/>
  </xdr:twoCellAnchor>
  <xdr:twoCellAnchor editAs="oneCell">
    <xdr:from>
      <xdr:col>9</xdr:col>
      <xdr:colOff>0</xdr:colOff>
      <xdr:row>14</xdr:row>
      <xdr:rowOff>0</xdr:rowOff>
    </xdr:from>
    <xdr:to>
      <xdr:col>14</xdr:col>
      <xdr:colOff>225721</xdr:colOff>
      <xdr:row>21</xdr:row>
      <xdr:rowOff>323850</xdr:rowOff>
    </xdr:to>
    <xdr:pic>
      <xdr:nvPicPr>
        <xdr:cNvPr id="3" name="Picture 2">
          <a:extLst>
            <a:ext uri="{FF2B5EF4-FFF2-40B4-BE49-F238E27FC236}">
              <a16:creationId xmlns:a16="http://schemas.microsoft.com/office/drawing/2014/main" id="{141586CD-5A5D-4CC7-A2F2-754E4F3FC7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19050</xdr:rowOff>
    </xdr:to>
    <xdr:pic>
      <xdr:nvPicPr>
        <xdr:cNvPr id="2" name="Picture 1">
          <a:extLst>
            <a:ext uri="{FF2B5EF4-FFF2-40B4-BE49-F238E27FC236}">
              <a16:creationId xmlns:a16="http://schemas.microsoft.com/office/drawing/2014/main" id="{F060BF41-CF35-42B6-AA0F-7E56A03A321B}"/>
            </a:ext>
          </a:extLst>
        </xdr:cNvPr>
        <xdr:cNvPicPr>
          <a:picLocks noChangeAspect="1"/>
        </xdr:cNvPicPr>
      </xdr:nvPicPr>
      <xdr:blipFill>
        <a:blip xmlns:r="http://schemas.openxmlformats.org/officeDocument/2006/relationships" r:embed="rId1"/>
        <a:stretch>
          <a:fillRect/>
        </a:stretch>
      </xdr:blipFill>
      <xdr:spPr>
        <a:xfrm>
          <a:off x="10172700" y="619125"/>
          <a:ext cx="3283942" cy="2009775"/>
        </a:xfrm>
        <a:prstGeom prst="rect">
          <a:avLst/>
        </a:prstGeom>
      </xdr:spPr>
    </xdr:pic>
    <xdr:clientData/>
  </xdr:twoCellAnchor>
  <xdr:twoCellAnchor editAs="oneCell">
    <xdr:from>
      <xdr:col>8</xdr:col>
      <xdr:colOff>561975</xdr:colOff>
      <xdr:row>14</xdr:row>
      <xdr:rowOff>123825</xdr:rowOff>
    </xdr:from>
    <xdr:to>
      <xdr:col>14</xdr:col>
      <xdr:colOff>314325</xdr:colOff>
      <xdr:row>21</xdr:row>
      <xdr:rowOff>104775</xdr:rowOff>
    </xdr:to>
    <xdr:pic>
      <xdr:nvPicPr>
        <xdr:cNvPr id="3" name="Picture 2">
          <a:extLst>
            <a:ext uri="{FF2B5EF4-FFF2-40B4-BE49-F238E27FC236}">
              <a16:creationId xmlns:a16="http://schemas.microsoft.com/office/drawing/2014/main" id="{38E81637-7F4E-42FA-99B0-6A35EF31F6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514725"/>
          <a:ext cx="34099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197842</xdr:colOff>
      <xdr:row>10</xdr:row>
      <xdr:rowOff>171450</xdr:rowOff>
    </xdr:to>
    <xdr:pic>
      <xdr:nvPicPr>
        <xdr:cNvPr id="2" name="Picture 1">
          <a:extLst>
            <a:ext uri="{FF2B5EF4-FFF2-40B4-BE49-F238E27FC236}">
              <a16:creationId xmlns:a16="http://schemas.microsoft.com/office/drawing/2014/main" id="{7F75654F-B20D-45A4-BAED-BD8175144BE8}"/>
            </a:ext>
          </a:extLst>
        </xdr:cNvPr>
        <xdr:cNvPicPr>
          <a:picLocks noChangeAspect="1"/>
        </xdr:cNvPicPr>
      </xdr:nvPicPr>
      <xdr:blipFill>
        <a:blip xmlns:r="http://schemas.openxmlformats.org/officeDocument/2006/relationships" r:embed="rId1"/>
        <a:stretch>
          <a:fillRect/>
        </a:stretch>
      </xdr:blipFill>
      <xdr:spPr>
        <a:xfrm>
          <a:off x="10134600" y="561975"/>
          <a:ext cx="3283942" cy="2009775"/>
        </a:xfrm>
        <a:prstGeom prst="rect">
          <a:avLst/>
        </a:prstGeom>
      </xdr:spPr>
    </xdr:pic>
    <xdr:clientData/>
  </xdr:twoCellAnchor>
  <xdr:twoCellAnchor editAs="oneCell">
    <xdr:from>
      <xdr:col>8</xdr:col>
      <xdr:colOff>514350</xdr:colOff>
      <xdr:row>14</xdr:row>
      <xdr:rowOff>19050</xdr:rowOff>
    </xdr:from>
    <xdr:to>
      <xdr:col>14</xdr:col>
      <xdr:colOff>130471</xdr:colOff>
      <xdr:row>21</xdr:row>
      <xdr:rowOff>180975</xdr:rowOff>
    </xdr:to>
    <xdr:pic>
      <xdr:nvPicPr>
        <xdr:cNvPr id="3" name="Picture 2">
          <a:extLst>
            <a:ext uri="{FF2B5EF4-FFF2-40B4-BE49-F238E27FC236}">
              <a16:creationId xmlns:a16="http://schemas.microsoft.com/office/drawing/2014/main" id="{C441649A-ACD2-41AD-96CA-BA8C02DEF1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257550"/>
          <a:ext cx="3273721"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11</xdr:row>
      <xdr:rowOff>9525</xdr:rowOff>
    </xdr:to>
    <xdr:pic>
      <xdr:nvPicPr>
        <xdr:cNvPr id="2" name="Picture 1">
          <a:extLst>
            <a:ext uri="{FF2B5EF4-FFF2-40B4-BE49-F238E27FC236}">
              <a16:creationId xmlns:a16="http://schemas.microsoft.com/office/drawing/2014/main" id="{ED311590-D005-410F-8E8C-EE253192E14C}"/>
            </a:ext>
          </a:extLst>
        </xdr:cNvPr>
        <xdr:cNvPicPr>
          <a:picLocks noChangeAspect="1"/>
        </xdr:cNvPicPr>
      </xdr:nvPicPr>
      <xdr:blipFill>
        <a:blip xmlns:r="http://schemas.openxmlformats.org/officeDocument/2006/relationships" r:embed="rId1"/>
        <a:stretch>
          <a:fillRect/>
        </a:stretch>
      </xdr:blipFill>
      <xdr:spPr>
        <a:xfrm>
          <a:off x="10153650" y="609600"/>
          <a:ext cx="3248025" cy="2009775"/>
        </a:xfrm>
        <a:prstGeom prst="rect">
          <a:avLst/>
        </a:prstGeom>
      </xdr:spPr>
    </xdr:pic>
    <xdr:clientData/>
  </xdr:twoCellAnchor>
  <xdr:twoCellAnchor editAs="oneCell">
    <xdr:from>
      <xdr:col>8</xdr:col>
      <xdr:colOff>600076</xdr:colOff>
      <xdr:row>12</xdr:row>
      <xdr:rowOff>47626</xdr:rowOff>
    </xdr:from>
    <xdr:to>
      <xdr:col>14</xdr:col>
      <xdr:colOff>85726</xdr:colOff>
      <xdr:row>19</xdr:row>
      <xdr:rowOff>133350</xdr:rowOff>
    </xdr:to>
    <xdr:pic>
      <xdr:nvPicPr>
        <xdr:cNvPr id="3" name="Picture 2">
          <a:extLst>
            <a:ext uri="{FF2B5EF4-FFF2-40B4-BE49-F238E27FC236}">
              <a16:creationId xmlns:a16="http://schemas.microsoft.com/office/drawing/2014/main" id="{CE4F3FD1-1779-4E18-889D-9645D75CD1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6" y="3324226"/>
          <a:ext cx="314325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1</xdr:colOff>
      <xdr:row>23</xdr:row>
      <xdr:rowOff>0</xdr:rowOff>
    </xdr:from>
    <xdr:ext cx="3200400" cy="1676400"/>
    <xdr:pic>
      <xdr:nvPicPr>
        <xdr:cNvPr id="4" name="Picture 3">
          <a:extLst>
            <a:ext uri="{FF2B5EF4-FFF2-40B4-BE49-F238E27FC236}">
              <a16:creationId xmlns:a16="http://schemas.microsoft.com/office/drawing/2014/main" id="{9B30BE07-7AAA-475D-BF9F-F598B5F5EB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5886450"/>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10</xdr:col>
      <xdr:colOff>114300</xdr:colOff>
      <xdr:row>12</xdr:row>
      <xdr:rowOff>9526</xdr:rowOff>
    </xdr:from>
    <xdr:to>
      <xdr:col>14</xdr:col>
      <xdr:colOff>419100</xdr:colOff>
      <xdr:row>19</xdr:row>
      <xdr:rowOff>85725</xdr:rowOff>
    </xdr:to>
    <xdr:pic>
      <xdr:nvPicPr>
        <xdr:cNvPr id="2" name="Picture 1">
          <a:extLst>
            <a:ext uri="{FF2B5EF4-FFF2-40B4-BE49-F238E27FC236}">
              <a16:creationId xmlns:a16="http://schemas.microsoft.com/office/drawing/2014/main" id="{513683C5-E04A-4FA8-9EE7-AE49FE4964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925175" y="3171826"/>
          <a:ext cx="3248025" cy="169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247650</xdr:colOff>
      <xdr:row>2</xdr:row>
      <xdr:rowOff>114300</xdr:rowOff>
    </xdr:from>
    <xdr:to>
      <xdr:col>14</xdr:col>
      <xdr:colOff>514350</xdr:colOff>
      <xdr:row>9</xdr:row>
      <xdr:rowOff>76200</xdr:rowOff>
    </xdr:to>
    <xdr:pic>
      <xdr:nvPicPr>
        <xdr:cNvPr id="3" name="Picture 2">
          <a:extLst>
            <a:ext uri="{FF2B5EF4-FFF2-40B4-BE49-F238E27FC236}">
              <a16:creationId xmlns:a16="http://schemas.microsoft.com/office/drawing/2014/main" id="{F3AC1495-DF6C-4E1A-9A0F-E91E8DF08FFC}"/>
            </a:ext>
          </a:extLst>
        </xdr:cNvPr>
        <xdr:cNvPicPr>
          <a:picLocks noChangeAspect="1"/>
        </xdr:cNvPicPr>
      </xdr:nvPicPr>
      <xdr:blipFill>
        <a:blip xmlns:r="http://schemas.openxmlformats.org/officeDocument/2006/relationships" r:embed="rId2"/>
        <a:stretch>
          <a:fillRect/>
        </a:stretch>
      </xdr:blipFill>
      <xdr:spPr>
        <a:xfrm>
          <a:off x="11058525" y="552450"/>
          <a:ext cx="3209925" cy="1905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466724</xdr:colOff>
      <xdr:row>14</xdr:row>
      <xdr:rowOff>95251</xdr:rowOff>
    </xdr:from>
    <xdr:to>
      <xdr:col>14</xdr:col>
      <xdr:colOff>152399</xdr:colOff>
      <xdr:row>20</xdr:row>
      <xdr:rowOff>228600</xdr:rowOff>
    </xdr:to>
    <xdr:pic>
      <xdr:nvPicPr>
        <xdr:cNvPr id="2" name="Picture 1">
          <a:extLst>
            <a:ext uri="{FF2B5EF4-FFF2-40B4-BE49-F238E27FC236}">
              <a16:creationId xmlns:a16="http://schemas.microsoft.com/office/drawing/2014/main" id="{AB3FA27F-AAA2-462F-A391-6DA5F1C156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63199" y="3486151"/>
          <a:ext cx="334327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581023</xdr:colOff>
      <xdr:row>2</xdr:row>
      <xdr:rowOff>133350</xdr:rowOff>
    </xdr:from>
    <xdr:to>
      <xdr:col>14</xdr:col>
      <xdr:colOff>200024</xdr:colOff>
      <xdr:row>9</xdr:row>
      <xdr:rowOff>304800</xdr:rowOff>
    </xdr:to>
    <xdr:pic>
      <xdr:nvPicPr>
        <xdr:cNvPr id="3" name="Picture 2">
          <a:extLst>
            <a:ext uri="{FF2B5EF4-FFF2-40B4-BE49-F238E27FC236}">
              <a16:creationId xmlns:a16="http://schemas.microsoft.com/office/drawing/2014/main" id="{5C4654A3-AA67-4883-8D77-13853A0870A2}"/>
            </a:ext>
          </a:extLst>
        </xdr:cNvPr>
        <xdr:cNvPicPr>
          <a:picLocks noChangeAspect="1"/>
        </xdr:cNvPicPr>
      </xdr:nvPicPr>
      <xdr:blipFill>
        <a:blip xmlns:r="http://schemas.openxmlformats.org/officeDocument/2006/relationships" r:embed="rId2"/>
        <a:stretch>
          <a:fillRect/>
        </a:stretch>
      </xdr:blipFill>
      <xdr:spPr>
        <a:xfrm>
          <a:off x="10477498" y="571500"/>
          <a:ext cx="3276601" cy="19240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76199</xdr:colOff>
      <xdr:row>12</xdr:row>
      <xdr:rowOff>95250</xdr:rowOff>
    </xdr:from>
    <xdr:to>
      <xdr:col>14</xdr:col>
      <xdr:colOff>114300</xdr:colOff>
      <xdr:row>19</xdr:row>
      <xdr:rowOff>142875</xdr:rowOff>
    </xdr:to>
    <xdr:pic>
      <xdr:nvPicPr>
        <xdr:cNvPr id="2" name="Picture 1">
          <a:extLst>
            <a:ext uri="{FF2B5EF4-FFF2-40B4-BE49-F238E27FC236}">
              <a16:creationId xmlns:a16="http://schemas.microsoft.com/office/drawing/2014/main" id="{1DAAC199-6E5F-45D5-AFF1-882DDEEA75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899" y="3219450"/>
          <a:ext cx="308610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114300</xdr:rowOff>
    </xdr:from>
    <xdr:to>
      <xdr:col>14</xdr:col>
      <xdr:colOff>152400</xdr:colOff>
      <xdr:row>10</xdr:row>
      <xdr:rowOff>47400</xdr:rowOff>
    </xdr:to>
    <xdr:pic>
      <xdr:nvPicPr>
        <xdr:cNvPr id="4" name="Picture 3">
          <a:extLst>
            <a:ext uri="{FF2B5EF4-FFF2-40B4-BE49-F238E27FC236}">
              <a16:creationId xmlns:a16="http://schemas.microsoft.com/office/drawing/2014/main" id="{E3D77419-5106-4A1C-878F-F8829D52B618}"/>
            </a:ext>
          </a:extLst>
        </xdr:cNvPr>
        <xdr:cNvPicPr>
          <a:picLocks/>
        </xdr:cNvPicPr>
      </xdr:nvPicPr>
      <xdr:blipFill>
        <a:blip xmlns:r="http://schemas.openxmlformats.org/officeDocument/2006/relationships" r:embed="rId2"/>
        <a:stretch>
          <a:fillRect/>
        </a:stretch>
      </xdr:blipFill>
      <xdr:spPr>
        <a:xfrm>
          <a:off x="10248900" y="552450"/>
          <a:ext cx="3124200" cy="18952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47625</xdr:rowOff>
    </xdr:to>
    <xdr:pic>
      <xdr:nvPicPr>
        <xdr:cNvPr id="2" name="Picture 1">
          <a:extLst>
            <a:ext uri="{FF2B5EF4-FFF2-40B4-BE49-F238E27FC236}">
              <a16:creationId xmlns:a16="http://schemas.microsoft.com/office/drawing/2014/main" id="{CE7F1AF0-3155-457A-A9F5-86A444733B88}"/>
            </a:ext>
          </a:extLst>
        </xdr:cNvPr>
        <xdr:cNvPicPr>
          <a:picLocks noChangeAspect="1"/>
        </xdr:cNvPicPr>
      </xdr:nvPicPr>
      <xdr:blipFill>
        <a:blip xmlns:r="http://schemas.openxmlformats.org/officeDocument/2006/relationships" r:embed="rId1"/>
        <a:stretch>
          <a:fillRect/>
        </a:stretch>
      </xdr:blipFill>
      <xdr:spPr>
        <a:xfrm>
          <a:off x="10182225" y="533400"/>
          <a:ext cx="3152775" cy="1914525"/>
        </a:xfrm>
        <a:prstGeom prst="rect">
          <a:avLst/>
        </a:prstGeom>
      </xdr:spPr>
    </xdr:pic>
    <xdr:clientData/>
  </xdr:twoCellAnchor>
  <xdr:twoCellAnchor editAs="oneCell">
    <xdr:from>
      <xdr:col>8</xdr:col>
      <xdr:colOff>561975</xdr:colOff>
      <xdr:row>14</xdr:row>
      <xdr:rowOff>38101</xdr:rowOff>
    </xdr:from>
    <xdr:to>
      <xdr:col>14</xdr:col>
      <xdr:colOff>114300</xdr:colOff>
      <xdr:row>20</xdr:row>
      <xdr:rowOff>133351</xdr:rowOff>
    </xdr:to>
    <xdr:pic>
      <xdr:nvPicPr>
        <xdr:cNvPr id="3" name="Picture 2">
          <a:extLst>
            <a:ext uri="{FF2B5EF4-FFF2-40B4-BE49-F238E27FC236}">
              <a16:creationId xmlns:a16="http://schemas.microsoft.com/office/drawing/2014/main" id="{BA0FE79F-ED07-403A-B06C-E02774FA1D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276601"/>
          <a:ext cx="32099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542926</xdr:colOff>
      <xdr:row>21</xdr:row>
      <xdr:rowOff>619126</xdr:rowOff>
    </xdr:from>
    <xdr:ext cx="3238500" cy="1695450"/>
    <xdr:pic>
      <xdr:nvPicPr>
        <xdr:cNvPr id="4" name="Picture 3">
          <a:extLst>
            <a:ext uri="{FF2B5EF4-FFF2-40B4-BE49-F238E27FC236}">
              <a16:creationId xmlns:a16="http://schemas.microsoft.com/office/drawing/2014/main" id="{54648DAF-2965-4D1B-B605-06EFEC6CE2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6" y="56292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609599</xdr:colOff>
      <xdr:row>10</xdr:row>
      <xdr:rowOff>581025</xdr:rowOff>
    </xdr:from>
    <xdr:to>
      <xdr:col>13</xdr:col>
      <xdr:colOff>542924</xdr:colOff>
      <xdr:row>17</xdr:row>
      <xdr:rowOff>123824</xdr:rowOff>
    </xdr:to>
    <xdr:pic>
      <xdr:nvPicPr>
        <xdr:cNvPr id="2" name="Picture 1">
          <a:extLst>
            <a:ext uri="{FF2B5EF4-FFF2-40B4-BE49-F238E27FC236}">
              <a16:creationId xmlns:a16="http://schemas.microsoft.com/office/drawing/2014/main" id="{6CCB9728-81BA-4F24-A50E-7ECB5D82A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2981325"/>
          <a:ext cx="2981325" cy="1619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95249</xdr:colOff>
      <xdr:row>2</xdr:row>
      <xdr:rowOff>104774</xdr:rowOff>
    </xdr:from>
    <xdr:to>
      <xdr:col>14</xdr:col>
      <xdr:colOff>9524</xdr:colOff>
      <xdr:row>10</xdr:row>
      <xdr:rowOff>0</xdr:rowOff>
    </xdr:to>
    <xdr:pic>
      <xdr:nvPicPr>
        <xdr:cNvPr id="3" name="Picture 2">
          <a:extLst>
            <a:ext uri="{FF2B5EF4-FFF2-40B4-BE49-F238E27FC236}">
              <a16:creationId xmlns:a16="http://schemas.microsoft.com/office/drawing/2014/main" id="{C4169678-7E40-45CA-B681-A648D54694C7}"/>
            </a:ext>
          </a:extLst>
        </xdr:cNvPr>
        <xdr:cNvPicPr>
          <a:picLocks/>
        </xdr:cNvPicPr>
      </xdr:nvPicPr>
      <xdr:blipFill>
        <a:blip xmlns:r="http://schemas.openxmlformats.org/officeDocument/2006/relationships" r:embed="rId2"/>
        <a:stretch>
          <a:fillRect/>
        </a:stretch>
      </xdr:blipFill>
      <xdr:spPr>
        <a:xfrm>
          <a:off x="10267949" y="542924"/>
          <a:ext cx="2962275" cy="185737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133350</xdr:colOff>
      <xdr:row>10</xdr:row>
      <xdr:rowOff>57151</xdr:rowOff>
    </xdr:to>
    <xdr:pic>
      <xdr:nvPicPr>
        <xdr:cNvPr id="2" name="Picture 1">
          <a:extLst>
            <a:ext uri="{FF2B5EF4-FFF2-40B4-BE49-F238E27FC236}">
              <a16:creationId xmlns:a16="http://schemas.microsoft.com/office/drawing/2014/main" id="{E1602056-B356-4F1D-8396-B87FB42EBA5A}"/>
            </a:ext>
          </a:extLst>
        </xdr:cNvPr>
        <xdr:cNvPicPr>
          <a:picLocks noChangeAspect="1"/>
        </xdr:cNvPicPr>
      </xdr:nvPicPr>
      <xdr:blipFill>
        <a:blip xmlns:r="http://schemas.openxmlformats.org/officeDocument/2006/relationships" r:embed="rId1"/>
        <a:stretch>
          <a:fillRect/>
        </a:stretch>
      </xdr:blipFill>
      <xdr:spPr>
        <a:xfrm>
          <a:off x="10172700" y="704851"/>
          <a:ext cx="3181350" cy="1905000"/>
        </a:xfrm>
        <a:prstGeom prst="rect">
          <a:avLst/>
        </a:prstGeom>
      </xdr:spPr>
    </xdr:pic>
    <xdr:clientData/>
  </xdr:twoCellAnchor>
  <xdr:twoCellAnchor editAs="oneCell">
    <xdr:from>
      <xdr:col>9</xdr:col>
      <xdr:colOff>1</xdr:colOff>
      <xdr:row>15</xdr:row>
      <xdr:rowOff>1</xdr:rowOff>
    </xdr:from>
    <xdr:to>
      <xdr:col>14</xdr:col>
      <xdr:colOff>133351</xdr:colOff>
      <xdr:row>18</xdr:row>
      <xdr:rowOff>609601</xdr:rowOff>
    </xdr:to>
    <xdr:pic>
      <xdr:nvPicPr>
        <xdr:cNvPr id="3" name="Picture 2">
          <a:extLst>
            <a:ext uri="{FF2B5EF4-FFF2-40B4-BE49-F238E27FC236}">
              <a16:creationId xmlns:a16="http://schemas.microsoft.com/office/drawing/2014/main" id="{A393FB53-84C8-46D3-ACC4-0188B16B48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600451"/>
          <a:ext cx="31813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21</xdr:row>
      <xdr:rowOff>200026</xdr:rowOff>
    </xdr:from>
    <xdr:ext cx="3238500" cy="1647824"/>
    <xdr:pic>
      <xdr:nvPicPr>
        <xdr:cNvPr id="4" name="Picture 3">
          <a:extLst>
            <a:ext uri="{FF2B5EF4-FFF2-40B4-BE49-F238E27FC236}">
              <a16:creationId xmlns:a16="http://schemas.microsoft.com/office/drawing/2014/main" id="{3651D4BC-CC57-4EE4-8386-6C73DAD976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276976"/>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26C0C258-D73F-4E0B-9541-764FA7D843FF}"/>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8</xdr:col>
      <xdr:colOff>590550</xdr:colOff>
      <xdr:row>13</xdr:row>
      <xdr:rowOff>657226</xdr:rowOff>
    </xdr:from>
    <xdr:to>
      <xdr:col>14</xdr:col>
      <xdr:colOff>285750</xdr:colOff>
      <xdr:row>20</xdr:row>
      <xdr:rowOff>9526</xdr:rowOff>
    </xdr:to>
    <xdr:pic>
      <xdr:nvPicPr>
        <xdr:cNvPr id="3" name="Picture 2">
          <a:extLst>
            <a:ext uri="{FF2B5EF4-FFF2-40B4-BE49-F238E27FC236}">
              <a16:creationId xmlns:a16="http://schemas.microsoft.com/office/drawing/2014/main" id="{675E366F-485B-42D1-BCD9-F28E3E09D4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686176"/>
          <a:ext cx="33528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24</xdr:row>
      <xdr:rowOff>266700</xdr:rowOff>
    </xdr:from>
    <xdr:ext cx="3419475" cy="1771650"/>
    <xdr:pic>
      <xdr:nvPicPr>
        <xdr:cNvPr id="4" name="Picture 3">
          <a:extLst>
            <a:ext uri="{FF2B5EF4-FFF2-40B4-BE49-F238E27FC236}">
              <a16:creationId xmlns:a16="http://schemas.microsoft.com/office/drawing/2014/main" id="{467DE823-E012-4D00-A595-D7A608EF74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4579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171450</xdr:colOff>
      <xdr:row>10</xdr:row>
      <xdr:rowOff>152401</xdr:rowOff>
    </xdr:to>
    <xdr:pic>
      <xdr:nvPicPr>
        <xdr:cNvPr id="2" name="Picture 1">
          <a:extLst>
            <a:ext uri="{FF2B5EF4-FFF2-40B4-BE49-F238E27FC236}">
              <a16:creationId xmlns:a16="http://schemas.microsoft.com/office/drawing/2014/main" id="{F69D877A-662A-4893-A882-C9A1A4048243}"/>
            </a:ext>
          </a:extLst>
        </xdr:cNvPr>
        <xdr:cNvPicPr>
          <a:picLocks noChangeAspect="1"/>
        </xdr:cNvPicPr>
      </xdr:nvPicPr>
      <xdr:blipFill>
        <a:blip xmlns:r="http://schemas.openxmlformats.org/officeDocument/2006/relationships" r:embed="rId1"/>
        <a:stretch>
          <a:fillRect/>
        </a:stretch>
      </xdr:blipFill>
      <xdr:spPr>
        <a:xfrm>
          <a:off x="10172700" y="704851"/>
          <a:ext cx="3219450" cy="2000250"/>
        </a:xfrm>
        <a:prstGeom prst="rect">
          <a:avLst/>
        </a:prstGeom>
      </xdr:spPr>
    </xdr:pic>
    <xdr:clientData/>
  </xdr:twoCellAnchor>
  <xdr:twoCellAnchor editAs="oneCell">
    <xdr:from>
      <xdr:col>8</xdr:col>
      <xdr:colOff>533400</xdr:colOff>
      <xdr:row>13</xdr:row>
      <xdr:rowOff>190500</xdr:rowOff>
    </xdr:from>
    <xdr:to>
      <xdr:col>14</xdr:col>
      <xdr:colOff>180975</xdr:colOff>
      <xdr:row>20</xdr:row>
      <xdr:rowOff>285750</xdr:rowOff>
    </xdr:to>
    <xdr:pic>
      <xdr:nvPicPr>
        <xdr:cNvPr id="3" name="Picture 2">
          <a:extLst>
            <a:ext uri="{FF2B5EF4-FFF2-40B4-BE49-F238E27FC236}">
              <a16:creationId xmlns:a16="http://schemas.microsoft.com/office/drawing/2014/main" id="{F7625E33-15FB-47FA-8365-E6A91567D9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6500" y="3371850"/>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226417</xdr:colOff>
      <xdr:row>10</xdr:row>
      <xdr:rowOff>114300</xdr:rowOff>
    </xdr:to>
    <xdr:pic>
      <xdr:nvPicPr>
        <xdr:cNvPr id="2" name="Picture 1">
          <a:extLst>
            <a:ext uri="{FF2B5EF4-FFF2-40B4-BE49-F238E27FC236}">
              <a16:creationId xmlns:a16="http://schemas.microsoft.com/office/drawing/2014/main" id="{99B4E544-70EB-4A34-A44D-2C3D81829785}"/>
            </a:ext>
          </a:extLst>
        </xdr:cNvPr>
        <xdr:cNvPicPr>
          <a:picLocks noChangeAspect="1"/>
        </xdr:cNvPicPr>
      </xdr:nvPicPr>
      <xdr:blipFill>
        <a:blip xmlns:r="http://schemas.openxmlformats.org/officeDocument/2006/relationships" r:embed="rId1"/>
        <a:stretch>
          <a:fillRect/>
        </a:stretch>
      </xdr:blipFill>
      <xdr:spPr>
        <a:xfrm>
          <a:off x="10163175" y="504825"/>
          <a:ext cx="3283942" cy="2009775"/>
        </a:xfrm>
        <a:prstGeom prst="rect">
          <a:avLst/>
        </a:prstGeom>
      </xdr:spPr>
    </xdr:pic>
    <xdr:clientData/>
  </xdr:twoCellAnchor>
  <xdr:twoCellAnchor editAs="oneCell">
    <xdr:from>
      <xdr:col>8</xdr:col>
      <xdr:colOff>495300</xdr:colOff>
      <xdr:row>12</xdr:row>
      <xdr:rowOff>571500</xdr:rowOff>
    </xdr:from>
    <xdr:to>
      <xdr:col>14</xdr:col>
      <xdr:colOff>228600</xdr:colOff>
      <xdr:row>19</xdr:row>
      <xdr:rowOff>66675</xdr:rowOff>
    </xdr:to>
    <xdr:pic>
      <xdr:nvPicPr>
        <xdr:cNvPr id="3" name="Picture 2">
          <a:extLst>
            <a:ext uri="{FF2B5EF4-FFF2-40B4-BE49-F238E27FC236}">
              <a16:creationId xmlns:a16="http://schemas.microsoft.com/office/drawing/2014/main" id="{633DC626-45F0-40B2-8075-9451F11401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638550"/>
          <a:ext cx="33909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22</xdr:row>
      <xdr:rowOff>9525</xdr:rowOff>
    </xdr:from>
    <xdr:ext cx="3400424" cy="1800225"/>
    <xdr:pic>
      <xdr:nvPicPr>
        <xdr:cNvPr id="4" name="Picture 3">
          <a:extLst>
            <a:ext uri="{FF2B5EF4-FFF2-40B4-BE49-F238E27FC236}">
              <a16:creationId xmlns:a16="http://schemas.microsoft.com/office/drawing/2014/main" id="{A10C5D31-D631-40B4-A0C6-7053D414BF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5686425"/>
          <a:ext cx="3400424"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10</xdr:row>
      <xdr:rowOff>152400</xdr:rowOff>
    </xdr:to>
    <xdr:pic>
      <xdr:nvPicPr>
        <xdr:cNvPr id="2" name="Picture 1">
          <a:extLst>
            <a:ext uri="{FF2B5EF4-FFF2-40B4-BE49-F238E27FC236}">
              <a16:creationId xmlns:a16="http://schemas.microsoft.com/office/drawing/2014/main" id="{5440E725-B4CB-4768-9A9C-BEE669DBEB84}"/>
            </a:ext>
          </a:extLst>
        </xdr:cNvPr>
        <xdr:cNvPicPr>
          <a:picLocks noChangeAspect="1"/>
        </xdr:cNvPicPr>
      </xdr:nvPicPr>
      <xdr:blipFill>
        <a:blip xmlns:r="http://schemas.openxmlformats.org/officeDocument/2006/relationships" r:embed="rId1"/>
        <a:stretch>
          <a:fillRect/>
        </a:stretch>
      </xdr:blipFill>
      <xdr:spPr>
        <a:xfrm>
          <a:off x="10172700" y="542925"/>
          <a:ext cx="3228975" cy="2009775"/>
        </a:xfrm>
        <a:prstGeom prst="rect">
          <a:avLst/>
        </a:prstGeom>
      </xdr:spPr>
    </xdr:pic>
    <xdr:clientData/>
  </xdr:twoCellAnchor>
  <xdr:twoCellAnchor editAs="oneCell">
    <xdr:from>
      <xdr:col>9</xdr:col>
      <xdr:colOff>0</xdr:colOff>
      <xdr:row>14</xdr:row>
      <xdr:rowOff>1</xdr:rowOff>
    </xdr:from>
    <xdr:to>
      <xdr:col>14</xdr:col>
      <xdr:colOff>152400</xdr:colOff>
      <xdr:row>22</xdr:row>
      <xdr:rowOff>38101</xdr:rowOff>
    </xdr:to>
    <xdr:pic>
      <xdr:nvPicPr>
        <xdr:cNvPr id="3" name="Picture 2">
          <a:extLst>
            <a:ext uri="{FF2B5EF4-FFF2-40B4-BE49-F238E27FC236}">
              <a16:creationId xmlns:a16="http://schemas.microsoft.com/office/drawing/2014/main" id="{1BEB6ACB-EA87-4396-A337-29710BA99F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1"/>
          <a:ext cx="32004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10</xdr:row>
      <xdr:rowOff>147472</xdr:rowOff>
    </xdr:to>
    <xdr:pic>
      <xdr:nvPicPr>
        <xdr:cNvPr id="2" name="Picture 1">
          <a:extLst>
            <a:ext uri="{FF2B5EF4-FFF2-40B4-BE49-F238E27FC236}">
              <a16:creationId xmlns:a16="http://schemas.microsoft.com/office/drawing/2014/main" id="{BE2206AB-F47B-4142-AB65-0E8F713FB785}"/>
            </a:ext>
          </a:extLst>
        </xdr:cNvPr>
        <xdr:cNvPicPr>
          <a:picLocks noChangeAspect="1"/>
        </xdr:cNvPicPr>
      </xdr:nvPicPr>
      <xdr:blipFill>
        <a:blip xmlns:r="http://schemas.openxmlformats.org/officeDocument/2006/relationships" r:embed="rId1"/>
        <a:stretch>
          <a:fillRect/>
        </a:stretch>
      </xdr:blipFill>
      <xdr:spPr>
        <a:xfrm>
          <a:off x="10391775" y="571500"/>
          <a:ext cx="3086100" cy="1976272"/>
        </a:xfrm>
        <a:prstGeom prst="rect">
          <a:avLst/>
        </a:prstGeom>
      </xdr:spPr>
    </xdr:pic>
    <xdr:clientData/>
  </xdr:twoCellAnchor>
  <xdr:twoCellAnchor editAs="oneCell">
    <xdr:from>
      <xdr:col>8</xdr:col>
      <xdr:colOff>609599</xdr:colOff>
      <xdr:row>13</xdr:row>
      <xdr:rowOff>123826</xdr:rowOff>
    </xdr:from>
    <xdr:to>
      <xdr:col>14</xdr:col>
      <xdr:colOff>85724</xdr:colOff>
      <xdr:row>21</xdr:row>
      <xdr:rowOff>85725</xdr:rowOff>
    </xdr:to>
    <xdr:pic>
      <xdr:nvPicPr>
        <xdr:cNvPr id="3" name="Picture 2">
          <a:extLst>
            <a:ext uri="{FF2B5EF4-FFF2-40B4-BE49-F238E27FC236}">
              <a16:creationId xmlns:a16="http://schemas.microsoft.com/office/drawing/2014/main" id="{025BA132-9FDD-4B7A-B222-0C6CF79E43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01299" y="33051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95006" cy="1638299"/>
    <xdr:pic>
      <xdr:nvPicPr>
        <xdr:cNvPr id="4" name="Picture 3">
          <a:extLst>
            <a:ext uri="{FF2B5EF4-FFF2-40B4-BE49-F238E27FC236}">
              <a16:creationId xmlns:a16="http://schemas.microsoft.com/office/drawing/2014/main" id="{593342D9-0D3E-498C-8C29-3DD5FD8D4F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72726" y="5857875"/>
          <a:ext cx="3295006"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11</xdr:row>
      <xdr:rowOff>9525</xdr:rowOff>
    </xdr:to>
    <xdr:pic>
      <xdr:nvPicPr>
        <xdr:cNvPr id="2" name="Picture 1">
          <a:extLst>
            <a:ext uri="{FF2B5EF4-FFF2-40B4-BE49-F238E27FC236}">
              <a16:creationId xmlns:a16="http://schemas.microsoft.com/office/drawing/2014/main" id="{B70BCE6B-72AD-4022-8A50-45BF8E257BEB}"/>
            </a:ext>
          </a:extLst>
        </xdr:cNvPr>
        <xdr:cNvPicPr>
          <a:picLocks noChangeAspect="1"/>
        </xdr:cNvPicPr>
      </xdr:nvPicPr>
      <xdr:blipFill>
        <a:blip xmlns:r="http://schemas.openxmlformats.org/officeDocument/2006/relationships" r:embed="rId1"/>
        <a:stretch>
          <a:fillRect/>
        </a:stretch>
      </xdr:blipFill>
      <xdr:spPr>
        <a:xfrm>
          <a:off x="10172700" y="609600"/>
          <a:ext cx="3283942" cy="2009775"/>
        </a:xfrm>
        <a:prstGeom prst="rect">
          <a:avLst/>
        </a:prstGeom>
      </xdr:spPr>
    </xdr:pic>
    <xdr:clientData/>
  </xdr:twoCellAnchor>
  <xdr:twoCellAnchor editAs="oneCell">
    <xdr:from>
      <xdr:col>8</xdr:col>
      <xdr:colOff>590550</xdr:colOff>
      <xdr:row>13</xdr:row>
      <xdr:rowOff>180975</xdr:rowOff>
    </xdr:from>
    <xdr:to>
      <xdr:col>14</xdr:col>
      <xdr:colOff>200025</xdr:colOff>
      <xdr:row>20</xdr:row>
      <xdr:rowOff>19050</xdr:rowOff>
    </xdr:to>
    <xdr:pic>
      <xdr:nvPicPr>
        <xdr:cNvPr id="3" name="Picture 2">
          <a:extLst>
            <a:ext uri="{FF2B5EF4-FFF2-40B4-BE49-F238E27FC236}">
              <a16:creationId xmlns:a16="http://schemas.microsoft.com/office/drawing/2014/main" id="{619CA099-6292-4DCB-B9A0-910079813F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667125"/>
          <a:ext cx="326707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487561AA-A028-4068-84C5-3EA44D3A4E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0483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133350</xdr:colOff>
      <xdr:row>10</xdr:row>
      <xdr:rowOff>314325</xdr:rowOff>
    </xdr:to>
    <xdr:pic>
      <xdr:nvPicPr>
        <xdr:cNvPr id="2" name="Picture 1">
          <a:extLst>
            <a:ext uri="{FF2B5EF4-FFF2-40B4-BE49-F238E27FC236}">
              <a16:creationId xmlns:a16="http://schemas.microsoft.com/office/drawing/2014/main" id="{E86D94EB-5D0A-4902-8615-657ABA9127AA}"/>
            </a:ext>
          </a:extLst>
        </xdr:cNvPr>
        <xdr:cNvPicPr>
          <a:picLocks noChangeAspect="1"/>
        </xdr:cNvPicPr>
      </xdr:nvPicPr>
      <xdr:blipFill>
        <a:blip xmlns:r="http://schemas.openxmlformats.org/officeDocument/2006/relationships" r:embed="rId1"/>
        <a:stretch>
          <a:fillRect/>
        </a:stretch>
      </xdr:blipFill>
      <xdr:spPr>
        <a:xfrm>
          <a:off x="10172700" y="704850"/>
          <a:ext cx="3181350" cy="2009775"/>
        </a:xfrm>
        <a:prstGeom prst="rect">
          <a:avLst/>
        </a:prstGeom>
      </xdr:spPr>
    </xdr:pic>
    <xdr:clientData/>
  </xdr:twoCellAnchor>
  <xdr:twoCellAnchor editAs="oneCell">
    <xdr:from>
      <xdr:col>9</xdr:col>
      <xdr:colOff>1</xdr:colOff>
      <xdr:row>16</xdr:row>
      <xdr:rowOff>1</xdr:rowOff>
    </xdr:from>
    <xdr:to>
      <xdr:col>14</xdr:col>
      <xdr:colOff>171451</xdr:colOff>
      <xdr:row>21</xdr:row>
      <xdr:rowOff>57151</xdr:rowOff>
    </xdr:to>
    <xdr:pic>
      <xdr:nvPicPr>
        <xdr:cNvPr id="3" name="Picture 2">
          <a:extLst>
            <a:ext uri="{FF2B5EF4-FFF2-40B4-BE49-F238E27FC236}">
              <a16:creationId xmlns:a16="http://schemas.microsoft.com/office/drawing/2014/main" id="{84EAEE28-1FD6-4322-99E6-6D20FF2ECF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962401"/>
          <a:ext cx="32194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219075</xdr:rowOff>
    </xdr:from>
    <xdr:ext cx="3273721" cy="1762125"/>
    <xdr:pic>
      <xdr:nvPicPr>
        <xdr:cNvPr id="4" name="Picture 3">
          <a:extLst>
            <a:ext uri="{FF2B5EF4-FFF2-40B4-BE49-F238E27FC236}">
              <a16:creationId xmlns:a16="http://schemas.microsoft.com/office/drawing/2014/main" id="{4EA9D9D4-D50B-4687-B728-3566327188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7029450"/>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9</xdr:col>
      <xdr:colOff>219075</xdr:colOff>
      <xdr:row>2</xdr:row>
      <xdr:rowOff>114300</xdr:rowOff>
    </xdr:from>
    <xdr:to>
      <xdr:col>13</xdr:col>
      <xdr:colOff>607002</xdr:colOff>
      <xdr:row>10</xdr:row>
      <xdr:rowOff>38100</xdr:rowOff>
    </xdr:to>
    <xdr:pic>
      <xdr:nvPicPr>
        <xdr:cNvPr id="2" name="Picture 1">
          <a:extLst>
            <a:ext uri="{FF2B5EF4-FFF2-40B4-BE49-F238E27FC236}">
              <a16:creationId xmlns:a16="http://schemas.microsoft.com/office/drawing/2014/main" id="{842CEE32-870B-4235-8C0A-A1A2257CD232}"/>
            </a:ext>
          </a:extLst>
        </xdr:cNvPr>
        <xdr:cNvPicPr>
          <a:picLocks noChangeAspect="1"/>
        </xdr:cNvPicPr>
      </xdr:nvPicPr>
      <xdr:blipFill>
        <a:blip xmlns:r="http://schemas.openxmlformats.org/officeDocument/2006/relationships" r:embed="rId1"/>
        <a:stretch>
          <a:fillRect/>
        </a:stretch>
      </xdr:blipFill>
      <xdr:spPr>
        <a:xfrm>
          <a:off x="10420350" y="552450"/>
          <a:ext cx="3331152" cy="2038350"/>
        </a:xfrm>
        <a:prstGeom prst="rect">
          <a:avLst/>
        </a:prstGeom>
      </xdr:spPr>
    </xdr:pic>
    <xdr:clientData/>
  </xdr:twoCellAnchor>
  <xdr:twoCellAnchor editAs="oneCell">
    <xdr:from>
      <xdr:col>9</xdr:col>
      <xdr:colOff>133349</xdr:colOff>
      <xdr:row>13</xdr:row>
      <xdr:rowOff>38098</xdr:rowOff>
    </xdr:from>
    <xdr:to>
      <xdr:col>14</xdr:col>
      <xdr:colOff>38099</xdr:colOff>
      <xdr:row>19</xdr:row>
      <xdr:rowOff>57149</xdr:rowOff>
    </xdr:to>
    <xdr:pic>
      <xdr:nvPicPr>
        <xdr:cNvPr id="3" name="Picture 2">
          <a:extLst>
            <a:ext uri="{FF2B5EF4-FFF2-40B4-BE49-F238E27FC236}">
              <a16:creationId xmlns:a16="http://schemas.microsoft.com/office/drawing/2014/main" id="{4110B238-8479-4DF5-BFCB-57582D0CE9F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34624" y="3219448"/>
          <a:ext cx="3457575" cy="1733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21</xdr:row>
      <xdr:rowOff>104775</xdr:rowOff>
    </xdr:from>
    <xdr:to>
      <xdr:col>13</xdr:col>
      <xdr:colOff>542926</xdr:colOff>
      <xdr:row>27</xdr:row>
      <xdr:rowOff>180975</xdr:rowOff>
    </xdr:to>
    <xdr:pic>
      <xdr:nvPicPr>
        <xdr:cNvPr id="4" name="Picture 3">
          <a:extLst>
            <a:ext uri="{FF2B5EF4-FFF2-40B4-BE49-F238E27FC236}">
              <a16:creationId xmlns:a16="http://schemas.microsoft.com/office/drawing/2014/main" id="{E269A5E9-2E2B-4C53-B70F-0BA1E8549BC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0" y="5572125"/>
          <a:ext cx="3476626"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76200</xdr:colOff>
      <xdr:row>10</xdr:row>
      <xdr:rowOff>180975</xdr:rowOff>
    </xdr:to>
    <xdr:pic>
      <xdr:nvPicPr>
        <xdr:cNvPr id="2" name="Picture 1">
          <a:extLst>
            <a:ext uri="{FF2B5EF4-FFF2-40B4-BE49-F238E27FC236}">
              <a16:creationId xmlns:a16="http://schemas.microsoft.com/office/drawing/2014/main" id="{7F98500A-8F87-4A96-9BF3-4BF1F30D2380}"/>
            </a:ext>
          </a:extLst>
        </xdr:cNvPr>
        <xdr:cNvPicPr>
          <a:picLocks noChangeAspect="1"/>
        </xdr:cNvPicPr>
      </xdr:nvPicPr>
      <xdr:blipFill>
        <a:blip xmlns:r="http://schemas.openxmlformats.org/officeDocument/2006/relationships" r:embed="rId1"/>
        <a:stretch>
          <a:fillRect/>
        </a:stretch>
      </xdr:blipFill>
      <xdr:spPr>
        <a:xfrm>
          <a:off x="10172700" y="704850"/>
          <a:ext cx="3124200" cy="1876425"/>
        </a:xfrm>
        <a:prstGeom prst="rect">
          <a:avLst/>
        </a:prstGeom>
      </xdr:spPr>
    </xdr:pic>
    <xdr:clientData/>
  </xdr:twoCellAnchor>
  <xdr:twoCellAnchor editAs="oneCell">
    <xdr:from>
      <xdr:col>9</xdr:col>
      <xdr:colOff>0</xdr:colOff>
      <xdr:row>12</xdr:row>
      <xdr:rowOff>114301</xdr:rowOff>
    </xdr:from>
    <xdr:to>
      <xdr:col>14</xdr:col>
      <xdr:colOff>190500</xdr:colOff>
      <xdr:row>19</xdr:row>
      <xdr:rowOff>171450</xdr:rowOff>
    </xdr:to>
    <xdr:pic>
      <xdr:nvPicPr>
        <xdr:cNvPr id="3" name="Picture 2">
          <a:extLst>
            <a:ext uri="{FF2B5EF4-FFF2-40B4-BE49-F238E27FC236}">
              <a16:creationId xmlns:a16="http://schemas.microsoft.com/office/drawing/2014/main" id="{A290FB93-DB01-4A00-9296-AF97DC929A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1"/>
          <a:ext cx="3238500"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9</xdr:col>
      <xdr:colOff>1</xdr:colOff>
      <xdr:row>3</xdr:row>
      <xdr:rowOff>0</xdr:rowOff>
    </xdr:from>
    <xdr:to>
      <xdr:col>13</xdr:col>
      <xdr:colOff>594965</xdr:colOff>
      <xdr:row>9</xdr:row>
      <xdr:rowOff>171450</xdr:rowOff>
    </xdr:to>
    <xdr:pic>
      <xdr:nvPicPr>
        <xdr:cNvPr id="2" name="Picture 1">
          <a:extLst>
            <a:ext uri="{FF2B5EF4-FFF2-40B4-BE49-F238E27FC236}">
              <a16:creationId xmlns:a16="http://schemas.microsoft.com/office/drawing/2014/main" id="{F929F077-8E40-4C7D-83B7-62D72AFCEBF3}"/>
            </a:ext>
          </a:extLst>
        </xdr:cNvPr>
        <xdr:cNvPicPr>
          <a:picLocks noChangeAspect="1"/>
        </xdr:cNvPicPr>
      </xdr:nvPicPr>
      <xdr:blipFill>
        <a:blip xmlns:r="http://schemas.openxmlformats.org/officeDocument/2006/relationships" r:embed="rId1"/>
        <a:stretch>
          <a:fillRect/>
        </a:stretch>
      </xdr:blipFill>
      <xdr:spPr>
        <a:xfrm>
          <a:off x="8629651" y="571500"/>
          <a:ext cx="3128614" cy="1914525"/>
        </a:xfrm>
        <a:prstGeom prst="rect">
          <a:avLst/>
        </a:prstGeom>
      </xdr:spPr>
    </xdr:pic>
    <xdr:clientData/>
  </xdr:twoCellAnchor>
  <xdr:twoCellAnchor editAs="oneCell">
    <xdr:from>
      <xdr:col>8</xdr:col>
      <xdr:colOff>561976</xdr:colOff>
      <xdr:row>14</xdr:row>
      <xdr:rowOff>0</xdr:rowOff>
    </xdr:from>
    <xdr:to>
      <xdr:col>14</xdr:col>
      <xdr:colOff>28575</xdr:colOff>
      <xdr:row>22</xdr:row>
      <xdr:rowOff>113479</xdr:rowOff>
    </xdr:to>
    <xdr:pic>
      <xdr:nvPicPr>
        <xdr:cNvPr id="3" name="Picture 2">
          <a:extLst>
            <a:ext uri="{FF2B5EF4-FFF2-40B4-BE49-F238E27FC236}">
              <a16:creationId xmlns:a16="http://schemas.microsoft.com/office/drawing/2014/main" id="{A1EB24EF-ACDD-4E39-A1A2-22FCE782B0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82026" y="3257550"/>
          <a:ext cx="3219449" cy="163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9F30B-9F1C-4D17-9311-D8AA12E6763D}">
  <dimension ref="A1:C38"/>
  <sheetViews>
    <sheetView tabSelected="1" zoomScale="110" zoomScaleNormal="110" workbookViewId="0">
      <pane ySplit="1" topLeftCell="A2" activePane="bottomLeft" state="frozen"/>
      <selection pane="bottomLeft"/>
    </sheetView>
  </sheetViews>
  <sheetFormatPr defaultRowHeight="15" x14ac:dyDescent="0.25"/>
  <cols>
    <col min="1" max="1" width="6" style="40" bestFit="1" customWidth="1"/>
    <col min="2" max="2" width="10.42578125" style="40" bestFit="1" customWidth="1"/>
    <col min="3" max="3" width="56.42578125" style="40" bestFit="1" customWidth="1"/>
    <col min="4" max="16384" width="9.140625" style="40"/>
  </cols>
  <sheetData>
    <row r="1" spans="1:3" x14ac:dyDescent="0.25">
      <c r="A1" s="38" t="s">
        <v>866</v>
      </c>
      <c r="B1" s="39" t="s">
        <v>867</v>
      </c>
      <c r="C1" s="39" t="s">
        <v>868</v>
      </c>
    </row>
    <row r="2" spans="1:3" x14ac:dyDescent="0.25">
      <c r="A2" s="41">
        <v>1</v>
      </c>
      <c r="B2" s="42" t="s">
        <v>869</v>
      </c>
      <c r="C2" s="43" t="s">
        <v>1</v>
      </c>
    </row>
    <row r="3" spans="1:3" x14ac:dyDescent="0.25">
      <c r="A3" s="41">
        <v>2</v>
      </c>
      <c r="B3" s="42" t="s">
        <v>870</v>
      </c>
      <c r="C3" s="43" t="s">
        <v>175</v>
      </c>
    </row>
    <row r="4" spans="1:3" x14ac:dyDescent="0.25">
      <c r="A4" s="41">
        <v>3</v>
      </c>
      <c r="B4" s="42" t="s">
        <v>871</v>
      </c>
      <c r="C4" s="43" t="s">
        <v>295</v>
      </c>
    </row>
    <row r="5" spans="1:3" x14ac:dyDescent="0.25">
      <c r="A5" s="41">
        <v>4</v>
      </c>
      <c r="B5" s="42" t="s">
        <v>872</v>
      </c>
      <c r="C5" s="43" t="s">
        <v>873</v>
      </c>
    </row>
    <row r="6" spans="1:3" x14ac:dyDescent="0.25">
      <c r="A6" s="41">
        <v>5</v>
      </c>
      <c r="B6" s="42" t="s">
        <v>874</v>
      </c>
      <c r="C6" s="43" t="s">
        <v>875</v>
      </c>
    </row>
    <row r="7" spans="1:3" x14ac:dyDescent="0.25">
      <c r="A7" s="41">
        <v>6</v>
      </c>
      <c r="B7" s="42" t="s">
        <v>876</v>
      </c>
      <c r="C7" s="43" t="s">
        <v>379</v>
      </c>
    </row>
    <row r="8" spans="1:3" x14ac:dyDescent="0.25">
      <c r="A8" s="41">
        <v>7</v>
      </c>
      <c r="B8" s="42" t="s">
        <v>877</v>
      </c>
      <c r="C8" s="43" t="s">
        <v>438</v>
      </c>
    </row>
    <row r="9" spans="1:3" x14ac:dyDescent="0.25">
      <c r="A9" s="41">
        <v>8</v>
      </c>
      <c r="B9" s="42" t="s">
        <v>878</v>
      </c>
      <c r="C9" s="43" t="s">
        <v>458</v>
      </c>
    </row>
    <row r="10" spans="1:3" x14ac:dyDescent="0.25">
      <c r="A10" s="41">
        <v>9</v>
      </c>
      <c r="B10" s="42" t="s">
        <v>879</v>
      </c>
      <c r="C10" s="43" t="s">
        <v>467</v>
      </c>
    </row>
    <row r="11" spans="1:3" x14ac:dyDescent="0.25">
      <c r="A11" s="41">
        <v>10</v>
      </c>
      <c r="B11" s="42" t="s">
        <v>880</v>
      </c>
      <c r="C11" s="43" t="s">
        <v>470</v>
      </c>
    </row>
    <row r="12" spans="1:3" x14ac:dyDescent="0.25">
      <c r="A12" s="41">
        <v>11</v>
      </c>
      <c r="B12" s="42" t="s">
        <v>881</v>
      </c>
      <c r="C12" s="43" t="s">
        <v>471</v>
      </c>
    </row>
    <row r="13" spans="1:3" x14ac:dyDescent="0.25">
      <c r="A13" s="41">
        <v>12</v>
      </c>
      <c r="B13" s="42" t="s">
        <v>882</v>
      </c>
      <c r="C13" s="43" t="s">
        <v>472</v>
      </c>
    </row>
    <row r="14" spans="1:3" x14ac:dyDescent="0.25">
      <c r="A14" s="41">
        <v>13</v>
      </c>
      <c r="B14" s="42" t="s">
        <v>883</v>
      </c>
      <c r="C14" s="43" t="s">
        <v>884</v>
      </c>
    </row>
    <row r="15" spans="1:3" x14ac:dyDescent="0.25">
      <c r="A15" s="41">
        <v>14</v>
      </c>
      <c r="B15" s="42" t="s">
        <v>885</v>
      </c>
      <c r="C15" s="43" t="s">
        <v>886</v>
      </c>
    </row>
    <row r="16" spans="1:3" x14ac:dyDescent="0.25">
      <c r="A16" s="41">
        <v>15</v>
      </c>
      <c r="B16" s="42" t="s">
        <v>887</v>
      </c>
      <c r="C16" s="43" t="s">
        <v>888</v>
      </c>
    </row>
    <row r="17" spans="1:3" x14ac:dyDescent="0.25">
      <c r="A17" s="41">
        <v>16</v>
      </c>
      <c r="B17" s="42" t="s">
        <v>889</v>
      </c>
      <c r="C17" s="43" t="s">
        <v>890</v>
      </c>
    </row>
    <row r="18" spans="1:3" x14ac:dyDescent="0.25">
      <c r="A18" s="41">
        <v>17</v>
      </c>
      <c r="B18" s="42" t="s">
        <v>891</v>
      </c>
      <c r="C18" s="43" t="s">
        <v>496</v>
      </c>
    </row>
    <row r="19" spans="1:3" x14ac:dyDescent="0.25">
      <c r="A19" s="41">
        <v>18</v>
      </c>
      <c r="B19" s="42" t="s">
        <v>892</v>
      </c>
      <c r="C19" s="43" t="s">
        <v>501</v>
      </c>
    </row>
    <row r="20" spans="1:3" x14ac:dyDescent="0.25">
      <c r="A20" s="41">
        <v>19</v>
      </c>
      <c r="B20" s="42" t="s">
        <v>893</v>
      </c>
      <c r="C20" s="43" t="s">
        <v>502</v>
      </c>
    </row>
    <row r="21" spans="1:3" x14ac:dyDescent="0.25">
      <c r="A21" s="41">
        <v>20</v>
      </c>
      <c r="B21" s="42" t="s">
        <v>894</v>
      </c>
      <c r="C21" s="43" t="s">
        <v>503</v>
      </c>
    </row>
    <row r="22" spans="1:3" x14ac:dyDescent="0.25">
      <c r="A22" s="41">
        <v>21</v>
      </c>
      <c r="B22" s="42" t="s">
        <v>895</v>
      </c>
      <c r="C22" s="43" t="s">
        <v>504</v>
      </c>
    </row>
    <row r="23" spans="1:3" x14ac:dyDescent="0.25">
      <c r="A23" s="41">
        <v>22</v>
      </c>
      <c r="B23" s="42" t="s">
        <v>896</v>
      </c>
      <c r="C23" s="43" t="s">
        <v>759</v>
      </c>
    </row>
    <row r="24" spans="1:3" x14ac:dyDescent="0.25">
      <c r="A24" s="41">
        <v>23</v>
      </c>
      <c r="B24" s="42" t="s">
        <v>897</v>
      </c>
      <c r="C24" s="43" t="s">
        <v>898</v>
      </c>
    </row>
    <row r="25" spans="1:3" x14ac:dyDescent="0.25">
      <c r="A25" s="41">
        <v>24</v>
      </c>
      <c r="B25" s="42" t="s">
        <v>899</v>
      </c>
      <c r="C25" s="43" t="s">
        <v>840</v>
      </c>
    </row>
    <row r="26" spans="1:3" x14ac:dyDescent="0.25">
      <c r="A26" s="41">
        <v>25</v>
      </c>
      <c r="B26" s="42" t="s">
        <v>900</v>
      </c>
      <c r="C26" s="43" t="s">
        <v>576</v>
      </c>
    </row>
    <row r="27" spans="1:3" x14ac:dyDescent="0.25">
      <c r="A27" s="41">
        <v>26</v>
      </c>
      <c r="B27" s="42" t="s">
        <v>901</v>
      </c>
      <c r="C27" s="43" t="s">
        <v>602</v>
      </c>
    </row>
    <row r="28" spans="1:3" x14ac:dyDescent="0.25">
      <c r="A28" s="41">
        <v>27</v>
      </c>
      <c r="B28" s="42" t="s">
        <v>902</v>
      </c>
      <c r="C28" s="43" t="s">
        <v>903</v>
      </c>
    </row>
    <row r="29" spans="1:3" x14ac:dyDescent="0.25">
      <c r="A29" s="41">
        <v>28</v>
      </c>
      <c r="B29" s="42" t="s">
        <v>904</v>
      </c>
      <c r="C29" s="43" t="s">
        <v>642</v>
      </c>
    </row>
    <row r="30" spans="1:3" x14ac:dyDescent="0.25">
      <c r="A30" s="41">
        <v>29</v>
      </c>
      <c r="B30" s="42" t="s">
        <v>905</v>
      </c>
      <c r="C30" s="43" t="s">
        <v>906</v>
      </c>
    </row>
    <row r="31" spans="1:3" x14ac:dyDescent="0.25">
      <c r="A31" s="41">
        <v>30</v>
      </c>
      <c r="B31" s="42" t="s">
        <v>907</v>
      </c>
      <c r="C31" s="43" t="s">
        <v>1115</v>
      </c>
    </row>
    <row r="32" spans="1:3" x14ac:dyDescent="0.25">
      <c r="A32" s="41">
        <v>31</v>
      </c>
      <c r="B32" s="42" t="s">
        <v>908</v>
      </c>
      <c r="C32" s="43" t="s">
        <v>742</v>
      </c>
    </row>
    <row r="33" spans="1:3" x14ac:dyDescent="0.25">
      <c r="A33" s="41">
        <v>32</v>
      </c>
      <c r="B33" s="42" t="s">
        <v>909</v>
      </c>
      <c r="C33" s="43" t="s">
        <v>747</v>
      </c>
    </row>
    <row r="34" spans="1:3" x14ac:dyDescent="0.25">
      <c r="A34" s="41">
        <v>33</v>
      </c>
      <c r="B34" s="42" t="s">
        <v>910</v>
      </c>
      <c r="C34" s="43" t="s">
        <v>754</v>
      </c>
    </row>
    <row r="35" spans="1:3" x14ac:dyDescent="0.25">
      <c r="A35" s="41">
        <v>34</v>
      </c>
      <c r="B35" s="42" t="s">
        <v>911</v>
      </c>
      <c r="C35" s="43" t="s">
        <v>755</v>
      </c>
    </row>
    <row r="36" spans="1:3" x14ac:dyDescent="0.25">
      <c r="A36" s="41">
        <v>35</v>
      </c>
      <c r="B36" s="42" t="s">
        <v>912</v>
      </c>
      <c r="C36" s="43" t="s">
        <v>756</v>
      </c>
    </row>
    <row r="37" spans="1:3" x14ac:dyDescent="0.25">
      <c r="A37" s="41">
        <v>36</v>
      </c>
      <c r="B37" s="42" t="s">
        <v>913</v>
      </c>
      <c r="C37" s="43" t="s">
        <v>757</v>
      </c>
    </row>
    <row r="38" spans="1:3" x14ac:dyDescent="0.25">
      <c r="A38" s="41">
        <v>37</v>
      </c>
      <c r="B38" s="42" t="s">
        <v>914</v>
      </c>
      <c r="C38" s="43" t="s">
        <v>915</v>
      </c>
    </row>
  </sheetData>
  <hyperlinks>
    <hyperlink ref="B3" location="MIDCAP!A1" display="MIDCAP" xr:uid="{9789A08D-30B8-4723-9328-28D702CE10AF}"/>
    <hyperlink ref="B4" location="MULTI1!A1" display="MULTI1" xr:uid="{6A1E509D-A5C9-46FF-BE4D-2D5DFEEEDC08}"/>
    <hyperlink ref="B5" location="MULTI2!A1" display="MULTI2" xr:uid="{83768AAC-0AA8-4272-BF24-BC132C3C7620}"/>
    <hyperlink ref="B6" location="MULTIP!A1" display="MULTIP" xr:uid="{E096812C-8414-4F9A-AD9D-CB151D34EB49}"/>
    <hyperlink ref="B7" location="SESCAP1!A1" display="SESCAP1" xr:uid="{0FC8874E-43C5-4E45-B18A-81E3AE430BB6}"/>
    <hyperlink ref="B8" location="SESCAP2!A1" display="SESCAP2" xr:uid="{7366E3B6-842C-4D91-A1D6-FBD831C08B25}"/>
    <hyperlink ref="B9" location="SESCAP3!A1" display="SESCAP3" xr:uid="{FBABE06D-BE3F-41CE-B33C-34D000283270}"/>
    <hyperlink ref="B10" location="SESCAP4!A1" display="SESCAP4" xr:uid="{BC9E94E7-9923-4C8F-BB04-F44B157481DE}"/>
    <hyperlink ref="B11" location="SESCAP5!A1" display="SESCAP5" xr:uid="{472C3EE9-B8AE-42FB-AB32-CE1CFC9FDFD0}"/>
    <hyperlink ref="B12" location="SESCAP6!A1" display="SESCAP6" xr:uid="{A5CAED7C-2105-4106-BDAC-0ECD055BA3ED}"/>
    <hyperlink ref="B13" location="SESCAP7!A1" display="SESCAP7" xr:uid="{F1B63FA1-95F4-4539-AB58-CE8EFA40558C}"/>
    <hyperlink ref="B14" location="SLTADV3!A1" display="SLTADV3" xr:uid="{0E4EE528-B6F0-4CAF-9053-BA7DB8848848}"/>
    <hyperlink ref="B15" location="SLTADV4!A1" display="SLTADV4" xr:uid="{DE3875C1-F2A1-4F4D-AC7C-9865076E2B70}"/>
    <hyperlink ref="B16" location="SLTAX1!A1" display="SLTAX1" xr:uid="{E9F04181-45CE-461D-BD27-EF807FA7E120}"/>
    <hyperlink ref="B17" location="SLTAX2!A1" display="SLTAX2" xr:uid="{0004B0AD-F0B6-426E-9E6F-6F2023E282AE}"/>
    <hyperlink ref="B18" location="SLTAX3!A1" display="SLTAX3" xr:uid="{68E46635-A2DD-4099-92C6-C9B522C4D082}"/>
    <hyperlink ref="B19" location="SLTAX4!A1" display="SLTAX4" xr:uid="{08EBB7A5-3B93-49B5-AA51-2153DB5BB794}"/>
    <hyperlink ref="B20" location="SLTAX5!A1" display="SLTAX5" xr:uid="{5BA8A435-5F4A-47C0-85DE-B163046CE743}"/>
    <hyperlink ref="B21" location="SLTAX6!A1" display="SLTAX6" xr:uid="{BBDF6820-4B54-4635-9761-201D231C9AD0}"/>
    <hyperlink ref="B22" location="SMILE!A1" display="SMILE" xr:uid="{655F73F7-315B-4B89-9412-847901E9E8E7}"/>
    <hyperlink ref="B23" location="SPAHF!A1" display="SPAHF" xr:uid="{C9B3D233-EA6E-4D52-8EA9-0A933B0C3F6F}"/>
    <hyperlink ref="B24" location="SPARF!A1" display="SPARF" xr:uid="{F8109C41-5988-4C78-A28E-51FD03812969}"/>
    <hyperlink ref="B25" location="SPBAF!A1" display="SPBAF" xr:uid="{BF43A7AD-248C-4E9D-87E8-EBE32513BBD8}"/>
    <hyperlink ref="B26" location="SPDYF!A1" display="SPDYF" xr:uid="{B8E11563-E43E-4C4F-A864-BB69C371253E}"/>
    <hyperlink ref="B27" location="SPESF!A1" display="SPESF" xr:uid="{EF395828-2A0C-499B-BC1C-5F670598ABD5}"/>
    <hyperlink ref="B28" location="SPFOCUS!A1" display="SPFOCUS" xr:uid="{B4C17645-77DD-48BC-ADB6-3060D45FFEEF}"/>
    <hyperlink ref="B29" location="SPMUCF!A1" display="SPMUCF" xr:uid="{2E1ED85F-C406-4432-9945-3F16AAACA6F3}"/>
    <hyperlink ref="B30" location="SPSN100!A1" display="SPSN100" xr:uid="{1CF442A2-EA9A-47AF-B808-23E716A8CA55}"/>
    <hyperlink ref="B31" location="SPTAX!A1" display="SPTAX" xr:uid="{F41A380E-E91E-4809-883B-272C26DC48FB}"/>
    <hyperlink ref="B32" location="SRURAL!A1" display="SRURAL" xr:uid="{CDABF902-3248-4DAF-AC24-9FF42023C378}"/>
    <hyperlink ref="B33" location="SSFUND!A1" display="SSFUND" xr:uid="{B985CDC5-6B18-4560-8272-A1F97FAA60BE}"/>
    <hyperlink ref="B34" location="STAX!A1" display="STAX" xr:uid="{F95994A5-3C6F-4817-A102-DFC6CD89B8A0}"/>
    <hyperlink ref="B35" location="SUNBCF!A1" display="SUNBCF" xr:uid="{7B363690-4BE3-4E65-9186-518546D1575D}"/>
    <hyperlink ref="B37" location="SUNFOP!A1" display="SUNFOP" xr:uid="{0349679F-4521-44DE-9E57-B54BE37ADC9C}"/>
    <hyperlink ref="B38" location="GLOB!A1" display="GLOB" xr:uid="{75864340-AE57-4C1D-A707-A656E3994F6B}"/>
    <hyperlink ref="B36" location="SUNFCF!A1" display="SUNFCF" xr:uid="{B12ABFEF-A7A9-41D0-9F89-5289CF191CAD}"/>
    <hyperlink ref="B2" location="CAPEXG!A1" display="CAPEXG" xr:uid="{1C2CDB8D-490A-4A55-922E-1986D09907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0" t="s">
        <v>1080</v>
      </c>
    </row>
    <row r="2" spans="1:14" ht="17.100000000000001" customHeight="1" x14ac:dyDescent="0.2">
      <c r="A2" s="283" t="s">
        <v>1</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11</v>
      </c>
      <c r="C7" s="4" t="s">
        <v>12</v>
      </c>
      <c r="D7" s="4" t="s">
        <v>13</v>
      </c>
      <c r="E7" s="5">
        <v>293190</v>
      </c>
      <c r="F7" s="6">
        <v>5931.5268900000001</v>
      </c>
      <c r="G7" s="7">
        <v>9.2742581000000004E-2</v>
      </c>
      <c r="H7" s="106"/>
    </row>
    <row r="8" spans="1:14" ht="17.100000000000001" customHeight="1" x14ac:dyDescent="0.2">
      <c r="A8" s="3">
        <v>2</v>
      </c>
      <c r="B8" s="4" t="s">
        <v>14</v>
      </c>
      <c r="C8" s="4" t="s">
        <v>15</v>
      </c>
      <c r="D8" s="4" t="s">
        <v>16</v>
      </c>
      <c r="E8" s="5">
        <v>504657</v>
      </c>
      <c r="F8" s="6">
        <v>4585.8181590000004</v>
      </c>
      <c r="G8" s="7">
        <v>7.1701708000000003E-2</v>
      </c>
      <c r="H8" s="106"/>
    </row>
    <row r="9" spans="1:14" ht="17.100000000000001" customHeight="1" x14ac:dyDescent="0.2">
      <c r="A9" s="3">
        <v>3</v>
      </c>
      <c r="B9" s="4" t="s">
        <v>17</v>
      </c>
      <c r="C9" s="4" t="s">
        <v>18</v>
      </c>
      <c r="D9" s="4" t="s">
        <v>19</v>
      </c>
      <c r="E9" s="5">
        <v>515333</v>
      </c>
      <c r="F9" s="6">
        <v>4287.5705600000001</v>
      </c>
      <c r="G9" s="7">
        <v>6.7038448E-2</v>
      </c>
      <c r="H9" s="106"/>
    </row>
    <row r="10" spans="1:14" ht="17.100000000000001" customHeight="1" x14ac:dyDescent="0.2">
      <c r="A10" s="3">
        <v>4</v>
      </c>
      <c r="B10" s="4" t="s">
        <v>20</v>
      </c>
      <c r="C10" s="4" t="s">
        <v>21</v>
      </c>
      <c r="D10" s="4" t="s">
        <v>22</v>
      </c>
      <c r="E10" s="5">
        <v>150246</v>
      </c>
      <c r="F10" s="6">
        <v>3830.672016</v>
      </c>
      <c r="G10" s="7">
        <v>5.9894596000000001E-2</v>
      </c>
      <c r="H10" s="106"/>
    </row>
    <row r="11" spans="1:14" ht="29.1" customHeight="1" x14ac:dyDescent="0.2">
      <c r="A11" s="3">
        <v>5</v>
      </c>
      <c r="B11" s="4" t="s">
        <v>23</v>
      </c>
      <c r="C11" s="4" t="s">
        <v>24</v>
      </c>
      <c r="D11" s="4" t="s">
        <v>25</v>
      </c>
      <c r="E11" s="5">
        <v>42511</v>
      </c>
      <c r="F11" s="6">
        <v>2854.5923945</v>
      </c>
      <c r="G11" s="7">
        <v>4.4633072000000003E-2</v>
      </c>
      <c r="H11" s="106"/>
    </row>
    <row r="12" spans="1:14" ht="17.100000000000001" customHeight="1" x14ac:dyDescent="0.2">
      <c r="A12" s="3">
        <v>6</v>
      </c>
      <c r="B12" s="4" t="s">
        <v>26</v>
      </c>
      <c r="C12" s="4" t="s">
        <v>27</v>
      </c>
      <c r="D12" s="4" t="s">
        <v>28</v>
      </c>
      <c r="E12" s="5">
        <v>1355350</v>
      </c>
      <c r="F12" s="6">
        <v>2346.11085</v>
      </c>
      <c r="G12" s="7">
        <v>3.6682692000000003E-2</v>
      </c>
      <c r="H12" s="106"/>
      <c r="J12" s="161" t="s">
        <v>1082</v>
      </c>
    </row>
    <row r="13" spans="1:14" ht="17.100000000000001" customHeight="1" x14ac:dyDescent="0.2">
      <c r="A13" s="3">
        <v>7</v>
      </c>
      <c r="B13" s="4" t="s">
        <v>29</v>
      </c>
      <c r="C13" s="4" t="s">
        <v>30</v>
      </c>
      <c r="D13" s="4" t="s">
        <v>31</v>
      </c>
      <c r="E13" s="5">
        <v>97015</v>
      </c>
      <c r="F13" s="6">
        <v>2019.2217025</v>
      </c>
      <c r="G13" s="7">
        <v>3.1571606000000002E-2</v>
      </c>
      <c r="H13" s="106"/>
    </row>
    <row r="14" spans="1:14" ht="17.100000000000001" customHeight="1" x14ac:dyDescent="0.2">
      <c r="A14" s="3">
        <v>8</v>
      </c>
      <c r="B14" s="4" t="s">
        <v>32</v>
      </c>
      <c r="C14" s="4" t="s">
        <v>33</v>
      </c>
      <c r="D14" s="4" t="s">
        <v>31</v>
      </c>
      <c r="E14" s="5">
        <v>93153</v>
      </c>
      <c r="F14" s="6">
        <v>1959.0075899999999</v>
      </c>
      <c r="G14" s="7">
        <v>3.0630127E-2</v>
      </c>
      <c r="H14" s="106"/>
    </row>
    <row r="15" spans="1:14" ht="17.100000000000001" customHeight="1" x14ac:dyDescent="0.2">
      <c r="A15" s="3">
        <v>9</v>
      </c>
      <c r="B15" s="4" t="s">
        <v>34</v>
      </c>
      <c r="C15" s="4" t="s">
        <v>35</v>
      </c>
      <c r="D15" s="4" t="s">
        <v>36</v>
      </c>
      <c r="E15" s="5">
        <v>50011</v>
      </c>
      <c r="F15" s="6">
        <v>1525.2104724999999</v>
      </c>
      <c r="G15" s="7">
        <v>2.3847477999999998E-2</v>
      </c>
      <c r="H15" s="106"/>
    </row>
    <row r="16" spans="1:14" ht="17.100000000000001" customHeight="1" x14ac:dyDescent="0.2">
      <c r="A16" s="3">
        <v>10</v>
      </c>
      <c r="B16" s="4" t="s">
        <v>37</v>
      </c>
      <c r="C16" s="4" t="s">
        <v>38</v>
      </c>
      <c r="D16" s="4" t="s">
        <v>31</v>
      </c>
      <c r="E16" s="5">
        <v>53750</v>
      </c>
      <c r="F16" s="6">
        <v>1492.879375</v>
      </c>
      <c r="G16" s="7">
        <v>2.3341964E-2</v>
      </c>
      <c r="H16" s="106"/>
    </row>
    <row r="17" spans="1:8" ht="17.100000000000001" customHeight="1" x14ac:dyDescent="0.2">
      <c r="A17" s="3">
        <v>11</v>
      </c>
      <c r="B17" s="4" t="s">
        <v>39</v>
      </c>
      <c r="C17" s="4" t="s">
        <v>40</v>
      </c>
      <c r="D17" s="4" t="s">
        <v>41</v>
      </c>
      <c r="E17" s="5">
        <v>178999</v>
      </c>
      <c r="F17" s="6">
        <v>1428.41202</v>
      </c>
      <c r="G17" s="7">
        <v>2.2333981999999999E-2</v>
      </c>
      <c r="H17" s="106"/>
    </row>
    <row r="18" spans="1:8" ht="17.100000000000001" customHeight="1" x14ac:dyDescent="0.2">
      <c r="A18" s="3">
        <v>12</v>
      </c>
      <c r="B18" s="4" t="s">
        <v>42</v>
      </c>
      <c r="C18" s="4" t="s">
        <v>43</v>
      </c>
      <c r="D18" s="4" t="s">
        <v>16</v>
      </c>
      <c r="E18" s="5">
        <v>247227</v>
      </c>
      <c r="F18" s="6">
        <v>1418.588526</v>
      </c>
      <c r="G18" s="7">
        <v>2.2180386999999999E-2</v>
      </c>
      <c r="H18" s="106"/>
    </row>
    <row r="19" spans="1:8" ht="17.100000000000001" customHeight="1" x14ac:dyDescent="0.2">
      <c r="A19" s="3">
        <v>13</v>
      </c>
      <c r="B19" s="4" t="s">
        <v>44</v>
      </c>
      <c r="C19" s="4" t="s">
        <v>45</v>
      </c>
      <c r="D19" s="4" t="s">
        <v>31</v>
      </c>
      <c r="E19" s="5">
        <v>40893</v>
      </c>
      <c r="F19" s="6">
        <v>1373.5958700000001</v>
      </c>
      <c r="G19" s="7">
        <v>2.1476902999999999E-2</v>
      </c>
      <c r="H19" s="106"/>
    </row>
    <row r="20" spans="1:8" ht="53.1" customHeight="1" x14ac:dyDescent="0.2">
      <c r="A20" s="3">
        <v>14</v>
      </c>
      <c r="B20" s="4" t="s">
        <v>46</v>
      </c>
      <c r="C20" s="4" t="s">
        <v>47</v>
      </c>
      <c r="D20" s="4" t="s">
        <v>48</v>
      </c>
      <c r="E20" s="5">
        <v>847086</v>
      </c>
      <c r="F20" s="6">
        <v>1298.582838</v>
      </c>
      <c r="G20" s="7">
        <v>2.0304033999999999E-2</v>
      </c>
      <c r="H20" s="106"/>
    </row>
    <row r="21" spans="1:8" ht="29.1" customHeight="1" x14ac:dyDescent="0.2">
      <c r="A21" s="3">
        <v>15</v>
      </c>
      <c r="B21" s="4" t="s">
        <v>49</v>
      </c>
      <c r="C21" s="4" t="s">
        <v>50</v>
      </c>
      <c r="D21" s="4" t="s">
        <v>51</v>
      </c>
      <c r="E21" s="5">
        <v>3191</v>
      </c>
      <c r="F21" s="6">
        <v>1255.1112435</v>
      </c>
      <c r="G21" s="7">
        <v>1.9624332000000001E-2</v>
      </c>
      <c r="H21" s="106"/>
    </row>
    <row r="22" spans="1:8" ht="17.100000000000001" customHeight="1" x14ac:dyDescent="0.2">
      <c r="A22" s="3">
        <v>16</v>
      </c>
      <c r="B22" s="4" t="s">
        <v>52</v>
      </c>
      <c r="C22" s="4" t="s">
        <v>53</v>
      </c>
      <c r="D22" s="4" t="s">
        <v>28</v>
      </c>
      <c r="E22" s="5">
        <v>544901</v>
      </c>
      <c r="F22" s="6">
        <v>1231.4762599999999</v>
      </c>
      <c r="G22" s="7">
        <v>1.9254786999999999E-2</v>
      </c>
      <c r="H22" s="106"/>
    </row>
    <row r="23" spans="1:8" ht="17.100000000000001" customHeight="1" x14ac:dyDescent="0.2">
      <c r="A23" s="3">
        <v>17</v>
      </c>
      <c r="B23" s="4" t="s">
        <v>54</v>
      </c>
      <c r="C23" s="4" t="s">
        <v>55</v>
      </c>
      <c r="D23" s="4" t="s">
        <v>28</v>
      </c>
      <c r="E23" s="5">
        <v>494033</v>
      </c>
      <c r="F23" s="6">
        <v>1127.1362895</v>
      </c>
      <c r="G23" s="7">
        <v>1.7623376E-2</v>
      </c>
      <c r="H23" s="106"/>
    </row>
    <row r="24" spans="1:8" ht="17.100000000000001" customHeight="1" x14ac:dyDescent="0.2">
      <c r="A24" s="3">
        <v>18</v>
      </c>
      <c r="B24" s="4" t="s">
        <v>56</v>
      </c>
      <c r="C24" s="4" t="s">
        <v>57</v>
      </c>
      <c r="D24" s="4" t="s">
        <v>13</v>
      </c>
      <c r="E24" s="5">
        <v>434852</v>
      </c>
      <c r="F24" s="6">
        <v>1121.9181599999999</v>
      </c>
      <c r="G24" s="7">
        <v>1.7541787999999999E-2</v>
      </c>
      <c r="H24" s="106"/>
    </row>
    <row r="25" spans="1:8" ht="17.100000000000001" customHeight="1" x14ac:dyDescent="0.2">
      <c r="A25" s="3">
        <v>19</v>
      </c>
      <c r="B25" s="4" t="s">
        <v>58</v>
      </c>
      <c r="C25" s="4" t="s">
        <v>59</v>
      </c>
      <c r="D25" s="4" t="s">
        <v>13</v>
      </c>
      <c r="E25" s="5">
        <v>1492666</v>
      </c>
      <c r="F25" s="6">
        <v>1114.275169</v>
      </c>
      <c r="G25" s="7">
        <v>1.7422284999999999E-2</v>
      </c>
      <c r="H25" s="106"/>
    </row>
    <row r="26" spans="1:8" ht="29.1" customHeight="1" x14ac:dyDescent="0.2">
      <c r="A26" s="3">
        <v>20</v>
      </c>
      <c r="B26" s="4" t="s">
        <v>60</v>
      </c>
      <c r="C26" s="4" t="s">
        <v>61</v>
      </c>
      <c r="D26" s="4" t="s">
        <v>62</v>
      </c>
      <c r="E26" s="5">
        <v>129629</v>
      </c>
      <c r="F26" s="6">
        <v>1067.5596295</v>
      </c>
      <c r="G26" s="7">
        <v>1.6691863000000001E-2</v>
      </c>
      <c r="H26" s="106"/>
    </row>
    <row r="27" spans="1:8" ht="29.1" customHeight="1" x14ac:dyDescent="0.2">
      <c r="A27" s="3">
        <v>21</v>
      </c>
      <c r="B27" s="4" t="s">
        <v>63</v>
      </c>
      <c r="C27" s="4" t="s">
        <v>64</v>
      </c>
      <c r="D27" s="4" t="s">
        <v>25</v>
      </c>
      <c r="E27" s="5">
        <v>37041</v>
      </c>
      <c r="F27" s="6">
        <v>1004.7926864999999</v>
      </c>
      <c r="G27" s="7">
        <v>1.5710469000000001E-2</v>
      </c>
      <c r="H27" s="106"/>
    </row>
    <row r="28" spans="1:8" ht="29.1" customHeight="1" x14ac:dyDescent="0.2">
      <c r="A28" s="3">
        <v>22</v>
      </c>
      <c r="B28" s="4" t="s">
        <v>65</v>
      </c>
      <c r="C28" s="4" t="s">
        <v>66</v>
      </c>
      <c r="D28" s="4" t="s">
        <v>67</v>
      </c>
      <c r="E28" s="5">
        <v>885670</v>
      </c>
      <c r="F28" s="6">
        <v>946.33839499999999</v>
      </c>
      <c r="G28" s="7">
        <v>1.4796505E-2</v>
      </c>
      <c r="H28" s="106"/>
    </row>
    <row r="29" spans="1:8" ht="17.100000000000001" customHeight="1" x14ac:dyDescent="0.2">
      <c r="A29" s="3">
        <v>23</v>
      </c>
      <c r="B29" s="4" t="s">
        <v>68</v>
      </c>
      <c r="C29" s="4" t="s">
        <v>69</v>
      </c>
      <c r="D29" s="4" t="s">
        <v>70</v>
      </c>
      <c r="E29" s="5">
        <v>9900</v>
      </c>
      <c r="F29" s="6">
        <v>943.23239999999998</v>
      </c>
      <c r="G29" s="7">
        <v>1.4747941000000001E-2</v>
      </c>
      <c r="H29" s="106"/>
    </row>
    <row r="30" spans="1:8" ht="29.1" customHeight="1" x14ac:dyDescent="0.2">
      <c r="A30" s="3">
        <v>24</v>
      </c>
      <c r="B30" s="4" t="s">
        <v>71</v>
      </c>
      <c r="C30" s="4" t="s">
        <v>72</v>
      </c>
      <c r="D30" s="4" t="s">
        <v>51</v>
      </c>
      <c r="E30" s="5">
        <v>50164</v>
      </c>
      <c r="F30" s="6">
        <v>925.80170199999998</v>
      </c>
      <c r="G30" s="7">
        <v>1.4475402E-2</v>
      </c>
      <c r="H30" s="106"/>
    </row>
    <row r="31" spans="1:8" ht="17.100000000000001" customHeight="1" x14ac:dyDescent="0.2">
      <c r="A31" s="3">
        <v>25</v>
      </c>
      <c r="B31" s="4" t="s">
        <v>73</v>
      </c>
      <c r="C31" s="4" t="s">
        <v>74</v>
      </c>
      <c r="D31" s="4" t="s">
        <v>36</v>
      </c>
      <c r="E31" s="5">
        <v>30000</v>
      </c>
      <c r="F31" s="6">
        <v>877.68</v>
      </c>
      <c r="G31" s="7">
        <v>1.3722994000000001E-2</v>
      </c>
      <c r="H31" s="106"/>
    </row>
    <row r="32" spans="1:8" ht="17.100000000000001" customHeight="1" x14ac:dyDescent="0.2">
      <c r="A32" s="3">
        <v>26</v>
      </c>
      <c r="B32" s="4" t="s">
        <v>75</v>
      </c>
      <c r="C32" s="4" t="s">
        <v>76</v>
      </c>
      <c r="D32" s="4" t="s">
        <v>36</v>
      </c>
      <c r="E32" s="5">
        <v>308781</v>
      </c>
      <c r="F32" s="6">
        <v>863.96923800000002</v>
      </c>
      <c r="G32" s="7">
        <v>1.3508618999999999E-2</v>
      </c>
      <c r="H32" s="106"/>
    </row>
    <row r="33" spans="1:8" ht="17.100000000000001" customHeight="1" x14ac:dyDescent="0.2">
      <c r="A33" s="3">
        <v>27</v>
      </c>
      <c r="B33" s="4" t="s">
        <v>77</v>
      </c>
      <c r="C33" s="4" t="s">
        <v>78</v>
      </c>
      <c r="D33" s="4" t="s">
        <v>31</v>
      </c>
      <c r="E33" s="5">
        <v>50976</v>
      </c>
      <c r="F33" s="6">
        <v>823.36435200000005</v>
      </c>
      <c r="G33" s="7">
        <v>1.287374E-2</v>
      </c>
      <c r="H33" s="106"/>
    </row>
    <row r="34" spans="1:8" ht="17.100000000000001" customHeight="1" x14ac:dyDescent="0.2">
      <c r="A34" s="3">
        <v>28</v>
      </c>
      <c r="B34" s="4" t="s">
        <v>79</v>
      </c>
      <c r="C34" s="4" t="s">
        <v>80</v>
      </c>
      <c r="D34" s="4" t="s">
        <v>31</v>
      </c>
      <c r="E34" s="5">
        <v>75424</v>
      </c>
      <c r="F34" s="6">
        <v>813.78724799999998</v>
      </c>
      <c r="G34" s="7">
        <v>1.2723997000000001E-2</v>
      </c>
      <c r="H34" s="106"/>
    </row>
    <row r="35" spans="1:8" ht="17.100000000000001" customHeight="1" x14ac:dyDescent="0.2">
      <c r="A35" s="3">
        <v>29</v>
      </c>
      <c r="B35" s="4" t="s">
        <v>81</v>
      </c>
      <c r="C35" s="4" t="s">
        <v>82</v>
      </c>
      <c r="D35" s="4" t="s">
        <v>41</v>
      </c>
      <c r="E35" s="5">
        <v>150203</v>
      </c>
      <c r="F35" s="6">
        <v>808.91825649999998</v>
      </c>
      <c r="G35" s="7">
        <v>1.2647868E-2</v>
      </c>
      <c r="H35" s="106"/>
    </row>
    <row r="36" spans="1:8" ht="29.1" customHeight="1" x14ac:dyDescent="0.2">
      <c r="A36" s="3">
        <v>30</v>
      </c>
      <c r="B36" s="4" t="s">
        <v>83</v>
      </c>
      <c r="C36" s="4" t="s">
        <v>84</v>
      </c>
      <c r="D36" s="4" t="s">
        <v>25</v>
      </c>
      <c r="E36" s="5">
        <v>150000</v>
      </c>
      <c r="F36" s="6">
        <v>799.42499999999995</v>
      </c>
      <c r="G36" s="7">
        <v>1.2499435E-2</v>
      </c>
      <c r="H36" s="106"/>
    </row>
    <row r="37" spans="1:8" ht="29.1" customHeight="1" x14ac:dyDescent="0.2">
      <c r="A37" s="3">
        <v>31</v>
      </c>
      <c r="B37" s="4" t="s">
        <v>85</v>
      </c>
      <c r="C37" s="4" t="s">
        <v>86</v>
      </c>
      <c r="D37" s="4" t="s">
        <v>25</v>
      </c>
      <c r="E37" s="5">
        <v>3379</v>
      </c>
      <c r="F37" s="6">
        <v>768.40149499999995</v>
      </c>
      <c r="G37" s="7">
        <v>1.2014366E-2</v>
      </c>
      <c r="H37" s="106"/>
    </row>
    <row r="38" spans="1:8" ht="17.100000000000001" customHeight="1" x14ac:dyDescent="0.2">
      <c r="A38" s="3">
        <v>32</v>
      </c>
      <c r="B38" s="4" t="s">
        <v>87</v>
      </c>
      <c r="C38" s="4" t="s">
        <v>88</v>
      </c>
      <c r="D38" s="4" t="s">
        <v>89</v>
      </c>
      <c r="E38" s="5">
        <v>26495</v>
      </c>
      <c r="F38" s="6">
        <v>729.83127000000002</v>
      </c>
      <c r="G38" s="7">
        <v>1.1411299999999999E-2</v>
      </c>
      <c r="H38" s="106"/>
    </row>
    <row r="39" spans="1:8" ht="53.1" customHeight="1" x14ac:dyDescent="0.2">
      <c r="A39" s="3">
        <v>33</v>
      </c>
      <c r="B39" s="4" t="s">
        <v>90</v>
      </c>
      <c r="C39" s="4" t="s">
        <v>91</v>
      </c>
      <c r="D39" s="4" t="s">
        <v>48</v>
      </c>
      <c r="E39" s="5">
        <v>45404</v>
      </c>
      <c r="F39" s="6">
        <v>715.61244399999998</v>
      </c>
      <c r="G39" s="7">
        <v>1.1188982E-2</v>
      </c>
      <c r="H39" s="106"/>
    </row>
    <row r="40" spans="1:8" ht="17.100000000000001" customHeight="1" x14ac:dyDescent="0.2">
      <c r="A40" s="3">
        <v>34</v>
      </c>
      <c r="B40" s="4" t="s">
        <v>92</v>
      </c>
      <c r="C40" s="4" t="s">
        <v>93</v>
      </c>
      <c r="D40" s="4" t="s">
        <v>31</v>
      </c>
      <c r="E40" s="5">
        <v>50000</v>
      </c>
      <c r="F40" s="6">
        <v>673.95</v>
      </c>
      <c r="G40" s="7">
        <v>1.0537566999999999E-2</v>
      </c>
      <c r="H40" s="106"/>
    </row>
    <row r="41" spans="1:8" ht="17.100000000000001" customHeight="1" x14ac:dyDescent="0.2">
      <c r="A41" s="3">
        <v>35</v>
      </c>
      <c r="B41" s="4" t="s">
        <v>94</v>
      </c>
      <c r="C41" s="4" t="s">
        <v>95</v>
      </c>
      <c r="D41" s="4" t="s">
        <v>96</v>
      </c>
      <c r="E41" s="5">
        <v>134092</v>
      </c>
      <c r="F41" s="6">
        <v>669.85658599999999</v>
      </c>
      <c r="G41" s="7">
        <v>1.0473563999999999E-2</v>
      </c>
      <c r="H41" s="106"/>
    </row>
    <row r="42" spans="1:8" ht="29.1" customHeight="1" x14ac:dyDescent="0.2">
      <c r="A42" s="3">
        <v>36</v>
      </c>
      <c r="B42" s="4" t="s">
        <v>97</v>
      </c>
      <c r="C42" s="4" t="s">
        <v>98</v>
      </c>
      <c r="D42" s="4" t="s">
        <v>99</v>
      </c>
      <c r="E42" s="5">
        <v>90717</v>
      </c>
      <c r="F42" s="6">
        <v>643.50103950000005</v>
      </c>
      <c r="G42" s="7">
        <v>1.0061481000000001E-2</v>
      </c>
      <c r="H42" s="106"/>
    </row>
    <row r="43" spans="1:8" ht="17.100000000000001" customHeight="1" x14ac:dyDescent="0.2">
      <c r="A43" s="3">
        <v>37</v>
      </c>
      <c r="B43" s="4" t="s">
        <v>100</v>
      </c>
      <c r="C43" s="4" t="s">
        <v>101</v>
      </c>
      <c r="D43" s="4" t="s">
        <v>96</v>
      </c>
      <c r="E43" s="5">
        <v>68500</v>
      </c>
      <c r="F43" s="6">
        <v>633.38525000000004</v>
      </c>
      <c r="G43" s="7">
        <v>9.9033160000000005E-3</v>
      </c>
      <c r="H43" s="106"/>
    </row>
    <row r="44" spans="1:8" ht="17.100000000000001" customHeight="1" x14ac:dyDescent="0.2">
      <c r="A44" s="3">
        <v>38</v>
      </c>
      <c r="B44" s="4" t="s">
        <v>102</v>
      </c>
      <c r="C44" s="4" t="s">
        <v>103</v>
      </c>
      <c r="D44" s="4" t="s">
        <v>13</v>
      </c>
      <c r="E44" s="5">
        <v>272313</v>
      </c>
      <c r="F44" s="6">
        <v>606.16873799999996</v>
      </c>
      <c r="G44" s="7">
        <v>9.4777709999999994E-3</v>
      </c>
      <c r="H44" s="106"/>
    </row>
    <row r="45" spans="1:8" ht="17.100000000000001" customHeight="1" x14ac:dyDescent="0.2">
      <c r="A45" s="3">
        <v>39</v>
      </c>
      <c r="B45" s="4" t="s">
        <v>104</v>
      </c>
      <c r="C45" s="4" t="s">
        <v>105</v>
      </c>
      <c r="D45" s="4" t="s">
        <v>22</v>
      </c>
      <c r="E45" s="5">
        <v>199136</v>
      </c>
      <c r="F45" s="6">
        <v>604.67646400000001</v>
      </c>
      <c r="G45" s="7">
        <v>9.4544380000000008E-3</v>
      </c>
      <c r="H45" s="106"/>
    </row>
    <row r="46" spans="1:8" ht="17.100000000000001" customHeight="1" x14ac:dyDescent="0.2">
      <c r="A46" s="3">
        <v>40</v>
      </c>
      <c r="B46" s="4" t="s">
        <v>106</v>
      </c>
      <c r="C46" s="4" t="s">
        <v>107</v>
      </c>
      <c r="D46" s="4" t="s">
        <v>89</v>
      </c>
      <c r="E46" s="5">
        <v>119000</v>
      </c>
      <c r="F46" s="6">
        <v>553.82600000000002</v>
      </c>
      <c r="G46" s="7">
        <v>8.6593639999999993E-3</v>
      </c>
      <c r="H46" s="106"/>
    </row>
    <row r="47" spans="1:8" ht="17.100000000000001" customHeight="1" x14ac:dyDescent="0.2">
      <c r="A47" s="3">
        <v>41</v>
      </c>
      <c r="B47" s="4" t="s">
        <v>108</v>
      </c>
      <c r="C47" s="4" t="s">
        <v>109</v>
      </c>
      <c r="D47" s="4" t="s">
        <v>110</v>
      </c>
      <c r="E47" s="5">
        <v>142476</v>
      </c>
      <c r="F47" s="6">
        <v>530.15319599999998</v>
      </c>
      <c r="G47" s="7">
        <v>8.2892269999999997E-3</v>
      </c>
      <c r="H47" s="106"/>
    </row>
    <row r="48" spans="1:8" ht="17.100000000000001" customHeight="1" x14ac:dyDescent="0.2">
      <c r="A48" s="3">
        <v>42</v>
      </c>
      <c r="B48" s="4" t="s">
        <v>111</v>
      </c>
      <c r="C48" s="4" t="s">
        <v>112</v>
      </c>
      <c r="D48" s="4" t="s">
        <v>96</v>
      </c>
      <c r="E48" s="5">
        <v>112117</v>
      </c>
      <c r="F48" s="6">
        <v>495.55714</v>
      </c>
      <c r="G48" s="7">
        <v>7.7482999999999996E-3</v>
      </c>
      <c r="H48" s="106"/>
    </row>
    <row r="49" spans="1:8" ht="17.100000000000001" customHeight="1" x14ac:dyDescent="0.2">
      <c r="A49" s="3">
        <v>43</v>
      </c>
      <c r="B49" s="4" t="s">
        <v>113</v>
      </c>
      <c r="C49" s="4" t="s">
        <v>114</v>
      </c>
      <c r="D49" s="4" t="s">
        <v>115</v>
      </c>
      <c r="E49" s="5">
        <v>119918</v>
      </c>
      <c r="F49" s="6">
        <v>486.44736699999999</v>
      </c>
      <c r="G49" s="7">
        <v>7.6058640000000004E-3</v>
      </c>
      <c r="H49" s="106"/>
    </row>
    <row r="50" spans="1:8" ht="17.100000000000001" customHeight="1" x14ac:dyDescent="0.2">
      <c r="A50" s="3">
        <v>44</v>
      </c>
      <c r="B50" s="4" t="s">
        <v>116</v>
      </c>
      <c r="C50" s="4" t="s">
        <v>117</v>
      </c>
      <c r="D50" s="4" t="s">
        <v>13</v>
      </c>
      <c r="E50" s="5">
        <v>38844</v>
      </c>
      <c r="F50" s="6">
        <v>474.05217599999997</v>
      </c>
      <c r="G50" s="7">
        <v>7.412058E-3</v>
      </c>
      <c r="H50" s="106"/>
    </row>
    <row r="51" spans="1:8" ht="17.100000000000001" customHeight="1" x14ac:dyDescent="0.2">
      <c r="A51" s="3">
        <v>45</v>
      </c>
      <c r="B51" s="4" t="s">
        <v>118</v>
      </c>
      <c r="C51" s="4" t="s">
        <v>119</v>
      </c>
      <c r="D51" s="4" t="s">
        <v>120</v>
      </c>
      <c r="E51" s="5">
        <v>313512</v>
      </c>
      <c r="F51" s="6">
        <v>420.26283599999999</v>
      </c>
      <c r="G51" s="7">
        <v>6.5710330000000004E-3</v>
      </c>
      <c r="H51" s="106"/>
    </row>
    <row r="52" spans="1:8" ht="29.1" customHeight="1" x14ac:dyDescent="0.2">
      <c r="A52" s="3">
        <v>46</v>
      </c>
      <c r="B52" s="4" t="s">
        <v>121</v>
      </c>
      <c r="C52" s="4" t="s">
        <v>122</v>
      </c>
      <c r="D52" s="4" t="s">
        <v>25</v>
      </c>
      <c r="E52" s="5">
        <v>38741</v>
      </c>
      <c r="F52" s="6">
        <v>279.63253800000001</v>
      </c>
      <c r="G52" s="7">
        <v>4.3722040000000002E-3</v>
      </c>
      <c r="H52" s="106"/>
    </row>
    <row r="53" spans="1:8" ht="17.100000000000001" customHeight="1" x14ac:dyDescent="0.2">
      <c r="A53" s="3">
        <v>47</v>
      </c>
      <c r="B53" s="4" t="s">
        <v>123</v>
      </c>
      <c r="C53" s="4" t="s">
        <v>124</v>
      </c>
      <c r="D53" s="4" t="s">
        <v>110</v>
      </c>
      <c r="E53" s="5">
        <v>10500</v>
      </c>
      <c r="F53" s="6">
        <v>216.83025000000001</v>
      </c>
      <c r="G53" s="7">
        <v>3.3902559999999999E-3</v>
      </c>
      <c r="H53" s="106"/>
    </row>
    <row r="54" spans="1:8" ht="17.100000000000001" customHeight="1" x14ac:dyDescent="0.2">
      <c r="A54" s="3">
        <v>48</v>
      </c>
      <c r="B54" s="4" t="s">
        <v>125</v>
      </c>
      <c r="C54" s="4" t="s">
        <v>126</v>
      </c>
      <c r="D54" s="4"/>
      <c r="E54" s="5">
        <v>45404</v>
      </c>
      <c r="F54" s="6">
        <v>137.00657000000001</v>
      </c>
      <c r="G54" s="7">
        <v>2.142171E-3</v>
      </c>
      <c r="H54" s="106"/>
    </row>
    <row r="55" spans="1:8" ht="14.1" customHeight="1" x14ac:dyDescent="0.2">
      <c r="A55" s="1"/>
      <c r="B55" s="1"/>
      <c r="C55" s="2" t="s">
        <v>130</v>
      </c>
      <c r="D55" s="1"/>
      <c r="E55" s="1" t="s">
        <v>131</v>
      </c>
      <c r="F55" s="9">
        <v>61715.726652499987</v>
      </c>
      <c r="G55" s="10">
        <v>0.96495824100000005</v>
      </c>
      <c r="H55" s="106"/>
    </row>
    <row r="56" spans="1:8" ht="14.1" customHeight="1" x14ac:dyDescent="0.2">
      <c r="A56" s="1"/>
      <c r="B56" s="1"/>
      <c r="C56" s="11"/>
      <c r="D56" s="1"/>
      <c r="E56" s="1"/>
      <c r="F56" s="12"/>
      <c r="G56" s="12"/>
      <c r="H56" s="106"/>
    </row>
    <row r="57" spans="1:8" ht="14.1" customHeight="1" x14ac:dyDescent="0.2">
      <c r="A57" s="1"/>
      <c r="B57" s="1"/>
      <c r="C57" s="2" t="s">
        <v>132</v>
      </c>
      <c r="D57" s="1"/>
      <c r="E57" s="1"/>
      <c r="F57" s="1"/>
      <c r="G57" s="1"/>
      <c r="H57" s="106"/>
    </row>
    <row r="58" spans="1:8" ht="14.1" customHeight="1" x14ac:dyDescent="0.2">
      <c r="A58" s="1"/>
      <c r="B58" s="1"/>
      <c r="C58" s="2" t="s">
        <v>130</v>
      </c>
      <c r="D58" s="1"/>
      <c r="E58" s="1" t="s">
        <v>131</v>
      </c>
      <c r="F58" s="13">
        <v>0</v>
      </c>
      <c r="G58" s="14">
        <v>0</v>
      </c>
      <c r="H58" s="106"/>
    </row>
    <row r="59" spans="1:8" ht="14.1" customHeight="1" x14ac:dyDescent="0.2">
      <c r="A59" s="1"/>
      <c r="B59" s="1"/>
      <c r="C59" s="11"/>
      <c r="D59" s="1"/>
      <c r="E59" s="1"/>
      <c r="F59" s="12"/>
      <c r="G59" s="12"/>
      <c r="H59" s="106"/>
    </row>
    <row r="60" spans="1:8" ht="14.1" customHeight="1" x14ac:dyDescent="0.2">
      <c r="A60" s="1"/>
      <c r="B60" s="1"/>
      <c r="C60" s="2" t="s">
        <v>133</v>
      </c>
      <c r="D60" s="1"/>
      <c r="E60" s="1"/>
      <c r="F60" s="1"/>
      <c r="G60" s="1"/>
      <c r="H60" s="106"/>
    </row>
    <row r="61" spans="1:8" ht="17.100000000000001" customHeight="1" x14ac:dyDescent="0.2">
      <c r="A61" s="3">
        <v>1</v>
      </c>
      <c r="B61" s="4" t="s">
        <v>127</v>
      </c>
      <c r="C61" s="102" t="s">
        <v>991</v>
      </c>
      <c r="D61" s="4" t="s">
        <v>128</v>
      </c>
      <c r="E61" s="5">
        <v>559425</v>
      </c>
      <c r="F61" s="6">
        <v>1.1189000000000001E-5</v>
      </c>
      <c r="G61" s="8" t="s">
        <v>129</v>
      </c>
      <c r="H61" s="106"/>
    </row>
    <row r="62" spans="1:8" ht="14.1" customHeight="1" x14ac:dyDescent="0.2">
      <c r="A62" s="1"/>
      <c r="B62" s="1"/>
      <c r="C62" s="2" t="s">
        <v>130</v>
      </c>
      <c r="D62" s="1"/>
      <c r="E62" s="1" t="s">
        <v>131</v>
      </c>
      <c r="F62" s="13">
        <v>1.1189000000000001E-5</v>
      </c>
      <c r="G62" s="14">
        <v>0</v>
      </c>
      <c r="H62" s="106"/>
    </row>
    <row r="63" spans="1:8" ht="14.1" customHeight="1" x14ac:dyDescent="0.2">
      <c r="A63" s="1"/>
      <c r="B63" s="1"/>
      <c r="C63" s="11"/>
      <c r="D63" s="1"/>
      <c r="E63" s="1"/>
      <c r="F63" s="12"/>
      <c r="G63" s="12"/>
      <c r="H63" s="106"/>
    </row>
    <row r="64" spans="1:8" ht="14.1" customHeight="1" x14ac:dyDescent="0.2">
      <c r="A64" s="1"/>
      <c r="B64" s="1"/>
      <c r="C64" s="2" t="s">
        <v>134</v>
      </c>
      <c r="D64" s="1"/>
      <c r="E64" s="1"/>
      <c r="F64" s="1"/>
      <c r="G64" s="1"/>
      <c r="H64" s="106"/>
    </row>
    <row r="65" spans="1:8" ht="14.1" customHeight="1" x14ac:dyDescent="0.2">
      <c r="A65" s="1"/>
      <c r="B65" s="1"/>
      <c r="C65" s="2" t="s">
        <v>130</v>
      </c>
      <c r="D65" s="1"/>
      <c r="E65" s="1" t="s">
        <v>131</v>
      </c>
      <c r="F65" s="13">
        <v>0</v>
      </c>
      <c r="G65" s="14">
        <v>0</v>
      </c>
      <c r="H65" s="106"/>
    </row>
    <row r="66" spans="1:8" ht="14.1" customHeight="1" x14ac:dyDescent="0.2">
      <c r="A66" s="1"/>
      <c r="B66" s="1"/>
      <c r="C66" s="11"/>
      <c r="D66" s="1"/>
      <c r="E66" s="1"/>
      <c r="F66" s="12"/>
      <c r="G66" s="12"/>
      <c r="H66" s="106"/>
    </row>
    <row r="67" spans="1:8" ht="14.1" customHeight="1" x14ac:dyDescent="0.2">
      <c r="A67" s="1"/>
      <c r="B67" s="1"/>
      <c r="C67" s="2" t="s">
        <v>135</v>
      </c>
      <c r="D67" s="1"/>
      <c r="E67" s="1"/>
      <c r="F67" s="12"/>
      <c r="G67" s="12"/>
      <c r="H67" s="106"/>
    </row>
    <row r="68" spans="1:8" ht="14.1" customHeight="1" x14ac:dyDescent="0.2">
      <c r="A68" s="1"/>
      <c r="B68" s="1"/>
      <c r="C68" s="2" t="s">
        <v>130</v>
      </c>
      <c r="D68" s="1"/>
      <c r="E68" s="1" t="s">
        <v>131</v>
      </c>
      <c r="F68" s="13">
        <v>0</v>
      </c>
      <c r="G68" s="14">
        <v>0</v>
      </c>
      <c r="H68" s="106"/>
    </row>
    <row r="69" spans="1:8" ht="14.1" customHeight="1" x14ac:dyDescent="0.2">
      <c r="A69" s="1"/>
      <c r="B69" s="1"/>
      <c r="C69" s="11"/>
      <c r="D69" s="1"/>
      <c r="E69" s="1"/>
      <c r="F69" s="12"/>
      <c r="G69" s="12"/>
      <c r="H69" s="106"/>
    </row>
    <row r="70" spans="1:8" ht="14.1" customHeight="1" x14ac:dyDescent="0.2">
      <c r="A70" s="1"/>
      <c r="B70" s="1"/>
      <c r="C70" s="2" t="s">
        <v>136</v>
      </c>
      <c r="D70" s="1"/>
      <c r="E70" s="1"/>
      <c r="F70" s="12"/>
      <c r="G70" s="12"/>
      <c r="H70" s="106"/>
    </row>
    <row r="71" spans="1:8" ht="14.1" customHeight="1" x14ac:dyDescent="0.2">
      <c r="A71" s="1"/>
      <c r="B71" s="1"/>
      <c r="C71" s="2" t="s">
        <v>130</v>
      </c>
      <c r="D71" s="1"/>
      <c r="E71" s="1" t="s">
        <v>131</v>
      </c>
      <c r="F71" s="13">
        <v>0</v>
      </c>
      <c r="G71" s="14">
        <v>0</v>
      </c>
      <c r="H71" s="106"/>
    </row>
    <row r="72" spans="1:8" ht="14.1" customHeight="1" x14ac:dyDescent="0.2">
      <c r="A72" s="1"/>
      <c r="B72" s="1"/>
      <c r="C72" s="11"/>
      <c r="D72" s="1"/>
      <c r="E72" s="1"/>
      <c r="F72" s="12"/>
      <c r="G72" s="12"/>
      <c r="H72" s="106"/>
    </row>
    <row r="73" spans="1:8" ht="18" customHeight="1" x14ac:dyDescent="0.2">
      <c r="A73" s="1"/>
      <c r="B73" s="1"/>
      <c r="C73" s="2" t="s">
        <v>137</v>
      </c>
      <c r="D73" s="1"/>
      <c r="E73" s="1"/>
      <c r="F73" s="9">
        <v>61715.726663688998</v>
      </c>
      <c r="G73" s="10">
        <v>0.96495824100000005</v>
      </c>
      <c r="H73" s="106"/>
    </row>
    <row r="74" spans="1:8" ht="14.1" customHeight="1" x14ac:dyDescent="0.2">
      <c r="A74" s="1"/>
      <c r="B74" s="1"/>
      <c r="C74" s="11"/>
      <c r="D74" s="1"/>
      <c r="E74" s="1"/>
      <c r="F74" s="12"/>
      <c r="G74" s="12"/>
      <c r="H74" s="106"/>
    </row>
    <row r="75" spans="1:8" ht="14.1" customHeight="1" x14ac:dyDescent="0.2">
      <c r="A75" s="1"/>
      <c r="B75" s="1"/>
      <c r="C75" s="2" t="s">
        <v>138</v>
      </c>
      <c r="D75" s="1"/>
      <c r="E75" s="1"/>
      <c r="F75" s="12"/>
      <c r="G75" s="12"/>
      <c r="H75" s="106"/>
    </row>
    <row r="76" spans="1:8" ht="24" customHeight="1" x14ac:dyDescent="0.2">
      <c r="A76" s="1"/>
      <c r="B76" s="1"/>
      <c r="C76" s="2" t="s">
        <v>10</v>
      </c>
      <c r="D76" s="1"/>
      <c r="E76" s="1"/>
      <c r="F76" s="12"/>
      <c r="G76" s="12"/>
      <c r="H76" s="106"/>
    </row>
    <row r="77" spans="1:8" ht="14.1" customHeight="1" x14ac:dyDescent="0.2">
      <c r="A77" s="1"/>
      <c r="B77" s="1"/>
      <c r="C77" s="2" t="s">
        <v>130</v>
      </c>
      <c r="D77" s="1"/>
      <c r="E77" s="1" t="s">
        <v>131</v>
      </c>
      <c r="F77" s="13">
        <v>0</v>
      </c>
      <c r="G77" s="14">
        <v>0</v>
      </c>
      <c r="H77" s="106"/>
    </row>
    <row r="78" spans="1:8" ht="14.1" customHeight="1" x14ac:dyDescent="0.2">
      <c r="A78" s="1"/>
      <c r="B78" s="1"/>
      <c r="C78" s="11"/>
      <c r="D78" s="1"/>
      <c r="E78" s="1"/>
      <c r="F78" s="12"/>
      <c r="G78" s="12"/>
      <c r="H78" s="106"/>
    </row>
    <row r="79" spans="1:8" ht="14.1" customHeight="1" x14ac:dyDescent="0.2">
      <c r="A79" s="1"/>
      <c r="B79" s="1"/>
      <c r="C79" s="2" t="s">
        <v>139</v>
      </c>
      <c r="D79" s="1"/>
      <c r="E79" s="1"/>
      <c r="F79" s="1"/>
      <c r="G79" s="1"/>
      <c r="H79" s="106"/>
    </row>
    <row r="80" spans="1:8" ht="14.1" customHeight="1" x14ac:dyDescent="0.2">
      <c r="A80" s="1"/>
      <c r="B80" s="1"/>
      <c r="C80" s="2" t="s">
        <v>130</v>
      </c>
      <c r="D80" s="1"/>
      <c r="E80" s="1" t="s">
        <v>131</v>
      </c>
      <c r="F80" s="13">
        <v>0</v>
      </c>
      <c r="G80" s="14">
        <v>0</v>
      </c>
      <c r="H80" s="106"/>
    </row>
    <row r="81" spans="1:8" ht="14.1" customHeight="1" x14ac:dyDescent="0.2">
      <c r="A81" s="1"/>
      <c r="B81" s="1"/>
      <c r="C81" s="11"/>
      <c r="D81" s="1"/>
      <c r="E81" s="1"/>
      <c r="F81" s="12"/>
      <c r="G81" s="12"/>
      <c r="H81" s="106"/>
    </row>
    <row r="82" spans="1:8" ht="14.1" customHeight="1" x14ac:dyDescent="0.2">
      <c r="A82" s="1"/>
      <c r="B82" s="1"/>
      <c r="C82" s="2" t="s">
        <v>140</v>
      </c>
      <c r="D82" s="1"/>
      <c r="E82" s="1"/>
      <c r="F82" s="1"/>
      <c r="G82" s="1"/>
      <c r="H82" s="106"/>
    </row>
    <row r="83" spans="1:8" ht="14.1" customHeight="1" x14ac:dyDescent="0.2">
      <c r="A83" s="1"/>
      <c r="B83" s="1"/>
      <c r="C83" s="2" t="s">
        <v>130</v>
      </c>
      <c r="D83" s="1"/>
      <c r="E83" s="1" t="s">
        <v>131</v>
      </c>
      <c r="F83" s="13">
        <v>0</v>
      </c>
      <c r="G83" s="14">
        <v>0</v>
      </c>
      <c r="H83" s="106"/>
    </row>
    <row r="84" spans="1:8" ht="14.1" customHeight="1" x14ac:dyDescent="0.2">
      <c r="A84" s="1"/>
      <c r="B84" s="1"/>
      <c r="C84" s="11"/>
      <c r="D84" s="1"/>
      <c r="E84" s="1"/>
      <c r="F84" s="12"/>
      <c r="G84" s="12"/>
      <c r="H84" s="106"/>
    </row>
    <row r="85" spans="1:8" ht="14.1" customHeight="1" x14ac:dyDescent="0.2">
      <c r="A85" s="1"/>
      <c r="B85" s="1"/>
      <c r="C85" s="2" t="s">
        <v>141</v>
      </c>
      <c r="D85" s="1"/>
      <c r="E85" s="1"/>
      <c r="F85" s="12"/>
      <c r="G85" s="12"/>
      <c r="H85" s="106"/>
    </row>
    <row r="86" spans="1:8" ht="14.1" customHeight="1" x14ac:dyDescent="0.2">
      <c r="A86" s="1"/>
      <c r="B86" s="1"/>
      <c r="C86" s="2" t="s">
        <v>130</v>
      </c>
      <c r="D86" s="1"/>
      <c r="E86" s="1" t="s">
        <v>131</v>
      </c>
      <c r="F86" s="13">
        <v>0</v>
      </c>
      <c r="G86" s="14">
        <v>0</v>
      </c>
      <c r="H86" s="106"/>
    </row>
    <row r="87" spans="1:8" ht="14.1" customHeight="1" x14ac:dyDescent="0.2">
      <c r="A87" s="1"/>
      <c r="B87" s="1"/>
      <c r="C87" s="11"/>
      <c r="D87" s="1"/>
      <c r="E87" s="1"/>
      <c r="F87" s="12"/>
      <c r="G87" s="12"/>
      <c r="H87" s="106"/>
    </row>
    <row r="88" spans="1:8" ht="14.1" customHeight="1" x14ac:dyDescent="0.2">
      <c r="A88" s="1"/>
      <c r="B88" s="1"/>
      <c r="C88" s="2" t="s">
        <v>142</v>
      </c>
      <c r="D88" s="1"/>
      <c r="E88" s="1"/>
      <c r="F88" s="9">
        <v>0</v>
      </c>
      <c r="G88" s="10">
        <v>0</v>
      </c>
      <c r="H88" s="106"/>
    </row>
    <row r="89" spans="1:8" ht="14.1" customHeight="1" x14ac:dyDescent="0.2">
      <c r="A89" s="1"/>
      <c r="B89" s="1"/>
      <c r="C89" s="11"/>
      <c r="D89" s="1"/>
      <c r="E89" s="1"/>
      <c r="F89" s="12"/>
      <c r="G89" s="12"/>
      <c r="H89" s="106"/>
    </row>
    <row r="90" spans="1:8" ht="14.1" customHeight="1" x14ac:dyDescent="0.2">
      <c r="A90" s="1"/>
      <c r="B90" s="1"/>
      <c r="C90" s="2" t="s">
        <v>143</v>
      </c>
      <c r="D90" s="1"/>
      <c r="E90" s="1"/>
      <c r="F90" s="12"/>
      <c r="G90" s="12"/>
      <c r="H90" s="106"/>
    </row>
    <row r="91" spans="1:8" ht="14.1" customHeight="1" x14ac:dyDescent="0.2">
      <c r="A91" s="1"/>
      <c r="B91" s="1"/>
      <c r="C91" s="2" t="s">
        <v>144</v>
      </c>
      <c r="D91" s="1"/>
      <c r="E91" s="1"/>
      <c r="F91" s="12"/>
      <c r="G91" s="12"/>
      <c r="H91" s="106"/>
    </row>
    <row r="92" spans="1:8" ht="14.1" customHeight="1" x14ac:dyDescent="0.2">
      <c r="A92" s="1"/>
      <c r="B92" s="1"/>
      <c r="C92" s="2" t="s">
        <v>130</v>
      </c>
      <c r="D92" s="1"/>
      <c r="E92" s="1" t="s">
        <v>131</v>
      </c>
      <c r="F92" s="13">
        <v>0</v>
      </c>
      <c r="G92" s="14">
        <v>0</v>
      </c>
      <c r="H92" s="106"/>
    </row>
    <row r="93" spans="1:8" ht="14.1" customHeight="1" x14ac:dyDescent="0.2">
      <c r="A93" s="1"/>
      <c r="B93" s="1"/>
      <c r="C93" s="11"/>
      <c r="D93" s="1"/>
      <c r="E93" s="1"/>
      <c r="F93" s="12"/>
      <c r="G93" s="12"/>
      <c r="H93" s="106"/>
    </row>
    <row r="94" spans="1:8" ht="14.1" customHeight="1" x14ac:dyDescent="0.2">
      <c r="A94" s="1"/>
      <c r="B94" s="1"/>
      <c r="C94" s="2" t="s">
        <v>145</v>
      </c>
      <c r="D94" s="1"/>
      <c r="E94" s="1"/>
      <c r="F94" s="12"/>
      <c r="G94" s="12"/>
      <c r="H94" s="106"/>
    </row>
    <row r="95" spans="1:8" ht="14.1" customHeight="1" x14ac:dyDescent="0.2">
      <c r="A95" s="1"/>
      <c r="B95" s="1"/>
      <c r="C95" s="2" t="s">
        <v>130</v>
      </c>
      <c r="D95" s="1"/>
      <c r="E95" s="1" t="s">
        <v>131</v>
      </c>
      <c r="F95" s="13">
        <v>0</v>
      </c>
      <c r="G95" s="14">
        <v>0</v>
      </c>
      <c r="H95" s="106"/>
    </row>
    <row r="96" spans="1:8" ht="14.1" customHeight="1" x14ac:dyDescent="0.2">
      <c r="A96" s="1"/>
      <c r="B96" s="1"/>
      <c r="C96" s="11"/>
      <c r="D96" s="1"/>
      <c r="E96" s="1"/>
      <c r="F96" s="12"/>
      <c r="G96" s="12"/>
      <c r="H96" s="106"/>
    </row>
    <row r="97" spans="1:8" ht="14.1" customHeight="1" x14ac:dyDescent="0.2">
      <c r="A97" s="1"/>
      <c r="B97" s="1"/>
      <c r="C97" s="2" t="s">
        <v>146</v>
      </c>
      <c r="D97" s="1"/>
      <c r="E97" s="1"/>
      <c r="F97" s="12"/>
      <c r="G97" s="12"/>
      <c r="H97" s="106"/>
    </row>
    <row r="98" spans="1:8" ht="14.1" customHeight="1" x14ac:dyDescent="0.2">
      <c r="A98" s="1"/>
      <c r="B98" s="1"/>
      <c r="C98" s="2" t="s">
        <v>130</v>
      </c>
      <c r="D98" s="1"/>
      <c r="E98" s="1" t="s">
        <v>131</v>
      </c>
      <c r="F98" s="13">
        <v>0</v>
      </c>
      <c r="G98" s="14">
        <v>0</v>
      </c>
      <c r="H98" s="106"/>
    </row>
    <row r="99" spans="1:8" ht="14.1" customHeight="1" x14ac:dyDescent="0.2">
      <c r="A99" s="1"/>
      <c r="B99" s="1"/>
      <c r="C99" s="11"/>
      <c r="D99" s="1"/>
      <c r="E99" s="1"/>
      <c r="F99" s="12"/>
      <c r="G99" s="12"/>
      <c r="H99" s="106"/>
    </row>
    <row r="100" spans="1:8" ht="14.1" customHeight="1" x14ac:dyDescent="0.2">
      <c r="A100" s="1"/>
      <c r="B100" s="1"/>
      <c r="C100" s="2" t="s">
        <v>147</v>
      </c>
      <c r="D100" s="1"/>
      <c r="E100" s="1"/>
      <c r="F100" s="12"/>
      <c r="G100" s="12"/>
      <c r="H100" s="106"/>
    </row>
    <row r="101" spans="1:8" ht="17.100000000000001" customHeight="1" x14ac:dyDescent="0.2">
      <c r="A101" s="3">
        <v>1</v>
      </c>
      <c r="B101" s="4"/>
      <c r="C101" s="4" t="s">
        <v>148</v>
      </c>
      <c r="D101" s="4"/>
      <c r="E101" s="8"/>
      <c r="F101" s="6">
        <v>1660.1290736000001</v>
      </c>
      <c r="G101" s="7">
        <v>2.5957002E-2</v>
      </c>
      <c r="H101" s="106">
        <v>6.1171451766917002</v>
      </c>
    </row>
    <row r="102" spans="1:8" ht="14.1" customHeight="1" x14ac:dyDescent="0.2">
      <c r="A102" s="1"/>
      <c r="B102" s="1"/>
      <c r="C102" s="2" t="s">
        <v>130</v>
      </c>
      <c r="D102" s="1"/>
      <c r="E102" s="1" t="s">
        <v>131</v>
      </c>
      <c r="F102" s="9">
        <v>1660.1290736000001</v>
      </c>
      <c r="G102" s="10">
        <v>2.5957002E-2</v>
      </c>
      <c r="H102" s="106"/>
    </row>
    <row r="103" spans="1:8" ht="14.1" customHeight="1" x14ac:dyDescent="0.2">
      <c r="A103" s="1"/>
      <c r="B103" s="1"/>
      <c r="C103" s="11"/>
      <c r="D103" s="1"/>
      <c r="E103" s="1"/>
      <c r="F103" s="12"/>
      <c r="G103" s="12"/>
      <c r="H103" s="106"/>
    </row>
    <row r="104" spans="1:8" ht="14.1" customHeight="1" x14ac:dyDescent="0.2">
      <c r="A104" s="1"/>
      <c r="B104" s="1"/>
      <c r="C104" s="2" t="s">
        <v>149</v>
      </c>
      <c r="D104" s="1"/>
      <c r="E104" s="1"/>
      <c r="F104" s="9">
        <v>1660.1290736000001</v>
      </c>
      <c r="G104" s="10">
        <v>2.5957002E-2</v>
      </c>
      <c r="H104" s="106"/>
    </row>
    <row r="105" spans="1:8" ht="14.1" customHeight="1" x14ac:dyDescent="0.2">
      <c r="A105" s="1"/>
      <c r="B105" s="1"/>
      <c r="C105" s="12"/>
      <c r="D105" s="1"/>
      <c r="E105" s="1"/>
      <c r="F105" s="1"/>
      <c r="G105" s="1"/>
      <c r="H105" s="106"/>
    </row>
    <row r="106" spans="1:8" ht="14.1" customHeight="1" x14ac:dyDescent="0.2">
      <c r="A106" s="1"/>
      <c r="B106" s="1"/>
      <c r="C106" s="2" t="s">
        <v>150</v>
      </c>
      <c r="D106" s="1"/>
      <c r="E106" s="1"/>
      <c r="F106" s="1"/>
      <c r="G106" s="1"/>
      <c r="H106" s="106"/>
    </row>
    <row r="107" spans="1:8" ht="14.1" customHeight="1" x14ac:dyDescent="0.2">
      <c r="A107" s="1"/>
      <c r="B107" s="1"/>
      <c r="C107" s="2" t="s">
        <v>151</v>
      </c>
      <c r="D107" s="1"/>
      <c r="E107" s="1"/>
      <c r="F107" s="1"/>
      <c r="G107" s="1"/>
      <c r="H107" s="106"/>
    </row>
    <row r="108" spans="1:8" ht="14.1" customHeight="1" x14ac:dyDescent="0.2">
      <c r="A108" s="1"/>
      <c r="B108" s="1"/>
      <c r="C108" s="2" t="s">
        <v>130</v>
      </c>
      <c r="D108" s="1"/>
      <c r="E108" s="1" t="s">
        <v>131</v>
      </c>
      <c r="F108" s="13">
        <v>0</v>
      </c>
      <c r="G108" s="14">
        <v>0</v>
      </c>
      <c r="H108" s="106"/>
    </row>
    <row r="109" spans="1:8" ht="14.1" customHeight="1" x14ac:dyDescent="0.2">
      <c r="A109" s="1"/>
      <c r="B109" s="1"/>
      <c r="C109" s="11"/>
      <c r="D109" s="1"/>
      <c r="E109" s="1"/>
      <c r="F109" s="12"/>
      <c r="G109" s="12"/>
      <c r="H109" s="106"/>
    </row>
    <row r="110" spans="1:8" ht="14.1" customHeight="1" x14ac:dyDescent="0.2">
      <c r="A110" s="1"/>
      <c r="B110" s="1"/>
      <c r="C110" s="2" t="s">
        <v>152</v>
      </c>
      <c r="D110" s="1"/>
      <c r="E110" s="1"/>
      <c r="F110" s="1"/>
      <c r="G110" s="1"/>
      <c r="H110" s="106"/>
    </row>
    <row r="111" spans="1:8" ht="14.1" customHeight="1" x14ac:dyDescent="0.2">
      <c r="A111" s="1"/>
      <c r="B111" s="1"/>
      <c r="C111" s="2" t="s">
        <v>153</v>
      </c>
      <c r="D111" s="1"/>
      <c r="E111" s="1"/>
      <c r="F111" s="1"/>
      <c r="G111" s="1"/>
      <c r="H111" s="106"/>
    </row>
    <row r="112" spans="1:8" ht="14.1" customHeight="1" x14ac:dyDescent="0.2">
      <c r="A112" s="1"/>
      <c r="B112" s="1"/>
      <c r="C112" s="2" t="s">
        <v>130</v>
      </c>
      <c r="D112" s="1"/>
      <c r="E112" s="1" t="s">
        <v>131</v>
      </c>
      <c r="F112" s="13">
        <v>0</v>
      </c>
      <c r="G112" s="14">
        <v>0</v>
      </c>
      <c r="H112" s="106"/>
    </row>
    <row r="113" spans="1:15" ht="14.1" customHeight="1" x14ac:dyDescent="0.2">
      <c r="A113" s="1"/>
      <c r="B113" s="1"/>
      <c r="C113" s="11"/>
      <c r="D113" s="1"/>
      <c r="E113" s="1"/>
      <c r="F113" s="12"/>
      <c r="G113" s="12"/>
      <c r="H113" s="106"/>
    </row>
    <row r="114" spans="1:15" ht="14.1" customHeight="1" x14ac:dyDescent="0.2">
      <c r="A114" s="1"/>
      <c r="B114" s="1"/>
      <c r="C114" s="11"/>
      <c r="D114" s="1"/>
      <c r="E114" s="1"/>
      <c r="F114" s="12"/>
      <c r="G114" s="12"/>
      <c r="H114" s="106"/>
    </row>
    <row r="115" spans="1:15" ht="24" customHeight="1" x14ac:dyDescent="0.2">
      <c r="A115" s="1"/>
      <c r="B115" s="1"/>
      <c r="C115" s="2" t="s">
        <v>154</v>
      </c>
      <c r="D115" s="1"/>
      <c r="E115" s="1"/>
      <c r="F115" s="12"/>
      <c r="G115" s="12"/>
      <c r="H115" s="106"/>
    </row>
    <row r="116" spans="1:15" ht="14.1" customHeight="1" x14ac:dyDescent="0.2">
      <c r="A116" s="1"/>
      <c r="B116" s="1"/>
      <c r="C116" s="2" t="s">
        <v>130</v>
      </c>
      <c r="D116" s="1"/>
      <c r="E116" s="1" t="s">
        <v>131</v>
      </c>
      <c r="F116" s="13">
        <v>0</v>
      </c>
      <c r="G116" s="14">
        <v>0</v>
      </c>
      <c r="H116" s="106"/>
    </row>
    <row r="117" spans="1:15" ht="14.1" customHeight="1" x14ac:dyDescent="0.2">
      <c r="A117" s="1"/>
      <c r="B117" s="1"/>
      <c r="C117" s="11"/>
      <c r="D117" s="1"/>
      <c r="E117" s="1"/>
      <c r="F117" s="12"/>
      <c r="G117" s="12"/>
      <c r="H117" s="106"/>
    </row>
    <row r="118" spans="1:15" ht="14.1" customHeight="1" x14ac:dyDescent="0.2">
      <c r="A118" s="1"/>
      <c r="B118" s="4"/>
      <c r="C118" s="4"/>
      <c r="D118" s="2"/>
      <c r="E118" s="1"/>
      <c r="F118" s="4"/>
      <c r="G118" s="8"/>
      <c r="H118" s="106"/>
    </row>
    <row r="119" spans="1:15" ht="18" customHeight="1" x14ac:dyDescent="0.2">
      <c r="A119" s="8"/>
      <c r="B119" s="4"/>
      <c r="C119" s="4" t="s">
        <v>155</v>
      </c>
      <c r="D119" s="4"/>
      <c r="E119" s="8"/>
      <c r="F119" s="6">
        <v>581.03272926</v>
      </c>
      <c r="G119" s="7">
        <v>9.0847559999999994E-3</v>
      </c>
      <c r="H119" s="106"/>
    </row>
    <row r="120" spans="1:15" ht="14.1" customHeight="1" x14ac:dyDescent="0.2">
      <c r="A120" s="11"/>
      <c r="B120" s="11"/>
      <c r="C120" s="2" t="s">
        <v>156</v>
      </c>
      <c r="D120" s="15"/>
      <c r="E120" s="15"/>
      <c r="F120" s="9">
        <v>63956.888466548997</v>
      </c>
      <c r="G120" s="10">
        <v>0.99999999900000003</v>
      </c>
      <c r="H120" s="106"/>
    </row>
    <row r="121" spans="1:15" ht="14.1" customHeight="1" x14ac:dyDescent="0.2">
      <c r="A121" s="16"/>
      <c r="B121" s="16"/>
      <c r="C121" s="16"/>
      <c r="D121" s="17"/>
      <c r="E121" s="17"/>
      <c r="F121" s="17"/>
      <c r="G121" s="17"/>
    </row>
    <row r="122" spans="1:15" ht="17.100000000000001" customHeight="1" x14ac:dyDescent="0.2">
      <c r="A122" s="18"/>
      <c r="B122" s="281" t="s">
        <v>157</v>
      </c>
      <c r="C122" s="281"/>
      <c r="D122" s="281"/>
      <c r="E122" s="281"/>
      <c r="F122" s="281"/>
      <c r="G122" s="20"/>
    </row>
    <row r="123" spans="1:15" ht="14.1" customHeight="1" x14ac:dyDescent="0.2">
      <c r="A123" s="18"/>
      <c r="B123" s="18"/>
      <c r="C123" s="18"/>
      <c r="D123" s="20"/>
      <c r="E123" s="20"/>
      <c r="F123" s="20"/>
      <c r="G123" s="20"/>
    </row>
    <row r="124" spans="1:15" ht="14.1" customHeight="1" x14ac:dyDescent="0.2">
      <c r="A124" s="18"/>
      <c r="B124" s="279" t="s">
        <v>158</v>
      </c>
      <c r="C124" s="280"/>
      <c r="D124" s="12" t="s">
        <v>131</v>
      </c>
      <c r="E124" s="21"/>
      <c r="F124" s="20"/>
      <c r="G124" s="20"/>
    </row>
    <row r="125" spans="1:15" ht="29.1" customHeight="1" x14ac:dyDescent="0.2">
      <c r="A125" s="18"/>
      <c r="B125" s="274" t="s">
        <v>159</v>
      </c>
      <c r="C125" s="275"/>
      <c r="D125" s="2" t="s">
        <v>160</v>
      </c>
      <c r="E125" s="21"/>
      <c r="F125" s="20"/>
      <c r="G125" s="20"/>
    </row>
    <row r="126" spans="1:15" ht="17.100000000000001" customHeight="1" x14ac:dyDescent="0.2">
      <c r="A126" s="18"/>
      <c r="B126" s="276" t="s">
        <v>1001</v>
      </c>
      <c r="C126" s="277"/>
      <c r="D126" s="62" t="s">
        <v>1003</v>
      </c>
      <c r="E126" s="21"/>
      <c r="F126" s="20"/>
      <c r="G126" s="20"/>
    </row>
    <row r="127" spans="1:15" ht="17.100000000000001" customHeight="1" x14ac:dyDescent="0.2">
      <c r="A127" s="18"/>
      <c r="B127" s="274" t="s">
        <v>162</v>
      </c>
      <c r="C127" s="275"/>
      <c r="D127" s="12" t="s">
        <v>131</v>
      </c>
      <c r="E127" s="21"/>
      <c r="F127" s="20"/>
      <c r="G127" s="20"/>
    </row>
    <row r="128" spans="1:15" ht="24" customHeight="1" x14ac:dyDescent="0.2">
      <c r="A128" s="22"/>
      <c r="B128" s="23" t="s">
        <v>131</v>
      </c>
      <c r="C128" s="23" t="s">
        <v>163</v>
      </c>
      <c r="D128" s="23" t="s">
        <v>164</v>
      </c>
      <c r="E128" s="22"/>
      <c r="F128" s="22"/>
      <c r="G128" s="22"/>
      <c r="J128" s="162"/>
      <c r="K128" s="162"/>
      <c r="L128" s="162"/>
      <c r="M128" s="162"/>
      <c r="N128" s="162"/>
      <c r="O128" s="162"/>
    </row>
    <row r="129" spans="1:7" ht="18" customHeight="1" x14ac:dyDescent="0.2">
      <c r="A129" s="22"/>
      <c r="B129" s="23" t="s">
        <v>165</v>
      </c>
      <c r="C129" s="23" t="s">
        <v>166</v>
      </c>
      <c r="D129" s="23" t="s">
        <v>167</v>
      </c>
      <c r="E129" s="22"/>
      <c r="F129" s="22"/>
      <c r="G129" s="22"/>
    </row>
    <row r="130" spans="1:7" ht="17.100000000000001" customHeight="1" x14ac:dyDescent="0.2">
      <c r="A130" s="22"/>
      <c r="B130" s="4" t="s">
        <v>168</v>
      </c>
      <c r="C130" s="24">
        <v>54.5092</v>
      </c>
      <c r="D130" s="24">
        <v>56.561</v>
      </c>
      <c r="E130" s="22"/>
      <c r="F130" s="19"/>
      <c r="G130" s="25"/>
    </row>
    <row r="131" spans="1:7" ht="17.100000000000001" customHeight="1" x14ac:dyDescent="0.2">
      <c r="A131" s="22"/>
      <c r="B131" s="4" t="s">
        <v>1048</v>
      </c>
      <c r="C131" s="24">
        <v>42.055599999999998</v>
      </c>
      <c r="D131" s="24">
        <v>43.638599999999997</v>
      </c>
      <c r="E131" s="22"/>
      <c r="F131" s="19"/>
      <c r="G131" s="25"/>
    </row>
    <row r="132" spans="1:7" ht="17.100000000000001" customHeight="1" x14ac:dyDescent="0.2">
      <c r="A132" s="22"/>
      <c r="B132" s="4" t="s">
        <v>169</v>
      </c>
      <c r="C132" s="24">
        <v>51.830399999999997</v>
      </c>
      <c r="D132" s="24">
        <v>53.758299999999998</v>
      </c>
      <c r="E132" s="22"/>
      <c r="F132" s="19"/>
      <c r="G132" s="25"/>
    </row>
    <row r="133" spans="1:7" ht="17.100000000000001" customHeight="1" x14ac:dyDescent="0.2">
      <c r="A133" s="22"/>
      <c r="B133" s="4" t="s">
        <v>1049</v>
      </c>
      <c r="C133" s="24">
        <v>39.7866</v>
      </c>
      <c r="D133" s="24">
        <v>41.266500000000001</v>
      </c>
      <c r="E133" s="22"/>
      <c r="F133" s="19"/>
      <c r="G133" s="25"/>
    </row>
    <row r="134" spans="1:7" ht="14.1" customHeight="1" x14ac:dyDescent="0.2">
      <c r="A134" s="22"/>
      <c r="B134" s="22"/>
      <c r="C134" s="22"/>
      <c r="D134" s="22"/>
      <c r="E134" s="22"/>
      <c r="F134" s="22"/>
      <c r="G134" s="22"/>
    </row>
    <row r="135" spans="1:7" ht="17.100000000000001" customHeight="1" x14ac:dyDescent="0.2">
      <c r="A135" s="22"/>
      <c r="B135" s="274" t="s">
        <v>1060</v>
      </c>
      <c r="C135" s="275"/>
      <c r="D135" s="2" t="s">
        <v>160</v>
      </c>
      <c r="E135" s="22"/>
      <c r="F135" s="22"/>
      <c r="G135" s="22"/>
    </row>
    <row r="136" spans="1:7" ht="18" customHeight="1" x14ac:dyDescent="0.2">
      <c r="A136" s="22"/>
      <c r="B136" s="26" t="s">
        <v>170</v>
      </c>
      <c r="C136" s="26" t="s">
        <v>170</v>
      </c>
      <c r="D136" s="26"/>
      <c r="E136" s="22"/>
      <c r="F136" s="22"/>
      <c r="G136" s="22"/>
    </row>
    <row r="137" spans="1:7" ht="29.1" customHeight="1" x14ac:dyDescent="0.2">
      <c r="A137" s="22"/>
      <c r="B137" s="274" t="s">
        <v>171</v>
      </c>
      <c r="C137" s="275"/>
      <c r="D137" s="2" t="s">
        <v>160</v>
      </c>
      <c r="E137" s="22"/>
      <c r="F137" s="22"/>
      <c r="G137" s="22"/>
    </row>
    <row r="138" spans="1:7" ht="29.1" customHeight="1" x14ac:dyDescent="0.2">
      <c r="A138" s="22"/>
      <c r="B138" s="274" t="s">
        <v>172</v>
      </c>
      <c r="C138" s="275"/>
      <c r="D138" s="2" t="s">
        <v>160</v>
      </c>
      <c r="E138" s="22"/>
      <c r="F138" s="22"/>
      <c r="G138" s="22"/>
    </row>
    <row r="139" spans="1:7" ht="17.100000000000001" customHeight="1" x14ac:dyDescent="0.2">
      <c r="A139" s="22"/>
      <c r="B139" s="274" t="s">
        <v>173</v>
      </c>
      <c r="C139" s="275"/>
      <c r="D139" s="27">
        <v>0.36721288611462172</v>
      </c>
      <c r="E139" s="22"/>
      <c r="F139" s="19"/>
      <c r="G139" s="25"/>
    </row>
    <row r="140" spans="1:7" ht="17.100000000000001" customHeight="1" x14ac:dyDescent="0.2">
      <c r="A140" s="22"/>
      <c r="B140" s="274" t="s">
        <v>174</v>
      </c>
      <c r="C140" s="275"/>
      <c r="D140" s="2" t="s">
        <v>160</v>
      </c>
      <c r="E140" s="22"/>
      <c r="F140" s="22"/>
      <c r="G140" s="22"/>
    </row>
  </sheetData>
  <mergeCells count="14">
    <mergeCell ref="J2:N2"/>
    <mergeCell ref="B124:C124"/>
    <mergeCell ref="B122:F122"/>
    <mergeCell ref="A1:H1"/>
    <mergeCell ref="A2:H2"/>
    <mergeCell ref="A3:H3"/>
    <mergeCell ref="B139:C139"/>
    <mergeCell ref="B140:C140"/>
    <mergeCell ref="B125:C125"/>
    <mergeCell ref="B126:C126"/>
    <mergeCell ref="B127:C127"/>
    <mergeCell ref="B135:C135"/>
    <mergeCell ref="B137:C137"/>
    <mergeCell ref="B138:C138"/>
  </mergeCells>
  <hyperlinks>
    <hyperlink ref="I1" location="Index!B2" display="Index" xr:uid="{97EDD494-0374-4838-AAF8-18C7DC5812D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4" ht="18" customHeight="1" x14ac:dyDescent="0.2">
      <c r="A1" s="282" t="s">
        <v>0</v>
      </c>
      <c r="B1" s="282"/>
      <c r="C1" s="282"/>
      <c r="D1" s="282"/>
      <c r="E1" s="282"/>
      <c r="F1" s="282"/>
      <c r="G1" s="282"/>
      <c r="H1" s="282"/>
      <c r="I1" s="179" t="s">
        <v>1080</v>
      </c>
    </row>
    <row r="2" spans="1:14" ht="17.100000000000001" customHeight="1" x14ac:dyDescent="0.2">
      <c r="A2" s="283" t="s">
        <v>175</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176</v>
      </c>
      <c r="C7" s="4" t="s">
        <v>177</v>
      </c>
      <c r="D7" s="4" t="s">
        <v>16</v>
      </c>
      <c r="E7" s="5">
        <v>19438756</v>
      </c>
      <c r="F7" s="6">
        <v>25561.96414</v>
      </c>
      <c r="G7" s="7">
        <v>3.4207473000000002E-2</v>
      </c>
      <c r="H7" s="106"/>
    </row>
    <row r="8" spans="1:14" ht="17.100000000000001" customHeight="1" x14ac:dyDescent="0.2">
      <c r="A8" s="3">
        <v>2</v>
      </c>
      <c r="B8" s="4" t="s">
        <v>87</v>
      </c>
      <c r="C8" s="4" t="s">
        <v>88</v>
      </c>
      <c r="D8" s="4" t="s">
        <v>89</v>
      </c>
      <c r="E8" s="5">
        <v>892178</v>
      </c>
      <c r="F8" s="6">
        <v>24575.935187999999</v>
      </c>
      <c r="G8" s="7">
        <v>3.2887950999999999E-2</v>
      </c>
      <c r="H8" s="106"/>
    </row>
    <row r="9" spans="1:14" ht="17.100000000000001" customHeight="1" x14ac:dyDescent="0.2">
      <c r="A9" s="3">
        <v>3</v>
      </c>
      <c r="B9" s="4" t="s">
        <v>178</v>
      </c>
      <c r="C9" s="4" t="s">
        <v>179</v>
      </c>
      <c r="D9" s="4" t="s">
        <v>16</v>
      </c>
      <c r="E9" s="5">
        <v>2451728</v>
      </c>
      <c r="F9" s="6">
        <v>22212.65568</v>
      </c>
      <c r="G9" s="7">
        <v>2.9725369000000001E-2</v>
      </c>
      <c r="H9" s="106"/>
    </row>
    <row r="10" spans="1:14" ht="17.100000000000001" customHeight="1" x14ac:dyDescent="0.2">
      <c r="A10" s="3">
        <v>4</v>
      </c>
      <c r="B10" s="4" t="s">
        <v>180</v>
      </c>
      <c r="C10" s="4" t="s">
        <v>181</v>
      </c>
      <c r="D10" s="4" t="s">
        <v>182</v>
      </c>
      <c r="E10" s="5">
        <v>1361114</v>
      </c>
      <c r="F10" s="6">
        <v>20796.460805999999</v>
      </c>
      <c r="G10" s="7">
        <v>2.7830192E-2</v>
      </c>
      <c r="H10" s="106"/>
    </row>
    <row r="11" spans="1:14" ht="17.100000000000001" customHeight="1" x14ac:dyDescent="0.2">
      <c r="A11" s="3">
        <v>5</v>
      </c>
      <c r="B11" s="4" t="s">
        <v>183</v>
      </c>
      <c r="C11" s="4" t="s">
        <v>184</v>
      </c>
      <c r="D11" s="4" t="s">
        <v>185</v>
      </c>
      <c r="E11" s="5">
        <v>1971467</v>
      </c>
      <c r="F11" s="6">
        <v>20681.674563500001</v>
      </c>
      <c r="G11" s="7">
        <v>2.7676583000000001E-2</v>
      </c>
      <c r="H11" s="106"/>
    </row>
    <row r="12" spans="1:14" ht="17.100000000000001" customHeight="1" x14ac:dyDescent="0.2">
      <c r="A12" s="3">
        <v>6</v>
      </c>
      <c r="B12" s="4" t="s">
        <v>32</v>
      </c>
      <c r="C12" s="4" t="s">
        <v>33</v>
      </c>
      <c r="D12" s="4" t="s">
        <v>31</v>
      </c>
      <c r="E12" s="5">
        <v>976492</v>
      </c>
      <c r="F12" s="6">
        <v>20535.626759999999</v>
      </c>
      <c r="G12" s="7">
        <v>2.7481139000000002E-2</v>
      </c>
      <c r="H12" s="106"/>
    </row>
    <row r="13" spans="1:14" ht="29.1" customHeight="1" x14ac:dyDescent="0.2">
      <c r="A13" s="3">
        <v>7</v>
      </c>
      <c r="B13" s="4" t="s">
        <v>186</v>
      </c>
      <c r="C13" s="4" t="s">
        <v>187</v>
      </c>
      <c r="D13" s="4" t="s">
        <v>188</v>
      </c>
      <c r="E13" s="5">
        <v>775249</v>
      </c>
      <c r="F13" s="6">
        <v>19835.9085385</v>
      </c>
      <c r="G13" s="7">
        <v>2.6544763999999998E-2</v>
      </c>
      <c r="H13" s="106"/>
      <c r="J13" s="161" t="s">
        <v>1083</v>
      </c>
    </row>
    <row r="14" spans="1:14" ht="29.1" customHeight="1" x14ac:dyDescent="0.2">
      <c r="A14" s="3">
        <v>8</v>
      </c>
      <c r="B14" s="4" t="s">
        <v>189</v>
      </c>
      <c r="C14" s="4" t="s">
        <v>190</v>
      </c>
      <c r="D14" s="4" t="s">
        <v>110</v>
      </c>
      <c r="E14" s="5">
        <v>5140621</v>
      </c>
      <c r="F14" s="6">
        <v>18624.469883000002</v>
      </c>
      <c r="G14" s="7">
        <v>2.4923595E-2</v>
      </c>
      <c r="H14" s="106"/>
    </row>
    <row r="15" spans="1:14" ht="17.100000000000001" customHeight="1" x14ac:dyDescent="0.2">
      <c r="A15" s="3">
        <v>9</v>
      </c>
      <c r="B15" s="4" t="s">
        <v>191</v>
      </c>
      <c r="C15" s="4" t="s">
        <v>192</v>
      </c>
      <c r="D15" s="4" t="s">
        <v>193</v>
      </c>
      <c r="E15" s="5">
        <v>36610</v>
      </c>
      <c r="F15" s="6">
        <v>18220.302765</v>
      </c>
      <c r="G15" s="7">
        <v>2.4382731000000001E-2</v>
      </c>
      <c r="H15" s="106"/>
    </row>
    <row r="16" spans="1:14" ht="17.100000000000001" customHeight="1" x14ac:dyDescent="0.2">
      <c r="A16" s="3">
        <v>10</v>
      </c>
      <c r="B16" s="4" t="s">
        <v>194</v>
      </c>
      <c r="C16" s="4" t="s">
        <v>195</v>
      </c>
      <c r="D16" s="4" t="s">
        <v>16</v>
      </c>
      <c r="E16" s="5">
        <v>12281687</v>
      </c>
      <c r="F16" s="6">
        <v>18140.051699</v>
      </c>
      <c r="G16" s="7">
        <v>2.4275338E-2</v>
      </c>
      <c r="H16" s="106"/>
    </row>
    <row r="17" spans="1:10" ht="29.1" customHeight="1" x14ac:dyDescent="0.2">
      <c r="A17" s="3">
        <v>11</v>
      </c>
      <c r="B17" s="4" t="s">
        <v>65</v>
      </c>
      <c r="C17" s="4" t="s">
        <v>66</v>
      </c>
      <c r="D17" s="4" t="s">
        <v>67</v>
      </c>
      <c r="E17" s="5">
        <v>16901432</v>
      </c>
      <c r="F17" s="6">
        <v>18059.180091999999</v>
      </c>
      <c r="G17" s="7">
        <v>2.4167114E-2</v>
      </c>
      <c r="H17" s="106"/>
    </row>
    <row r="18" spans="1:10" ht="29.1" customHeight="1" x14ac:dyDescent="0.2">
      <c r="A18" s="3">
        <v>12</v>
      </c>
      <c r="B18" s="4" t="s">
        <v>196</v>
      </c>
      <c r="C18" s="4" t="s">
        <v>197</v>
      </c>
      <c r="D18" s="4" t="s">
        <v>188</v>
      </c>
      <c r="E18" s="5">
        <v>394168</v>
      </c>
      <c r="F18" s="6">
        <v>17941.541939999999</v>
      </c>
      <c r="G18" s="7">
        <v>2.4009689000000001E-2</v>
      </c>
      <c r="H18" s="106"/>
    </row>
    <row r="19" spans="1:10" ht="17.100000000000001" customHeight="1" x14ac:dyDescent="0.2">
      <c r="A19" s="3">
        <v>13</v>
      </c>
      <c r="B19" s="4" t="s">
        <v>198</v>
      </c>
      <c r="C19" s="4" t="s">
        <v>199</v>
      </c>
      <c r="D19" s="4" t="s">
        <v>89</v>
      </c>
      <c r="E19" s="5">
        <v>579287</v>
      </c>
      <c r="F19" s="6">
        <v>15891.2906275</v>
      </c>
      <c r="G19" s="7">
        <v>2.1266006E-2</v>
      </c>
      <c r="H19" s="106"/>
    </row>
    <row r="20" spans="1:10" ht="29.1" customHeight="1" x14ac:dyDescent="0.2">
      <c r="A20" s="3">
        <v>14</v>
      </c>
      <c r="B20" s="4" t="s">
        <v>97</v>
      </c>
      <c r="C20" s="4" t="s">
        <v>98</v>
      </c>
      <c r="D20" s="4" t="s">
        <v>99</v>
      </c>
      <c r="E20" s="5">
        <v>2166804</v>
      </c>
      <c r="F20" s="6">
        <v>15370.224174000001</v>
      </c>
      <c r="G20" s="7">
        <v>2.0568705999999999E-2</v>
      </c>
      <c r="H20" s="106"/>
    </row>
    <row r="21" spans="1:10" ht="17.100000000000001" customHeight="1" x14ac:dyDescent="0.2">
      <c r="A21" s="3">
        <v>15</v>
      </c>
      <c r="B21" s="4" t="s">
        <v>200</v>
      </c>
      <c r="C21" s="4" t="s">
        <v>201</v>
      </c>
      <c r="D21" s="4" t="s">
        <v>16</v>
      </c>
      <c r="E21" s="5">
        <v>2519735</v>
      </c>
      <c r="F21" s="6">
        <v>14855.0976925</v>
      </c>
      <c r="G21" s="7">
        <v>1.9879355000000001E-2</v>
      </c>
      <c r="H21" s="106"/>
    </row>
    <row r="22" spans="1:10" ht="17.100000000000001" customHeight="1" x14ac:dyDescent="0.2">
      <c r="A22" s="3">
        <v>16</v>
      </c>
      <c r="B22" s="4" t="s">
        <v>92</v>
      </c>
      <c r="C22" s="4" t="s">
        <v>93</v>
      </c>
      <c r="D22" s="4" t="s">
        <v>31</v>
      </c>
      <c r="E22" s="5">
        <v>1080765</v>
      </c>
      <c r="F22" s="6">
        <v>14567.631434999999</v>
      </c>
      <c r="G22" s="7">
        <v>1.9494661999999999E-2</v>
      </c>
      <c r="H22" s="106"/>
      <c r="J22" s="161" t="s">
        <v>1084</v>
      </c>
    </row>
    <row r="23" spans="1:10" ht="17.100000000000001" customHeight="1" x14ac:dyDescent="0.2">
      <c r="A23" s="3">
        <v>17</v>
      </c>
      <c r="B23" s="4" t="s">
        <v>14</v>
      </c>
      <c r="C23" s="4" t="s">
        <v>15</v>
      </c>
      <c r="D23" s="4" t="s">
        <v>16</v>
      </c>
      <c r="E23" s="5">
        <v>1583901</v>
      </c>
      <c r="F23" s="6">
        <v>14392.908386999999</v>
      </c>
      <c r="G23" s="7">
        <v>1.9260844999999999E-2</v>
      </c>
      <c r="H23" s="106"/>
    </row>
    <row r="24" spans="1:10" ht="29.1" customHeight="1" x14ac:dyDescent="0.2">
      <c r="A24" s="3">
        <v>18</v>
      </c>
      <c r="B24" s="4" t="s">
        <v>202</v>
      </c>
      <c r="C24" s="4" t="s">
        <v>203</v>
      </c>
      <c r="D24" s="4" t="s">
        <v>204</v>
      </c>
      <c r="E24" s="5">
        <v>3042934</v>
      </c>
      <c r="F24" s="6">
        <v>13831.656497</v>
      </c>
      <c r="G24" s="7">
        <v>1.8509767E-2</v>
      </c>
      <c r="H24" s="106"/>
    </row>
    <row r="25" spans="1:10" ht="17.100000000000001" customHeight="1" x14ac:dyDescent="0.2">
      <c r="A25" s="3">
        <v>19</v>
      </c>
      <c r="B25" s="4" t="s">
        <v>205</v>
      </c>
      <c r="C25" s="4" t="s">
        <v>206</v>
      </c>
      <c r="D25" s="4" t="s">
        <v>99</v>
      </c>
      <c r="E25" s="5">
        <v>1071050</v>
      </c>
      <c r="F25" s="6">
        <v>13164.811075</v>
      </c>
      <c r="G25" s="7">
        <v>1.7617383E-2</v>
      </c>
      <c r="H25" s="106"/>
    </row>
    <row r="26" spans="1:10" ht="29.1" customHeight="1" x14ac:dyDescent="0.2">
      <c r="A26" s="3">
        <v>20</v>
      </c>
      <c r="B26" s="4" t="s">
        <v>207</v>
      </c>
      <c r="C26" s="4" t="s">
        <v>208</v>
      </c>
      <c r="D26" s="4" t="s">
        <v>209</v>
      </c>
      <c r="E26" s="5">
        <v>401203</v>
      </c>
      <c r="F26" s="6">
        <v>13006.8006585</v>
      </c>
      <c r="G26" s="7">
        <v>1.7405930999999999E-2</v>
      </c>
      <c r="H26" s="106"/>
    </row>
    <row r="27" spans="1:10" ht="53.1" customHeight="1" x14ac:dyDescent="0.2">
      <c r="A27" s="3">
        <v>21</v>
      </c>
      <c r="B27" s="4" t="s">
        <v>46</v>
      </c>
      <c r="C27" s="4" t="s">
        <v>47</v>
      </c>
      <c r="D27" s="4" t="s">
        <v>48</v>
      </c>
      <c r="E27" s="5">
        <v>8013518</v>
      </c>
      <c r="F27" s="6">
        <v>12284.723094000001</v>
      </c>
      <c r="G27" s="7">
        <v>1.6439634000000002E-2</v>
      </c>
      <c r="H27" s="106"/>
    </row>
    <row r="28" spans="1:10" ht="17.100000000000001" customHeight="1" x14ac:dyDescent="0.2">
      <c r="A28" s="3">
        <v>22</v>
      </c>
      <c r="B28" s="4" t="s">
        <v>210</v>
      </c>
      <c r="C28" s="4" t="s">
        <v>211</v>
      </c>
      <c r="D28" s="4" t="s">
        <v>212</v>
      </c>
      <c r="E28" s="5">
        <v>265578</v>
      </c>
      <c r="F28" s="6">
        <v>11997.486150000001</v>
      </c>
      <c r="G28" s="7">
        <v>1.6055248000000001E-2</v>
      </c>
      <c r="H28" s="106"/>
    </row>
    <row r="29" spans="1:10" ht="17.100000000000001" customHeight="1" x14ac:dyDescent="0.2">
      <c r="A29" s="3">
        <v>23</v>
      </c>
      <c r="B29" s="4" t="s">
        <v>39</v>
      </c>
      <c r="C29" s="4" t="s">
        <v>40</v>
      </c>
      <c r="D29" s="4" t="s">
        <v>41</v>
      </c>
      <c r="E29" s="5">
        <v>1488129</v>
      </c>
      <c r="F29" s="6">
        <v>11875.269420000001</v>
      </c>
      <c r="G29" s="7">
        <v>1.5891696E-2</v>
      </c>
      <c r="H29" s="106"/>
    </row>
    <row r="30" spans="1:10" ht="17.100000000000001" customHeight="1" x14ac:dyDescent="0.2">
      <c r="A30" s="3">
        <v>24</v>
      </c>
      <c r="B30" s="4" t="s">
        <v>213</v>
      </c>
      <c r="C30" s="4" t="s">
        <v>214</v>
      </c>
      <c r="D30" s="4" t="s">
        <v>1114</v>
      </c>
      <c r="E30" s="5">
        <v>319000</v>
      </c>
      <c r="F30" s="6">
        <v>11780.8295</v>
      </c>
      <c r="G30" s="7">
        <v>1.5765313999999999E-2</v>
      </c>
      <c r="H30" s="106"/>
    </row>
    <row r="31" spans="1:10" ht="17.100000000000001" customHeight="1" x14ac:dyDescent="0.2">
      <c r="A31" s="3">
        <v>25</v>
      </c>
      <c r="B31" s="4" t="s">
        <v>215</v>
      </c>
      <c r="C31" s="4" t="s">
        <v>216</v>
      </c>
      <c r="D31" s="4" t="s">
        <v>185</v>
      </c>
      <c r="E31" s="5">
        <v>712637</v>
      </c>
      <c r="F31" s="6">
        <v>11778.820654499999</v>
      </c>
      <c r="G31" s="7">
        <v>1.5762625999999998E-2</v>
      </c>
      <c r="H31" s="106"/>
    </row>
    <row r="32" spans="1:10" ht="17.100000000000001" customHeight="1" x14ac:dyDescent="0.2">
      <c r="A32" s="3">
        <v>26</v>
      </c>
      <c r="B32" s="4" t="s">
        <v>217</v>
      </c>
      <c r="C32" s="4" t="s">
        <v>218</v>
      </c>
      <c r="D32" s="4" t="s">
        <v>219</v>
      </c>
      <c r="E32" s="5">
        <v>5175000</v>
      </c>
      <c r="F32" s="6">
        <v>11703.262500000001</v>
      </c>
      <c r="G32" s="7">
        <v>1.5661512999999998E-2</v>
      </c>
      <c r="H32" s="106"/>
    </row>
    <row r="33" spans="1:8" ht="17.100000000000001" customHeight="1" x14ac:dyDescent="0.2">
      <c r="A33" s="3">
        <v>27</v>
      </c>
      <c r="B33" s="4" t="s">
        <v>220</v>
      </c>
      <c r="C33" s="4" t="s">
        <v>221</v>
      </c>
      <c r="D33" s="4" t="s">
        <v>1114</v>
      </c>
      <c r="E33" s="5">
        <v>340613</v>
      </c>
      <c r="F33" s="6">
        <v>11593.614987499999</v>
      </c>
      <c r="G33" s="7">
        <v>1.5514781E-2</v>
      </c>
      <c r="H33" s="106"/>
    </row>
    <row r="34" spans="1:8" ht="29.1" customHeight="1" x14ac:dyDescent="0.2">
      <c r="A34" s="3">
        <v>28</v>
      </c>
      <c r="B34" s="4" t="s">
        <v>222</v>
      </c>
      <c r="C34" s="4" t="s">
        <v>223</v>
      </c>
      <c r="D34" s="4" t="s">
        <v>204</v>
      </c>
      <c r="E34" s="5">
        <v>1235356</v>
      </c>
      <c r="F34" s="6">
        <v>11181.207156</v>
      </c>
      <c r="G34" s="7">
        <v>1.4962889E-2</v>
      </c>
      <c r="H34" s="106"/>
    </row>
    <row r="35" spans="1:8" ht="29.1" customHeight="1" x14ac:dyDescent="0.2">
      <c r="A35" s="3">
        <v>29</v>
      </c>
      <c r="B35" s="4" t="s">
        <v>224</v>
      </c>
      <c r="C35" s="4" t="s">
        <v>225</v>
      </c>
      <c r="D35" s="4" t="s">
        <v>209</v>
      </c>
      <c r="E35" s="5">
        <v>1150000</v>
      </c>
      <c r="F35" s="6">
        <v>11067.025</v>
      </c>
      <c r="G35" s="7">
        <v>1.4810089E-2</v>
      </c>
      <c r="H35" s="106"/>
    </row>
    <row r="36" spans="1:8" ht="17.100000000000001" customHeight="1" x14ac:dyDescent="0.2">
      <c r="A36" s="3">
        <v>30</v>
      </c>
      <c r="B36" s="4" t="s">
        <v>100</v>
      </c>
      <c r="C36" s="4" t="s">
        <v>101</v>
      </c>
      <c r="D36" s="4" t="s">
        <v>96</v>
      </c>
      <c r="E36" s="5">
        <v>1196534</v>
      </c>
      <c r="F36" s="6">
        <v>11063.751630999999</v>
      </c>
      <c r="G36" s="7">
        <v>1.4805708000000001E-2</v>
      </c>
      <c r="H36" s="106"/>
    </row>
    <row r="37" spans="1:8" ht="17.100000000000001" customHeight="1" x14ac:dyDescent="0.2">
      <c r="A37" s="3">
        <v>31</v>
      </c>
      <c r="B37" s="4" t="s">
        <v>226</v>
      </c>
      <c r="C37" s="4" t="s">
        <v>227</v>
      </c>
      <c r="D37" s="4" t="s">
        <v>110</v>
      </c>
      <c r="E37" s="5">
        <v>10481502</v>
      </c>
      <c r="F37" s="6">
        <v>10743.53955</v>
      </c>
      <c r="G37" s="7">
        <v>1.4377195000000001E-2</v>
      </c>
      <c r="H37" s="106"/>
    </row>
    <row r="38" spans="1:8" ht="17.100000000000001" customHeight="1" x14ac:dyDescent="0.2">
      <c r="A38" s="3">
        <v>32</v>
      </c>
      <c r="B38" s="4" t="s">
        <v>228</v>
      </c>
      <c r="C38" s="4" t="s">
        <v>229</v>
      </c>
      <c r="D38" s="4" t="s">
        <v>230</v>
      </c>
      <c r="E38" s="5">
        <v>1760047</v>
      </c>
      <c r="F38" s="6">
        <v>10735.406676500001</v>
      </c>
      <c r="G38" s="7">
        <v>1.4366311E-2</v>
      </c>
      <c r="H38" s="106"/>
    </row>
    <row r="39" spans="1:8" ht="17.100000000000001" customHeight="1" x14ac:dyDescent="0.2">
      <c r="A39" s="3">
        <v>33</v>
      </c>
      <c r="B39" s="4" t="s">
        <v>231</v>
      </c>
      <c r="C39" s="4" t="s">
        <v>232</v>
      </c>
      <c r="D39" s="4" t="s">
        <v>89</v>
      </c>
      <c r="E39" s="5">
        <v>222480</v>
      </c>
      <c r="F39" s="6">
        <v>10666.692359999999</v>
      </c>
      <c r="G39" s="7">
        <v>1.4274356E-2</v>
      </c>
      <c r="H39" s="106"/>
    </row>
    <row r="40" spans="1:8" ht="17.100000000000001" customHeight="1" x14ac:dyDescent="0.2">
      <c r="A40" s="3">
        <v>34</v>
      </c>
      <c r="B40" s="4" t="s">
        <v>233</v>
      </c>
      <c r="C40" s="4" t="s">
        <v>234</v>
      </c>
      <c r="D40" s="4" t="s">
        <v>110</v>
      </c>
      <c r="E40" s="5">
        <v>1190109</v>
      </c>
      <c r="F40" s="6">
        <v>10427.735058</v>
      </c>
      <c r="G40" s="7">
        <v>1.3954579999999999E-2</v>
      </c>
      <c r="H40" s="106"/>
    </row>
    <row r="41" spans="1:8" ht="17.100000000000001" customHeight="1" x14ac:dyDescent="0.2">
      <c r="A41" s="3">
        <v>35</v>
      </c>
      <c r="B41" s="4" t="s">
        <v>235</v>
      </c>
      <c r="C41" s="4" t="s">
        <v>236</v>
      </c>
      <c r="D41" s="4" t="s">
        <v>237</v>
      </c>
      <c r="E41" s="5">
        <v>2263751</v>
      </c>
      <c r="F41" s="6">
        <v>10409.858973500001</v>
      </c>
      <c r="G41" s="7">
        <v>1.3930657000000001E-2</v>
      </c>
      <c r="H41" s="106"/>
    </row>
    <row r="42" spans="1:8" ht="17.100000000000001" customHeight="1" x14ac:dyDescent="0.2">
      <c r="A42" s="3">
        <v>36</v>
      </c>
      <c r="B42" s="4" t="s">
        <v>238</v>
      </c>
      <c r="C42" s="4" t="s">
        <v>239</v>
      </c>
      <c r="D42" s="4" t="s">
        <v>240</v>
      </c>
      <c r="E42" s="5">
        <v>3950000</v>
      </c>
      <c r="F42" s="6">
        <v>10366.775</v>
      </c>
      <c r="G42" s="7">
        <v>1.3873002000000001E-2</v>
      </c>
      <c r="H42" s="106"/>
    </row>
    <row r="43" spans="1:8" ht="17.100000000000001" customHeight="1" x14ac:dyDescent="0.2">
      <c r="A43" s="3">
        <v>37</v>
      </c>
      <c r="B43" s="4" t="s">
        <v>241</v>
      </c>
      <c r="C43" s="4" t="s">
        <v>242</v>
      </c>
      <c r="D43" s="4" t="s">
        <v>31</v>
      </c>
      <c r="E43" s="5">
        <v>490337</v>
      </c>
      <c r="F43" s="6">
        <v>9959.4799755000004</v>
      </c>
      <c r="G43" s="7">
        <v>1.3327952000000001E-2</v>
      </c>
      <c r="H43" s="106"/>
    </row>
    <row r="44" spans="1:8" ht="17.100000000000001" customHeight="1" x14ac:dyDescent="0.2">
      <c r="A44" s="3">
        <v>38</v>
      </c>
      <c r="B44" s="4" t="s">
        <v>243</v>
      </c>
      <c r="C44" s="4" t="s">
        <v>244</v>
      </c>
      <c r="D44" s="4" t="s">
        <v>245</v>
      </c>
      <c r="E44" s="5">
        <v>1390487</v>
      </c>
      <c r="F44" s="6">
        <v>9845.3432035000005</v>
      </c>
      <c r="G44" s="7">
        <v>1.3175212E-2</v>
      </c>
      <c r="H44" s="106"/>
    </row>
    <row r="45" spans="1:8" ht="17.100000000000001" customHeight="1" x14ac:dyDescent="0.2">
      <c r="A45" s="3">
        <v>39</v>
      </c>
      <c r="B45" s="4" t="s">
        <v>246</v>
      </c>
      <c r="C45" s="4" t="s">
        <v>247</v>
      </c>
      <c r="D45" s="4" t="s">
        <v>99</v>
      </c>
      <c r="E45" s="5">
        <v>1549881</v>
      </c>
      <c r="F45" s="6">
        <v>9737.1273825000007</v>
      </c>
      <c r="G45" s="7">
        <v>1.3030396E-2</v>
      </c>
      <c r="H45" s="106"/>
    </row>
    <row r="46" spans="1:8" ht="17.100000000000001" customHeight="1" x14ac:dyDescent="0.2">
      <c r="A46" s="3">
        <v>40</v>
      </c>
      <c r="B46" s="4" t="s">
        <v>248</v>
      </c>
      <c r="C46" s="4" t="s">
        <v>249</v>
      </c>
      <c r="D46" s="4" t="s">
        <v>31</v>
      </c>
      <c r="E46" s="5">
        <v>1135182</v>
      </c>
      <c r="F46" s="6">
        <v>9469.6882440000009</v>
      </c>
      <c r="G46" s="7">
        <v>1.2672503999999999E-2</v>
      </c>
      <c r="H46" s="106"/>
    </row>
    <row r="47" spans="1:8" ht="17.100000000000001" customHeight="1" x14ac:dyDescent="0.2">
      <c r="A47" s="3">
        <v>41</v>
      </c>
      <c r="B47" s="4" t="s">
        <v>250</v>
      </c>
      <c r="C47" s="4" t="s">
        <v>251</v>
      </c>
      <c r="D47" s="4" t="s">
        <v>99</v>
      </c>
      <c r="E47" s="5">
        <v>2225771</v>
      </c>
      <c r="F47" s="6">
        <v>9021.0498630000002</v>
      </c>
      <c r="G47" s="7">
        <v>1.2072128E-2</v>
      </c>
      <c r="H47" s="106"/>
    </row>
    <row r="48" spans="1:8" ht="29.1" customHeight="1" x14ac:dyDescent="0.2">
      <c r="A48" s="3">
        <v>42</v>
      </c>
      <c r="B48" s="4" t="s">
        <v>252</v>
      </c>
      <c r="C48" s="4" t="s">
        <v>253</v>
      </c>
      <c r="D48" s="4" t="s">
        <v>204</v>
      </c>
      <c r="E48" s="5">
        <v>502724</v>
      </c>
      <c r="F48" s="6">
        <v>8970.3556939999999</v>
      </c>
      <c r="G48" s="7">
        <v>1.2004289E-2</v>
      </c>
      <c r="H48" s="106"/>
    </row>
    <row r="49" spans="1:8" ht="29.1" customHeight="1" x14ac:dyDescent="0.2">
      <c r="A49" s="3">
        <v>43</v>
      </c>
      <c r="B49" s="4" t="s">
        <v>254</v>
      </c>
      <c r="C49" s="4" t="s">
        <v>255</v>
      </c>
      <c r="D49" s="4" t="s">
        <v>89</v>
      </c>
      <c r="E49" s="5">
        <v>85501</v>
      </c>
      <c r="F49" s="6">
        <v>8745.6407870000003</v>
      </c>
      <c r="G49" s="7">
        <v>1.1703570999999999E-2</v>
      </c>
      <c r="H49" s="106"/>
    </row>
    <row r="50" spans="1:8" ht="17.100000000000001" customHeight="1" x14ac:dyDescent="0.2">
      <c r="A50" s="3">
        <v>44</v>
      </c>
      <c r="B50" s="4" t="s">
        <v>256</v>
      </c>
      <c r="C50" s="4" t="s">
        <v>257</v>
      </c>
      <c r="D50" s="4" t="s">
        <v>212</v>
      </c>
      <c r="E50" s="5">
        <v>3000000</v>
      </c>
      <c r="F50" s="6">
        <v>8323.5</v>
      </c>
      <c r="G50" s="7">
        <v>1.1138655000000001E-2</v>
      </c>
      <c r="H50" s="106"/>
    </row>
    <row r="51" spans="1:8" ht="17.100000000000001" customHeight="1" x14ac:dyDescent="0.2">
      <c r="A51" s="3">
        <v>45</v>
      </c>
      <c r="B51" s="4" t="s">
        <v>258</v>
      </c>
      <c r="C51" s="4" t="s">
        <v>259</v>
      </c>
      <c r="D51" s="4" t="s">
        <v>99</v>
      </c>
      <c r="E51" s="5">
        <v>474540</v>
      </c>
      <c r="F51" s="6">
        <v>8007.8625000000002</v>
      </c>
      <c r="G51" s="7">
        <v>1.0716263E-2</v>
      </c>
      <c r="H51" s="106"/>
    </row>
    <row r="52" spans="1:8" ht="29.1" customHeight="1" x14ac:dyDescent="0.2">
      <c r="A52" s="3">
        <v>46</v>
      </c>
      <c r="B52" s="4" t="s">
        <v>260</v>
      </c>
      <c r="C52" s="4" t="s">
        <v>261</v>
      </c>
      <c r="D52" s="4" t="s">
        <v>25</v>
      </c>
      <c r="E52" s="5">
        <v>478606</v>
      </c>
      <c r="F52" s="6">
        <v>7662.242757</v>
      </c>
      <c r="G52" s="7">
        <v>1.0253749E-2</v>
      </c>
      <c r="H52" s="106"/>
    </row>
    <row r="53" spans="1:8" ht="17.100000000000001" customHeight="1" x14ac:dyDescent="0.2">
      <c r="A53" s="3">
        <v>47</v>
      </c>
      <c r="B53" s="4" t="s">
        <v>262</v>
      </c>
      <c r="C53" s="4" t="s">
        <v>263</v>
      </c>
      <c r="D53" s="4" t="s">
        <v>110</v>
      </c>
      <c r="E53" s="5">
        <v>881680</v>
      </c>
      <c r="F53" s="6">
        <v>7640.6388800000004</v>
      </c>
      <c r="G53" s="7">
        <v>1.0224838E-2</v>
      </c>
      <c r="H53" s="106"/>
    </row>
    <row r="54" spans="1:8" ht="17.100000000000001" customHeight="1" x14ac:dyDescent="0.2">
      <c r="A54" s="3">
        <v>48</v>
      </c>
      <c r="B54" s="4" t="s">
        <v>264</v>
      </c>
      <c r="C54" s="4" t="s">
        <v>265</v>
      </c>
      <c r="D54" s="4" t="s">
        <v>16</v>
      </c>
      <c r="E54" s="5">
        <v>501141</v>
      </c>
      <c r="F54" s="6">
        <v>7500.5773470000004</v>
      </c>
      <c r="G54" s="7">
        <v>1.0037404999999999E-2</v>
      </c>
      <c r="H54" s="106"/>
    </row>
    <row r="55" spans="1:8" ht="17.100000000000001" customHeight="1" x14ac:dyDescent="0.2">
      <c r="A55" s="3">
        <v>49</v>
      </c>
      <c r="B55" s="4" t="s">
        <v>266</v>
      </c>
      <c r="C55" s="4" t="s">
        <v>267</v>
      </c>
      <c r="D55" s="4" t="s">
        <v>268</v>
      </c>
      <c r="E55" s="5">
        <v>765000</v>
      </c>
      <c r="F55" s="6">
        <v>7326.0225</v>
      </c>
      <c r="G55" s="7">
        <v>9.8038129999999998E-3</v>
      </c>
      <c r="H55" s="106"/>
    </row>
    <row r="56" spans="1:8" ht="17.100000000000001" customHeight="1" x14ac:dyDescent="0.2">
      <c r="A56" s="3">
        <v>50</v>
      </c>
      <c r="B56" s="4" t="s">
        <v>37</v>
      </c>
      <c r="C56" s="4" t="s">
        <v>38</v>
      </c>
      <c r="D56" s="4" t="s">
        <v>31</v>
      </c>
      <c r="E56" s="5">
        <v>234611</v>
      </c>
      <c r="F56" s="6">
        <v>6516.2032195000002</v>
      </c>
      <c r="G56" s="7">
        <v>8.7200980000000008E-3</v>
      </c>
      <c r="H56" s="106"/>
    </row>
    <row r="57" spans="1:8" ht="17.100000000000001" customHeight="1" x14ac:dyDescent="0.2">
      <c r="A57" s="3">
        <v>51</v>
      </c>
      <c r="B57" s="4" t="s">
        <v>269</v>
      </c>
      <c r="C57" s="4" t="s">
        <v>270</v>
      </c>
      <c r="D57" s="4" t="s">
        <v>89</v>
      </c>
      <c r="E57" s="5">
        <v>1158700</v>
      </c>
      <c r="F57" s="6">
        <v>6218.7429000000002</v>
      </c>
      <c r="G57" s="7">
        <v>8.322032E-3</v>
      </c>
      <c r="H57" s="106"/>
    </row>
    <row r="58" spans="1:8" ht="17.100000000000001" customHeight="1" x14ac:dyDescent="0.2">
      <c r="A58" s="3">
        <v>52</v>
      </c>
      <c r="B58" s="4" t="s">
        <v>271</v>
      </c>
      <c r="C58" s="4" t="s">
        <v>272</v>
      </c>
      <c r="D58" s="4" t="s">
        <v>70</v>
      </c>
      <c r="E58" s="5">
        <v>514148</v>
      </c>
      <c r="F58" s="6">
        <v>5892.3931540000003</v>
      </c>
      <c r="G58" s="7">
        <v>7.8853050000000004E-3</v>
      </c>
      <c r="H58" s="106"/>
    </row>
    <row r="59" spans="1:8" ht="17.100000000000001" customHeight="1" x14ac:dyDescent="0.2">
      <c r="A59" s="3">
        <v>53</v>
      </c>
      <c r="B59" s="4" t="s">
        <v>273</v>
      </c>
      <c r="C59" s="4" t="s">
        <v>274</v>
      </c>
      <c r="D59" s="4" t="s">
        <v>1114</v>
      </c>
      <c r="E59" s="5">
        <v>271982</v>
      </c>
      <c r="F59" s="6">
        <v>5381.1638700000003</v>
      </c>
      <c r="G59" s="7">
        <v>7.2011690000000003E-3</v>
      </c>
      <c r="H59" s="106"/>
    </row>
    <row r="60" spans="1:8" ht="17.100000000000001" customHeight="1" x14ac:dyDescent="0.2">
      <c r="A60" s="3">
        <v>54</v>
      </c>
      <c r="B60" s="4" t="s">
        <v>275</v>
      </c>
      <c r="C60" s="4" t="s">
        <v>276</v>
      </c>
      <c r="D60" s="4" t="s">
        <v>99</v>
      </c>
      <c r="E60" s="5">
        <v>280667</v>
      </c>
      <c r="F60" s="6">
        <v>5120.4887479999998</v>
      </c>
      <c r="G60" s="7">
        <v>6.8523289999999999E-3</v>
      </c>
      <c r="H60" s="106"/>
    </row>
    <row r="61" spans="1:8" ht="17.100000000000001" customHeight="1" x14ac:dyDescent="0.2">
      <c r="A61" s="3">
        <v>55</v>
      </c>
      <c r="B61" s="4" t="s">
        <v>277</v>
      </c>
      <c r="C61" s="4" t="s">
        <v>278</v>
      </c>
      <c r="D61" s="4" t="s">
        <v>110</v>
      </c>
      <c r="E61" s="5">
        <v>472351</v>
      </c>
      <c r="F61" s="6">
        <v>5107.2951874999999</v>
      </c>
      <c r="G61" s="7">
        <v>6.8346730000000003E-3</v>
      </c>
      <c r="H61" s="106"/>
    </row>
    <row r="62" spans="1:8" ht="17.100000000000001" customHeight="1" x14ac:dyDescent="0.2">
      <c r="A62" s="3">
        <v>56</v>
      </c>
      <c r="B62" s="4" t="s">
        <v>279</v>
      </c>
      <c r="C62" s="4" t="s">
        <v>280</v>
      </c>
      <c r="D62" s="4" t="s">
        <v>22</v>
      </c>
      <c r="E62" s="5">
        <v>2266120</v>
      </c>
      <c r="F62" s="6">
        <v>4846.0976199999996</v>
      </c>
      <c r="G62" s="7">
        <v>6.485134E-3</v>
      </c>
      <c r="H62" s="106"/>
    </row>
    <row r="63" spans="1:8" ht="17.100000000000001" customHeight="1" x14ac:dyDescent="0.2">
      <c r="A63" s="3">
        <v>57</v>
      </c>
      <c r="B63" s="4" t="s">
        <v>281</v>
      </c>
      <c r="C63" s="4" t="s">
        <v>282</v>
      </c>
      <c r="D63" s="4" t="s">
        <v>283</v>
      </c>
      <c r="E63" s="5">
        <v>1001816</v>
      </c>
      <c r="F63" s="6">
        <v>4749.1087479999997</v>
      </c>
      <c r="G63" s="7">
        <v>6.3553409999999996E-3</v>
      </c>
      <c r="H63" s="106"/>
    </row>
    <row r="64" spans="1:8" ht="17.100000000000001" customHeight="1" x14ac:dyDescent="0.2">
      <c r="A64" s="3">
        <v>58</v>
      </c>
      <c r="B64" s="4" t="s">
        <v>284</v>
      </c>
      <c r="C64" s="4" t="s">
        <v>285</v>
      </c>
      <c r="D64" s="4" t="s">
        <v>219</v>
      </c>
      <c r="E64" s="5">
        <v>943988</v>
      </c>
      <c r="F64" s="6">
        <v>4042.6286100000002</v>
      </c>
      <c r="G64" s="7">
        <v>5.4099170000000002E-3</v>
      </c>
      <c r="H64" s="106"/>
    </row>
    <row r="65" spans="1:8" ht="17.100000000000001" customHeight="1" x14ac:dyDescent="0.2">
      <c r="A65" s="3">
        <v>59</v>
      </c>
      <c r="B65" s="4" t="s">
        <v>286</v>
      </c>
      <c r="C65" s="4" t="s">
        <v>287</v>
      </c>
      <c r="D65" s="4" t="s">
        <v>288</v>
      </c>
      <c r="E65" s="5">
        <v>99574</v>
      </c>
      <c r="F65" s="6">
        <v>3523.824286</v>
      </c>
      <c r="G65" s="7">
        <v>4.7156439999999997E-3</v>
      </c>
      <c r="H65" s="106"/>
    </row>
    <row r="66" spans="1:8" ht="17.100000000000001" customHeight="1" x14ac:dyDescent="0.2">
      <c r="A66" s="3">
        <v>60</v>
      </c>
      <c r="B66" s="4" t="s">
        <v>42</v>
      </c>
      <c r="C66" s="4" t="s">
        <v>43</v>
      </c>
      <c r="D66" s="4" t="s">
        <v>16</v>
      </c>
      <c r="E66" s="5">
        <v>591000</v>
      </c>
      <c r="F66" s="6">
        <v>3391.1579999999999</v>
      </c>
      <c r="G66" s="7">
        <v>4.5381079999999999E-3</v>
      </c>
      <c r="H66" s="106"/>
    </row>
    <row r="67" spans="1:8" ht="17.100000000000001" customHeight="1" x14ac:dyDescent="0.2">
      <c r="A67" s="3">
        <v>61</v>
      </c>
      <c r="B67" s="4" t="s">
        <v>289</v>
      </c>
      <c r="C67" s="4" t="s">
        <v>290</v>
      </c>
      <c r="D67" s="4" t="s">
        <v>89</v>
      </c>
      <c r="E67" s="5">
        <v>153685</v>
      </c>
      <c r="F67" s="6">
        <v>3016.4523374999999</v>
      </c>
      <c r="G67" s="7">
        <v>4.03667E-3</v>
      </c>
      <c r="H67" s="106"/>
    </row>
    <row r="68" spans="1:8" ht="17.100000000000001" customHeight="1" x14ac:dyDescent="0.2">
      <c r="A68" s="3">
        <v>62</v>
      </c>
      <c r="B68" s="4" t="s">
        <v>79</v>
      </c>
      <c r="C68" s="4" t="s">
        <v>80</v>
      </c>
      <c r="D68" s="4" t="s">
        <v>31</v>
      </c>
      <c r="E68" s="5">
        <v>262242</v>
      </c>
      <c r="F68" s="6">
        <v>2829.460059</v>
      </c>
      <c r="G68" s="7">
        <v>3.786434E-3</v>
      </c>
      <c r="H68" s="106"/>
    </row>
    <row r="69" spans="1:8" ht="29.1" customHeight="1" x14ac:dyDescent="0.2">
      <c r="A69" s="3">
        <v>63</v>
      </c>
      <c r="B69" s="4" t="s">
        <v>291</v>
      </c>
      <c r="C69" s="4" t="s">
        <v>292</v>
      </c>
      <c r="D69" s="4" t="s">
        <v>188</v>
      </c>
      <c r="E69" s="5">
        <v>344069</v>
      </c>
      <c r="F69" s="6">
        <v>2614.7523655</v>
      </c>
      <c r="G69" s="7">
        <v>3.4991079999999999E-3</v>
      </c>
      <c r="H69" s="106"/>
    </row>
    <row r="70" spans="1:8" ht="17.100000000000001" customHeight="1" x14ac:dyDescent="0.2">
      <c r="A70" s="3">
        <v>64</v>
      </c>
      <c r="B70" s="4" t="s">
        <v>106</v>
      </c>
      <c r="C70" s="4" t="s">
        <v>107</v>
      </c>
      <c r="D70" s="4" t="s">
        <v>89</v>
      </c>
      <c r="E70" s="5">
        <v>478503</v>
      </c>
      <c r="F70" s="6">
        <v>2226.9529619999998</v>
      </c>
      <c r="G70" s="7">
        <v>2.9801480000000002E-3</v>
      </c>
      <c r="H70" s="106"/>
    </row>
    <row r="71" spans="1:8" ht="17.100000000000001" customHeight="1" x14ac:dyDescent="0.2">
      <c r="A71" s="3">
        <v>65</v>
      </c>
      <c r="B71" s="4" t="s">
        <v>293</v>
      </c>
      <c r="C71" s="4" t="s">
        <v>294</v>
      </c>
      <c r="D71" s="4" t="s">
        <v>110</v>
      </c>
      <c r="E71" s="5">
        <v>33649</v>
      </c>
      <c r="F71" s="6">
        <v>1519.7907339999999</v>
      </c>
      <c r="G71" s="7">
        <v>2.033811E-3</v>
      </c>
      <c r="H71" s="106"/>
    </row>
    <row r="72" spans="1:8" ht="14.1" customHeight="1" x14ac:dyDescent="0.2">
      <c r="A72" s="1"/>
      <c r="B72" s="1"/>
      <c r="C72" s="2" t="s">
        <v>130</v>
      </c>
      <c r="D72" s="1"/>
      <c r="E72" s="1" t="s">
        <v>131</v>
      </c>
      <c r="F72" s="9">
        <v>719148.23224699998</v>
      </c>
      <c r="G72" s="10">
        <v>0.96237688799999999</v>
      </c>
      <c r="H72" s="106"/>
    </row>
    <row r="73" spans="1:8" ht="14.1" customHeight="1" x14ac:dyDescent="0.2">
      <c r="A73" s="1"/>
      <c r="B73" s="1"/>
      <c r="C73" s="11"/>
      <c r="D73" s="1"/>
      <c r="E73" s="1"/>
      <c r="F73" s="12"/>
      <c r="G73" s="12"/>
      <c r="H73" s="106"/>
    </row>
    <row r="74" spans="1:8" ht="14.1" customHeight="1" x14ac:dyDescent="0.2">
      <c r="A74" s="1"/>
      <c r="B74" s="1"/>
      <c r="C74" s="2" t="s">
        <v>132</v>
      </c>
      <c r="D74" s="1"/>
      <c r="E74" s="1"/>
      <c r="F74" s="1"/>
      <c r="G74" s="1"/>
      <c r="H74" s="106"/>
    </row>
    <row r="75" spans="1:8" ht="14.1" customHeight="1" x14ac:dyDescent="0.2">
      <c r="A75" s="1"/>
      <c r="B75" s="1"/>
      <c r="C75" s="2" t="s">
        <v>130</v>
      </c>
      <c r="D75" s="1"/>
      <c r="E75" s="1" t="s">
        <v>131</v>
      </c>
      <c r="F75" s="13">
        <v>0</v>
      </c>
      <c r="G75" s="14">
        <v>0</v>
      </c>
      <c r="H75" s="106"/>
    </row>
    <row r="76" spans="1:8" ht="14.1" customHeight="1" x14ac:dyDescent="0.2">
      <c r="A76" s="1"/>
      <c r="B76" s="1"/>
      <c r="C76" s="11"/>
      <c r="D76" s="1"/>
      <c r="E76" s="1"/>
      <c r="F76" s="12"/>
      <c r="G76" s="12"/>
      <c r="H76" s="106"/>
    </row>
    <row r="77" spans="1:8" ht="14.1" customHeight="1" x14ac:dyDescent="0.2">
      <c r="A77" s="1"/>
      <c r="B77" s="1"/>
      <c r="C77" s="2" t="s">
        <v>133</v>
      </c>
      <c r="D77" s="1"/>
      <c r="E77" s="1"/>
      <c r="F77" s="1"/>
      <c r="G77" s="1"/>
      <c r="H77" s="106"/>
    </row>
    <row r="78" spans="1:8" ht="14.1" customHeight="1" x14ac:dyDescent="0.2">
      <c r="A78" s="1"/>
      <c r="B78" s="1"/>
      <c r="C78" s="2" t="s">
        <v>130</v>
      </c>
      <c r="D78" s="1"/>
      <c r="E78" s="1" t="s">
        <v>131</v>
      </c>
      <c r="F78" s="13">
        <v>0</v>
      </c>
      <c r="G78" s="14">
        <v>0</v>
      </c>
      <c r="H78" s="106"/>
    </row>
    <row r="79" spans="1:8" ht="14.1" customHeight="1" x14ac:dyDescent="0.2">
      <c r="A79" s="1"/>
      <c r="B79" s="1"/>
      <c r="C79" s="11"/>
      <c r="D79" s="1"/>
      <c r="E79" s="1"/>
      <c r="F79" s="12"/>
      <c r="G79" s="12"/>
      <c r="H79" s="106"/>
    </row>
    <row r="80" spans="1:8" ht="14.1" customHeight="1" x14ac:dyDescent="0.2">
      <c r="A80" s="1"/>
      <c r="B80" s="1"/>
      <c r="C80" s="2" t="s">
        <v>134</v>
      </c>
      <c r="D80" s="1"/>
      <c r="E80" s="1"/>
      <c r="F80" s="1"/>
      <c r="G80" s="1"/>
      <c r="H80" s="106"/>
    </row>
    <row r="81" spans="1:8" ht="14.1" customHeight="1" x14ac:dyDescent="0.2">
      <c r="A81" s="1"/>
      <c r="B81" s="1"/>
      <c r="C81" s="2" t="s">
        <v>130</v>
      </c>
      <c r="D81" s="1"/>
      <c r="E81" s="1" t="s">
        <v>131</v>
      </c>
      <c r="F81" s="13">
        <v>0</v>
      </c>
      <c r="G81" s="14">
        <v>0</v>
      </c>
      <c r="H81" s="106"/>
    </row>
    <row r="82" spans="1:8" ht="14.1" customHeight="1" x14ac:dyDescent="0.2">
      <c r="A82" s="1"/>
      <c r="B82" s="1"/>
      <c r="C82" s="11"/>
      <c r="D82" s="1"/>
      <c r="E82" s="1"/>
      <c r="F82" s="12"/>
      <c r="G82" s="12"/>
      <c r="H82" s="106"/>
    </row>
    <row r="83" spans="1:8" ht="14.1" customHeight="1" x14ac:dyDescent="0.2">
      <c r="A83" s="1"/>
      <c r="B83" s="1"/>
      <c r="C83" s="2" t="s">
        <v>135</v>
      </c>
      <c r="D83" s="1"/>
      <c r="E83" s="1"/>
      <c r="F83" s="12"/>
      <c r="G83" s="12"/>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136</v>
      </c>
      <c r="D86" s="1"/>
      <c r="E86" s="1"/>
      <c r="F86" s="12"/>
      <c r="G86" s="12"/>
      <c r="H86" s="106"/>
    </row>
    <row r="87" spans="1:8" ht="14.1" customHeight="1" x14ac:dyDescent="0.2">
      <c r="A87" s="1"/>
      <c r="B87" s="1"/>
      <c r="C87" s="2" t="s">
        <v>130</v>
      </c>
      <c r="D87" s="1"/>
      <c r="E87" s="1" t="s">
        <v>131</v>
      </c>
      <c r="F87" s="13">
        <v>0</v>
      </c>
      <c r="G87" s="14">
        <v>0</v>
      </c>
      <c r="H87" s="106"/>
    </row>
    <row r="88" spans="1:8" ht="14.1" customHeight="1" x14ac:dyDescent="0.2">
      <c r="A88" s="1"/>
      <c r="B88" s="1"/>
      <c r="C88" s="11"/>
      <c r="D88" s="1"/>
      <c r="E88" s="1"/>
      <c r="F88" s="12"/>
      <c r="G88" s="12"/>
      <c r="H88" s="106"/>
    </row>
    <row r="89" spans="1:8" ht="18" customHeight="1" x14ac:dyDescent="0.2">
      <c r="A89" s="1"/>
      <c r="B89" s="1"/>
      <c r="C89" s="2" t="s">
        <v>137</v>
      </c>
      <c r="D89" s="1"/>
      <c r="E89" s="1"/>
      <c r="F89" s="9">
        <v>719148.23224699998</v>
      </c>
      <c r="G89" s="10">
        <v>0.96237688799999999</v>
      </c>
      <c r="H89" s="106"/>
    </row>
    <row r="90" spans="1:8" ht="14.1" customHeight="1" x14ac:dyDescent="0.2">
      <c r="A90" s="1"/>
      <c r="B90" s="1"/>
      <c r="C90" s="11"/>
      <c r="D90" s="1"/>
      <c r="E90" s="1"/>
      <c r="F90" s="12"/>
      <c r="G90" s="12"/>
      <c r="H90" s="106"/>
    </row>
    <row r="91" spans="1:8" ht="14.1" customHeight="1" x14ac:dyDescent="0.2">
      <c r="A91" s="1"/>
      <c r="B91" s="1"/>
      <c r="C91" s="2" t="s">
        <v>138</v>
      </c>
      <c r="D91" s="1"/>
      <c r="E91" s="1"/>
      <c r="F91" s="12"/>
      <c r="G91" s="12"/>
      <c r="H91" s="106"/>
    </row>
    <row r="92" spans="1:8" ht="24" customHeight="1" x14ac:dyDescent="0.2">
      <c r="A92" s="1"/>
      <c r="B92" s="1"/>
      <c r="C92" s="2" t="s">
        <v>10</v>
      </c>
      <c r="D92" s="1"/>
      <c r="E92" s="1"/>
      <c r="F92" s="12"/>
      <c r="G92" s="12"/>
      <c r="H92" s="106"/>
    </row>
    <row r="93" spans="1:8" ht="14.1" customHeight="1" x14ac:dyDescent="0.2">
      <c r="A93" s="1"/>
      <c r="B93" s="1"/>
      <c r="C93" s="2" t="s">
        <v>130</v>
      </c>
      <c r="D93" s="1"/>
      <c r="E93" s="1" t="s">
        <v>131</v>
      </c>
      <c r="F93" s="13">
        <v>0</v>
      </c>
      <c r="G93" s="14">
        <v>0</v>
      </c>
      <c r="H93" s="106"/>
    </row>
    <row r="94" spans="1:8" ht="14.1" customHeight="1" x14ac:dyDescent="0.2">
      <c r="A94" s="1"/>
      <c r="B94" s="1"/>
      <c r="C94" s="11"/>
      <c r="D94" s="1"/>
      <c r="E94" s="1"/>
      <c r="F94" s="12"/>
      <c r="G94" s="12"/>
      <c r="H94" s="106"/>
    </row>
    <row r="95" spans="1:8" ht="14.1" customHeight="1" x14ac:dyDescent="0.2">
      <c r="A95" s="1"/>
      <c r="B95" s="1"/>
      <c r="C95" s="2" t="s">
        <v>139</v>
      </c>
      <c r="D95" s="1"/>
      <c r="E95" s="1"/>
      <c r="F95" s="1"/>
      <c r="G95" s="1"/>
      <c r="H95" s="106"/>
    </row>
    <row r="96" spans="1:8" ht="14.1" customHeight="1" x14ac:dyDescent="0.2">
      <c r="A96" s="1"/>
      <c r="B96" s="1"/>
      <c r="C96" s="2" t="s">
        <v>130</v>
      </c>
      <c r="D96" s="1"/>
      <c r="E96" s="1" t="s">
        <v>131</v>
      </c>
      <c r="F96" s="13">
        <v>0</v>
      </c>
      <c r="G96" s="14">
        <v>0</v>
      </c>
      <c r="H96" s="106"/>
    </row>
    <row r="97" spans="1:8" ht="14.1" customHeight="1" x14ac:dyDescent="0.2">
      <c r="A97" s="1"/>
      <c r="B97" s="1"/>
      <c r="C97" s="11"/>
      <c r="D97" s="1"/>
      <c r="E97" s="1"/>
      <c r="F97" s="12"/>
      <c r="G97" s="12"/>
      <c r="H97" s="106"/>
    </row>
    <row r="98" spans="1:8" ht="14.1" customHeight="1" x14ac:dyDescent="0.2">
      <c r="A98" s="1"/>
      <c r="B98" s="1"/>
      <c r="C98" s="2" t="s">
        <v>140</v>
      </c>
      <c r="D98" s="1"/>
      <c r="E98" s="1"/>
      <c r="F98" s="1"/>
      <c r="G98" s="1"/>
      <c r="H98" s="106"/>
    </row>
    <row r="99" spans="1:8" ht="14.1" customHeight="1" x14ac:dyDescent="0.2">
      <c r="A99" s="1"/>
      <c r="B99" s="1"/>
      <c r="C99" s="2" t="s">
        <v>130</v>
      </c>
      <c r="D99" s="1"/>
      <c r="E99" s="1" t="s">
        <v>131</v>
      </c>
      <c r="F99" s="13">
        <v>0</v>
      </c>
      <c r="G99" s="14">
        <v>0</v>
      </c>
      <c r="H99" s="106"/>
    </row>
    <row r="100" spans="1:8" ht="14.1" customHeight="1" x14ac:dyDescent="0.2">
      <c r="A100" s="1"/>
      <c r="B100" s="1"/>
      <c r="C100" s="11"/>
      <c r="D100" s="1"/>
      <c r="E100" s="1"/>
      <c r="F100" s="12"/>
      <c r="G100" s="12"/>
      <c r="H100" s="106"/>
    </row>
    <row r="101" spans="1:8" ht="14.1" customHeight="1" x14ac:dyDescent="0.2">
      <c r="A101" s="1"/>
      <c r="B101" s="1"/>
      <c r="C101" s="2" t="s">
        <v>141</v>
      </c>
      <c r="D101" s="1"/>
      <c r="E101" s="1"/>
      <c r="F101" s="12"/>
      <c r="G101" s="12"/>
      <c r="H101" s="106"/>
    </row>
    <row r="102" spans="1:8" ht="14.1" customHeight="1" x14ac:dyDescent="0.2">
      <c r="A102" s="1"/>
      <c r="B102" s="1"/>
      <c r="C102" s="2" t="s">
        <v>130</v>
      </c>
      <c r="D102" s="1"/>
      <c r="E102" s="1" t="s">
        <v>131</v>
      </c>
      <c r="F102" s="13">
        <v>0</v>
      </c>
      <c r="G102" s="14">
        <v>0</v>
      </c>
      <c r="H102" s="106"/>
    </row>
    <row r="103" spans="1:8" ht="14.1" customHeight="1" x14ac:dyDescent="0.2">
      <c r="A103" s="1"/>
      <c r="B103" s="1"/>
      <c r="C103" s="11"/>
      <c r="D103" s="1"/>
      <c r="E103" s="1"/>
      <c r="F103" s="12"/>
      <c r="G103" s="12"/>
      <c r="H103" s="106"/>
    </row>
    <row r="104" spans="1:8" ht="14.1" customHeight="1" x14ac:dyDescent="0.2">
      <c r="A104" s="1"/>
      <c r="B104" s="1"/>
      <c r="C104" s="2" t="s">
        <v>142</v>
      </c>
      <c r="D104" s="1"/>
      <c r="E104" s="1"/>
      <c r="F104" s="9">
        <v>0</v>
      </c>
      <c r="G104" s="10">
        <v>0</v>
      </c>
      <c r="H104" s="106"/>
    </row>
    <row r="105" spans="1:8" ht="14.1" customHeight="1" x14ac:dyDescent="0.2">
      <c r="A105" s="1"/>
      <c r="B105" s="1"/>
      <c r="C105" s="11"/>
      <c r="D105" s="1"/>
      <c r="E105" s="1"/>
      <c r="F105" s="12"/>
      <c r="G105" s="12"/>
      <c r="H105" s="106"/>
    </row>
    <row r="106" spans="1:8" ht="14.1" customHeight="1" x14ac:dyDescent="0.2">
      <c r="A106" s="1"/>
      <c r="B106" s="1"/>
      <c r="C106" s="2" t="s">
        <v>143</v>
      </c>
      <c r="D106" s="1"/>
      <c r="E106" s="1"/>
      <c r="F106" s="12"/>
      <c r="G106" s="12"/>
      <c r="H106" s="106"/>
    </row>
    <row r="107" spans="1:8" ht="14.1" customHeight="1" x14ac:dyDescent="0.2">
      <c r="A107" s="1"/>
      <c r="B107" s="1"/>
      <c r="C107" s="2" t="s">
        <v>144</v>
      </c>
      <c r="D107" s="1"/>
      <c r="E107" s="1"/>
      <c r="F107" s="12"/>
      <c r="G107" s="12"/>
      <c r="H107" s="106"/>
    </row>
    <row r="108" spans="1:8" ht="14.1" customHeight="1" x14ac:dyDescent="0.2">
      <c r="A108" s="1"/>
      <c r="B108" s="1"/>
      <c r="C108" s="2" t="s">
        <v>130</v>
      </c>
      <c r="D108" s="1"/>
      <c r="E108" s="1" t="s">
        <v>131</v>
      </c>
      <c r="F108" s="13">
        <v>0</v>
      </c>
      <c r="G108" s="14">
        <v>0</v>
      </c>
      <c r="H108" s="106"/>
    </row>
    <row r="109" spans="1:8" ht="14.1" customHeight="1" x14ac:dyDescent="0.2">
      <c r="A109" s="1"/>
      <c r="B109" s="1"/>
      <c r="C109" s="11"/>
      <c r="D109" s="1"/>
      <c r="E109" s="1"/>
      <c r="F109" s="12"/>
      <c r="G109" s="12"/>
      <c r="H109" s="106"/>
    </row>
    <row r="110" spans="1:8" ht="14.1" customHeight="1" x14ac:dyDescent="0.2">
      <c r="A110" s="1"/>
      <c r="B110" s="1"/>
      <c r="C110" s="2" t="s">
        <v>145</v>
      </c>
      <c r="D110" s="1"/>
      <c r="E110" s="1"/>
      <c r="F110" s="12"/>
      <c r="G110" s="12"/>
      <c r="H110" s="106"/>
    </row>
    <row r="111" spans="1:8" ht="14.1" customHeight="1" x14ac:dyDescent="0.2">
      <c r="A111" s="1"/>
      <c r="B111" s="1"/>
      <c r="C111" s="2" t="s">
        <v>130</v>
      </c>
      <c r="D111" s="1"/>
      <c r="E111" s="1" t="s">
        <v>131</v>
      </c>
      <c r="F111" s="13">
        <v>0</v>
      </c>
      <c r="G111" s="14">
        <v>0</v>
      </c>
      <c r="H111" s="106"/>
    </row>
    <row r="112" spans="1:8" ht="14.1" customHeight="1" x14ac:dyDescent="0.2">
      <c r="A112" s="1"/>
      <c r="B112" s="1"/>
      <c r="C112" s="11"/>
      <c r="D112" s="1"/>
      <c r="E112" s="1"/>
      <c r="F112" s="12"/>
      <c r="G112" s="12"/>
      <c r="H112" s="106"/>
    </row>
    <row r="113" spans="1:8" ht="14.1" customHeight="1" x14ac:dyDescent="0.2">
      <c r="A113" s="1"/>
      <c r="B113" s="1"/>
      <c r="C113" s="2" t="s">
        <v>146</v>
      </c>
      <c r="D113" s="1"/>
      <c r="E113" s="1"/>
      <c r="F113" s="12"/>
      <c r="G113" s="12"/>
      <c r="H113" s="106"/>
    </row>
    <row r="114" spans="1:8" ht="14.1" customHeight="1" x14ac:dyDescent="0.2">
      <c r="A114" s="1"/>
      <c r="B114" s="1"/>
      <c r="C114" s="2" t="s">
        <v>130</v>
      </c>
      <c r="D114" s="1"/>
      <c r="E114" s="1" t="s">
        <v>131</v>
      </c>
      <c r="F114" s="13">
        <v>0</v>
      </c>
      <c r="G114" s="14">
        <v>0</v>
      </c>
      <c r="H114" s="106"/>
    </row>
    <row r="115" spans="1:8" ht="14.1" customHeight="1" x14ac:dyDescent="0.2">
      <c r="A115" s="1"/>
      <c r="B115" s="1"/>
      <c r="C115" s="11"/>
      <c r="D115" s="1"/>
      <c r="E115" s="1"/>
      <c r="F115" s="12"/>
      <c r="G115" s="12"/>
      <c r="H115" s="106"/>
    </row>
    <row r="116" spans="1:8" ht="14.1" customHeight="1" x14ac:dyDescent="0.2">
      <c r="A116" s="1"/>
      <c r="B116" s="1"/>
      <c r="C116" s="2" t="s">
        <v>147</v>
      </c>
      <c r="D116" s="1"/>
      <c r="E116" s="1"/>
      <c r="F116" s="12"/>
      <c r="G116" s="12"/>
      <c r="H116" s="106"/>
    </row>
    <row r="117" spans="1:8" ht="17.100000000000001" customHeight="1" x14ac:dyDescent="0.2">
      <c r="A117" s="3">
        <v>1</v>
      </c>
      <c r="B117" s="4"/>
      <c r="C117" s="4" t="s">
        <v>148</v>
      </c>
      <c r="D117" s="4"/>
      <c r="E117" s="8"/>
      <c r="F117" s="6">
        <v>18484.896256</v>
      </c>
      <c r="G117" s="7">
        <v>2.4736814999999999E-2</v>
      </c>
      <c r="H117" s="106">
        <v>6.1171451766917002</v>
      </c>
    </row>
    <row r="118" spans="1:8" ht="14.1" customHeight="1" x14ac:dyDescent="0.2">
      <c r="A118" s="1"/>
      <c r="B118" s="1"/>
      <c r="C118" s="2" t="s">
        <v>130</v>
      </c>
      <c r="D118" s="1"/>
      <c r="E118" s="1" t="s">
        <v>131</v>
      </c>
      <c r="F118" s="9">
        <v>18484.896256</v>
      </c>
      <c r="G118" s="10">
        <v>2.4736814999999999E-2</v>
      </c>
      <c r="H118" s="106"/>
    </row>
    <row r="119" spans="1:8" ht="14.1" customHeight="1" x14ac:dyDescent="0.2">
      <c r="A119" s="1"/>
      <c r="B119" s="1"/>
      <c r="C119" s="11"/>
      <c r="D119" s="1"/>
      <c r="E119" s="1"/>
      <c r="F119" s="12"/>
      <c r="G119" s="12"/>
      <c r="H119" s="106"/>
    </row>
    <row r="120" spans="1:8" ht="14.1" customHeight="1" x14ac:dyDescent="0.2">
      <c r="A120" s="1"/>
      <c r="B120" s="1"/>
      <c r="C120" s="2" t="s">
        <v>149</v>
      </c>
      <c r="D120" s="1"/>
      <c r="E120" s="1"/>
      <c r="F120" s="9">
        <v>18484.896256</v>
      </c>
      <c r="G120" s="10">
        <v>2.4736814999999999E-2</v>
      </c>
      <c r="H120" s="106"/>
    </row>
    <row r="121" spans="1:8" ht="14.1" customHeight="1" x14ac:dyDescent="0.2">
      <c r="A121" s="1"/>
      <c r="B121" s="1"/>
      <c r="C121" s="12"/>
      <c r="D121" s="1"/>
      <c r="E121" s="1"/>
      <c r="F121" s="1"/>
      <c r="G121" s="1"/>
      <c r="H121" s="106"/>
    </row>
    <row r="122" spans="1:8" ht="14.1" customHeight="1" x14ac:dyDescent="0.2">
      <c r="A122" s="1"/>
      <c r="B122" s="1"/>
      <c r="C122" s="2" t="s">
        <v>150</v>
      </c>
      <c r="D122" s="1"/>
      <c r="E122" s="1"/>
      <c r="F122" s="1"/>
      <c r="G122" s="1"/>
      <c r="H122" s="106"/>
    </row>
    <row r="123" spans="1:8" ht="14.1" customHeight="1" x14ac:dyDescent="0.2">
      <c r="A123" s="1"/>
      <c r="B123" s="1"/>
      <c r="C123" s="2" t="s">
        <v>151</v>
      </c>
      <c r="D123" s="1"/>
      <c r="E123" s="1"/>
      <c r="F123" s="1"/>
      <c r="G123" s="1"/>
      <c r="H123" s="106"/>
    </row>
    <row r="124" spans="1:8" ht="14.1" customHeight="1" x14ac:dyDescent="0.2">
      <c r="A124" s="1"/>
      <c r="B124" s="1"/>
      <c r="C124" s="2" t="s">
        <v>130</v>
      </c>
      <c r="D124" s="1"/>
      <c r="E124" s="1" t="s">
        <v>131</v>
      </c>
      <c r="F124" s="13">
        <v>0</v>
      </c>
      <c r="G124" s="14">
        <v>0</v>
      </c>
      <c r="H124" s="106"/>
    </row>
    <row r="125" spans="1:8" ht="14.1" customHeight="1" x14ac:dyDescent="0.2">
      <c r="A125" s="1"/>
      <c r="B125" s="1"/>
      <c r="C125" s="11"/>
      <c r="D125" s="1"/>
      <c r="E125" s="1"/>
      <c r="F125" s="12"/>
      <c r="G125" s="12"/>
      <c r="H125" s="106"/>
    </row>
    <row r="126" spans="1:8" ht="14.1" customHeight="1" x14ac:dyDescent="0.2">
      <c r="A126" s="1"/>
      <c r="B126" s="1"/>
      <c r="C126" s="2" t="s">
        <v>152</v>
      </c>
      <c r="D126" s="1"/>
      <c r="E126" s="1"/>
      <c r="F126" s="1"/>
      <c r="G126" s="1"/>
      <c r="H126" s="106"/>
    </row>
    <row r="127" spans="1:8" ht="14.1" customHeight="1" x14ac:dyDescent="0.2">
      <c r="A127" s="1"/>
      <c r="B127" s="1"/>
      <c r="C127" s="2" t="s">
        <v>153</v>
      </c>
      <c r="D127" s="1"/>
      <c r="E127" s="1"/>
      <c r="F127" s="1"/>
      <c r="G127" s="1"/>
      <c r="H127" s="106"/>
    </row>
    <row r="128" spans="1:8" ht="14.1" customHeight="1" x14ac:dyDescent="0.2">
      <c r="A128" s="1"/>
      <c r="B128" s="1"/>
      <c r="C128" s="2" t="s">
        <v>130</v>
      </c>
      <c r="D128" s="1"/>
      <c r="E128" s="1" t="s">
        <v>131</v>
      </c>
      <c r="F128" s="13">
        <v>0</v>
      </c>
      <c r="G128" s="14">
        <v>0</v>
      </c>
      <c r="H128" s="106"/>
    </row>
    <row r="129" spans="1:8" ht="14.1" customHeight="1" x14ac:dyDescent="0.2">
      <c r="A129" s="1"/>
      <c r="B129" s="1"/>
      <c r="C129" s="11"/>
      <c r="D129" s="1"/>
      <c r="E129" s="1"/>
      <c r="F129" s="12"/>
      <c r="G129" s="12"/>
      <c r="H129" s="106"/>
    </row>
    <row r="130" spans="1:8" ht="14.1" customHeight="1" x14ac:dyDescent="0.2">
      <c r="A130" s="1"/>
      <c r="B130" s="1"/>
      <c r="C130" s="11"/>
      <c r="D130" s="1"/>
      <c r="E130" s="1"/>
      <c r="F130" s="12"/>
      <c r="G130" s="12"/>
      <c r="H130" s="106"/>
    </row>
    <row r="131" spans="1:8" ht="24" customHeight="1" x14ac:dyDescent="0.2">
      <c r="A131" s="1"/>
      <c r="B131" s="1"/>
      <c r="C131" s="2" t="s">
        <v>154</v>
      </c>
      <c r="D131" s="1"/>
      <c r="E131" s="1"/>
      <c r="F131" s="12"/>
      <c r="G131" s="12"/>
      <c r="H131" s="106"/>
    </row>
    <row r="132" spans="1:8" ht="14.1" customHeight="1" x14ac:dyDescent="0.2">
      <c r="A132" s="1"/>
      <c r="B132" s="1"/>
      <c r="C132" s="2" t="s">
        <v>130</v>
      </c>
      <c r="D132" s="1"/>
      <c r="E132" s="1" t="s">
        <v>131</v>
      </c>
      <c r="F132" s="13">
        <v>0</v>
      </c>
      <c r="G132" s="14">
        <v>0</v>
      </c>
      <c r="H132" s="106"/>
    </row>
    <row r="133" spans="1:8" ht="14.1" customHeight="1" x14ac:dyDescent="0.2">
      <c r="A133" s="1"/>
      <c r="B133" s="1"/>
      <c r="C133" s="11"/>
      <c r="D133" s="1"/>
      <c r="E133" s="1"/>
      <c r="F133" s="12"/>
      <c r="G133" s="12"/>
      <c r="H133" s="106"/>
    </row>
    <row r="134" spans="1:8" ht="14.1" customHeight="1" x14ac:dyDescent="0.2">
      <c r="A134" s="1"/>
      <c r="B134" s="4"/>
      <c r="C134" s="4"/>
      <c r="D134" s="2"/>
      <c r="E134" s="1"/>
      <c r="F134" s="4"/>
      <c r="G134" s="8"/>
      <c r="H134" s="106"/>
    </row>
    <row r="135" spans="1:8" ht="18" customHeight="1" x14ac:dyDescent="0.2">
      <c r="A135" s="8"/>
      <c r="B135" s="4"/>
      <c r="C135" s="4" t="s">
        <v>155</v>
      </c>
      <c r="D135" s="4"/>
      <c r="E135" s="8"/>
      <c r="F135" s="6">
        <v>9629.4494547100003</v>
      </c>
      <c r="G135" s="7">
        <v>1.28863E-2</v>
      </c>
      <c r="H135" s="106"/>
    </row>
    <row r="136" spans="1:8" ht="14.1" customHeight="1" x14ac:dyDescent="0.2">
      <c r="A136" s="11"/>
      <c r="B136" s="11"/>
      <c r="C136" s="2" t="s">
        <v>156</v>
      </c>
      <c r="D136" s="15"/>
      <c r="E136" s="15"/>
      <c r="F136" s="9">
        <v>747262.57795771002</v>
      </c>
      <c r="G136" s="14">
        <v>1.000000003</v>
      </c>
      <c r="H136" s="106"/>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279" t="s">
        <v>158</v>
      </c>
      <c r="C139" s="280"/>
      <c r="D139" s="12" t="s">
        <v>131</v>
      </c>
      <c r="E139" s="21"/>
      <c r="F139" s="20"/>
      <c r="G139" s="20"/>
    </row>
    <row r="140" spans="1:8" ht="29.1" customHeight="1" x14ac:dyDescent="0.2">
      <c r="A140" s="18"/>
      <c r="B140" s="274" t="s">
        <v>159</v>
      </c>
      <c r="C140" s="275"/>
      <c r="D140" s="2" t="s">
        <v>160</v>
      </c>
      <c r="E140" s="21"/>
      <c r="F140" s="20"/>
      <c r="G140" s="20"/>
    </row>
    <row r="141" spans="1:8" ht="17.100000000000001" customHeight="1" x14ac:dyDescent="0.2">
      <c r="A141" s="18"/>
      <c r="B141" s="274" t="s">
        <v>161</v>
      </c>
      <c r="C141" s="275"/>
      <c r="D141" s="2" t="s">
        <v>160</v>
      </c>
      <c r="E141" s="21"/>
      <c r="F141" s="20"/>
      <c r="G141" s="20"/>
    </row>
    <row r="142" spans="1:8" ht="17.100000000000001" customHeight="1" x14ac:dyDescent="0.2">
      <c r="A142" s="18"/>
      <c r="B142" s="274" t="s">
        <v>162</v>
      </c>
      <c r="C142" s="275"/>
      <c r="D142" s="12" t="s">
        <v>131</v>
      </c>
      <c r="E142" s="21"/>
      <c r="F142" s="20"/>
      <c r="G142" s="20"/>
    </row>
    <row r="143" spans="1:8" ht="24" customHeight="1" x14ac:dyDescent="0.2">
      <c r="A143" s="22"/>
      <c r="B143" s="23" t="s">
        <v>131</v>
      </c>
      <c r="C143" s="23" t="s">
        <v>163</v>
      </c>
      <c r="D143" s="23" t="s">
        <v>164</v>
      </c>
      <c r="E143" s="22"/>
      <c r="F143" s="22"/>
      <c r="G143" s="22"/>
    </row>
    <row r="144" spans="1:8" ht="18" customHeight="1" x14ac:dyDescent="0.2">
      <c r="A144" s="22"/>
      <c r="B144" s="23" t="s">
        <v>165</v>
      </c>
      <c r="C144" s="23" t="s">
        <v>166</v>
      </c>
      <c r="D144" s="23" t="s">
        <v>167</v>
      </c>
      <c r="E144" s="22"/>
      <c r="F144" s="22"/>
      <c r="G144" s="22"/>
    </row>
    <row r="145" spans="1:7" ht="17.100000000000001" customHeight="1" x14ac:dyDescent="0.2">
      <c r="A145" s="22"/>
      <c r="B145" s="4" t="s">
        <v>168</v>
      </c>
      <c r="C145" s="24">
        <v>791.00519999999995</v>
      </c>
      <c r="D145" s="24">
        <v>800.27719999999999</v>
      </c>
      <c r="E145" s="22"/>
      <c r="F145" s="19"/>
      <c r="G145" s="25"/>
    </row>
    <row r="146" spans="1:7" ht="17.100000000000001" customHeight="1" x14ac:dyDescent="0.2">
      <c r="A146" s="22"/>
      <c r="B146" s="4" t="s">
        <v>1048</v>
      </c>
      <c r="C146" s="24">
        <v>49.624699999999997</v>
      </c>
      <c r="D146" s="24">
        <v>50.206000000000003</v>
      </c>
      <c r="E146" s="22"/>
      <c r="F146" s="19"/>
      <c r="G146" s="25"/>
    </row>
    <row r="147" spans="1:7" ht="17.100000000000001" customHeight="1" x14ac:dyDescent="0.2">
      <c r="A147" s="22"/>
      <c r="B147" s="4" t="s">
        <v>169</v>
      </c>
      <c r="C147" s="24">
        <v>741.66769999999997</v>
      </c>
      <c r="D147" s="24">
        <v>749.75850000000003</v>
      </c>
      <c r="E147" s="22"/>
      <c r="F147" s="19"/>
      <c r="G147" s="25"/>
    </row>
    <row r="148" spans="1:7" ht="17.100000000000001" customHeight="1" x14ac:dyDescent="0.2">
      <c r="A148" s="22"/>
      <c r="B148" s="4" t="s">
        <v>1049</v>
      </c>
      <c r="C148" s="24">
        <v>45.880099999999999</v>
      </c>
      <c r="D148" s="24">
        <v>46.380299999999998</v>
      </c>
      <c r="E148" s="22"/>
      <c r="F148" s="19"/>
      <c r="G148" s="25"/>
    </row>
    <row r="149" spans="1:7" ht="14.1" customHeight="1" x14ac:dyDescent="0.2">
      <c r="A149" s="22"/>
      <c r="B149" s="22"/>
      <c r="C149" s="22"/>
      <c r="D149" s="22"/>
      <c r="E149" s="22"/>
      <c r="F149" s="22"/>
      <c r="G149" s="22"/>
    </row>
    <row r="150" spans="1:7" ht="17.100000000000001" customHeight="1" x14ac:dyDescent="0.2">
      <c r="A150" s="22"/>
      <c r="B150" s="274" t="s">
        <v>1060</v>
      </c>
      <c r="C150" s="275"/>
      <c r="D150" s="2" t="s">
        <v>160</v>
      </c>
      <c r="E150" s="22"/>
      <c r="F150" s="22"/>
      <c r="G150" s="22"/>
    </row>
    <row r="151" spans="1:7" ht="18" customHeight="1" x14ac:dyDescent="0.2">
      <c r="A151" s="22"/>
      <c r="B151" s="26" t="s">
        <v>170</v>
      </c>
      <c r="C151" s="26" t="s">
        <v>170</v>
      </c>
      <c r="D151" s="26"/>
      <c r="E151" s="22"/>
      <c r="F151" s="22"/>
      <c r="G151" s="22"/>
    </row>
    <row r="152" spans="1:7" ht="29.1" customHeight="1" x14ac:dyDescent="0.2">
      <c r="A152" s="22"/>
      <c r="B152" s="274" t="s">
        <v>171</v>
      </c>
      <c r="C152" s="275"/>
      <c r="D152" s="2" t="s">
        <v>160</v>
      </c>
      <c r="E152" s="22"/>
      <c r="F152" s="22"/>
      <c r="G152" s="22"/>
    </row>
    <row r="153" spans="1:7" ht="29.1" customHeight="1" x14ac:dyDescent="0.2">
      <c r="A153" s="22"/>
      <c r="B153" s="274" t="s">
        <v>172</v>
      </c>
      <c r="C153" s="275"/>
      <c r="D153" s="2" t="s">
        <v>160</v>
      </c>
      <c r="E153" s="22"/>
      <c r="F153" s="22"/>
      <c r="G153" s="22"/>
    </row>
    <row r="154" spans="1:7" ht="17.100000000000001" customHeight="1" x14ac:dyDescent="0.2">
      <c r="A154" s="22"/>
      <c r="B154" s="274" t="s">
        <v>173</v>
      </c>
      <c r="C154" s="275"/>
      <c r="D154" s="27">
        <v>0.40819603303013596</v>
      </c>
      <c r="E154" s="22"/>
      <c r="F154" s="19"/>
      <c r="G154" s="25"/>
    </row>
    <row r="155" spans="1:7" ht="17.100000000000001" customHeight="1" x14ac:dyDescent="0.2">
      <c r="A155" s="22"/>
      <c r="B155" s="274" t="s">
        <v>174</v>
      </c>
      <c r="C155" s="275"/>
      <c r="D155" s="2" t="s">
        <v>160</v>
      </c>
      <c r="E155" s="22"/>
      <c r="F155" s="22"/>
      <c r="G155" s="22"/>
    </row>
  </sheetData>
  <mergeCells count="13">
    <mergeCell ref="B139:C139"/>
    <mergeCell ref="A1:H1"/>
    <mergeCell ref="A2:H2"/>
    <mergeCell ref="A3:H3"/>
    <mergeCell ref="J2:N2"/>
    <mergeCell ref="B154:C154"/>
    <mergeCell ref="B155:C155"/>
    <mergeCell ref="B140:C140"/>
    <mergeCell ref="B141:C141"/>
    <mergeCell ref="B142:C142"/>
    <mergeCell ref="B150:C150"/>
    <mergeCell ref="B152:C152"/>
    <mergeCell ref="B153:C153"/>
  </mergeCells>
  <hyperlinks>
    <hyperlink ref="I1" location="Index!B3" display="Index" xr:uid="{5658B491-7945-4F33-BA55-37D3E46AE29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4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79" t="s">
        <v>1080</v>
      </c>
    </row>
    <row r="2" spans="1:14" ht="17.100000000000001" customHeight="1" x14ac:dyDescent="0.2">
      <c r="A2" s="283" t="s">
        <v>295</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137271</v>
      </c>
      <c r="F7" s="6">
        <v>1247.3815770000001</v>
      </c>
      <c r="G7" s="7">
        <v>8.2334426000000002E-2</v>
      </c>
      <c r="H7" s="106"/>
    </row>
    <row r="8" spans="1:14" ht="17.100000000000001" customHeight="1" x14ac:dyDescent="0.2">
      <c r="A8" s="3">
        <v>2</v>
      </c>
      <c r="B8" s="4" t="s">
        <v>20</v>
      </c>
      <c r="C8" s="4" t="s">
        <v>21</v>
      </c>
      <c r="D8" s="4" t="s">
        <v>22</v>
      </c>
      <c r="E8" s="5">
        <v>44211</v>
      </c>
      <c r="F8" s="6">
        <v>1127.2036559999999</v>
      </c>
      <c r="G8" s="7">
        <v>7.4401985000000004E-2</v>
      </c>
      <c r="H8" s="106"/>
    </row>
    <row r="9" spans="1:14" ht="17.100000000000001" customHeight="1" x14ac:dyDescent="0.2">
      <c r="A9" s="3">
        <v>3</v>
      </c>
      <c r="B9" s="4" t="s">
        <v>296</v>
      </c>
      <c r="C9" s="4" t="s">
        <v>297</v>
      </c>
      <c r="D9" s="4" t="s">
        <v>1114</v>
      </c>
      <c r="E9" s="5">
        <v>53410</v>
      </c>
      <c r="F9" s="6">
        <v>821.25886500000001</v>
      </c>
      <c r="G9" s="7">
        <v>5.4207853E-2</v>
      </c>
      <c r="H9" s="106"/>
    </row>
    <row r="10" spans="1:14" ht="17.100000000000001" customHeight="1" x14ac:dyDescent="0.2">
      <c r="A10" s="3">
        <v>4</v>
      </c>
      <c r="B10" s="4" t="s">
        <v>42</v>
      </c>
      <c r="C10" s="4" t="s">
        <v>43</v>
      </c>
      <c r="D10" s="4" t="s">
        <v>16</v>
      </c>
      <c r="E10" s="5">
        <v>123316</v>
      </c>
      <c r="F10" s="6">
        <v>707.58720800000003</v>
      </c>
      <c r="G10" s="7">
        <v>4.6704863999999999E-2</v>
      </c>
      <c r="H10" s="106"/>
    </row>
    <row r="11" spans="1:14" ht="29.1" customHeight="1" x14ac:dyDescent="0.2">
      <c r="A11" s="3">
        <v>5</v>
      </c>
      <c r="B11" s="4" t="s">
        <v>298</v>
      </c>
      <c r="C11" s="4" t="s">
        <v>299</v>
      </c>
      <c r="D11" s="4" t="s">
        <v>99</v>
      </c>
      <c r="E11" s="5">
        <v>27959</v>
      </c>
      <c r="F11" s="6">
        <v>690.53138200000001</v>
      </c>
      <c r="G11" s="7">
        <v>4.5579080000000001E-2</v>
      </c>
      <c r="H11" s="106"/>
    </row>
    <row r="12" spans="1:14" ht="17.100000000000001" customHeight="1" x14ac:dyDescent="0.2">
      <c r="A12" s="3">
        <v>6</v>
      </c>
      <c r="B12" s="4" t="s">
        <v>264</v>
      </c>
      <c r="C12" s="4" t="s">
        <v>265</v>
      </c>
      <c r="D12" s="4" t="s">
        <v>16</v>
      </c>
      <c r="E12" s="5">
        <v>44398</v>
      </c>
      <c r="F12" s="6">
        <v>664.50486599999999</v>
      </c>
      <c r="G12" s="7">
        <v>4.3861179E-2</v>
      </c>
      <c r="H12" s="106"/>
    </row>
    <row r="13" spans="1:14" ht="17.100000000000001" customHeight="1" x14ac:dyDescent="0.2">
      <c r="A13" s="3">
        <v>7</v>
      </c>
      <c r="B13" s="4" t="s">
        <v>178</v>
      </c>
      <c r="C13" s="4" t="s">
        <v>179</v>
      </c>
      <c r="D13" s="4" t="s">
        <v>16</v>
      </c>
      <c r="E13" s="5">
        <v>66020</v>
      </c>
      <c r="F13" s="6">
        <v>598.14120000000003</v>
      </c>
      <c r="G13" s="7">
        <v>3.9480792000000001E-2</v>
      </c>
      <c r="H13" s="106"/>
      <c r="J13" s="161" t="s">
        <v>1085</v>
      </c>
    </row>
    <row r="14" spans="1:14" ht="17.100000000000001" customHeight="1" x14ac:dyDescent="0.2">
      <c r="A14" s="3">
        <v>8</v>
      </c>
      <c r="B14" s="4" t="s">
        <v>11</v>
      </c>
      <c r="C14" s="4" t="s">
        <v>12</v>
      </c>
      <c r="D14" s="4" t="s">
        <v>13</v>
      </c>
      <c r="E14" s="5">
        <v>23069</v>
      </c>
      <c r="F14" s="6">
        <v>466.70893899999999</v>
      </c>
      <c r="G14" s="7">
        <v>3.08055E-2</v>
      </c>
      <c r="H14" s="106"/>
    </row>
    <row r="15" spans="1:14" ht="29.1" customHeight="1" x14ac:dyDescent="0.2">
      <c r="A15" s="3">
        <v>9</v>
      </c>
      <c r="B15" s="4" t="s">
        <v>189</v>
      </c>
      <c r="C15" s="4" t="s">
        <v>190</v>
      </c>
      <c r="D15" s="4" t="s">
        <v>110</v>
      </c>
      <c r="E15" s="5">
        <v>120569</v>
      </c>
      <c r="F15" s="6">
        <v>436.82148699999999</v>
      </c>
      <c r="G15" s="7">
        <v>2.8832753999999999E-2</v>
      </c>
      <c r="H15" s="106"/>
    </row>
    <row r="16" spans="1:14" ht="29.1" customHeight="1" x14ac:dyDescent="0.2">
      <c r="A16" s="3">
        <v>10</v>
      </c>
      <c r="B16" s="4" t="s">
        <v>196</v>
      </c>
      <c r="C16" s="4" t="s">
        <v>197</v>
      </c>
      <c r="D16" s="4" t="s">
        <v>188</v>
      </c>
      <c r="E16" s="5">
        <v>8388</v>
      </c>
      <c r="F16" s="6">
        <v>381.80079000000001</v>
      </c>
      <c r="G16" s="7">
        <v>2.5201069E-2</v>
      </c>
      <c r="H16" s="106"/>
    </row>
    <row r="17" spans="1:8" ht="17.100000000000001" customHeight="1" x14ac:dyDescent="0.2">
      <c r="A17" s="3">
        <v>11</v>
      </c>
      <c r="B17" s="4" t="s">
        <v>17</v>
      </c>
      <c r="C17" s="4" t="s">
        <v>18</v>
      </c>
      <c r="D17" s="4" t="s">
        <v>19</v>
      </c>
      <c r="E17" s="5">
        <v>45416</v>
      </c>
      <c r="F17" s="6">
        <v>377.86112000000003</v>
      </c>
      <c r="G17" s="7">
        <v>2.4941028000000001E-2</v>
      </c>
      <c r="H17" s="106"/>
    </row>
    <row r="18" spans="1:8" ht="17.100000000000001" customHeight="1" x14ac:dyDescent="0.2">
      <c r="A18" s="3">
        <v>12</v>
      </c>
      <c r="B18" s="4" t="s">
        <v>32</v>
      </c>
      <c r="C18" s="4" t="s">
        <v>33</v>
      </c>
      <c r="D18" s="4" t="s">
        <v>31</v>
      </c>
      <c r="E18" s="5">
        <v>15186</v>
      </c>
      <c r="F18" s="6">
        <v>319.36158</v>
      </c>
      <c r="G18" s="7">
        <v>2.1079718000000001E-2</v>
      </c>
      <c r="H18" s="106"/>
    </row>
    <row r="19" spans="1:8" ht="17.100000000000001" customHeight="1" x14ac:dyDescent="0.2">
      <c r="A19" s="3">
        <v>13</v>
      </c>
      <c r="B19" s="4" t="s">
        <v>300</v>
      </c>
      <c r="C19" s="4" t="s">
        <v>301</v>
      </c>
      <c r="D19" s="4" t="s">
        <v>245</v>
      </c>
      <c r="E19" s="5">
        <v>24719</v>
      </c>
      <c r="F19" s="6">
        <v>312.93018050000001</v>
      </c>
      <c r="G19" s="7">
        <v>2.0655209000000001E-2</v>
      </c>
      <c r="H19" s="106"/>
    </row>
    <row r="20" spans="1:8" ht="29.1" customHeight="1" x14ac:dyDescent="0.2">
      <c r="A20" s="3">
        <v>14</v>
      </c>
      <c r="B20" s="4" t="s">
        <v>302</v>
      </c>
      <c r="C20" s="4" t="s">
        <v>303</v>
      </c>
      <c r="D20" s="4" t="s">
        <v>204</v>
      </c>
      <c r="E20" s="5">
        <v>28492</v>
      </c>
      <c r="F20" s="6">
        <v>289.73514799999998</v>
      </c>
      <c r="G20" s="7">
        <v>1.9124202E-2</v>
      </c>
      <c r="H20" s="106"/>
    </row>
    <row r="21" spans="1:8" ht="17.100000000000001" customHeight="1" x14ac:dyDescent="0.2">
      <c r="A21" s="3">
        <v>15</v>
      </c>
      <c r="B21" s="4" t="s">
        <v>304</v>
      </c>
      <c r="C21" s="4" t="s">
        <v>305</v>
      </c>
      <c r="D21" s="4" t="s">
        <v>240</v>
      </c>
      <c r="E21" s="5">
        <v>55938</v>
      </c>
      <c r="F21" s="6">
        <v>286.93397099999999</v>
      </c>
      <c r="G21" s="7">
        <v>1.8939307999999998E-2</v>
      </c>
      <c r="H21" s="106"/>
    </row>
    <row r="22" spans="1:8" ht="17.100000000000001" customHeight="1" x14ac:dyDescent="0.2">
      <c r="A22" s="3">
        <v>16</v>
      </c>
      <c r="B22" s="4" t="s">
        <v>306</v>
      </c>
      <c r="C22" s="4" t="s">
        <v>307</v>
      </c>
      <c r="D22" s="4" t="s">
        <v>1114</v>
      </c>
      <c r="E22" s="5">
        <v>8814</v>
      </c>
      <c r="F22" s="6">
        <v>281.44424099999998</v>
      </c>
      <c r="G22" s="7">
        <v>1.8576954E-2</v>
      </c>
      <c r="H22" s="106"/>
    </row>
    <row r="23" spans="1:8" ht="17.100000000000001" customHeight="1" x14ac:dyDescent="0.2">
      <c r="A23" s="3">
        <v>17</v>
      </c>
      <c r="B23" s="4" t="s">
        <v>308</v>
      </c>
      <c r="C23" s="4" t="s">
        <v>309</v>
      </c>
      <c r="D23" s="4" t="s">
        <v>310</v>
      </c>
      <c r="E23" s="5">
        <v>9430</v>
      </c>
      <c r="F23" s="6">
        <v>240.53101000000001</v>
      </c>
      <c r="G23" s="7">
        <v>1.5876443E-2</v>
      </c>
      <c r="H23" s="106"/>
    </row>
    <row r="24" spans="1:8" ht="29.1" customHeight="1" x14ac:dyDescent="0.2">
      <c r="A24" s="3">
        <v>18</v>
      </c>
      <c r="B24" s="4" t="s">
        <v>23</v>
      </c>
      <c r="C24" s="4" t="s">
        <v>24</v>
      </c>
      <c r="D24" s="4" t="s">
        <v>25</v>
      </c>
      <c r="E24" s="5">
        <v>3567</v>
      </c>
      <c r="F24" s="6">
        <v>239.5222665</v>
      </c>
      <c r="G24" s="7">
        <v>1.5809859999999998E-2</v>
      </c>
      <c r="H24" s="106"/>
    </row>
    <row r="25" spans="1:8" ht="17.100000000000001" customHeight="1" x14ac:dyDescent="0.2">
      <c r="A25" s="3">
        <v>19</v>
      </c>
      <c r="B25" s="4" t="s">
        <v>194</v>
      </c>
      <c r="C25" s="4" t="s">
        <v>195</v>
      </c>
      <c r="D25" s="4" t="s">
        <v>16</v>
      </c>
      <c r="E25" s="5">
        <v>160000</v>
      </c>
      <c r="F25" s="6">
        <v>236.32</v>
      </c>
      <c r="G25" s="7">
        <v>1.5598492E-2</v>
      </c>
      <c r="H25" s="106"/>
    </row>
    <row r="26" spans="1:8" ht="17.100000000000001" customHeight="1" x14ac:dyDescent="0.2">
      <c r="A26" s="3">
        <v>20</v>
      </c>
      <c r="B26" s="4" t="s">
        <v>311</v>
      </c>
      <c r="C26" s="4" t="s">
        <v>312</v>
      </c>
      <c r="D26" s="4" t="s">
        <v>70</v>
      </c>
      <c r="E26" s="5">
        <v>17387</v>
      </c>
      <c r="F26" s="6">
        <v>234.48108199999999</v>
      </c>
      <c r="G26" s="7">
        <v>1.5477113000000001E-2</v>
      </c>
      <c r="H26" s="106"/>
    </row>
    <row r="27" spans="1:8" ht="17.100000000000001" customHeight="1" x14ac:dyDescent="0.2">
      <c r="A27" s="3">
        <v>21</v>
      </c>
      <c r="B27" s="4" t="s">
        <v>87</v>
      </c>
      <c r="C27" s="4" t="s">
        <v>88</v>
      </c>
      <c r="D27" s="4" t="s">
        <v>89</v>
      </c>
      <c r="E27" s="5">
        <v>8130</v>
      </c>
      <c r="F27" s="6">
        <v>223.94898000000001</v>
      </c>
      <c r="G27" s="7">
        <v>1.4781933000000001E-2</v>
      </c>
      <c r="H27" s="106"/>
    </row>
    <row r="28" spans="1:8" ht="17.100000000000001" customHeight="1" x14ac:dyDescent="0.2">
      <c r="A28" s="3">
        <v>22</v>
      </c>
      <c r="B28" s="4" t="s">
        <v>191</v>
      </c>
      <c r="C28" s="4" t="s">
        <v>192</v>
      </c>
      <c r="D28" s="4" t="s">
        <v>193</v>
      </c>
      <c r="E28" s="5">
        <v>443</v>
      </c>
      <c r="F28" s="6">
        <v>220.47511950000001</v>
      </c>
      <c r="G28" s="7">
        <v>1.4552638E-2</v>
      </c>
      <c r="H28" s="106"/>
    </row>
    <row r="29" spans="1:8" ht="17.100000000000001" customHeight="1" x14ac:dyDescent="0.2">
      <c r="A29" s="3">
        <v>23</v>
      </c>
      <c r="B29" s="4" t="s">
        <v>180</v>
      </c>
      <c r="C29" s="4" t="s">
        <v>181</v>
      </c>
      <c r="D29" s="4" t="s">
        <v>182</v>
      </c>
      <c r="E29" s="5">
        <v>13636</v>
      </c>
      <c r="F29" s="6">
        <v>208.34444400000001</v>
      </c>
      <c r="G29" s="7">
        <v>1.3751943000000001E-2</v>
      </c>
      <c r="H29" s="106"/>
    </row>
    <row r="30" spans="1:8" ht="17.100000000000001" customHeight="1" x14ac:dyDescent="0.2">
      <c r="A30" s="3">
        <v>24</v>
      </c>
      <c r="B30" s="4" t="s">
        <v>279</v>
      </c>
      <c r="C30" s="4" t="s">
        <v>280</v>
      </c>
      <c r="D30" s="4" t="s">
        <v>22</v>
      </c>
      <c r="E30" s="5">
        <v>92048</v>
      </c>
      <c r="F30" s="6">
        <v>196.84464800000001</v>
      </c>
      <c r="G30" s="7">
        <v>1.299289E-2</v>
      </c>
      <c r="H30" s="106"/>
    </row>
    <row r="31" spans="1:8" ht="29.1" customHeight="1" x14ac:dyDescent="0.2">
      <c r="A31" s="3">
        <v>25</v>
      </c>
      <c r="B31" s="4" t="s">
        <v>202</v>
      </c>
      <c r="C31" s="4" t="s">
        <v>203</v>
      </c>
      <c r="D31" s="4" t="s">
        <v>204</v>
      </c>
      <c r="E31" s="5">
        <v>43242</v>
      </c>
      <c r="F31" s="6">
        <v>196.556511</v>
      </c>
      <c r="G31" s="7">
        <v>1.2973871E-2</v>
      </c>
      <c r="H31" s="106"/>
    </row>
    <row r="32" spans="1:8" ht="17.100000000000001" customHeight="1" x14ac:dyDescent="0.2">
      <c r="A32" s="3">
        <v>26</v>
      </c>
      <c r="B32" s="4" t="s">
        <v>313</v>
      </c>
      <c r="C32" s="4" t="s">
        <v>314</v>
      </c>
      <c r="D32" s="4" t="s">
        <v>1114</v>
      </c>
      <c r="E32" s="5">
        <v>18271</v>
      </c>
      <c r="F32" s="6">
        <v>190.22851650000001</v>
      </c>
      <c r="G32" s="7">
        <v>1.2556186E-2</v>
      </c>
      <c r="H32" s="106"/>
    </row>
    <row r="33" spans="1:8" ht="17.100000000000001" customHeight="1" x14ac:dyDescent="0.2">
      <c r="A33" s="3">
        <v>27</v>
      </c>
      <c r="B33" s="4" t="s">
        <v>315</v>
      </c>
      <c r="C33" s="4" t="s">
        <v>316</v>
      </c>
      <c r="D33" s="4" t="s">
        <v>310</v>
      </c>
      <c r="E33" s="5">
        <v>53592</v>
      </c>
      <c r="F33" s="6">
        <v>186.875304</v>
      </c>
      <c r="G33" s="7">
        <v>1.2334855E-2</v>
      </c>
      <c r="H33" s="106"/>
    </row>
    <row r="34" spans="1:8" ht="29.1" customHeight="1" x14ac:dyDescent="0.2">
      <c r="A34" s="3">
        <v>28</v>
      </c>
      <c r="B34" s="4" t="s">
        <v>317</v>
      </c>
      <c r="C34" s="4" t="s">
        <v>318</v>
      </c>
      <c r="D34" s="4" t="s">
        <v>319</v>
      </c>
      <c r="E34" s="5">
        <v>32477</v>
      </c>
      <c r="F34" s="6">
        <v>179.53285600000001</v>
      </c>
      <c r="G34" s="7">
        <v>1.1850210999999999E-2</v>
      </c>
      <c r="H34" s="106"/>
    </row>
    <row r="35" spans="1:8" ht="17.100000000000001" customHeight="1" x14ac:dyDescent="0.2">
      <c r="A35" s="3">
        <v>29</v>
      </c>
      <c r="B35" s="4" t="s">
        <v>320</v>
      </c>
      <c r="C35" s="4" t="s">
        <v>321</v>
      </c>
      <c r="D35" s="4" t="s">
        <v>230</v>
      </c>
      <c r="E35" s="5">
        <v>12015</v>
      </c>
      <c r="F35" s="6">
        <v>173.87507249999999</v>
      </c>
      <c r="G35" s="7">
        <v>1.1476764E-2</v>
      </c>
      <c r="H35" s="106"/>
    </row>
    <row r="36" spans="1:8" ht="17.100000000000001" customHeight="1" x14ac:dyDescent="0.2">
      <c r="A36" s="3">
        <v>30</v>
      </c>
      <c r="B36" s="4" t="s">
        <v>322</v>
      </c>
      <c r="C36" s="4" t="s">
        <v>323</v>
      </c>
      <c r="D36" s="4" t="s">
        <v>324</v>
      </c>
      <c r="E36" s="5">
        <v>10757</v>
      </c>
      <c r="F36" s="6">
        <v>172.39706050000001</v>
      </c>
      <c r="G36" s="7">
        <v>1.1379207000000001E-2</v>
      </c>
      <c r="H36" s="106"/>
    </row>
    <row r="37" spans="1:8" ht="17.100000000000001" customHeight="1" x14ac:dyDescent="0.2">
      <c r="A37" s="3">
        <v>31</v>
      </c>
      <c r="B37" s="4" t="s">
        <v>108</v>
      </c>
      <c r="C37" s="4" t="s">
        <v>109</v>
      </c>
      <c r="D37" s="4" t="s">
        <v>110</v>
      </c>
      <c r="E37" s="5">
        <v>44599</v>
      </c>
      <c r="F37" s="6">
        <v>165.952879</v>
      </c>
      <c r="G37" s="7">
        <v>1.0953853E-2</v>
      </c>
      <c r="H37" s="106"/>
    </row>
    <row r="38" spans="1:8" ht="17.100000000000001" customHeight="1" x14ac:dyDescent="0.2">
      <c r="A38" s="3">
        <v>32</v>
      </c>
      <c r="B38" s="4" t="s">
        <v>235</v>
      </c>
      <c r="C38" s="4" t="s">
        <v>236</v>
      </c>
      <c r="D38" s="4" t="s">
        <v>237</v>
      </c>
      <c r="E38" s="5">
        <v>35316</v>
      </c>
      <c r="F38" s="6">
        <v>162.40062599999999</v>
      </c>
      <c r="G38" s="7">
        <v>1.0719384E-2</v>
      </c>
      <c r="H38" s="106"/>
    </row>
    <row r="39" spans="1:8" ht="17.100000000000001" customHeight="1" x14ac:dyDescent="0.2">
      <c r="A39" s="3">
        <v>33</v>
      </c>
      <c r="B39" s="4" t="s">
        <v>113</v>
      </c>
      <c r="C39" s="4" t="s">
        <v>114</v>
      </c>
      <c r="D39" s="4" t="s">
        <v>115</v>
      </c>
      <c r="E39" s="5">
        <v>38023</v>
      </c>
      <c r="F39" s="6">
        <v>154.24029949999999</v>
      </c>
      <c r="G39" s="7">
        <v>1.0180755E-2</v>
      </c>
      <c r="H39" s="106"/>
    </row>
    <row r="40" spans="1:8" ht="29.1" customHeight="1" x14ac:dyDescent="0.2">
      <c r="A40" s="3">
        <v>34</v>
      </c>
      <c r="B40" s="4" t="s">
        <v>224</v>
      </c>
      <c r="C40" s="4" t="s">
        <v>225</v>
      </c>
      <c r="D40" s="4" t="s">
        <v>209</v>
      </c>
      <c r="E40" s="5">
        <v>16000</v>
      </c>
      <c r="F40" s="6">
        <v>153.976</v>
      </c>
      <c r="G40" s="7">
        <v>1.016331E-2</v>
      </c>
      <c r="H40" s="106"/>
    </row>
    <row r="41" spans="1:8" ht="17.100000000000001" customHeight="1" x14ac:dyDescent="0.2">
      <c r="A41" s="3">
        <v>35</v>
      </c>
      <c r="B41" s="4" t="s">
        <v>325</v>
      </c>
      <c r="C41" s="4" t="s">
        <v>326</v>
      </c>
      <c r="D41" s="4" t="s">
        <v>1114</v>
      </c>
      <c r="E41" s="5">
        <v>39000</v>
      </c>
      <c r="F41" s="6">
        <v>150.75450000000001</v>
      </c>
      <c r="G41" s="7">
        <v>9.9506720000000007E-3</v>
      </c>
      <c r="H41" s="106"/>
    </row>
    <row r="42" spans="1:8" ht="17.100000000000001" customHeight="1" x14ac:dyDescent="0.2">
      <c r="A42" s="3">
        <v>36</v>
      </c>
      <c r="B42" s="4" t="s">
        <v>39</v>
      </c>
      <c r="C42" s="4" t="s">
        <v>40</v>
      </c>
      <c r="D42" s="4" t="s">
        <v>41</v>
      </c>
      <c r="E42" s="5">
        <v>18275</v>
      </c>
      <c r="F42" s="6">
        <v>145.83449999999999</v>
      </c>
      <c r="G42" s="7">
        <v>9.6259239999999992E-3</v>
      </c>
      <c r="H42" s="106"/>
    </row>
    <row r="43" spans="1:8" ht="17.100000000000001" customHeight="1" x14ac:dyDescent="0.2">
      <c r="A43" s="3">
        <v>37</v>
      </c>
      <c r="B43" s="4" t="s">
        <v>327</v>
      </c>
      <c r="C43" s="4" t="s">
        <v>328</v>
      </c>
      <c r="D43" s="4" t="s">
        <v>324</v>
      </c>
      <c r="E43" s="5">
        <v>25439</v>
      </c>
      <c r="F43" s="6">
        <v>131.3542765</v>
      </c>
      <c r="G43" s="7">
        <v>8.6701450000000006E-3</v>
      </c>
      <c r="H43" s="106"/>
    </row>
    <row r="44" spans="1:8" ht="29.1" customHeight="1" x14ac:dyDescent="0.2">
      <c r="A44" s="3">
        <v>38</v>
      </c>
      <c r="B44" s="4" t="s">
        <v>329</v>
      </c>
      <c r="C44" s="4" t="s">
        <v>330</v>
      </c>
      <c r="D44" s="4" t="s">
        <v>188</v>
      </c>
      <c r="E44" s="5">
        <v>34955</v>
      </c>
      <c r="F44" s="6">
        <v>131.15116</v>
      </c>
      <c r="G44" s="7">
        <v>8.6567380000000006E-3</v>
      </c>
      <c r="H44" s="106"/>
    </row>
    <row r="45" spans="1:8" ht="17.100000000000001" customHeight="1" x14ac:dyDescent="0.2">
      <c r="A45" s="3">
        <v>39</v>
      </c>
      <c r="B45" s="4" t="s">
        <v>228</v>
      </c>
      <c r="C45" s="4" t="s">
        <v>229</v>
      </c>
      <c r="D45" s="4" t="s">
        <v>230</v>
      </c>
      <c r="E45" s="5">
        <v>20885</v>
      </c>
      <c r="F45" s="6">
        <v>127.3880575</v>
      </c>
      <c r="G45" s="7">
        <v>8.4083509999999997E-3</v>
      </c>
      <c r="H45" s="106"/>
    </row>
    <row r="46" spans="1:8" ht="17.100000000000001" customHeight="1" x14ac:dyDescent="0.2">
      <c r="A46" s="3">
        <v>40</v>
      </c>
      <c r="B46" s="4" t="s">
        <v>275</v>
      </c>
      <c r="C46" s="4" t="s">
        <v>276</v>
      </c>
      <c r="D46" s="4" t="s">
        <v>99</v>
      </c>
      <c r="E46" s="5">
        <v>6848</v>
      </c>
      <c r="F46" s="6">
        <v>124.934912</v>
      </c>
      <c r="G46" s="7">
        <v>8.2464300000000008E-3</v>
      </c>
      <c r="H46" s="106"/>
    </row>
    <row r="47" spans="1:8" ht="17.100000000000001" customHeight="1" x14ac:dyDescent="0.2">
      <c r="A47" s="3">
        <v>41</v>
      </c>
      <c r="B47" s="4" t="s">
        <v>331</v>
      </c>
      <c r="C47" s="4" t="s">
        <v>332</v>
      </c>
      <c r="D47" s="4" t="s">
        <v>1114</v>
      </c>
      <c r="E47" s="5">
        <v>11437</v>
      </c>
      <c r="F47" s="6">
        <v>121.621058</v>
      </c>
      <c r="G47" s="7">
        <v>8.0276960000000008E-3</v>
      </c>
      <c r="H47" s="106"/>
    </row>
    <row r="48" spans="1:8" ht="17.100000000000001" customHeight="1" x14ac:dyDescent="0.2">
      <c r="A48" s="3">
        <v>42</v>
      </c>
      <c r="B48" s="4" t="s">
        <v>104</v>
      </c>
      <c r="C48" s="4" t="s">
        <v>105</v>
      </c>
      <c r="D48" s="4" t="s">
        <v>22</v>
      </c>
      <c r="E48" s="5">
        <v>37123</v>
      </c>
      <c r="F48" s="6">
        <v>112.7239895</v>
      </c>
      <c r="G48" s="7">
        <v>7.4404379999999997E-3</v>
      </c>
      <c r="H48" s="106"/>
    </row>
    <row r="49" spans="1:8" ht="53.1" customHeight="1" x14ac:dyDescent="0.2">
      <c r="A49" s="3">
        <v>43</v>
      </c>
      <c r="B49" s="4" t="s">
        <v>333</v>
      </c>
      <c r="C49" s="4" t="s">
        <v>334</v>
      </c>
      <c r="D49" s="4" t="s">
        <v>48</v>
      </c>
      <c r="E49" s="5">
        <v>36162</v>
      </c>
      <c r="F49" s="6">
        <v>111.577851</v>
      </c>
      <c r="G49" s="7">
        <v>7.3647859999999999E-3</v>
      </c>
      <c r="H49" s="106"/>
    </row>
    <row r="50" spans="1:8" ht="17.100000000000001" customHeight="1" x14ac:dyDescent="0.2">
      <c r="A50" s="3">
        <v>44</v>
      </c>
      <c r="B50" s="4" t="s">
        <v>335</v>
      </c>
      <c r="C50" s="4" t="s">
        <v>336</v>
      </c>
      <c r="D50" s="4" t="s">
        <v>16</v>
      </c>
      <c r="E50" s="5">
        <v>4709</v>
      </c>
      <c r="F50" s="6">
        <v>89.562825500000002</v>
      </c>
      <c r="G50" s="7">
        <v>5.9116660000000003E-3</v>
      </c>
      <c r="H50" s="106"/>
    </row>
    <row r="51" spans="1:8" ht="17.100000000000001" customHeight="1" x14ac:dyDescent="0.2">
      <c r="A51" s="3">
        <v>45</v>
      </c>
      <c r="B51" s="4" t="s">
        <v>337</v>
      </c>
      <c r="C51" s="4" t="s">
        <v>338</v>
      </c>
      <c r="D51" s="4" t="s">
        <v>96</v>
      </c>
      <c r="E51" s="5">
        <v>111123</v>
      </c>
      <c r="F51" s="6">
        <v>82.786635000000004</v>
      </c>
      <c r="G51" s="7">
        <v>5.464399E-3</v>
      </c>
      <c r="H51" s="106"/>
    </row>
    <row r="52" spans="1:8" ht="17.100000000000001" customHeight="1" x14ac:dyDescent="0.2">
      <c r="A52" s="3">
        <v>46</v>
      </c>
      <c r="B52" s="4" t="s">
        <v>339</v>
      </c>
      <c r="C52" s="4" t="s">
        <v>340</v>
      </c>
      <c r="D52" s="4" t="s">
        <v>16</v>
      </c>
      <c r="E52" s="5">
        <v>7154</v>
      </c>
      <c r="F52" s="6">
        <v>81.745181000000002</v>
      </c>
      <c r="G52" s="7">
        <v>5.3956569999999999E-3</v>
      </c>
      <c r="H52" s="106"/>
    </row>
    <row r="53" spans="1:8" ht="17.100000000000001" customHeight="1" x14ac:dyDescent="0.2">
      <c r="A53" s="3">
        <v>47</v>
      </c>
      <c r="B53" s="4" t="s">
        <v>341</v>
      </c>
      <c r="C53" s="4" t="s">
        <v>342</v>
      </c>
      <c r="D53" s="4" t="s">
        <v>237</v>
      </c>
      <c r="E53" s="5">
        <v>77730</v>
      </c>
      <c r="F53" s="6">
        <v>78.934815</v>
      </c>
      <c r="G53" s="7">
        <v>5.2101559999999996E-3</v>
      </c>
      <c r="H53" s="106"/>
    </row>
    <row r="54" spans="1:8" ht="29.1" customHeight="1" x14ac:dyDescent="0.2">
      <c r="A54" s="3">
        <v>48</v>
      </c>
      <c r="B54" s="4" t="s">
        <v>252</v>
      </c>
      <c r="C54" s="4" t="s">
        <v>253</v>
      </c>
      <c r="D54" s="4" t="s">
        <v>204</v>
      </c>
      <c r="E54" s="5">
        <v>4108</v>
      </c>
      <c r="F54" s="6">
        <v>73.301097999999996</v>
      </c>
      <c r="G54" s="7">
        <v>4.8382980000000004E-3</v>
      </c>
      <c r="H54" s="106"/>
    </row>
    <row r="55" spans="1:8" ht="17.100000000000001" customHeight="1" x14ac:dyDescent="0.2">
      <c r="A55" s="3">
        <v>49</v>
      </c>
      <c r="B55" s="4" t="s">
        <v>243</v>
      </c>
      <c r="C55" s="4" t="s">
        <v>244</v>
      </c>
      <c r="D55" s="4" t="s">
        <v>245</v>
      </c>
      <c r="E55" s="5">
        <v>10058</v>
      </c>
      <c r="F55" s="6">
        <v>71.215669000000005</v>
      </c>
      <c r="G55" s="7">
        <v>4.700648E-3</v>
      </c>
      <c r="H55" s="106"/>
    </row>
    <row r="56" spans="1:8" ht="17.100000000000001" customHeight="1" x14ac:dyDescent="0.2">
      <c r="A56" s="3">
        <v>50</v>
      </c>
      <c r="B56" s="4" t="s">
        <v>343</v>
      </c>
      <c r="C56" s="102" t="s">
        <v>1013</v>
      </c>
      <c r="D56" s="4" t="s">
        <v>19</v>
      </c>
      <c r="E56" s="5">
        <v>3244</v>
      </c>
      <c r="F56" s="6">
        <v>14.270356</v>
      </c>
      <c r="G56" s="7">
        <v>9.4192600000000005E-4</v>
      </c>
      <c r="H56" s="106"/>
    </row>
    <row r="57" spans="1:8" ht="14.1" customHeight="1" x14ac:dyDescent="0.2">
      <c r="A57" s="1"/>
      <c r="B57" s="1"/>
      <c r="C57" s="2" t="s">
        <v>130</v>
      </c>
      <c r="D57" s="1"/>
      <c r="E57" s="1" t="s">
        <v>131</v>
      </c>
      <c r="F57" s="9">
        <v>14195.865769500006</v>
      </c>
      <c r="G57" s="10">
        <v>0.93700955899999994</v>
      </c>
      <c r="H57" s="106"/>
    </row>
    <row r="58" spans="1:8" ht="14.1" customHeight="1" x14ac:dyDescent="0.2">
      <c r="A58" s="1"/>
      <c r="B58" s="1"/>
      <c r="C58" s="11"/>
      <c r="D58" s="1"/>
      <c r="E58" s="1"/>
      <c r="F58" s="12"/>
      <c r="G58" s="12"/>
      <c r="H58" s="106"/>
    </row>
    <row r="59" spans="1:8" ht="14.1" customHeight="1" x14ac:dyDescent="0.2">
      <c r="A59" s="1"/>
      <c r="B59" s="1"/>
      <c r="C59" s="2" t="s">
        <v>132</v>
      </c>
      <c r="D59" s="1"/>
      <c r="E59" s="1"/>
      <c r="F59" s="1"/>
      <c r="G59" s="1"/>
      <c r="H59" s="106"/>
    </row>
    <row r="60" spans="1:8" ht="14.1" customHeight="1" x14ac:dyDescent="0.2">
      <c r="A60" s="1"/>
      <c r="B60" s="1"/>
      <c r="C60" s="2" t="s">
        <v>130</v>
      </c>
      <c r="D60" s="1"/>
      <c r="E60" s="1" t="s">
        <v>131</v>
      </c>
      <c r="F60" s="13">
        <v>0</v>
      </c>
      <c r="G60" s="14">
        <v>0</v>
      </c>
      <c r="H60" s="106"/>
    </row>
    <row r="61" spans="1:8" ht="14.1" customHeight="1" x14ac:dyDescent="0.2">
      <c r="A61" s="1"/>
      <c r="B61" s="1"/>
      <c r="C61" s="11"/>
      <c r="D61" s="1"/>
      <c r="E61" s="1"/>
      <c r="F61" s="12"/>
      <c r="G61" s="12"/>
      <c r="H61" s="106"/>
    </row>
    <row r="62" spans="1:8" ht="14.1" customHeight="1" x14ac:dyDescent="0.2">
      <c r="A62" s="1"/>
      <c r="B62" s="1"/>
      <c r="C62" s="2" t="s">
        <v>133</v>
      </c>
      <c r="D62" s="1"/>
      <c r="E62" s="1"/>
      <c r="F62" s="1"/>
      <c r="G62" s="1"/>
      <c r="H62" s="106"/>
    </row>
    <row r="63" spans="1:8" ht="14.1" customHeight="1" x14ac:dyDescent="0.2">
      <c r="A63" s="1"/>
      <c r="B63" s="1"/>
      <c r="C63" s="2" t="s">
        <v>130</v>
      </c>
      <c r="D63" s="1"/>
      <c r="E63" s="1" t="s">
        <v>131</v>
      </c>
      <c r="F63" s="13">
        <v>0</v>
      </c>
      <c r="G63" s="14">
        <v>0</v>
      </c>
      <c r="H63" s="106"/>
    </row>
    <row r="64" spans="1:8" ht="14.1" customHeight="1" x14ac:dyDescent="0.2">
      <c r="A64" s="1"/>
      <c r="B64" s="1"/>
      <c r="C64" s="11"/>
      <c r="D64" s="1"/>
      <c r="E64" s="1"/>
      <c r="F64" s="12"/>
      <c r="G64" s="12"/>
      <c r="H64" s="106"/>
    </row>
    <row r="65" spans="1:8" ht="14.1" customHeight="1" x14ac:dyDescent="0.2">
      <c r="A65" s="1"/>
      <c r="B65" s="1"/>
      <c r="C65" s="2" t="s">
        <v>134</v>
      </c>
      <c r="D65" s="1"/>
      <c r="E65" s="1"/>
      <c r="F65" s="1"/>
      <c r="G65" s="1"/>
      <c r="H65" s="106"/>
    </row>
    <row r="66" spans="1:8" ht="14.1" customHeight="1" x14ac:dyDescent="0.2">
      <c r="A66" s="1"/>
      <c r="B66" s="1"/>
      <c r="C66" s="2" t="s">
        <v>130</v>
      </c>
      <c r="D66" s="1"/>
      <c r="E66" s="1" t="s">
        <v>131</v>
      </c>
      <c r="F66" s="9">
        <v>0</v>
      </c>
      <c r="G66" s="10">
        <v>0</v>
      </c>
      <c r="H66" s="106"/>
    </row>
    <row r="67" spans="1:8" ht="14.1" customHeight="1" x14ac:dyDescent="0.2">
      <c r="A67" s="1"/>
      <c r="B67" s="1"/>
      <c r="C67" s="11"/>
      <c r="D67" s="1"/>
      <c r="E67" s="1"/>
      <c r="F67" s="12"/>
      <c r="G67" s="12"/>
      <c r="H67" s="106"/>
    </row>
    <row r="68" spans="1:8" ht="14.1" customHeight="1" x14ac:dyDescent="0.2">
      <c r="A68" s="1"/>
      <c r="B68" s="1"/>
      <c r="C68" s="2" t="s">
        <v>135</v>
      </c>
      <c r="D68" s="1"/>
      <c r="E68" s="1"/>
      <c r="F68" s="12"/>
      <c r="G68" s="12"/>
      <c r="H68" s="106"/>
    </row>
    <row r="69" spans="1:8" ht="14.1" customHeight="1" x14ac:dyDescent="0.2">
      <c r="A69" s="1"/>
      <c r="B69" s="1"/>
      <c r="C69" s="2" t="s">
        <v>130</v>
      </c>
      <c r="D69" s="1"/>
      <c r="E69" s="1" t="s">
        <v>131</v>
      </c>
      <c r="F69" s="13">
        <v>0</v>
      </c>
      <c r="G69" s="14">
        <v>0</v>
      </c>
      <c r="H69" s="106"/>
    </row>
    <row r="70" spans="1:8" ht="14.1" customHeight="1" x14ac:dyDescent="0.2">
      <c r="A70" s="1"/>
      <c r="B70" s="1"/>
      <c r="C70" s="11"/>
      <c r="D70" s="1"/>
      <c r="E70" s="1"/>
      <c r="F70" s="12"/>
      <c r="G70" s="12"/>
      <c r="H70" s="106"/>
    </row>
    <row r="71" spans="1:8" ht="14.1" customHeight="1" x14ac:dyDescent="0.2">
      <c r="A71" s="1"/>
      <c r="B71" s="1"/>
      <c r="C71" s="2" t="s">
        <v>136</v>
      </c>
      <c r="D71" s="1"/>
      <c r="E71" s="1"/>
      <c r="F71" s="12"/>
      <c r="G71" s="12"/>
      <c r="H71" s="106"/>
    </row>
    <row r="72" spans="1:8" ht="14.1" customHeight="1" x14ac:dyDescent="0.2">
      <c r="A72" s="1"/>
      <c r="B72" s="1"/>
      <c r="C72" s="2" t="s">
        <v>130</v>
      </c>
      <c r="D72" s="1"/>
      <c r="E72" s="1" t="s">
        <v>131</v>
      </c>
      <c r="F72" s="13">
        <v>0</v>
      </c>
      <c r="G72" s="14">
        <v>0</v>
      </c>
      <c r="H72" s="106"/>
    </row>
    <row r="73" spans="1:8" ht="14.1" customHeight="1" x14ac:dyDescent="0.2">
      <c r="A73" s="1"/>
      <c r="B73" s="1"/>
      <c r="C73" s="11"/>
      <c r="D73" s="1"/>
      <c r="E73" s="1"/>
      <c r="F73" s="12"/>
      <c r="G73" s="12"/>
      <c r="H73" s="106"/>
    </row>
    <row r="74" spans="1:8" ht="18" customHeight="1" x14ac:dyDescent="0.2">
      <c r="A74" s="1"/>
      <c r="B74" s="1"/>
      <c r="C74" s="2" t="s">
        <v>137</v>
      </c>
      <c r="D74" s="1"/>
      <c r="E74" s="1"/>
      <c r="F74" s="9">
        <v>14195.8657695</v>
      </c>
      <c r="G74" s="10">
        <v>0.93700955900000005</v>
      </c>
      <c r="H74" s="106"/>
    </row>
    <row r="75" spans="1:8" ht="14.1" customHeight="1" x14ac:dyDescent="0.2">
      <c r="A75" s="1"/>
      <c r="B75" s="1"/>
      <c r="C75" s="11"/>
      <c r="D75" s="1"/>
      <c r="E75" s="1"/>
      <c r="F75" s="12"/>
      <c r="G75" s="12"/>
      <c r="H75" s="106"/>
    </row>
    <row r="76" spans="1:8" ht="14.1" customHeight="1" x14ac:dyDescent="0.2">
      <c r="A76" s="1"/>
      <c r="B76" s="1"/>
      <c r="C76" s="2" t="s">
        <v>138</v>
      </c>
      <c r="D76" s="1"/>
      <c r="E76" s="1"/>
      <c r="F76" s="12"/>
      <c r="G76" s="12"/>
      <c r="H76" s="106"/>
    </row>
    <row r="77" spans="1:8" ht="24" customHeight="1" x14ac:dyDescent="0.2">
      <c r="A77" s="1"/>
      <c r="B77" s="1"/>
      <c r="C77" s="2" t="s">
        <v>10</v>
      </c>
      <c r="D77" s="1"/>
      <c r="E77" s="1"/>
      <c r="F77" s="12"/>
      <c r="G77" s="12"/>
      <c r="H77" s="106"/>
    </row>
    <row r="78" spans="1:8" ht="14.1" customHeight="1" x14ac:dyDescent="0.2">
      <c r="A78" s="1"/>
      <c r="B78" s="1"/>
      <c r="C78" s="2" t="s">
        <v>130</v>
      </c>
      <c r="D78" s="1"/>
      <c r="E78" s="1" t="s">
        <v>131</v>
      </c>
      <c r="F78" s="13">
        <v>0</v>
      </c>
      <c r="G78" s="14">
        <v>0</v>
      </c>
      <c r="H78" s="106"/>
    </row>
    <row r="79" spans="1:8" ht="14.1" customHeight="1" x14ac:dyDescent="0.2">
      <c r="A79" s="1"/>
      <c r="B79" s="1"/>
      <c r="C79" s="11"/>
      <c r="D79" s="1"/>
      <c r="E79" s="1"/>
      <c r="F79" s="12"/>
      <c r="G79" s="12"/>
      <c r="H79" s="106"/>
    </row>
    <row r="80" spans="1:8" ht="14.1" customHeight="1" x14ac:dyDescent="0.2">
      <c r="A80" s="1"/>
      <c r="B80" s="1"/>
      <c r="C80" s="2" t="s">
        <v>139</v>
      </c>
      <c r="D80" s="1"/>
      <c r="E80" s="1"/>
      <c r="F80" s="1"/>
      <c r="G80" s="1"/>
      <c r="H80" s="106"/>
    </row>
    <row r="81" spans="1:8" ht="14.1" customHeight="1" x14ac:dyDescent="0.2">
      <c r="A81" s="1"/>
      <c r="B81" s="1"/>
      <c r="C81" s="2" t="s">
        <v>130</v>
      </c>
      <c r="D81" s="1"/>
      <c r="E81" s="1" t="s">
        <v>131</v>
      </c>
      <c r="F81" s="13">
        <v>0</v>
      </c>
      <c r="G81" s="14">
        <v>0</v>
      </c>
      <c r="H81" s="106"/>
    </row>
    <row r="82" spans="1:8" ht="14.1" customHeight="1" x14ac:dyDescent="0.2">
      <c r="A82" s="1"/>
      <c r="B82" s="1"/>
      <c r="C82" s="11"/>
      <c r="D82" s="1"/>
      <c r="E82" s="1"/>
      <c r="F82" s="12"/>
      <c r="G82" s="12"/>
      <c r="H82" s="106"/>
    </row>
    <row r="83" spans="1:8" ht="14.1" customHeight="1" x14ac:dyDescent="0.2">
      <c r="A83" s="1"/>
      <c r="B83" s="1"/>
      <c r="C83" s="2" t="s">
        <v>140</v>
      </c>
      <c r="D83" s="1"/>
      <c r="E83" s="1"/>
      <c r="F83" s="1"/>
      <c r="G83" s="1"/>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141</v>
      </c>
      <c r="D86" s="1"/>
      <c r="E86" s="1"/>
      <c r="F86" s="12"/>
      <c r="G86" s="12"/>
      <c r="H86" s="106"/>
    </row>
    <row r="87" spans="1:8" ht="14.1" customHeight="1" x14ac:dyDescent="0.2">
      <c r="A87" s="1"/>
      <c r="B87" s="1"/>
      <c r="C87" s="2" t="s">
        <v>130</v>
      </c>
      <c r="D87" s="1"/>
      <c r="E87" s="1" t="s">
        <v>131</v>
      </c>
      <c r="F87" s="13">
        <v>0</v>
      </c>
      <c r="G87" s="14">
        <v>0</v>
      </c>
      <c r="H87" s="106"/>
    </row>
    <row r="88" spans="1:8" ht="14.1" customHeight="1" x14ac:dyDescent="0.2">
      <c r="A88" s="1"/>
      <c r="B88" s="1"/>
      <c r="C88" s="11"/>
      <c r="D88" s="1"/>
      <c r="E88" s="1"/>
      <c r="F88" s="12"/>
      <c r="G88" s="12"/>
      <c r="H88" s="106"/>
    </row>
    <row r="89" spans="1:8" ht="14.1" customHeight="1" x14ac:dyDescent="0.2">
      <c r="A89" s="1"/>
      <c r="B89" s="1"/>
      <c r="C89" s="2" t="s">
        <v>142</v>
      </c>
      <c r="D89" s="1"/>
      <c r="E89" s="1"/>
      <c r="F89" s="9">
        <v>0</v>
      </c>
      <c r="G89" s="10">
        <v>0</v>
      </c>
      <c r="H89" s="106"/>
    </row>
    <row r="90" spans="1:8" ht="14.1" customHeight="1" x14ac:dyDescent="0.2">
      <c r="A90" s="1"/>
      <c r="B90" s="1"/>
      <c r="C90" s="11"/>
      <c r="D90" s="1"/>
      <c r="E90" s="1"/>
      <c r="F90" s="12"/>
      <c r="G90" s="12"/>
      <c r="H90" s="106"/>
    </row>
    <row r="91" spans="1:8" ht="14.1" customHeight="1" x14ac:dyDescent="0.2">
      <c r="A91" s="1"/>
      <c r="B91" s="1"/>
      <c r="C91" s="2" t="s">
        <v>143</v>
      </c>
      <c r="D91" s="1"/>
      <c r="E91" s="1"/>
      <c r="F91" s="12"/>
      <c r="G91" s="12"/>
      <c r="H91" s="106"/>
    </row>
    <row r="92" spans="1:8" ht="14.1" customHeight="1" x14ac:dyDescent="0.2">
      <c r="A92" s="1"/>
      <c r="B92" s="1"/>
      <c r="C92" s="2" t="s">
        <v>144</v>
      </c>
      <c r="D92" s="1"/>
      <c r="E92" s="1"/>
      <c r="F92" s="12"/>
      <c r="G92" s="12"/>
      <c r="H92" s="106"/>
    </row>
    <row r="93" spans="1:8" ht="14.1" customHeight="1" x14ac:dyDescent="0.2">
      <c r="A93" s="1"/>
      <c r="B93" s="1"/>
      <c r="C93" s="2" t="s">
        <v>130</v>
      </c>
      <c r="D93" s="1"/>
      <c r="E93" s="1" t="s">
        <v>131</v>
      </c>
      <c r="F93" s="13">
        <v>0</v>
      </c>
      <c r="G93" s="14">
        <v>0</v>
      </c>
      <c r="H93" s="106"/>
    </row>
    <row r="94" spans="1:8" ht="14.1" customHeight="1" x14ac:dyDescent="0.2">
      <c r="A94" s="1"/>
      <c r="B94" s="1"/>
      <c r="C94" s="11"/>
      <c r="D94" s="1"/>
      <c r="E94" s="1"/>
      <c r="F94" s="12"/>
      <c r="G94" s="12"/>
      <c r="H94" s="106"/>
    </row>
    <row r="95" spans="1:8" ht="14.1" customHeight="1" x14ac:dyDescent="0.2">
      <c r="A95" s="1"/>
      <c r="B95" s="1"/>
      <c r="C95" s="2" t="s">
        <v>145</v>
      </c>
      <c r="D95" s="1"/>
      <c r="E95" s="1"/>
      <c r="F95" s="12"/>
      <c r="G95" s="12"/>
      <c r="H95" s="106"/>
    </row>
    <row r="96" spans="1:8" ht="14.1" customHeight="1" x14ac:dyDescent="0.2">
      <c r="A96" s="1"/>
      <c r="B96" s="1"/>
      <c r="C96" s="2" t="s">
        <v>130</v>
      </c>
      <c r="D96" s="1"/>
      <c r="E96" s="1" t="s">
        <v>131</v>
      </c>
      <c r="F96" s="13">
        <v>0</v>
      </c>
      <c r="G96" s="14">
        <v>0</v>
      </c>
      <c r="H96" s="106"/>
    </row>
    <row r="97" spans="1:8" ht="14.1" customHeight="1" x14ac:dyDescent="0.2">
      <c r="A97" s="1"/>
      <c r="B97" s="1"/>
      <c r="C97" s="11"/>
      <c r="D97" s="1"/>
      <c r="E97" s="1"/>
      <c r="F97" s="12"/>
      <c r="G97" s="12"/>
      <c r="H97" s="106"/>
    </row>
    <row r="98" spans="1:8" ht="14.1" customHeight="1" x14ac:dyDescent="0.2">
      <c r="A98" s="1"/>
      <c r="B98" s="1"/>
      <c r="C98" s="2" t="s">
        <v>146</v>
      </c>
      <c r="D98" s="1"/>
      <c r="E98" s="1"/>
      <c r="F98" s="12"/>
      <c r="G98" s="12"/>
      <c r="H98" s="106"/>
    </row>
    <row r="99" spans="1:8" ht="14.1" customHeight="1" x14ac:dyDescent="0.2">
      <c r="A99" s="1"/>
      <c r="B99" s="1"/>
      <c r="C99" s="2" t="s">
        <v>130</v>
      </c>
      <c r="D99" s="1"/>
      <c r="E99" s="1" t="s">
        <v>131</v>
      </c>
      <c r="F99" s="13">
        <v>0</v>
      </c>
      <c r="G99" s="14">
        <v>0</v>
      </c>
      <c r="H99" s="106"/>
    </row>
    <row r="100" spans="1:8" ht="14.1" customHeight="1" x14ac:dyDescent="0.2">
      <c r="A100" s="1"/>
      <c r="B100" s="1"/>
      <c r="C100" s="11"/>
      <c r="D100" s="1"/>
      <c r="E100" s="1"/>
      <c r="F100" s="12"/>
      <c r="G100" s="12"/>
      <c r="H100" s="106"/>
    </row>
    <row r="101" spans="1:8" ht="14.1" customHeight="1" x14ac:dyDescent="0.2">
      <c r="A101" s="1"/>
      <c r="B101" s="1"/>
      <c r="C101" s="2" t="s">
        <v>147</v>
      </c>
      <c r="D101" s="1"/>
      <c r="E101" s="1"/>
      <c r="F101" s="12"/>
      <c r="G101" s="12"/>
      <c r="H101" s="106"/>
    </row>
    <row r="102" spans="1:8" ht="17.100000000000001" customHeight="1" x14ac:dyDescent="0.2">
      <c r="A102" s="3">
        <v>1</v>
      </c>
      <c r="B102" s="4"/>
      <c r="C102" s="4" t="s">
        <v>148</v>
      </c>
      <c r="D102" s="4"/>
      <c r="E102" s="8"/>
      <c r="F102" s="6">
        <v>950.09377089999998</v>
      </c>
      <c r="G102" s="7">
        <v>6.2711705000000006E-2</v>
      </c>
      <c r="H102" s="106">
        <v>6.1171451766917002</v>
      </c>
    </row>
    <row r="103" spans="1:8" ht="14.1" customHeight="1" x14ac:dyDescent="0.2">
      <c r="A103" s="1"/>
      <c r="B103" s="1"/>
      <c r="C103" s="2" t="s">
        <v>130</v>
      </c>
      <c r="D103" s="1"/>
      <c r="E103" s="1" t="s">
        <v>131</v>
      </c>
      <c r="F103" s="9">
        <v>950.09377089999998</v>
      </c>
      <c r="G103" s="10">
        <v>6.2711705000000006E-2</v>
      </c>
      <c r="H103" s="106"/>
    </row>
    <row r="104" spans="1:8" ht="14.1" customHeight="1" x14ac:dyDescent="0.2">
      <c r="A104" s="1"/>
      <c r="B104" s="1"/>
      <c r="C104" s="11"/>
      <c r="D104" s="1"/>
      <c r="E104" s="1"/>
      <c r="F104" s="12"/>
      <c r="G104" s="12"/>
      <c r="H104" s="106"/>
    </row>
    <row r="105" spans="1:8" ht="14.1" customHeight="1" x14ac:dyDescent="0.2">
      <c r="A105" s="1"/>
      <c r="B105" s="1"/>
      <c r="C105" s="2" t="s">
        <v>149</v>
      </c>
      <c r="D105" s="1"/>
      <c r="E105" s="1"/>
      <c r="F105" s="9">
        <v>950.09377089999998</v>
      </c>
      <c r="G105" s="10">
        <v>6.2711705000000006E-2</v>
      </c>
      <c r="H105" s="106"/>
    </row>
    <row r="106" spans="1:8" ht="14.1" customHeight="1" x14ac:dyDescent="0.2">
      <c r="A106" s="1"/>
      <c r="B106" s="1"/>
      <c r="C106" s="12"/>
      <c r="D106" s="1"/>
      <c r="E106" s="1"/>
      <c r="F106" s="1"/>
      <c r="G106" s="1"/>
      <c r="H106" s="106"/>
    </row>
    <row r="107" spans="1:8" ht="14.1" customHeight="1" x14ac:dyDescent="0.2">
      <c r="A107" s="1"/>
      <c r="B107" s="1"/>
      <c r="C107" s="2" t="s">
        <v>150</v>
      </c>
      <c r="D107" s="1"/>
      <c r="E107" s="1"/>
      <c r="F107" s="1"/>
      <c r="G107" s="1"/>
      <c r="H107" s="106"/>
    </row>
    <row r="108" spans="1:8" ht="14.1" customHeight="1" x14ac:dyDescent="0.2">
      <c r="A108" s="1"/>
      <c r="B108" s="1"/>
      <c r="C108" s="2" t="s">
        <v>151</v>
      </c>
      <c r="D108" s="1"/>
      <c r="E108" s="1"/>
      <c r="F108" s="1"/>
      <c r="G108" s="1"/>
      <c r="H108" s="106"/>
    </row>
    <row r="109" spans="1:8" ht="14.1" customHeight="1" x14ac:dyDescent="0.2">
      <c r="A109" s="1"/>
      <c r="B109" s="1"/>
      <c r="C109" s="2" t="s">
        <v>130</v>
      </c>
      <c r="D109" s="1"/>
      <c r="E109" s="1" t="s">
        <v>131</v>
      </c>
      <c r="F109" s="13">
        <v>0</v>
      </c>
      <c r="G109" s="14">
        <v>0</v>
      </c>
      <c r="H109" s="106"/>
    </row>
    <row r="110" spans="1:8" ht="14.1" customHeight="1" x14ac:dyDescent="0.2">
      <c r="A110" s="1"/>
      <c r="B110" s="1"/>
      <c r="C110" s="11"/>
      <c r="D110" s="1"/>
      <c r="E110" s="1"/>
      <c r="F110" s="12"/>
      <c r="G110" s="12"/>
      <c r="H110" s="106"/>
    </row>
    <row r="111" spans="1:8" ht="14.1" customHeight="1" x14ac:dyDescent="0.2">
      <c r="A111" s="1"/>
      <c r="B111" s="1"/>
      <c r="C111" s="2" t="s">
        <v>152</v>
      </c>
      <c r="D111" s="1"/>
      <c r="E111" s="1"/>
      <c r="F111" s="1"/>
      <c r="G111" s="1"/>
      <c r="H111" s="106"/>
    </row>
    <row r="112" spans="1:8" ht="14.1" customHeight="1" x14ac:dyDescent="0.2">
      <c r="A112" s="1"/>
      <c r="B112" s="1"/>
      <c r="C112" s="2" t="s">
        <v>153</v>
      </c>
      <c r="D112" s="1"/>
      <c r="E112" s="1"/>
      <c r="F112" s="1"/>
      <c r="G112" s="1"/>
      <c r="H112" s="106"/>
    </row>
    <row r="113" spans="1:8" ht="14.1" customHeight="1" x14ac:dyDescent="0.2">
      <c r="A113" s="1"/>
      <c r="B113" s="1"/>
      <c r="C113" s="2" t="s">
        <v>130</v>
      </c>
      <c r="D113" s="1"/>
      <c r="E113" s="1" t="s">
        <v>131</v>
      </c>
      <c r="F113" s="13">
        <v>0</v>
      </c>
      <c r="G113" s="14">
        <v>0</v>
      </c>
      <c r="H113" s="106"/>
    </row>
    <row r="114" spans="1:8" ht="14.1" customHeight="1" x14ac:dyDescent="0.2">
      <c r="A114" s="1"/>
      <c r="B114" s="1"/>
      <c r="C114" s="11"/>
      <c r="D114" s="1"/>
      <c r="E114" s="1"/>
      <c r="F114" s="12"/>
      <c r="G114" s="12"/>
      <c r="H114" s="106"/>
    </row>
    <row r="115" spans="1:8" ht="14.1" customHeight="1" x14ac:dyDescent="0.2">
      <c r="A115" s="1"/>
      <c r="B115" s="1"/>
      <c r="C115" s="11"/>
      <c r="D115" s="1"/>
      <c r="E115" s="1"/>
      <c r="F115" s="12"/>
      <c r="G115" s="12"/>
      <c r="H115" s="106"/>
    </row>
    <row r="116" spans="1:8" ht="24" customHeight="1" x14ac:dyDescent="0.2">
      <c r="A116" s="1"/>
      <c r="B116" s="1"/>
      <c r="C116" s="2" t="s">
        <v>154</v>
      </c>
      <c r="D116" s="1"/>
      <c r="E116" s="1"/>
      <c r="F116" s="12"/>
      <c r="G116" s="12"/>
      <c r="H116" s="106"/>
    </row>
    <row r="117" spans="1:8" ht="14.1" customHeight="1" x14ac:dyDescent="0.2">
      <c r="A117" s="1"/>
      <c r="B117" s="1"/>
      <c r="C117" s="2" t="s">
        <v>130</v>
      </c>
      <c r="D117" s="1"/>
      <c r="E117" s="1" t="s">
        <v>131</v>
      </c>
      <c r="F117" s="13">
        <v>0</v>
      </c>
      <c r="G117" s="14">
        <v>0</v>
      </c>
      <c r="H117" s="106"/>
    </row>
    <row r="118" spans="1:8" ht="14.1" customHeight="1" x14ac:dyDescent="0.2">
      <c r="A118" s="1"/>
      <c r="B118" s="1"/>
      <c r="C118" s="11"/>
      <c r="D118" s="1"/>
      <c r="E118" s="1"/>
      <c r="F118" s="12"/>
      <c r="G118" s="12"/>
      <c r="H118" s="106"/>
    </row>
    <row r="119" spans="1:8" ht="14.1" customHeight="1" x14ac:dyDescent="0.2">
      <c r="A119" s="1"/>
      <c r="B119" s="4"/>
      <c r="C119" s="4"/>
      <c r="D119" s="2"/>
      <c r="E119" s="1"/>
      <c r="F119" s="4"/>
      <c r="G119" s="8"/>
      <c r="H119" s="106"/>
    </row>
    <row r="120" spans="1:8" ht="18" customHeight="1" x14ac:dyDescent="0.2">
      <c r="A120" s="8"/>
      <c r="B120" s="4"/>
      <c r="C120" s="4" t="s">
        <v>155</v>
      </c>
      <c r="D120" s="4"/>
      <c r="E120" s="8"/>
      <c r="F120" s="6">
        <v>4.2229381999999998</v>
      </c>
      <c r="G120" s="7">
        <v>2.78738E-4</v>
      </c>
      <c r="H120" s="106"/>
    </row>
    <row r="121" spans="1:8" ht="14.1" customHeight="1" x14ac:dyDescent="0.2">
      <c r="A121" s="11"/>
      <c r="B121" s="11"/>
      <c r="C121" s="2" t="s">
        <v>156</v>
      </c>
      <c r="D121" s="15"/>
      <c r="E121" s="15"/>
      <c r="F121" s="9">
        <v>15150.1824786</v>
      </c>
      <c r="G121" s="10">
        <v>1.0000000019999999</v>
      </c>
      <c r="H121" s="106"/>
    </row>
    <row r="122" spans="1:8" ht="14.1" customHeight="1" x14ac:dyDescent="0.2">
      <c r="A122" s="16"/>
      <c r="B122" s="16"/>
      <c r="C122" s="16"/>
      <c r="D122" s="17"/>
      <c r="E122" s="17"/>
      <c r="F122" s="17"/>
      <c r="G122" s="17"/>
    </row>
    <row r="123" spans="1:8" ht="14.1" customHeight="1" x14ac:dyDescent="0.2">
      <c r="A123" s="18"/>
      <c r="B123" s="18"/>
      <c r="C123" s="18"/>
      <c r="D123" s="20"/>
      <c r="E123" s="20"/>
      <c r="F123" s="20"/>
      <c r="G123" s="20"/>
    </row>
    <row r="124" spans="1:8" ht="14.1" customHeight="1" x14ac:dyDescent="0.2">
      <c r="A124" s="18"/>
      <c r="B124" s="279" t="s">
        <v>158</v>
      </c>
      <c r="C124" s="280"/>
      <c r="D124" s="12" t="s">
        <v>131</v>
      </c>
      <c r="E124" s="21"/>
      <c r="F124" s="20"/>
      <c r="G124" s="20"/>
    </row>
    <row r="125" spans="1:8" ht="29.1" customHeight="1" x14ac:dyDescent="0.2">
      <c r="A125" s="18"/>
      <c r="B125" s="274" t="s">
        <v>159</v>
      </c>
      <c r="C125" s="275"/>
      <c r="D125" s="2" t="s">
        <v>160</v>
      </c>
      <c r="E125" s="21"/>
      <c r="F125" s="20"/>
      <c r="G125" s="20"/>
    </row>
    <row r="126" spans="1:8" ht="17.100000000000001" customHeight="1" x14ac:dyDescent="0.2">
      <c r="A126" s="18"/>
      <c r="B126" s="274" t="s">
        <v>161</v>
      </c>
      <c r="C126" s="275"/>
      <c r="D126" s="2" t="s">
        <v>160</v>
      </c>
      <c r="E126" s="21"/>
      <c r="F126" s="20"/>
      <c r="G126" s="20"/>
    </row>
    <row r="127" spans="1:8" ht="17.100000000000001" customHeight="1" x14ac:dyDescent="0.2">
      <c r="A127" s="18"/>
      <c r="B127" s="274" t="s">
        <v>162</v>
      </c>
      <c r="C127" s="275"/>
      <c r="D127" s="12" t="s">
        <v>131</v>
      </c>
      <c r="E127" s="21"/>
      <c r="F127" s="20"/>
      <c r="G127" s="20"/>
    </row>
    <row r="128" spans="1:8" ht="24" customHeight="1" x14ac:dyDescent="0.2">
      <c r="A128" s="22"/>
      <c r="B128" s="23" t="s">
        <v>131</v>
      </c>
      <c r="C128" s="23" t="s">
        <v>163</v>
      </c>
      <c r="D128" s="23" t="s">
        <v>164</v>
      </c>
      <c r="E128" s="22"/>
      <c r="F128" s="22"/>
      <c r="G128" s="22"/>
    </row>
    <row r="129" spans="1:15" ht="18" customHeight="1" x14ac:dyDescent="0.2">
      <c r="A129" s="22"/>
      <c r="B129" s="23" t="s">
        <v>165</v>
      </c>
      <c r="C129" s="23" t="s">
        <v>166</v>
      </c>
      <c r="D129" s="23" t="s">
        <v>167</v>
      </c>
      <c r="E129" s="22"/>
      <c r="F129" s="22"/>
      <c r="G129" s="22"/>
    </row>
    <row r="130" spans="1:15" ht="17.100000000000001" customHeight="1" x14ac:dyDescent="0.2">
      <c r="A130" s="22"/>
      <c r="B130" s="4" t="s">
        <v>168</v>
      </c>
      <c r="C130" s="24">
        <v>17.665900000000001</v>
      </c>
      <c r="D130" s="24">
        <v>18.313700000000001</v>
      </c>
      <c r="E130" s="22"/>
      <c r="F130" s="19"/>
      <c r="G130" s="25"/>
    </row>
    <row r="131" spans="1:15" ht="17.100000000000001" customHeight="1" x14ac:dyDescent="0.2">
      <c r="A131" s="22"/>
      <c r="B131" s="4" t="s">
        <v>1048</v>
      </c>
      <c r="C131" s="24">
        <v>16.802900000000001</v>
      </c>
      <c r="D131" s="24">
        <v>17.419</v>
      </c>
      <c r="E131" s="22"/>
      <c r="F131" s="19"/>
      <c r="G131" s="25"/>
    </row>
    <row r="132" spans="1:15" ht="17.100000000000001" customHeight="1" x14ac:dyDescent="0.2">
      <c r="A132" s="22"/>
      <c r="B132" s="4" t="s">
        <v>169</v>
      </c>
      <c r="C132" s="24">
        <v>17.237400000000001</v>
      </c>
      <c r="D132" s="24">
        <v>17.860900000000001</v>
      </c>
      <c r="E132" s="22"/>
      <c r="F132" s="19"/>
      <c r="G132" s="25"/>
    </row>
    <row r="133" spans="1:15" ht="17.100000000000001" customHeight="1" x14ac:dyDescent="0.2">
      <c r="A133" s="22"/>
      <c r="B133" s="4" t="s">
        <v>1049</v>
      </c>
      <c r="C133" s="24">
        <v>16.583400000000001</v>
      </c>
      <c r="D133" s="24">
        <v>17.183199999999999</v>
      </c>
      <c r="E133" s="22"/>
      <c r="F133" s="19"/>
      <c r="G133" s="25"/>
    </row>
    <row r="134" spans="1:15" ht="14.1" customHeight="1" x14ac:dyDescent="0.2">
      <c r="A134" s="22"/>
      <c r="B134" s="22"/>
      <c r="C134" s="22"/>
      <c r="D134" s="22"/>
      <c r="E134" s="22"/>
      <c r="F134" s="22"/>
      <c r="G134" s="22"/>
    </row>
    <row r="135" spans="1:15" ht="17.100000000000001" customHeight="1" x14ac:dyDescent="0.2">
      <c r="A135" s="22"/>
      <c r="B135" s="274" t="s">
        <v>1060</v>
      </c>
      <c r="C135" s="275"/>
      <c r="D135" s="2" t="s">
        <v>160</v>
      </c>
      <c r="E135" s="22"/>
      <c r="F135" s="22"/>
      <c r="G135" s="22"/>
    </row>
    <row r="136" spans="1:15" ht="18" customHeight="1" x14ac:dyDescent="0.2">
      <c r="A136" s="22"/>
      <c r="B136" s="26" t="s">
        <v>170</v>
      </c>
      <c r="C136" s="26" t="s">
        <v>170</v>
      </c>
      <c r="D136" s="26"/>
      <c r="E136" s="22"/>
      <c r="F136" s="22"/>
      <c r="G136" s="22"/>
    </row>
    <row r="137" spans="1:15" ht="29.1" customHeight="1" x14ac:dyDescent="0.2">
      <c r="A137" s="22"/>
      <c r="B137" s="274" t="s">
        <v>171</v>
      </c>
      <c r="C137" s="275"/>
      <c r="D137" s="2" t="s">
        <v>160</v>
      </c>
      <c r="E137" s="22"/>
      <c r="F137" s="22"/>
      <c r="G137" s="22"/>
    </row>
    <row r="138" spans="1:15" ht="29.1" customHeight="1" x14ac:dyDescent="0.2">
      <c r="A138" s="22"/>
      <c r="B138" s="274" t="s">
        <v>172</v>
      </c>
      <c r="C138" s="275"/>
      <c r="D138" s="2" t="s">
        <v>160</v>
      </c>
      <c r="E138" s="22"/>
      <c r="F138" s="22"/>
      <c r="G138" s="22"/>
    </row>
    <row r="139" spans="1:15" ht="17.100000000000001" customHeight="1" x14ac:dyDescent="0.2">
      <c r="A139" s="22"/>
      <c r="B139" s="274" t="s">
        <v>173</v>
      </c>
      <c r="C139" s="275"/>
      <c r="D139" s="27">
        <v>0.20530080333148459</v>
      </c>
      <c r="E139" s="22"/>
      <c r="F139" s="19"/>
      <c r="G139" s="25"/>
    </row>
    <row r="140" spans="1:15" ht="17.100000000000001" customHeight="1" x14ac:dyDescent="0.2">
      <c r="A140" s="22"/>
      <c r="B140" s="274" t="s">
        <v>174</v>
      </c>
      <c r="C140" s="275"/>
      <c r="D140" s="2" t="s">
        <v>160</v>
      </c>
      <c r="E140" s="22"/>
      <c r="F140" s="22"/>
      <c r="G140" s="22"/>
      <c r="J140" s="162"/>
      <c r="K140" s="162"/>
      <c r="L140" s="162"/>
      <c r="M140" s="162"/>
      <c r="N140" s="162"/>
      <c r="O140" s="162"/>
    </row>
  </sheetData>
  <mergeCells count="13">
    <mergeCell ref="B124:C124"/>
    <mergeCell ref="A1:H1"/>
    <mergeCell ref="A2:H2"/>
    <mergeCell ref="A3:H3"/>
    <mergeCell ref="J2:N2"/>
    <mergeCell ref="B139:C139"/>
    <mergeCell ref="B140:C140"/>
    <mergeCell ref="B125:C125"/>
    <mergeCell ref="B126:C126"/>
    <mergeCell ref="B127:C127"/>
    <mergeCell ref="B135:C135"/>
    <mergeCell ref="B137:C137"/>
    <mergeCell ref="B138:C138"/>
  </mergeCells>
  <hyperlinks>
    <hyperlink ref="I1" location="Index!B4" display="Index" xr:uid="{06DDCFF8-9B9D-4F51-8FFF-FD20EA7357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4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344</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80632</v>
      </c>
      <c r="F7" s="6">
        <v>732.70298400000001</v>
      </c>
      <c r="G7" s="7">
        <v>8.2231429999999994E-2</v>
      </c>
      <c r="H7" s="106"/>
    </row>
    <row r="8" spans="1:14" ht="17.100000000000001" customHeight="1" x14ac:dyDescent="0.2">
      <c r="A8" s="3">
        <v>2</v>
      </c>
      <c r="B8" s="4" t="s">
        <v>20</v>
      </c>
      <c r="C8" s="4" t="s">
        <v>21</v>
      </c>
      <c r="D8" s="4" t="s">
        <v>22</v>
      </c>
      <c r="E8" s="5">
        <v>26043</v>
      </c>
      <c r="F8" s="6">
        <v>663.99232800000004</v>
      </c>
      <c r="G8" s="7">
        <v>7.4520016999999994E-2</v>
      </c>
      <c r="H8" s="106"/>
    </row>
    <row r="9" spans="1:14" ht="17.100000000000001" customHeight="1" x14ac:dyDescent="0.2">
      <c r="A9" s="3">
        <v>3</v>
      </c>
      <c r="B9" s="4" t="s">
        <v>296</v>
      </c>
      <c r="C9" s="4" t="s">
        <v>297</v>
      </c>
      <c r="D9" s="4" t="s">
        <v>1114</v>
      </c>
      <c r="E9" s="5">
        <v>31453</v>
      </c>
      <c r="F9" s="6">
        <v>483.63705449999998</v>
      </c>
      <c r="G9" s="7">
        <v>5.4278701999999998E-2</v>
      </c>
      <c r="H9" s="106"/>
    </row>
    <row r="10" spans="1:14" ht="17.100000000000001" customHeight="1" x14ac:dyDescent="0.2">
      <c r="A10" s="3">
        <v>4</v>
      </c>
      <c r="B10" s="4" t="s">
        <v>42</v>
      </c>
      <c r="C10" s="4" t="s">
        <v>43</v>
      </c>
      <c r="D10" s="4" t="s">
        <v>16</v>
      </c>
      <c r="E10" s="5">
        <v>73332</v>
      </c>
      <c r="F10" s="6">
        <v>420.77901600000001</v>
      </c>
      <c r="G10" s="7">
        <v>4.7224128999999997E-2</v>
      </c>
      <c r="H10" s="106"/>
    </row>
    <row r="11" spans="1:14" ht="29.1" customHeight="1" x14ac:dyDescent="0.2">
      <c r="A11" s="3">
        <v>5</v>
      </c>
      <c r="B11" s="4" t="s">
        <v>298</v>
      </c>
      <c r="C11" s="4" t="s">
        <v>299</v>
      </c>
      <c r="D11" s="4" t="s">
        <v>99</v>
      </c>
      <c r="E11" s="5">
        <v>16489</v>
      </c>
      <c r="F11" s="6">
        <v>407.24532199999999</v>
      </c>
      <c r="G11" s="7">
        <v>4.5705240000000001E-2</v>
      </c>
      <c r="H11" s="106"/>
    </row>
    <row r="12" spans="1:14" ht="17.100000000000001" customHeight="1" x14ac:dyDescent="0.2">
      <c r="A12" s="3">
        <v>6</v>
      </c>
      <c r="B12" s="4" t="s">
        <v>264</v>
      </c>
      <c r="C12" s="4" t="s">
        <v>265</v>
      </c>
      <c r="D12" s="4" t="s">
        <v>16</v>
      </c>
      <c r="E12" s="5">
        <v>26088</v>
      </c>
      <c r="F12" s="6">
        <v>390.45909599999999</v>
      </c>
      <c r="G12" s="7">
        <v>4.3821316999999999E-2</v>
      </c>
      <c r="H12" s="106"/>
    </row>
    <row r="13" spans="1:14" ht="17.100000000000001" customHeight="1" x14ac:dyDescent="0.2">
      <c r="A13" s="3">
        <v>7</v>
      </c>
      <c r="B13" s="4" t="s">
        <v>178</v>
      </c>
      <c r="C13" s="4" t="s">
        <v>179</v>
      </c>
      <c r="D13" s="4" t="s">
        <v>16</v>
      </c>
      <c r="E13" s="5">
        <v>38735</v>
      </c>
      <c r="F13" s="6">
        <v>350.9391</v>
      </c>
      <c r="G13" s="7">
        <v>3.9385979000000002E-2</v>
      </c>
      <c r="H13" s="106"/>
      <c r="J13" s="161" t="s">
        <v>1085</v>
      </c>
    </row>
    <row r="14" spans="1:14" ht="17.100000000000001" customHeight="1" x14ac:dyDescent="0.2">
      <c r="A14" s="3">
        <v>8</v>
      </c>
      <c r="B14" s="4" t="s">
        <v>11</v>
      </c>
      <c r="C14" s="4" t="s">
        <v>12</v>
      </c>
      <c r="D14" s="4" t="s">
        <v>13</v>
      </c>
      <c r="E14" s="5">
        <v>13567</v>
      </c>
      <c r="F14" s="6">
        <v>274.47397699999999</v>
      </c>
      <c r="G14" s="7">
        <v>3.080428E-2</v>
      </c>
      <c r="H14" s="106"/>
    </row>
    <row r="15" spans="1:14" ht="29.1" customHeight="1" x14ac:dyDescent="0.2">
      <c r="A15" s="3">
        <v>9</v>
      </c>
      <c r="B15" s="4" t="s">
        <v>189</v>
      </c>
      <c r="C15" s="4" t="s">
        <v>190</v>
      </c>
      <c r="D15" s="4" t="s">
        <v>110</v>
      </c>
      <c r="E15" s="5">
        <v>70938</v>
      </c>
      <c r="F15" s="6">
        <v>257.008374</v>
      </c>
      <c r="G15" s="7">
        <v>2.8844110999999999E-2</v>
      </c>
      <c r="H15" s="106"/>
    </row>
    <row r="16" spans="1:14" ht="29.1" customHeight="1" x14ac:dyDescent="0.2">
      <c r="A16" s="3">
        <v>10</v>
      </c>
      <c r="B16" s="4" t="s">
        <v>196</v>
      </c>
      <c r="C16" s="4" t="s">
        <v>197</v>
      </c>
      <c r="D16" s="4" t="s">
        <v>188</v>
      </c>
      <c r="E16" s="5">
        <v>4933</v>
      </c>
      <c r="F16" s="6">
        <v>224.53782749999999</v>
      </c>
      <c r="G16" s="7">
        <v>2.5199934E-2</v>
      </c>
      <c r="H16" s="106"/>
    </row>
    <row r="17" spans="1:8" ht="17.100000000000001" customHeight="1" x14ac:dyDescent="0.2">
      <c r="A17" s="3">
        <v>11</v>
      </c>
      <c r="B17" s="4" t="s">
        <v>17</v>
      </c>
      <c r="C17" s="4" t="s">
        <v>18</v>
      </c>
      <c r="D17" s="4" t="s">
        <v>19</v>
      </c>
      <c r="E17" s="5">
        <v>26720</v>
      </c>
      <c r="F17" s="6">
        <v>222.31039999999999</v>
      </c>
      <c r="G17" s="7">
        <v>2.4949948999999999E-2</v>
      </c>
      <c r="H17" s="106"/>
    </row>
    <row r="18" spans="1:8" ht="17.100000000000001" customHeight="1" x14ac:dyDescent="0.2">
      <c r="A18" s="3">
        <v>12</v>
      </c>
      <c r="B18" s="4" t="s">
        <v>32</v>
      </c>
      <c r="C18" s="4" t="s">
        <v>33</v>
      </c>
      <c r="D18" s="4" t="s">
        <v>31</v>
      </c>
      <c r="E18" s="5">
        <v>8928</v>
      </c>
      <c r="F18" s="6">
        <v>187.75584000000001</v>
      </c>
      <c r="G18" s="7">
        <v>2.1071883E-2</v>
      </c>
      <c r="H18" s="106"/>
    </row>
    <row r="19" spans="1:8" ht="17.100000000000001" customHeight="1" x14ac:dyDescent="0.2">
      <c r="A19" s="3">
        <v>13</v>
      </c>
      <c r="B19" s="4" t="s">
        <v>300</v>
      </c>
      <c r="C19" s="4" t="s">
        <v>301</v>
      </c>
      <c r="D19" s="4" t="s">
        <v>245</v>
      </c>
      <c r="E19" s="5">
        <v>14560</v>
      </c>
      <c r="F19" s="6">
        <v>184.32231999999999</v>
      </c>
      <c r="G19" s="7">
        <v>2.0686538000000001E-2</v>
      </c>
      <c r="H19" s="106"/>
    </row>
    <row r="20" spans="1:8" ht="29.1" customHeight="1" x14ac:dyDescent="0.2">
      <c r="A20" s="3">
        <v>14</v>
      </c>
      <c r="B20" s="4" t="s">
        <v>302</v>
      </c>
      <c r="C20" s="4" t="s">
        <v>303</v>
      </c>
      <c r="D20" s="4" t="s">
        <v>204</v>
      </c>
      <c r="E20" s="5">
        <v>16801</v>
      </c>
      <c r="F20" s="6">
        <v>170.849369</v>
      </c>
      <c r="G20" s="7">
        <v>1.9174465000000002E-2</v>
      </c>
      <c r="H20" s="106"/>
    </row>
    <row r="21" spans="1:8" ht="17.100000000000001" customHeight="1" x14ac:dyDescent="0.2">
      <c r="A21" s="3">
        <v>15</v>
      </c>
      <c r="B21" s="4" t="s">
        <v>304</v>
      </c>
      <c r="C21" s="4" t="s">
        <v>305</v>
      </c>
      <c r="D21" s="4" t="s">
        <v>240</v>
      </c>
      <c r="E21" s="5">
        <v>32901</v>
      </c>
      <c r="F21" s="6">
        <v>168.7656795</v>
      </c>
      <c r="G21" s="7">
        <v>1.8940611999999999E-2</v>
      </c>
      <c r="H21" s="106"/>
    </row>
    <row r="22" spans="1:8" ht="17.100000000000001" customHeight="1" x14ac:dyDescent="0.2">
      <c r="A22" s="3">
        <v>16</v>
      </c>
      <c r="B22" s="4" t="s">
        <v>306</v>
      </c>
      <c r="C22" s="4" t="s">
        <v>307</v>
      </c>
      <c r="D22" s="4" t="s">
        <v>1114</v>
      </c>
      <c r="E22" s="5">
        <v>5191</v>
      </c>
      <c r="F22" s="6">
        <v>165.7564165</v>
      </c>
      <c r="G22" s="7">
        <v>1.8602882000000001E-2</v>
      </c>
      <c r="H22" s="106"/>
    </row>
    <row r="23" spans="1:8" ht="17.100000000000001" customHeight="1" x14ac:dyDescent="0.2">
      <c r="A23" s="3">
        <v>17</v>
      </c>
      <c r="B23" s="4" t="s">
        <v>194</v>
      </c>
      <c r="C23" s="4" t="s">
        <v>195</v>
      </c>
      <c r="D23" s="4" t="s">
        <v>16</v>
      </c>
      <c r="E23" s="5">
        <v>96000</v>
      </c>
      <c r="F23" s="6">
        <v>141.792</v>
      </c>
      <c r="G23" s="7">
        <v>1.591335E-2</v>
      </c>
      <c r="H23" s="106"/>
    </row>
    <row r="24" spans="1:8" ht="29.1" customHeight="1" x14ac:dyDescent="0.2">
      <c r="A24" s="3">
        <v>18</v>
      </c>
      <c r="B24" s="4" t="s">
        <v>23</v>
      </c>
      <c r="C24" s="4" t="s">
        <v>24</v>
      </c>
      <c r="D24" s="4" t="s">
        <v>25</v>
      </c>
      <c r="E24" s="5">
        <v>2097</v>
      </c>
      <c r="F24" s="6">
        <v>140.8125015</v>
      </c>
      <c r="G24" s="7">
        <v>1.5803421000000002E-2</v>
      </c>
      <c r="H24" s="106"/>
    </row>
    <row r="25" spans="1:8" ht="17.100000000000001" customHeight="1" x14ac:dyDescent="0.2">
      <c r="A25" s="3">
        <v>19</v>
      </c>
      <c r="B25" s="4" t="s">
        <v>308</v>
      </c>
      <c r="C25" s="4" t="s">
        <v>309</v>
      </c>
      <c r="D25" s="4" t="s">
        <v>310</v>
      </c>
      <c r="E25" s="5">
        <v>5513</v>
      </c>
      <c r="F25" s="6">
        <v>140.620091</v>
      </c>
      <c r="G25" s="7">
        <v>1.5781825999999999E-2</v>
      </c>
      <c r="H25" s="106"/>
    </row>
    <row r="26" spans="1:8" ht="17.100000000000001" customHeight="1" x14ac:dyDescent="0.2">
      <c r="A26" s="3">
        <v>20</v>
      </c>
      <c r="B26" s="4" t="s">
        <v>311</v>
      </c>
      <c r="C26" s="4" t="s">
        <v>312</v>
      </c>
      <c r="D26" s="4" t="s">
        <v>70</v>
      </c>
      <c r="E26" s="5">
        <v>10176</v>
      </c>
      <c r="F26" s="6">
        <v>137.23353599999999</v>
      </c>
      <c r="G26" s="7">
        <v>1.5401751999999999E-2</v>
      </c>
      <c r="H26" s="106"/>
    </row>
    <row r="27" spans="1:8" ht="17.100000000000001" customHeight="1" x14ac:dyDescent="0.2">
      <c r="A27" s="3">
        <v>21</v>
      </c>
      <c r="B27" s="4" t="s">
        <v>87</v>
      </c>
      <c r="C27" s="4" t="s">
        <v>88</v>
      </c>
      <c r="D27" s="4" t="s">
        <v>89</v>
      </c>
      <c r="E27" s="5">
        <v>4780</v>
      </c>
      <c r="F27" s="6">
        <v>131.66988000000001</v>
      </c>
      <c r="G27" s="7">
        <v>1.4777342000000001E-2</v>
      </c>
      <c r="H27" s="106"/>
    </row>
    <row r="28" spans="1:8" ht="17.100000000000001" customHeight="1" x14ac:dyDescent="0.2">
      <c r="A28" s="3">
        <v>22</v>
      </c>
      <c r="B28" s="4" t="s">
        <v>191</v>
      </c>
      <c r="C28" s="4" t="s">
        <v>192</v>
      </c>
      <c r="D28" s="4" t="s">
        <v>193</v>
      </c>
      <c r="E28" s="5">
        <v>260</v>
      </c>
      <c r="F28" s="6">
        <v>129.39849000000001</v>
      </c>
      <c r="G28" s="7">
        <v>1.4522423E-2</v>
      </c>
      <c r="H28" s="106"/>
    </row>
    <row r="29" spans="1:8" ht="17.100000000000001" customHeight="1" x14ac:dyDescent="0.2">
      <c r="A29" s="3">
        <v>23</v>
      </c>
      <c r="B29" s="4" t="s">
        <v>180</v>
      </c>
      <c r="C29" s="4" t="s">
        <v>181</v>
      </c>
      <c r="D29" s="4" t="s">
        <v>182</v>
      </c>
      <c r="E29" s="5">
        <v>8029</v>
      </c>
      <c r="F29" s="6">
        <v>122.67509099999999</v>
      </c>
      <c r="G29" s="7">
        <v>1.3767855000000001E-2</v>
      </c>
      <c r="H29" s="106"/>
    </row>
    <row r="30" spans="1:8" ht="17.100000000000001" customHeight="1" x14ac:dyDescent="0.2">
      <c r="A30" s="3">
        <v>24</v>
      </c>
      <c r="B30" s="4" t="s">
        <v>279</v>
      </c>
      <c r="C30" s="4" t="s">
        <v>280</v>
      </c>
      <c r="D30" s="4" t="s">
        <v>22</v>
      </c>
      <c r="E30" s="5">
        <v>54676</v>
      </c>
      <c r="F30" s="6">
        <v>116.924626</v>
      </c>
      <c r="G30" s="7">
        <v>1.3122478999999999E-2</v>
      </c>
      <c r="H30" s="106"/>
    </row>
    <row r="31" spans="1:8" ht="29.1" customHeight="1" x14ac:dyDescent="0.2">
      <c r="A31" s="3">
        <v>25</v>
      </c>
      <c r="B31" s="4" t="s">
        <v>202</v>
      </c>
      <c r="C31" s="4" t="s">
        <v>203</v>
      </c>
      <c r="D31" s="4" t="s">
        <v>204</v>
      </c>
      <c r="E31" s="5">
        <v>25434</v>
      </c>
      <c r="F31" s="6">
        <v>115.610247</v>
      </c>
      <c r="G31" s="7">
        <v>1.2974965999999999E-2</v>
      </c>
      <c r="H31" s="106"/>
    </row>
    <row r="32" spans="1:8" ht="17.100000000000001" customHeight="1" x14ac:dyDescent="0.2">
      <c r="A32" s="3">
        <v>26</v>
      </c>
      <c r="B32" s="4" t="s">
        <v>313</v>
      </c>
      <c r="C32" s="4" t="s">
        <v>314</v>
      </c>
      <c r="D32" s="4" t="s">
        <v>1114</v>
      </c>
      <c r="E32" s="5">
        <v>10771</v>
      </c>
      <c r="F32" s="6">
        <v>112.14226650000001</v>
      </c>
      <c r="G32" s="7">
        <v>1.2585753E-2</v>
      </c>
      <c r="H32" s="106"/>
    </row>
    <row r="33" spans="1:8" ht="17.100000000000001" customHeight="1" x14ac:dyDescent="0.2">
      <c r="A33" s="3">
        <v>27</v>
      </c>
      <c r="B33" s="4" t="s">
        <v>315</v>
      </c>
      <c r="C33" s="4" t="s">
        <v>316</v>
      </c>
      <c r="D33" s="4" t="s">
        <v>310</v>
      </c>
      <c r="E33" s="5">
        <v>31300</v>
      </c>
      <c r="F33" s="6">
        <v>109.1431</v>
      </c>
      <c r="G33" s="7">
        <v>1.2249156000000001E-2</v>
      </c>
      <c r="H33" s="106"/>
    </row>
    <row r="34" spans="1:8" ht="29.1" customHeight="1" x14ac:dyDescent="0.2">
      <c r="A34" s="3">
        <v>28</v>
      </c>
      <c r="B34" s="4" t="s">
        <v>317</v>
      </c>
      <c r="C34" s="4" t="s">
        <v>318</v>
      </c>
      <c r="D34" s="4" t="s">
        <v>319</v>
      </c>
      <c r="E34" s="5">
        <v>19626</v>
      </c>
      <c r="F34" s="6">
        <v>108.49252799999999</v>
      </c>
      <c r="G34" s="7">
        <v>1.2176141999999999E-2</v>
      </c>
      <c r="H34" s="106"/>
    </row>
    <row r="35" spans="1:8" ht="17.100000000000001" customHeight="1" x14ac:dyDescent="0.2">
      <c r="A35" s="3">
        <v>29</v>
      </c>
      <c r="B35" s="4" t="s">
        <v>320</v>
      </c>
      <c r="C35" s="4" t="s">
        <v>321</v>
      </c>
      <c r="D35" s="4" t="s">
        <v>230</v>
      </c>
      <c r="E35" s="5">
        <v>7066</v>
      </c>
      <c r="F35" s="6">
        <v>102.255619</v>
      </c>
      <c r="G35" s="7">
        <v>1.1476172E-2</v>
      </c>
      <c r="H35" s="106"/>
    </row>
    <row r="36" spans="1:8" ht="17.100000000000001" customHeight="1" x14ac:dyDescent="0.2">
      <c r="A36" s="3">
        <v>30</v>
      </c>
      <c r="B36" s="4" t="s">
        <v>322</v>
      </c>
      <c r="C36" s="4" t="s">
        <v>323</v>
      </c>
      <c r="D36" s="4" t="s">
        <v>324</v>
      </c>
      <c r="E36" s="5">
        <v>6326</v>
      </c>
      <c r="F36" s="6">
        <v>101.383639</v>
      </c>
      <c r="G36" s="7">
        <v>1.1378310000000001E-2</v>
      </c>
      <c r="H36" s="106"/>
    </row>
    <row r="37" spans="1:8" ht="17.100000000000001" customHeight="1" x14ac:dyDescent="0.2">
      <c r="A37" s="3">
        <v>31</v>
      </c>
      <c r="B37" s="4" t="s">
        <v>108</v>
      </c>
      <c r="C37" s="4" t="s">
        <v>109</v>
      </c>
      <c r="D37" s="4" t="s">
        <v>110</v>
      </c>
      <c r="E37" s="5">
        <v>26229</v>
      </c>
      <c r="F37" s="6">
        <v>97.598108999999994</v>
      </c>
      <c r="G37" s="7">
        <v>1.0953459E-2</v>
      </c>
      <c r="H37" s="106"/>
    </row>
    <row r="38" spans="1:8" ht="17.100000000000001" customHeight="1" x14ac:dyDescent="0.2">
      <c r="A38" s="3">
        <v>32</v>
      </c>
      <c r="B38" s="4" t="s">
        <v>235</v>
      </c>
      <c r="C38" s="4" t="s">
        <v>236</v>
      </c>
      <c r="D38" s="4" t="s">
        <v>237</v>
      </c>
      <c r="E38" s="5">
        <v>20478</v>
      </c>
      <c r="F38" s="6">
        <v>94.168082999999996</v>
      </c>
      <c r="G38" s="7">
        <v>1.0568506E-2</v>
      </c>
      <c r="H38" s="106"/>
    </row>
    <row r="39" spans="1:8" ht="17.100000000000001" customHeight="1" x14ac:dyDescent="0.2">
      <c r="A39" s="3">
        <v>33</v>
      </c>
      <c r="B39" s="4" t="s">
        <v>113</v>
      </c>
      <c r="C39" s="4" t="s">
        <v>114</v>
      </c>
      <c r="D39" s="4" t="s">
        <v>115</v>
      </c>
      <c r="E39" s="5">
        <v>22685</v>
      </c>
      <c r="F39" s="6">
        <v>92.021702500000004</v>
      </c>
      <c r="G39" s="7">
        <v>1.0327618E-2</v>
      </c>
      <c r="H39" s="106"/>
    </row>
    <row r="40" spans="1:8" ht="29.1" customHeight="1" x14ac:dyDescent="0.2">
      <c r="A40" s="3">
        <v>34</v>
      </c>
      <c r="B40" s="4" t="s">
        <v>224</v>
      </c>
      <c r="C40" s="4" t="s">
        <v>225</v>
      </c>
      <c r="D40" s="4" t="s">
        <v>209</v>
      </c>
      <c r="E40" s="5">
        <v>9400</v>
      </c>
      <c r="F40" s="6">
        <v>90.460899999999995</v>
      </c>
      <c r="G40" s="7">
        <v>1.0152448E-2</v>
      </c>
      <c r="H40" s="106"/>
    </row>
    <row r="41" spans="1:8" ht="17.100000000000001" customHeight="1" x14ac:dyDescent="0.2">
      <c r="A41" s="3">
        <v>35</v>
      </c>
      <c r="B41" s="4" t="s">
        <v>325</v>
      </c>
      <c r="C41" s="4" t="s">
        <v>326</v>
      </c>
      <c r="D41" s="4" t="s">
        <v>1114</v>
      </c>
      <c r="E41" s="5">
        <v>23000</v>
      </c>
      <c r="F41" s="6">
        <v>88.906499999999994</v>
      </c>
      <c r="G41" s="7">
        <v>9.9779980000000001E-3</v>
      </c>
      <c r="H41" s="106"/>
    </row>
    <row r="42" spans="1:8" ht="17.100000000000001" customHeight="1" x14ac:dyDescent="0.2">
      <c r="A42" s="3">
        <v>36</v>
      </c>
      <c r="B42" s="4" t="s">
        <v>39</v>
      </c>
      <c r="C42" s="4" t="s">
        <v>40</v>
      </c>
      <c r="D42" s="4" t="s">
        <v>41</v>
      </c>
      <c r="E42" s="5">
        <v>10722</v>
      </c>
      <c r="F42" s="6">
        <v>85.56156</v>
      </c>
      <c r="G42" s="7">
        <v>9.6025940000000008E-3</v>
      </c>
      <c r="H42" s="106"/>
    </row>
    <row r="43" spans="1:8" ht="17.100000000000001" customHeight="1" x14ac:dyDescent="0.2">
      <c r="A43" s="3">
        <v>37</v>
      </c>
      <c r="B43" s="4" t="s">
        <v>327</v>
      </c>
      <c r="C43" s="4" t="s">
        <v>328</v>
      </c>
      <c r="D43" s="4" t="s">
        <v>324</v>
      </c>
      <c r="E43" s="5">
        <v>15345</v>
      </c>
      <c r="F43" s="6">
        <v>79.233907500000001</v>
      </c>
      <c r="G43" s="7">
        <v>8.8924399999999997E-3</v>
      </c>
      <c r="H43" s="106"/>
    </row>
    <row r="44" spans="1:8" ht="29.1" customHeight="1" x14ac:dyDescent="0.2">
      <c r="A44" s="3">
        <v>38</v>
      </c>
      <c r="B44" s="4" t="s">
        <v>329</v>
      </c>
      <c r="C44" s="4" t="s">
        <v>330</v>
      </c>
      <c r="D44" s="4" t="s">
        <v>188</v>
      </c>
      <c r="E44" s="5">
        <v>20479</v>
      </c>
      <c r="F44" s="6">
        <v>76.837208000000004</v>
      </c>
      <c r="G44" s="7">
        <v>8.6234580000000005E-3</v>
      </c>
      <c r="H44" s="106"/>
    </row>
    <row r="45" spans="1:8" ht="17.100000000000001" customHeight="1" x14ac:dyDescent="0.2">
      <c r="A45" s="3">
        <v>39</v>
      </c>
      <c r="B45" s="4" t="s">
        <v>228</v>
      </c>
      <c r="C45" s="4" t="s">
        <v>229</v>
      </c>
      <c r="D45" s="4" t="s">
        <v>230</v>
      </c>
      <c r="E45" s="5">
        <v>12280</v>
      </c>
      <c r="F45" s="6">
        <v>74.901859999999999</v>
      </c>
      <c r="G45" s="7">
        <v>8.4062540000000002E-3</v>
      </c>
      <c r="H45" s="106"/>
    </row>
    <row r="46" spans="1:8" ht="17.100000000000001" customHeight="1" x14ac:dyDescent="0.2">
      <c r="A46" s="3">
        <v>40</v>
      </c>
      <c r="B46" s="4" t="s">
        <v>275</v>
      </c>
      <c r="C46" s="4" t="s">
        <v>276</v>
      </c>
      <c r="D46" s="4" t="s">
        <v>99</v>
      </c>
      <c r="E46" s="5">
        <v>4027</v>
      </c>
      <c r="F46" s="6">
        <v>73.468587999999997</v>
      </c>
      <c r="G46" s="7">
        <v>8.2453969999999998E-3</v>
      </c>
      <c r="H46" s="106"/>
    </row>
    <row r="47" spans="1:8" ht="17.100000000000001" customHeight="1" x14ac:dyDescent="0.2">
      <c r="A47" s="3">
        <v>41</v>
      </c>
      <c r="B47" s="4" t="s">
        <v>331</v>
      </c>
      <c r="C47" s="4" t="s">
        <v>332</v>
      </c>
      <c r="D47" s="4" t="s">
        <v>1114</v>
      </c>
      <c r="E47" s="5">
        <v>6698</v>
      </c>
      <c r="F47" s="6">
        <v>71.226532000000006</v>
      </c>
      <c r="G47" s="7">
        <v>7.9937710000000002E-3</v>
      </c>
      <c r="H47" s="106"/>
    </row>
    <row r="48" spans="1:8" ht="17.100000000000001" customHeight="1" x14ac:dyDescent="0.2">
      <c r="A48" s="3">
        <v>42</v>
      </c>
      <c r="B48" s="4" t="s">
        <v>104</v>
      </c>
      <c r="C48" s="4" t="s">
        <v>105</v>
      </c>
      <c r="D48" s="4" t="s">
        <v>22</v>
      </c>
      <c r="E48" s="5">
        <v>21882</v>
      </c>
      <c r="F48" s="6">
        <v>66.444693000000001</v>
      </c>
      <c r="G48" s="7">
        <v>7.457104E-3</v>
      </c>
      <c r="H48" s="106"/>
    </row>
    <row r="49" spans="1:8" ht="53.1" customHeight="1" x14ac:dyDescent="0.2">
      <c r="A49" s="3">
        <v>43</v>
      </c>
      <c r="B49" s="4" t="s">
        <v>333</v>
      </c>
      <c r="C49" s="4" t="s">
        <v>334</v>
      </c>
      <c r="D49" s="4" t="s">
        <v>48</v>
      </c>
      <c r="E49" s="5">
        <v>21287</v>
      </c>
      <c r="F49" s="6">
        <v>65.6810385</v>
      </c>
      <c r="G49" s="7">
        <v>7.3713989999999998E-3</v>
      </c>
      <c r="H49" s="106"/>
    </row>
    <row r="50" spans="1:8" ht="17.100000000000001" customHeight="1" x14ac:dyDescent="0.2">
      <c r="A50" s="3">
        <v>44</v>
      </c>
      <c r="B50" s="4" t="s">
        <v>335</v>
      </c>
      <c r="C50" s="4" t="s">
        <v>336</v>
      </c>
      <c r="D50" s="4" t="s">
        <v>16</v>
      </c>
      <c r="E50" s="5">
        <v>2804</v>
      </c>
      <c r="F50" s="6">
        <v>53.330677999999999</v>
      </c>
      <c r="G50" s="7">
        <v>5.9853149999999997E-3</v>
      </c>
      <c r="H50" s="106"/>
    </row>
    <row r="51" spans="1:8" ht="17.100000000000001" customHeight="1" x14ac:dyDescent="0.2">
      <c r="A51" s="3">
        <v>45</v>
      </c>
      <c r="B51" s="4" t="s">
        <v>339</v>
      </c>
      <c r="C51" s="4" t="s">
        <v>340</v>
      </c>
      <c r="D51" s="4" t="s">
        <v>16</v>
      </c>
      <c r="E51" s="5">
        <v>4209</v>
      </c>
      <c r="F51" s="6">
        <v>48.0941385</v>
      </c>
      <c r="G51" s="7">
        <v>5.3976170000000004E-3</v>
      </c>
      <c r="H51" s="106"/>
    </row>
    <row r="52" spans="1:8" ht="17.100000000000001" customHeight="1" x14ac:dyDescent="0.2">
      <c r="A52" s="3">
        <v>46</v>
      </c>
      <c r="B52" s="4" t="s">
        <v>341</v>
      </c>
      <c r="C52" s="4" t="s">
        <v>342</v>
      </c>
      <c r="D52" s="4" t="s">
        <v>237</v>
      </c>
      <c r="E52" s="5">
        <v>45750</v>
      </c>
      <c r="F52" s="6">
        <v>46.459125</v>
      </c>
      <c r="G52" s="7">
        <v>5.2141189999999997E-3</v>
      </c>
      <c r="H52" s="106"/>
    </row>
    <row r="53" spans="1:8" ht="29.1" customHeight="1" x14ac:dyDescent="0.2">
      <c r="A53" s="3">
        <v>47</v>
      </c>
      <c r="B53" s="4" t="s">
        <v>252</v>
      </c>
      <c r="C53" s="4" t="s">
        <v>253</v>
      </c>
      <c r="D53" s="4" t="s">
        <v>204</v>
      </c>
      <c r="E53" s="5">
        <v>2422</v>
      </c>
      <c r="F53" s="6">
        <v>43.216957000000001</v>
      </c>
      <c r="G53" s="7">
        <v>4.8502490000000001E-3</v>
      </c>
      <c r="H53" s="106"/>
    </row>
    <row r="54" spans="1:8" ht="17.100000000000001" customHeight="1" x14ac:dyDescent="0.2">
      <c r="A54" s="3">
        <v>48</v>
      </c>
      <c r="B54" s="4" t="s">
        <v>243</v>
      </c>
      <c r="C54" s="4" t="s">
        <v>244</v>
      </c>
      <c r="D54" s="4" t="s">
        <v>245</v>
      </c>
      <c r="E54" s="5">
        <v>5927</v>
      </c>
      <c r="F54" s="6">
        <v>41.966123500000002</v>
      </c>
      <c r="G54" s="7">
        <v>4.7098679999999999E-3</v>
      </c>
      <c r="H54" s="106"/>
    </row>
    <row r="55" spans="1:8" ht="17.100000000000001" customHeight="1" x14ac:dyDescent="0.2">
      <c r="A55" s="3">
        <v>49</v>
      </c>
      <c r="B55" s="4" t="s">
        <v>337</v>
      </c>
      <c r="C55" s="4" t="s">
        <v>338</v>
      </c>
      <c r="D55" s="4" t="s">
        <v>96</v>
      </c>
      <c r="E55" s="5">
        <v>55523</v>
      </c>
      <c r="F55" s="6">
        <v>41.364635</v>
      </c>
      <c r="G55" s="7">
        <v>4.642363E-3</v>
      </c>
      <c r="H55" s="106"/>
    </row>
    <row r="56" spans="1:8" ht="17.100000000000001" customHeight="1" x14ac:dyDescent="0.2">
      <c r="A56" s="3">
        <v>50</v>
      </c>
      <c r="B56" s="4" t="s">
        <v>343</v>
      </c>
      <c r="C56" s="102" t="s">
        <v>1013</v>
      </c>
      <c r="D56" s="4" t="s">
        <v>19</v>
      </c>
      <c r="E56" s="5">
        <v>1908</v>
      </c>
      <c r="F56" s="6">
        <v>8.3932920000000006</v>
      </c>
      <c r="G56" s="7">
        <v>9.4198100000000005E-4</v>
      </c>
      <c r="H56" s="106"/>
    </row>
    <row r="57" spans="1:8" ht="14.1" customHeight="1" x14ac:dyDescent="0.2">
      <c r="A57" s="1"/>
      <c r="B57" s="1"/>
      <c r="C57" s="2" t="s">
        <v>130</v>
      </c>
      <c r="D57" s="1"/>
      <c r="E57" s="1" t="s">
        <v>131</v>
      </c>
      <c r="F57" s="9">
        <v>8355.0243494999995</v>
      </c>
      <c r="G57" s="10">
        <v>0.93768637299999968</v>
      </c>
      <c r="H57" s="106"/>
    </row>
    <row r="58" spans="1:8" ht="14.1" customHeight="1" x14ac:dyDescent="0.2">
      <c r="A58" s="1"/>
      <c r="B58" s="1"/>
      <c r="C58" s="11"/>
      <c r="D58" s="1"/>
      <c r="E58" s="1"/>
      <c r="F58" s="12"/>
      <c r="G58" s="12"/>
      <c r="H58" s="106"/>
    </row>
    <row r="59" spans="1:8" ht="14.1" customHeight="1" x14ac:dyDescent="0.2">
      <c r="A59" s="1"/>
      <c r="B59" s="1"/>
      <c r="C59" s="2" t="s">
        <v>132</v>
      </c>
      <c r="D59" s="1"/>
      <c r="E59" s="1"/>
      <c r="F59" s="1"/>
      <c r="G59" s="1"/>
      <c r="H59" s="106"/>
    </row>
    <row r="60" spans="1:8" ht="14.1" customHeight="1" x14ac:dyDescent="0.2">
      <c r="A60" s="1"/>
      <c r="B60" s="1"/>
      <c r="C60" s="2" t="s">
        <v>130</v>
      </c>
      <c r="D60" s="1"/>
      <c r="E60" s="1" t="s">
        <v>131</v>
      </c>
      <c r="F60" s="13">
        <v>0</v>
      </c>
      <c r="G60" s="14">
        <v>0</v>
      </c>
      <c r="H60" s="106"/>
    </row>
    <row r="61" spans="1:8" ht="14.1" customHeight="1" x14ac:dyDescent="0.2">
      <c r="A61" s="1"/>
      <c r="B61" s="1"/>
      <c r="C61" s="11"/>
      <c r="D61" s="1"/>
      <c r="E61" s="1"/>
      <c r="F61" s="12"/>
      <c r="G61" s="12"/>
      <c r="H61" s="106"/>
    </row>
    <row r="62" spans="1:8" ht="14.1" customHeight="1" x14ac:dyDescent="0.2">
      <c r="A62" s="1"/>
      <c r="B62" s="1"/>
      <c r="C62" s="2" t="s">
        <v>133</v>
      </c>
      <c r="D62" s="1"/>
      <c r="E62" s="1"/>
      <c r="F62" s="1"/>
      <c r="G62" s="1"/>
      <c r="H62" s="106"/>
    </row>
    <row r="63" spans="1:8" ht="14.1" customHeight="1" x14ac:dyDescent="0.2">
      <c r="A63" s="1"/>
      <c r="B63" s="1"/>
      <c r="C63" s="2" t="s">
        <v>130</v>
      </c>
      <c r="D63" s="1"/>
      <c r="E63" s="1" t="s">
        <v>131</v>
      </c>
      <c r="F63" s="13">
        <v>0</v>
      </c>
      <c r="G63" s="14">
        <v>0</v>
      </c>
      <c r="H63" s="106"/>
    </row>
    <row r="64" spans="1:8" ht="14.1" customHeight="1" x14ac:dyDescent="0.2">
      <c r="A64" s="1"/>
      <c r="B64" s="1"/>
      <c r="C64" s="11"/>
      <c r="D64" s="1"/>
      <c r="E64" s="1"/>
      <c r="F64" s="12"/>
      <c r="G64" s="12"/>
      <c r="H64" s="106"/>
    </row>
    <row r="65" spans="1:8" ht="14.1" customHeight="1" x14ac:dyDescent="0.2">
      <c r="A65" s="1"/>
      <c r="B65" s="1"/>
      <c r="C65" s="2" t="s">
        <v>134</v>
      </c>
      <c r="D65" s="1"/>
      <c r="E65" s="1"/>
      <c r="F65" s="1"/>
      <c r="G65" s="1"/>
      <c r="H65" s="106"/>
    </row>
    <row r="66" spans="1:8" ht="14.1" customHeight="1" x14ac:dyDescent="0.2">
      <c r="A66" s="1"/>
      <c r="B66" s="1"/>
      <c r="C66" s="2" t="s">
        <v>130</v>
      </c>
      <c r="D66" s="1"/>
      <c r="E66" s="1" t="s">
        <v>131</v>
      </c>
      <c r="F66" s="9">
        <v>0</v>
      </c>
      <c r="G66" s="10">
        <v>0</v>
      </c>
      <c r="H66" s="106"/>
    </row>
    <row r="67" spans="1:8" ht="14.1" customHeight="1" x14ac:dyDescent="0.2">
      <c r="A67" s="1"/>
      <c r="B67" s="1"/>
      <c r="C67" s="11"/>
      <c r="D67" s="1"/>
      <c r="E67" s="1"/>
      <c r="F67" s="12"/>
      <c r="G67" s="12"/>
      <c r="H67" s="106"/>
    </row>
    <row r="68" spans="1:8" ht="14.1" customHeight="1" x14ac:dyDescent="0.2">
      <c r="A68" s="1"/>
      <c r="B68" s="1"/>
      <c r="C68" s="2" t="s">
        <v>135</v>
      </c>
      <c r="D68" s="1"/>
      <c r="E68" s="1"/>
      <c r="F68" s="12"/>
      <c r="G68" s="12"/>
      <c r="H68" s="106"/>
    </row>
    <row r="69" spans="1:8" ht="14.1" customHeight="1" x14ac:dyDescent="0.2">
      <c r="A69" s="1"/>
      <c r="B69" s="1"/>
      <c r="C69" s="2" t="s">
        <v>130</v>
      </c>
      <c r="D69" s="1"/>
      <c r="E69" s="1" t="s">
        <v>131</v>
      </c>
      <c r="F69" s="13">
        <v>0</v>
      </c>
      <c r="G69" s="14">
        <v>0</v>
      </c>
      <c r="H69" s="106"/>
    </row>
    <row r="70" spans="1:8" ht="14.1" customHeight="1" x14ac:dyDescent="0.2">
      <c r="A70" s="1"/>
      <c r="B70" s="1"/>
      <c r="C70" s="11"/>
      <c r="D70" s="1"/>
      <c r="E70" s="1"/>
      <c r="F70" s="12"/>
      <c r="G70" s="12"/>
      <c r="H70" s="106"/>
    </row>
    <row r="71" spans="1:8" ht="14.1" customHeight="1" x14ac:dyDescent="0.2">
      <c r="A71" s="1"/>
      <c r="B71" s="1"/>
      <c r="C71" s="2" t="s">
        <v>136</v>
      </c>
      <c r="D71" s="1"/>
      <c r="E71" s="1"/>
      <c r="F71" s="12"/>
      <c r="G71" s="12"/>
      <c r="H71" s="106"/>
    </row>
    <row r="72" spans="1:8" ht="14.1" customHeight="1" x14ac:dyDescent="0.2">
      <c r="A72" s="1"/>
      <c r="B72" s="1"/>
      <c r="C72" s="2" t="s">
        <v>130</v>
      </c>
      <c r="D72" s="1"/>
      <c r="E72" s="1" t="s">
        <v>131</v>
      </c>
      <c r="F72" s="13">
        <v>0</v>
      </c>
      <c r="G72" s="14">
        <v>0</v>
      </c>
      <c r="H72" s="106"/>
    </row>
    <row r="73" spans="1:8" ht="14.1" customHeight="1" x14ac:dyDescent="0.2">
      <c r="A73" s="1"/>
      <c r="B73" s="1"/>
      <c r="C73" s="11"/>
      <c r="D73" s="1"/>
      <c r="E73" s="1"/>
      <c r="F73" s="12"/>
      <c r="G73" s="12"/>
      <c r="H73" s="106"/>
    </row>
    <row r="74" spans="1:8" ht="18" customHeight="1" x14ac:dyDescent="0.2">
      <c r="A74" s="1"/>
      <c r="B74" s="1"/>
      <c r="C74" s="2" t="s">
        <v>137</v>
      </c>
      <c r="D74" s="1"/>
      <c r="E74" s="1"/>
      <c r="F74" s="9">
        <v>8355.0243494999995</v>
      </c>
      <c r="G74" s="10">
        <v>0.93768637300000002</v>
      </c>
      <c r="H74" s="106"/>
    </row>
    <row r="75" spans="1:8" ht="14.1" customHeight="1" x14ac:dyDescent="0.2">
      <c r="A75" s="1"/>
      <c r="B75" s="1"/>
      <c r="C75" s="11"/>
      <c r="D75" s="1"/>
      <c r="E75" s="1"/>
      <c r="F75" s="12"/>
      <c r="G75" s="12"/>
      <c r="H75" s="106"/>
    </row>
    <row r="76" spans="1:8" ht="14.1" customHeight="1" x14ac:dyDescent="0.2">
      <c r="A76" s="1"/>
      <c r="B76" s="1"/>
      <c r="C76" s="2" t="s">
        <v>138</v>
      </c>
      <c r="D76" s="1"/>
      <c r="E76" s="1"/>
      <c r="F76" s="12"/>
      <c r="G76" s="12"/>
      <c r="H76" s="106"/>
    </row>
    <row r="77" spans="1:8" ht="24" customHeight="1" x14ac:dyDescent="0.2">
      <c r="A77" s="1"/>
      <c r="B77" s="1"/>
      <c r="C77" s="2" t="s">
        <v>10</v>
      </c>
      <c r="D77" s="1"/>
      <c r="E77" s="1"/>
      <c r="F77" s="12"/>
      <c r="G77" s="12"/>
      <c r="H77" s="106"/>
    </row>
    <row r="78" spans="1:8" ht="14.1" customHeight="1" x14ac:dyDescent="0.2">
      <c r="A78" s="1"/>
      <c r="B78" s="1"/>
      <c r="C78" s="2" t="s">
        <v>130</v>
      </c>
      <c r="D78" s="1"/>
      <c r="E78" s="1" t="s">
        <v>131</v>
      </c>
      <c r="F78" s="13">
        <v>0</v>
      </c>
      <c r="G78" s="14">
        <v>0</v>
      </c>
      <c r="H78" s="106"/>
    </row>
    <row r="79" spans="1:8" ht="14.1" customHeight="1" x14ac:dyDescent="0.2">
      <c r="A79" s="1"/>
      <c r="B79" s="1"/>
      <c r="C79" s="11"/>
      <c r="D79" s="1"/>
      <c r="E79" s="1"/>
      <c r="F79" s="12"/>
      <c r="G79" s="12"/>
      <c r="H79" s="106"/>
    </row>
    <row r="80" spans="1:8" ht="14.1" customHeight="1" x14ac:dyDescent="0.2">
      <c r="A80" s="1"/>
      <c r="B80" s="1"/>
      <c r="C80" s="2" t="s">
        <v>139</v>
      </c>
      <c r="D80" s="1"/>
      <c r="E80" s="1"/>
      <c r="F80" s="1"/>
      <c r="G80" s="1"/>
      <c r="H80" s="106"/>
    </row>
    <row r="81" spans="1:8" ht="14.1" customHeight="1" x14ac:dyDescent="0.2">
      <c r="A81" s="1"/>
      <c r="B81" s="1"/>
      <c r="C81" s="2" t="s">
        <v>130</v>
      </c>
      <c r="D81" s="1"/>
      <c r="E81" s="1" t="s">
        <v>131</v>
      </c>
      <c r="F81" s="13">
        <v>0</v>
      </c>
      <c r="G81" s="14">
        <v>0</v>
      </c>
      <c r="H81" s="106"/>
    </row>
    <row r="82" spans="1:8" ht="14.1" customHeight="1" x14ac:dyDescent="0.2">
      <c r="A82" s="1"/>
      <c r="B82" s="1"/>
      <c r="C82" s="11"/>
      <c r="D82" s="1"/>
      <c r="E82" s="1"/>
      <c r="F82" s="12"/>
      <c r="G82" s="12"/>
      <c r="H82" s="106"/>
    </row>
    <row r="83" spans="1:8" ht="14.1" customHeight="1" x14ac:dyDescent="0.2">
      <c r="A83" s="1"/>
      <c r="B83" s="1"/>
      <c r="C83" s="2" t="s">
        <v>140</v>
      </c>
      <c r="D83" s="1"/>
      <c r="E83" s="1"/>
      <c r="F83" s="1"/>
      <c r="G83" s="1"/>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141</v>
      </c>
      <c r="D86" s="1"/>
      <c r="E86" s="1"/>
      <c r="F86" s="12"/>
      <c r="G86" s="12"/>
      <c r="H86" s="106"/>
    </row>
    <row r="87" spans="1:8" ht="14.1" customHeight="1" x14ac:dyDescent="0.2">
      <c r="A87" s="1"/>
      <c r="B87" s="1"/>
      <c r="C87" s="2" t="s">
        <v>130</v>
      </c>
      <c r="D87" s="1"/>
      <c r="E87" s="1" t="s">
        <v>131</v>
      </c>
      <c r="F87" s="13">
        <v>0</v>
      </c>
      <c r="G87" s="14">
        <v>0</v>
      </c>
      <c r="H87" s="106"/>
    </row>
    <row r="88" spans="1:8" ht="14.1" customHeight="1" x14ac:dyDescent="0.2">
      <c r="A88" s="1"/>
      <c r="B88" s="1"/>
      <c r="C88" s="11"/>
      <c r="D88" s="1"/>
      <c r="E88" s="1"/>
      <c r="F88" s="12"/>
      <c r="G88" s="12"/>
      <c r="H88" s="106"/>
    </row>
    <row r="89" spans="1:8" ht="14.1" customHeight="1" x14ac:dyDescent="0.2">
      <c r="A89" s="1"/>
      <c r="B89" s="1"/>
      <c r="C89" s="2" t="s">
        <v>142</v>
      </c>
      <c r="D89" s="1"/>
      <c r="E89" s="1"/>
      <c r="F89" s="9">
        <v>0</v>
      </c>
      <c r="G89" s="10">
        <v>0</v>
      </c>
      <c r="H89" s="106"/>
    </row>
    <row r="90" spans="1:8" ht="14.1" customHeight="1" x14ac:dyDescent="0.2">
      <c r="A90" s="1"/>
      <c r="B90" s="1"/>
      <c r="C90" s="11"/>
      <c r="D90" s="1"/>
      <c r="E90" s="1"/>
      <c r="F90" s="12"/>
      <c r="G90" s="12"/>
      <c r="H90" s="106"/>
    </row>
    <row r="91" spans="1:8" ht="14.1" customHeight="1" x14ac:dyDescent="0.2">
      <c r="A91" s="1"/>
      <c r="B91" s="1"/>
      <c r="C91" s="2" t="s">
        <v>143</v>
      </c>
      <c r="D91" s="1"/>
      <c r="E91" s="1"/>
      <c r="F91" s="12"/>
      <c r="G91" s="12"/>
      <c r="H91" s="106"/>
    </row>
    <row r="92" spans="1:8" ht="14.1" customHeight="1" x14ac:dyDescent="0.2">
      <c r="A92" s="1"/>
      <c r="B92" s="1"/>
      <c r="C92" s="2" t="s">
        <v>144</v>
      </c>
      <c r="D92" s="1"/>
      <c r="E92" s="1"/>
      <c r="F92" s="12"/>
      <c r="G92" s="12"/>
      <c r="H92" s="106"/>
    </row>
    <row r="93" spans="1:8" ht="14.1" customHeight="1" x14ac:dyDescent="0.2">
      <c r="A93" s="1"/>
      <c r="B93" s="1"/>
      <c r="C93" s="2" t="s">
        <v>130</v>
      </c>
      <c r="D93" s="1"/>
      <c r="E93" s="1" t="s">
        <v>131</v>
      </c>
      <c r="F93" s="13">
        <v>0</v>
      </c>
      <c r="G93" s="14">
        <v>0</v>
      </c>
      <c r="H93" s="106"/>
    </row>
    <row r="94" spans="1:8" ht="14.1" customHeight="1" x14ac:dyDescent="0.2">
      <c r="A94" s="1"/>
      <c r="B94" s="1"/>
      <c r="C94" s="11"/>
      <c r="D94" s="1"/>
      <c r="E94" s="1"/>
      <c r="F94" s="12"/>
      <c r="G94" s="12"/>
      <c r="H94" s="106"/>
    </row>
    <row r="95" spans="1:8" ht="14.1" customHeight="1" x14ac:dyDescent="0.2">
      <c r="A95" s="1"/>
      <c r="B95" s="1"/>
      <c r="C95" s="2" t="s">
        <v>145</v>
      </c>
      <c r="D95" s="1"/>
      <c r="E95" s="1"/>
      <c r="F95" s="12"/>
      <c r="G95" s="12"/>
      <c r="H95" s="106"/>
    </row>
    <row r="96" spans="1:8" ht="14.1" customHeight="1" x14ac:dyDescent="0.2">
      <c r="A96" s="1"/>
      <c r="B96" s="1"/>
      <c r="C96" s="2" t="s">
        <v>130</v>
      </c>
      <c r="D96" s="1"/>
      <c r="E96" s="1" t="s">
        <v>131</v>
      </c>
      <c r="F96" s="13">
        <v>0</v>
      </c>
      <c r="G96" s="14">
        <v>0</v>
      </c>
      <c r="H96" s="106"/>
    </row>
    <row r="97" spans="1:8" ht="14.1" customHeight="1" x14ac:dyDescent="0.2">
      <c r="A97" s="1"/>
      <c r="B97" s="1"/>
      <c r="C97" s="11"/>
      <c r="D97" s="1"/>
      <c r="E97" s="1"/>
      <c r="F97" s="12"/>
      <c r="G97" s="12"/>
      <c r="H97" s="106"/>
    </row>
    <row r="98" spans="1:8" ht="14.1" customHeight="1" x14ac:dyDescent="0.2">
      <c r="A98" s="1"/>
      <c r="B98" s="1"/>
      <c r="C98" s="2" t="s">
        <v>146</v>
      </c>
      <c r="D98" s="1"/>
      <c r="E98" s="1"/>
      <c r="F98" s="12"/>
      <c r="G98" s="12"/>
      <c r="H98" s="106"/>
    </row>
    <row r="99" spans="1:8" ht="14.1" customHeight="1" x14ac:dyDescent="0.2">
      <c r="A99" s="1"/>
      <c r="B99" s="1"/>
      <c r="C99" s="2" t="s">
        <v>130</v>
      </c>
      <c r="D99" s="1"/>
      <c r="E99" s="1" t="s">
        <v>131</v>
      </c>
      <c r="F99" s="13">
        <v>0</v>
      </c>
      <c r="G99" s="14">
        <v>0</v>
      </c>
      <c r="H99" s="106"/>
    </row>
    <row r="100" spans="1:8" ht="14.1" customHeight="1" x14ac:dyDescent="0.2">
      <c r="A100" s="1"/>
      <c r="B100" s="1"/>
      <c r="C100" s="11"/>
      <c r="D100" s="1"/>
      <c r="E100" s="1"/>
      <c r="F100" s="12"/>
      <c r="G100" s="12"/>
      <c r="H100" s="106"/>
    </row>
    <row r="101" spans="1:8" ht="14.1" customHeight="1" x14ac:dyDescent="0.2">
      <c r="A101" s="1"/>
      <c r="B101" s="1"/>
      <c r="C101" s="2" t="s">
        <v>147</v>
      </c>
      <c r="D101" s="1"/>
      <c r="E101" s="1"/>
      <c r="F101" s="12"/>
      <c r="G101" s="12"/>
      <c r="H101" s="106"/>
    </row>
    <row r="102" spans="1:8" ht="17.100000000000001" customHeight="1" x14ac:dyDescent="0.2">
      <c r="A102" s="3">
        <v>1</v>
      </c>
      <c r="B102" s="4"/>
      <c r="C102" s="4" t="s">
        <v>148</v>
      </c>
      <c r="D102" s="4"/>
      <c r="E102" s="8"/>
      <c r="F102" s="6">
        <v>552.20685409999999</v>
      </c>
      <c r="G102" s="7">
        <v>6.1974306999999999E-2</v>
      </c>
      <c r="H102" s="106">
        <v>6.1171451766917002</v>
      </c>
    </row>
    <row r="103" spans="1:8" ht="14.1" customHeight="1" x14ac:dyDescent="0.2">
      <c r="A103" s="1"/>
      <c r="B103" s="1"/>
      <c r="C103" s="2" t="s">
        <v>130</v>
      </c>
      <c r="D103" s="1"/>
      <c r="E103" s="1" t="s">
        <v>131</v>
      </c>
      <c r="F103" s="9">
        <v>552.20685409999999</v>
      </c>
      <c r="G103" s="10">
        <v>6.1974306999999999E-2</v>
      </c>
      <c r="H103" s="106"/>
    </row>
    <row r="104" spans="1:8" ht="14.1" customHeight="1" x14ac:dyDescent="0.2">
      <c r="A104" s="1"/>
      <c r="B104" s="1"/>
      <c r="C104" s="11"/>
      <c r="D104" s="1"/>
      <c r="E104" s="1"/>
      <c r="F104" s="12"/>
      <c r="G104" s="12"/>
      <c r="H104" s="106"/>
    </row>
    <row r="105" spans="1:8" ht="14.1" customHeight="1" x14ac:dyDescent="0.2">
      <c r="A105" s="1"/>
      <c r="B105" s="1"/>
      <c r="C105" s="2" t="s">
        <v>149</v>
      </c>
      <c r="D105" s="1"/>
      <c r="E105" s="1"/>
      <c r="F105" s="9">
        <v>552.20685409999999</v>
      </c>
      <c r="G105" s="10">
        <v>6.1974306999999999E-2</v>
      </c>
      <c r="H105" s="106"/>
    </row>
    <row r="106" spans="1:8" ht="14.1" customHeight="1" x14ac:dyDescent="0.2">
      <c r="A106" s="1"/>
      <c r="B106" s="1"/>
      <c r="C106" s="12"/>
      <c r="D106" s="1"/>
      <c r="E106" s="1"/>
      <c r="F106" s="1"/>
      <c r="G106" s="1"/>
      <c r="H106" s="106"/>
    </row>
    <row r="107" spans="1:8" ht="14.1" customHeight="1" x14ac:dyDescent="0.2">
      <c r="A107" s="1"/>
      <c r="B107" s="1"/>
      <c r="C107" s="2" t="s">
        <v>150</v>
      </c>
      <c r="D107" s="1"/>
      <c r="E107" s="1"/>
      <c r="F107" s="1"/>
      <c r="G107" s="1"/>
      <c r="H107" s="106"/>
    </row>
    <row r="108" spans="1:8" ht="14.1" customHeight="1" x14ac:dyDescent="0.2">
      <c r="A108" s="1"/>
      <c r="B108" s="1"/>
      <c r="C108" s="2" t="s">
        <v>151</v>
      </c>
      <c r="D108" s="1"/>
      <c r="E108" s="1"/>
      <c r="F108" s="1"/>
      <c r="G108" s="1"/>
      <c r="H108" s="106"/>
    </row>
    <row r="109" spans="1:8" ht="14.1" customHeight="1" x14ac:dyDescent="0.2">
      <c r="A109" s="1"/>
      <c r="B109" s="1"/>
      <c r="C109" s="2" t="s">
        <v>130</v>
      </c>
      <c r="D109" s="1"/>
      <c r="E109" s="1" t="s">
        <v>131</v>
      </c>
      <c r="F109" s="13">
        <v>0</v>
      </c>
      <c r="G109" s="14">
        <v>0</v>
      </c>
      <c r="H109" s="106"/>
    </row>
    <row r="110" spans="1:8" ht="14.1" customHeight="1" x14ac:dyDescent="0.2">
      <c r="A110" s="1"/>
      <c r="B110" s="1"/>
      <c r="C110" s="11"/>
      <c r="D110" s="1"/>
      <c r="E110" s="1"/>
      <c r="F110" s="12"/>
      <c r="G110" s="12"/>
      <c r="H110" s="106"/>
    </row>
    <row r="111" spans="1:8" ht="14.1" customHeight="1" x14ac:dyDescent="0.2">
      <c r="A111" s="1"/>
      <c r="B111" s="1"/>
      <c r="C111" s="2" t="s">
        <v>152</v>
      </c>
      <c r="D111" s="1"/>
      <c r="E111" s="1"/>
      <c r="F111" s="1"/>
      <c r="G111" s="1"/>
      <c r="H111" s="106"/>
    </row>
    <row r="112" spans="1:8" ht="14.1" customHeight="1" x14ac:dyDescent="0.2">
      <c r="A112" s="1"/>
      <c r="B112" s="1"/>
      <c r="C112" s="2" t="s">
        <v>153</v>
      </c>
      <c r="D112" s="1"/>
      <c r="E112" s="1"/>
      <c r="F112" s="1"/>
      <c r="G112" s="1"/>
      <c r="H112" s="106"/>
    </row>
    <row r="113" spans="1:8" ht="14.1" customHeight="1" x14ac:dyDescent="0.2">
      <c r="A113" s="1"/>
      <c r="B113" s="1"/>
      <c r="C113" s="2" t="s">
        <v>130</v>
      </c>
      <c r="D113" s="1"/>
      <c r="E113" s="1" t="s">
        <v>131</v>
      </c>
      <c r="F113" s="13">
        <v>0</v>
      </c>
      <c r="G113" s="14">
        <v>0</v>
      </c>
      <c r="H113" s="106"/>
    </row>
    <row r="114" spans="1:8" ht="14.1" customHeight="1" x14ac:dyDescent="0.2">
      <c r="A114" s="1"/>
      <c r="B114" s="1"/>
      <c r="C114" s="11"/>
      <c r="D114" s="1"/>
      <c r="E114" s="1"/>
      <c r="F114" s="12"/>
      <c r="G114" s="12"/>
      <c r="H114" s="106"/>
    </row>
    <row r="115" spans="1:8" ht="14.1" customHeight="1" x14ac:dyDescent="0.2">
      <c r="A115" s="1"/>
      <c r="B115" s="1"/>
      <c r="C115" s="11"/>
      <c r="D115" s="1"/>
      <c r="E115" s="1"/>
      <c r="F115" s="12"/>
      <c r="G115" s="12"/>
      <c r="H115" s="106"/>
    </row>
    <row r="116" spans="1:8" ht="24" customHeight="1" x14ac:dyDescent="0.2">
      <c r="A116" s="1"/>
      <c r="B116" s="1"/>
      <c r="C116" s="2" t="s">
        <v>154</v>
      </c>
      <c r="D116" s="1"/>
      <c r="E116" s="1"/>
      <c r="F116" s="12"/>
      <c r="G116" s="12"/>
      <c r="H116" s="106"/>
    </row>
    <row r="117" spans="1:8" ht="14.1" customHeight="1" x14ac:dyDescent="0.2">
      <c r="A117" s="1"/>
      <c r="B117" s="1"/>
      <c r="C117" s="2" t="s">
        <v>130</v>
      </c>
      <c r="D117" s="1"/>
      <c r="E117" s="1" t="s">
        <v>131</v>
      </c>
      <c r="F117" s="13">
        <v>0</v>
      </c>
      <c r="G117" s="14">
        <v>0</v>
      </c>
      <c r="H117" s="106"/>
    </row>
    <row r="118" spans="1:8" ht="14.1" customHeight="1" x14ac:dyDescent="0.2">
      <c r="A118" s="1"/>
      <c r="B118" s="1"/>
      <c r="C118" s="11"/>
      <c r="D118" s="1"/>
      <c r="E118" s="1"/>
      <c r="F118" s="12"/>
      <c r="G118" s="12"/>
      <c r="H118" s="106"/>
    </row>
    <row r="119" spans="1:8" ht="14.1" customHeight="1" x14ac:dyDescent="0.2">
      <c r="A119" s="1"/>
      <c r="B119" s="4"/>
      <c r="C119" s="4"/>
      <c r="D119" s="2"/>
      <c r="E119" s="1"/>
      <c r="F119" s="4"/>
      <c r="G119" s="8"/>
      <c r="H119" s="106"/>
    </row>
    <row r="120" spans="1:8" ht="18" customHeight="1" x14ac:dyDescent="0.2">
      <c r="A120" s="8"/>
      <c r="B120" s="4"/>
      <c r="C120" s="4" t="s">
        <v>155</v>
      </c>
      <c r="D120" s="4"/>
      <c r="E120" s="8"/>
      <c r="F120" s="6">
        <v>3.0234263000000001</v>
      </c>
      <c r="G120" s="7">
        <v>3.3932E-4</v>
      </c>
      <c r="H120" s="106"/>
    </row>
    <row r="121" spans="1:8" ht="14.1" customHeight="1" x14ac:dyDescent="0.2">
      <c r="A121" s="11"/>
      <c r="B121" s="11"/>
      <c r="C121" s="2" t="s">
        <v>156</v>
      </c>
      <c r="D121" s="15"/>
      <c r="E121" s="15"/>
      <c r="F121" s="9">
        <v>8910.2546299000005</v>
      </c>
      <c r="G121" s="10">
        <v>1</v>
      </c>
      <c r="H121" s="106"/>
    </row>
    <row r="122" spans="1:8" ht="14.1" customHeight="1" x14ac:dyDescent="0.2">
      <c r="A122" s="16"/>
      <c r="B122" s="16"/>
      <c r="C122" s="16"/>
      <c r="D122" s="17"/>
      <c r="E122" s="17"/>
      <c r="F122" s="17"/>
      <c r="G122" s="17"/>
    </row>
    <row r="123" spans="1:8" ht="14.1" customHeight="1" x14ac:dyDescent="0.2">
      <c r="A123" s="18"/>
      <c r="B123" s="18"/>
      <c r="C123" s="18"/>
      <c r="D123" s="20"/>
      <c r="E123" s="20"/>
      <c r="F123" s="20"/>
      <c r="G123" s="20"/>
    </row>
    <row r="124" spans="1:8" ht="14.1" customHeight="1" x14ac:dyDescent="0.2">
      <c r="A124" s="18"/>
      <c r="B124" s="279" t="s">
        <v>158</v>
      </c>
      <c r="C124" s="280"/>
      <c r="D124" s="12" t="s">
        <v>131</v>
      </c>
      <c r="E124" s="21"/>
      <c r="F124" s="20"/>
      <c r="G124" s="20"/>
    </row>
    <row r="125" spans="1:8" ht="29.1" customHeight="1" x14ac:dyDescent="0.2">
      <c r="A125" s="18"/>
      <c r="B125" s="274" t="s">
        <v>159</v>
      </c>
      <c r="C125" s="275"/>
      <c r="D125" s="2" t="s">
        <v>160</v>
      </c>
      <c r="E125" s="21"/>
      <c r="F125" s="20"/>
      <c r="G125" s="20"/>
    </row>
    <row r="126" spans="1:8" ht="17.100000000000001" customHeight="1" x14ac:dyDescent="0.2">
      <c r="A126" s="18"/>
      <c r="B126" s="274" t="s">
        <v>161</v>
      </c>
      <c r="C126" s="275"/>
      <c r="D126" s="2" t="s">
        <v>160</v>
      </c>
      <c r="E126" s="21"/>
      <c r="F126" s="20"/>
      <c r="G126" s="20"/>
    </row>
    <row r="127" spans="1:8" ht="17.100000000000001" customHeight="1" x14ac:dyDescent="0.2">
      <c r="A127" s="18"/>
      <c r="B127" s="274" t="s">
        <v>162</v>
      </c>
      <c r="C127" s="275"/>
      <c r="D127" s="12" t="s">
        <v>131</v>
      </c>
      <c r="E127" s="21"/>
      <c r="F127" s="20"/>
      <c r="G127" s="20"/>
    </row>
    <row r="128" spans="1:8" ht="24" customHeight="1" x14ac:dyDescent="0.2">
      <c r="A128" s="22"/>
      <c r="B128" s="23" t="s">
        <v>131</v>
      </c>
      <c r="C128" s="23" t="s">
        <v>163</v>
      </c>
      <c r="D128" s="23" t="s">
        <v>164</v>
      </c>
      <c r="E128" s="22"/>
      <c r="F128" s="22"/>
      <c r="G128" s="22"/>
    </row>
    <row r="129" spans="1:15" ht="18" customHeight="1" x14ac:dyDescent="0.2">
      <c r="A129" s="22"/>
      <c r="B129" s="23" t="s">
        <v>165</v>
      </c>
      <c r="C129" s="23" t="s">
        <v>166</v>
      </c>
      <c r="D129" s="23" t="s">
        <v>167</v>
      </c>
      <c r="E129" s="22"/>
      <c r="F129" s="22"/>
      <c r="G129" s="22"/>
    </row>
    <row r="130" spans="1:15" ht="17.100000000000001" customHeight="1" x14ac:dyDescent="0.2">
      <c r="A130" s="22"/>
      <c r="B130" s="4" t="s">
        <v>168</v>
      </c>
      <c r="C130" s="24">
        <v>17.6632</v>
      </c>
      <c r="D130" s="24">
        <v>18.3111</v>
      </c>
      <c r="E130" s="22"/>
      <c r="F130" s="19"/>
      <c r="G130" s="25"/>
    </row>
    <row r="131" spans="1:15" ht="17.100000000000001" customHeight="1" x14ac:dyDescent="0.2">
      <c r="A131" s="22"/>
      <c r="B131" s="4" t="s">
        <v>1048</v>
      </c>
      <c r="C131" s="24">
        <v>16.8108</v>
      </c>
      <c r="D131" s="24">
        <v>17.427399999999999</v>
      </c>
      <c r="E131" s="22"/>
      <c r="F131" s="19"/>
      <c r="G131" s="25"/>
    </row>
    <row r="132" spans="1:15" ht="17.100000000000001" customHeight="1" x14ac:dyDescent="0.2">
      <c r="A132" s="22"/>
      <c r="B132" s="4" t="s">
        <v>169</v>
      </c>
      <c r="C132" s="24">
        <v>17.223600000000001</v>
      </c>
      <c r="D132" s="24">
        <v>17.846900000000002</v>
      </c>
      <c r="E132" s="22"/>
      <c r="F132" s="19"/>
      <c r="G132" s="25"/>
    </row>
    <row r="133" spans="1:15" ht="17.100000000000001" customHeight="1" x14ac:dyDescent="0.2">
      <c r="A133" s="22"/>
      <c r="B133" s="4" t="s">
        <v>1049</v>
      </c>
      <c r="C133" s="24">
        <v>16.580400000000001</v>
      </c>
      <c r="D133" s="24">
        <v>17.180399999999999</v>
      </c>
      <c r="E133" s="22"/>
      <c r="F133" s="19"/>
      <c r="G133" s="25"/>
    </row>
    <row r="134" spans="1:15" ht="14.1" customHeight="1" x14ac:dyDescent="0.2">
      <c r="A134" s="22"/>
      <c r="B134" s="22"/>
      <c r="C134" s="22"/>
      <c r="D134" s="22"/>
      <c r="E134" s="22"/>
      <c r="F134" s="22"/>
      <c r="G134" s="22"/>
    </row>
    <row r="135" spans="1:15" ht="17.100000000000001" customHeight="1" x14ac:dyDescent="0.2">
      <c r="A135" s="22"/>
      <c r="B135" s="274" t="s">
        <v>1060</v>
      </c>
      <c r="C135" s="275"/>
      <c r="D135" s="2" t="s">
        <v>160</v>
      </c>
      <c r="E135" s="22"/>
      <c r="F135" s="22"/>
      <c r="G135" s="22"/>
    </row>
    <row r="136" spans="1:15" ht="18" customHeight="1" x14ac:dyDescent="0.2">
      <c r="A136" s="22"/>
      <c r="B136" s="26" t="s">
        <v>170</v>
      </c>
      <c r="C136" s="26" t="s">
        <v>170</v>
      </c>
      <c r="D136" s="26"/>
      <c r="E136" s="22"/>
      <c r="F136" s="22"/>
      <c r="G136" s="22"/>
    </row>
    <row r="137" spans="1:15" ht="29.1" customHeight="1" x14ac:dyDescent="0.2">
      <c r="A137" s="22"/>
      <c r="B137" s="274" t="s">
        <v>171</v>
      </c>
      <c r="C137" s="275"/>
      <c r="D137" s="2" t="s">
        <v>160</v>
      </c>
      <c r="E137" s="22"/>
      <c r="F137" s="22"/>
      <c r="G137" s="22"/>
    </row>
    <row r="138" spans="1:15" ht="29.1" customHeight="1" x14ac:dyDescent="0.2">
      <c r="A138" s="22"/>
      <c r="B138" s="274" t="s">
        <v>172</v>
      </c>
      <c r="C138" s="275"/>
      <c r="D138" s="2" t="s">
        <v>160</v>
      </c>
      <c r="E138" s="22"/>
      <c r="F138" s="22"/>
      <c r="G138" s="22"/>
    </row>
    <row r="139" spans="1:15" ht="17.100000000000001" customHeight="1" x14ac:dyDescent="0.2">
      <c r="A139" s="22"/>
      <c r="B139" s="274" t="s">
        <v>173</v>
      </c>
      <c r="C139" s="275"/>
      <c r="D139" s="27">
        <v>0.20441445637862629</v>
      </c>
      <c r="E139" s="22"/>
      <c r="F139" s="19"/>
      <c r="G139" s="25"/>
    </row>
    <row r="140" spans="1:15" ht="17.100000000000001" customHeight="1" x14ac:dyDescent="0.2">
      <c r="A140" s="22"/>
      <c r="B140" s="274" t="s">
        <v>174</v>
      </c>
      <c r="C140" s="275"/>
      <c r="D140" s="2" t="s">
        <v>160</v>
      </c>
      <c r="E140" s="22"/>
      <c r="F140" s="22"/>
      <c r="G140" s="22"/>
      <c r="J140" s="162"/>
      <c r="K140" s="162"/>
      <c r="L140" s="162"/>
      <c r="M140" s="162"/>
      <c r="N140" s="162"/>
      <c r="O140" s="162"/>
    </row>
  </sheetData>
  <mergeCells count="13">
    <mergeCell ref="B124:C124"/>
    <mergeCell ref="A1:H1"/>
    <mergeCell ref="A2:H2"/>
    <mergeCell ref="A3:H3"/>
    <mergeCell ref="J2:N2"/>
    <mergeCell ref="B139:C139"/>
    <mergeCell ref="B140:C140"/>
    <mergeCell ref="B125:C125"/>
    <mergeCell ref="B126:C126"/>
    <mergeCell ref="B127:C127"/>
    <mergeCell ref="B135:C135"/>
    <mergeCell ref="B137:C137"/>
    <mergeCell ref="B138:C138"/>
  </mergeCells>
  <hyperlinks>
    <hyperlink ref="I1" location="Index!B5" display="Index" xr:uid="{301F77D3-5840-4113-ADBB-891FB61BD45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345</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4495006</v>
      </c>
      <c r="F7" s="6">
        <v>40846.119522000001</v>
      </c>
      <c r="G7" s="7">
        <v>7.7900200000000003E-2</v>
      </c>
      <c r="H7" s="106"/>
    </row>
    <row r="8" spans="1:14" ht="17.100000000000001" customHeight="1" x14ac:dyDescent="0.2">
      <c r="A8" s="3">
        <v>2</v>
      </c>
      <c r="B8" s="4" t="s">
        <v>20</v>
      </c>
      <c r="C8" s="4" t="s">
        <v>21</v>
      </c>
      <c r="D8" s="4" t="s">
        <v>22</v>
      </c>
      <c r="E8" s="5">
        <v>870000</v>
      </c>
      <c r="F8" s="6">
        <v>22181.52</v>
      </c>
      <c r="G8" s="7">
        <v>4.2303769999999997E-2</v>
      </c>
      <c r="H8" s="106"/>
    </row>
    <row r="9" spans="1:14" ht="17.100000000000001" customHeight="1" x14ac:dyDescent="0.2">
      <c r="A9" s="3">
        <v>3</v>
      </c>
      <c r="B9" s="4" t="s">
        <v>264</v>
      </c>
      <c r="C9" s="4" t="s">
        <v>265</v>
      </c>
      <c r="D9" s="4" t="s">
        <v>16</v>
      </c>
      <c r="E9" s="5">
        <v>1323852</v>
      </c>
      <c r="F9" s="6">
        <v>19814.092884000002</v>
      </c>
      <c r="G9" s="7">
        <v>3.7788701000000001E-2</v>
      </c>
      <c r="H9" s="106"/>
    </row>
    <row r="10" spans="1:14" ht="17.100000000000001" customHeight="1" x14ac:dyDescent="0.2">
      <c r="A10" s="3">
        <v>4</v>
      </c>
      <c r="B10" s="4" t="s">
        <v>296</v>
      </c>
      <c r="C10" s="4" t="s">
        <v>297</v>
      </c>
      <c r="D10" s="4" t="s">
        <v>1114</v>
      </c>
      <c r="E10" s="5">
        <v>1279690</v>
      </c>
      <c r="F10" s="6">
        <v>19677.153285</v>
      </c>
      <c r="G10" s="7">
        <v>3.7527535000000001E-2</v>
      </c>
      <c r="H10" s="106"/>
    </row>
    <row r="11" spans="1:14" ht="17.100000000000001" customHeight="1" x14ac:dyDescent="0.2">
      <c r="A11" s="3">
        <v>5</v>
      </c>
      <c r="B11" s="4" t="s">
        <v>258</v>
      </c>
      <c r="C11" s="4" t="s">
        <v>259</v>
      </c>
      <c r="D11" s="4" t="s">
        <v>99</v>
      </c>
      <c r="E11" s="5">
        <v>826720</v>
      </c>
      <c r="F11" s="6">
        <v>13950.9</v>
      </c>
      <c r="G11" s="7">
        <v>2.6606637999999998E-2</v>
      </c>
      <c r="H11" s="106"/>
    </row>
    <row r="12" spans="1:14" ht="17.100000000000001" customHeight="1" x14ac:dyDescent="0.2">
      <c r="A12" s="3">
        <v>6</v>
      </c>
      <c r="B12" s="4" t="s">
        <v>11</v>
      </c>
      <c r="C12" s="4" t="s">
        <v>12</v>
      </c>
      <c r="D12" s="4" t="s">
        <v>13</v>
      </c>
      <c r="E12" s="5">
        <v>687821</v>
      </c>
      <c r="F12" s="6">
        <v>13915.306651000001</v>
      </c>
      <c r="G12" s="7">
        <v>2.6538755000000001E-2</v>
      </c>
      <c r="H12" s="106"/>
    </row>
    <row r="13" spans="1:14" ht="17.100000000000001" customHeight="1" x14ac:dyDescent="0.2">
      <c r="A13" s="3">
        <v>7</v>
      </c>
      <c r="B13" s="4" t="s">
        <v>183</v>
      </c>
      <c r="C13" s="4" t="s">
        <v>184</v>
      </c>
      <c r="D13" s="4" t="s">
        <v>185</v>
      </c>
      <c r="E13" s="5">
        <v>1209987</v>
      </c>
      <c r="F13" s="6">
        <v>12693.3686235</v>
      </c>
      <c r="G13" s="7">
        <v>2.4208319999999998E-2</v>
      </c>
      <c r="H13" s="106"/>
      <c r="J13" s="161" t="s">
        <v>1086</v>
      </c>
    </row>
    <row r="14" spans="1:14" ht="17.100000000000001" customHeight="1" x14ac:dyDescent="0.2">
      <c r="A14" s="3">
        <v>8</v>
      </c>
      <c r="B14" s="4" t="s">
        <v>42</v>
      </c>
      <c r="C14" s="4" t="s">
        <v>43</v>
      </c>
      <c r="D14" s="4" t="s">
        <v>16</v>
      </c>
      <c r="E14" s="5">
        <v>2191327</v>
      </c>
      <c r="F14" s="6">
        <v>12573.834326</v>
      </c>
      <c r="G14" s="7">
        <v>2.3980349000000001E-2</v>
      </c>
      <c r="H14" s="106"/>
    </row>
    <row r="15" spans="1:14" ht="17.100000000000001" customHeight="1" x14ac:dyDescent="0.2">
      <c r="A15" s="3">
        <v>9</v>
      </c>
      <c r="B15" s="4" t="s">
        <v>178</v>
      </c>
      <c r="C15" s="4" t="s">
        <v>179</v>
      </c>
      <c r="D15" s="4" t="s">
        <v>16</v>
      </c>
      <c r="E15" s="5">
        <v>1371950</v>
      </c>
      <c r="F15" s="6">
        <v>12429.867</v>
      </c>
      <c r="G15" s="7">
        <v>2.3705779999999999E-2</v>
      </c>
      <c r="H15" s="106"/>
    </row>
    <row r="16" spans="1:14" ht="17.100000000000001" customHeight="1" x14ac:dyDescent="0.2">
      <c r="A16" s="3">
        <v>10</v>
      </c>
      <c r="B16" s="4" t="s">
        <v>346</v>
      </c>
      <c r="C16" s="4" t="s">
        <v>347</v>
      </c>
      <c r="D16" s="4" t="s">
        <v>16</v>
      </c>
      <c r="E16" s="5">
        <v>3875118</v>
      </c>
      <c r="F16" s="6">
        <v>11253.342672000001</v>
      </c>
      <c r="G16" s="7">
        <v>2.1461957E-2</v>
      </c>
      <c r="H16" s="106"/>
    </row>
    <row r="17" spans="1:10" ht="17.100000000000001" customHeight="1" x14ac:dyDescent="0.2">
      <c r="A17" s="3">
        <v>11</v>
      </c>
      <c r="B17" s="4" t="s">
        <v>34</v>
      </c>
      <c r="C17" s="4" t="s">
        <v>35</v>
      </c>
      <c r="D17" s="4" t="s">
        <v>36</v>
      </c>
      <c r="E17" s="5">
        <v>321054</v>
      </c>
      <c r="F17" s="6">
        <v>9791.3443650000008</v>
      </c>
      <c r="G17" s="7">
        <v>1.8673688000000001E-2</v>
      </c>
      <c r="H17" s="106"/>
    </row>
    <row r="18" spans="1:10" ht="53.1" customHeight="1" x14ac:dyDescent="0.2">
      <c r="A18" s="3">
        <v>12</v>
      </c>
      <c r="B18" s="4" t="s">
        <v>46</v>
      </c>
      <c r="C18" s="4" t="s">
        <v>47</v>
      </c>
      <c r="D18" s="4" t="s">
        <v>48</v>
      </c>
      <c r="E18" s="5">
        <v>6352636</v>
      </c>
      <c r="F18" s="6">
        <v>9738.5909879999999</v>
      </c>
      <c r="G18" s="7">
        <v>1.8573078E-2</v>
      </c>
      <c r="H18" s="106"/>
    </row>
    <row r="19" spans="1:10" ht="29.1" customHeight="1" x14ac:dyDescent="0.2">
      <c r="A19" s="3">
        <v>13</v>
      </c>
      <c r="B19" s="4" t="s">
        <v>298</v>
      </c>
      <c r="C19" s="4" t="s">
        <v>299</v>
      </c>
      <c r="D19" s="4" t="s">
        <v>99</v>
      </c>
      <c r="E19" s="5">
        <v>384006</v>
      </c>
      <c r="F19" s="6">
        <v>9484.1801880000003</v>
      </c>
      <c r="G19" s="7">
        <v>1.8087875999999999E-2</v>
      </c>
      <c r="H19" s="106"/>
    </row>
    <row r="20" spans="1:10" ht="17.100000000000001" customHeight="1" x14ac:dyDescent="0.2">
      <c r="A20" s="3">
        <v>14</v>
      </c>
      <c r="B20" s="4" t="s">
        <v>106</v>
      </c>
      <c r="C20" s="4" t="s">
        <v>107</v>
      </c>
      <c r="D20" s="4" t="s">
        <v>89</v>
      </c>
      <c r="E20" s="5">
        <v>1863566</v>
      </c>
      <c r="F20" s="6">
        <v>8673.0361639999992</v>
      </c>
      <c r="G20" s="7">
        <v>1.6540892000000001E-2</v>
      </c>
      <c r="H20" s="106"/>
    </row>
    <row r="21" spans="1:10" ht="17.100000000000001" customHeight="1" x14ac:dyDescent="0.2">
      <c r="A21" s="3">
        <v>15</v>
      </c>
      <c r="B21" s="4" t="s">
        <v>17</v>
      </c>
      <c r="C21" s="4" t="s">
        <v>18</v>
      </c>
      <c r="D21" s="4" t="s">
        <v>19</v>
      </c>
      <c r="E21" s="5">
        <v>1002403</v>
      </c>
      <c r="F21" s="6">
        <v>8339.9929599999996</v>
      </c>
      <c r="G21" s="7">
        <v>1.5905724E-2</v>
      </c>
      <c r="H21" s="106"/>
    </row>
    <row r="22" spans="1:10" ht="17.100000000000001" customHeight="1" x14ac:dyDescent="0.2">
      <c r="A22" s="3">
        <v>16</v>
      </c>
      <c r="B22" s="4" t="s">
        <v>293</v>
      </c>
      <c r="C22" s="4" t="s">
        <v>294</v>
      </c>
      <c r="D22" s="4" t="s">
        <v>110</v>
      </c>
      <c r="E22" s="5">
        <v>184208</v>
      </c>
      <c r="F22" s="6">
        <v>8319.9385280000006</v>
      </c>
      <c r="G22" s="7">
        <v>1.5867477000000001E-2</v>
      </c>
      <c r="H22" s="106"/>
      <c r="J22" s="161" t="s">
        <v>1087</v>
      </c>
    </row>
    <row r="23" spans="1:10" ht="17.100000000000001" customHeight="1" x14ac:dyDescent="0.2">
      <c r="A23" s="3">
        <v>17</v>
      </c>
      <c r="B23" s="4" t="s">
        <v>269</v>
      </c>
      <c r="C23" s="4" t="s">
        <v>270</v>
      </c>
      <c r="D23" s="4" t="s">
        <v>89</v>
      </c>
      <c r="E23" s="5">
        <v>1535229</v>
      </c>
      <c r="F23" s="6">
        <v>8239.5740430000005</v>
      </c>
      <c r="G23" s="7">
        <v>1.5714209E-2</v>
      </c>
      <c r="H23" s="106"/>
    </row>
    <row r="24" spans="1:10" ht="17.100000000000001" customHeight="1" x14ac:dyDescent="0.2">
      <c r="A24" s="3">
        <v>18</v>
      </c>
      <c r="B24" s="4" t="s">
        <v>39</v>
      </c>
      <c r="C24" s="4" t="s">
        <v>40</v>
      </c>
      <c r="D24" s="4" t="s">
        <v>41</v>
      </c>
      <c r="E24" s="5">
        <v>1015161</v>
      </c>
      <c r="F24" s="6">
        <v>8100.9847799999998</v>
      </c>
      <c r="G24" s="7">
        <v>1.5449897000000001E-2</v>
      </c>
      <c r="H24" s="106"/>
    </row>
    <row r="25" spans="1:10" ht="17.100000000000001" customHeight="1" x14ac:dyDescent="0.2">
      <c r="A25" s="3">
        <v>19</v>
      </c>
      <c r="B25" s="4" t="s">
        <v>348</v>
      </c>
      <c r="C25" s="4" t="s">
        <v>349</v>
      </c>
      <c r="D25" s="4" t="s">
        <v>99</v>
      </c>
      <c r="E25" s="5">
        <v>113013</v>
      </c>
      <c r="F25" s="6">
        <v>8073.7617330000003</v>
      </c>
      <c r="G25" s="7">
        <v>1.5397978E-2</v>
      </c>
      <c r="H25" s="106"/>
    </row>
    <row r="26" spans="1:10" ht="17.100000000000001" customHeight="1" x14ac:dyDescent="0.2">
      <c r="A26" s="3">
        <v>20</v>
      </c>
      <c r="B26" s="4" t="s">
        <v>350</v>
      </c>
      <c r="C26" s="4" t="s">
        <v>351</v>
      </c>
      <c r="D26" s="4" t="s">
        <v>31</v>
      </c>
      <c r="E26" s="5">
        <v>856506</v>
      </c>
      <c r="F26" s="6">
        <v>7794.2046</v>
      </c>
      <c r="G26" s="7">
        <v>1.4864817000000001E-2</v>
      </c>
      <c r="H26" s="106"/>
    </row>
    <row r="27" spans="1:10" ht="17.100000000000001" customHeight="1" x14ac:dyDescent="0.2">
      <c r="A27" s="3">
        <v>21</v>
      </c>
      <c r="B27" s="4" t="s">
        <v>241</v>
      </c>
      <c r="C27" s="4" t="s">
        <v>242</v>
      </c>
      <c r="D27" s="4" t="s">
        <v>31</v>
      </c>
      <c r="E27" s="5">
        <v>374960</v>
      </c>
      <c r="F27" s="6">
        <v>7616.0000399999999</v>
      </c>
      <c r="G27" s="7">
        <v>1.4524952000000001E-2</v>
      </c>
      <c r="H27" s="106"/>
    </row>
    <row r="28" spans="1:10" ht="17.100000000000001" customHeight="1" x14ac:dyDescent="0.2">
      <c r="A28" s="3">
        <v>22</v>
      </c>
      <c r="B28" s="4" t="s">
        <v>100</v>
      </c>
      <c r="C28" s="4" t="s">
        <v>101</v>
      </c>
      <c r="D28" s="4" t="s">
        <v>96</v>
      </c>
      <c r="E28" s="5">
        <v>801652</v>
      </c>
      <c r="F28" s="6">
        <v>7412.4752179999996</v>
      </c>
      <c r="G28" s="7">
        <v>1.4136797E-2</v>
      </c>
      <c r="H28" s="106"/>
    </row>
    <row r="29" spans="1:10" ht="17.100000000000001" customHeight="1" x14ac:dyDescent="0.2">
      <c r="A29" s="3">
        <v>23</v>
      </c>
      <c r="B29" s="4" t="s">
        <v>37</v>
      </c>
      <c r="C29" s="4" t="s">
        <v>38</v>
      </c>
      <c r="D29" s="4" t="s">
        <v>31</v>
      </c>
      <c r="E29" s="5">
        <v>261885</v>
      </c>
      <c r="F29" s="6">
        <v>7273.7249325000003</v>
      </c>
      <c r="G29" s="7">
        <v>1.3872178000000001E-2</v>
      </c>
      <c r="H29" s="106"/>
    </row>
    <row r="30" spans="1:10" ht="29.1" customHeight="1" x14ac:dyDescent="0.2">
      <c r="A30" s="3">
        <v>24</v>
      </c>
      <c r="B30" s="4" t="s">
        <v>189</v>
      </c>
      <c r="C30" s="4" t="s">
        <v>190</v>
      </c>
      <c r="D30" s="4" t="s">
        <v>110</v>
      </c>
      <c r="E30" s="5">
        <v>1981839</v>
      </c>
      <c r="F30" s="6">
        <v>7180.2026969999997</v>
      </c>
      <c r="G30" s="7">
        <v>1.3693815E-2</v>
      </c>
      <c r="H30" s="106"/>
    </row>
    <row r="31" spans="1:10" ht="17.100000000000001" customHeight="1" x14ac:dyDescent="0.2">
      <c r="A31" s="3">
        <v>25</v>
      </c>
      <c r="B31" s="4" t="s">
        <v>243</v>
      </c>
      <c r="C31" s="4" t="s">
        <v>244</v>
      </c>
      <c r="D31" s="4" t="s">
        <v>245</v>
      </c>
      <c r="E31" s="5">
        <v>997049</v>
      </c>
      <c r="F31" s="6">
        <v>7059.6054445</v>
      </c>
      <c r="G31" s="7">
        <v>1.3463816999999999E-2</v>
      </c>
      <c r="H31" s="106"/>
    </row>
    <row r="32" spans="1:10" ht="17.100000000000001" customHeight="1" x14ac:dyDescent="0.2">
      <c r="A32" s="3">
        <v>26</v>
      </c>
      <c r="B32" s="4" t="s">
        <v>87</v>
      </c>
      <c r="C32" s="4" t="s">
        <v>88</v>
      </c>
      <c r="D32" s="4" t="s">
        <v>89</v>
      </c>
      <c r="E32" s="5">
        <v>249234</v>
      </c>
      <c r="F32" s="6">
        <v>6865.3997639999998</v>
      </c>
      <c r="G32" s="7">
        <v>1.3093435E-2</v>
      </c>
      <c r="H32" s="106"/>
    </row>
    <row r="33" spans="1:8" ht="29.1" customHeight="1" x14ac:dyDescent="0.2">
      <c r="A33" s="3">
        <v>27</v>
      </c>
      <c r="B33" s="4" t="s">
        <v>352</v>
      </c>
      <c r="C33" s="4" t="s">
        <v>353</v>
      </c>
      <c r="D33" s="4" t="s">
        <v>204</v>
      </c>
      <c r="E33" s="5">
        <v>187233</v>
      </c>
      <c r="F33" s="6">
        <v>6757.0517369999998</v>
      </c>
      <c r="G33" s="7">
        <v>1.2886798E-2</v>
      </c>
      <c r="H33" s="106"/>
    </row>
    <row r="34" spans="1:8" ht="17.100000000000001" customHeight="1" x14ac:dyDescent="0.2">
      <c r="A34" s="3">
        <v>28</v>
      </c>
      <c r="B34" s="4" t="s">
        <v>113</v>
      </c>
      <c r="C34" s="4" t="s">
        <v>114</v>
      </c>
      <c r="D34" s="4" t="s">
        <v>115</v>
      </c>
      <c r="E34" s="5">
        <v>1649310</v>
      </c>
      <c r="F34" s="6">
        <v>6690.426015</v>
      </c>
      <c r="G34" s="7">
        <v>1.2759731999999999E-2</v>
      </c>
      <c r="H34" s="106"/>
    </row>
    <row r="35" spans="1:8" ht="17.100000000000001" customHeight="1" x14ac:dyDescent="0.2">
      <c r="A35" s="3">
        <v>29</v>
      </c>
      <c r="B35" s="4" t="s">
        <v>194</v>
      </c>
      <c r="C35" s="4" t="s">
        <v>195</v>
      </c>
      <c r="D35" s="4" t="s">
        <v>16</v>
      </c>
      <c r="E35" s="5">
        <v>4445537</v>
      </c>
      <c r="F35" s="6">
        <v>6566.0581490000004</v>
      </c>
      <c r="G35" s="7">
        <v>1.2522541999999999E-2</v>
      </c>
      <c r="H35" s="106"/>
    </row>
    <row r="36" spans="1:8" ht="29.1" customHeight="1" x14ac:dyDescent="0.2">
      <c r="A36" s="3">
        <v>30</v>
      </c>
      <c r="B36" s="4" t="s">
        <v>196</v>
      </c>
      <c r="C36" s="4" t="s">
        <v>197</v>
      </c>
      <c r="D36" s="4" t="s">
        <v>188</v>
      </c>
      <c r="E36" s="5">
        <v>140588</v>
      </c>
      <c r="F36" s="6">
        <v>6399.2142899999999</v>
      </c>
      <c r="G36" s="7">
        <v>1.2204342999999999E-2</v>
      </c>
      <c r="H36" s="106"/>
    </row>
    <row r="37" spans="1:8" ht="29.1" customHeight="1" x14ac:dyDescent="0.2">
      <c r="A37" s="3">
        <v>31</v>
      </c>
      <c r="B37" s="4" t="s">
        <v>302</v>
      </c>
      <c r="C37" s="4" t="s">
        <v>303</v>
      </c>
      <c r="D37" s="4" t="s">
        <v>204</v>
      </c>
      <c r="E37" s="5">
        <v>622280</v>
      </c>
      <c r="F37" s="6">
        <v>6327.9653200000002</v>
      </c>
      <c r="G37" s="7">
        <v>1.206846E-2</v>
      </c>
      <c r="H37" s="106"/>
    </row>
    <row r="38" spans="1:8" ht="17.100000000000001" customHeight="1" x14ac:dyDescent="0.2">
      <c r="A38" s="3">
        <v>32</v>
      </c>
      <c r="B38" s="4" t="s">
        <v>308</v>
      </c>
      <c r="C38" s="4" t="s">
        <v>309</v>
      </c>
      <c r="D38" s="4" t="s">
        <v>310</v>
      </c>
      <c r="E38" s="5">
        <v>241253</v>
      </c>
      <c r="F38" s="6">
        <v>6153.6402710000002</v>
      </c>
      <c r="G38" s="7">
        <v>1.1735994E-2</v>
      </c>
      <c r="H38" s="106"/>
    </row>
    <row r="39" spans="1:8" ht="17.100000000000001" customHeight="1" x14ac:dyDescent="0.2">
      <c r="A39" s="3">
        <v>33</v>
      </c>
      <c r="B39" s="4" t="s">
        <v>306</v>
      </c>
      <c r="C39" s="4" t="s">
        <v>307</v>
      </c>
      <c r="D39" s="4" t="s">
        <v>1114</v>
      </c>
      <c r="E39" s="5">
        <v>191953</v>
      </c>
      <c r="F39" s="6">
        <v>6129.3472195000004</v>
      </c>
      <c r="G39" s="7">
        <v>1.1689662999999999E-2</v>
      </c>
      <c r="H39" s="106"/>
    </row>
    <row r="40" spans="1:8" ht="17.100000000000001" customHeight="1" x14ac:dyDescent="0.2">
      <c r="A40" s="3">
        <v>34</v>
      </c>
      <c r="B40" s="4" t="s">
        <v>68</v>
      </c>
      <c r="C40" s="4" t="s">
        <v>69</v>
      </c>
      <c r="D40" s="4" t="s">
        <v>70</v>
      </c>
      <c r="E40" s="5">
        <v>63700</v>
      </c>
      <c r="F40" s="6">
        <v>6069.0811999999996</v>
      </c>
      <c r="G40" s="7">
        <v>1.1574726E-2</v>
      </c>
      <c r="H40" s="106"/>
    </row>
    <row r="41" spans="1:8" ht="53.1" customHeight="1" x14ac:dyDescent="0.2">
      <c r="A41" s="3">
        <v>35</v>
      </c>
      <c r="B41" s="4" t="s">
        <v>90</v>
      </c>
      <c r="C41" s="4" t="s">
        <v>91</v>
      </c>
      <c r="D41" s="4" t="s">
        <v>48</v>
      </c>
      <c r="E41" s="5">
        <v>378482</v>
      </c>
      <c r="F41" s="6">
        <v>5965.2548020000004</v>
      </c>
      <c r="G41" s="7">
        <v>1.1376712000000001E-2</v>
      </c>
      <c r="H41" s="106"/>
    </row>
    <row r="42" spans="1:8" ht="29.1" customHeight="1" x14ac:dyDescent="0.2">
      <c r="A42" s="3">
        <v>36</v>
      </c>
      <c r="B42" s="4" t="s">
        <v>23</v>
      </c>
      <c r="C42" s="4" t="s">
        <v>24</v>
      </c>
      <c r="D42" s="4" t="s">
        <v>25</v>
      </c>
      <c r="E42" s="5">
        <v>88217</v>
      </c>
      <c r="F42" s="6">
        <v>5923.7274415000002</v>
      </c>
      <c r="G42" s="7">
        <v>1.1297513E-2</v>
      </c>
      <c r="H42" s="106"/>
    </row>
    <row r="43" spans="1:8" ht="17.100000000000001" customHeight="1" x14ac:dyDescent="0.2">
      <c r="A43" s="3">
        <v>37</v>
      </c>
      <c r="B43" s="4" t="s">
        <v>354</v>
      </c>
      <c r="C43" s="4" t="s">
        <v>355</v>
      </c>
      <c r="D43" s="4" t="s">
        <v>182</v>
      </c>
      <c r="E43" s="5">
        <v>133556</v>
      </c>
      <c r="F43" s="6">
        <v>5770.8212039999999</v>
      </c>
      <c r="G43" s="7">
        <v>1.1005895999999999E-2</v>
      </c>
      <c r="H43" s="106"/>
    </row>
    <row r="44" spans="1:8" ht="17.100000000000001" customHeight="1" x14ac:dyDescent="0.2">
      <c r="A44" s="3">
        <v>38</v>
      </c>
      <c r="B44" s="4" t="s">
        <v>356</v>
      </c>
      <c r="C44" s="4" t="s">
        <v>357</v>
      </c>
      <c r="D44" s="4" t="s">
        <v>41</v>
      </c>
      <c r="E44" s="5">
        <v>302944</v>
      </c>
      <c r="F44" s="6">
        <v>5734.7299199999998</v>
      </c>
      <c r="G44" s="7">
        <v>1.0937064E-2</v>
      </c>
      <c r="H44" s="106"/>
    </row>
    <row r="45" spans="1:8" ht="29.1" customHeight="1" x14ac:dyDescent="0.2">
      <c r="A45" s="3">
        <v>39</v>
      </c>
      <c r="B45" s="4" t="s">
        <v>97</v>
      </c>
      <c r="C45" s="4" t="s">
        <v>98</v>
      </c>
      <c r="D45" s="4" t="s">
        <v>99</v>
      </c>
      <c r="E45" s="5">
        <v>808159</v>
      </c>
      <c r="F45" s="6">
        <v>5732.6758664999998</v>
      </c>
      <c r="G45" s="7">
        <v>1.0933145999999999E-2</v>
      </c>
      <c r="H45" s="106"/>
    </row>
    <row r="46" spans="1:8" ht="17.100000000000001" customHeight="1" x14ac:dyDescent="0.2">
      <c r="A46" s="3">
        <v>40</v>
      </c>
      <c r="B46" s="4" t="s">
        <v>358</v>
      </c>
      <c r="C46" s="4" t="s">
        <v>359</v>
      </c>
      <c r="D46" s="4" t="s">
        <v>70</v>
      </c>
      <c r="E46" s="5">
        <v>1355977</v>
      </c>
      <c r="F46" s="6">
        <v>5596.7950675000002</v>
      </c>
      <c r="G46" s="7">
        <v>1.0673999E-2</v>
      </c>
      <c r="H46" s="106"/>
    </row>
    <row r="47" spans="1:8" ht="17.100000000000001" customHeight="1" x14ac:dyDescent="0.2">
      <c r="A47" s="3">
        <v>41</v>
      </c>
      <c r="B47" s="4" t="s">
        <v>228</v>
      </c>
      <c r="C47" s="4" t="s">
        <v>229</v>
      </c>
      <c r="D47" s="4" t="s">
        <v>230</v>
      </c>
      <c r="E47" s="5">
        <v>910339</v>
      </c>
      <c r="F47" s="6">
        <v>5552.6127305</v>
      </c>
      <c r="G47" s="7">
        <v>1.0589736000000001E-2</v>
      </c>
      <c r="H47" s="106"/>
    </row>
    <row r="48" spans="1:8" ht="29.1" customHeight="1" x14ac:dyDescent="0.2">
      <c r="A48" s="3">
        <v>42</v>
      </c>
      <c r="B48" s="4" t="s">
        <v>207</v>
      </c>
      <c r="C48" s="4" t="s">
        <v>208</v>
      </c>
      <c r="D48" s="4" t="s">
        <v>209</v>
      </c>
      <c r="E48" s="5">
        <v>167631</v>
      </c>
      <c r="F48" s="6">
        <v>5434.5132045</v>
      </c>
      <c r="G48" s="7">
        <v>1.0364501E-2</v>
      </c>
      <c r="H48" s="106"/>
    </row>
    <row r="49" spans="1:8" ht="17.100000000000001" customHeight="1" x14ac:dyDescent="0.2">
      <c r="A49" s="3">
        <v>43</v>
      </c>
      <c r="B49" s="4" t="s">
        <v>198</v>
      </c>
      <c r="C49" s="4" t="s">
        <v>199</v>
      </c>
      <c r="D49" s="4" t="s">
        <v>89</v>
      </c>
      <c r="E49" s="5">
        <v>189801</v>
      </c>
      <c r="F49" s="6">
        <v>5206.7159325000002</v>
      </c>
      <c r="G49" s="7">
        <v>9.9300550000000001E-3</v>
      </c>
      <c r="H49" s="106"/>
    </row>
    <row r="50" spans="1:8" ht="17.100000000000001" customHeight="1" x14ac:dyDescent="0.2">
      <c r="A50" s="3">
        <v>44</v>
      </c>
      <c r="B50" s="4" t="s">
        <v>52</v>
      </c>
      <c r="C50" s="4" t="s">
        <v>53</v>
      </c>
      <c r="D50" s="4" t="s">
        <v>28</v>
      </c>
      <c r="E50" s="5">
        <v>2249244</v>
      </c>
      <c r="F50" s="6">
        <v>5083.29144</v>
      </c>
      <c r="G50" s="7">
        <v>9.6946640000000004E-3</v>
      </c>
      <c r="H50" s="106"/>
    </row>
    <row r="51" spans="1:8" ht="17.100000000000001" customHeight="1" x14ac:dyDescent="0.2">
      <c r="A51" s="3">
        <v>45</v>
      </c>
      <c r="B51" s="4" t="s">
        <v>284</v>
      </c>
      <c r="C51" s="4" t="s">
        <v>285</v>
      </c>
      <c r="D51" s="4" t="s">
        <v>219</v>
      </c>
      <c r="E51" s="5">
        <v>1176577</v>
      </c>
      <c r="F51" s="6">
        <v>5038.6910024999997</v>
      </c>
      <c r="G51" s="7">
        <v>9.6096040000000008E-3</v>
      </c>
      <c r="H51" s="106"/>
    </row>
    <row r="52" spans="1:8" ht="29.1" customHeight="1" x14ac:dyDescent="0.2">
      <c r="A52" s="3">
        <v>46</v>
      </c>
      <c r="B52" s="4" t="s">
        <v>360</v>
      </c>
      <c r="C52" s="4" t="s">
        <v>361</v>
      </c>
      <c r="D52" s="4" t="s">
        <v>188</v>
      </c>
      <c r="E52" s="5">
        <v>58125</v>
      </c>
      <c r="F52" s="6">
        <v>4866.9806250000001</v>
      </c>
      <c r="G52" s="7">
        <v>9.2821239999999992E-3</v>
      </c>
      <c r="H52" s="106"/>
    </row>
    <row r="53" spans="1:8" ht="17.100000000000001" customHeight="1" x14ac:dyDescent="0.2">
      <c r="A53" s="3">
        <v>47</v>
      </c>
      <c r="B53" s="4" t="s">
        <v>256</v>
      </c>
      <c r="C53" s="4" t="s">
        <v>257</v>
      </c>
      <c r="D53" s="4" t="s">
        <v>212</v>
      </c>
      <c r="E53" s="5">
        <v>1743213</v>
      </c>
      <c r="F53" s="6">
        <v>4836.5444685000002</v>
      </c>
      <c r="G53" s="7">
        <v>9.2240780000000001E-3</v>
      </c>
      <c r="H53" s="106"/>
    </row>
    <row r="54" spans="1:8" ht="17.100000000000001" customHeight="1" x14ac:dyDescent="0.2">
      <c r="A54" s="3">
        <v>48</v>
      </c>
      <c r="B54" s="4" t="s">
        <v>273</v>
      </c>
      <c r="C54" s="4" t="s">
        <v>274</v>
      </c>
      <c r="D54" s="4" t="s">
        <v>1114</v>
      </c>
      <c r="E54" s="5">
        <v>241818</v>
      </c>
      <c r="F54" s="6">
        <v>4784.36913</v>
      </c>
      <c r="G54" s="7">
        <v>9.1245709999999997E-3</v>
      </c>
      <c r="H54" s="106"/>
    </row>
    <row r="55" spans="1:8" ht="29.1" customHeight="1" x14ac:dyDescent="0.2">
      <c r="A55" s="3">
        <v>49</v>
      </c>
      <c r="B55" s="4" t="s">
        <v>85</v>
      </c>
      <c r="C55" s="4" t="s">
        <v>86</v>
      </c>
      <c r="D55" s="4" t="s">
        <v>25</v>
      </c>
      <c r="E55" s="5">
        <v>19449</v>
      </c>
      <c r="F55" s="6">
        <v>4422.7998449999996</v>
      </c>
      <c r="G55" s="7">
        <v>8.4349990000000003E-3</v>
      </c>
      <c r="H55" s="106"/>
    </row>
    <row r="56" spans="1:8" ht="17.100000000000001" customHeight="1" x14ac:dyDescent="0.2">
      <c r="A56" s="3">
        <v>50</v>
      </c>
      <c r="B56" s="4" t="s">
        <v>262</v>
      </c>
      <c r="C56" s="4" t="s">
        <v>263</v>
      </c>
      <c r="D56" s="4" t="s">
        <v>110</v>
      </c>
      <c r="E56" s="5">
        <v>509693</v>
      </c>
      <c r="F56" s="6">
        <v>4416.999538</v>
      </c>
      <c r="G56" s="7">
        <v>8.4239369999999994E-3</v>
      </c>
      <c r="H56" s="106"/>
    </row>
    <row r="57" spans="1:8" ht="17.100000000000001" customHeight="1" x14ac:dyDescent="0.2">
      <c r="A57" s="3">
        <v>51</v>
      </c>
      <c r="B57" s="4" t="s">
        <v>191</v>
      </c>
      <c r="C57" s="4" t="s">
        <v>192</v>
      </c>
      <c r="D57" s="4" t="s">
        <v>193</v>
      </c>
      <c r="E57" s="5">
        <v>8729</v>
      </c>
      <c r="F57" s="6">
        <v>4344.3054585</v>
      </c>
      <c r="G57" s="7">
        <v>8.285298E-3</v>
      </c>
      <c r="H57" s="106"/>
    </row>
    <row r="58" spans="1:8" ht="17.100000000000001" customHeight="1" x14ac:dyDescent="0.2">
      <c r="A58" s="3">
        <v>52</v>
      </c>
      <c r="B58" s="4" t="s">
        <v>213</v>
      </c>
      <c r="C58" s="4" t="s">
        <v>214</v>
      </c>
      <c r="D58" s="4" t="s">
        <v>1114</v>
      </c>
      <c r="E58" s="5">
        <v>116944</v>
      </c>
      <c r="F58" s="6">
        <v>4318.8003920000001</v>
      </c>
      <c r="G58" s="7">
        <v>8.2366550000000007E-3</v>
      </c>
      <c r="H58" s="106"/>
    </row>
    <row r="59" spans="1:8" ht="17.100000000000001" customHeight="1" x14ac:dyDescent="0.2">
      <c r="A59" s="3">
        <v>53</v>
      </c>
      <c r="B59" s="4" t="s">
        <v>362</v>
      </c>
      <c r="C59" s="4" t="s">
        <v>363</v>
      </c>
      <c r="D59" s="4" t="s">
        <v>230</v>
      </c>
      <c r="E59" s="5">
        <v>1282106</v>
      </c>
      <c r="F59" s="6">
        <v>4279.6698280000001</v>
      </c>
      <c r="G59" s="7">
        <v>8.1620270000000005E-3</v>
      </c>
      <c r="H59" s="106"/>
    </row>
    <row r="60" spans="1:8" ht="17.100000000000001" customHeight="1" x14ac:dyDescent="0.2">
      <c r="A60" s="3">
        <v>54</v>
      </c>
      <c r="B60" s="4" t="s">
        <v>215</v>
      </c>
      <c r="C60" s="4" t="s">
        <v>216</v>
      </c>
      <c r="D60" s="4" t="s">
        <v>185</v>
      </c>
      <c r="E60" s="5">
        <v>240631</v>
      </c>
      <c r="F60" s="6">
        <v>3977.2694835000002</v>
      </c>
      <c r="G60" s="7">
        <v>7.5852999999999997E-3</v>
      </c>
      <c r="H60" s="106"/>
    </row>
    <row r="61" spans="1:8" ht="17.100000000000001" customHeight="1" x14ac:dyDescent="0.2">
      <c r="A61" s="3">
        <v>55</v>
      </c>
      <c r="B61" s="4" t="s">
        <v>92</v>
      </c>
      <c r="C61" s="4" t="s">
        <v>93</v>
      </c>
      <c r="D61" s="4" t="s">
        <v>31</v>
      </c>
      <c r="E61" s="5">
        <v>286278</v>
      </c>
      <c r="F61" s="6">
        <v>3858.7411619999998</v>
      </c>
      <c r="G61" s="7">
        <v>7.3592479999999997E-3</v>
      </c>
      <c r="H61" s="106"/>
    </row>
    <row r="62" spans="1:8" ht="29.1" customHeight="1" x14ac:dyDescent="0.2">
      <c r="A62" s="3">
        <v>56</v>
      </c>
      <c r="B62" s="4" t="s">
        <v>186</v>
      </c>
      <c r="C62" s="4" t="s">
        <v>187</v>
      </c>
      <c r="D62" s="4" t="s">
        <v>188</v>
      </c>
      <c r="E62" s="5">
        <v>150285</v>
      </c>
      <c r="F62" s="6">
        <v>3845.2671525000001</v>
      </c>
      <c r="G62" s="7">
        <v>7.3335500000000003E-3</v>
      </c>
      <c r="H62" s="106"/>
    </row>
    <row r="63" spans="1:8" ht="29.1" customHeight="1" x14ac:dyDescent="0.2">
      <c r="A63" s="3">
        <v>57</v>
      </c>
      <c r="B63" s="4" t="s">
        <v>364</v>
      </c>
      <c r="C63" s="4" t="s">
        <v>365</v>
      </c>
      <c r="D63" s="4" t="s">
        <v>366</v>
      </c>
      <c r="E63" s="5">
        <v>450331</v>
      </c>
      <c r="F63" s="6">
        <v>3468.2241964999998</v>
      </c>
      <c r="G63" s="7">
        <v>6.6144680000000001E-3</v>
      </c>
      <c r="H63" s="106"/>
    </row>
    <row r="64" spans="1:8" ht="17.100000000000001" customHeight="1" x14ac:dyDescent="0.2">
      <c r="A64" s="3">
        <v>58</v>
      </c>
      <c r="B64" s="4" t="s">
        <v>367</v>
      </c>
      <c r="C64" s="4" t="s">
        <v>368</v>
      </c>
      <c r="D64" s="4" t="s">
        <v>110</v>
      </c>
      <c r="E64" s="5">
        <v>348399</v>
      </c>
      <c r="F64" s="6">
        <v>3370.2377265</v>
      </c>
      <c r="G64" s="7">
        <v>6.4275920000000002E-3</v>
      </c>
      <c r="H64" s="106"/>
    </row>
    <row r="65" spans="1:8" ht="17.100000000000001" customHeight="1" x14ac:dyDescent="0.2">
      <c r="A65" s="3">
        <v>59</v>
      </c>
      <c r="B65" s="4" t="s">
        <v>246</v>
      </c>
      <c r="C65" s="4" t="s">
        <v>247</v>
      </c>
      <c r="D65" s="4" t="s">
        <v>99</v>
      </c>
      <c r="E65" s="5">
        <v>492415</v>
      </c>
      <c r="F65" s="6">
        <v>3093.5972375000001</v>
      </c>
      <c r="G65" s="7">
        <v>5.8999940000000004E-3</v>
      </c>
      <c r="H65" s="106"/>
    </row>
    <row r="66" spans="1:8" ht="17.100000000000001" customHeight="1" x14ac:dyDescent="0.2">
      <c r="A66" s="3">
        <v>60</v>
      </c>
      <c r="B66" s="4" t="s">
        <v>369</v>
      </c>
      <c r="C66" s="4" t="s">
        <v>370</v>
      </c>
      <c r="D66" s="4" t="s">
        <v>89</v>
      </c>
      <c r="E66" s="5">
        <v>328185</v>
      </c>
      <c r="F66" s="6">
        <v>3073.2884325</v>
      </c>
      <c r="G66" s="7">
        <v>5.8612610000000004E-3</v>
      </c>
      <c r="H66" s="106"/>
    </row>
    <row r="67" spans="1:8" ht="29.1" customHeight="1" x14ac:dyDescent="0.2">
      <c r="A67" s="3">
        <v>61</v>
      </c>
      <c r="B67" s="4" t="s">
        <v>222</v>
      </c>
      <c r="C67" s="4" t="s">
        <v>223</v>
      </c>
      <c r="D67" s="4" t="s">
        <v>204</v>
      </c>
      <c r="E67" s="5">
        <v>258763</v>
      </c>
      <c r="F67" s="6">
        <v>2342.063913</v>
      </c>
      <c r="G67" s="7">
        <v>4.4666970000000004E-3</v>
      </c>
      <c r="H67" s="106"/>
    </row>
    <row r="68" spans="1:8" ht="17.100000000000001" customHeight="1" x14ac:dyDescent="0.2">
      <c r="A68" s="3">
        <v>62</v>
      </c>
      <c r="B68" s="4" t="s">
        <v>371</v>
      </c>
      <c r="C68" s="4" t="s">
        <v>372</v>
      </c>
      <c r="D68" s="4" t="s">
        <v>110</v>
      </c>
      <c r="E68" s="5">
        <v>80959</v>
      </c>
      <c r="F68" s="6">
        <v>2235.682785</v>
      </c>
      <c r="G68" s="7">
        <v>4.2638110000000002E-3</v>
      </c>
      <c r="H68" s="106"/>
    </row>
    <row r="69" spans="1:8" ht="17.100000000000001" customHeight="1" x14ac:dyDescent="0.2">
      <c r="A69" s="3">
        <v>63</v>
      </c>
      <c r="B69" s="4" t="s">
        <v>277</v>
      </c>
      <c r="C69" s="4" t="s">
        <v>278</v>
      </c>
      <c r="D69" s="4" t="s">
        <v>110</v>
      </c>
      <c r="E69" s="5">
        <v>198211</v>
      </c>
      <c r="F69" s="6">
        <v>2143.1564374999998</v>
      </c>
      <c r="G69" s="7">
        <v>4.0873480000000002E-3</v>
      </c>
      <c r="H69" s="106"/>
    </row>
    <row r="70" spans="1:8" ht="17.100000000000001" customHeight="1" x14ac:dyDescent="0.2">
      <c r="A70" s="3">
        <v>64</v>
      </c>
      <c r="B70" s="4" t="s">
        <v>373</v>
      </c>
      <c r="C70" s="4" t="s">
        <v>374</v>
      </c>
      <c r="D70" s="4" t="s">
        <v>182</v>
      </c>
      <c r="E70" s="5">
        <v>181311</v>
      </c>
      <c r="F70" s="6">
        <v>2090.0625525</v>
      </c>
      <c r="G70" s="7">
        <v>3.9860900000000003E-3</v>
      </c>
      <c r="H70" s="106"/>
    </row>
    <row r="71" spans="1:8" ht="17.100000000000001" customHeight="1" x14ac:dyDescent="0.2">
      <c r="A71" s="3">
        <v>65</v>
      </c>
      <c r="B71" s="4" t="s">
        <v>75</v>
      </c>
      <c r="C71" s="4" t="s">
        <v>76</v>
      </c>
      <c r="D71" s="4" t="s">
        <v>36</v>
      </c>
      <c r="E71" s="5">
        <v>518396</v>
      </c>
      <c r="F71" s="6">
        <v>1450.472008</v>
      </c>
      <c r="G71" s="7">
        <v>2.7662860000000002E-3</v>
      </c>
      <c r="H71" s="106"/>
    </row>
    <row r="72" spans="1:8" ht="17.100000000000001" customHeight="1" x14ac:dyDescent="0.2">
      <c r="A72" s="3">
        <v>66</v>
      </c>
      <c r="B72" s="4" t="s">
        <v>125</v>
      </c>
      <c r="C72" s="4" t="s">
        <v>126</v>
      </c>
      <c r="D72" s="4"/>
      <c r="E72" s="5">
        <v>378482</v>
      </c>
      <c r="F72" s="6">
        <v>1142.0694350000001</v>
      </c>
      <c r="G72" s="7">
        <v>2.1781119999999998E-3</v>
      </c>
      <c r="H72" s="106"/>
    </row>
    <row r="73" spans="1:8" ht="17.100000000000001" customHeight="1" x14ac:dyDescent="0.2">
      <c r="A73" s="3">
        <v>67</v>
      </c>
      <c r="B73" s="4" t="s">
        <v>375</v>
      </c>
      <c r="C73" s="4" t="s">
        <v>376</v>
      </c>
      <c r="D73" s="4" t="s">
        <v>89</v>
      </c>
      <c r="E73" s="5">
        <v>1491970</v>
      </c>
      <c r="F73" s="6">
        <v>962.32065</v>
      </c>
      <c r="G73" s="7">
        <v>1.835302E-3</v>
      </c>
      <c r="H73" s="106"/>
    </row>
    <row r="74" spans="1:8" ht="17.100000000000001" customHeight="1" x14ac:dyDescent="0.2">
      <c r="A74" s="3">
        <v>68</v>
      </c>
      <c r="B74" s="4" t="s">
        <v>377</v>
      </c>
      <c r="C74" s="4" t="s">
        <v>378</v>
      </c>
      <c r="D74" s="4" t="s">
        <v>89</v>
      </c>
      <c r="E74" s="5">
        <v>1000</v>
      </c>
      <c r="F74" s="6">
        <v>907.67</v>
      </c>
      <c r="G74" s="7">
        <v>1.731074E-3</v>
      </c>
      <c r="H74" s="106"/>
    </row>
    <row r="75" spans="1:8" ht="14.1" customHeight="1" x14ac:dyDescent="0.2">
      <c r="A75" s="1"/>
      <c r="B75" s="1"/>
      <c r="C75" s="2" t="s">
        <v>130</v>
      </c>
      <c r="D75" s="1"/>
      <c r="E75" s="1" t="s">
        <v>131</v>
      </c>
      <c r="F75" s="9">
        <v>495661.72667850001</v>
      </c>
      <c r="G75" s="10">
        <v>0.945307605</v>
      </c>
      <c r="H75" s="106"/>
    </row>
    <row r="76" spans="1:8" ht="14.1" customHeight="1" x14ac:dyDescent="0.2">
      <c r="A76" s="1"/>
      <c r="B76" s="1"/>
      <c r="C76" s="11"/>
      <c r="D76" s="1"/>
      <c r="E76" s="1"/>
      <c r="F76" s="12"/>
      <c r="G76" s="12"/>
      <c r="H76" s="106"/>
    </row>
    <row r="77" spans="1:8" ht="14.1" customHeight="1" x14ac:dyDescent="0.2">
      <c r="A77" s="1"/>
      <c r="B77" s="1"/>
      <c r="C77" s="2" t="s">
        <v>132</v>
      </c>
      <c r="D77" s="1"/>
      <c r="E77" s="1"/>
      <c r="F77" s="1"/>
      <c r="G77" s="1"/>
      <c r="H77" s="106"/>
    </row>
    <row r="78" spans="1:8" ht="14.1" customHeight="1" x14ac:dyDescent="0.2">
      <c r="A78" s="1"/>
      <c r="B78" s="1"/>
      <c r="C78" s="2" t="s">
        <v>130</v>
      </c>
      <c r="D78" s="1"/>
      <c r="E78" s="1" t="s">
        <v>131</v>
      </c>
      <c r="F78" s="13">
        <v>0</v>
      </c>
      <c r="G78" s="14">
        <v>0</v>
      </c>
      <c r="H78" s="106"/>
    </row>
    <row r="79" spans="1:8" ht="14.1" customHeight="1" x14ac:dyDescent="0.2">
      <c r="A79" s="1"/>
      <c r="B79" s="1"/>
      <c r="C79" s="11"/>
      <c r="D79" s="1"/>
      <c r="E79" s="1"/>
      <c r="F79" s="12"/>
      <c r="G79" s="12"/>
      <c r="H79" s="106"/>
    </row>
    <row r="80" spans="1:8" ht="14.1" customHeight="1" x14ac:dyDescent="0.2">
      <c r="A80" s="1"/>
      <c r="B80" s="1"/>
      <c r="C80" s="2" t="s">
        <v>133</v>
      </c>
      <c r="D80" s="1"/>
      <c r="E80" s="1"/>
      <c r="F80" s="1"/>
      <c r="G80" s="1"/>
      <c r="H80" s="106"/>
    </row>
    <row r="81" spans="1:8" ht="14.1" customHeight="1" x14ac:dyDescent="0.2">
      <c r="A81" s="1"/>
      <c r="B81" s="1"/>
      <c r="C81" s="2" t="s">
        <v>130</v>
      </c>
      <c r="D81" s="1"/>
      <c r="E81" s="1" t="s">
        <v>131</v>
      </c>
      <c r="F81" s="13">
        <v>0</v>
      </c>
      <c r="G81" s="14">
        <v>0</v>
      </c>
      <c r="H81" s="106"/>
    </row>
    <row r="82" spans="1:8" ht="14.1" customHeight="1" x14ac:dyDescent="0.2">
      <c r="A82" s="1"/>
      <c r="B82" s="1"/>
      <c r="C82" s="11"/>
      <c r="D82" s="1"/>
      <c r="E82" s="1"/>
      <c r="F82" s="12"/>
      <c r="G82" s="12"/>
      <c r="H82" s="106"/>
    </row>
    <row r="83" spans="1:8" ht="14.1" customHeight="1" x14ac:dyDescent="0.2">
      <c r="A83" s="1"/>
      <c r="B83" s="1"/>
      <c r="C83" s="2" t="s">
        <v>134</v>
      </c>
      <c r="D83" s="1"/>
      <c r="E83" s="1"/>
      <c r="F83" s="1"/>
      <c r="G83" s="1"/>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135</v>
      </c>
      <c r="D86" s="1"/>
      <c r="E86" s="1"/>
      <c r="F86" s="12"/>
      <c r="G86" s="12"/>
      <c r="H86" s="106"/>
    </row>
    <row r="87" spans="1:8" ht="14.1" customHeight="1" x14ac:dyDescent="0.2">
      <c r="A87" s="1"/>
      <c r="B87" s="1"/>
      <c r="C87" s="2" t="s">
        <v>130</v>
      </c>
      <c r="D87" s="1"/>
      <c r="E87" s="1" t="s">
        <v>131</v>
      </c>
      <c r="F87" s="13">
        <v>0</v>
      </c>
      <c r="G87" s="14">
        <v>0</v>
      </c>
      <c r="H87" s="106"/>
    </row>
    <row r="88" spans="1:8" ht="14.1" customHeight="1" x14ac:dyDescent="0.2">
      <c r="A88" s="1"/>
      <c r="B88" s="1"/>
      <c r="C88" s="11"/>
      <c r="D88" s="1"/>
      <c r="E88" s="1"/>
      <c r="F88" s="12"/>
      <c r="G88" s="12"/>
      <c r="H88" s="106"/>
    </row>
    <row r="89" spans="1:8" ht="14.1" customHeight="1" x14ac:dyDescent="0.2">
      <c r="A89" s="1"/>
      <c r="B89" s="1"/>
      <c r="C89" s="2" t="s">
        <v>136</v>
      </c>
      <c r="D89" s="1"/>
      <c r="E89" s="1"/>
      <c r="F89" s="12"/>
      <c r="G89" s="12"/>
      <c r="H89" s="106"/>
    </row>
    <row r="90" spans="1:8" ht="14.1" customHeight="1" x14ac:dyDescent="0.2">
      <c r="A90" s="1"/>
      <c r="B90" s="1"/>
      <c r="C90" s="2" t="s">
        <v>130</v>
      </c>
      <c r="D90" s="1"/>
      <c r="E90" s="1" t="s">
        <v>131</v>
      </c>
      <c r="F90" s="13">
        <v>0</v>
      </c>
      <c r="G90" s="14">
        <v>0</v>
      </c>
      <c r="H90" s="106"/>
    </row>
    <row r="91" spans="1:8" ht="14.1" customHeight="1" x14ac:dyDescent="0.2">
      <c r="A91" s="1"/>
      <c r="B91" s="1"/>
      <c r="C91" s="11"/>
      <c r="D91" s="1"/>
      <c r="E91" s="1"/>
      <c r="F91" s="12"/>
      <c r="G91" s="12"/>
      <c r="H91" s="106"/>
    </row>
    <row r="92" spans="1:8" ht="18" customHeight="1" x14ac:dyDescent="0.2">
      <c r="A92" s="1"/>
      <c r="B92" s="1"/>
      <c r="C92" s="2" t="s">
        <v>137</v>
      </c>
      <c r="D92" s="1"/>
      <c r="E92" s="1"/>
      <c r="F92" s="9">
        <v>495661.72667850001</v>
      </c>
      <c r="G92" s="10">
        <v>0.945307605</v>
      </c>
      <c r="H92" s="106"/>
    </row>
    <row r="93" spans="1:8" ht="14.1" customHeight="1" x14ac:dyDescent="0.2">
      <c r="A93" s="1"/>
      <c r="B93" s="1"/>
      <c r="C93" s="11"/>
      <c r="D93" s="1"/>
      <c r="E93" s="1"/>
      <c r="F93" s="12"/>
      <c r="G93" s="12"/>
      <c r="H93" s="106"/>
    </row>
    <row r="94" spans="1:8" ht="14.1" customHeight="1" x14ac:dyDescent="0.2">
      <c r="A94" s="1"/>
      <c r="B94" s="1"/>
      <c r="C94" s="2" t="s">
        <v>138</v>
      </c>
      <c r="D94" s="1"/>
      <c r="E94" s="1"/>
      <c r="F94" s="12"/>
      <c r="G94" s="12"/>
      <c r="H94" s="106"/>
    </row>
    <row r="95" spans="1:8" ht="24" customHeight="1" x14ac:dyDescent="0.2">
      <c r="A95" s="1"/>
      <c r="B95" s="1"/>
      <c r="C95" s="2" t="s">
        <v>10</v>
      </c>
      <c r="D95" s="1"/>
      <c r="E95" s="1"/>
      <c r="F95" s="12"/>
      <c r="G95" s="12"/>
      <c r="H95" s="106"/>
    </row>
    <row r="96" spans="1:8" ht="14.1" customHeight="1" x14ac:dyDescent="0.2">
      <c r="A96" s="1"/>
      <c r="B96" s="1"/>
      <c r="C96" s="2" t="s">
        <v>130</v>
      </c>
      <c r="D96" s="1"/>
      <c r="E96" s="1" t="s">
        <v>131</v>
      </c>
      <c r="F96" s="13">
        <v>0</v>
      </c>
      <c r="G96" s="14">
        <v>0</v>
      </c>
      <c r="H96" s="106"/>
    </row>
    <row r="97" spans="1:8" ht="14.1" customHeight="1" x14ac:dyDescent="0.2">
      <c r="A97" s="1"/>
      <c r="B97" s="1"/>
      <c r="C97" s="11"/>
      <c r="D97" s="1"/>
      <c r="E97" s="1"/>
      <c r="F97" s="12"/>
      <c r="G97" s="12"/>
      <c r="H97" s="106"/>
    </row>
    <row r="98" spans="1:8" ht="14.1" customHeight="1" x14ac:dyDescent="0.2">
      <c r="A98" s="1"/>
      <c r="B98" s="1"/>
      <c r="C98" s="2" t="s">
        <v>139</v>
      </c>
      <c r="D98" s="1"/>
      <c r="E98" s="1"/>
      <c r="F98" s="1"/>
      <c r="G98" s="1"/>
      <c r="H98" s="106"/>
    </row>
    <row r="99" spans="1:8" ht="14.1" customHeight="1" x14ac:dyDescent="0.2">
      <c r="A99" s="1"/>
      <c r="B99" s="1"/>
      <c r="C99" s="2" t="s">
        <v>130</v>
      </c>
      <c r="D99" s="1"/>
      <c r="E99" s="1" t="s">
        <v>131</v>
      </c>
      <c r="F99" s="13">
        <v>0</v>
      </c>
      <c r="G99" s="14">
        <v>0</v>
      </c>
      <c r="H99" s="106"/>
    </row>
    <row r="100" spans="1:8" ht="14.1" customHeight="1" x14ac:dyDescent="0.2">
      <c r="A100" s="1"/>
      <c r="B100" s="1"/>
      <c r="C100" s="11"/>
      <c r="D100" s="1"/>
      <c r="E100" s="1"/>
      <c r="F100" s="12"/>
      <c r="G100" s="12"/>
      <c r="H100" s="106"/>
    </row>
    <row r="101" spans="1:8" ht="14.1" customHeight="1" x14ac:dyDescent="0.2">
      <c r="A101" s="1"/>
      <c r="B101" s="1"/>
      <c r="C101" s="2" t="s">
        <v>140</v>
      </c>
      <c r="D101" s="1"/>
      <c r="E101" s="1"/>
      <c r="F101" s="1"/>
      <c r="G101" s="1"/>
      <c r="H101" s="106"/>
    </row>
    <row r="102" spans="1:8" ht="14.1" customHeight="1" x14ac:dyDescent="0.2">
      <c r="A102" s="1"/>
      <c r="B102" s="1"/>
      <c r="C102" s="2" t="s">
        <v>130</v>
      </c>
      <c r="D102" s="1"/>
      <c r="E102" s="1" t="s">
        <v>131</v>
      </c>
      <c r="F102" s="13">
        <v>0</v>
      </c>
      <c r="G102" s="14">
        <v>0</v>
      </c>
      <c r="H102" s="106"/>
    </row>
    <row r="103" spans="1:8" ht="14.1" customHeight="1" x14ac:dyDescent="0.2">
      <c r="A103" s="1"/>
      <c r="B103" s="1"/>
      <c r="C103" s="11"/>
      <c r="D103" s="1"/>
      <c r="E103" s="1"/>
      <c r="F103" s="12"/>
      <c r="G103" s="12"/>
      <c r="H103" s="106"/>
    </row>
    <row r="104" spans="1:8" ht="14.1" customHeight="1" x14ac:dyDescent="0.2">
      <c r="A104" s="1"/>
      <c r="B104" s="1"/>
      <c r="C104" s="2" t="s">
        <v>141</v>
      </c>
      <c r="D104" s="1"/>
      <c r="E104" s="1"/>
      <c r="F104" s="12"/>
      <c r="G104" s="12"/>
      <c r="H104" s="106"/>
    </row>
    <row r="105" spans="1:8" ht="14.1" customHeight="1" x14ac:dyDescent="0.2">
      <c r="A105" s="1"/>
      <c r="B105" s="1"/>
      <c r="C105" s="2" t="s">
        <v>130</v>
      </c>
      <c r="D105" s="1"/>
      <c r="E105" s="1" t="s">
        <v>131</v>
      </c>
      <c r="F105" s="13">
        <v>0</v>
      </c>
      <c r="G105" s="14">
        <v>0</v>
      </c>
      <c r="H105" s="106"/>
    </row>
    <row r="106" spans="1:8" ht="14.1" customHeight="1" x14ac:dyDescent="0.2">
      <c r="A106" s="1"/>
      <c r="B106" s="1"/>
      <c r="C106" s="11"/>
      <c r="D106" s="1"/>
      <c r="E106" s="1"/>
      <c r="F106" s="12"/>
      <c r="G106" s="12"/>
      <c r="H106" s="106"/>
    </row>
    <row r="107" spans="1:8" ht="14.1" customHeight="1" x14ac:dyDescent="0.2">
      <c r="A107" s="1"/>
      <c r="B107" s="1"/>
      <c r="C107" s="2" t="s">
        <v>142</v>
      </c>
      <c r="D107" s="1"/>
      <c r="E107" s="1"/>
      <c r="F107" s="9">
        <v>0</v>
      </c>
      <c r="G107" s="10">
        <v>0</v>
      </c>
      <c r="H107" s="106"/>
    </row>
    <row r="108" spans="1:8" ht="14.1" customHeight="1" x14ac:dyDescent="0.2">
      <c r="A108" s="1"/>
      <c r="B108" s="1"/>
      <c r="C108" s="11"/>
      <c r="D108" s="1"/>
      <c r="E108" s="1"/>
      <c r="F108" s="12"/>
      <c r="G108" s="12"/>
      <c r="H108" s="106"/>
    </row>
    <row r="109" spans="1:8" ht="14.1" customHeight="1" x14ac:dyDescent="0.2">
      <c r="A109" s="1"/>
      <c r="B109" s="1"/>
      <c r="C109" s="2" t="s">
        <v>143</v>
      </c>
      <c r="D109" s="1"/>
      <c r="E109" s="1"/>
      <c r="F109" s="12"/>
      <c r="G109" s="12"/>
      <c r="H109" s="106"/>
    </row>
    <row r="110" spans="1:8" ht="14.1" customHeight="1" x14ac:dyDescent="0.2">
      <c r="A110" s="1"/>
      <c r="B110" s="1"/>
      <c r="C110" s="2" t="s">
        <v>144</v>
      </c>
      <c r="D110" s="1"/>
      <c r="E110" s="1"/>
      <c r="F110" s="12"/>
      <c r="G110" s="12"/>
      <c r="H110" s="106"/>
    </row>
    <row r="111" spans="1:8" ht="14.1" customHeight="1" x14ac:dyDescent="0.2">
      <c r="A111" s="1"/>
      <c r="B111" s="1"/>
      <c r="C111" s="2" t="s">
        <v>130</v>
      </c>
      <c r="D111" s="1"/>
      <c r="E111" s="1" t="s">
        <v>131</v>
      </c>
      <c r="F111" s="13">
        <v>0</v>
      </c>
      <c r="G111" s="14">
        <v>0</v>
      </c>
      <c r="H111" s="106"/>
    </row>
    <row r="112" spans="1:8" ht="14.1" customHeight="1" x14ac:dyDescent="0.2">
      <c r="A112" s="1"/>
      <c r="B112" s="1"/>
      <c r="C112" s="11"/>
      <c r="D112" s="1"/>
      <c r="E112" s="1"/>
      <c r="F112" s="12"/>
      <c r="G112" s="12"/>
      <c r="H112" s="106"/>
    </row>
    <row r="113" spans="1:8" ht="14.1" customHeight="1" x14ac:dyDescent="0.2">
      <c r="A113" s="1"/>
      <c r="B113" s="1"/>
      <c r="C113" s="2" t="s">
        <v>145</v>
      </c>
      <c r="D113" s="1"/>
      <c r="E113" s="1"/>
      <c r="F113" s="12"/>
      <c r="G113" s="12"/>
      <c r="H113" s="106"/>
    </row>
    <row r="114" spans="1:8" ht="14.1" customHeight="1" x14ac:dyDescent="0.2">
      <c r="A114" s="1"/>
      <c r="B114" s="1"/>
      <c r="C114" s="2" t="s">
        <v>130</v>
      </c>
      <c r="D114" s="1"/>
      <c r="E114" s="1" t="s">
        <v>131</v>
      </c>
      <c r="F114" s="13">
        <v>0</v>
      </c>
      <c r="G114" s="14">
        <v>0</v>
      </c>
      <c r="H114" s="106"/>
    </row>
    <row r="115" spans="1:8" ht="14.1" customHeight="1" x14ac:dyDescent="0.2">
      <c r="A115" s="1"/>
      <c r="B115" s="1"/>
      <c r="C115" s="11"/>
      <c r="D115" s="1"/>
      <c r="E115" s="1"/>
      <c r="F115" s="12"/>
      <c r="G115" s="12"/>
      <c r="H115" s="106"/>
    </row>
    <row r="116" spans="1:8" ht="14.1" customHeight="1" x14ac:dyDescent="0.2">
      <c r="A116" s="1"/>
      <c r="B116" s="1"/>
      <c r="C116" s="2" t="s">
        <v>146</v>
      </c>
      <c r="D116" s="1"/>
      <c r="E116" s="1"/>
      <c r="F116" s="12"/>
      <c r="G116" s="12"/>
      <c r="H116" s="106"/>
    </row>
    <row r="117" spans="1:8" ht="14.1" customHeight="1" x14ac:dyDescent="0.2">
      <c r="A117" s="1"/>
      <c r="B117" s="1"/>
      <c r="C117" s="2" t="s">
        <v>130</v>
      </c>
      <c r="D117" s="1"/>
      <c r="E117" s="1" t="s">
        <v>131</v>
      </c>
      <c r="F117" s="13">
        <v>0</v>
      </c>
      <c r="G117" s="14">
        <v>0</v>
      </c>
      <c r="H117" s="106"/>
    </row>
    <row r="118" spans="1:8" ht="14.1" customHeight="1" x14ac:dyDescent="0.2">
      <c r="A118" s="1"/>
      <c r="B118" s="1"/>
      <c r="C118" s="11"/>
      <c r="D118" s="1"/>
      <c r="E118" s="1"/>
      <c r="F118" s="12"/>
      <c r="G118" s="12"/>
      <c r="H118" s="106"/>
    </row>
    <row r="119" spans="1:8" ht="14.1" customHeight="1" x14ac:dyDescent="0.2">
      <c r="A119" s="1"/>
      <c r="B119" s="1"/>
      <c r="C119" s="2" t="s">
        <v>147</v>
      </c>
      <c r="D119" s="1"/>
      <c r="E119" s="1"/>
      <c r="F119" s="12"/>
      <c r="G119" s="12"/>
      <c r="H119" s="106"/>
    </row>
    <row r="120" spans="1:8" ht="17.100000000000001" customHeight="1" x14ac:dyDescent="0.2">
      <c r="A120" s="3">
        <v>1</v>
      </c>
      <c r="B120" s="4"/>
      <c r="C120" s="4" t="s">
        <v>148</v>
      </c>
      <c r="D120" s="4"/>
      <c r="E120" s="8"/>
      <c r="F120" s="6">
        <v>22653.7976762</v>
      </c>
      <c r="G120" s="7">
        <v>4.3204480000000003E-2</v>
      </c>
      <c r="H120" s="106">
        <v>6.1171451766917002</v>
      </c>
    </row>
    <row r="121" spans="1:8" ht="14.1" customHeight="1" x14ac:dyDescent="0.2">
      <c r="A121" s="1"/>
      <c r="B121" s="1"/>
      <c r="C121" s="2" t="s">
        <v>130</v>
      </c>
      <c r="D121" s="1"/>
      <c r="E121" s="1" t="s">
        <v>131</v>
      </c>
      <c r="F121" s="9">
        <v>22653.7976762</v>
      </c>
      <c r="G121" s="10">
        <v>4.3204480000000003E-2</v>
      </c>
      <c r="H121" s="106"/>
    </row>
    <row r="122" spans="1:8" ht="14.1" customHeight="1" x14ac:dyDescent="0.2">
      <c r="A122" s="1"/>
      <c r="B122" s="1"/>
      <c r="C122" s="11"/>
      <c r="D122" s="1"/>
      <c r="E122" s="1"/>
      <c r="F122" s="12"/>
      <c r="G122" s="12"/>
      <c r="H122" s="106"/>
    </row>
    <row r="123" spans="1:8" ht="14.1" customHeight="1" x14ac:dyDescent="0.2">
      <c r="A123" s="1"/>
      <c r="B123" s="1"/>
      <c r="C123" s="2" t="s">
        <v>149</v>
      </c>
      <c r="D123" s="1"/>
      <c r="E123" s="1"/>
      <c r="F123" s="9">
        <v>22653.7976762</v>
      </c>
      <c r="G123" s="10">
        <v>4.3204480000000003E-2</v>
      </c>
      <c r="H123" s="106"/>
    </row>
    <row r="124" spans="1:8" ht="14.1" customHeight="1" x14ac:dyDescent="0.2">
      <c r="A124" s="1"/>
      <c r="B124" s="1"/>
      <c r="C124" s="12"/>
      <c r="D124" s="1"/>
      <c r="E124" s="1"/>
      <c r="F124" s="1"/>
      <c r="G124" s="1"/>
      <c r="H124" s="106"/>
    </row>
    <row r="125" spans="1:8" ht="14.1" customHeight="1" x14ac:dyDescent="0.2">
      <c r="A125" s="1"/>
      <c r="B125" s="1"/>
      <c r="C125" s="2" t="s">
        <v>150</v>
      </c>
      <c r="D125" s="1"/>
      <c r="E125" s="1"/>
      <c r="F125" s="1"/>
      <c r="G125" s="1"/>
      <c r="H125" s="106"/>
    </row>
    <row r="126" spans="1:8" ht="14.1" customHeight="1" x14ac:dyDescent="0.2">
      <c r="A126" s="1"/>
      <c r="B126" s="1"/>
      <c r="C126" s="2" t="s">
        <v>151</v>
      </c>
      <c r="D126" s="1"/>
      <c r="E126" s="1"/>
      <c r="F126" s="1"/>
      <c r="G126" s="1"/>
      <c r="H126" s="106"/>
    </row>
    <row r="127" spans="1:8" ht="14.1" customHeight="1" x14ac:dyDescent="0.2">
      <c r="A127" s="1"/>
      <c r="B127" s="1"/>
      <c r="C127" s="2" t="s">
        <v>130</v>
      </c>
      <c r="D127" s="1"/>
      <c r="E127" s="1" t="s">
        <v>131</v>
      </c>
      <c r="F127" s="13">
        <v>0</v>
      </c>
      <c r="G127" s="14">
        <v>0</v>
      </c>
      <c r="H127" s="106"/>
    </row>
    <row r="128" spans="1:8" ht="14.1" customHeight="1" x14ac:dyDescent="0.2">
      <c r="A128" s="1"/>
      <c r="B128" s="1"/>
      <c r="C128" s="11"/>
      <c r="D128" s="1"/>
      <c r="E128" s="1"/>
      <c r="F128" s="12"/>
      <c r="G128" s="12"/>
      <c r="H128" s="106"/>
    </row>
    <row r="129" spans="1:15" ht="14.1" customHeight="1" x14ac:dyDescent="0.2">
      <c r="A129" s="1"/>
      <c r="B129" s="1"/>
      <c r="C129" s="2" t="s">
        <v>152</v>
      </c>
      <c r="D129" s="1"/>
      <c r="E129" s="1"/>
      <c r="F129" s="1"/>
      <c r="G129" s="1"/>
      <c r="H129" s="106"/>
    </row>
    <row r="130" spans="1:15" ht="14.1" customHeight="1" x14ac:dyDescent="0.2">
      <c r="A130" s="1"/>
      <c r="B130" s="1"/>
      <c r="C130" s="2" t="s">
        <v>153</v>
      </c>
      <c r="D130" s="1"/>
      <c r="E130" s="1"/>
      <c r="F130" s="1"/>
      <c r="G130" s="1"/>
      <c r="H130" s="106"/>
    </row>
    <row r="131" spans="1:15" ht="14.1" customHeight="1" x14ac:dyDescent="0.2">
      <c r="A131" s="1"/>
      <c r="B131" s="1"/>
      <c r="C131" s="2" t="s">
        <v>130</v>
      </c>
      <c r="D131" s="1"/>
      <c r="E131" s="1" t="s">
        <v>131</v>
      </c>
      <c r="F131" s="13">
        <v>0</v>
      </c>
      <c r="G131" s="14">
        <v>0</v>
      </c>
      <c r="H131" s="106"/>
    </row>
    <row r="132" spans="1:15" ht="14.1" customHeight="1" x14ac:dyDescent="0.2">
      <c r="A132" s="1"/>
      <c r="B132" s="1"/>
      <c r="C132" s="11"/>
      <c r="D132" s="1"/>
      <c r="E132" s="1"/>
      <c r="F132" s="12"/>
      <c r="G132" s="12"/>
      <c r="H132" s="106"/>
    </row>
    <row r="133" spans="1:15" ht="14.1" customHeight="1" x14ac:dyDescent="0.2">
      <c r="A133" s="1"/>
      <c r="B133" s="1"/>
      <c r="C133" s="11"/>
      <c r="D133" s="1"/>
      <c r="E133" s="1"/>
      <c r="F133" s="12"/>
      <c r="G133" s="12"/>
      <c r="H133" s="106"/>
    </row>
    <row r="134" spans="1:15" ht="24" customHeight="1" x14ac:dyDescent="0.2">
      <c r="A134" s="1"/>
      <c r="B134" s="1"/>
      <c r="C134" s="2" t="s">
        <v>154</v>
      </c>
      <c r="D134" s="1"/>
      <c r="E134" s="1"/>
      <c r="F134" s="12"/>
      <c r="G134" s="12"/>
      <c r="H134" s="106"/>
    </row>
    <row r="135" spans="1:15" ht="14.1" customHeight="1" x14ac:dyDescent="0.2">
      <c r="A135" s="1"/>
      <c r="B135" s="1"/>
      <c r="C135" s="2" t="s">
        <v>130</v>
      </c>
      <c r="D135" s="1"/>
      <c r="E135" s="1" t="s">
        <v>131</v>
      </c>
      <c r="F135" s="13">
        <v>0</v>
      </c>
      <c r="G135" s="14">
        <v>0</v>
      </c>
      <c r="H135" s="106"/>
    </row>
    <row r="136" spans="1:15" ht="14.1" customHeight="1" x14ac:dyDescent="0.2">
      <c r="A136" s="1"/>
      <c r="B136" s="1"/>
      <c r="C136" s="11"/>
      <c r="D136" s="1"/>
      <c r="E136" s="1"/>
      <c r="F136" s="12"/>
      <c r="G136" s="12"/>
      <c r="H136" s="106"/>
    </row>
    <row r="137" spans="1:15" ht="14.1" customHeight="1" x14ac:dyDescent="0.2">
      <c r="A137" s="1"/>
      <c r="B137" s="4"/>
      <c r="C137" s="4"/>
      <c r="D137" s="2"/>
      <c r="E137" s="1"/>
      <c r="F137" s="4"/>
      <c r="G137" s="8"/>
      <c r="H137" s="106"/>
      <c r="J137" s="162"/>
      <c r="K137" s="162"/>
      <c r="L137" s="162"/>
      <c r="M137" s="162"/>
      <c r="N137" s="162"/>
      <c r="O137" s="162"/>
    </row>
    <row r="138" spans="1:15" ht="18" customHeight="1" x14ac:dyDescent="0.2">
      <c r="A138" s="8"/>
      <c r="B138" s="4"/>
      <c r="C138" s="4" t="s">
        <v>155</v>
      </c>
      <c r="D138" s="4"/>
      <c r="E138" s="8"/>
      <c r="F138" s="6">
        <v>6023.5611994999999</v>
      </c>
      <c r="G138" s="7">
        <v>1.1487911999999999E-2</v>
      </c>
      <c r="H138" s="106"/>
    </row>
    <row r="139" spans="1:15" ht="14.1" customHeight="1" x14ac:dyDescent="0.2">
      <c r="A139" s="11"/>
      <c r="B139" s="11"/>
      <c r="C139" s="2" t="s">
        <v>156</v>
      </c>
      <c r="D139" s="15"/>
      <c r="E139" s="15"/>
      <c r="F139" s="9">
        <v>524339.08555419999</v>
      </c>
      <c r="G139" s="14">
        <v>0.99999999699999997</v>
      </c>
      <c r="H139" s="106"/>
    </row>
    <row r="140" spans="1:15" ht="14.1" customHeight="1" x14ac:dyDescent="0.2">
      <c r="A140" s="16"/>
      <c r="B140" s="16"/>
      <c r="C140" s="16"/>
      <c r="D140" s="17"/>
      <c r="E140" s="17"/>
      <c r="F140" s="17"/>
      <c r="G140" s="17"/>
    </row>
    <row r="141" spans="1:15" ht="14.1" customHeight="1" x14ac:dyDescent="0.2">
      <c r="A141" s="18"/>
      <c r="B141" s="18"/>
      <c r="C141" s="18"/>
      <c r="D141" s="20"/>
      <c r="E141" s="20"/>
      <c r="F141" s="20"/>
      <c r="G141" s="20"/>
    </row>
    <row r="142" spans="1:15" ht="14.1" customHeight="1" x14ac:dyDescent="0.2">
      <c r="A142" s="18"/>
      <c r="B142" s="279" t="s">
        <v>158</v>
      </c>
      <c r="C142" s="280"/>
      <c r="D142" s="12" t="s">
        <v>131</v>
      </c>
      <c r="E142" s="21"/>
      <c r="F142" s="20"/>
      <c r="G142" s="20"/>
    </row>
    <row r="143" spans="1:15" ht="29.1" customHeight="1" x14ac:dyDescent="0.2">
      <c r="A143" s="18"/>
      <c r="B143" s="274" t="s">
        <v>159</v>
      </c>
      <c r="C143" s="275"/>
      <c r="D143" s="2" t="s">
        <v>160</v>
      </c>
      <c r="E143" s="21"/>
      <c r="F143" s="20"/>
      <c r="G143" s="20"/>
    </row>
    <row r="144" spans="1:15" ht="17.100000000000001" customHeight="1" x14ac:dyDescent="0.2">
      <c r="A144" s="18"/>
      <c r="B144" s="274" t="s">
        <v>161</v>
      </c>
      <c r="C144" s="275"/>
      <c r="D144" s="2" t="s">
        <v>160</v>
      </c>
      <c r="E144" s="21"/>
      <c r="F144" s="20"/>
      <c r="G144" s="20"/>
    </row>
    <row r="145" spans="1:7" ht="17.100000000000001" customHeight="1" x14ac:dyDescent="0.2">
      <c r="A145" s="18"/>
      <c r="B145" s="274" t="s">
        <v>162</v>
      </c>
      <c r="C145" s="275"/>
      <c r="D145" s="12" t="s">
        <v>131</v>
      </c>
      <c r="E145" s="21"/>
      <c r="F145" s="20"/>
      <c r="G145" s="20"/>
    </row>
    <row r="146" spans="1:7" ht="24" customHeight="1" x14ac:dyDescent="0.2">
      <c r="A146" s="22"/>
      <c r="B146" s="23" t="s">
        <v>131</v>
      </c>
      <c r="C146" s="23" t="s">
        <v>163</v>
      </c>
      <c r="D146" s="23" t="s">
        <v>164</v>
      </c>
      <c r="E146" s="22"/>
      <c r="F146" s="22"/>
      <c r="G146" s="22"/>
    </row>
    <row r="147" spans="1:7" ht="18" customHeight="1" x14ac:dyDescent="0.2">
      <c r="A147" s="22"/>
      <c r="B147" s="23" t="s">
        <v>165</v>
      </c>
      <c r="C147" s="23" t="s">
        <v>166</v>
      </c>
      <c r="D147" s="23" t="s">
        <v>167</v>
      </c>
      <c r="E147" s="22"/>
      <c r="F147" s="22"/>
      <c r="G147" s="22"/>
    </row>
    <row r="148" spans="1:7" ht="17.100000000000001" customHeight="1" x14ac:dyDescent="0.2">
      <c r="A148" s="22"/>
      <c r="B148" s="4" t="s">
        <v>168</v>
      </c>
      <c r="C148" s="24">
        <v>59.299599999999998</v>
      </c>
      <c r="D148" s="24">
        <v>61.0931</v>
      </c>
      <c r="E148" s="22"/>
      <c r="F148" s="19"/>
      <c r="G148" s="25"/>
    </row>
    <row r="149" spans="1:7" ht="17.100000000000001" customHeight="1" x14ac:dyDescent="0.2">
      <c r="A149" s="22"/>
      <c r="B149" s="4" t="s">
        <v>1048</v>
      </c>
      <c r="C149" s="24">
        <v>27.447299999999998</v>
      </c>
      <c r="D149" s="24">
        <v>28.277200000000001</v>
      </c>
      <c r="E149" s="22"/>
      <c r="F149" s="19"/>
      <c r="G149" s="25"/>
    </row>
    <row r="150" spans="1:7" ht="17.100000000000001" customHeight="1" x14ac:dyDescent="0.2">
      <c r="A150" s="22"/>
      <c r="B150" s="4" t="s">
        <v>169</v>
      </c>
      <c r="C150" s="24">
        <v>54.350900000000003</v>
      </c>
      <c r="D150" s="24">
        <v>55.939900000000002</v>
      </c>
      <c r="E150" s="22"/>
      <c r="F150" s="19"/>
      <c r="G150" s="25"/>
    </row>
    <row r="151" spans="1:7" ht="17.100000000000001" customHeight="1" x14ac:dyDescent="0.2">
      <c r="A151" s="22"/>
      <c r="B151" s="4" t="s">
        <v>1049</v>
      </c>
      <c r="C151" s="24">
        <v>24.627700000000001</v>
      </c>
      <c r="D151" s="24">
        <v>25.3475</v>
      </c>
      <c r="E151" s="22"/>
      <c r="F151" s="19"/>
      <c r="G151" s="25"/>
    </row>
    <row r="152" spans="1:7" ht="14.1" customHeight="1" x14ac:dyDescent="0.2">
      <c r="A152" s="22"/>
      <c r="B152" s="22"/>
      <c r="C152" s="22"/>
      <c r="D152" s="22"/>
      <c r="E152" s="22"/>
      <c r="F152" s="22"/>
      <c r="G152" s="22"/>
    </row>
    <row r="153" spans="1:7" ht="17.100000000000001" customHeight="1" x14ac:dyDescent="0.2">
      <c r="A153" s="22"/>
      <c r="B153" s="274" t="s">
        <v>1060</v>
      </c>
      <c r="C153" s="275"/>
      <c r="D153" s="2" t="s">
        <v>160</v>
      </c>
      <c r="E153" s="22"/>
      <c r="F153" s="22"/>
      <c r="G153" s="22"/>
    </row>
    <row r="154" spans="1:7" ht="18" customHeight="1" x14ac:dyDescent="0.2">
      <c r="A154" s="22"/>
      <c r="B154" s="26" t="s">
        <v>170</v>
      </c>
      <c r="C154" s="26" t="s">
        <v>170</v>
      </c>
      <c r="D154" s="26"/>
      <c r="E154" s="22"/>
      <c r="F154" s="22"/>
      <c r="G154" s="22"/>
    </row>
    <row r="155" spans="1:7" ht="29.1" customHeight="1" x14ac:dyDescent="0.2">
      <c r="A155" s="22"/>
      <c r="B155" s="274" t="s">
        <v>171</v>
      </c>
      <c r="C155" s="275"/>
      <c r="D155" s="2" t="s">
        <v>160</v>
      </c>
      <c r="E155" s="22"/>
      <c r="F155" s="22"/>
      <c r="G155" s="22"/>
    </row>
    <row r="156" spans="1:7" ht="29.1" customHeight="1" x14ac:dyDescent="0.2">
      <c r="A156" s="22"/>
      <c r="B156" s="274" t="s">
        <v>172</v>
      </c>
      <c r="C156" s="275"/>
      <c r="D156" s="2" t="s">
        <v>160</v>
      </c>
      <c r="E156" s="22"/>
      <c r="F156" s="22"/>
      <c r="G156" s="22"/>
    </row>
    <row r="157" spans="1:7" ht="17.100000000000001" customHeight="1" x14ac:dyDescent="0.2">
      <c r="A157" s="22"/>
      <c r="B157" s="274" t="s">
        <v>173</v>
      </c>
      <c r="C157" s="275"/>
      <c r="D157" s="27">
        <v>0.24323832957155037</v>
      </c>
      <c r="E157" s="22"/>
      <c r="F157" s="19"/>
      <c r="G157" s="25"/>
    </row>
    <row r="158" spans="1:7" ht="17.100000000000001" customHeight="1" x14ac:dyDescent="0.2">
      <c r="A158" s="22"/>
      <c r="B158" s="274" t="s">
        <v>174</v>
      </c>
      <c r="C158" s="275"/>
      <c r="D158" s="2" t="s">
        <v>160</v>
      </c>
      <c r="E158" s="22"/>
      <c r="F158" s="22"/>
      <c r="G158" s="22"/>
    </row>
  </sheetData>
  <mergeCells count="13">
    <mergeCell ref="B142:C142"/>
    <mergeCell ref="A1:H1"/>
    <mergeCell ref="A2:H2"/>
    <mergeCell ref="A3:H3"/>
    <mergeCell ref="J2:N2"/>
    <mergeCell ref="B157:C157"/>
    <mergeCell ref="B158:C158"/>
    <mergeCell ref="B143:C143"/>
    <mergeCell ref="B144:C144"/>
    <mergeCell ref="B145:C145"/>
    <mergeCell ref="B153:C153"/>
    <mergeCell ref="B155:C155"/>
    <mergeCell ref="B156:C156"/>
  </mergeCells>
  <hyperlinks>
    <hyperlink ref="I1" location="Index!B6" display="Index" xr:uid="{D8975F94-1E6C-4D81-8661-D45EF0D202D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379</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108</v>
      </c>
      <c r="C7" s="4" t="s">
        <v>109</v>
      </c>
      <c r="D7" s="4" t="s">
        <v>110</v>
      </c>
      <c r="E7" s="5">
        <v>252941</v>
      </c>
      <c r="F7" s="6">
        <v>941.19346099999996</v>
      </c>
      <c r="G7" s="7">
        <v>3.0120137000000002E-2</v>
      </c>
      <c r="H7" s="106"/>
    </row>
    <row r="8" spans="1:14" ht="29.1" customHeight="1" x14ac:dyDescent="0.2">
      <c r="A8" s="3">
        <v>2</v>
      </c>
      <c r="B8" s="4" t="s">
        <v>189</v>
      </c>
      <c r="C8" s="4" t="s">
        <v>190</v>
      </c>
      <c r="D8" s="4" t="s">
        <v>110</v>
      </c>
      <c r="E8" s="5">
        <v>238680</v>
      </c>
      <c r="F8" s="6">
        <v>864.73764000000006</v>
      </c>
      <c r="G8" s="7">
        <v>2.7673393000000001E-2</v>
      </c>
      <c r="H8" s="106"/>
    </row>
    <row r="9" spans="1:14" ht="17.100000000000001" customHeight="1" x14ac:dyDescent="0.2">
      <c r="A9" s="3">
        <v>3</v>
      </c>
      <c r="B9" s="4" t="s">
        <v>17</v>
      </c>
      <c r="C9" s="4" t="s">
        <v>18</v>
      </c>
      <c r="D9" s="4" t="s">
        <v>19</v>
      </c>
      <c r="E9" s="5">
        <v>86009</v>
      </c>
      <c r="F9" s="6">
        <v>715.59487999999999</v>
      </c>
      <c r="G9" s="7">
        <v>2.2900515999999999E-2</v>
      </c>
      <c r="H9" s="106"/>
    </row>
    <row r="10" spans="1:14" ht="17.100000000000001" customHeight="1" x14ac:dyDescent="0.2">
      <c r="A10" s="3">
        <v>4</v>
      </c>
      <c r="B10" s="4" t="s">
        <v>304</v>
      </c>
      <c r="C10" s="4" t="s">
        <v>305</v>
      </c>
      <c r="D10" s="4" t="s">
        <v>240</v>
      </c>
      <c r="E10" s="5">
        <v>134532</v>
      </c>
      <c r="F10" s="6">
        <v>690.08189400000003</v>
      </c>
      <c r="G10" s="7">
        <v>2.2084047999999998E-2</v>
      </c>
      <c r="H10" s="106"/>
    </row>
    <row r="11" spans="1:14" ht="17.100000000000001" customHeight="1" x14ac:dyDescent="0.2">
      <c r="A11" s="3">
        <v>5</v>
      </c>
      <c r="B11" s="4" t="s">
        <v>380</v>
      </c>
      <c r="C11" s="4" t="s">
        <v>381</v>
      </c>
      <c r="D11" s="4" t="s">
        <v>99</v>
      </c>
      <c r="E11" s="5">
        <v>668258</v>
      </c>
      <c r="F11" s="6">
        <v>674.27232200000003</v>
      </c>
      <c r="G11" s="7">
        <v>2.1578109000000002E-2</v>
      </c>
      <c r="H11" s="106"/>
    </row>
    <row r="12" spans="1:14" ht="17.100000000000001" customHeight="1" x14ac:dyDescent="0.2">
      <c r="A12" s="3">
        <v>6</v>
      </c>
      <c r="B12" s="4" t="s">
        <v>382</v>
      </c>
      <c r="C12" s="4" t="s">
        <v>383</v>
      </c>
      <c r="D12" s="4" t="s">
        <v>110</v>
      </c>
      <c r="E12" s="5">
        <v>33569</v>
      </c>
      <c r="F12" s="6">
        <v>623.52739050000002</v>
      </c>
      <c r="G12" s="7">
        <v>1.9954165999999999E-2</v>
      </c>
      <c r="H12" s="106"/>
    </row>
    <row r="13" spans="1:14" ht="17.100000000000001" customHeight="1" x14ac:dyDescent="0.2">
      <c r="A13" s="3">
        <v>7</v>
      </c>
      <c r="B13" s="4" t="s">
        <v>320</v>
      </c>
      <c r="C13" s="4" t="s">
        <v>321</v>
      </c>
      <c r="D13" s="4" t="s">
        <v>230</v>
      </c>
      <c r="E13" s="5">
        <v>42209</v>
      </c>
      <c r="F13" s="6">
        <v>610.82754350000005</v>
      </c>
      <c r="G13" s="7">
        <v>1.9547744999999998E-2</v>
      </c>
      <c r="H13" s="106"/>
      <c r="J13" s="161" t="s">
        <v>1088</v>
      </c>
    </row>
    <row r="14" spans="1:14" ht="17.100000000000001" customHeight="1" x14ac:dyDescent="0.2">
      <c r="A14" s="3">
        <v>8</v>
      </c>
      <c r="B14" s="4" t="s">
        <v>384</v>
      </c>
      <c r="C14" s="4" t="s">
        <v>385</v>
      </c>
      <c r="D14" s="4" t="s">
        <v>288</v>
      </c>
      <c r="E14" s="5">
        <v>52435</v>
      </c>
      <c r="F14" s="6">
        <v>605.362075</v>
      </c>
      <c r="G14" s="7">
        <v>1.9372838E-2</v>
      </c>
      <c r="H14" s="106"/>
    </row>
    <row r="15" spans="1:14" ht="17.100000000000001" customHeight="1" x14ac:dyDescent="0.2">
      <c r="A15" s="3">
        <v>9</v>
      </c>
      <c r="B15" s="4" t="s">
        <v>386</v>
      </c>
      <c r="C15" s="4" t="s">
        <v>387</v>
      </c>
      <c r="D15" s="4" t="s">
        <v>110</v>
      </c>
      <c r="E15" s="5">
        <v>95870</v>
      </c>
      <c r="F15" s="6">
        <v>573.39846999999997</v>
      </c>
      <c r="G15" s="7">
        <v>1.8349937E-2</v>
      </c>
      <c r="H15" s="106"/>
    </row>
    <row r="16" spans="1:14" ht="17.100000000000001" customHeight="1" x14ac:dyDescent="0.2">
      <c r="A16" s="3">
        <v>10</v>
      </c>
      <c r="B16" s="4" t="s">
        <v>279</v>
      </c>
      <c r="C16" s="4" t="s">
        <v>280</v>
      </c>
      <c r="D16" s="4" t="s">
        <v>22</v>
      </c>
      <c r="E16" s="5">
        <v>258753</v>
      </c>
      <c r="F16" s="6">
        <v>553.34329049999997</v>
      </c>
      <c r="G16" s="7">
        <v>1.7708129999999999E-2</v>
      </c>
      <c r="H16" s="106"/>
    </row>
    <row r="17" spans="1:8" ht="17.100000000000001" customHeight="1" x14ac:dyDescent="0.2">
      <c r="A17" s="3">
        <v>11</v>
      </c>
      <c r="B17" s="4" t="s">
        <v>388</v>
      </c>
      <c r="C17" s="4" t="s">
        <v>389</v>
      </c>
      <c r="D17" s="4" t="s">
        <v>99</v>
      </c>
      <c r="E17" s="5">
        <v>93044</v>
      </c>
      <c r="F17" s="6">
        <v>487.876214</v>
      </c>
      <c r="G17" s="7">
        <v>1.5613047999999999E-2</v>
      </c>
      <c r="H17" s="106"/>
    </row>
    <row r="18" spans="1:8" ht="29.1" customHeight="1" x14ac:dyDescent="0.2">
      <c r="A18" s="3">
        <v>12</v>
      </c>
      <c r="B18" s="4" t="s">
        <v>202</v>
      </c>
      <c r="C18" s="4" t="s">
        <v>203</v>
      </c>
      <c r="D18" s="4" t="s">
        <v>204</v>
      </c>
      <c r="E18" s="5">
        <v>102522</v>
      </c>
      <c r="F18" s="6">
        <v>466.01375100000001</v>
      </c>
      <c r="G18" s="7">
        <v>1.4913404E-2</v>
      </c>
      <c r="H18" s="106"/>
    </row>
    <row r="19" spans="1:8" ht="17.100000000000001" customHeight="1" x14ac:dyDescent="0.2">
      <c r="A19" s="3">
        <v>13</v>
      </c>
      <c r="B19" s="4" t="s">
        <v>94</v>
      </c>
      <c r="C19" s="4" t="s">
        <v>95</v>
      </c>
      <c r="D19" s="4" t="s">
        <v>96</v>
      </c>
      <c r="E19" s="5">
        <v>80378</v>
      </c>
      <c r="F19" s="6">
        <v>401.528299</v>
      </c>
      <c r="G19" s="7">
        <v>1.2849736E-2</v>
      </c>
      <c r="H19" s="106"/>
    </row>
    <row r="20" spans="1:8" ht="29.1" customHeight="1" x14ac:dyDescent="0.2">
      <c r="A20" s="3">
        <v>14</v>
      </c>
      <c r="B20" s="4" t="s">
        <v>390</v>
      </c>
      <c r="C20" s="4" t="s">
        <v>391</v>
      </c>
      <c r="D20" s="4" t="s">
        <v>67</v>
      </c>
      <c r="E20" s="5">
        <v>24905</v>
      </c>
      <c r="F20" s="6">
        <v>399.67543999999998</v>
      </c>
      <c r="G20" s="7">
        <v>1.2790441E-2</v>
      </c>
      <c r="H20" s="106"/>
    </row>
    <row r="21" spans="1:8" ht="17.100000000000001" customHeight="1" x14ac:dyDescent="0.2">
      <c r="A21" s="3">
        <v>15</v>
      </c>
      <c r="B21" s="4" t="s">
        <v>392</v>
      </c>
      <c r="C21" s="4" t="s">
        <v>393</v>
      </c>
      <c r="D21" s="4" t="s">
        <v>230</v>
      </c>
      <c r="E21" s="5">
        <v>46888</v>
      </c>
      <c r="F21" s="6">
        <v>350.62846400000001</v>
      </c>
      <c r="G21" s="7">
        <v>1.1220836E-2</v>
      </c>
      <c r="H21" s="106"/>
    </row>
    <row r="22" spans="1:8" ht="17.100000000000001" customHeight="1" x14ac:dyDescent="0.2">
      <c r="A22" s="3">
        <v>16</v>
      </c>
      <c r="B22" s="4" t="s">
        <v>42</v>
      </c>
      <c r="C22" s="4" t="s">
        <v>43</v>
      </c>
      <c r="D22" s="4" t="s">
        <v>16</v>
      </c>
      <c r="E22" s="5">
        <v>60165</v>
      </c>
      <c r="F22" s="6">
        <v>345.22676999999999</v>
      </c>
      <c r="G22" s="7">
        <v>1.1047971E-2</v>
      </c>
      <c r="H22" s="106"/>
    </row>
    <row r="23" spans="1:8" ht="29.1" customHeight="1" x14ac:dyDescent="0.2">
      <c r="A23" s="3">
        <v>17</v>
      </c>
      <c r="B23" s="4" t="s">
        <v>317</v>
      </c>
      <c r="C23" s="4" t="s">
        <v>318</v>
      </c>
      <c r="D23" s="4" t="s">
        <v>319</v>
      </c>
      <c r="E23" s="5">
        <v>62196</v>
      </c>
      <c r="F23" s="6">
        <v>343.81948799999998</v>
      </c>
      <c r="G23" s="7">
        <v>1.1002935E-2</v>
      </c>
      <c r="H23" s="106"/>
    </row>
    <row r="24" spans="1:8" ht="17.100000000000001" customHeight="1" x14ac:dyDescent="0.2">
      <c r="A24" s="3">
        <v>18</v>
      </c>
      <c r="B24" s="4" t="s">
        <v>394</v>
      </c>
      <c r="C24" s="4" t="s">
        <v>395</v>
      </c>
      <c r="D24" s="4" t="s">
        <v>99</v>
      </c>
      <c r="E24" s="5">
        <v>47334</v>
      </c>
      <c r="F24" s="6">
        <v>343.76317499999999</v>
      </c>
      <c r="G24" s="7">
        <v>1.1001133E-2</v>
      </c>
      <c r="H24" s="106"/>
    </row>
    <row r="25" spans="1:8" ht="17.100000000000001" customHeight="1" x14ac:dyDescent="0.2">
      <c r="A25" s="3">
        <v>19</v>
      </c>
      <c r="B25" s="4" t="s">
        <v>396</v>
      </c>
      <c r="C25" s="4" t="s">
        <v>397</v>
      </c>
      <c r="D25" s="4" t="s">
        <v>288</v>
      </c>
      <c r="E25" s="5">
        <v>43772</v>
      </c>
      <c r="F25" s="6">
        <v>327.98359599999998</v>
      </c>
      <c r="G25" s="7">
        <v>1.0496152999999999E-2</v>
      </c>
      <c r="H25" s="106"/>
    </row>
    <row r="26" spans="1:8" ht="29.1" customHeight="1" x14ac:dyDescent="0.2">
      <c r="A26" s="3">
        <v>20</v>
      </c>
      <c r="B26" s="4" t="s">
        <v>63</v>
      </c>
      <c r="C26" s="4" t="s">
        <v>64</v>
      </c>
      <c r="D26" s="4" t="s">
        <v>25</v>
      </c>
      <c r="E26" s="5">
        <v>11904</v>
      </c>
      <c r="F26" s="6">
        <v>322.91385600000001</v>
      </c>
      <c r="G26" s="7">
        <v>1.0333910999999999E-2</v>
      </c>
      <c r="H26" s="106"/>
    </row>
    <row r="27" spans="1:8" ht="17.100000000000001" customHeight="1" x14ac:dyDescent="0.2">
      <c r="A27" s="3">
        <v>21</v>
      </c>
      <c r="B27" s="4" t="s">
        <v>398</v>
      </c>
      <c r="C27" s="4" t="s">
        <v>399</v>
      </c>
      <c r="D27" s="4" t="s">
        <v>110</v>
      </c>
      <c r="E27" s="5">
        <v>49939</v>
      </c>
      <c r="F27" s="6">
        <v>319.50972200000001</v>
      </c>
      <c r="G27" s="7">
        <v>1.0224972000000001E-2</v>
      </c>
      <c r="H27" s="106"/>
    </row>
    <row r="28" spans="1:8" ht="29.1" customHeight="1" x14ac:dyDescent="0.2">
      <c r="A28" s="3">
        <v>22</v>
      </c>
      <c r="B28" s="4" t="s">
        <v>196</v>
      </c>
      <c r="C28" s="4" t="s">
        <v>197</v>
      </c>
      <c r="D28" s="4" t="s">
        <v>188</v>
      </c>
      <c r="E28" s="5">
        <v>7015</v>
      </c>
      <c r="F28" s="6">
        <v>319.30526250000003</v>
      </c>
      <c r="G28" s="7">
        <v>1.0218428999999999E-2</v>
      </c>
      <c r="H28" s="106"/>
    </row>
    <row r="29" spans="1:8" ht="17.100000000000001" customHeight="1" x14ac:dyDescent="0.2">
      <c r="A29" s="3">
        <v>23</v>
      </c>
      <c r="B29" s="4" t="s">
        <v>400</v>
      </c>
      <c r="C29" s="4" t="s">
        <v>401</v>
      </c>
      <c r="D29" s="4" t="s">
        <v>31</v>
      </c>
      <c r="E29" s="5">
        <v>37025</v>
      </c>
      <c r="F29" s="6">
        <v>313.17596250000003</v>
      </c>
      <c r="G29" s="7">
        <v>1.0022278000000001E-2</v>
      </c>
      <c r="H29" s="106"/>
    </row>
    <row r="30" spans="1:8" ht="17.100000000000001" customHeight="1" x14ac:dyDescent="0.2">
      <c r="A30" s="3">
        <v>24</v>
      </c>
      <c r="B30" s="4" t="s">
        <v>246</v>
      </c>
      <c r="C30" s="4" t="s">
        <v>247</v>
      </c>
      <c r="D30" s="4" t="s">
        <v>99</v>
      </c>
      <c r="E30" s="5">
        <v>47685</v>
      </c>
      <c r="F30" s="6">
        <v>299.58101249999999</v>
      </c>
      <c r="G30" s="7">
        <v>9.5872119999999995E-3</v>
      </c>
      <c r="H30" s="106"/>
    </row>
    <row r="31" spans="1:8" ht="29.1" customHeight="1" x14ac:dyDescent="0.2">
      <c r="A31" s="3">
        <v>25</v>
      </c>
      <c r="B31" s="4" t="s">
        <v>402</v>
      </c>
      <c r="C31" s="4" t="s">
        <v>403</v>
      </c>
      <c r="D31" s="4" t="s">
        <v>319</v>
      </c>
      <c r="E31" s="5">
        <v>64218</v>
      </c>
      <c r="F31" s="6">
        <v>268.78443900000002</v>
      </c>
      <c r="G31" s="7">
        <v>8.6016579999999999E-3</v>
      </c>
      <c r="H31" s="106"/>
    </row>
    <row r="32" spans="1:8" ht="17.100000000000001" customHeight="1" x14ac:dyDescent="0.2">
      <c r="A32" s="3">
        <v>26</v>
      </c>
      <c r="B32" s="4" t="s">
        <v>404</v>
      </c>
      <c r="C32" s="4" t="s">
        <v>405</v>
      </c>
      <c r="D32" s="4" t="s">
        <v>13</v>
      </c>
      <c r="E32" s="5">
        <v>343241</v>
      </c>
      <c r="F32" s="6">
        <v>253.99834000000001</v>
      </c>
      <c r="G32" s="7">
        <v>8.1284719999999994E-3</v>
      </c>
      <c r="H32" s="106"/>
    </row>
    <row r="33" spans="1:8" ht="17.100000000000001" customHeight="1" x14ac:dyDescent="0.2">
      <c r="A33" s="3">
        <v>27</v>
      </c>
      <c r="B33" s="4" t="s">
        <v>406</v>
      </c>
      <c r="C33" s="4" t="s">
        <v>407</v>
      </c>
      <c r="D33" s="4" t="s">
        <v>99</v>
      </c>
      <c r="E33" s="5">
        <v>25528</v>
      </c>
      <c r="F33" s="6">
        <v>248.94905600000001</v>
      </c>
      <c r="G33" s="7">
        <v>7.9668849999999999E-3</v>
      </c>
      <c r="H33" s="106"/>
    </row>
    <row r="34" spans="1:8" ht="29.1" customHeight="1" x14ac:dyDescent="0.2">
      <c r="A34" s="3">
        <v>28</v>
      </c>
      <c r="B34" s="4" t="s">
        <v>291</v>
      </c>
      <c r="C34" s="4" t="s">
        <v>292</v>
      </c>
      <c r="D34" s="4" t="s">
        <v>188</v>
      </c>
      <c r="E34" s="5">
        <v>30908</v>
      </c>
      <c r="F34" s="6">
        <v>234.885346</v>
      </c>
      <c r="G34" s="7">
        <v>7.5168170000000003E-3</v>
      </c>
      <c r="H34" s="106"/>
    </row>
    <row r="35" spans="1:8" ht="29.1" customHeight="1" x14ac:dyDescent="0.2">
      <c r="A35" s="3">
        <v>29</v>
      </c>
      <c r="B35" s="4" t="s">
        <v>408</v>
      </c>
      <c r="C35" s="4" t="s">
        <v>409</v>
      </c>
      <c r="D35" s="4" t="s">
        <v>188</v>
      </c>
      <c r="E35" s="5">
        <v>23134</v>
      </c>
      <c r="F35" s="6">
        <v>206.505651</v>
      </c>
      <c r="G35" s="7">
        <v>6.6086080000000002E-3</v>
      </c>
      <c r="H35" s="106"/>
    </row>
    <row r="36" spans="1:8" ht="29.1" customHeight="1" x14ac:dyDescent="0.2">
      <c r="A36" s="3">
        <v>30</v>
      </c>
      <c r="B36" s="4" t="s">
        <v>410</v>
      </c>
      <c r="C36" s="4" t="s">
        <v>411</v>
      </c>
      <c r="D36" s="4" t="s">
        <v>204</v>
      </c>
      <c r="E36" s="5">
        <v>57811</v>
      </c>
      <c r="F36" s="6">
        <v>204.65093999999999</v>
      </c>
      <c r="G36" s="7">
        <v>6.5492529999999997E-3</v>
      </c>
      <c r="H36" s="106"/>
    </row>
    <row r="37" spans="1:8" ht="17.100000000000001" customHeight="1" x14ac:dyDescent="0.2">
      <c r="A37" s="3">
        <v>31</v>
      </c>
      <c r="B37" s="4" t="s">
        <v>412</v>
      </c>
      <c r="C37" s="4" t="s">
        <v>413</v>
      </c>
      <c r="D37" s="4" t="s">
        <v>193</v>
      </c>
      <c r="E37" s="5">
        <v>23357</v>
      </c>
      <c r="F37" s="6">
        <v>191.32886550000001</v>
      </c>
      <c r="G37" s="7">
        <v>6.1229190000000001E-3</v>
      </c>
      <c r="H37" s="106"/>
    </row>
    <row r="38" spans="1:8" ht="17.100000000000001" customHeight="1" x14ac:dyDescent="0.2">
      <c r="A38" s="3">
        <v>32</v>
      </c>
      <c r="B38" s="4" t="s">
        <v>414</v>
      </c>
      <c r="C38" s="4" t="s">
        <v>415</v>
      </c>
      <c r="D38" s="4" t="s">
        <v>110</v>
      </c>
      <c r="E38" s="5">
        <v>15442</v>
      </c>
      <c r="F38" s="6">
        <v>190.88628299999999</v>
      </c>
      <c r="G38" s="7">
        <v>6.1087559999999999E-3</v>
      </c>
      <c r="H38" s="106"/>
    </row>
    <row r="39" spans="1:8" ht="17.100000000000001" customHeight="1" x14ac:dyDescent="0.2">
      <c r="A39" s="3">
        <v>33</v>
      </c>
      <c r="B39" s="4" t="s">
        <v>416</v>
      </c>
      <c r="C39" s="4" t="s">
        <v>417</v>
      </c>
      <c r="D39" s="4" t="s">
        <v>212</v>
      </c>
      <c r="E39" s="5">
        <v>62810</v>
      </c>
      <c r="F39" s="6">
        <v>181.049825</v>
      </c>
      <c r="G39" s="7">
        <v>5.7939690000000004E-3</v>
      </c>
      <c r="H39" s="106"/>
    </row>
    <row r="40" spans="1:8" ht="17.100000000000001" customHeight="1" x14ac:dyDescent="0.2">
      <c r="A40" s="3">
        <v>34</v>
      </c>
      <c r="B40" s="4" t="s">
        <v>418</v>
      </c>
      <c r="C40" s="4" t="s">
        <v>419</v>
      </c>
      <c r="D40" s="4" t="s">
        <v>13</v>
      </c>
      <c r="E40" s="5">
        <v>34835</v>
      </c>
      <c r="F40" s="6">
        <v>165.58817250000001</v>
      </c>
      <c r="G40" s="7">
        <v>5.2991640000000003E-3</v>
      </c>
      <c r="H40" s="106"/>
    </row>
    <row r="41" spans="1:8" ht="29.1" customHeight="1" x14ac:dyDescent="0.2">
      <c r="A41" s="3">
        <v>35</v>
      </c>
      <c r="B41" s="4" t="s">
        <v>420</v>
      </c>
      <c r="C41" s="4" t="s">
        <v>421</v>
      </c>
      <c r="D41" s="4" t="s">
        <v>366</v>
      </c>
      <c r="E41" s="5">
        <v>30000</v>
      </c>
      <c r="F41" s="6">
        <v>150.255</v>
      </c>
      <c r="G41" s="7">
        <v>4.8084709999999999E-3</v>
      </c>
      <c r="H41" s="106"/>
    </row>
    <row r="42" spans="1:8" ht="17.100000000000001" customHeight="1" x14ac:dyDescent="0.2">
      <c r="A42" s="3">
        <v>36</v>
      </c>
      <c r="B42" s="4" t="s">
        <v>422</v>
      </c>
      <c r="C42" s="4" t="s">
        <v>423</v>
      </c>
      <c r="D42" s="4" t="s">
        <v>237</v>
      </c>
      <c r="E42" s="5">
        <v>20203</v>
      </c>
      <c r="F42" s="6">
        <v>148.5627605</v>
      </c>
      <c r="G42" s="7">
        <v>4.7543159999999998E-3</v>
      </c>
      <c r="H42" s="106"/>
    </row>
    <row r="43" spans="1:8" ht="29.1" customHeight="1" x14ac:dyDescent="0.2">
      <c r="A43" s="3">
        <v>37</v>
      </c>
      <c r="B43" s="4" t="s">
        <v>424</v>
      </c>
      <c r="C43" s="4" t="s">
        <v>425</v>
      </c>
      <c r="D43" s="4" t="s">
        <v>110</v>
      </c>
      <c r="E43" s="5">
        <v>12284</v>
      </c>
      <c r="F43" s="6">
        <v>145.669814</v>
      </c>
      <c r="G43" s="7">
        <v>4.6617350000000002E-3</v>
      </c>
      <c r="H43" s="106"/>
    </row>
    <row r="44" spans="1:8" ht="17.100000000000001" customHeight="1" x14ac:dyDescent="0.2">
      <c r="A44" s="3">
        <v>38</v>
      </c>
      <c r="B44" s="4" t="s">
        <v>426</v>
      </c>
      <c r="C44" s="4" t="s">
        <v>427</v>
      </c>
      <c r="D44" s="4" t="s">
        <v>31</v>
      </c>
      <c r="E44" s="5">
        <v>16941</v>
      </c>
      <c r="F44" s="6">
        <v>134.42683500000001</v>
      </c>
      <c r="G44" s="7">
        <v>4.3019369999999996E-3</v>
      </c>
      <c r="H44" s="106"/>
    </row>
    <row r="45" spans="1:8" ht="29.1" customHeight="1" x14ac:dyDescent="0.2">
      <c r="A45" s="3">
        <v>39</v>
      </c>
      <c r="B45" s="4" t="s">
        <v>428</v>
      </c>
      <c r="C45" s="4" t="s">
        <v>429</v>
      </c>
      <c r="D45" s="4" t="s">
        <v>204</v>
      </c>
      <c r="E45" s="5">
        <v>3032</v>
      </c>
      <c r="F45" s="6">
        <v>122.27601199999999</v>
      </c>
      <c r="G45" s="7">
        <v>3.9130850000000002E-3</v>
      </c>
      <c r="H45" s="106"/>
    </row>
    <row r="46" spans="1:8" ht="17.100000000000001" customHeight="1" x14ac:dyDescent="0.2">
      <c r="A46" s="3">
        <v>40</v>
      </c>
      <c r="B46" s="4" t="s">
        <v>337</v>
      </c>
      <c r="C46" s="4" t="s">
        <v>338</v>
      </c>
      <c r="D46" s="4" t="s">
        <v>96</v>
      </c>
      <c r="E46" s="5">
        <v>161000</v>
      </c>
      <c r="F46" s="6">
        <v>119.94499999999999</v>
      </c>
      <c r="G46" s="7">
        <v>3.8384880000000001E-3</v>
      </c>
      <c r="H46" s="106"/>
    </row>
    <row r="47" spans="1:8" ht="29.1" customHeight="1" x14ac:dyDescent="0.2">
      <c r="A47" s="3">
        <v>41</v>
      </c>
      <c r="B47" s="4" t="s">
        <v>430</v>
      </c>
      <c r="C47" s="4" t="s">
        <v>431</v>
      </c>
      <c r="D47" s="4" t="s">
        <v>204</v>
      </c>
      <c r="E47" s="5">
        <v>49569</v>
      </c>
      <c r="F47" s="6">
        <v>112.10029350000001</v>
      </c>
      <c r="G47" s="7">
        <v>3.5874409999999998E-3</v>
      </c>
      <c r="H47" s="106"/>
    </row>
    <row r="48" spans="1:8" ht="17.100000000000001" customHeight="1" x14ac:dyDescent="0.2">
      <c r="A48" s="3">
        <v>42</v>
      </c>
      <c r="B48" s="4" t="s">
        <v>432</v>
      </c>
      <c r="C48" s="4" t="s">
        <v>433</v>
      </c>
      <c r="D48" s="4" t="s">
        <v>89</v>
      </c>
      <c r="E48" s="5">
        <v>14339</v>
      </c>
      <c r="F48" s="6">
        <v>96.888622999999995</v>
      </c>
      <c r="G48" s="7">
        <v>3.1006359999999999E-3</v>
      </c>
      <c r="H48" s="106"/>
    </row>
    <row r="49" spans="1:8" ht="17.100000000000001" customHeight="1" x14ac:dyDescent="0.2">
      <c r="A49" s="3">
        <v>43</v>
      </c>
      <c r="B49" s="4" t="s">
        <v>29</v>
      </c>
      <c r="C49" s="4" t="s">
        <v>30</v>
      </c>
      <c r="D49" s="4" t="s">
        <v>31</v>
      </c>
      <c r="E49" s="5">
        <v>4246</v>
      </c>
      <c r="F49" s="6">
        <v>88.374121000000002</v>
      </c>
      <c r="G49" s="7">
        <v>2.8281550000000002E-3</v>
      </c>
      <c r="H49" s="106"/>
    </row>
    <row r="50" spans="1:8" ht="29.1" customHeight="1" x14ac:dyDescent="0.2">
      <c r="A50" s="3">
        <v>44</v>
      </c>
      <c r="B50" s="4" t="s">
        <v>329</v>
      </c>
      <c r="C50" s="4" t="s">
        <v>330</v>
      </c>
      <c r="D50" s="4" t="s">
        <v>188</v>
      </c>
      <c r="E50" s="5">
        <v>23384</v>
      </c>
      <c r="F50" s="6">
        <v>87.736767999999998</v>
      </c>
      <c r="G50" s="7">
        <v>2.807758E-3</v>
      </c>
      <c r="H50" s="106"/>
    </row>
    <row r="51" spans="1:8" ht="29.1" customHeight="1" x14ac:dyDescent="0.2">
      <c r="A51" s="3">
        <v>45</v>
      </c>
      <c r="B51" s="4" t="s">
        <v>434</v>
      </c>
      <c r="C51" s="4" t="s">
        <v>435</v>
      </c>
      <c r="D51" s="4" t="s">
        <v>62</v>
      </c>
      <c r="E51" s="5">
        <v>14211</v>
      </c>
      <c r="F51" s="6">
        <v>59.4943515</v>
      </c>
      <c r="G51" s="7">
        <v>1.903942E-3</v>
      </c>
      <c r="H51" s="106"/>
    </row>
    <row r="52" spans="1:8" ht="17.100000000000001" customHeight="1" x14ac:dyDescent="0.2">
      <c r="A52" s="3">
        <v>46</v>
      </c>
      <c r="B52" s="4" t="s">
        <v>213</v>
      </c>
      <c r="C52" s="4" t="s">
        <v>214</v>
      </c>
      <c r="D52" s="4" t="s">
        <v>1114</v>
      </c>
      <c r="E52" s="5">
        <v>1200</v>
      </c>
      <c r="F52" s="6">
        <v>44.316600000000001</v>
      </c>
      <c r="G52" s="7">
        <v>1.4182229999999999E-3</v>
      </c>
      <c r="H52" s="106"/>
    </row>
    <row r="53" spans="1:8" ht="17.100000000000001" customHeight="1" x14ac:dyDescent="0.2">
      <c r="A53" s="3">
        <v>47</v>
      </c>
      <c r="B53" s="4" t="s">
        <v>436</v>
      </c>
      <c r="C53" s="4" t="s">
        <v>437</v>
      </c>
      <c r="D53" s="4" t="s">
        <v>16</v>
      </c>
      <c r="E53" s="5">
        <v>12313</v>
      </c>
      <c r="F53" s="6">
        <v>27.981292499999999</v>
      </c>
      <c r="G53" s="7">
        <v>8.9545900000000003E-4</v>
      </c>
      <c r="H53" s="106"/>
    </row>
    <row r="54" spans="1:8" ht="14.1" customHeight="1" x14ac:dyDescent="0.2">
      <c r="A54" s="1"/>
      <c r="B54" s="1"/>
      <c r="C54" s="2" t="s">
        <v>130</v>
      </c>
      <c r="D54" s="1"/>
      <c r="E54" s="1" t="s">
        <v>131</v>
      </c>
      <c r="F54" s="9">
        <v>15377.994368</v>
      </c>
      <c r="G54" s="10">
        <v>0.49212762500000001</v>
      </c>
      <c r="H54" s="106"/>
    </row>
    <row r="55" spans="1:8" ht="14.1" customHeight="1" x14ac:dyDescent="0.2">
      <c r="A55" s="1"/>
      <c r="B55" s="1"/>
      <c r="C55" s="11"/>
      <c r="D55" s="1"/>
      <c r="E55" s="1"/>
      <c r="F55" s="12"/>
      <c r="G55" s="12"/>
      <c r="H55" s="106"/>
    </row>
    <row r="56" spans="1:8" ht="14.1" customHeight="1" x14ac:dyDescent="0.2">
      <c r="A56" s="1"/>
      <c r="B56" s="1"/>
      <c r="C56" s="2" t="s">
        <v>132</v>
      </c>
      <c r="D56" s="1"/>
      <c r="E56" s="1"/>
      <c r="F56" s="1"/>
      <c r="G56" s="1"/>
      <c r="H56" s="106"/>
    </row>
    <row r="57" spans="1:8" ht="14.1" customHeight="1" x14ac:dyDescent="0.2">
      <c r="A57" s="1"/>
      <c r="B57" s="1"/>
      <c r="C57" s="2" t="s">
        <v>130</v>
      </c>
      <c r="D57" s="1"/>
      <c r="E57" s="1" t="s">
        <v>131</v>
      </c>
      <c r="F57" s="13">
        <v>0</v>
      </c>
      <c r="G57" s="14">
        <v>0</v>
      </c>
      <c r="H57" s="106"/>
    </row>
    <row r="58" spans="1:8" ht="14.1" customHeight="1" x14ac:dyDescent="0.2">
      <c r="A58" s="1"/>
      <c r="B58" s="1"/>
      <c r="C58" s="11"/>
      <c r="D58" s="1"/>
      <c r="E58" s="1"/>
      <c r="F58" s="12"/>
      <c r="G58" s="12"/>
      <c r="H58" s="106"/>
    </row>
    <row r="59" spans="1:8" ht="14.1" customHeight="1" x14ac:dyDescent="0.2">
      <c r="A59" s="1"/>
      <c r="B59" s="1"/>
      <c r="C59" s="2" t="s">
        <v>133</v>
      </c>
      <c r="D59" s="1"/>
      <c r="E59" s="1"/>
      <c r="F59" s="1"/>
      <c r="G59" s="1"/>
      <c r="H59" s="106"/>
    </row>
    <row r="60" spans="1:8" ht="14.1" customHeight="1" x14ac:dyDescent="0.2">
      <c r="A60" s="1"/>
      <c r="B60" s="1"/>
      <c r="C60" s="2" t="s">
        <v>130</v>
      </c>
      <c r="D60" s="1"/>
      <c r="E60" s="1" t="s">
        <v>131</v>
      </c>
      <c r="F60" s="13">
        <v>0</v>
      </c>
      <c r="G60" s="14">
        <v>0</v>
      </c>
      <c r="H60" s="106"/>
    </row>
    <row r="61" spans="1:8" ht="14.1" customHeight="1" x14ac:dyDescent="0.2">
      <c r="A61" s="1"/>
      <c r="B61" s="1"/>
      <c r="C61" s="11"/>
      <c r="D61" s="1"/>
      <c r="E61" s="1"/>
      <c r="F61" s="12"/>
      <c r="G61" s="12"/>
      <c r="H61" s="106"/>
    </row>
    <row r="62" spans="1:8" ht="14.1" customHeight="1" x14ac:dyDescent="0.2">
      <c r="A62" s="1"/>
      <c r="B62" s="1"/>
      <c r="C62" s="2" t="s">
        <v>134</v>
      </c>
      <c r="D62" s="1"/>
      <c r="E62" s="1"/>
      <c r="F62" s="1"/>
      <c r="G62" s="1"/>
      <c r="H62" s="106"/>
    </row>
    <row r="63" spans="1:8" ht="14.1" customHeight="1" x14ac:dyDescent="0.2">
      <c r="A63" s="1"/>
      <c r="B63" s="1"/>
      <c r="C63" s="2" t="s">
        <v>130</v>
      </c>
      <c r="D63" s="1"/>
      <c r="E63" s="1" t="s">
        <v>131</v>
      </c>
      <c r="F63" s="13">
        <v>0</v>
      </c>
      <c r="G63" s="14">
        <v>0</v>
      </c>
      <c r="H63" s="106"/>
    </row>
    <row r="64" spans="1:8" ht="14.1" customHeight="1" x14ac:dyDescent="0.2">
      <c r="A64" s="1"/>
      <c r="B64" s="1"/>
      <c r="C64" s="11"/>
      <c r="D64" s="1"/>
      <c r="E64" s="1"/>
      <c r="F64" s="12"/>
      <c r="G64" s="12"/>
      <c r="H64" s="106"/>
    </row>
    <row r="65" spans="1:8" ht="14.1" customHeight="1" x14ac:dyDescent="0.2">
      <c r="A65" s="1"/>
      <c r="B65" s="1"/>
      <c r="C65" s="2" t="s">
        <v>135</v>
      </c>
      <c r="D65" s="1"/>
      <c r="E65" s="1"/>
      <c r="F65" s="12"/>
      <c r="G65" s="12"/>
      <c r="H65" s="106"/>
    </row>
    <row r="66" spans="1:8" ht="14.1" customHeight="1" x14ac:dyDescent="0.2">
      <c r="A66" s="1"/>
      <c r="B66" s="1"/>
      <c r="C66" s="2" t="s">
        <v>130</v>
      </c>
      <c r="D66" s="1"/>
      <c r="E66" s="1" t="s">
        <v>131</v>
      </c>
      <c r="F66" s="13">
        <v>0</v>
      </c>
      <c r="G66" s="14">
        <v>0</v>
      </c>
      <c r="H66" s="106"/>
    </row>
    <row r="67" spans="1:8" ht="14.1" customHeight="1" x14ac:dyDescent="0.2">
      <c r="A67" s="1"/>
      <c r="B67" s="1"/>
      <c r="C67" s="11"/>
      <c r="D67" s="1"/>
      <c r="E67" s="1"/>
      <c r="F67" s="12"/>
      <c r="G67" s="12"/>
      <c r="H67" s="106"/>
    </row>
    <row r="68" spans="1:8" ht="14.1" customHeight="1" x14ac:dyDescent="0.2">
      <c r="A68" s="1"/>
      <c r="B68" s="1"/>
      <c r="C68" s="2" t="s">
        <v>136</v>
      </c>
      <c r="D68" s="1"/>
      <c r="E68" s="1"/>
      <c r="F68" s="12"/>
      <c r="G68" s="12"/>
      <c r="H68" s="106"/>
    </row>
    <row r="69" spans="1:8" ht="14.1" customHeight="1" x14ac:dyDescent="0.2">
      <c r="A69" s="1"/>
      <c r="B69" s="1"/>
      <c r="C69" s="2" t="s">
        <v>130</v>
      </c>
      <c r="D69" s="1"/>
      <c r="E69" s="1" t="s">
        <v>131</v>
      </c>
      <c r="F69" s="13">
        <v>0</v>
      </c>
      <c r="G69" s="14">
        <v>0</v>
      </c>
      <c r="H69" s="106"/>
    </row>
    <row r="70" spans="1:8" ht="14.1" customHeight="1" x14ac:dyDescent="0.2">
      <c r="A70" s="1"/>
      <c r="B70" s="1"/>
      <c r="C70" s="11"/>
      <c r="D70" s="1"/>
      <c r="E70" s="1"/>
      <c r="F70" s="12"/>
      <c r="G70" s="12"/>
      <c r="H70" s="106"/>
    </row>
    <row r="71" spans="1:8" ht="18" customHeight="1" x14ac:dyDescent="0.2">
      <c r="A71" s="1"/>
      <c r="B71" s="1"/>
      <c r="C71" s="2" t="s">
        <v>137</v>
      </c>
      <c r="D71" s="1"/>
      <c r="E71" s="1"/>
      <c r="F71" s="9">
        <v>15377.994368</v>
      </c>
      <c r="G71" s="10">
        <v>0.49212762500000001</v>
      </c>
      <c r="H71" s="106"/>
    </row>
    <row r="72" spans="1:8" ht="14.1" customHeight="1" x14ac:dyDescent="0.2">
      <c r="A72" s="1"/>
      <c r="B72" s="1"/>
      <c r="C72" s="11"/>
      <c r="D72" s="1"/>
      <c r="E72" s="1"/>
      <c r="F72" s="12"/>
      <c r="G72" s="12"/>
      <c r="H72" s="106"/>
    </row>
    <row r="73" spans="1:8" ht="14.1" customHeight="1" x14ac:dyDescent="0.2">
      <c r="A73" s="1"/>
      <c r="B73" s="1"/>
      <c r="C73" s="2" t="s">
        <v>138</v>
      </c>
      <c r="D73" s="1"/>
      <c r="E73" s="1"/>
      <c r="F73" s="12"/>
      <c r="G73" s="12"/>
      <c r="H73" s="106"/>
    </row>
    <row r="74" spans="1:8" ht="24" customHeight="1" x14ac:dyDescent="0.2">
      <c r="A74" s="1"/>
      <c r="B74" s="1"/>
      <c r="C74" s="2" t="s">
        <v>10</v>
      </c>
      <c r="D74" s="1"/>
      <c r="E74" s="1"/>
      <c r="F74" s="12"/>
      <c r="G74" s="12"/>
      <c r="H74" s="106"/>
    </row>
    <row r="75" spans="1:8" ht="14.1" customHeight="1" x14ac:dyDescent="0.2">
      <c r="A75" s="1"/>
      <c r="B75" s="1"/>
      <c r="C75" s="2" t="s">
        <v>130</v>
      </c>
      <c r="D75" s="1"/>
      <c r="E75" s="1" t="s">
        <v>131</v>
      </c>
      <c r="F75" s="13">
        <v>0</v>
      </c>
      <c r="G75" s="14">
        <v>0</v>
      </c>
      <c r="H75" s="106"/>
    </row>
    <row r="76" spans="1:8" ht="14.1" customHeight="1" x14ac:dyDescent="0.2">
      <c r="A76" s="1"/>
      <c r="B76" s="1"/>
      <c r="C76" s="11"/>
      <c r="D76" s="1"/>
      <c r="E76" s="1"/>
      <c r="F76" s="12"/>
      <c r="G76" s="12"/>
      <c r="H76" s="106"/>
    </row>
    <row r="77" spans="1:8" ht="14.1" customHeight="1" x14ac:dyDescent="0.2">
      <c r="A77" s="1"/>
      <c r="B77" s="1"/>
      <c r="C77" s="2" t="s">
        <v>139</v>
      </c>
      <c r="D77" s="1"/>
      <c r="E77" s="1"/>
      <c r="F77" s="1"/>
      <c r="G77" s="1"/>
      <c r="H77" s="106"/>
    </row>
    <row r="78" spans="1:8" ht="14.1" customHeight="1" x14ac:dyDescent="0.2">
      <c r="A78" s="1"/>
      <c r="B78" s="1"/>
      <c r="C78" s="2" t="s">
        <v>130</v>
      </c>
      <c r="D78" s="1"/>
      <c r="E78" s="1" t="s">
        <v>131</v>
      </c>
      <c r="F78" s="13">
        <v>0</v>
      </c>
      <c r="G78" s="14">
        <v>0</v>
      </c>
      <c r="H78" s="106"/>
    </row>
    <row r="79" spans="1:8" ht="14.1" customHeight="1" x14ac:dyDescent="0.2">
      <c r="A79" s="1"/>
      <c r="B79" s="1"/>
      <c r="C79" s="11"/>
      <c r="D79" s="1"/>
      <c r="E79" s="1"/>
      <c r="F79" s="12"/>
      <c r="G79" s="12"/>
      <c r="H79" s="106"/>
    </row>
    <row r="80" spans="1:8" ht="14.1" customHeight="1" x14ac:dyDescent="0.2">
      <c r="A80" s="1"/>
      <c r="B80" s="1"/>
      <c r="C80" s="2" t="s">
        <v>140</v>
      </c>
      <c r="D80" s="1"/>
      <c r="E80" s="1"/>
      <c r="F80" s="1"/>
      <c r="G80" s="1"/>
      <c r="H80" s="106"/>
    </row>
    <row r="81" spans="1:8" ht="14.1" customHeight="1" x14ac:dyDescent="0.2">
      <c r="A81" s="1"/>
      <c r="B81" s="1"/>
      <c r="C81" s="2" t="s">
        <v>130</v>
      </c>
      <c r="D81" s="1"/>
      <c r="E81" s="1" t="s">
        <v>131</v>
      </c>
      <c r="F81" s="13">
        <v>0</v>
      </c>
      <c r="G81" s="14">
        <v>0</v>
      </c>
      <c r="H81" s="106"/>
    </row>
    <row r="82" spans="1:8" ht="14.1" customHeight="1" x14ac:dyDescent="0.2">
      <c r="A82" s="1"/>
      <c r="B82" s="1"/>
      <c r="C82" s="11"/>
      <c r="D82" s="1"/>
      <c r="E82" s="1"/>
      <c r="F82" s="12"/>
      <c r="G82" s="12"/>
      <c r="H82" s="106"/>
    </row>
    <row r="83" spans="1:8" ht="14.1" customHeight="1" x14ac:dyDescent="0.2">
      <c r="A83" s="1"/>
      <c r="B83" s="1"/>
      <c r="C83" s="2" t="s">
        <v>141</v>
      </c>
      <c r="D83" s="1"/>
      <c r="E83" s="1"/>
      <c r="F83" s="12"/>
      <c r="G83" s="12"/>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142</v>
      </c>
      <c r="D86" s="1"/>
      <c r="E86" s="1"/>
      <c r="F86" s="9">
        <v>0</v>
      </c>
      <c r="G86" s="10">
        <v>0</v>
      </c>
      <c r="H86" s="106"/>
    </row>
    <row r="87" spans="1:8" ht="14.1" customHeight="1" x14ac:dyDescent="0.2">
      <c r="A87" s="1"/>
      <c r="B87" s="1"/>
      <c r="C87" s="11"/>
      <c r="D87" s="1"/>
      <c r="E87" s="1"/>
      <c r="F87" s="12"/>
      <c r="G87" s="12"/>
      <c r="H87" s="106"/>
    </row>
    <row r="88" spans="1:8" ht="14.1" customHeight="1" x14ac:dyDescent="0.2">
      <c r="A88" s="1"/>
      <c r="B88" s="1"/>
      <c r="C88" s="2" t="s">
        <v>143</v>
      </c>
      <c r="D88" s="1"/>
      <c r="E88" s="1"/>
      <c r="F88" s="12"/>
      <c r="G88" s="12"/>
      <c r="H88" s="106"/>
    </row>
    <row r="89" spans="1:8" ht="14.1" customHeight="1" x14ac:dyDescent="0.2">
      <c r="A89" s="1"/>
      <c r="B89" s="1"/>
      <c r="C89" s="2" t="s">
        <v>144</v>
      </c>
      <c r="D89" s="1"/>
      <c r="E89" s="1"/>
      <c r="F89" s="12"/>
      <c r="G89" s="12"/>
      <c r="H89" s="106"/>
    </row>
    <row r="90" spans="1:8" ht="14.1" customHeight="1" x14ac:dyDescent="0.2">
      <c r="A90" s="1"/>
      <c r="B90" s="1"/>
      <c r="C90" s="2" t="s">
        <v>130</v>
      </c>
      <c r="D90" s="1"/>
      <c r="E90" s="1" t="s">
        <v>131</v>
      </c>
      <c r="F90" s="13">
        <v>0</v>
      </c>
      <c r="G90" s="14">
        <v>0</v>
      </c>
      <c r="H90" s="106"/>
    </row>
    <row r="91" spans="1:8" ht="14.1" customHeight="1" x14ac:dyDescent="0.2">
      <c r="A91" s="1"/>
      <c r="B91" s="1"/>
      <c r="C91" s="11"/>
      <c r="D91" s="1"/>
      <c r="E91" s="1"/>
      <c r="F91" s="12"/>
      <c r="G91" s="12"/>
      <c r="H91" s="106"/>
    </row>
    <row r="92" spans="1:8" ht="14.1" customHeight="1" x14ac:dyDescent="0.2">
      <c r="A92" s="1"/>
      <c r="B92" s="1"/>
      <c r="C92" s="2" t="s">
        <v>145</v>
      </c>
      <c r="D92" s="1"/>
      <c r="E92" s="1"/>
      <c r="F92" s="12"/>
      <c r="G92" s="12"/>
      <c r="H92" s="106"/>
    </row>
    <row r="93" spans="1:8" ht="14.1" customHeight="1" x14ac:dyDescent="0.2">
      <c r="A93" s="1"/>
      <c r="B93" s="1"/>
      <c r="C93" s="2" t="s">
        <v>130</v>
      </c>
      <c r="D93" s="1"/>
      <c r="E93" s="1" t="s">
        <v>131</v>
      </c>
      <c r="F93" s="13">
        <v>0</v>
      </c>
      <c r="G93" s="14">
        <v>0</v>
      </c>
      <c r="H93" s="106"/>
    </row>
    <row r="94" spans="1:8" ht="14.1" customHeight="1" x14ac:dyDescent="0.2">
      <c r="A94" s="1"/>
      <c r="B94" s="1"/>
      <c r="C94" s="11"/>
      <c r="D94" s="1"/>
      <c r="E94" s="1"/>
      <c r="F94" s="12"/>
      <c r="G94" s="12"/>
      <c r="H94" s="106"/>
    </row>
    <row r="95" spans="1:8" ht="14.1" customHeight="1" x14ac:dyDescent="0.2">
      <c r="A95" s="1"/>
      <c r="B95" s="1"/>
      <c r="C95" s="2" t="s">
        <v>146</v>
      </c>
      <c r="D95" s="1"/>
      <c r="E95" s="1"/>
      <c r="F95" s="12"/>
      <c r="G95" s="12"/>
      <c r="H95" s="106"/>
    </row>
    <row r="96" spans="1:8" ht="14.1" customHeight="1" x14ac:dyDescent="0.2">
      <c r="A96" s="1"/>
      <c r="B96" s="1"/>
      <c r="C96" s="2" t="s">
        <v>130</v>
      </c>
      <c r="D96" s="1"/>
      <c r="E96" s="1" t="s">
        <v>131</v>
      </c>
      <c r="F96" s="13">
        <v>0</v>
      </c>
      <c r="G96" s="14">
        <v>0</v>
      </c>
      <c r="H96" s="106"/>
    </row>
    <row r="97" spans="1:8" ht="14.1" customHeight="1" x14ac:dyDescent="0.2">
      <c r="A97" s="1"/>
      <c r="B97" s="1"/>
      <c r="C97" s="11"/>
      <c r="D97" s="1"/>
      <c r="E97" s="1"/>
      <c r="F97" s="12"/>
      <c r="G97" s="12"/>
      <c r="H97" s="106"/>
    </row>
    <row r="98" spans="1:8" ht="14.1" customHeight="1" x14ac:dyDescent="0.2">
      <c r="A98" s="1"/>
      <c r="B98" s="1"/>
      <c r="C98" s="2" t="s">
        <v>147</v>
      </c>
      <c r="D98" s="1"/>
      <c r="E98" s="1"/>
      <c r="F98" s="12"/>
      <c r="G98" s="12"/>
      <c r="H98" s="106"/>
    </row>
    <row r="99" spans="1:8" ht="17.100000000000001" customHeight="1" x14ac:dyDescent="0.2">
      <c r="A99" s="3">
        <v>1</v>
      </c>
      <c r="B99" s="4"/>
      <c r="C99" s="4" t="s">
        <v>148</v>
      </c>
      <c r="D99" s="4"/>
      <c r="E99" s="8"/>
      <c r="F99" s="6">
        <v>14618.784190599999</v>
      </c>
      <c r="G99" s="7">
        <v>0.46783132599999999</v>
      </c>
      <c r="H99" s="106">
        <v>6.1171451766917002</v>
      </c>
    </row>
    <row r="100" spans="1:8" ht="14.1" customHeight="1" x14ac:dyDescent="0.2">
      <c r="A100" s="1"/>
      <c r="B100" s="1"/>
      <c r="C100" s="2" t="s">
        <v>130</v>
      </c>
      <c r="D100" s="1"/>
      <c r="E100" s="1" t="s">
        <v>131</v>
      </c>
      <c r="F100" s="9">
        <v>14618.784190599999</v>
      </c>
      <c r="G100" s="10">
        <v>0.46783132599999999</v>
      </c>
      <c r="H100" s="106"/>
    </row>
    <row r="101" spans="1:8" ht="14.1" customHeight="1" x14ac:dyDescent="0.2">
      <c r="A101" s="1"/>
      <c r="B101" s="1"/>
      <c r="C101" s="11"/>
      <c r="D101" s="1"/>
      <c r="E101" s="1"/>
      <c r="F101" s="12"/>
      <c r="G101" s="12"/>
      <c r="H101" s="106"/>
    </row>
    <row r="102" spans="1:8" ht="14.1" customHeight="1" x14ac:dyDescent="0.2">
      <c r="A102" s="1"/>
      <c r="B102" s="1"/>
      <c r="C102" s="2" t="s">
        <v>149</v>
      </c>
      <c r="D102" s="1"/>
      <c r="E102" s="1"/>
      <c r="F102" s="9">
        <v>14618.784190599999</v>
      </c>
      <c r="G102" s="10">
        <v>0.46783132599999999</v>
      </c>
      <c r="H102" s="106"/>
    </row>
    <row r="103" spans="1:8" ht="14.1" customHeight="1" x14ac:dyDescent="0.2">
      <c r="A103" s="1"/>
      <c r="B103" s="1"/>
      <c r="C103" s="12"/>
      <c r="D103" s="1"/>
      <c r="E103" s="1"/>
      <c r="F103" s="1"/>
      <c r="G103" s="1"/>
      <c r="H103" s="106"/>
    </row>
    <row r="104" spans="1:8" ht="14.1" customHeight="1" x14ac:dyDescent="0.2">
      <c r="A104" s="1"/>
      <c r="B104" s="1"/>
      <c r="C104" s="2" t="s">
        <v>150</v>
      </c>
      <c r="D104" s="1"/>
      <c r="E104" s="1"/>
      <c r="F104" s="1"/>
      <c r="G104" s="1"/>
      <c r="H104" s="106"/>
    </row>
    <row r="105" spans="1:8" ht="14.1" customHeight="1" x14ac:dyDescent="0.2">
      <c r="A105" s="1"/>
      <c r="B105" s="1"/>
      <c r="C105" s="2" t="s">
        <v>151</v>
      </c>
      <c r="D105" s="1"/>
      <c r="E105" s="1"/>
      <c r="F105" s="1"/>
      <c r="G105" s="1"/>
      <c r="H105" s="106"/>
    </row>
    <row r="106" spans="1:8" ht="14.1" customHeight="1" x14ac:dyDescent="0.2">
      <c r="A106" s="1"/>
      <c r="B106" s="1"/>
      <c r="C106" s="2" t="s">
        <v>130</v>
      </c>
      <c r="D106" s="1"/>
      <c r="E106" s="1" t="s">
        <v>131</v>
      </c>
      <c r="F106" s="13">
        <v>0</v>
      </c>
      <c r="G106" s="14">
        <v>0</v>
      </c>
      <c r="H106" s="106"/>
    </row>
    <row r="107" spans="1:8" ht="14.1" customHeight="1" x14ac:dyDescent="0.2">
      <c r="A107" s="1"/>
      <c r="B107" s="1"/>
      <c r="C107" s="11"/>
      <c r="D107" s="1"/>
      <c r="E107" s="1"/>
      <c r="F107" s="12"/>
      <c r="G107" s="12"/>
      <c r="H107" s="106"/>
    </row>
    <row r="108" spans="1:8" ht="14.1" customHeight="1" x14ac:dyDescent="0.2">
      <c r="A108" s="1"/>
      <c r="B108" s="1"/>
      <c r="C108" s="2" t="s">
        <v>152</v>
      </c>
      <c r="D108" s="1"/>
      <c r="E108" s="1"/>
      <c r="F108" s="1"/>
      <c r="G108" s="1"/>
      <c r="H108" s="106"/>
    </row>
    <row r="109" spans="1:8" ht="14.1" customHeight="1" x14ac:dyDescent="0.2">
      <c r="A109" s="1"/>
      <c r="B109" s="1"/>
      <c r="C109" s="2" t="s">
        <v>153</v>
      </c>
      <c r="D109" s="1"/>
      <c r="E109" s="1"/>
      <c r="F109" s="1"/>
      <c r="G109" s="1"/>
      <c r="H109" s="106"/>
    </row>
    <row r="110" spans="1:8" ht="14.1" customHeight="1" x14ac:dyDescent="0.2">
      <c r="A110" s="1"/>
      <c r="B110" s="1"/>
      <c r="C110" s="2" t="s">
        <v>130</v>
      </c>
      <c r="D110" s="1"/>
      <c r="E110" s="1" t="s">
        <v>131</v>
      </c>
      <c r="F110" s="13">
        <v>0</v>
      </c>
      <c r="G110" s="14">
        <v>0</v>
      </c>
      <c r="H110" s="106"/>
    </row>
    <row r="111" spans="1:8" ht="14.1" customHeight="1" x14ac:dyDescent="0.2">
      <c r="A111" s="1"/>
      <c r="B111" s="1"/>
      <c r="C111" s="11"/>
      <c r="D111" s="1"/>
      <c r="E111" s="1"/>
      <c r="F111" s="12"/>
      <c r="G111" s="12"/>
      <c r="H111" s="106"/>
    </row>
    <row r="112" spans="1:8" ht="14.1" customHeight="1" x14ac:dyDescent="0.2">
      <c r="A112" s="1"/>
      <c r="B112" s="1"/>
      <c r="C112" s="11"/>
      <c r="D112" s="1"/>
      <c r="E112" s="1"/>
      <c r="F112" s="12"/>
      <c r="G112" s="12"/>
      <c r="H112" s="106"/>
    </row>
    <row r="113" spans="1:8" ht="24" customHeight="1" x14ac:dyDescent="0.2">
      <c r="A113" s="1"/>
      <c r="B113" s="1"/>
      <c r="C113" s="2" t="s">
        <v>154</v>
      </c>
      <c r="D113" s="1"/>
      <c r="E113" s="1"/>
      <c r="F113" s="12"/>
      <c r="G113" s="12"/>
      <c r="H113" s="106"/>
    </row>
    <row r="114" spans="1:8" ht="14.1" customHeight="1" x14ac:dyDescent="0.2">
      <c r="A114" s="1"/>
      <c r="B114" s="1"/>
      <c r="C114" s="2" t="s">
        <v>130</v>
      </c>
      <c r="D114" s="1"/>
      <c r="E114" s="1" t="s">
        <v>131</v>
      </c>
      <c r="F114" s="13">
        <v>0</v>
      </c>
      <c r="G114" s="14">
        <v>0</v>
      </c>
      <c r="H114" s="106"/>
    </row>
    <row r="115" spans="1:8" ht="14.1" customHeight="1" x14ac:dyDescent="0.2">
      <c r="A115" s="1"/>
      <c r="B115" s="1"/>
      <c r="C115" s="11"/>
      <c r="D115" s="1"/>
      <c r="E115" s="1"/>
      <c r="F115" s="12"/>
      <c r="G115" s="12"/>
      <c r="H115" s="106"/>
    </row>
    <row r="116" spans="1:8" ht="14.1" customHeight="1" x14ac:dyDescent="0.2">
      <c r="A116" s="1"/>
      <c r="B116" s="4"/>
      <c r="C116" s="4"/>
      <c r="D116" s="2"/>
      <c r="E116" s="1"/>
      <c r="F116" s="4"/>
      <c r="G116" s="8"/>
      <c r="H116" s="106"/>
    </row>
    <row r="117" spans="1:8" ht="18" customHeight="1" x14ac:dyDescent="0.2">
      <c r="A117" s="8"/>
      <c r="B117" s="4"/>
      <c r="C117" s="4" t="s">
        <v>155</v>
      </c>
      <c r="D117" s="4"/>
      <c r="E117" s="8"/>
      <c r="F117" s="6">
        <v>1251.2020451799999</v>
      </c>
      <c r="G117" s="7">
        <v>4.0041053E-2</v>
      </c>
      <c r="H117" s="106"/>
    </row>
    <row r="118" spans="1:8" ht="14.1" customHeight="1" x14ac:dyDescent="0.2">
      <c r="A118" s="11"/>
      <c r="B118" s="11"/>
      <c r="C118" s="2" t="s">
        <v>156</v>
      </c>
      <c r="D118" s="15"/>
      <c r="E118" s="15"/>
      <c r="F118" s="9">
        <v>31247.980603780001</v>
      </c>
      <c r="G118" s="10">
        <v>1.0000000040000001</v>
      </c>
      <c r="H118" s="106"/>
    </row>
    <row r="119" spans="1:8" ht="14.1" customHeight="1" x14ac:dyDescent="0.2">
      <c r="A119" s="16"/>
      <c r="B119" s="16"/>
      <c r="C119" s="16"/>
      <c r="D119" s="17"/>
      <c r="E119" s="17"/>
      <c r="F119" s="17"/>
      <c r="G119" s="17"/>
    </row>
    <row r="120" spans="1:8" ht="14.1" customHeight="1" x14ac:dyDescent="0.2">
      <c r="A120" s="18"/>
      <c r="B120" s="18"/>
      <c r="C120" s="18"/>
      <c r="D120" s="20"/>
      <c r="E120" s="20"/>
      <c r="F120" s="20"/>
      <c r="G120" s="20"/>
    </row>
    <row r="121" spans="1:8" ht="14.1" customHeight="1" x14ac:dyDescent="0.2">
      <c r="A121" s="18"/>
      <c r="B121" s="279" t="s">
        <v>158</v>
      </c>
      <c r="C121" s="280"/>
      <c r="D121" s="12" t="s">
        <v>131</v>
      </c>
      <c r="E121" s="21"/>
      <c r="F121" s="20"/>
      <c r="G121" s="20"/>
    </row>
    <row r="122" spans="1:8" ht="29.1" customHeight="1" x14ac:dyDescent="0.2">
      <c r="A122" s="18"/>
      <c r="B122" s="274" t="s">
        <v>159</v>
      </c>
      <c r="C122" s="275"/>
      <c r="D122" s="2" t="s">
        <v>160</v>
      </c>
      <c r="E122" s="21"/>
      <c r="F122" s="20"/>
      <c r="G122" s="20"/>
    </row>
    <row r="123" spans="1:8" ht="17.100000000000001" customHeight="1" x14ac:dyDescent="0.2">
      <c r="A123" s="18"/>
      <c r="B123" s="274" t="s">
        <v>161</v>
      </c>
      <c r="C123" s="275"/>
      <c r="D123" s="2" t="s">
        <v>160</v>
      </c>
      <c r="E123" s="21"/>
      <c r="F123" s="20"/>
      <c r="G123" s="20"/>
    </row>
    <row r="124" spans="1:8" ht="17.100000000000001" customHeight="1" x14ac:dyDescent="0.2">
      <c r="A124" s="18"/>
      <c r="B124" s="274" t="s">
        <v>162</v>
      </c>
      <c r="C124" s="275"/>
      <c r="D124" s="12" t="s">
        <v>131</v>
      </c>
      <c r="E124" s="21"/>
      <c r="F124" s="20"/>
      <c r="G124" s="20"/>
    </row>
    <row r="125" spans="1:8" ht="24" customHeight="1" x14ac:dyDescent="0.2">
      <c r="A125" s="22"/>
      <c r="B125" s="23" t="s">
        <v>131</v>
      </c>
      <c r="C125" s="23" t="s">
        <v>163</v>
      </c>
      <c r="D125" s="23" t="s">
        <v>164</v>
      </c>
      <c r="E125" s="22"/>
      <c r="F125" s="22"/>
      <c r="G125" s="22"/>
    </row>
    <row r="126" spans="1:8" ht="18" customHeight="1" x14ac:dyDescent="0.2">
      <c r="A126" s="22"/>
      <c r="B126" s="23" t="s">
        <v>165</v>
      </c>
      <c r="C126" s="23" t="s">
        <v>166</v>
      </c>
      <c r="D126" s="23" t="s">
        <v>167</v>
      </c>
      <c r="E126" s="22"/>
      <c r="F126" s="22"/>
      <c r="G126" s="22"/>
    </row>
    <row r="127" spans="1:8" ht="17.100000000000001" customHeight="1" x14ac:dyDescent="0.2">
      <c r="A127" s="22"/>
      <c r="B127" s="4" t="s">
        <v>168</v>
      </c>
      <c r="C127" s="24">
        <v>17.312000000000001</v>
      </c>
      <c r="D127" s="24">
        <v>17.3508</v>
      </c>
      <c r="E127" s="22"/>
      <c r="F127" s="19"/>
      <c r="G127" s="25"/>
    </row>
    <row r="128" spans="1:8" ht="17.100000000000001" customHeight="1" x14ac:dyDescent="0.2">
      <c r="A128" s="22"/>
      <c r="B128" s="4" t="s">
        <v>1048</v>
      </c>
      <c r="C128" s="24">
        <v>17.312000000000001</v>
      </c>
      <c r="D128" s="24">
        <v>17.3508</v>
      </c>
      <c r="E128" s="22"/>
      <c r="F128" s="19"/>
      <c r="G128" s="25"/>
    </row>
    <row r="129" spans="1:7" ht="17.100000000000001" customHeight="1" x14ac:dyDescent="0.2">
      <c r="A129" s="22"/>
      <c r="B129" s="4" t="s">
        <v>169</v>
      </c>
      <c r="C129" s="24">
        <v>16.803599999999999</v>
      </c>
      <c r="D129" s="24">
        <v>16.834900000000001</v>
      </c>
      <c r="E129" s="22"/>
      <c r="F129" s="19"/>
      <c r="G129" s="25"/>
    </row>
    <row r="130" spans="1:7" ht="17.100000000000001" customHeight="1" x14ac:dyDescent="0.2">
      <c r="A130" s="22"/>
      <c r="B130" s="4" t="s">
        <v>1049</v>
      </c>
      <c r="C130" s="24">
        <v>16.803599999999999</v>
      </c>
      <c r="D130" s="24">
        <v>16.834900000000001</v>
      </c>
      <c r="E130" s="22"/>
      <c r="F130" s="19"/>
      <c r="G130" s="25"/>
    </row>
    <row r="131" spans="1:7" ht="14.1" customHeight="1" x14ac:dyDescent="0.2">
      <c r="A131" s="22"/>
      <c r="B131" s="22"/>
      <c r="C131" s="22"/>
      <c r="D131" s="22"/>
      <c r="E131" s="22"/>
      <c r="F131" s="22"/>
      <c r="G131" s="22"/>
    </row>
    <row r="132" spans="1:7" ht="17.100000000000001" customHeight="1" x14ac:dyDescent="0.2">
      <c r="A132" s="22"/>
      <c r="B132" s="274" t="s">
        <v>1060</v>
      </c>
      <c r="C132" s="275"/>
      <c r="D132" s="2" t="s">
        <v>160</v>
      </c>
      <c r="E132" s="22"/>
      <c r="F132" s="22"/>
      <c r="G132" s="22"/>
    </row>
    <row r="133" spans="1:7" ht="18" customHeight="1" x14ac:dyDescent="0.2">
      <c r="A133" s="22"/>
      <c r="B133" s="26" t="s">
        <v>170</v>
      </c>
      <c r="C133" s="26" t="s">
        <v>170</v>
      </c>
      <c r="D133" s="26"/>
      <c r="E133" s="22"/>
      <c r="F133" s="22"/>
      <c r="G133" s="22"/>
    </row>
    <row r="134" spans="1:7" ht="29.1" customHeight="1" x14ac:dyDescent="0.2">
      <c r="A134" s="22"/>
      <c r="B134" s="274" t="s">
        <v>171</v>
      </c>
      <c r="C134" s="275"/>
      <c r="D134" s="2" t="s">
        <v>160</v>
      </c>
      <c r="E134" s="22"/>
      <c r="F134" s="22"/>
      <c r="G134" s="22"/>
    </row>
    <row r="135" spans="1:7" ht="29.1" customHeight="1" x14ac:dyDescent="0.2">
      <c r="A135" s="22"/>
      <c r="B135" s="274" t="s">
        <v>172</v>
      </c>
      <c r="C135" s="275"/>
      <c r="D135" s="2" t="s">
        <v>160</v>
      </c>
      <c r="E135" s="22"/>
      <c r="F135" s="22"/>
      <c r="G135" s="22"/>
    </row>
    <row r="136" spans="1:7" ht="17.100000000000001" customHeight="1" x14ac:dyDescent="0.2">
      <c r="A136" s="22"/>
      <c r="B136" s="274" t="s">
        <v>173</v>
      </c>
      <c r="C136" s="275"/>
      <c r="D136" s="27">
        <v>0.28104967821920834</v>
      </c>
      <c r="E136" s="22"/>
      <c r="F136" s="19"/>
      <c r="G136" s="25"/>
    </row>
    <row r="137" spans="1:7" ht="17.100000000000001" customHeight="1" x14ac:dyDescent="0.2">
      <c r="A137" s="22"/>
      <c r="B137" s="274" t="s">
        <v>174</v>
      </c>
      <c r="C137" s="275"/>
      <c r="D137" s="2" t="s">
        <v>160</v>
      </c>
      <c r="E137" s="22"/>
      <c r="F137" s="22"/>
      <c r="G137" s="22"/>
    </row>
    <row r="165" spans="10:15" x14ac:dyDescent="0.2">
      <c r="J165" s="162"/>
      <c r="K165" s="162"/>
      <c r="L165" s="162"/>
      <c r="M165" s="162"/>
      <c r="N165" s="162"/>
      <c r="O165" s="162"/>
    </row>
  </sheetData>
  <mergeCells count="13">
    <mergeCell ref="J2:N2"/>
    <mergeCell ref="B121:C121"/>
    <mergeCell ref="B136:C136"/>
    <mergeCell ref="A1:H1"/>
    <mergeCell ref="A2:H2"/>
    <mergeCell ref="A3:H3"/>
    <mergeCell ref="B137:C137"/>
    <mergeCell ref="B122:C122"/>
    <mergeCell ref="B123:C123"/>
    <mergeCell ref="B124:C124"/>
    <mergeCell ref="B132:C132"/>
    <mergeCell ref="B134:C134"/>
    <mergeCell ref="B135:C135"/>
  </mergeCells>
  <hyperlinks>
    <hyperlink ref="I1" location="Index!B7" display="Index" xr:uid="{2764D486-59DA-4C03-96D3-D686F9512EA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6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438</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29</v>
      </c>
      <c r="C7" s="4" t="s">
        <v>30</v>
      </c>
      <c r="D7" s="4" t="s">
        <v>31</v>
      </c>
      <c r="E7" s="5">
        <v>55216</v>
      </c>
      <c r="F7" s="6">
        <v>1149.238216</v>
      </c>
      <c r="G7" s="7">
        <v>3.4100984000000001E-2</v>
      </c>
      <c r="H7" s="106"/>
    </row>
    <row r="8" spans="1:14" ht="17.100000000000001" customHeight="1" x14ac:dyDescent="0.2">
      <c r="A8" s="3">
        <v>2</v>
      </c>
      <c r="B8" s="4" t="s">
        <v>108</v>
      </c>
      <c r="C8" s="4" t="s">
        <v>109</v>
      </c>
      <c r="D8" s="4" t="s">
        <v>110</v>
      </c>
      <c r="E8" s="5">
        <v>270742</v>
      </c>
      <c r="F8" s="6">
        <v>1007.430982</v>
      </c>
      <c r="G8" s="7">
        <v>2.9893182000000001E-2</v>
      </c>
      <c r="H8" s="106"/>
    </row>
    <row r="9" spans="1:14" ht="29.1" customHeight="1" x14ac:dyDescent="0.2">
      <c r="A9" s="3">
        <v>3</v>
      </c>
      <c r="B9" s="4" t="s">
        <v>189</v>
      </c>
      <c r="C9" s="4" t="s">
        <v>190</v>
      </c>
      <c r="D9" s="4" t="s">
        <v>110</v>
      </c>
      <c r="E9" s="5">
        <v>254938</v>
      </c>
      <c r="F9" s="6">
        <v>923.64037399999995</v>
      </c>
      <c r="G9" s="7">
        <v>2.740689E-2</v>
      </c>
      <c r="H9" s="106"/>
    </row>
    <row r="10" spans="1:14" ht="17.100000000000001" customHeight="1" x14ac:dyDescent="0.2">
      <c r="A10" s="3">
        <v>4</v>
      </c>
      <c r="B10" s="4" t="s">
        <v>380</v>
      </c>
      <c r="C10" s="4" t="s">
        <v>381</v>
      </c>
      <c r="D10" s="4" t="s">
        <v>99</v>
      </c>
      <c r="E10" s="5">
        <v>872540</v>
      </c>
      <c r="F10" s="6">
        <v>880.39286000000004</v>
      </c>
      <c r="G10" s="7">
        <v>2.612362E-2</v>
      </c>
      <c r="H10" s="106"/>
    </row>
    <row r="11" spans="1:14" ht="29.1" customHeight="1" x14ac:dyDescent="0.2">
      <c r="A11" s="3">
        <v>5</v>
      </c>
      <c r="B11" s="4" t="s">
        <v>196</v>
      </c>
      <c r="C11" s="4" t="s">
        <v>197</v>
      </c>
      <c r="D11" s="4" t="s">
        <v>188</v>
      </c>
      <c r="E11" s="5">
        <v>18164</v>
      </c>
      <c r="F11" s="6">
        <v>826.77986999999996</v>
      </c>
      <c r="G11" s="7">
        <v>2.4532779000000001E-2</v>
      </c>
      <c r="H11" s="106"/>
    </row>
    <row r="12" spans="1:14" ht="17.100000000000001" customHeight="1" x14ac:dyDescent="0.2">
      <c r="A12" s="3">
        <v>6</v>
      </c>
      <c r="B12" s="4" t="s">
        <v>382</v>
      </c>
      <c r="C12" s="4" t="s">
        <v>383</v>
      </c>
      <c r="D12" s="4" t="s">
        <v>110</v>
      </c>
      <c r="E12" s="5">
        <v>42388</v>
      </c>
      <c r="F12" s="6">
        <v>787.33590600000002</v>
      </c>
      <c r="G12" s="7">
        <v>2.3362371E-2</v>
      </c>
      <c r="H12" s="106"/>
    </row>
    <row r="13" spans="1:14" ht="17.100000000000001" customHeight="1" x14ac:dyDescent="0.2">
      <c r="A13" s="3">
        <v>7</v>
      </c>
      <c r="B13" s="4" t="s">
        <v>17</v>
      </c>
      <c r="C13" s="4" t="s">
        <v>18</v>
      </c>
      <c r="D13" s="4" t="s">
        <v>19</v>
      </c>
      <c r="E13" s="5">
        <v>92295</v>
      </c>
      <c r="F13" s="6">
        <v>767.89440000000002</v>
      </c>
      <c r="G13" s="7">
        <v>2.2785488999999999E-2</v>
      </c>
      <c r="H13" s="106"/>
      <c r="J13" s="161" t="s">
        <v>1089</v>
      </c>
    </row>
    <row r="14" spans="1:14" ht="17.100000000000001" customHeight="1" x14ac:dyDescent="0.2">
      <c r="A14" s="3">
        <v>8</v>
      </c>
      <c r="B14" s="4" t="s">
        <v>304</v>
      </c>
      <c r="C14" s="4" t="s">
        <v>305</v>
      </c>
      <c r="D14" s="4" t="s">
        <v>240</v>
      </c>
      <c r="E14" s="5">
        <v>143859</v>
      </c>
      <c r="F14" s="6">
        <v>737.92474049999998</v>
      </c>
      <c r="G14" s="7">
        <v>2.1896209E-2</v>
      </c>
      <c r="H14" s="106"/>
    </row>
    <row r="15" spans="1:14" ht="17.100000000000001" customHeight="1" x14ac:dyDescent="0.2">
      <c r="A15" s="3">
        <v>9</v>
      </c>
      <c r="B15" s="4" t="s">
        <v>320</v>
      </c>
      <c r="C15" s="4" t="s">
        <v>321</v>
      </c>
      <c r="D15" s="4" t="s">
        <v>230</v>
      </c>
      <c r="E15" s="5">
        <v>50644</v>
      </c>
      <c r="F15" s="6">
        <v>732.89464599999997</v>
      </c>
      <c r="G15" s="7">
        <v>2.1746952E-2</v>
      </c>
      <c r="H15" s="106"/>
    </row>
    <row r="16" spans="1:14" ht="17.100000000000001" customHeight="1" x14ac:dyDescent="0.2">
      <c r="A16" s="3">
        <v>10</v>
      </c>
      <c r="B16" s="4" t="s">
        <v>386</v>
      </c>
      <c r="C16" s="4" t="s">
        <v>387</v>
      </c>
      <c r="D16" s="4" t="s">
        <v>110</v>
      </c>
      <c r="E16" s="5">
        <v>115651</v>
      </c>
      <c r="F16" s="6">
        <v>691.70863099999997</v>
      </c>
      <c r="G16" s="7">
        <v>2.0524852999999999E-2</v>
      </c>
      <c r="H16" s="106"/>
    </row>
    <row r="17" spans="1:8" ht="17.100000000000001" customHeight="1" x14ac:dyDescent="0.2">
      <c r="A17" s="3">
        <v>11</v>
      </c>
      <c r="B17" s="4" t="s">
        <v>439</v>
      </c>
      <c r="C17" s="4" t="s">
        <v>440</v>
      </c>
      <c r="D17" s="4" t="s">
        <v>31</v>
      </c>
      <c r="E17" s="5">
        <v>78765</v>
      </c>
      <c r="F17" s="6">
        <v>666.19437000000005</v>
      </c>
      <c r="G17" s="7">
        <v>1.9767776000000001E-2</v>
      </c>
      <c r="H17" s="106"/>
    </row>
    <row r="18" spans="1:8" ht="17.100000000000001" customHeight="1" x14ac:dyDescent="0.2">
      <c r="A18" s="3">
        <v>12</v>
      </c>
      <c r="B18" s="4" t="s">
        <v>384</v>
      </c>
      <c r="C18" s="4" t="s">
        <v>385</v>
      </c>
      <c r="D18" s="4" t="s">
        <v>288</v>
      </c>
      <c r="E18" s="5">
        <v>56083</v>
      </c>
      <c r="F18" s="6">
        <v>647.47823500000004</v>
      </c>
      <c r="G18" s="7">
        <v>1.9212417999999998E-2</v>
      </c>
      <c r="H18" s="106"/>
    </row>
    <row r="19" spans="1:8" ht="17.100000000000001" customHeight="1" x14ac:dyDescent="0.2">
      <c r="A19" s="3">
        <v>13</v>
      </c>
      <c r="B19" s="4" t="s">
        <v>77</v>
      </c>
      <c r="C19" s="4" t="s">
        <v>78</v>
      </c>
      <c r="D19" s="4" t="s">
        <v>31</v>
      </c>
      <c r="E19" s="5">
        <v>37890</v>
      </c>
      <c r="F19" s="6">
        <v>611.99928</v>
      </c>
      <c r="G19" s="7">
        <v>1.8159662E-2</v>
      </c>
      <c r="H19" s="106"/>
    </row>
    <row r="20" spans="1:8" ht="17.100000000000001" customHeight="1" x14ac:dyDescent="0.2">
      <c r="A20" s="3">
        <v>14</v>
      </c>
      <c r="B20" s="4" t="s">
        <v>279</v>
      </c>
      <c r="C20" s="4" t="s">
        <v>280</v>
      </c>
      <c r="D20" s="4" t="s">
        <v>22</v>
      </c>
      <c r="E20" s="5">
        <v>277558</v>
      </c>
      <c r="F20" s="6">
        <v>593.55778299999997</v>
      </c>
      <c r="G20" s="7">
        <v>1.7612453E-2</v>
      </c>
      <c r="H20" s="106"/>
    </row>
    <row r="21" spans="1:8" ht="17.100000000000001" customHeight="1" x14ac:dyDescent="0.2">
      <c r="A21" s="3">
        <v>15</v>
      </c>
      <c r="B21" s="4" t="s">
        <v>213</v>
      </c>
      <c r="C21" s="4" t="s">
        <v>214</v>
      </c>
      <c r="D21" s="4" t="s">
        <v>1114</v>
      </c>
      <c r="E21" s="5">
        <v>15854</v>
      </c>
      <c r="F21" s="6">
        <v>585.49614699999995</v>
      </c>
      <c r="G21" s="7">
        <v>1.7373243E-2</v>
      </c>
      <c r="H21" s="106"/>
    </row>
    <row r="22" spans="1:8" ht="17.100000000000001" customHeight="1" x14ac:dyDescent="0.2">
      <c r="A22" s="3">
        <v>16</v>
      </c>
      <c r="B22" s="4" t="s">
        <v>94</v>
      </c>
      <c r="C22" s="4" t="s">
        <v>95</v>
      </c>
      <c r="D22" s="4" t="s">
        <v>96</v>
      </c>
      <c r="E22" s="5">
        <v>114200</v>
      </c>
      <c r="F22" s="6">
        <v>570.48609999999996</v>
      </c>
      <c r="G22" s="7">
        <v>1.6927854999999999E-2</v>
      </c>
      <c r="H22" s="106"/>
    </row>
    <row r="23" spans="1:8" ht="17.100000000000001" customHeight="1" x14ac:dyDescent="0.2">
      <c r="A23" s="3">
        <v>17</v>
      </c>
      <c r="B23" s="4" t="s">
        <v>416</v>
      </c>
      <c r="C23" s="4" t="s">
        <v>417</v>
      </c>
      <c r="D23" s="4" t="s">
        <v>212</v>
      </c>
      <c r="E23" s="5">
        <v>194334</v>
      </c>
      <c r="F23" s="6">
        <v>560.16775500000006</v>
      </c>
      <c r="G23" s="7">
        <v>1.6621681999999999E-2</v>
      </c>
      <c r="H23" s="106"/>
    </row>
    <row r="24" spans="1:8" ht="17.100000000000001" customHeight="1" x14ac:dyDescent="0.2">
      <c r="A24" s="3">
        <v>18</v>
      </c>
      <c r="B24" s="4" t="s">
        <v>392</v>
      </c>
      <c r="C24" s="4" t="s">
        <v>393</v>
      </c>
      <c r="D24" s="4" t="s">
        <v>230</v>
      </c>
      <c r="E24" s="5">
        <v>72118</v>
      </c>
      <c r="F24" s="6">
        <v>539.298404</v>
      </c>
      <c r="G24" s="7">
        <v>1.6002432E-2</v>
      </c>
      <c r="H24" s="106"/>
    </row>
    <row r="25" spans="1:8" ht="17.100000000000001" customHeight="1" x14ac:dyDescent="0.2">
      <c r="A25" s="3">
        <v>19</v>
      </c>
      <c r="B25" s="4" t="s">
        <v>441</v>
      </c>
      <c r="C25" s="4" t="s">
        <v>442</v>
      </c>
      <c r="D25" s="4" t="s">
        <v>324</v>
      </c>
      <c r="E25" s="5">
        <v>34737</v>
      </c>
      <c r="F25" s="6">
        <v>533.68189949999999</v>
      </c>
      <c r="G25" s="7">
        <v>1.5835775E-2</v>
      </c>
      <c r="H25" s="106"/>
    </row>
    <row r="26" spans="1:8" ht="17.100000000000001" customHeight="1" x14ac:dyDescent="0.2">
      <c r="A26" s="3">
        <v>20</v>
      </c>
      <c r="B26" s="4" t="s">
        <v>388</v>
      </c>
      <c r="C26" s="4" t="s">
        <v>389</v>
      </c>
      <c r="D26" s="4" t="s">
        <v>99</v>
      </c>
      <c r="E26" s="5">
        <v>99518</v>
      </c>
      <c r="F26" s="6">
        <v>521.822633</v>
      </c>
      <c r="G26" s="7">
        <v>1.5483879000000001E-2</v>
      </c>
      <c r="H26" s="106"/>
    </row>
    <row r="27" spans="1:8" ht="29.1" customHeight="1" x14ac:dyDescent="0.2">
      <c r="A27" s="3">
        <v>21</v>
      </c>
      <c r="B27" s="4" t="s">
        <v>202</v>
      </c>
      <c r="C27" s="4" t="s">
        <v>203</v>
      </c>
      <c r="D27" s="4" t="s">
        <v>204</v>
      </c>
      <c r="E27" s="5">
        <v>110989</v>
      </c>
      <c r="F27" s="6">
        <v>504.50049949999999</v>
      </c>
      <c r="G27" s="7">
        <v>1.4969885E-2</v>
      </c>
      <c r="H27" s="106"/>
    </row>
    <row r="28" spans="1:8" ht="29.1" customHeight="1" x14ac:dyDescent="0.2">
      <c r="A28" s="3">
        <v>22</v>
      </c>
      <c r="B28" s="4" t="s">
        <v>63</v>
      </c>
      <c r="C28" s="4" t="s">
        <v>64</v>
      </c>
      <c r="D28" s="4" t="s">
        <v>25</v>
      </c>
      <c r="E28" s="5">
        <v>16781</v>
      </c>
      <c r="F28" s="6">
        <v>455.20979649999998</v>
      </c>
      <c r="G28" s="7">
        <v>1.3507297E-2</v>
      </c>
      <c r="H28" s="106"/>
    </row>
    <row r="29" spans="1:8" ht="29.1" customHeight="1" x14ac:dyDescent="0.2">
      <c r="A29" s="3">
        <v>23</v>
      </c>
      <c r="B29" s="4" t="s">
        <v>390</v>
      </c>
      <c r="C29" s="4" t="s">
        <v>391</v>
      </c>
      <c r="D29" s="4" t="s">
        <v>67</v>
      </c>
      <c r="E29" s="5">
        <v>26634</v>
      </c>
      <c r="F29" s="6">
        <v>427.42243200000001</v>
      </c>
      <c r="G29" s="7">
        <v>1.2682771000000001E-2</v>
      </c>
      <c r="H29" s="106"/>
    </row>
    <row r="30" spans="1:8" ht="17.100000000000001" customHeight="1" x14ac:dyDescent="0.2">
      <c r="A30" s="3">
        <v>24</v>
      </c>
      <c r="B30" s="4" t="s">
        <v>418</v>
      </c>
      <c r="C30" s="4" t="s">
        <v>419</v>
      </c>
      <c r="D30" s="4" t="s">
        <v>13</v>
      </c>
      <c r="E30" s="5">
        <v>81720</v>
      </c>
      <c r="F30" s="6">
        <v>388.45602000000002</v>
      </c>
      <c r="G30" s="7">
        <v>1.1526533E-2</v>
      </c>
      <c r="H30" s="106"/>
    </row>
    <row r="31" spans="1:8" ht="29.1" customHeight="1" x14ac:dyDescent="0.2">
      <c r="A31" s="3">
        <v>25</v>
      </c>
      <c r="B31" s="4" t="s">
        <v>410</v>
      </c>
      <c r="C31" s="4" t="s">
        <v>411</v>
      </c>
      <c r="D31" s="4" t="s">
        <v>204</v>
      </c>
      <c r="E31" s="5">
        <v>105982</v>
      </c>
      <c r="F31" s="6">
        <v>375.17628000000002</v>
      </c>
      <c r="G31" s="7">
        <v>1.1132487999999999E-2</v>
      </c>
      <c r="H31" s="106"/>
    </row>
    <row r="32" spans="1:8" ht="17.100000000000001" customHeight="1" x14ac:dyDescent="0.2">
      <c r="A32" s="3">
        <v>26</v>
      </c>
      <c r="B32" s="4" t="s">
        <v>42</v>
      </c>
      <c r="C32" s="4" t="s">
        <v>43</v>
      </c>
      <c r="D32" s="4" t="s">
        <v>16</v>
      </c>
      <c r="E32" s="5">
        <v>64564</v>
      </c>
      <c r="F32" s="6">
        <v>370.468232</v>
      </c>
      <c r="G32" s="7">
        <v>1.0992787E-2</v>
      </c>
      <c r="H32" s="106"/>
    </row>
    <row r="33" spans="1:8" ht="17.100000000000001" customHeight="1" x14ac:dyDescent="0.2">
      <c r="A33" s="3">
        <v>27</v>
      </c>
      <c r="B33" s="4" t="s">
        <v>394</v>
      </c>
      <c r="C33" s="4" t="s">
        <v>395</v>
      </c>
      <c r="D33" s="4" t="s">
        <v>99</v>
      </c>
      <c r="E33" s="5">
        <v>50964</v>
      </c>
      <c r="F33" s="6">
        <v>370.12605000000002</v>
      </c>
      <c r="G33" s="7">
        <v>1.0982634E-2</v>
      </c>
      <c r="H33" s="106"/>
    </row>
    <row r="34" spans="1:8" ht="29.1" customHeight="1" x14ac:dyDescent="0.2">
      <c r="A34" s="3">
        <v>28</v>
      </c>
      <c r="B34" s="4" t="s">
        <v>317</v>
      </c>
      <c r="C34" s="4" t="s">
        <v>318</v>
      </c>
      <c r="D34" s="4" t="s">
        <v>319</v>
      </c>
      <c r="E34" s="5">
        <v>66434</v>
      </c>
      <c r="F34" s="6">
        <v>367.24715200000003</v>
      </c>
      <c r="G34" s="7">
        <v>1.0897209E-2</v>
      </c>
      <c r="H34" s="106"/>
    </row>
    <row r="35" spans="1:8" ht="17.100000000000001" customHeight="1" x14ac:dyDescent="0.2">
      <c r="A35" s="3">
        <v>29</v>
      </c>
      <c r="B35" s="4" t="s">
        <v>396</v>
      </c>
      <c r="C35" s="4" t="s">
        <v>397</v>
      </c>
      <c r="D35" s="4" t="s">
        <v>288</v>
      </c>
      <c r="E35" s="5">
        <v>46872</v>
      </c>
      <c r="F35" s="6">
        <v>351.21189600000002</v>
      </c>
      <c r="G35" s="7">
        <v>1.0421400000000001E-2</v>
      </c>
      <c r="H35" s="106"/>
    </row>
    <row r="36" spans="1:8" ht="29.1" customHeight="1" x14ac:dyDescent="0.2">
      <c r="A36" s="3">
        <v>30</v>
      </c>
      <c r="B36" s="4" t="s">
        <v>291</v>
      </c>
      <c r="C36" s="4" t="s">
        <v>292</v>
      </c>
      <c r="D36" s="4" t="s">
        <v>188</v>
      </c>
      <c r="E36" s="5">
        <v>45555</v>
      </c>
      <c r="F36" s="6">
        <v>346.1952225</v>
      </c>
      <c r="G36" s="7">
        <v>1.0272542000000001E-2</v>
      </c>
      <c r="H36" s="106"/>
    </row>
    <row r="37" spans="1:8" ht="17.100000000000001" customHeight="1" x14ac:dyDescent="0.2">
      <c r="A37" s="3">
        <v>31</v>
      </c>
      <c r="B37" s="4" t="s">
        <v>398</v>
      </c>
      <c r="C37" s="4" t="s">
        <v>399</v>
      </c>
      <c r="D37" s="4" t="s">
        <v>110</v>
      </c>
      <c r="E37" s="5">
        <v>53631</v>
      </c>
      <c r="F37" s="6">
        <v>343.13113800000002</v>
      </c>
      <c r="G37" s="7">
        <v>1.0181622E-2</v>
      </c>
      <c r="H37" s="106"/>
    </row>
    <row r="38" spans="1:8" ht="29.1" customHeight="1" x14ac:dyDescent="0.2">
      <c r="A38" s="3">
        <v>32</v>
      </c>
      <c r="B38" s="4" t="s">
        <v>420</v>
      </c>
      <c r="C38" s="4" t="s">
        <v>421</v>
      </c>
      <c r="D38" s="4" t="s">
        <v>366</v>
      </c>
      <c r="E38" s="5">
        <v>68454</v>
      </c>
      <c r="F38" s="6">
        <v>342.85185899999999</v>
      </c>
      <c r="G38" s="7">
        <v>1.0173335E-2</v>
      </c>
      <c r="H38" s="106"/>
    </row>
    <row r="39" spans="1:8" ht="17.100000000000001" customHeight="1" x14ac:dyDescent="0.2">
      <c r="A39" s="3">
        <v>33</v>
      </c>
      <c r="B39" s="4" t="s">
        <v>400</v>
      </c>
      <c r="C39" s="4" t="s">
        <v>401</v>
      </c>
      <c r="D39" s="4" t="s">
        <v>31</v>
      </c>
      <c r="E39" s="5">
        <v>40294</v>
      </c>
      <c r="F39" s="6">
        <v>340.82679899999999</v>
      </c>
      <c r="G39" s="7">
        <v>1.0113245999999999E-2</v>
      </c>
      <c r="H39" s="106"/>
    </row>
    <row r="40" spans="1:8" ht="17.100000000000001" customHeight="1" x14ac:dyDescent="0.2">
      <c r="A40" s="3">
        <v>34</v>
      </c>
      <c r="B40" s="4" t="s">
        <v>414</v>
      </c>
      <c r="C40" s="4" t="s">
        <v>415</v>
      </c>
      <c r="D40" s="4" t="s">
        <v>110</v>
      </c>
      <c r="E40" s="5">
        <v>27439</v>
      </c>
      <c r="F40" s="6">
        <v>339.18719850000002</v>
      </c>
      <c r="G40" s="7">
        <v>1.0064595000000001E-2</v>
      </c>
      <c r="H40" s="106"/>
    </row>
    <row r="41" spans="1:8" ht="29.1" customHeight="1" x14ac:dyDescent="0.2">
      <c r="A41" s="3">
        <v>35</v>
      </c>
      <c r="B41" s="4" t="s">
        <v>443</v>
      </c>
      <c r="C41" s="4" t="s">
        <v>444</v>
      </c>
      <c r="D41" s="4" t="s">
        <v>204</v>
      </c>
      <c r="E41" s="5">
        <v>16433</v>
      </c>
      <c r="F41" s="6">
        <v>324.30525499999999</v>
      </c>
      <c r="G41" s="7">
        <v>9.6230080000000006E-3</v>
      </c>
      <c r="H41" s="106"/>
    </row>
    <row r="42" spans="1:8" ht="17.100000000000001" customHeight="1" x14ac:dyDescent="0.2">
      <c r="A42" s="3">
        <v>36</v>
      </c>
      <c r="B42" s="4" t="s">
        <v>246</v>
      </c>
      <c r="C42" s="4" t="s">
        <v>247</v>
      </c>
      <c r="D42" s="4" t="s">
        <v>99</v>
      </c>
      <c r="E42" s="5">
        <v>51171</v>
      </c>
      <c r="F42" s="6">
        <v>321.4818075</v>
      </c>
      <c r="G42" s="7">
        <v>9.5392289999999998E-3</v>
      </c>
      <c r="H42" s="106"/>
    </row>
    <row r="43" spans="1:8" ht="17.100000000000001" customHeight="1" x14ac:dyDescent="0.2">
      <c r="A43" s="3">
        <v>37</v>
      </c>
      <c r="B43" s="4" t="s">
        <v>44</v>
      </c>
      <c r="C43" s="4" t="s">
        <v>45</v>
      </c>
      <c r="D43" s="4" t="s">
        <v>31</v>
      </c>
      <c r="E43" s="5">
        <v>9089</v>
      </c>
      <c r="F43" s="6">
        <v>305.29951</v>
      </c>
      <c r="G43" s="7">
        <v>9.0590559999999994E-3</v>
      </c>
      <c r="H43" s="106"/>
    </row>
    <row r="44" spans="1:8" ht="29.1" customHeight="1" x14ac:dyDescent="0.2">
      <c r="A44" s="3">
        <v>38</v>
      </c>
      <c r="B44" s="4" t="s">
        <v>445</v>
      </c>
      <c r="C44" s="4" t="s">
        <v>446</v>
      </c>
      <c r="D44" s="4" t="s">
        <v>51</v>
      </c>
      <c r="E44" s="5">
        <v>12298</v>
      </c>
      <c r="F44" s="6">
        <v>304.59686399999998</v>
      </c>
      <c r="G44" s="7">
        <v>9.0382069999999995E-3</v>
      </c>
      <c r="H44" s="106"/>
    </row>
    <row r="45" spans="1:8" ht="17.100000000000001" customHeight="1" x14ac:dyDescent="0.2">
      <c r="A45" s="3">
        <v>39</v>
      </c>
      <c r="B45" s="4" t="s">
        <v>406</v>
      </c>
      <c r="C45" s="4" t="s">
        <v>407</v>
      </c>
      <c r="D45" s="4" t="s">
        <v>99</v>
      </c>
      <c r="E45" s="5">
        <v>30109</v>
      </c>
      <c r="F45" s="6">
        <v>293.62296800000001</v>
      </c>
      <c r="G45" s="7">
        <v>8.712582E-3</v>
      </c>
      <c r="H45" s="106"/>
    </row>
    <row r="46" spans="1:8" ht="29.1" customHeight="1" x14ac:dyDescent="0.2">
      <c r="A46" s="3">
        <v>40</v>
      </c>
      <c r="B46" s="4" t="s">
        <v>402</v>
      </c>
      <c r="C46" s="4" t="s">
        <v>403</v>
      </c>
      <c r="D46" s="4" t="s">
        <v>319</v>
      </c>
      <c r="E46" s="5">
        <v>69032</v>
      </c>
      <c r="F46" s="6">
        <v>288.93343599999997</v>
      </c>
      <c r="G46" s="7">
        <v>8.5734309999999994E-3</v>
      </c>
      <c r="H46" s="106"/>
    </row>
    <row r="47" spans="1:8" ht="17.100000000000001" customHeight="1" x14ac:dyDescent="0.2">
      <c r="A47" s="3">
        <v>41</v>
      </c>
      <c r="B47" s="4" t="s">
        <v>404</v>
      </c>
      <c r="C47" s="4" t="s">
        <v>405</v>
      </c>
      <c r="D47" s="4" t="s">
        <v>13</v>
      </c>
      <c r="E47" s="5">
        <v>369322</v>
      </c>
      <c r="F47" s="6">
        <v>273.29827999999998</v>
      </c>
      <c r="G47" s="7">
        <v>8.1094940000000001E-3</v>
      </c>
      <c r="H47" s="106"/>
    </row>
    <row r="48" spans="1:8" ht="17.100000000000001" customHeight="1" x14ac:dyDescent="0.2">
      <c r="A48" s="3">
        <v>42</v>
      </c>
      <c r="B48" s="4" t="s">
        <v>447</v>
      </c>
      <c r="C48" s="4" t="s">
        <v>448</v>
      </c>
      <c r="D48" s="4" t="s">
        <v>268</v>
      </c>
      <c r="E48" s="5">
        <v>86680</v>
      </c>
      <c r="F48" s="6">
        <v>261.21017999999998</v>
      </c>
      <c r="G48" s="7">
        <v>7.7508070000000002E-3</v>
      </c>
      <c r="H48" s="106"/>
    </row>
    <row r="49" spans="1:8" ht="17.100000000000001" customHeight="1" x14ac:dyDescent="0.2">
      <c r="A49" s="3">
        <v>43</v>
      </c>
      <c r="B49" s="4" t="s">
        <v>412</v>
      </c>
      <c r="C49" s="4" t="s">
        <v>413</v>
      </c>
      <c r="D49" s="4" t="s">
        <v>193</v>
      </c>
      <c r="E49" s="5">
        <v>31437</v>
      </c>
      <c r="F49" s="6">
        <v>257.51618550000001</v>
      </c>
      <c r="G49" s="7">
        <v>7.6411969999999997E-3</v>
      </c>
      <c r="H49" s="106"/>
    </row>
    <row r="50" spans="1:8" ht="17.100000000000001" customHeight="1" x14ac:dyDescent="0.2">
      <c r="A50" s="3">
        <v>44</v>
      </c>
      <c r="B50" s="4" t="s">
        <v>432</v>
      </c>
      <c r="C50" s="4" t="s">
        <v>433</v>
      </c>
      <c r="D50" s="4" t="s">
        <v>89</v>
      </c>
      <c r="E50" s="5">
        <v>36696</v>
      </c>
      <c r="F50" s="6">
        <v>247.95487199999999</v>
      </c>
      <c r="G50" s="7">
        <v>7.3574870000000002E-3</v>
      </c>
      <c r="H50" s="106"/>
    </row>
    <row r="51" spans="1:8" ht="29.1" customHeight="1" x14ac:dyDescent="0.2">
      <c r="A51" s="3">
        <v>45</v>
      </c>
      <c r="B51" s="4" t="s">
        <v>408</v>
      </c>
      <c r="C51" s="4" t="s">
        <v>409</v>
      </c>
      <c r="D51" s="4" t="s">
        <v>188</v>
      </c>
      <c r="E51" s="5">
        <v>24941</v>
      </c>
      <c r="F51" s="6">
        <v>222.63583650000001</v>
      </c>
      <c r="G51" s="7">
        <v>6.6062029999999997E-3</v>
      </c>
      <c r="H51" s="106"/>
    </row>
    <row r="52" spans="1:8" ht="17.100000000000001" customHeight="1" x14ac:dyDescent="0.2">
      <c r="A52" s="3">
        <v>46</v>
      </c>
      <c r="B52" s="4" t="s">
        <v>449</v>
      </c>
      <c r="C52" s="4" t="s">
        <v>450</v>
      </c>
      <c r="D52" s="4" t="s">
        <v>99</v>
      </c>
      <c r="E52" s="5">
        <v>253774</v>
      </c>
      <c r="F52" s="6">
        <v>196.54796300000001</v>
      </c>
      <c r="G52" s="7">
        <v>5.8321060000000001E-3</v>
      </c>
      <c r="H52" s="106"/>
    </row>
    <row r="53" spans="1:8" ht="29.1" customHeight="1" x14ac:dyDescent="0.2">
      <c r="A53" s="3">
        <v>47</v>
      </c>
      <c r="B53" s="4" t="s">
        <v>451</v>
      </c>
      <c r="C53" s="4" t="s">
        <v>452</v>
      </c>
      <c r="D53" s="4" t="s">
        <v>453</v>
      </c>
      <c r="E53" s="5">
        <v>123725</v>
      </c>
      <c r="F53" s="6">
        <v>172.7201</v>
      </c>
      <c r="G53" s="7">
        <v>5.1250690000000003E-3</v>
      </c>
      <c r="H53" s="106"/>
    </row>
    <row r="54" spans="1:8" ht="17.100000000000001" customHeight="1" x14ac:dyDescent="0.2">
      <c r="A54" s="3">
        <v>48</v>
      </c>
      <c r="B54" s="4" t="s">
        <v>422</v>
      </c>
      <c r="C54" s="4" t="s">
        <v>423</v>
      </c>
      <c r="D54" s="4" t="s">
        <v>237</v>
      </c>
      <c r="E54" s="5">
        <v>22179</v>
      </c>
      <c r="F54" s="6">
        <v>163.0932765</v>
      </c>
      <c r="G54" s="7">
        <v>4.8394149999999997E-3</v>
      </c>
      <c r="H54" s="106"/>
    </row>
    <row r="55" spans="1:8" ht="17.100000000000001" customHeight="1" x14ac:dyDescent="0.2">
      <c r="A55" s="3">
        <v>49</v>
      </c>
      <c r="B55" s="4" t="s">
        <v>322</v>
      </c>
      <c r="C55" s="4" t="s">
        <v>323</v>
      </c>
      <c r="D55" s="4" t="s">
        <v>324</v>
      </c>
      <c r="E55" s="5">
        <v>10000</v>
      </c>
      <c r="F55" s="6">
        <v>160.26499999999999</v>
      </c>
      <c r="G55" s="7">
        <v>4.7554930000000004E-3</v>
      </c>
      <c r="H55" s="106"/>
    </row>
    <row r="56" spans="1:8" ht="17.100000000000001" customHeight="1" x14ac:dyDescent="0.2">
      <c r="A56" s="3">
        <v>50</v>
      </c>
      <c r="B56" s="4" t="s">
        <v>426</v>
      </c>
      <c r="C56" s="4" t="s">
        <v>427</v>
      </c>
      <c r="D56" s="4" t="s">
        <v>31</v>
      </c>
      <c r="E56" s="5">
        <v>17971</v>
      </c>
      <c r="F56" s="6">
        <v>142.599885</v>
      </c>
      <c r="G56" s="7">
        <v>4.231322E-3</v>
      </c>
      <c r="H56" s="106"/>
    </row>
    <row r="57" spans="1:8" ht="53.1" customHeight="1" x14ac:dyDescent="0.2">
      <c r="A57" s="3">
        <v>51</v>
      </c>
      <c r="B57" s="4" t="s">
        <v>333</v>
      </c>
      <c r="C57" s="4" t="s">
        <v>334</v>
      </c>
      <c r="D57" s="4" t="s">
        <v>48</v>
      </c>
      <c r="E57" s="5">
        <v>45826</v>
      </c>
      <c r="F57" s="6">
        <v>141.39612299999999</v>
      </c>
      <c r="G57" s="7">
        <v>4.195603E-3</v>
      </c>
      <c r="H57" s="106"/>
    </row>
    <row r="58" spans="1:8" ht="29.1" customHeight="1" x14ac:dyDescent="0.2">
      <c r="A58" s="3">
        <v>52</v>
      </c>
      <c r="B58" s="4" t="s">
        <v>428</v>
      </c>
      <c r="C58" s="4" t="s">
        <v>429</v>
      </c>
      <c r="D58" s="4" t="s">
        <v>204</v>
      </c>
      <c r="E58" s="5">
        <v>3290</v>
      </c>
      <c r="F58" s="6">
        <v>132.68076500000001</v>
      </c>
      <c r="G58" s="7">
        <v>3.9369950000000004E-3</v>
      </c>
      <c r="H58" s="106"/>
    </row>
    <row r="59" spans="1:8" ht="17.100000000000001" customHeight="1" x14ac:dyDescent="0.2">
      <c r="A59" s="3">
        <v>53</v>
      </c>
      <c r="B59" s="4" t="s">
        <v>337</v>
      </c>
      <c r="C59" s="4" t="s">
        <v>338</v>
      </c>
      <c r="D59" s="4" t="s">
        <v>96</v>
      </c>
      <c r="E59" s="5">
        <v>172875</v>
      </c>
      <c r="F59" s="6">
        <v>128.791875</v>
      </c>
      <c r="G59" s="7">
        <v>3.821601E-3</v>
      </c>
      <c r="H59" s="106"/>
    </row>
    <row r="60" spans="1:8" ht="29.1" customHeight="1" x14ac:dyDescent="0.2">
      <c r="A60" s="3">
        <v>54</v>
      </c>
      <c r="B60" s="4" t="s">
        <v>430</v>
      </c>
      <c r="C60" s="4" t="s">
        <v>431</v>
      </c>
      <c r="D60" s="4" t="s">
        <v>204</v>
      </c>
      <c r="E60" s="5">
        <v>53264</v>
      </c>
      <c r="F60" s="6">
        <v>120.456536</v>
      </c>
      <c r="G60" s="7">
        <v>3.5742690000000001E-3</v>
      </c>
      <c r="H60" s="106"/>
    </row>
    <row r="61" spans="1:8" ht="29.1" customHeight="1" x14ac:dyDescent="0.2">
      <c r="A61" s="3">
        <v>55</v>
      </c>
      <c r="B61" s="4" t="s">
        <v>424</v>
      </c>
      <c r="C61" s="4" t="s">
        <v>425</v>
      </c>
      <c r="D61" s="4" t="s">
        <v>110</v>
      </c>
      <c r="E61" s="5">
        <v>9707</v>
      </c>
      <c r="F61" s="6">
        <v>115.1104595</v>
      </c>
      <c r="G61" s="7">
        <v>3.4156360000000001E-3</v>
      </c>
      <c r="H61" s="106"/>
    </row>
    <row r="62" spans="1:8" ht="29.1" customHeight="1" x14ac:dyDescent="0.2">
      <c r="A62" s="3">
        <v>56</v>
      </c>
      <c r="B62" s="4" t="s">
        <v>329</v>
      </c>
      <c r="C62" s="4" t="s">
        <v>330</v>
      </c>
      <c r="D62" s="4" t="s">
        <v>188</v>
      </c>
      <c r="E62" s="5">
        <v>25075</v>
      </c>
      <c r="F62" s="6">
        <v>94.081400000000002</v>
      </c>
      <c r="G62" s="7">
        <v>2.7916479999999999E-3</v>
      </c>
      <c r="H62" s="106"/>
    </row>
    <row r="63" spans="1:8" ht="17.100000000000001" customHeight="1" x14ac:dyDescent="0.2">
      <c r="A63" s="3">
        <v>57</v>
      </c>
      <c r="B63" s="4" t="s">
        <v>454</v>
      </c>
      <c r="C63" s="4" t="s">
        <v>455</v>
      </c>
      <c r="D63" s="4" t="s">
        <v>110</v>
      </c>
      <c r="E63" s="5">
        <v>25841</v>
      </c>
      <c r="F63" s="6">
        <v>73.285076000000004</v>
      </c>
      <c r="G63" s="7">
        <v>2.1745649999999998E-3</v>
      </c>
      <c r="H63" s="106"/>
    </row>
    <row r="64" spans="1:8" ht="29.1" customHeight="1" x14ac:dyDescent="0.2">
      <c r="A64" s="3">
        <v>58</v>
      </c>
      <c r="B64" s="4" t="s">
        <v>456</v>
      </c>
      <c r="C64" s="4" t="s">
        <v>457</v>
      </c>
      <c r="D64" s="4" t="s">
        <v>188</v>
      </c>
      <c r="E64" s="5">
        <v>9638</v>
      </c>
      <c r="F64" s="6">
        <v>64.511953000000005</v>
      </c>
      <c r="G64" s="7">
        <v>1.9142429999999999E-3</v>
      </c>
      <c r="H64" s="106"/>
    </row>
    <row r="65" spans="1:8" ht="29.1" customHeight="1" x14ac:dyDescent="0.2">
      <c r="A65" s="3">
        <v>59</v>
      </c>
      <c r="B65" s="4" t="s">
        <v>434</v>
      </c>
      <c r="C65" s="4" t="s">
        <v>435</v>
      </c>
      <c r="D65" s="4" t="s">
        <v>62</v>
      </c>
      <c r="E65" s="5">
        <v>14211</v>
      </c>
      <c r="F65" s="6">
        <v>59.4943515</v>
      </c>
      <c r="G65" s="7">
        <v>1.765357E-3</v>
      </c>
      <c r="H65" s="106"/>
    </row>
    <row r="66" spans="1:8" ht="17.100000000000001" customHeight="1" x14ac:dyDescent="0.2">
      <c r="A66" s="3">
        <v>60</v>
      </c>
      <c r="B66" s="4" t="s">
        <v>436</v>
      </c>
      <c r="C66" s="4" t="s">
        <v>437</v>
      </c>
      <c r="D66" s="4" t="s">
        <v>16</v>
      </c>
      <c r="E66" s="5">
        <v>13031</v>
      </c>
      <c r="F66" s="6">
        <v>29.612947500000001</v>
      </c>
      <c r="G66" s="7">
        <v>8.7869599999999999E-4</v>
      </c>
      <c r="H66" s="106"/>
    </row>
    <row r="67" spans="1:8" ht="14.1" customHeight="1" x14ac:dyDescent="0.2">
      <c r="A67" s="1"/>
      <c r="B67" s="1"/>
      <c r="C67" s="2" t="s">
        <v>130</v>
      </c>
      <c r="D67" s="1"/>
      <c r="E67" s="1" t="s">
        <v>131</v>
      </c>
      <c r="F67" s="9">
        <v>24552.936712499999</v>
      </c>
      <c r="G67" s="10">
        <v>0.72855156700000001</v>
      </c>
      <c r="H67" s="106"/>
    </row>
    <row r="68" spans="1:8" ht="14.1" customHeight="1" x14ac:dyDescent="0.2">
      <c r="A68" s="1"/>
      <c r="B68" s="1"/>
      <c r="C68" s="11"/>
      <c r="D68" s="1"/>
      <c r="E68" s="1"/>
      <c r="F68" s="12"/>
      <c r="G68" s="12"/>
      <c r="H68" s="106"/>
    </row>
    <row r="69" spans="1:8" ht="14.1" customHeight="1" x14ac:dyDescent="0.2">
      <c r="A69" s="1"/>
      <c r="B69" s="1"/>
      <c r="C69" s="2" t="s">
        <v>132</v>
      </c>
      <c r="D69" s="1"/>
      <c r="E69" s="1"/>
      <c r="F69" s="1"/>
      <c r="G69" s="1"/>
      <c r="H69" s="106"/>
    </row>
    <row r="70" spans="1:8" ht="14.1" customHeight="1" x14ac:dyDescent="0.2">
      <c r="A70" s="1"/>
      <c r="B70" s="1"/>
      <c r="C70" s="2" t="s">
        <v>130</v>
      </c>
      <c r="D70" s="1"/>
      <c r="E70" s="1" t="s">
        <v>131</v>
      </c>
      <c r="F70" s="13">
        <v>0</v>
      </c>
      <c r="G70" s="14">
        <v>0</v>
      </c>
      <c r="H70" s="106"/>
    </row>
    <row r="71" spans="1:8" ht="14.1" customHeight="1" x14ac:dyDescent="0.2">
      <c r="A71" s="1"/>
      <c r="B71" s="1"/>
      <c r="C71" s="11"/>
      <c r="D71" s="1"/>
      <c r="E71" s="1"/>
      <c r="F71" s="12"/>
      <c r="G71" s="12"/>
      <c r="H71" s="106"/>
    </row>
    <row r="72" spans="1:8" ht="14.1" customHeight="1" x14ac:dyDescent="0.2">
      <c r="A72" s="1"/>
      <c r="B72" s="1"/>
      <c r="C72" s="2" t="s">
        <v>133</v>
      </c>
      <c r="D72" s="1"/>
      <c r="E72" s="1"/>
      <c r="F72" s="1"/>
      <c r="G72" s="1"/>
      <c r="H72" s="106"/>
    </row>
    <row r="73" spans="1:8" ht="14.1" customHeight="1" x14ac:dyDescent="0.2">
      <c r="A73" s="1"/>
      <c r="B73" s="1"/>
      <c r="C73" s="2" t="s">
        <v>130</v>
      </c>
      <c r="D73" s="1"/>
      <c r="E73" s="1" t="s">
        <v>131</v>
      </c>
      <c r="F73" s="13">
        <v>0</v>
      </c>
      <c r="G73" s="14">
        <v>0</v>
      </c>
      <c r="H73" s="106"/>
    </row>
    <row r="74" spans="1:8" ht="14.1" customHeight="1" x14ac:dyDescent="0.2">
      <c r="A74" s="1"/>
      <c r="B74" s="1"/>
      <c r="C74" s="11"/>
      <c r="D74" s="1"/>
      <c r="E74" s="1"/>
      <c r="F74" s="12"/>
      <c r="G74" s="12"/>
      <c r="H74" s="106"/>
    </row>
    <row r="75" spans="1:8" ht="14.1" customHeight="1" x14ac:dyDescent="0.2">
      <c r="A75" s="1"/>
      <c r="B75" s="1"/>
      <c r="C75" s="2" t="s">
        <v>134</v>
      </c>
      <c r="D75" s="1"/>
      <c r="E75" s="1"/>
      <c r="F75" s="1"/>
      <c r="G75" s="1"/>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4.1" customHeight="1" x14ac:dyDescent="0.2">
      <c r="A78" s="1"/>
      <c r="B78" s="1"/>
      <c r="C78" s="2" t="s">
        <v>135</v>
      </c>
      <c r="D78" s="1"/>
      <c r="E78" s="1"/>
      <c r="F78" s="12"/>
      <c r="G78" s="12"/>
      <c r="H78" s="106"/>
    </row>
    <row r="79" spans="1:8" ht="14.1" customHeight="1" x14ac:dyDescent="0.2">
      <c r="A79" s="1"/>
      <c r="B79" s="1"/>
      <c r="C79" s="2" t="s">
        <v>130</v>
      </c>
      <c r="D79" s="1"/>
      <c r="E79" s="1" t="s">
        <v>131</v>
      </c>
      <c r="F79" s="13">
        <v>0</v>
      </c>
      <c r="G79" s="14">
        <v>0</v>
      </c>
      <c r="H79" s="106"/>
    </row>
    <row r="80" spans="1:8" ht="14.1" customHeight="1" x14ac:dyDescent="0.2">
      <c r="A80" s="1"/>
      <c r="B80" s="1"/>
      <c r="C80" s="11"/>
      <c r="D80" s="1"/>
      <c r="E80" s="1"/>
      <c r="F80" s="12"/>
      <c r="G80" s="12"/>
      <c r="H80" s="106"/>
    </row>
    <row r="81" spans="1:8" ht="14.1" customHeight="1" x14ac:dyDescent="0.2">
      <c r="A81" s="1"/>
      <c r="B81" s="1"/>
      <c r="C81" s="2" t="s">
        <v>136</v>
      </c>
      <c r="D81" s="1"/>
      <c r="E81" s="1"/>
      <c r="F81" s="12"/>
      <c r="G81" s="12"/>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8" customHeight="1" x14ac:dyDescent="0.2">
      <c r="A84" s="1"/>
      <c r="B84" s="1"/>
      <c r="C84" s="2" t="s">
        <v>137</v>
      </c>
      <c r="D84" s="1"/>
      <c r="E84" s="1"/>
      <c r="F84" s="9">
        <v>24552.936712499999</v>
      </c>
      <c r="G84" s="10">
        <v>0.72855156700000001</v>
      </c>
      <c r="H84" s="106"/>
    </row>
    <row r="85" spans="1:8" ht="14.1" customHeight="1" x14ac:dyDescent="0.2">
      <c r="A85" s="1"/>
      <c r="B85" s="1"/>
      <c r="C85" s="11"/>
      <c r="D85" s="1"/>
      <c r="E85" s="1"/>
      <c r="F85" s="12"/>
      <c r="G85" s="12"/>
      <c r="H85" s="106"/>
    </row>
    <row r="86" spans="1:8" ht="14.1" customHeight="1" x14ac:dyDescent="0.2">
      <c r="A86" s="1"/>
      <c r="B86" s="1"/>
      <c r="C86" s="2" t="s">
        <v>138</v>
      </c>
      <c r="D86" s="1"/>
      <c r="E86" s="1"/>
      <c r="F86" s="12"/>
      <c r="G86" s="12"/>
      <c r="H86" s="106"/>
    </row>
    <row r="87" spans="1:8" ht="24" customHeight="1" x14ac:dyDescent="0.2">
      <c r="A87" s="1"/>
      <c r="B87" s="1"/>
      <c r="C87" s="2" t="s">
        <v>10</v>
      </c>
      <c r="D87" s="1"/>
      <c r="E87" s="1"/>
      <c r="F87" s="12"/>
      <c r="G87" s="12"/>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4.1" customHeight="1" x14ac:dyDescent="0.2">
      <c r="A90" s="1"/>
      <c r="B90" s="1"/>
      <c r="C90" s="2" t="s">
        <v>139</v>
      </c>
      <c r="D90" s="1"/>
      <c r="E90" s="1"/>
      <c r="F90" s="1"/>
      <c r="G90" s="1"/>
      <c r="H90" s="106"/>
    </row>
    <row r="91" spans="1:8" ht="14.1" customHeight="1" x14ac:dyDescent="0.2">
      <c r="A91" s="1"/>
      <c r="B91" s="1"/>
      <c r="C91" s="2" t="s">
        <v>130</v>
      </c>
      <c r="D91" s="1"/>
      <c r="E91" s="1" t="s">
        <v>131</v>
      </c>
      <c r="F91" s="13">
        <v>0</v>
      </c>
      <c r="G91" s="14">
        <v>0</v>
      </c>
      <c r="H91" s="106"/>
    </row>
    <row r="92" spans="1:8" ht="14.1" customHeight="1" x14ac:dyDescent="0.2">
      <c r="A92" s="1"/>
      <c r="B92" s="1"/>
      <c r="C92" s="11"/>
      <c r="D92" s="1"/>
      <c r="E92" s="1"/>
      <c r="F92" s="12"/>
      <c r="G92" s="12"/>
      <c r="H92" s="106"/>
    </row>
    <row r="93" spans="1:8" ht="14.1" customHeight="1" x14ac:dyDescent="0.2">
      <c r="A93" s="1"/>
      <c r="B93" s="1"/>
      <c r="C93" s="2" t="s">
        <v>140</v>
      </c>
      <c r="D93" s="1"/>
      <c r="E93" s="1"/>
      <c r="F93" s="1"/>
      <c r="G93" s="1"/>
      <c r="H93" s="106"/>
    </row>
    <row r="94" spans="1:8" ht="14.1" customHeight="1" x14ac:dyDescent="0.2">
      <c r="A94" s="1"/>
      <c r="B94" s="1"/>
      <c r="C94" s="2" t="s">
        <v>130</v>
      </c>
      <c r="D94" s="1"/>
      <c r="E94" s="1" t="s">
        <v>131</v>
      </c>
      <c r="F94" s="13">
        <v>0</v>
      </c>
      <c r="G94" s="14">
        <v>0</v>
      </c>
      <c r="H94" s="106"/>
    </row>
    <row r="95" spans="1:8" ht="14.1" customHeight="1" x14ac:dyDescent="0.2">
      <c r="A95" s="1"/>
      <c r="B95" s="1"/>
      <c r="C95" s="11"/>
      <c r="D95" s="1"/>
      <c r="E95" s="1"/>
      <c r="F95" s="12"/>
      <c r="G95" s="12"/>
      <c r="H95" s="106"/>
    </row>
    <row r="96" spans="1:8" ht="14.1" customHeight="1" x14ac:dyDescent="0.2">
      <c r="A96" s="1"/>
      <c r="B96" s="1"/>
      <c r="C96" s="2" t="s">
        <v>141</v>
      </c>
      <c r="D96" s="1"/>
      <c r="E96" s="1"/>
      <c r="F96" s="12"/>
      <c r="G96" s="12"/>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142</v>
      </c>
      <c r="D99" s="1"/>
      <c r="E99" s="1"/>
      <c r="F99" s="9">
        <v>0</v>
      </c>
      <c r="G99" s="10">
        <v>0</v>
      </c>
      <c r="H99" s="106"/>
    </row>
    <row r="100" spans="1:8" ht="14.1" customHeight="1" x14ac:dyDescent="0.2">
      <c r="A100" s="1"/>
      <c r="B100" s="1"/>
      <c r="C100" s="11"/>
      <c r="D100" s="1"/>
      <c r="E100" s="1"/>
      <c r="F100" s="12"/>
      <c r="G100" s="12"/>
      <c r="H100" s="106"/>
    </row>
    <row r="101" spans="1:8" ht="14.1" customHeight="1" x14ac:dyDescent="0.2">
      <c r="A101" s="1"/>
      <c r="B101" s="1"/>
      <c r="C101" s="2" t="s">
        <v>143</v>
      </c>
      <c r="D101" s="1"/>
      <c r="E101" s="1"/>
      <c r="F101" s="12"/>
      <c r="G101" s="12"/>
      <c r="H101" s="106"/>
    </row>
    <row r="102" spans="1:8" ht="14.1" customHeight="1" x14ac:dyDescent="0.2">
      <c r="A102" s="1"/>
      <c r="B102" s="1"/>
      <c r="C102" s="2" t="s">
        <v>144</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145</v>
      </c>
      <c r="D105" s="1"/>
      <c r="E105" s="1"/>
      <c r="F105" s="12"/>
      <c r="G105" s="12"/>
      <c r="H105" s="106"/>
    </row>
    <row r="106" spans="1:8" ht="14.1" customHeight="1" x14ac:dyDescent="0.2">
      <c r="A106" s="1"/>
      <c r="B106" s="1"/>
      <c r="C106" s="2" t="s">
        <v>130</v>
      </c>
      <c r="D106" s="1"/>
      <c r="E106" s="1" t="s">
        <v>131</v>
      </c>
      <c r="F106" s="13">
        <v>0</v>
      </c>
      <c r="G106" s="14">
        <v>0</v>
      </c>
      <c r="H106" s="106"/>
    </row>
    <row r="107" spans="1:8" ht="14.1" customHeight="1" x14ac:dyDescent="0.2">
      <c r="A107" s="1"/>
      <c r="B107" s="1"/>
      <c r="C107" s="11"/>
      <c r="D107" s="1"/>
      <c r="E107" s="1"/>
      <c r="F107" s="12"/>
      <c r="G107" s="12"/>
      <c r="H107" s="106"/>
    </row>
    <row r="108" spans="1:8" ht="14.1" customHeight="1" x14ac:dyDescent="0.2">
      <c r="A108" s="1"/>
      <c r="B108" s="1"/>
      <c r="C108" s="2" t="s">
        <v>146</v>
      </c>
      <c r="D108" s="1"/>
      <c r="E108" s="1"/>
      <c r="F108" s="12"/>
      <c r="G108" s="12"/>
      <c r="H108" s="106"/>
    </row>
    <row r="109" spans="1:8" ht="14.1" customHeight="1" x14ac:dyDescent="0.2">
      <c r="A109" s="1"/>
      <c r="B109" s="1"/>
      <c r="C109" s="2" t="s">
        <v>130</v>
      </c>
      <c r="D109" s="1"/>
      <c r="E109" s="1" t="s">
        <v>131</v>
      </c>
      <c r="F109" s="13">
        <v>0</v>
      </c>
      <c r="G109" s="14">
        <v>0</v>
      </c>
      <c r="H109" s="106"/>
    </row>
    <row r="110" spans="1:8" ht="14.1" customHeight="1" x14ac:dyDescent="0.2">
      <c r="A110" s="1"/>
      <c r="B110" s="1"/>
      <c r="C110" s="11"/>
      <c r="D110" s="1"/>
      <c r="E110" s="1"/>
      <c r="F110" s="12"/>
      <c r="G110" s="12"/>
      <c r="H110" s="106"/>
    </row>
    <row r="111" spans="1:8" ht="14.1" customHeight="1" x14ac:dyDescent="0.2">
      <c r="A111" s="1"/>
      <c r="B111" s="1"/>
      <c r="C111" s="2" t="s">
        <v>147</v>
      </c>
      <c r="D111" s="1"/>
      <c r="E111" s="1"/>
      <c r="F111" s="12"/>
      <c r="G111" s="12"/>
      <c r="H111" s="106"/>
    </row>
    <row r="112" spans="1:8" ht="17.100000000000001" customHeight="1" x14ac:dyDescent="0.2">
      <c r="A112" s="3">
        <v>1</v>
      </c>
      <c r="B112" s="4"/>
      <c r="C112" s="4" t="s">
        <v>148</v>
      </c>
      <c r="D112" s="4"/>
      <c r="E112" s="8"/>
      <c r="F112" s="6">
        <v>7406.98164</v>
      </c>
      <c r="G112" s="7">
        <v>0.21978503499999999</v>
      </c>
      <c r="H112" s="106">
        <v>6.1171451766917002</v>
      </c>
    </row>
    <row r="113" spans="1:8" ht="14.1" customHeight="1" x14ac:dyDescent="0.2">
      <c r="A113" s="1"/>
      <c r="B113" s="1"/>
      <c r="C113" s="2" t="s">
        <v>130</v>
      </c>
      <c r="D113" s="1"/>
      <c r="E113" s="1" t="s">
        <v>131</v>
      </c>
      <c r="F113" s="9">
        <v>7406.98164</v>
      </c>
      <c r="G113" s="10">
        <v>0.21978503499999999</v>
      </c>
      <c r="H113" s="106"/>
    </row>
    <row r="114" spans="1:8" ht="14.1" customHeight="1" x14ac:dyDescent="0.2">
      <c r="A114" s="1"/>
      <c r="B114" s="1"/>
      <c r="C114" s="11"/>
      <c r="D114" s="1"/>
      <c r="E114" s="1"/>
      <c r="F114" s="12"/>
      <c r="G114" s="12"/>
      <c r="H114" s="106"/>
    </row>
    <row r="115" spans="1:8" ht="14.1" customHeight="1" x14ac:dyDescent="0.2">
      <c r="A115" s="1"/>
      <c r="B115" s="1"/>
      <c r="C115" s="2" t="s">
        <v>149</v>
      </c>
      <c r="D115" s="1"/>
      <c r="E115" s="1"/>
      <c r="F115" s="9">
        <v>7406.98164</v>
      </c>
      <c r="G115" s="10">
        <v>0.21978503499999999</v>
      </c>
      <c r="H115" s="106"/>
    </row>
    <row r="116" spans="1:8" ht="14.1" customHeight="1" x14ac:dyDescent="0.2">
      <c r="A116" s="1"/>
      <c r="B116" s="1"/>
      <c r="C116" s="12"/>
      <c r="D116" s="1"/>
      <c r="E116" s="1"/>
      <c r="F116" s="1"/>
      <c r="G116" s="1"/>
      <c r="H116" s="106"/>
    </row>
    <row r="117" spans="1:8" ht="14.1" customHeight="1" x14ac:dyDescent="0.2">
      <c r="A117" s="1"/>
      <c r="B117" s="1"/>
      <c r="C117" s="2" t="s">
        <v>150</v>
      </c>
      <c r="D117" s="1"/>
      <c r="E117" s="1"/>
      <c r="F117" s="1"/>
      <c r="G117" s="1"/>
      <c r="H117" s="106"/>
    </row>
    <row r="118" spans="1:8" ht="14.1" customHeight="1" x14ac:dyDescent="0.2">
      <c r="A118" s="1"/>
      <c r="B118" s="1"/>
      <c r="C118" s="2" t="s">
        <v>151</v>
      </c>
      <c r="D118" s="1"/>
      <c r="E118" s="1"/>
      <c r="F118" s="1"/>
      <c r="G118" s="1"/>
      <c r="H118" s="106"/>
    </row>
    <row r="119" spans="1:8" ht="14.1" customHeight="1" x14ac:dyDescent="0.2">
      <c r="A119" s="1"/>
      <c r="B119" s="1"/>
      <c r="C119" s="2" t="s">
        <v>130</v>
      </c>
      <c r="D119" s="1"/>
      <c r="E119" s="1" t="s">
        <v>131</v>
      </c>
      <c r="F119" s="13">
        <v>0</v>
      </c>
      <c r="G119" s="14">
        <v>0</v>
      </c>
      <c r="H119" s="106"/>
    </row>
    <row r="120" spans="1:8" ht="14.1" customHeight="1" x14ac:dyDescent="0.2">
      <c r="A120" s="1"/>
      <c r="B120" s="1"/>
      <c r="C120" s="11"/>
      <c r="D120" s="1"/>
      <c r="E120" s="1"/>
      <c r="F120" s="12"/>
      <c r="G120" s="12"/>
      <c r="H120" s="106"/>
    </row>
    <row r="121" spans="1:8" ht="14.1" customHeight="1" x14ac:dyDescent="0.2">
      <c r="A121" s="1"/>
      <c r="B121" s="1"/>
      <c r="C121" s="2" t="s">
        <v>152</v>
      </c>
      <c r="D121" s="1"/>
      <c r="E121" s="1"/>
      <c r="F121" s="1"/>
      <c r="G121" s="1"/>
      <c r="H121" s="106"/>
    </row>
    <row r="122" spans="1:8" ht="14.1" customHeight="1" x14ac:dyDescent="0.2">
      <c r="A122" s="1"/>
      <c r="B122" s="1"/>
      <c r="C122" s="2" t="s">
        <v>153</v>
      </c>
      <c r="D122" s="1"/>
      <c r="E122" s="1"/>
      <c r="F122" s="1"/>
      <c r="G122" s="1"/>
      <c r="H122" s="106"/>
    </row>
    <row r="123" spans="1:8" ht="14.1" customHeight="1" x14ac:dyDescent="0.2">
      <c r="A123" s="1"/>
      <c r="B123" s="1"/>
      <c r="C123" s="2" t="s">
        <v>130</v>
      </c>
      <c r="D123" s="1"/>
      <c r="E123" s="1" t="s">
        <v>131</v>
      </c>
      <c r="F123" s="13">
        <v>0</v>
      </c>
      <c r="G123" s="14">
        <v>0</v>
      </c>
      <c r="H123" s="106"/>
    </row>
    <row r="124" spans="1:8" ht="14.1" customHeight="1" x14ac:dyDescent="0.2">
      <c r="A124" s="1"/>
      <c r="B124" s="1"/>
      <c r="C124" s="11"/>
      <c r="D124" s="1"/>
      <c r="E124" s="1"/>
      <c r="F124" s="12"/>
      <c r="G124" s="12"/>
      <c r="H124" s="106"/>
    </row>
    <row r="125" spans="1:8" ht="14.1" customHeight="1" x14ac:dyDescent="0.2">
      <c r="A125" s="1"/>
      <c r="B125" s="1"/>
      <c r="C125" s="11"/>
      <c r="D125" s="1"/>
      <c r="E125" s="1"/>
      <c r="F125" s="12"/>
      <c r="G125" s="12"/>
      <c r="H125" s="106"/>
    </row>
    <row r="126" spans="1:8" ht="24" customHeight="1" x14ac:dyDescent="0.2">
      <c r="A126" s="1"/>
      <c r="B126" s="1"/>
      <c r="C126" s="2" t="s">
        <v>154</v>
      </c>
      <c r="D126" s="1"/>
      <c r="E126" s="1"/>
      <c r="F126" s="12"/>
      <c r="G126" s="12"/>
      <c r="H126" s="106"/>
    </row>
    <row r="127" spans="1:8" ht="14.1" customHeight="1" x14ac:dyDescent="0.2">
      <c r="A127" s="1"/>
      <c r="B127" s="1"/>
      <c r="C127" s="2" t="s">
        <v>130</v>
      </c>
      <c r="D127" s="1"/>
      <c r="E127" s="1" t="s">
        <v>131</v>
      </c>
      <c r="F127" s="13">
        <v>0</v>
      </c>
      <c r="G127" s="14">
        <v>0</v>
      </c>
      <c r="H127" s="106"/>
    </row>
    <row r="128" spans="1:8" ht="14.1" customHeight="1" x14ac:dyDescent="0.2">
      <c r="A128" s="1"/>
      <c r="B128" s="1"/>
      <c r="C128" s="11"/>
      <c r="D128" s="1"/>
      <c r="E128" s="1"/>
      <c r="F128" s="12"/>
      <c r="G128" s="12"/>
      <c r="H128" s="106"/>
    </row>
    <row r="129" spans="1:8" ht="14.1" customHeight="1" x14ac:dyDescent="0.2">
      <c r="A129" s="1"/>
      <c r="B129" s="4"/>
      <c r="C129" s="4"/>
      <c r="D129" s="2"/>
      <c r="E129" s="1"/>
      <c r="F129" s="4"/>
      <c r="G129" s="8"/>
      <c r="H129" s="106"/>
    </row>
    <row r="130" spans="1:8" ht="18" customHeight="1" x14ac:dyDescent="0.2">
      <c r="A130" s="8"/>
      <c r="B130" s="4"/>
      <c r="C130" s="4" t="s">
        <v>155</v>
      </c>
      <c r="D130" s="4"/>
      <c r="E130" s="8"/>
      <c r="F130" s="6">
        <v>1741.10970849</v>
      </c>
      <c r="G130" s="7">
        <v>5.1663399999999998E-2</v>
      </c>
      <c r="H130" s="106"/>
    </row>
    <row r="131" spans="1:8" ht="14.1" customHeight="1" x14ac:dyDescent="0.2">
      <c r="A131" s="11"/>
      <c r="B131" s="11"/>
      <c r="C131" s="2" t="s">
        <v>156</v>
      </c>
      <c r="D131" s="15"/>
      <c r="E131" s="15"/>
      <c r="F131" s="9">
        <v>33701.02806099</v>
      </c>
      <c r="G131" s="10">
        <v>1.0000000019999999</v>
      </c>
      <c r="H131" s="106"/>
    </row>
    <row r="132" spans="1:8" ht="14.1" customHeight="1" x14ac:dyDescent="0.2">
      <c r="A132" s="16"/>
      <c r="B132" s="16"/>
      <c r="C132" s="16"/>
      <c r="D132" s="17"/>
      <c r="E132" s="17"/>
      <c r="F132" s="17"/>
      <c r="G132" s="17"/>
    </row>
    <row r="133" spans="1:8" ht="14.1" customHeight="1" x14ac:dyDescent="0.2">
      <c r="A133" s="18"/>
      <c r="B133" s="18"/>
      <c r="C133" s="18"/>
      <c r="D133" s="20"/>
      <c r="E133" s="20"/>
      <c r="F133" s="20"/>
      <c r="G133" s="20"/>
    </row>
    <row r="134" spans="1:8" ht="14.1" customHeight="1" x14ac:dyDescent="0.2">
      <c r="A134" s="18"/>
      <c r="B134" s="279" t="s">
        <v>158</v>
      </c>
      <c r="C134" s="280"/>
      <c r="D134" s="12" t="s">
        <v>131</v>
      </c>
      <c r="E134" s="21"/>
      <c r="F134" s="20"/>
      <c r="G134" s="20"/>
    </row>
    <row r="135" spans="1:8" ht="29.1" customHeight="1" x14ac:dyDescent="0.2">
      <c r="A135" s="18"/>
      <c r="B135" s="274" t="s">
        <v>159</v>
      </c>
      <c r="C135" s="275"/>
      <c r="D135" s="2" t="s">
        <v>160</v>
      </c>
      <c r="E135" s="21"/>
      <c r="F135" s="20"/>
      <c r="G135" s="20"/>
    </row>
    <row r="136" spans="1:8" ht="17.100000000000001" customHeight="1" x14ac:dyDescent="0.2">
      <c r="A136" s="18"/>
      <c r="B136" s="274" t="s">
        <v>161</v>
      </c>
      <c r="C136" s="275"/>
      <c r="D136" s="2" t="s">
        <v>160</v>
      </c>
      <c r="E136" s="21"/>
      <c r="F136" s="20"/>
      <c r="G136" s="20"/>
    </row>
    <row r="137" spans="1:8" ht="17.100000000000001" customHeight="1" x14ac:dyDescent="0.2">
      <c r="A137" s="18"/>
      <c r="B137" s="274" t="s">
        <v>162</v>
      </c>
      <c r="C137" s="275"/>
      <c r="D137" s="12" t="s">
        <v>131</v>
      </c>
      <c r="E137" s="21"/>
      <c r="F137" s="20"/>
      <c r="G137" s="20"/>
    </row>
    <row r="138" spans="1:8" ht="24" customHeight="1" x14ac:dyDescent="0.2">
      <c r="A138" s="22"/>
      <c r="B138" s="23" t="s">
        <v>131</v>
      </c>
      <c r="C138" s="23" t="s">
        <v>163</v>
      </c>
      <c r="D138" s="23" t="s">
        <v>164</v>
      </c>
      <c r="E138" s="22"/>
      <c r="F138" s="22"/>
      <c r="G138" s="22"/>
    </row>
    <row r="139" spans="1:8" ht="18" customHeight="1" x14ac:dyDescent="0.2">
      <c r="A139" s="22"/>
      <c r="B139" s="23" t="s">
        <v>165</v>
      </c>
      <c r="C139" s="23" t="s">
        <v>166</v>
      </c>
      <c r="D139" s="23" t="s">
        <v>167</v>
      </c>
      <c r="E139" s="22"/>
      <c r="F139" s="22"/>
      <c r="G139" s="22"/>
    </row>
    <row r="140" spans="1:8" ht="17.100000000000001" customHeight="1" x14ac:dyDescent="0.2">
      <c r="A140" s="22"/>
      <c r="B140" s="4" t="s">
        <v>168</v>
      </c>
      <c r="C140" s="24">
        <v>17.8629</v>
      </c>
      <c r="D140" s="24">
        <v>17.960799999999999</v>
      </c>
      <c r="E140" s="22"/>
      <c r="F140" s="19"/>
      <c r="G140" s="25"/>
    </row>
    <row r="141" spans="1:8" ht="17.100000000000001" customHeight="1" x14ac:dyDescent="0.2">
      <c r="A141" s="22"/>
      <c r="B141" s="4" t="s">
        <v>1048</v>
      </c>
      <c r="C141" s="24">
        <v>17.8629</v>
      </c>
      <c r="D141" s="24">
        <v>17.960799999999999</v>
      </c>
      <c r="E141" s="22"/>
      <c r="F141" s="19"/>
      <c r="G141" s="25"/>
    </row>
    <row r="142" spans="1:8" ht="17.100000000000001" customHeight="1" x14ac:dyDescent="0.2">
      <c r="A142" s="22"/>
      <c r="B142" s="4" t="s">
        <v>169</v>
      </c>
      <c r="C142" s="24">
        <v>17.1128</v>
      </c>
      <c r="D142" s="24">
        <v>17.1953</v>
      </c>
      <c r="E142" s="22"/>
      <c r="F142" s="19"/>
      <c r="G142" s="25"/>
    </row>
    <row r="143" spans="1:8" ht="17.100000000000001" customHeight="1" x14ac:dyDescent="0.2">
      <c r="A143" s="22"/>
      <c r="B143" s="4" t="s">
        <v>1049</v>
      </c>
      <c r="C143" s="24">
        <v>17.1128</v>
      </c>
      <c r="D143" s="24">
        <v>17.1953</v>
      </c>
      <c r="E143" s="22"/>
      <c r="F143" s="19"/>
      <c r="G143" s="25"/>
    </row>
    <row r="144" spans="1:8" ht="14.1" customHeight="1" x14ac:dyDescent="0.2">
      <c r="A144" s="22"/>
      <c r="B144" s="22"/>
      <c r="C144" s="22"/>
      <c r="D144" s="22"/>
      <c r="E144" s="22"/>
      <c r="F144" s="22"/>
      <c r="G144" s="22"/>
    </row>
    <row r="145" spans="1:7" ht="17.100000000000001" customHeight="1" x14ac:dyDescent="0.2">
      <c r="A145" s="22"/>
      <c r="B145" s="274" t="s">
        <v>1060</v>
      </c>
      <c r="C145" s="275"/>
      <c r="D145" s="2" t="s">
        <v>160</v>
      </c>
      <c r="E145" s="22"/>
      <c r="F145" s="22"/>
      <c r="G145" s="22"/>
    </row>
    <row r="146" spans="1:7" ht="18" customHeight="1" x14ac:dyDescent="0.2">
      <c r="A146" s="22"/>
      <c r="B146" s="26" t="s">
        <v>170</v>
      </c>
      <c r="C146" s="26" t="s">
        <v>170</v>
      </c>
      <c r="D146" s="26"/>
      <c r="E146" s="22"/>
      <c r="F146" s="22"/>
      <c r="G146" s="22"/>
    </row>
    <row r="147" spans="1:7" ht="29.1" customHeight="1" x14ac:dyDescent="0.2">
      <c r="A147" s="22"/>
      <c r="B147" s="274" t="s">
        <v>171</v>
      </c>
      <c r="C147" s="275"/>
      <c r="D147" s="2" t="s">
        <v>160</v>
      </c>
      <c r="E147" s="22"/>
      <c r="F147" s="22"/>
      <c r="G147" s="22"/>
    </row>
    <row r="148" spans="1:7" ht="29.1" customHeight="1" x14ac:dyDescent="0.2">
      <c r="A148" s="22"/>
      <c r="B148" s="274" t="s">
        <v>172</v>
      </c>
      <c r="C148" s="275"/>
      <c r="D148" s="2" t="s">
        <v>160</v>
      </c>
      <c r="E148" s="22"/>
      <c r="F148" s="22"/>
      <c r="G148" s="22"/>
    </row>
    <row r="149" spans="1:7" ht="17.100000000000001" customHeight="1" x14ac:dyDescent="0.2">
      <c r="A149" s="22"/>
      <c r="B149" s="274" t="s">
        <v>173</v>
      </c>
      <c r="C149" s="275"/>
      <c r="D149" s="27">
        <v>0.26131562660819885</v>
      </c>
      <c r="E149" s="22"/>
      <c r="F149" s="19"/>
      <c r="G149" s="25"/>
    </row>
    <row r="150" spans="1:7" ht="17.100000000000001" customHeight="1" x14ac:dyDescent="0.2">
      <c r="A150" s="22"/>
      <c r="B150" s="274" t="s">
        <v>174</v>
      </c>
      <c r="C150" s="275"/>
      <c r="D150" s="2" t="s">
        <v>160</v>
      </c>
      <c r="E150" s="22"/>
      <c r="F150" s="22"/>
      <c r="G150" s="22"/>
    </row>
    <row r="165" spans="10:14" x14ac:dyDescent="0.2">
      <c r="J165" s="162"/>
      <c r="K165" s="162"/>
      <c r="L165" s="162"/>
      <c r="M165" s="162"/>
      <c r="N165" s="162"/>
    </row>
  </sheetData>
  <mergeCells count="13">
    <mergeCell ref="B134:C134"/>
    <mergeCell ref="A1:H1"/>
    <mergeCell ref="A2:H2"/>
    <mergeCell ref="A3:H3"/>
    <mergeCell ref="J2:N2"/>
    <mergeCell ref="B149:C149"/>
    <mergeCell ref="B150:C150"/>
    <mergeCell ref="B135:C135"/>
    <mergeCell ref="B136:C136"/>
    <mergeCell ref="B137:C137"/>
    <mergeCell ref="B145:C145"/>
    <mergeCell ref="B147:C147"/>
    <mergeCell ref="B148:C148"/>
  </mergeCells>
  <hyperlinks>
    <hyperlink ref="I1" location="Index!B8" display="Index" xr:uid="{6F165CF2-333E-4CB3-AA0E-0BD49794155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458</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29</v>
      </c>
      <c r="C7" s="4" t="s">
        <v>30</v>
      </c>
      <c r="D7" s="4" t="s">
        <v>31</v>
      </c>
      <c r="E7" s="5">
        <v>48732</v>
      </c>
      <c r="F7" s="6">
        <v>1014.283482</v>
      </c>
      <c r="G7" s="7">
        <v>3.3532030999999997E-2</v>
      </c>
      <c r="H7" s="106"/>
    </row>
    <row r="8" spans="1:14" ht="17.100000000000001" customHeight="1" x14ac:dyDescent="0.2">
      <c r="A8" s="3">
        <v>2</v>
      </c>
      <c r="B8" s="4" t="s">
        <v>77</v>
      </c>
      <c r="C8" s="4" t="s">
        <v>78</v>
      </c>
      <c r="D8" s="4" t="s">
        <v>31</v>
      </c>
      <c r="E8" s="5">
        <v>61134</v>
      </c>
      <c r="F8" s="6">
        <v>987.43636800000002</v>
      </c>
      <c r="G8" s="7">
        <v>3.2644470000000002E-2</v>
      </c>
      <c r="H8" s="106"/>
    </row>
    <row r="9" spans="1:14" ht="17.100000000000001" customHeight="1" x14ac:dyDescent="0.2">
      <c r="A9" s="3">
        <v>3</v>
      </c>
      <c r="B9" s="4" t="s">
        <v>108</v>
      </c>
      <c r="C9" s="4" t="s">
        <v>109</v>
      </c>
      <c r="D9" s="4" t="s">
        <v>110</v>
      </c>
      <c r="E9" s="5">
        <v>241828</v>
      </c>
      <c r="F9" s="6">
        <v>899.84198800000001</v>
      </c>
      <c r="G9" s="7">
        <v>2.9748615999999999E-2</v>
      </c>
      <c r="H9" s="106"/>
    </row>
    <row r="10" spans="1:14" ht="17.100000000000001" customHeight="1" x14ac:dyDescent="0.2">
      <c r="A10" s="3">
        <v>4</v>
      </c>
      <c r="B10" s="4" t="s">
        <v>382</v>
      </c>
      <c r="C10" s="4" t="s">
        <v>383</v>
      </c>
      <c r="D10" s="4" t="s">
        <v>110</v>
      </c>
      <c r="E10" s="5">
        <v>45571</v>
      </c>
      <c r="F10" s="6">
        <v>846.45853950000003</v>
      </c>
      <c r="G10" s="7">
        <v>2.7983767999999999E-2</v>
      </c>
      <c r="H10" s="106"/>
    </row>
    <row r="11" spans="1:14" ht="29.1" customHeight="1" x14ac:dyDescent="0.2">
      <c r="A11" s="3">
        <v>5</v>
      </c>
      <c r="B11" s="4" t="s">
        <v>189</v>
      </c>
      <c r="C11" s="4" t="s">
        <v>190</v>
      </c>
      <c r="D11" s="4" t="s">
        <v>110</v>
      </c>
      <c r="E11" s="5">
        <v>230487</v>
      </c>
      <c r="F11" s="6">
        <v>835.05440099999998</v>
      </c>
      <c r="G11" s="7">
        <v>2.7606749999999999E-2</v>
      </c>
      <c r="H11" s="106"/>
    </row>
    <row r="12" spans="1:14" ht="17.100000000000001" customHeight="1" x14ac:dyDescent="0.2">
      <c r="A12" s="3">
        <v>6</v>
      </c>
      <c r="B12" s="4" t="s">
        <v>32</v>
      </c>
      <c r="C12" s="4" t="s">
        <v>33</v>
      </c>
      <c r="D12" s="4" t="s">
        <v>31</v>
      </c>
      <c r="E12" s="5">
        <v>39496</v>
      </c>
      <c r="F12" s="6">
        <v>830.60087999999996</v>
      </c>
      <c r="G12" s="7">
        <v>2.7459516999999999E-2</v>
      </c>
      <c r="H12" s="106"/>
    </row>
    <row r="13" spans="1:14" ht="17.100000000000001" customHeight="1" x14ac:dyDescent="0.2">
      <c r="A13" s="3">
        <v>7</v>
      </c>
      <c r="B13" s="4" t="s">
        <v>380</v>
      </c>
      <c r="C13" s="4" t="s">
        <v>381</v>
      </c>
      <c r="D13" s="4" t="s">
        <v>99</v>
      </c>
      <c r="E13" s="5">
        <v>774973</v>
      </c>
      <c r="F13" s="6">
        <v>781.94775700000002</v>
      </c>
      <c r="G13" s="7">
        <v>2.5851052999999999E-2</v>
      </c>
      <c r="H13" s="106"/>
      <c r="J13" s="161" t="s">
        <v>1089</v>
      </c>
    </row>
    <row r="14" spans="1:14" ht="29.1" customHeight="1" x14ac:dyDescent="0.2">
      <c r="A14" s="3">
        <v>8</v>
      </c>
      <c r="B14" s="4" t="s">
        <v>196</v>
      </c>
      <c r="C14" s="4" t="s">
        <v>197</v>
      </c>
      <c r="D14" s="4" t="s">
        <v>188</v>
      </c>
      <c r="E14" s="5">
        <v>16196</v>
      </c>
      <c r="F14" s="6">
        <v>737.20142999999996</v>
      </c>
      <c r="G14" s="7">
        <v>2.4371747999999999E-2</v>
      </c>
      <c r="H14" s="106"/>
    </row>
    <row r="15" spans="1:14" ht="17.100000000000001" customHeight="1" x14ac:dyDescent="0.2">
      <c r="A15" s="3">
        <v>9</v>
      </c>
      <c r="B15" s="4" t="s">
        <v>17</v>
      </c>
      <c r="C15" s="4" t="s">
        <v>18</v>
      </c>
      <c r="D15" s="4" t="s">
        <v>19</v>
      </c>
      <c r="E15" s="5">
        <v>82590</v>
      </c>
      <c r="F15" s="6">
        <v>687.14880000000005</v>
      </c>
      <c r="G15" s="7">
        <v>2.2717016999999999E-2</v>
      </c>
      <c r="H15" s="106"/>
    </row>
    <row r="16" spans="1:14" ht="17.100000000000001" customHeight="1" x14ac:dyDescent="0.2">
      <c r="A16" s="3">
        <v>10</v>
      </c>
      <c r="B16" s="4" t="s">
        <v>304</v>
      </c>
      <c r="C16" s="4" t="s">
        <v>305</v>
      </c>
      <c r="D16" s="4" t="s">
        <v>240</v>
      </c>
      <c r="E16" s="5">
        <v>128698</v>
      </c>
      <c r="F16" s="6">
        <v>660.15639099999999</v>
      </c>
      <c r="G16" s="7">
        <v>2.1824652999999999E-2</v>
      </c>
      <c r="H16" s="106"/>
    </row>
    <row r="17" spans="1:8" ht="17.100000000000001" customHeight="1" x14ac:dyDescent="0.2">
      <c r="A17" s="3">
        <v>11</v>
      </c>
      <c r="B17" s="4" t="s">
        <v>320</v>
      </c>
      <c r="C17" s="4" t="s">
        <v>321</v>
      </c>
      <c r="D17" s="4" t="s">
        <v>230</v>
      </c>
      <c r="E17" s="5">
        <v>45349</v>
      </c>
      <c r="F17" s="6">
        <v>656.26805349999995</v>
      </c>
      <c r="G17" s="7">
        <v>2.1696105E-2</v>
      </c>
      <c r="H17" s="106"/>
    </row>
    <row r="18" spans="1:8" ht="17.100000000000001" customHeight="1" x14ac:dyDescent="0.2">
      <c r="A18" s="3">
        <v>12</v>
      </c>
      <c r="B18" s="4" t="s">
        <v>386</v>
      </c>
      <c r="C18" s="4" t="s">
        <v>387</v>
      </c>
      <c r="D18" s="4" t="s">
        <v>110</v>
      </c>
      <c r="E18" s="5">
        <v>101825</v>
      </c>
      <c r="F18" s="6">
        <v>609.01532499999996</v>
      </c>
      <c r="G18" s="7">
        <v>2.0133938000000001E-2</v>
      </c>
      <c r="H18" s="106"/>
    </row>
    <row r="19" spans="1:8" ht="17.100000000000001" customHeight="1" x14ac:dyDescent="0.2">
      <c r="A19" s="3">
        <v>13</v>
      </c>
      <c r="B19" s="4" t="s">
        <v>322</v>
      </c>
      <c r="C19" s="4" t="s">
        <v>323</v>
      </c>
      <c r="D19" s="4" t="s">
        <v>324</v>
      </c>
      <c r="E19" s="5">
        <v>37952</v>
      </c>
      <c r="F19" s="6">
        <v>608.23772799999995</v>
      </c>
      <c r="G19" s="7">
        <v>2.0108231000000001E-2</v>
      </c>
      <c r="H19" s="106"/>
    </row>
    <row r="20" spans="1:8" ht="17.100000000000001" customHeight="1" x14ac:dyDescent="0.2">
      <c r="A20" s="3">
        <v>14</v>
      </c>
      <c r="B20" s="4" t="s">
        <v>459</v>
      </c>
      <c r="C20" s="4" t="s">
        <v>460</v>
      </c>
      <c r="D20" s="4" t="s">
        <v>96</v>
      </c>
      <c r="E20" s="5">
        <v>42208</v>
      </c>
      <c r="F20" s="6">
        <v>602.66692799999998</v>
      </c>
      <c r="G20" s="7">
        <v>1.9924061E-2</v>
      </c>
      <c r="H20" s="106"/>
    </row>
    <row r="21" spans="1:8" ht="17.100000000000001" customHeight="1" x14ac:dyDescent="0.2">
      <c r="A21" s="3">
        <v>15</v>
      </c>
      <c r="B21" s="4" t="s">
        <v>439</v>
      </c>
      <c r="C21" s="4" t="s">
        <v>440</v>
      </c>
      <c r="D21" s="4" t="s">
        <v>31</v>
      </c>
      <c r="E21" s="5">
        <v>69784</v>
      </c>
      <c r="F21" s="6">
        <v>590.23307199999999</v>
      </c>
      <c r="G21" s="7">
        <v>1.9512999999999999E-2</v>
      </c>
      <c r="H21" s="106"/>
    </row>
    <row r="22" spans="1:8" ht="17.100000000000001" customHeight="1" x14ac:dyDescent="0.2">
      <c r="A22" s="3">
        <v>16</v>
      </c>
      <c r="B22" s="4" t="s">
        <v>384</v>
      </c>
      <c r="C22" s="4" t="s">
        <v>385</v>
      </c>
      <c r="D22" s="4" t="s">
        <v>288</v>
      </c>
      <c r="E22" s="5">
        <v>50165</v>
      </c>
      <c r="F22" s="6">
        <v>579.15492500000005</v>
      </c>
      <c r="G22" s="7">
        <v>1.9146758999999999E-2</v>
      </c>
      <c r="H22" s="106"/>
    </row>
    <row r="23" spans="1:8" ht="17.100000000000001" customHeight="1" x14ac:dyDescent="0.2">
      <c r="A23" s="3">
        <v>17</v>
      </c>
      <c r="B23" s="4" t="s">
        <v>94</v>
      </c>
      <c r="C23" s="4" t="s">
        <v>95</v>
      </c>
      <c r="D23" s="4" t="s">
        <v>96</v>
      </c>
      <c r="E23" s="5">
        <v>110331</v>
      </c>
      <c r="F23" s="6">
        <v>551.15851050000003</v>
      </c>
      <c r="G23" s="7">
        <v>1.8221201999999999E-2</v>
      </c>
      <c r="H23" s="106"/>
    </row>
    <row r="24" spans="1:8" ht="17.100000000000001" customHeight="1" x14ac:dyDescent="0.2">
      <c r="A24" s="3">
        <v>18</v>
      </c>
      <c r="B24" s="4" t="s">
        <v>461</v>
      </c>
      <c r="C24" s="4" t="s">
        <v>462</v>
      </c>
      <c r="D24" s="4" t="s">
        <v>1114</v>
      </c>
      <c r="E24" s="5">
        <v>75911</v>
      </c>
      <c r="F24" s="6">
        <v>538.39876749999996</v>
      </c>
      <c r="G24" s="7">
        <v>1.7799367E-2</v>
      </c>
      <c r="H24" s="106"/>
    </row>
    <row r="25" spans="1:8" ht="17.100000000000001" customHeight="1" x14ac:dyDescent="0.2">
      <c r="A25" s="3">
        <v>19</v>
      </c>
      <c r="B25" s="4" t="s">
        <v>279</v>
      </c>
      <c r="C25" s="4" t="s">
        <v>280</v>
      </c>
      <c r="D25" s="4" t="s">
        <v>22</v>
      </c>
      <c r="E25" s="5">
        <v>247778</v>
      </c>
      <c r="F25" s="6">
        <v>529.87325299999998</v>
      </c>
      <c r="G25" s="7">
        <v>1.7517515000000001E-2</v>
      </c>
      <c r="H25" s="106"/>
    </row>
    <row r="26" spans="1:8" ht="17.100000000000001" customHeight="1" x14ac:dyDescent="0.2">
      <c r="A26" s="3">
        <v>20</v>
      </c>
      <c r="B26" s="4" t="s">
        <v>213</v>
      </c>
      <c r="C26" s="4" t="s">
        <v>214</v>
      </c>
      <c r="D26" s="4" t="s">
        <v>1114</v>
      </c>
      <c r="E26" s="5">
        <v>13964</v>
      </c>
      <c r="F26" s="6">
        <v>515.69750199999999</v>
      </c>
      <c r="G26" s="7">
        <v>1.7048867999999998E-2</v>
      </c>
      <c r="H26" s="106"/>
    </row>
    <row r="27" spans="1:8" ht="17.100000000000001" customHeight="1" x14ac:dyDescent="0.2">
      <c r="A27" s="3">
        <v>21</v>
      </c>
      <c r="B27" s="4" t="s">
        <v>416</v>
      </c>
      <c r="C27" s="4" t="s">
        <v>417</v>
      </c>
      <c r="D27" s="4" t="s">
        <v>212</v>
      </c>
      <c r="E27" s="5">
        <v>171020</v>
      </c>
      <c r="F27" s="6">
        <v>492.96514999999999</v>
      </c>
      <c r="G27" s="7">
        <v>1.629734E-2</v>
      </c>
      <c r="H27" s="106"/>
    </row>
    <row r="28" spans="1:8" ht="17.100000000000001" customHeight="1" x14ac:dyDescent="0.2">
      <c r="A28" s="3">
        <v>22</v>
      </c>
      <c r="B28" s="4" t="s">
        <v>392</v>
      </c>
      <c r="C28" s="4" t="s">
        <v>393</v>
      </c>
      <c r="D28" s="4" t="s">
        <v>230</v>
      </c>
      <c r="E28" s="5">
        <v>64431</v>
      </c>
      <c r="F28" s="6">
        <v>481.81501800000001</v>
      </c>
      <c r="G28" s="7">
        <v>1.5928719000000001E-2</v>
      </c>
      <c r="H28" s="106"/>
    </row>
    <row r="29" spans="1:8" ht="17.100000000000001" customHeight="1" x14ac:dyDescent="0.2">
      <c r="A29" s="3">
        <v>23</v>
      </c>
      <c r="B29" s="4" t="s">
        <v>441</v>
      </c>
      <c r="C29" s="4" t="s">
        <v>442</v>
      </c>
      <c r="D29" s="4" t="s">
        <v>324</v>
      </c>
      <c r="E29" s="5">
        <v>30957</v>
      </c>
      <c r="F29" s="6">
        <v>475.60786949999999</v>
      </c>
      <c r="G29" s="7">
        <v>1.5723510999999999E-2</v>
      </c>
      <c r="H29" s="106"/>
    </row>
    <row r="30" spans="1:8" ht="17.100000000000001" customHeight="1" x14ac:dyDescent="0.2">
      <c r="A30" s="3">
        <v>24</v>
      </c>
      <c r="B30" s="4" t="s">
        <v>388</v>
      </c>
      <c r="C30" s="4" t="s">
        <v>389</v>
      </c>
      <c r="D30" s="4" t="s">
        <v>99</v>
      </c>
      <c r="E30" s="5">
        <v>89016</v>
      </c>
      <c r="F30" s="6">
        <v>466.75539600000002</v>
      </c>
      <c r="G30" s="7">
        <v>1.5430849999999999E-2</v>
      </c>
      <c r="H30" s="106"/>
    </row>
    <row r="31" spans="1:8" ht="29.1" customHeight="1" x14ac:dyDescent="0.2">
      <c r="A31" s="3">
        <v>25</v>
      </c>
      <c r="B31" s="4" t="s">
        <v>202</v>
      </c>
      <c r="C31" s="4" t="s">
        <v>203</v>
      </c>
      <c r="D31" s="4" t="s">
        <v>204</v>
      </c>
      <c r="E31" s="5">
        <v>97944</v>
      </c>
      <c r="F31" s="6">
        <v>445.204452</v>
      </c>
      <c r="G31" s="7">
        <v>1.471838E-2</v>
      </c>
      <c r="H31" s="106"/>
    </row>
    <row r="32" spans="1:8" ht="29.1" customHeight="1" x14ac:dyDescent="0.2">
      <c r="A32" s="3">
        <v>26</v>
      </c>
      <c r="B32" s="4" t="s">
        <v>63</v>
      </c>
      <c r="C32" s="4" t="s">
        <v>64</v>
      </c>
      <c r="D32" s="4" t="s">
        <v>25</v>
      </c>
      <c r="E32" s="5">
        <v>14971</v>
      </c>
      <c r="F32" s="6">
        <v>406.11083150000002</v>
      </c>
      <c r="G32" s="7">
        <v>1.3425952E-2</v>
      </c>
      <c r="H32" s="106"/>
    </row>
    <row r="33" spans="1:8" ht="29.1" customHeight="1" x14ac:dyDescent="0.2">
      <c r="A33" s="3">
        <v>27</v>
      </c>
      <c r="B33" s="4" t="s">
        <v>445</v>
      </c>
      <c r="C33" s="4" t="s">
        <v>446</v>
      </c>
      <c r="D33" s="4" t="s">
        <v>51</v>
      </c>
      <c r="E33" s="5">
        <v>15521</v>
      </c>
      <c r="F33" s="6">
        <v>384.424128</v>
      </c>
      <c r="G33" s="7">
        <v>1.2708993E-2</v>
      </c>
      <c r="H33" s="106"/>
    </row>
    <row r="34" spans="1:8" ht="29.1" customHeight="1" x14ac:dyDescent="0.2">
      <c r="A34" s="3">
        <v>28</v>
      </c>
      <c r="B34" s="4" t="s">
        <v>390</v>
      </c>
      <c r="C34" s="4" t="s">
        <v>391</v>
      </c>
      <c r="D34" s="4" t="s">
        <v>67</v>
      </c>
      <c r="E34" s="5">
        <v>23848</v>
      </c>
      <c r="F34" s="6">
        <v>382.71270399999997</v>
      </c>
      <c r="G34" s="7">
        <v>1.2652414000000001E-2</v>
      </c>
      <c r="H34" s="106"/>
    </row>
    <row r="35" spans="1:8" ht="17.100000000000001" customHeight="1" x14ac:dyDescent="0.2">
      <c r="A35" s="3">
        <v>29</v>
      </c>
      <c r="B35" s="4" t="s">
        <v>231</v>
      </c>
      <c r="C35" s="4" t="s">
        <v>232</v>
      </c>
      <c r="D35" s="4" t="s">
        <v>89</v>
      </c>
      <c r="E35" s="5">
        <v>7574</v>
      </c>
      <c r="F35" s="6">
        <v>363.131643</v>
      </c>
      <c r="G35" s="7">
        <v>1.2005066999999999E-2</v>
      </c>
      <c r="H35" s="106"/>
    </row>
    <row r="36" spans="1:8" ht="17.100000000000001" customHeight="1" x14ac:dyDescent="0.2">
      <c r="A36" s="3">
        <v>30</v>
      </c>
      <c r="B36" s="4" t="s">
        <v>449</v>
      </c>
      <c r="C36" s="4" t="s">
        <v>450</v>
      </c>
      <c r="D36" s="4" t="s">
        <v>99</v>
      </c>
      <c r="E36" s="5">
        <v>450454</v>
      </c>
      <c r="F36" s="6">
        <v>348.876623</v>
      </c>
      <c r="G36" s="7">
        <v>1.1533799000000001E-2</v>
      </c>
      <c r="H36" s="106"/>
    </row>
    <row r="37" spans="1:8" ht="29.1" customHeight="1" x14ac:dyDescent="0.2">
      <c r="A37" s="3">
        <v>31</v>
      </c>
      <c r="B37" s="4" t="s">
        <v>410</v>
      </c>
      <c r="C37" s="4" t="s">
        <v>411</v>
      </c>
      <c r="D37" s="4" t="s">
        <v>204</v>
      </c>
      <c r="E37" s="5">
        <v>94915</v>
      </c>
      <c r="F37" s="6">
        <v>335.9991</v>
      </c>
      <c r="G37" s="7">
        <v>1.1108069999999999E-2</v>
      </c>
      <c r="H37" s="106"/>
    </row>
    <row r="38" spans="1:8" ht="17.100000000000001" customHeight="1" x14ac:dyDescent="0.2">
      <c r="A38" s="3">
        <v>32</v>
      </c>
      <c r="B38" s="4" t="s">
        <v>42</v>
      </c>
      <c r="C38" s="4" t="s">
        <v>43</v>
      </c>
      <c r="D38" s="4" t="s">
        <v>16</v>
      </c>
      <c r="E38" s="5">
        <v>57776</v>
      </c>
      <c r="F38" s="6">
        <v>331.518688</v>
      </c>
      <c r="G38" s="7">
        <v>1.0959949E-2</v>
      </c>
      <c r="H38" s="106"/>
    </row>
    <row r="39" spans="1:8" ht="17.100000000000001" customHeight="1" x14ac:dyDescent="0.2">
      <c r="A39" s="3">
        <v>33</v>
      </c>
      <c r="B39" s="4" t="s">
        <v>394</v>
      </c>
      <c r="C39" s="4" t="s">
        <v>395</v>
      </c>
      <c r="D39" s="4" t="s">
        <v>99</v>
      </c>
      <c r="E39" s="5">
        <v>45431</v>
      </c>
      <c r="F39" s="6">
        <v>329.94263749999999</v>
      </c>
      <c r="G39" s="7">
        <v>1.0907844999999999E-2</v>
      </c>
      <c r="H39" s="106"/>
    </row>
    <row r="40" spans="1:8" ht="29.1" customHeight="1" x14ac:dyDescent="0.2">
      <c r="A40" s="3">
        <v>34</v>
      </c>
      <c r="B40" s="4" t="s">
        <v>317</v>
      </c>
      <c r="C40" s="4" t="s">
        <v>318</v>
      </c>
      <c r="D40" s="4" t="s">
        <v>319</v>
      </c>
      <c r="E40" s="5">
        <v>59402</v>
      </c>
      <c r="F40" s="6">
        <v>328.374256</v>
      </c>
      <c r="G40" s="7">
        <v>1.0855994000000001E-2</v>
      </c>
      <c r="H40" s="106"/>
    </row>
    <row r="41" spans="1:8" ht="29.1" customHeight="1" x14ac:dyDescent="0.2">
      <c r="A41" s="3">
        <v>35</v>
      </c>
      <c r="B41" s="4" t="s">
        <v>463</v>
      </c>
      <c r="C41" s="4" t="s">
        <v>464</v>
      </c>
      <c r="D41" s="4" t="s">
        <v>366</v>
      </c>
      <c r="E41" s="5">
        <v>52350</v>
      </c>
      <c r="F41" s="6">
        <v>324.2559</v>
      </c>
      <c r="G41" s="7">
        <v>1.0719842E-2</v>
      </c>
      <c r="H41" s="106"/>
    </row>
    <row r="42" spans="1:8" ht="53.1" customHeight="1" x14ac:dyDescent="0.2">
      <c r="A42" s="3">
        <v>36</v>
      </c>
      <c r="B42" s="4" t="s">
        <v>333</v>
      </c>
      <c r="C42" s="4" t="s">
        <v>334</v>
      </c>
      <c r="D42" s="4" t="s">
        <v>48</v>
      </c>
      <c r="E42" s="5">
        <v>104294</v>
      </c>
      <c r="F42" s="6">
        <v>321.79913699999997</v>
      </c>
      <c r="G42" s="7">
        <v>1.0638622E-2</v>
      </c>
      <c r="H42" s="106"/>
    </row>
    <row r="43" spans="1:8" ht="17.100000000000001" customHeight="1" x14ac:dyDescent="0.2">
      <c r="A43" s="3">
        <v>37</v>
      </c>
      <c r="B43" s="4" t="s">
        <v>396</v>
      </c>
      <c r="C43" s="4" t="s">
        <v>397</v>
      </c>
      <c r="D43" s="4" t="s">
        <v>288</v>
      </c>
      <c r="E43" s="5">
        <v>41908</v>
      </c>
      <c r="F43" s="6">
        <v>314.01664399999999</v>
      </c>
      <c r="G43" s="7">
        <v>1.0381334000000001E-2</v>
      </c>
      <c r="H43" s="106"/>
    </row>
    <row r="44" spans="1:8" ht="29.1" customHeight="1" x14ac:dyDescent="0.2">
      <c r="A44" s="3">
        <v>38</v>
      </c>
      <c r="B44" s="4" t="s">
        <v>291</v>
      </c>
      <c r="C44" s="4" t="s">
        <v>292</v>
      </c>
      <c r="D44" s="4" t="s">
        <v>188</v>
      </c>
      <c r="E44" s="5">
        <v>40704</v>
      </c>
      <c r="F44" s="6">
        <v>309.33004799999998</v>
      </c>
      <c r="G44" s="7">
        <v>1.0226396E-2</v>
      </c>
      <c r="H44" s="106"/>
    </row>
    <row r="45" spans="1:8" ht="17.100000000000001" customHeight="1" x14ac:dyDescent="0.2">
      <c r="A45" s="3">
        <v>39</v>
      </c>
      <c r="B45" s="4" t="s">
        <v>398</v>
      </c>
      <c r="C45" s="4" t="s">
        <v>399</v>
      </c>
      <c r="D45" s="4" t="s">
        <v>110</v>
      </c>
      <c r="E45" s="5">
        <v>47969</v>
      </c>
      <c r="F45" s="6">
        <v>306.90566200000001</v>
      </c>
      <c r="G45" s="7">
        <v>1.0146245999999999E-2</v>
      </c>
      <c r="H45" s="106"/>
    </row>
    <row r="46" spans="1:8" ht="29.1" customHeight="1" x14ac:dyDescent="0.2">
      <c r="A46" s="3">
        <v>40</v>
      </c>
      <c r="B46" s="4" t="s">
        <v>451</v>
      </c>
      <c r="C46" s="4" t="s">
        <v>452</v>
      </c>
      <c r="D46" s="4" t="s">
        <v>453</v>
      </c>
      <c r="E46" s="5">
        <v>219543</v>
      </c>
      <c r="F46" s="6">
        <v>306.48202800000001</v>
      </c>
      <c r="G46" s="7">
        <v>1.0132241E-2</v>
      </c>
      <c r="H46" s="106"/>
    </row>
    <row r="47" spans="1:8" ht="29.1" customHeight="1" x14ac:dyDescent="0.2">
      <c r="A47" s="3">
        <v>41</v>
      </c>
      <c r="B47" s="4" t="s">
        <v>420</v>
      </c>
      <c r="C47" s="4" t="s">
        <v>421</v>
      </c>
      <c r="D47" s="4" t="s">
        <v>366</v>
      </c>
      <c r="E47" s="5">
        <v>60710</v>
      </c>
      <c r="F47" s="6">
        <v>304.066035</v>
      </c>
      <c r="G47" s="7">
        <v>1.0052369E-2</v>
      </c>
      <c r="H47" s="106"/>
    </row>
    <row r="48" spans="1:8" ht="17.100000000000001" customHeight="1" x14ac:dyDescent="0.2">
      <c r="A48" s="3">
        <v>42</v>
      </c>
      <c r="B48" s="4" t="s">
        <v>414</v>
      </c>
      <c r="C48" s="4" t="s">
        <v>415</v>
      </c>
      <c r="D48" s="4" t="s">
        <v>110</v>
      </c>
      <c r="E48" s="5">
        <v>24543</v>
      </c>
      <c r="F48" s="6">
        <v>303.38829449999997</v>
      </c>
      <c r="G48" s="7">
        <v>1.0029962999999999E-2</v>
      </c>
      <c r="H48" s="106"/>
    </row>
    <row r="49" spans="1:8" ht="17.100000000000001" customHeight="1" x14ac:dyDescent="0.2">
      <c r="A49" s="3">
        <v>43</v>
      </c>
      <c r="B49" s="4" t="s">
        <v>400</v>
      </c>
      <c r="C49" s="4" t="s">
        <v>401</v>
      </c>
      <c r="D49" s="4" t="s">
        <v>31</v>
      </c>
      <c r="E49" s="5">
        <v>35318</v>
      </c>
      <c r="F49" s="6">
        <v>298.737303</v>
      </c>
      <c r="G49" s="7">
        <v>9.8762020000000006E-3</v>
      </c>
      <c r="H49" s="106"/>
    </row>
    <row r="50" spans="1:8" ht="17.100000000000001" customHeight="1" x14ac:dyDescent="0.2">
      <c r="A50" s="3">
        <v>44</v>
      </c>
      <c r="B50" s="4" t="s">
        <v>246</v>
      </c>
      <c r="C50" s="4" t="s">
        <v>247</v>
      </c>
      <c r="D50" s="4" t="s">
        <v>99</v>
      </c>
      <c r="E50" s="5">
        <v>45794</v>
      </c>
      <c r="F50" s="6">
        <v>287.700805</v>
      </c>
      <c r="G50" s="7">
        <v>9.5113369999999999E-3</v>
      </c>
      <c r="H50" s="106"/>
    </row>
    <row r="51" spans="1:8" ht="29.1" customHeight="1" x14ac:dyDescent="0.2">
      <c r="A51" s="3">
        <v>45</v>
      </c>
      <c r="B51" s="4" t="s">
        <v>443</v>
      </c>
      <c r="C51" s="4" t="s">
        <v>444</v>
      </c>
      <c r="D51" s="4" t="s">
        <v>204</v>
      </c>
      <c r="E51" s="5">
        <v>14493</v>
      </c>
      <c r="F51" s="6">
        <v>286.01935500000002</v>
      </c>
      <c r="G51" s="7">
        <v>9.4557489999999994E-3</v>
      </c>
      <c r="H51" s="106"/>
    </row>
    <row r="52" spans="1:8" ht="17.100000000000001" customHeight="1" x14ac:dyDescent="0.2">
      <c r="A52" s="3">
        <v>46</v>
      </c>
      <c r="B52" s="4" t="s">
        <v>44</v>
      </c>
      <c r="C52" s="4" t="s">
        <v>45</v>
      </c>
      <c r="D52" s="4" t="s">
        <v>31</v>
      </c>
      <c r="E52" s="5">
        <v>8131</v>
      </c>
      <c r="F52" s="6">
        <v>273.12029000000001</v>
      </c>
      <c r="G52" s="7">
        <v>9.0293079999999998E-3</v>
      </c>
      <c r="H52" s="106"/>
    </row>
    <row r="53" spans="1:8" ht="17.100000000000001" customHeight="1" x14ac:dyDescent="0.2">
      <c r="A53" s="3">
        <v>47</v>
      </c>
      <c r="B53" s="4" t="s">
        <v>406</v>
      </c>
      <c r="C53" s="4" t="s">
        <v>407</v>
      </c>
      <c r="D53" s="4" t="s">
        <v>99</v>
      </c>
      <c r="E53" s="5">
        <v>26475</v>
      </c>
      <c r="F53" s="6">
        <v>258.18419999999998</v>
      </c>
      <c r="G53" s="7">
        <v>8.5355239999999992E-3</v>
      </c>
      <c r="H53" s="106"/>
    </row>
    <row r="54" spans="1:8" ht="29.1" customHeight="1" x14ac:dyDescent="0.2">
      <c r="A54" s="3">
        <v>48</v>
      </c>
      <c r="B54" s="4" t="s">
        <v>402</v>
      </c>
      <c r="C54" s="4" t="s">
        <v>403</v>
      </c>
      <c r="D54" s="4" t="s">
        <v>319</v>
      </c>
      <c r="E54" s="5">
        <v>61507</v>
      </c>
      <c r="F54" s="6">
        <v>257.43754849999999</v>
      </c>
      <c r="G54" s="7">
        <v>8.5108389999999992E-3</v>
      </c>
      <c r="H54" s="106"/>
    </row>
    <row r="55" spans="1:8" ht="17.100000000000001" customHeight="1" x14ac:dyDescent="0.2">
      <c r="A55" s="3">
        <v>49</v>
      </c>
      <c r="B55" s="4" t="s">
        <v>418</v>
      </c>
      <c r="C55" s="4" t="s">
        <v>419</v>
      </c>
      <c r="D55" s="4" t="s">
        <v>13</v>
      </c>
      <c r="E55" s="5">
        <v>53690</v>
      </c>
      <c r="F55" s="6">
        <v>255.21541500000001</v>
      </c>
      <c r="G55" s="7">
        <v>8.4373759999999999E-3</v>
      </c>
      <c r="H55" s="106"/>
    </row>
    <row r="56" spans="1:8" ht="17.100000000000001" customHeight="1" x14ac:dyDescent="0.2">
      <c r="A56" s="3">
        <v>50</v>
      </c>
      <c r="B56" s="4" t="s">
        <v>404</v>
      </c>
      <c r="C56" s="4" t="s">
        <v>405</v>
      </c>
      <c r="D56" s="4" t="s">
        <v>13</v>
      </c>
      <c r="E56" s="5">
        <v>329417</v>
      </c>
      <c r="F56" s="6">
        <v>243.76857999999999</v>
      </c>
      <c r="G56" s="7">
        <v>8.0589460000000009E-3</v>
      </c>
      <c r="H56" s="106"/>
    </row>
    <row r="57" spans="1:8" ht="17.100000000000001" customHeight="1" x14ac:dyDescent="0.2">
      <c r="A57" s="3">
        <v>51</v>
      </c>
      <c r="B57" s="4" t="s">
        <v>412</v>
      </c>
      <c r="C57" s="4" t="s">
        <v>413</v>
      </c>
      <c r="D57" s="4" t="s">
        <v>193</v>
      </c>
      <c r="E57" s="5">
        <v>28480</v>
      </c>
      <c r="F57" s="6">
        <v>233.29392000000001</v>
      </c>
      <c r="G57" s="7">
        <v>7.7126549999999997E-3</v>
      </c>
      <c r="H57" s="106"/>
    </row>
    <row r="58" spans="1:8" ht="17.100000000000001" customHeight="1" x14ac:dyDescent="0.2">
      <c r="A58" s="3">
        <v>52</v>
      </c>
      <c r="B58" s="4" t="s">
        <v>447</v>
      </c>
      <c r="C58" s="4" t="s">
        <v>448</v>
      </c>
      <c r="D58" s="4" t="s">
        <v>268</v>
      </c>
      <c r="E58" s="5">
        <v>76500</v>
      </c>
      <c r="F58" s="6">
        <v>230.53274999999999</v>
      </c>
      <c r="G58" s="7">
        <v>7.6213720000000004E-3</v>
      </c>
      <c r="H58" s="106"/>
    </row>
    <row r="59" spans="1:8" ht="17.100000000000001" customHeight="1" x14ac:dyDescent="0.2">
      <c r="A59" s="3">
        <v>53</v>
      </c>
      <c r="B59" s="4" t="s">
        <v>432</v>
      </c>
      <c r="C59" s="4" t="s">
        <v>433</v>
      </c>
      <c r="D59" s="4" t="s">
        <v>89</v>
      </c>
      <c r="E59" s="5">
        <v>30910</v>
      </c>
      <c r="F59" s="6">
        <v>208.85887</v>
      </c>
      <c r="G59" s="7">
        <v>6.9048369999999996E-3</v>
      </c>
      <c r="H59" s="106"/>
    </row>
    <row r="60" spans="1:8" ht="17.100000000000001" customHeight="1" x14ac:dyDescent="0.2">
      <c r="A60" s="3">
        <v>54</v>
      </c>
      <c r="B60" s="4" t="s">
        <v>465</v>
      </c>
      <c r="C60" s="4" t="s">
        <v>466</v>
      </c>
      <c r="D60" s="4" t="s">
        <v>36</v>
      </c>
      <c r="E60" s="5">
        <v>60502</v>
      </c>
      <c r="F60" s="6">
        <v>157.30520000000001</v>
      </c>
      <c r="G60" s="7">
        <v>5.2004820000000002E-3</v>
      </c>
      <c r="H60" s="106"/>
    </row>
    <row r="61" spans="1:8" ht="17.100000000000001" customHeight="1" x14ac:dyDescent="0.2">
      <c r="A61" s="3">
        <v>55</v>
      </c>
      <c r="B61" s="4" t="s">
        <v>422</v>
      </c>
      <c r="C61" s="4" t="s">
        <v>423</v>
      </c>
      <c r="D61" s="4" t="s">
        <v>237</v>
      </c>
      <c r="E61" s="5">
        <v>19778</v>
      </c>
      <c r="F61" s="6">
        <v>145.437523</v>
      </c>
      <c r="G61" s="7">
        <v>4.8081390000000003E-3</v>
      </c>
      <c r="H61" s="106"/>
    </row>
    <row r="62" spans="1:8" ht="17.100000000000001" customHeight="1" x14ac:dyDescent="0.2">
      <c r="A62" s="3">
        <v>56</v>
      </c>
      <c r="B62" s="4" t="s">
        <v>426</v>
      </c>
      <c r="C62" s="4" t="s">
        <v>427</v>
      </c>
      <c r="D62" s="4" t="s">
        <v>31</v>
      </c>
      <c r="E62" s="5">
        <v>16111</v>
      </c>
      <c r="F62" s="6">
        <v>127.840785</v>
      </c>
      <c r="G62" s="7">
        <v>4.2263939999999996E-3</v>
      </c>
      <c r="H62" s="106"/>
    </row>
    <row r="63" spans="1:8" ht="29.1" customHeight="1" x14ac:dyDescent="0.2">
      <c r="A63" s="3">
        <v>57</v>
      </c>
      <c r="B63" s="4" t="s">
        <v>428</v>
      </c>
      <c r="C63" s="4" t="s">
        <v>429</v>
      </c>
      <c r="D63" s="4" t="s">
        <v>204</v>
      </c>
      <c r="E63" s="5">
        <v>2928</v>
      </c>
      <c r="F63" s="6">
        <v>118.08184799999999</v>
      </c>
      <c r="G63" s="7">
        <v>3.903765E-3</v>
      </c>
      <c r="H63" s="106"/>
    </row>
    <row r="64" spans="1:8" ht="17.100000000000001" customHeight="1" x14ac:dyDescent="0.2">
      <c r="A64" s="3">
        <v>58</v>
      </c>
      <c r="B64" s="4" t="s">
        <v>337</v>
      </c>
      <c r="C64" s="4" t="s">
        <v>338</v>
      </c>
      <c r="D64" s="4" t="s">
        <v>96</v>
      </c>
      <c r="E64" s="5">
        <v>154250</v>
      </c>
      <c r="F64" s="6">
        <v>114.91625000000001</v>
      </c>
      <c r="G64" s="7">
        <v>3.799111E-3</v>
      </c>
      <c r="H64" s="106"/>
    </row>
    <row r="65" spans="1:8" ht="17.100000000000001" customHeight="1" x14ac:dyDescent="0.2">
      <c r="A65" s="3">
        <v>59</v>
      </c>
      <c r="B65" s="4" t="s">
        <v>454</v>
      </c>
      <c r="C65" s="4" t="s">
        <v>455</v>
      </c>
      <c r="D65" s="4" t="s">
        <v>110</v>
      </c>
      <c r="E65" s="5">
        <v>38843</v>
      </c>
      <c r="F65" s="6">
        <v>110.158748</v>
      </c>
      <c r="G65" s="7">
        <v>3.6418290000000001E-3</v>
      </c>
      <c r="H65" s="106"/>
    </row>
    <row r="66" spans="1:8" ht="29.1" customHeight="1" x14ac:dyDescent="0.2">
      <c r="A66" s="3">
        <v>60</v>
      </c>
      <c r="B66" s="4" t="s">
        <v>430</v>
      </c>
      <c r="C66" s="4" t="s">
        <v>431</v>
      </c>
      <c r="D66" s="4" t="s">
        <v>204</v>
      </c>
      <c r="E66" s="5">
        <v>47700</v>
      </c>
      <c r="F66" s="6">
        <v>107.87354999999999</v>
      </c>
      <c r="G66" s="7">
        <v>3.5662799999999998E-3</v>
      </c>
      <c r="H66" s="106"/>
    </row>
    <row r="67" spans="1:8" ht="29.1" customHeight="1" x14ac:dyDescent="0.2">
      <c r="A67" s="3">
        <v>61</v>
      </c>
      <c r="B67" s="4" t="s">
        <v>424</v>
      </c>
      <c r="C67" s="4" t="s">
        <v>425</v>
      </c>
      <c r="D67" s="4" t="s">
        <v>110</v>
      </c>
      <c r="E67" s="5">
        <v>8392</v>
      </c>
      <c r="F67" s="6">
        <v>99.516531999999998</v>
      </c>
      <c r="G67" s="7">
        <v>3.289999E-3</v>
      </c>
      <c r="H67" s="106"/>
    </row>
    <row r="68" spans="1:8" ht="29.1" customHeight="1" x14ac:dyDescent="0.2">
      <c r="A68" s="3">
        <v>62</v>
      </c>
      <c r="B68" s="4" t="s">
        <v>329</v>
      </c>
      <c r="C68" s="4" t="s">
        <v>330</v>
      </c>
      <c r="D68" s="4" t="s">
        <v>188</v>
      </c>
      <c r="E68" s="5">
        <v>22459</v>
      </c>
      <c r="F68" s="6">
        <v>84.266167999999993</v>
      </c>
      <c r="G68" s="7">
        <v>2.7858240000000001E-3</v>
      </c>
      <c r="H68" s="106"/>
    </row>
    <row r="69" spans="1:8" ht="29.1" customHeight="1" x14ac:dyDescent="0.2">
      <c r="A69" s="3">
        <v>63</v>
      </c>
      <c r="B69" s="4" t="s">
        <v>434</v>
      </c>
      <c r="C69" s="4" t="s">
        <v>435</v>
      </c>
      <c r="D69" s="4" t="s">
        <v>62</v>
      </c>
      <c r="E69" s="5">
        <v>14211</v>
      </c>
      <c r="F69" s="6">
        <v>59.4943515</v>
      </c>
      <c r="G69" s="7">
        <v>1.9668730000000001E-3</v>
      </c>
      <c r="H69" s="106"/>
    </row>
    <row r="70" spans="1:8" ht="29.1" customHeight="1" x14ac:dyDescent="0.2">
      <c r="A70" s="3">
        <v>64</v>
      </c>
      <c r="B70" s="4" t="s">
        <v>456</v>
      </c>
      <c r="C70" s="4" t="s">
        <v>457</v>
      </c>
      <c r="D70" s="4" t="s">
        <v>188</v>
      </c>
      <c r="E70" s="5">
        <v>8196</v>
      </c>
      <c r="F70" s="6">
        <v>54.859926000000002</v>
      </c>
      <c r="G70" s="7">
        <v>1.813659E-3</v>
      </c>
      <c r="H70" s="106"/>
    </row>
    <row r="71" spans="1:8" ht="17.100000000000001" customHeight="1" x14ac:dyDescent="0.2">
      <c r="A71" s="3">
        <v>65</v>
      </c>
      <c r="B71" s="4" t="s">
        <v>436</v>
      </c>
      <c r="C71" s="4" t="s">
        <v>437</v>
      </c>
      <c r="D71" s="4" t="s">
        <v>16</v>
      </c>
      <c r="E71" s="5">
        <v>11655</v>
      </c>
      <c r="F71" s="6">
        <v>26.4859875</v>
      </c>
      <c r="G71" s="7">
        <v>8.7562200000000005E-4</v>
      </c>
      <c r="H71" s="106"/>
    </row>
    <row r="72" spans="1:8" ht="14.1" customHeight="1" x14ac:dyDescent="0.2">
      <c r="A72" s="1"/>
      <c r="B72" s="1"/>
      <c r="C72" s="2" t="s">
        <v>130</v>
      </c>
      <c r="D72" s="1"/>
      <c r="E72" s="1" t="s">
        <v>131</v>
      </c>
      <c r="F72" s="9">
        <v>26163.622251500001</v>
      </c>
      <c r="G72" s="10">
        <v>0.86496468699999995</v>
      </c>
      <c r="H72" s="106"/>
    </row>
    <row r="73" spans="1:8" ht="14.1" customHeight="1" x14ac:dyDescent="0.2">
      <c r="A73" s="1"/>
      <c r="B73" s="1"/>
      <c r="C73" s="11"/>
      <c r="D73" s="1"/>
      <c r="E73" s="1"/>
      <c r="F73" s="12"/>
      <c r="G73" s="12"/>
      <c r="H73" s="106"/>
    </row>
    <row r="74" spans="1:8" ht="14.1" customHeight="1" x14ac:dyDescent="0.2">
      <c r="A74" s="1"/>
      <c r="B74" s="1"/>
      <c r="C74" s="2" t="s">
        <v>132</v>
      </c>
      <c r="D74" s="1"/>
      <c r="E74" s="1"/>
      <c r="F74" s="1"/>
      <c r="G74" s="1"/>
      <c r="H74" s="106"/>
    </row>
    <row r="75" spans="1:8" ht="14.1" customHeight="1" x14ac:dyDescent="0.2">
      <c r="A75" s="1"/>
      <c r="B75" s="1"/>
      <c r="C75" s="2" t="s">
        <v>130</v>
      </c>
      <c r="D75" s="1"/>
      <c r="E75" s="1" t="s">
        <v>131</v>
      </c>
      <c r="F75" s="13">
        <v>0</v>
      </c>
      <c r="G75" s="14">
        <v>0</v>
      </c>
      <c r="H75" s="106"/>
    </row>
    <row r="76" spans="1:8" ht="14.1" customHeight="1" x14ac:dyDescent="0.2">
      <c r="A76" s="1"/>
      <c r="B76" s="1"/>
      <c r="C76" s="11"/>
      <c r="D76" s="1"/>
      <c r="E76" s="1"/>
      <c r="F76" s="12"/>
      <c r="G76" s="12"/>
      <c r="H76" s="106"/>
    </row>
    <row r="77" spans="1:8" ht="14.1" customHeight="1" x14ac:dyDescent="0.2">
      <c r="A77" s="1"/>
      <c r="B77" s="1"/>
      <c r="C77" s="2" t="s">
        <v>133</v>
      </c>
      <c r="D77" s="1"/>
      <c r="E77" s="1"/>
      <c r="F77" s="1"/>
      <c r="G77" s="1"/>
      <c r="H77" s="106"/>
    </row>
    <row r="78" spans="1:8" ht="14.1" customHeight="1" x14ac:dyDescent="0.2">
      <c r="A78" s="1"/>
      <c r="B78" s="1"/>
      <c r="C78" s="2" t="s">
        <v>130</v>
      </c>
      <c r="D78" s="1"/>
      <c r="E78" s="1" t="s">
        <v>131</v>
      </c>
      <c r="F78" s="13">
        <v>0</v>
      </c>
      <c r="G78" s="14">
        <v>0</v>
      </c>
      <c r="H78" s="106"/>
    </row>
    <row r="79" spans="1:8" ht="14.1" customHeight="1" x14ac:dyDescent="0.2">
      <c r="A79" s="1"/>
      <c r="B79" s="1"/>
      <c r="C79" s="11"/>
      <c r="D79" s="1"/>
      <c r="E79" s="1"/>
      <c r="F79" s="12"/>
      <c r="G79" s="12"/>
      <c r="H79" s="106"/>
    </row>
    <row r="80" spans="1:8" ht="14.1" customHeight="1" x14ac:dyDescent="0.2">
      <c r="A80" s="1"/>
      <c r="B80" s="1"/>
      <c r="C80" s="2" t="s">
        <v>134</v>
      </c>
      <c r="D80" s="1"/>
      <c r="E80" s="1"/>
      <c r="F80" s="1"/>
      <c r="G80" s="1"/>
      <c r="H80" s="106"/>
    </row>
    <row r="81" spans="1:8" ht="14.1" customHeight="1" x14ac:dyDescent="0.2">
      <c r="A81" s="1"/>
      <c r="B81" s="1"/>
      <c r="C81" s="2" t="s">
        <v>130</v>
      </c>
      <c r="D81" s="1"/>
      <c r="E81" s="1" t="s">
        <v>131</v>
      </c>
      <c r="F81" s="13">
        <v>0</v>
      </c>
      <c r="G81" s="14">
        <v>0</v>
      </c>
      <c r="H81" s="106"/>
    </row>
    <row r="82" spans="1:8" ht="14.1" customHeight="1" x14ac:dyDescent="0.2">
      <c r="A82" s="1"/>
      <c r="B82" s="1"/>
      <c r="C82" s="11"/>
      <c r="D82" s="1"/>
      <c r="E82" s="1"/>
      <c r="F82" s="12"/>
      <c r="G82" s="12"/>
      <c r="H82" s="106"/>
    </row>
    <row r="83" spans="1:8" ht="14.1" customHeight="1" x14ac:dyDescent="0.2">
      <c r="A83" s="1"/>
      <c r="B83" s="1"/>
      <c r="C83" s="2" t="s">
        <v>135</v>
      </c>
      <c r="D83" s="1"/>
      <c r="E83" s="1"/>
      <c r="F83" s="12"/>
      <c r="G83" s="12"/>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136</v>
      </c>
      <c r="D86" s="1"/>
      <c r="E86" s="1"/>
      <c r="F86" s="12"/>
      <c r="G86" s="12"/>
      <c r="H86" s="106"/>
    </row>
    <row r="87" spans="1:8" ht="14.1" customHeight="1" x14ac:dyDescent="0.2">
      <c r="A87" s="1"/>
      <c r="B87" s="1"/>
      <c r="C87" s="2" t="s">
        <v>130</v>
      </c>
      <c r="D87" s="1"/>
      <c r="E87" s="1" t="s">
        <v>131</v>
      </c>
      <c r="F87" s="13">
        <v>0</v>
      </c>
      <c r="G87" s="14">
        <v>0</v>
      </c>
      <c r="H87" s="106"/>
    </row>
    <row r="88" spans="1:8" ht="14.1" customHeight="1" x14ac:dyDescent="0.2">
      <c r="A88" s="1"/>
      <c r="B88" s="1"/>
      <c r="C88" s="11"/>
      <c r="D88" s="1"/>
      <c r="E88" s="1"/>
      <c r="F88" s="12"/>
      <c r="G88" s="12"/>
      <c r="H88" s="106"/>
    </row>
    <row r="89" spans="1:8" ht="18" customHeight="1" x14ac:dyDescent="0.2">
      <c r="A89" s="1"/>
      <c r="B89" s="1"/>
      <c r="C89" s="2" t="s">
        <v>137</v>
      </c>
      <c r="D89" s="1"/>
      <c r="E89" s="1"/>
      <c r="F89" s="9">
        <v>26163.622251500001</v>
      </c>
      <c r="G89" s="10">
        <v>0.86496468699999995</v>
      </c>
      <c r="H89" s="106"/>
    </row>
    <row r="90" spans="1:8" ht="14.1" customHeight="1" x14ac:dyDescent="0.2">
      <c r="A90" s="1"/>
      <c r="B90" s="1"/>
      <c r="C90" s="11"/>
      <c r="D90" s="1"/>
      <c r="E90" s="1"/>
      <c r="F90" s="12"/>
      <c r="G90" s="12"/>
      <c r="H90" s="106"/>
    </row>
    <row r="91" spans="1:8" ht="14.1" customHeight="1" x14ac:dyDescent="0.2">
      <c r="A91" s="1"/>
      <c r="B91" s="1"/>
      <c r="C91" s="2" t="s">
        <v>138</v>
      </c>
      <c r="D91" s="1"/>
      <c r="E91" s="1"/>
      <c r="F91" s="12"/>
      <c r="G91" s="12"/>
      <c r="H91" s="106"/>
    </row>
    <row r="92" spans="1:8" ht="24" customHeight="1" x14ac:dyDescent="0.2">
      <c r="A92" s="1"/>
      <c r="B92" s="1"/>
      <c r="C92" s="2" t="s">
        <v>10</v>
      </c>
      <c r="D92" s="1"/>
      <c r="E92" s="1"/>
      <c r="F92" s="12"/>
      <c r="G92" s="12"/>
      <c r="H92" s="106"/>
    </row>
    <row r="93" spans="1:8" ht="14.1" customHeight="1" x14ac:dyDescent="0.2">
      <c r="A93" s="1"/>
      <c r="B93" s="1"/>
      <c r="C93" s="2" t="s">
        <v>130</v>
      </c>
      <c r="D93" s="1"/>
      <c r="E93" s="1" t="s">
        <v>131</v>
      </c>
      <c r="F93" s="13">
        <v>0</v>
      </c>
      <c r="G93" s="14">
        <v>0</v>
      </c>
      <c r="H93" s="106"/>
    </row>
    <row r="94" spans="1:8" ht="14.1" customHeight="1" x14ac:dyDescent="0.2">
      <c r="A94" s="1"/>
      <c r="B94" s="1"/>
      <c r="C94" s="11"/>
      <c r="D94" s="1"/>
      <c r="E94" s="1"/>
      <c r="F94" s="12"/>
      <c r="G94" s="12"/>
      <c r="H94" s="106"/>
    </row>
    <row r="95" spans="1:8" ht="14.1" customHeight="1" x14ac:dyDescent="0.2">
      <c r="A95" s="1"/>
      <c r="B95" s="1"/>
      <c r="C95" s="2" t="s">
        <v>139</v>
      </c>
      <c r="D95" s="1"/>
      <c r="E95" s="1"/>
      <c r="F95" s="1"/>
      <c r="G95" s="1"/>
      <c r="H95" s="106"/>
    </row>
    <row r="96" spans="1:8" ht="14.1" customHeight="1" x14ac:dyDescent="0.2">
      <c r="A96" s="1"/>
      <c r="B96" s="1"/>
      <c r="C96" s="2" t="s">
        <v>130</v>
      </c>
      <c r="D96" s="1"/>
      <c r="E96" s="1" t="s">
        <v>131</v>
      </c>
      <c r="F96" s="13">
        <v>0</v>
      </c>
      <c r="G96" s="14">
        <v>0</v>
      </c>
      <c r="H96" s="106"/>
    </row>
    <row r="97" spans="1:8" ht="14.1" customHeight="1" x14ac:dyDescent="0.2">
      <c r="A97" s="1"/>
      <c r="B97" s="1"/>
      <c r="C97" s="11"/>
      <c r="D97" s="1"/>
      <c r="E97" s="1"/>
      <c r="F97" s="12"/>
      <c r="G97" s="12"/>
      <c r="H97" s="106"/>
    </row>
    <row r="98" spans="1:8" ht="14.1" customHeight="1" x14ac:dyDescent="0.2">
      <c r="A98" s="1"/>
      <c r="B98" s="1"/>
      <c r="C98" s="2" t="s">
        <v>140</v>
      </c>
      <c r="D98" s="1"/>
      <c r="E98" s="1"/>
      <c r="F98" s="1"/>
      <c r="G98" s="1"/>
      <c r="H98" s="106"/>
    </row>
    <row r="99" spans="1:8" ht="14.1" customHeight="1" x14ac:dyDescent="0.2">
      <c r="A99" s="1"/>
      <c r="B99" s="1"/>
      <c r="C99" s="2" t="s">
        <v>130</v>
      </c>
      <c r="D99" s="1"/>
      <c r="E99" s="1" t="s">
        <v>131</v>
      </c>
      <c r="F99" s="13">
        <v>0</v>
      </c>
      <c r="G99" s="14">
        <v>0</v>
      </c>
      <c r="H99" s="106"/>
    </row>
    <row r="100" spans="1:8" ht="14.1" customHeight="1" x14ac:dyDescent="0.2">
      <c r="A100" s="1"/>
      <c r="B100" s="1"/>
      <c r="C100" s="11"/>
      <c r="D100" s="1"/>
      <c r="E100" s="1"/>
      <c r="F100" s="12"/>
      <c r="G100" s="12"/>
      <c r="H100" s="106"/>
    </row>
    <row r="101" spans="1:8" ht="14.1" customHeight="1" x14ac:dyDescent="0.2">
      <c r="A101" s="1"/>
      <c r="B101" s="1"/>
      <c r="C101" s="2" t="s">
        <v>141</v>
      </c>
      <c r="D101" s="1"/>
      <c r="E101" s="1"/>
      <c r="F101" s="12"/>
      <c r="G101" s="12"/>
      <c r="H101" s="106"/>
    </row>
    <row r="102" spans="1:8" ht="14.1" customHeight="1" x14ac:dyDescent="0.2">
      <c r="A102" s="1"/>
      <c r="B102" s="1"/>
      <c r="C102" s="2" t="s">
        <v>130</v>
      </c>
      <c r="D102" s="1"/>
      <c r="E102" s="1" t="s">
        <v>131</v>
      </c>
      <c r="F102" s="13">
        <v>0</v>
      </c>
      <c r="G102" s="14">
        <v>0</v>
      </c>
      <c r="H102" s="106"/>
    </row>
    <row r="103" spans="1:8" ht="14.1" customHeight="1" x14ac:dyDescent="0.2">
      <c r="A103" s="1"/>
      <c r="B103" s="1"/>
      <c r="C103" s="11"/>
      <c r="D103" s="1"/>
      <c r="E103" s="1"/>
      <c r="F103" s="12"/>
      <c r="G103" s="12"/>
      <c r="H103" s="106"/>
    </row>
    <row r="104" spans="1:8" ht="14.1" customHeight="1" x14ac:dyDescent="0.2">
      <c r="A104" s="1"/>
      <c r="B104" s="1"/>
      <c r="C104" s="2" t="s">
        <v>142</v>
      </c>
      <c r="D104" s="1"/>
      <c r="E104" s="1"/>
      <c r="F104" s="9">
        <v>0</v>
      </c>
      <c r="G104" s="10">
        <v>0</v>
      </c>
      <c r="H104" s="106"/>
    </row>
    <row r="105" spans="1:8" ht="14.1" customHeight="1" x14ac:dyDescent="0.2">
      <c r="A105" s="1"/>
      <c r="B105" s="1"/>
      <c r="C105" s="11"/>
      <c r="D105" s="1"/>
      <c r="E105" s="1"/>
      <c r="F105" s="12"/>
      <c r="G105" s="12"/>
      <c r="H105" s="106"/>
    </row>
    <row r="106" spans="1:8" ht="14.1" customHeight="1" x14ac:dyDescent="0.2">
      <c r="A106" s="1"/>
      <c r="B106" s="1"/>
      <c r="C106" s="2" t="s">
        <v>143</v>
      </c>
      <c r="D106" s="1"/>
      <c r="E106" s="1"/>
      <c r="F106" s="12"/>
      <c r="G106" s="12"/>
      <c r="H106" s="106"/>
    </row>
    <row r="107" spans="1:8" ht="14.1" customHeight="1" x14ac:dyDescent="0.2">
      <c r="A107" s="1"/>
      <c r="B107" s="1"/>
      <c r="C107" s="2" t="s">
        <v>144</v>
      </c>
      <c r="D107" s="1"/>
      <c r="E107" s="1"/>
      <c r="F107" s="12"/>
      <c r="G107" s="12"/>
      <c r="H107" s="106"/>
    </row>
    <row r="108" spans="1:8" ht="14.1" customHeight="1" x14ac:dyDescent="0.2">
      <c r="A108" s="1"/>
      <c r="B108" s="1"/>
      <c r="C108" s="2" t="s">
        <v>130</v>
      </c>
      <c r="D108" s="1"/>
      <c r="E108" s="1" t="s">
        <v>131</v>
      </c>
      <c r="F108" s="13">
        <v>0</v>
      </c>
      <c r="G108" s="14">
        <v>0</v>
      </c>
      <c r="H108" s="106"/>
    </row>
    <row r="109" spans="1:8" ht="14.1" customHeight="1" x14ac:dyDescent="0.2">
      <c r="A109" s="1"/>
      <c r="B109" s="1"/>
      <c r="C109" s="11"/>
      <c r="D109" s="1"/>
      <c r="E109" s="1"/>
      <c r="F109" s="12"/>
      <c r="G109" s="12"/>
      <c r="H109" s="106"/>
    </row>
    <row r="110" spans="1:8" ht="14.1" customHeight="1" x14ac:dyDescent="0.2">
      <c r="A110" s="1"/>
      <c r="B110" s="1"/>
      <c r="C110" s="2" t="s">
        <v>145</v>
      </c>
      <c r="D110" s="1"/>
      <c r="E110" s="1"/>
      <c r="F110" s="12"/>
      <c r="G110" s="12"/>
      <c r="H110" s="106"/>
    </row>
    <row r="111" spans="1:8" ht="14.1" customHeight="1" x14ac:dyDescent="0.2">
      <c r="A111" s="1"/>
      <c r="B111" s="1"/>
      <c r="C111" s="2" t="s">
        <v>130</v>
      </c>
      <c r="D111" s="1"/>
      <c r="E111" s="1" t="s">
        <v>131</v>
      </c>
      <c r="F111" s="13">
        <v>0</v>
      </c>
      <c r="G111" s="14">
        <v>0</v>
      </c>
      <c r="H111" s="106"/>
    </row>
    <row r="112" spans="1:8" ht="14.1" customHeight="1" x14ac:dyDescent="0.2">
      <c r="A112" s="1"/>
      <c r="B112" s="1"/>
      <c r="C112" s="11"/>
      <c r="D112" s="1"/>
      <c r="E112" s="1"/>
      <c r="F112" s="12"/>
      <c r="G112" s="12"/>
      <c r="H112" s="106"/>
    </row>
    <row r="113" spans="1:8" ht="14.1" customHeight="1" x14ac:dyDescent="0.2">
      <c r="A113" s="1"/>
      <c r="B113" s="1"/>
      <c r="C113" s="2" t="s">
        <v>146</v>
      </c>
      <c r="D113" s="1"/>
      <c r="E113" s="1"/>
      <c r="F113" s="12"/>
      <c r="G113" s="12"/>
      <c r="H113" s="106"/>
    </row>
    <row r="114" spans="1:8" ht="14.1" customHeight="1" x14ac:dyDescent="0.2">
      <c r="A114" s="1"/>
      <c r="B114" s="1"/>
      <c r="C114" s="2" t="s">
        <v>130</v>
      </c>
      <c r="D114" s="1"/>
      <c r="E114" s="1" t="s">
        <v>131</v>
      </c>
      <c r="F114" s="13">
        <v>0</v>
      </c>
      <c r="G114" s="14">
        <v>0</v>
      </c>
      <c r="H114" s="106"/>
    </row>
    <row r="115" spans="1:8" ht="14.1" customHeight="1" x14ac:dyDescent="0.2">
      <c r="A115" s="1"/>
      <c r="B115" s="1"/>
      <c r="C115" s="11"/>
      <c r="D115" s="1"/>
      <c r="E115" s="1"/>
      <c r="F115" s="12"/>
      <c r="G115" s="12"/>
      <c r="H115" s="106"/>
    </row>
    <row r="116" spans="1:8" ht="14.1" customHeight="1" x14ac:dyDescent="0.2">
      <c r="A116" s="1"/>
      <c r="B116" s="1"/>
      <c r="C116" s="2" t="s">
        <v>147</v>
      </c>
      <c r="D116" s="1"/>
      <c r="E116" s="1"/>
      <c r="F116" s="12"/>
      <c r="G116" s="12"/>
      <c r="H116" s="106"/>
    </row>
    <row r="117" spans="1:8" ht="17.100000000000001" customHeight="1" x14ac:dyDescent="0.2">
      <c r="A117" s="3">
        <v>1</v>
      </c>
      <c r="B117" s="4"/>
      <c r="C117" s="4" t="s">
        <v>148</v>
      </c>
      <c r="D117" s="4"/>
      <c r="E117" s="8"/>
      <c r="F117" s="6">
        <v>4086.690998</v>
      </c>
      <c r="G117" s="7">
        <v>0.135105276</v>
      </c>
      <c r="H117" s="106">
        <v>6.1171451766917002</v>
      </c>
    </row>
    <row r="118" spans="1:8" ht="14.1" customHeight="1" x14ac:dyDescent="0.2">
      <c r="A118" s="1"/>
      <c r="B118" s="1"/>
      <c r="C118" s="2" t="s">
        <v>130</v>
      </c>
      <c r="D118" s="1"/>
      <c r="E118" s="1" t="s">
        <v>131</v>
      </c>
      <c r="F118" s="9">
        <v>4086.690998</v>
      </c>
      <c r="G118" s="10">
        <v>0.135105276</v>
      </c>
      <c r="H118" s="106"/>
    </row>
    <row r="119" spans="1:8" ht="14.1" customHeight="1" x14ac:dyDescent="0.2">
      <c r="A119" s="1"/>
      <c r="B119" s="1"/>
      <c r="C119" s="11"/>
      <c r="D119" s="1"/>
      <c r="E119" s="1"/>
      <c r="F119" s="12"/>
      <c r="G119" s="12"/>
      <c r="H119" s="106"/>
    </row>
    <row r="120" spans="1:8" ht="14.1" customHeight="1" x14ac:dyDescent="0.2">
      <c r="A120" s="1"/>
      <c r="B120" s="1"/>
      <c r="C120" s="2" t="s">
        <v>149</v>
      </c>
      <c r="D120" s="1"/>
      <c r="E120" s="1"/>
      <c r="F120" s="9">
        <v>4086.690998</v>
      </c>
      <c r="G120" s="10">
        <v>0.135105276</v>
      </c>
      <c r="H120" s="106"/>
    </row>
    <row r="121" spans="1:8" ht="14.1" customHeight="1" x14ac:dyDescent="0.2">
      <c r="A121" s="1"/>
      <c r="B121" s="1"/>
      <c r="C121" s="12"/>
      <c r="D121" s="1"/>
      <c r="E121" s="1"/>
      <c r="F121" s="1"/>
      <c r="G121" s="1"/>
      <c r="H121" s="106"/>
    </row>
    <row r="122" spans="1:8" ht="14.1" customHeight="1" x14ac:dyDescent="0.2">
      <c r="A122" s="1"/>
      <c r="B122" s="1"/>
      <c r="C122" s="2" t="s">
        <v>150</v>
      </c>
      <c r="D122" s="1"/>
      <c r="E122" s="1"/>
      <c r="F122" s="1"/>
      <c r="G122" s="1"/>
      <c r="H122" s="106"/>
    </row>
    <row r="123" spans="1:8" ht="14.1" customHeight="1" x14ac:dyDescent="0.2">
      <c r="A123" s="1"/>
      <c r="B123" s="1"/>
      <c r="C123" s="2" t="s">
        <v>151</v>
      </c>
      <c r="D123" s="1"/>
      <c r="E123" s="1"/>
      <c r="F123" s="1"/>
      <c r="G123" s="1"/>
      <c r="H123" s="106"/>
    </row>
    <row r="124" spans="1:8" ht="14.1" customHeight="1" x14ac:dyDescent="0.2">
      <c r="A124" s="1"/>
      <c r="B124" s="1"/>
      <c r="C124" s="2" t="s">
        <v>130</v>
      </c>
      <c r="D124" s="1"/>
      <c r="E124" s="1" t="s">
        <v>131</v>
      </c>
      <c r="F124" s="13">
        <v>0</v>
      </c>
      <c r="G124" s="14">
        <v>0</v>
      </c>
      <c r="H124" s="106"/>
    </row>
    <row r="125" spans="1:8" ht="14.1" customHeight="1" x14ac:dyDescent="0.2">
      <c r="A125" s="1"/>
      <c r="B125" s="1"/>
      <c r="C125" s="11"/>
      <c r="D125" s="1"/>
      <c r="E125" s="1"/>
      <c r="F125" s="12"/>
      <c r="G125" s="12"/>
      <c r="H125" s="106"/>
    </row>
    <row r="126" spans="1:8" ht="14.1" customHeight="1" x14ac:dyDescent="0.2">
      <c r="A126" s="1"/>
      <c r="B126" s="1"/>
      <c r="C126" s="2" t="s">
        <v>152</v>
      </c>
      <c r="D126" s="1"/>
      <c r="E126" s="1"/>
      <c r="F126" s="1"/>
      <c r="G126" s="1"/>
      <c r="H126" s="106"/>
    </row>
    <row r="127" spans="1:8" ht="14.1" customHeight="1" x14ac:dyDescent="0.2">
      <c r="A127" s="1"/>
      <c r="B127" s="1"/>
      <c r="C127" s="2" t="s">
        <v>153</v>
      </c>
      <c r="D127" s="1"/>
      <c r="E127" s="1"/>
      <c r="F127" s="1"/>
      <c r="G127" s="1"/>
      <c r="H127" s="106"/>
    </row>
    <row r="128" spans="1:8" ht="14.1" customHeight="1" x14ac:dyDescent="0.2">
      <c r="A128" s="1"/>
      <c r="B128" s="1"/>
      <c r="C128" s="2" t="s">
        <v>130</v>
      </c>
      <c r="D128" s="1"/>
      <c r="E128" s="1" t="s">
        <v>131</v>
      </c>
      <c r="F128" s="13">
        <v>0</v>
      </c>
      <c r="G128" s="14">
        <v>0</v>
      </c>
      <c r="H128" s="106"/>
    </row>
    <row r="129" spans="1:8" ht="14.1" customHeight="1" x14ac:dyDescent="0.2">
      <c r="A129" s="1"/>
      <c r="B129" s="1"/>
      <c r="C129" s="11"/>
      <c r="D129" s="1"/>
      <c r="E129" s="1"/>
      <c r="F129" s="12"/>
      <c r="G129" s="12"/>
      <c r="H129" s="106"/>
    </row>
    <row r="130" spans="1:8" ht="14.1" customHeight="1" x14ac:dyDescent="0.2">
      <c r="A130" s="1"/>
      <c r="B130" s="1"/>
      <c r="C130" s="11"/>
      <c r="D130" s="1"/>
      <c r="E130" s="1"/>
      <c r="F130" s="12"/>
      <c r="G130" s="12"/>
      <c r="H130" s="106"/>
    </row>
    <row r="131" spans="1:8" ht="24" customHeight="1" x14ac:dyDescent="0.2">
      <c r="A131" s="1"/>
      <c r="B131" s="1"/>
      <c r="C131" s="2" t="s">
        <v>154</v>
      </c>
      <c r="D131" s="1"/>
      <c r="E131" s="1"/>
      <c r="F131" s="12"/>
      <c r="G131" s="12"/>
      <c r="H131" s="106"/>
    </row>
    <row r="132" spans="1:8" ht="14.1" customHeight="1" x14ac:dyDescent="0.2">
      <c r="A132" s="1"/>
      <c r="B132" s="1"/>
      <c r="C132" s="2" t="s">
        <v>130</v>
      </c>
      <c r="D132" s="1"/>
      <c r="E132" s="1" t="s">
        <v>131</v>
      </c>
      <c r="F132" s="13">
        <v>0</v>
      </c>
      <c r="G132" s="14">
        <v>0</v>
      </c>
      <c r="H132" s="106"/>
    </row>
    <row r="133" spans="1:8" ht="14.1" customHeight="1" x14ac:dyDescent="0.2">
      <c r="A133" s="1"/>
      <c r="B133" s="1"/>
      <c r="C133" s="11"/>
      <c r="D133" s="1"/>
      <c r="E133" s="1"/>
      <c r="F133" s="12"/>
      <c r="G133" s="12"/>
      <c r="H133" s="106"/>
    </row>
    <row r="134" spans="1:8" ht="14.1" customHeight="1" x14ac:dyDescent="0.2">
      <c r="A134" s="1"/>
      <c r="B134" s="4"/>
      <c r="C134" s="4"/>
      <c r="D134" s="2"/>
      <c r="E134" s="1"/>
      <c r="F134" s="4"/>
      <c r="G134" s="8"/>
      <c r="H134" s="106"/>
    </row>
    <row r="135" spans="1:8" ht="18" customHeight="1" x14ac:dyDescent="0.2">
      <c r="A135" s="8"/>
      <c r="B135" s="4"/>
      <c r="C135" s="4" t="s">
        <v>155</v>
      </c>
      <c r="D135" s="4"/>
      <c r="E135" s="8"/>
      <c r="F135" s="6">
        <v>-2.11630889</v>
      </c>
      <c r="G135" s="7">
        <v>-6.9964999999999998E-5</v>
      </c>
      <c r="H135" s="106"/>
    </row>
    <row r="136" spans="1:8" ht="14.1" customHeight="1" x14ac:dyDescent="0.2">
      <c r="A136" s="11"/>
      <c r="B136" s="11"/>
      <c r="C136" s="2" t="s">
        <v>156</v>
      </c>
      <c r="D136" s="15"/>
      <c r="E136" s="15"/>
      <c r="F136" s="9">
        <v>30248.19694061</v>
      </c>
      <c r="G136" s="10">
        <v>0.99999999799999995</v>
      </c>
      <c r="H136" s="106"/>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279" t="s">
        <v>158</v>
      </c>
      <c r="C139" s="280"/>
      <c r="D139" s="12" t="s">
        <v>131</v>
      </c>
      <c r="E139" s="21"/>
      <c r="F139" s="20"/>
      <c r="G139" s="20"/>
    </row>
    <row r="140" spans="1:8" ht="29.1" customHeight="1" x14ac:dyDescent="0.2">
      <c r="A140" s="18"/>
      <c r="B140" s="274" t="s">
        <v>159</v>
      </c>
      <c r="C140" s="275"/>
      <c r="D140" s="2" t="s">
        <v>160</v>
      </c>
      <c r="E140" s="21"/>
      <c r="F140" s="20"/>
      <c r="G140" s="20"/>
    </row>
    <row r="141" spans="1:8" ht="17.100000000000001" customHeight="1" x14ac:dyDescent="0.2">
      <c r="A141" s="18"/>
      <c r="B141" s="274" t="s">
        <v>161</v>
      </c>
      <c r="C141" s="275"/>
      <c r="D141" s="2" t="s">
        <v>160</v>
      </c>
      <c r="E141" s="21"/>
      <c r="F141" s="20"/>
      <c r="G141" s="20"/>
    </row>
    <row r="142" spans="1:8" ht="17.100000000000001" customHeight="1" x14ac:dyDescent="0.2">
      <c r="A142" s="18"/>
      <c r="B142" s="274" t="s">
        <v>162</v>
      </c>
      <c r="C142" s="275"/>
      <c r="D142" s="12" t="s">
        <v>131</v>
      </c>
      <c r="E142" s="21"/>
      <c r="F142" s="20"/>
      <c r="G142" s="20"/>
    </row>
    <row r="143" spans="1:8" ht="24" customHeight="1" x14ac:dyDescent="0.2">
      <c r="A143" s="22"/>
      <c r="B143" s="23" t="s">
        <v>131</v>
      </c>
      <c r="C143" s="23" t="s">
        <v>163</v>
      </c>
      <c r="D143" s="23" t="s">
        <v>164</v>
      </c>
      <c r="E143" s="22"/>
      <c r="F143" s="22"/>
      <c r="G143" s="22"/>
    </row>
    <row r="144" spans="1:8" ht="18" customHeight="1" x14ac:dyDescent="0.2">
      <c r="A144" s="22"/>
      <c r="B144" s="23" t="s">
        <v>165</v>
      </c>
      <c r="C144" s="23" t="s">
        <v>166</v>
      </c>
      <c r="D144" s="23" t="s">
        <v>167</v>
      </c>
      <c r="E144" s="22"/>
      <c r="F144" s="22"/>
      <c r="G144" s="22"/>
    </row>
    <row r="145" spans="1:7" ht="17.100000000000001" customHeight="1" x14ac:dyDescent="0.2">
      <c r="A145" s="22"/>
      <c r="B145" s="4" t="s">
        <v>168</v>
      </c>
      <c r="C145" s="24">
        <v>19.832599999999999</v>
      </c>
      <c r="D145" s="24">
        <v>19.995000000000001</v>
      </c>
      <c r="E145" s="22"/>
      <c r="F145" s="19"/>
      <c r="G145" s="25"/>
    </row>
    <row r="146" spans="1:7" ht="17.100000000000001" customHeight="1" x14ac:dyDescent="0.2">
      <c r="A146" s="22"/>
      <c r="B146" s="4" t="s">
        <v>1048</v>
      </c>
      <c r="C146" s="24">
        <v>19.468499999999999</v>
      </c>
      <c r="D146" s="24">
        <v>19.6279</v>
      </c>
      <c r="E146" s="22"/>
      <c r="F146" s="19"/>
      <c r="G146" s="25"/>
    </row>
    <row r="147" spans="1:7" ht="17.100000000000001" customHeight="1" x14ac:dyDescent="0.2">
      <c r="A147" s="22"/>
      <c r="B147" s="4" t="s">
        <v>169</v>
      </c>
      <c r="C147" s="24">
        <v>19.1755</v>
      </c>
      <c r="D147" s="24">
        <v>19.322700000000001</v>
      </c>
      <c r="E147" s="22"/>
      <c r="F147" s="19"/>
      <c r="G147" s="25"/>
    </row>
    <row r="148" spans="1:7" ht="17.100000000000001" customHeight="1" x14ac:dyDescent="0.2">
      <c r="A148" s="22"/>
      <c r="B148" s="4" t="s">
        <v>1049</v>
      </c>
      <c r="C148" s="24">
        <v>18.8142</v>
      </c>
      <c r="D148" s="24">
        <v>18.958600000000001</v>
      </c>
      <c r="E148" s="22"/>
      <c r="F148" s="19"/>
      <c r="G148" s="25"/>
    </row>
    <row r="149" spans="1:7" ht="14.1" customHeight="1" x14ac:dyDescent="0.2">
      <c r="A149" s="22"/>
      <c r="B149" s="22"/>
      <c r="C149" s="22"/>
      <c r="D149" s="22"/>
      <c r="E149" s="22"/>
      <c r="F149" s="22"/>
      <c r="G149" s="22"/>
    </row>
    <row r="150" spans="1:7" ht="17.100000000000001" customHeight="1" x14ac:dyDescent="0.2">
      <c r="A150" s="22"/>
      <c r="B150" s="274" t="s">
        <v>1060</v>
      </c>
      <c r="C150" s="275"/>
      <c r="D150" s="2" t="s">
        <v>160</v>
      </c>
      <c r="E150" s="22"/>
      <c r="F150" s="22"/>
      <c r="G150" s="22"/>
    </row>
    <row r="151" spans="1:7" ht="18" customHeight="1" x14ac:dyDescent="0.2">
      <c r="A151" s="22"/>
      <c r="B151" s="26" t="s">
        <v>170</v>
      </c>
      <c r="C151" s="26" t="s">
        <v>170</v>
      </c>
      <c r="D151" s="26"/>
      <c r="E151" s="22"/>
      <c r="F151" s="22"/>
      <c r="G151" s="22"/>
    </row>
    <row r="152" spans="1:7" ht="29.1" customHeight="1" x14ac:dyDescent="0.2">
      <c r="A152" s="22"/>
      <c r="B152" s="274" t="s">
        <v>171</v>
      </c>
      <c r="C152" s="275"/>
      <c r="D152" s="2" t="s">
        <v>160</v>
      </c>
      <c r="E152" s="22"/>
      <c r="F152" s="22"/>
      <c r="G152" s="22"/>
    </row>
    <row r="153" spans="1:7" ht="29.1" customHeight="1" x14ac:dyDescent="0.2">
      <c r="A153" s="22"/>
      <c r="B153" s="274" t="s">
        <v>172</v>
      </c>
      <c r="C153" s="275"/>
      <c r="D153" s="2" t="s">
        <v>160</v>
      </c>
      <c r="E153" s="22"/>
      <c r="F153" s="22"/>
      <c r="G153" s="22"/>
    </row>
    <row r="154" spans="1:7" ht="17.100000000000001" customHeight="1" x14ac:dyDescent="0.2">
      <c r="A154" s="22"/>
      <c r="B154" s="274" t="s">
        <v>173</v>
      </c>
      <c r="C154" s="275"/>
      <c r="D154" s="27">
        <v>0.26281287581532531</v>
      </c>
      <c r="E154" s="22"/>
      <c r="F154" s="19"/>
      <c r="G154" s="25"/>
    </row>
    <row r="155" spans="1:7" ht="17.100000000000001" customHeight="1" x14ac:dyDescent="0.2">
      <c r="A155" s="22"/>
      <c r="B155" s="274" t="s">
        <v>174</v>
      </c>
      <c r="C155" s="275"/>
      <c r="D155" s="2" t="s">
        <v>160</v>
      </c>
      <c r="E155" s="22"/>
      <c r="F155" s="22"/>
      <c r="G155" s="22"/>
    </row>
    <row r="164" spans="10:15" x14ac:dyDescent="0.2">
      <c r="J164" s="162"/>
      <c r="K164" s="162"/>
      <c r="L164" s="162"/>
      <c r="M164" s="162"/>
      <c r="N164" s="162"/>
      <c r="O164" s="162"/>
    </row>
  </sheetData>
  <mergeCells count="13">
    <mergeCell ref="J2:N2"/>
    <mergeCell ref="B139:C139"/>
    <mergeCell ref="B154:C154"/>
    <mergeCell ref="A1:H1"/>
    <mergeCell ref="A2:H2"/>
    <mergeCell ref="A3:H3"/>
    <mergeCell ref="B155:C155"/>
    <mergeCell ref="B140:C140"/>
    <mergeCell ref="B141:C141"/>
    <mergeCell ref="B142:C142"/>
    <mergeCell ref="B150:C150"/>
    <mergeCell ref="B152:C152"/>
    <mergeCell ref="B153:C153"/>
  </mergeCells>
  <hyperlinks>
    <hyperlink ref="I1" location="Index!B9" display="Index" xr:uid="{6A7C16F4-C122-4CA4-B78D-09FD44C7F2D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6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467</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77</v>
      </c>
      <c r="C7" s="4" t="s">
        <v>78</v>
      </c>
      <c r="D7" s="4" t="s">
        <v>31</v>
      </c>
      <c r="E7" s="5">
        <v>43501</v>
      </c>
      <c r="F7" s="6">
        <v>702.628152</v>
      </c>
      <c r="G7" s="7">
        <v>3.2737802000000003E-2</v>
      </c>
      <c r="H7" s="106"/>
    </row>
    <row r="8" spans="1:14" ht="17.100000000000001" customHeight="1" x14ac:dyDescent="0.2">
      <c r="A8" s="3">
        <v>2</v>
      </c>
      <c r="B8" s="4" t="s">
        <v>29</v>
      </c>
      <c r="C8" s="4" t="s">
        <v>30</v>
      </c>
      <c r="D8" s="4" t="s">
        <v>31</v>
      </c>
      <c r="E8" s="5">
        <v>31667</v>
      </c>
      <c r="F8" s="6">
        <v>659.10110450000002</v>
      </c>
      <c r="G8" s="7">
        <v>3.0709731000000001E-2</v>
      </c>
      <c r="H8" s="106"/>
    </row>
    <row r="9" spans="1:14" ht="17.100000000000001" customHeight="1" x14ac:dyDescent="0.2">
      <c r="A9" s="3">
        <v>3</v>
      </c>
      <c r="B9" s="4" t="s">
        <v>108</v>
      </c>
      <c r="C9" s="4" t="s">
        <v>109</v>
      </c>
      <c r="D9" s="4" t="s">
        <v>110</v>
      </c>
      <c r="E9" s="5">
        <v>172146</v>
      </c>
      <c r="F9" s="6">
        <v>640.55526599999996</v>
      </c>
      <c r="G9" s="7">
        <v>2.9845618000000001E-2</v>
      </c>
      <c r="H9" s="106"/>
    </row>
    <row r="10" spans="1:14" ht="17.100000000000001" customHeight="1" x14ac:dyDescent="0.2">
      <c r="A10" s="3">
        <v>4</v>
      </c>
      <c r="B10" s="4" t="s">
        <v>382</v>
      </c>
      <c r="C10" s="4" t="s">
        <v>383</v>
      </c>
      <c r="D10" s="4" t="s">
        <v>110</v>
      </c>
      <c r="E10" s="5">
        <v>32500</v>
      </c>
      <c r="F10" s="6">
        <v>603.67124999999999</v>
      </c>
      <c r="G10" s="7">
        <v>2.8127068000000002E-2</v>
      </c>
      <c r="H10" s="106"/>
    </row>
    <row r="11" spans="1:14" ht="17.100000000000001" customHeight="1" x14ac:dyDescent="0.2">
      <c r="A11" s="3">
        <v>5</v>
      </c>
      <c r="B11" s="4" t="s">
        <v>32</v>
      </c>
      <c r="C11" s="4" t="s">
        <v>33</v>
      </c>
      <c r="D11" s="4" t="s">
        <v>31</v>
      </c>
      <c r="E11" s="5">
        <v>28200</v>
      </c>
      <c r="F11" s="6">
        <v>593.04600000000005</v>
      </c>
      <c r="G11" s="7">
        <v>2.7632001999999999E-2</v>
      </c>
      <c r="H11" s="106"/>
    </row>
    <row r="12" spans="1:14" ht="29.1" customHeight="1" x14ac:dyDescent="0.2">
      <c r="A12" s="3">
        <v>6</v>
      </c>
      <c r="B12" s="4" t="s">
        <v>189</v>
      </c>
      <c r="C12" s="4" t="s">
        <v>190</v>
      </c>
      <c r="D12" s="4" t="s">
        <v>110</v>
      </c>
      <c r="E12" s="5">
        <v>162926</v>
      </c>
      <c r="F12" s="6">
        <v>590.28089799999998</v>
      </c>
      <c r="G12" s="7">
        <v>2.7503166999999999E-2</v>
      </c>
      <c r="H12" s="106"/>
    </row>
    <row r="13" spans="1:14" ht="17.100000000000001" customHeight="1" x14ac:dyDescent="0.2">
      <c r="A13" s="3">
        <v>7</v>
      </c>
      <c r="B13" s="4" t="s">
        <v>380</v>
      </c>
      <c r="C13" s="4" t="s">
        <v>381</v>
      </c>
      <c r="D13" s="4" t="s">
        <v>99</v>
      </c>
      <c r="E13" s="5">
        <v>551852</v>
      </c>
      <c r="F13" s="6">
        <v>556.818668</v>
      </c>
      <c r="G13" s="7">
        <v>2.5944049E-2</v>
      </c>
      <c r="H13" s="106"/>
      <c r="J13" s="161" t="s">
        <v>1089</v>
      </c>
    </row>
    <row r="14" spans="1:14" ht="29.1" customHeight="1" x14ac:dyDescent="0.2">
      <c r="A14" s="3">
        <v>8</v>
      </c>
      <c r="B14" s="4" t="s">
        <v>196</v>
      </c>
      <c r="C14" s="4" t="s">
        <v>197</v>
      </c>
      <c r="D14" s="4" t="s">
        <v>188</v>
      </c>
      <c r="E14" s="5">
        <v>11594</v>
      </c>
      <c r="F14" s="6">
        <v>527.72989500000006</v>
      </c>
      <c r="G14" s="7">
        <v>2.4588705999999998E-2</v>
      </c>
      <c r="H14" s="106"/>
    </row>
    <row r="15" spans="1:14" ht="17.100000000000001" customHeight="1" x14ac:dyDescent="0.2">
      <c r="A15" s="3">
        <v>9</v>
      </c>
      <c r="B15" s="4" t="s">
        <v>17</v>
      </c>
      <c r="C15" s="4" t="s">
        <v>18</v>
      </c>
      <c r="D15" s="4" t="s">
        <v>19</v>
      </c>
      <c r="E15" s="5">
        <v>58701</v>
      </c>
      <c r="F15" s="6">
        <v>488.39231999999998</v>
      </c>
      <c r="G15" s="7">
        <v>2.2755836000000002E-2</v>
      </c>
      <c r="H15" s="106"/>
    </row>
    <row r="16" spans="1:14" ht="17.100000000000001" customHeight="1" x14ac:dyDescent="0.2">
      <c r="A16" s="3">
        <v>10</v>
      </c>
      <c r="B16" s="4" t="s">
        <v>304</v>
      </c>
      <c r="C16" s="4" t="s">
        <v>305</v>
      </c>
      <c r="D16" s="4" t="s">
        <v>240</v>
      </c>
      <c r="E16" s="5">
        <v>91611</v>
      </c>
      <c r="F16" s="6">
        <v>469.91862450000002</v>
      </c>
      <c r="G16" s="7">
        <v>2.1895085000000002E-2</v>
      </c>
      <c r="H16" s="106"/>
    </row>
    <row r="17" spans="1:8" ht="17.100000000000001" customHeight="1" x14ac:dyDescent="0.2">
      <c r="A17" s="3">
        <v>11</v>
      </c>
      <c r="B17" s="4" t="s">
        <v>320</v>
      </c>
      <c r="C17" s="4" t="s">
        <v>321</v>
      </c>
      <c r="D17" s="4" t="s">
        <v>230</v>
      </c>
      <c r="E17" s="5">
        <v>32200</v>
      </c>
      <c r="F17" s="6">
        <v>465.98230000000001</v>
      </c>
      <c r="G17" s="7">
        <v>2.1711678000000002E-2</v>
      </c>
      <c r="H17" s="106"/>
    </row>
    <row r="18" spans="1:8" ht="17.100000000000001" customHeight="1" x14ac:dyDescent="0.2">
      <c r="A18" s="3">
        <v>12</v>
      </c>
      <c r="B18" s="4" t="s">
        <v>461</v>
      </c>
      <c r="C18" s="4" t="s">
        <v>462</v>
      </c>
      <c r="D18" s="4" t="s">
        <v>1114</v>
      </c>
      <c r="E18" s="5">
        <v>62518</v>
      </c>
      <c r="F18" s="6">
        <v>443.40891499999998</v>
      </c>
      <c r="G18" s="7">
        <v>2.0659908000000001E-2</v>
      </c>
      <c r="H18" s="106"/>
    </row>
    <row r="19" spans="1:8" ht="17.100000000000001" customHeight="1" x14ac:dyDescent="0.2">
      <c r="A19" s="3">
        <v>13</v>
      </c>
      <c r="B19" s="4" t="s">
        <v>386</v>
      </c>
      <c r="C19" s="4" t="s">
        <v>387</v>
      </c>
      <c r="D19" s="4" t="s">
        <v>110</v>
      </c>
      <c r="E19" s="5">
        <v>74088</v>
      </c>
      <c r="F19" s="6">
        <v>443.12032799999997</v>
      </c>
      <c r="G19" s="7">
        <v>2.0646462000000001E-2</v>
      </c>
      <c r="H19" s="106"/>
    </row>
    <row r="20" spans="1:8" ht="17.100000000000001" customHeight="1" x14ac:dyDescent="0.2">
      <c r="A20" s="3">
        <v>14</v>
      </c>
      <c r="B20" s="4" t="s">
        <v>439</v>
      </c>
      <c r="C20" s="4" t="s">
        <v>440</v>
      </c>
      <c r="D20" s="4" t="s">
        <v>31</v>
      </c>
      <c r="E20" s="5">
        <v>51999</v>
      </c>
      <c r="F20" s="6">
        <v>439.80754200000001</v>
      </c>
      <c r="G20" s="7">
        <v>2.0492107999999998E-2</v>
      </c>
      <c r="H20" s="106"/>
    </row>
    <row r="21" spans="1:8" ht="17.100000000000001" customHeight="1" x14ac:dyDescent="0.2">
      <c r="A21" s="3">
        <v>15</v>
      </c>
      <c r="B21" s="4" t="s">
        <v>459</v>
      </c>
      <c r="C21" s="4" t="s">
        <v>460</v>
      </c>
      <c r="D21" s="4" t="s">
        <v>96</v>
      </c>
      <c r="E21" s="5">
        <v>30347</v>
      </c>
      <c r="F21" s="6">
        <v>433.3096395</v>
      </c>
      <c r="G21" s="7">
        <v>2.0189348999999999E-2</v>
      </c>
      <c r="H21" s="106"/>
    </row>
    <row r="22" spans="1:8" ht="17.100000000000001" customHeight="1" x14ac:dyDescent="0.2">
      <c r="A22" s="3">
        <v>16</v>
      </c>
      <c r="B22" s="4" t="s">
        <v>322</v>
      </c>
      <c r="C22" s="4" t="s">
        <v>323</v>
      </c>
      <c r="D22" s="4" t="s">
        <v>324</v>
      </c>
      <c r="E22" s="5">
        <v>27031</v>
      </c>
      <c r="F22" s="6">
        <v>433.21232149999997</v>
      </c>
      <c r="G22" s="7">
        <v>2.0184814999999998E-2</v>
      </c>
      <c r="H22" s="106"/>
    </row>
    <row r="23" spans="1:8" ht="17.100000000000001" customHeight="1" x14ac:dyDescent="0.2">
      <c r="A23" s="3">
        <v>17</v>
      </c>
      <c r="B23" s="4" t="s">
        <v>384</v>
      </c>
      <c r="C23" s="4" t="s">
        <v>385</v>
      </c>
      <c r="D23" s="4" t="s">
        <v>288</v>
      </c>
      <c r="E23" s="5">
        <v>35713</v>
      </c>
      <c r="F23" s="6">
        <v>412.30658499999998</v>
      </c>
      <c r="G23" s="7">
        <v>1.9210747E-2</v>
      </c>
      <c r="H23" s="106"/>
    </row>
    <row r="24" spans="1:8" ht="17.100000000000001" customHeight="1" x14ac:dyDescent="0.2">
      <c r="A24" s="3">
        <v>18</v>
      </c>
      <c r="B24" s="4" t="s">
        <v>279</v>
      </c>
      <c r="C24" s="4" t="s">
        <v>280</v>
      </c>
      <c r="D24" s="4" t="s">
        <v>22</v>
      </c>
      <c r="E24" s="5">
        <v>176499</v>
      </c>
      <c r="F24" s="6">
        <v>377.44311149999999</v>
      </c>
      <c r="G24" s="7">
        <v>1.7586339999999999E-2</v>
      </c>
      <c r="H24" s="106"/>
    </row>
    <row r="25" spans="1:8" ht="17.100000000000001" customHeight="1" x14ac:dyDescent="0.2">
      <c r="A25" s="3">
        <v>19</v>
      </c>
      <c r="B25" s="4" t="s">
        <v>213</v>
      </c>
      <c r="C25" s="4" t="s">
        <v>214</v>
      </c>
      <c r="D25" s="4" t="s">
        <v>1114</v>
      </c>
      <c r="E25" s="5">
        <v>10158</v>
      </c>
      <c r="F25" s="6">
        <v>375.140019</v>
      </c>
      <c r="G25" s="7">
        <v>1.7479031999999999E-2</v>
      </c>
      <c r="H25" s="106"/>
    </row>
    <row r="26" spans="1:8" ht="17.100000000000001" customHeight="1" x14ac:dyDescent="0.2">
      <c r="A26" s="3">
        <v>20</v>
      </c>
      <c r="B26" s="4" t="s">
        <v>416</v>
      </c>
      <c r="C26" s="4" t="s">
        <v>417</v>
      </c>
      <c r="D26" s="4" t="s">
        <v>212</v>
      </c>
      <c r="E26" s="5">
        <v>124748</v>
      </c>
      <c r="F26" s="6">
        <v>359.58611000000002</v>
      </c>
      <c r="G26" s="7">
        <v>1.6754323000000002E-2</v>
      </c>
      <c r="H26" s="106"/>
    </row>
    <row r="27" spans="1:8" ht="17.100000000000001" customHeight="1" x14ac:dyDescent="0.2">
      <c r="A27" s="3">
        <v>21</v>
      </c>
      <c r="B27" s="4" t="s">
        <v>392</v>
      </c>
      <c r="C27" s="4" t="s">
        <v>393</v>
      </c>
      <c r="D27" s="4" t="s">
        <v>230</v>
      </c>
      <c r="E27" s="5">
        <v>45868</v>
      </c>
      <c r="F27" s="6">
        <v>343.00090399999999</v>
      </c>
      <c r="G27" s="7">
        <v>1.5981562000000001E-2</v>
      </c>
      <c r="H27" s="106"/>
    </row>
    <row r="28" spans="1:8" ht="17.100000000000001" customHeight="1" x14ac:dyDescent="0.2">
      <c r="A28" s="3">
        <v>22</v>
      </c>
      <c r="B28" s="4" t="s">
        <v>441</v>
      </c>
      <c r="C28" s="4" t="s">
        <v>442</v>
      </c>
      <c r="D28" s="4" t="s">
        <v>324</v>
      </c>
      <c r="E28" s="5">
        <v>22068</v>
      </c>
      <c r="F28" s="6">
        <v>339.041718</v>
      </c>
      <c r="G28" s="7">
        <v>1.5797090999999999E-2</v>
      </c>
      <c r="H28" s="106"/>
    </row>
    <row r="29" spans="1:8" ht="17.100000000000001" customHeight="1" x14ac:dyDescent="0.2">
      <c r="A29" s="3">
        <v>23</v>
      </c>
      <c r="B29" s="4" t="s">
        <v>388</v>
      </c>
      <c r="C29" s="4" t="s">
        <v>389</v>
      </c>
      <c r="D29" s="4" t="s">
        <v>99</v>
      </c>
      <c r="E29" s="5">
        <v>63371</v>
      </c>
      <c r="F29" s="6">
        <v>332.28583850000001</v>
      </c>
      <c r="G29" s="7">
        <v>1.5482312E-2</v>
      </c>
      <c r="H29" s="106"/>
    </row>
    <row r="30" spans="1:8" ht="29.1" customHeight="1" x14ac:dyDescent="0.2">
      <c r="A30" s="3">
        <v>24</v>
      </c>
      <c r="B30" s="4" t="s">
        <v>202</v>
      </c>
      <c r="C30" s="4" t="s">
        <v>203</v>
      </c>
      <c r="D30" s="4" t="s">
        <v>204</v>
      </c>
      <c r="E30" s="5">
        <v>71099</v>
      </c>
      <c r="F30" s="6">
        <v>323.18050449999998</v>
      </c>
      <c r="G30" s="7">
        <v>1.5058063999999999E-2</v>
      </c>
      <c r="H30" s="106"/>
    </row>
    <row r="31" spans="1:8" ht="29.1" customHeight="1" x14ac:dyDescent="0.2">
      <c r="A31" s="3">
        <v>25</v>
      </c>
      <c r="B31" s="4" t="s">
        <v>63</v>
      </c>
      <c r="C31" s="4" t="s">
        <v>64</v>
      </c>
      <c r="D31" s="4" t="s">
        <v>25</v>
      </c>
      <c r="E31" s="5">
        <v>10728</v>
      </c>
      <c r="F31" s="6">
        <v>291.01309199999997</v>
      </c>
      <c r="G31" s="7">
        <v>1.3559276E-2</v>
      </c>
      <c r="H31" s="106"/>
    </row>
    <row r="32" spans="1:8" ht="29.1" customHeight="1" x14ac:dyDescent="0.2">
      <c r="A32" s="3">
        <v>26</v>
      </c>
      <c r="B32" s="4" t="s">
        <v>445</v>
      </c>
      <c r="C32" s="4" t="s">
        <v>446</v>
      </c>
      <c r="D32" s="4" t="s">
        <v>51</v>
      </c>
      <c r="E32" s="5">
        <v>11405</v>
      </c>
      <c r="F32" s="6">
        <v>282.47904</v>
      </c>
      <c r="G32" s="7">
        <v>1.3161646000000001E-2</v>
      </c>
      <c r="H32" s="106"/>
    </row>
    <row r="33" spans="1:8" ht="29.1" customHeight="1" x14ac:dyDescent="0.2">
      <c r="A33" s="3">
        <v>27</v>
      </c>
      <c r="B33" s="4" t="s">
        <v>390</v>
      </c>
      <c r="C33" s="4" t="s">
        <v>391</v>
      </c>
      <c r="D33" s="4" t="s">
        <v>67</v>
      </c>
      <c r="E33" s="5">
        <v>16998</v>
      </c>
      <c r="F33" s="6">
        <v>272.78390400000001</v>
      </c>
      <c r="G33" s="7">
        <v>1.2709916999999999E-2</v>
      </c>
      <c r="H33" s="106"/>
    </row>
    <row r="34" spans="1:8" ht="17.100000000000001" customHeight="1" x14ac:dyDescent="0.2">
      <c r="A34" s="3">
        <v>28</v>
      </c>
      <c r="B34" s="4" t="s">
        <v>231</v>
      </c>
      <c r="C34" s="4" t="s">
        <v>232</v>
      </c>
      <c r="D34" s="4" t="s">
        <v>89</v>
      </c>
      <c r="E34" s="5">
        <v>5394</v>
      </c>
      <c r="F34" s="6">
        <v>258.61263300000002</v>
      </c>
      <c r="G34" s="7">
        <v>1.204963E-2</v>
      </c>
      <c r="H34" s="106"/>
    </row>
    <row r="35" spans="1:8" ht="17.100000000000001" customHeight="1" x14ac:dyDescent="0.2">
      <c r="A35" s="3">
        <v>29</v>
      </c>
      <c r="B35" s="4" t="s">
        <v>449</v>
      </c>
      <c r="C35" s="4" t="s">
        <v>450</v>
      </c>
      <c r="D35" s="4" t="s">
        <v>99</v>
      </c>
      <c r="E35" s="5">
        <v>320700</v>
      </c>
      <c r="F35" s="6">
        <v>248.38215</v>
      </c>
      <c r="G35" s="7">
        <v>1.1572957E-2</v>
      </c>
      <c r="H35" s="106"/>
    </row>
    <row r="36" spans="1:8" ht="29.1" customHeight="1" x14ac:dyDescent="0.2">
      <c r="A36" s="3">
        <v>30</v>
      </c>
      <c r="B36" s="4" t="s">
        <v>410</v>
      </c>
      <c r="C36" s="4" t="s">
        <v>411</v>
      </c>
      <c r="D36" s="4" t="s">
        <v>204</v>
      </c>
      <c r="E36" s="5">
        <v>69018</v>
      </c>
      <c r="F36" s="6">
        <v>244.32372000000001</v>
      </c>
      <c r="G36" s="7">
        <v>1.1383861E-2</v>
      </c>
      <c r="H36" s="106"/>
    </row>
    <row r="37" spans="1:8" ht="17.100000000000001" customHeight="1" x14ac:dyDescent="0.2">
      <c r="A37" s="3">
        <v>31</v>
      </c>
      <c r="B37" s="4" t="s">
        <v>394</v>
      </c>
      <c r="C37" s="4" t="s">
        <v>395</v>
      </c>
      <c r="D37" s="4" t="s">
        <v>99</v>
      </c>
      <c r="E37" s="5">
        <v>32571</v>
      </c>
      <c r="F37" s="6">
        <v>236.5468875</v>
      </c>
      <c r="G37" s="7">
        <v>1.1021513E-2</v>
      </c>
      <c r="H37" s="106"/>
    </row>
    <row r="38" spans="1:8" ht="17.100000000000001" customHeight="1" x14ac:dyDescent="0.2">
      <c r="A38" s="3">
        <v>32</v>
      </c>
      <c r="B38" s="4" t="s">
        <v>42</v>
      </c>
      <c r="C38" s="4" t="s">
        <v>43</v>
      </c>
      <c r="D38" s="4" t="s">
        <v>16</v>
      </c>
      <c r="E38" s="5">
        <v>41060</v>
      </c>
      <c r="F38" s="6">
        <v>235.60228000000001</v>
      </c>
      <c r="G38" s="7">
        <v>1.0977499999999999E-2</v>
      </c>
      <c r="H38" s="106"/>
    </row>
    <row r="39" spans="1:8" ht="29.1" customHeight="1" x14ac:dyDescent="0.2">
      <c r="A39" s="3">
        <v>33</v>
      </c>
      <c r="B39" s="4" t="s">
        <v>317</v>
      </c>
      <c r="C39" s="4" t="s">
        <v>318</v>
      </c>
      <c r="D39" s="4" t="s">
        <v>319</v>
      </c>
      <c r="E39" s="5">
        <v>42321</v>
      </c>
      <c r="F39" s="6">
        <v>233.95048800000001</v>
      </c>
      <c r="G39" s="7">
        <v>1.0900538E-2</v>
      </c>
      <c r="H39" s="106"/>
    </row>
    <row r="40" spans="1:8" ht="29.1" customHeight="1" x14ac:dyDescent="0.2">
      <c r="A40" s="3">
        <v>34</v>
      </c>
      <c r="B40" s="4" t="s">
        <v>463</v>
      </c>
      <c r="C40" s="4" t="s">
        <v>464</v>
      </c>
      <c r="D40" s="4" t="s">
        <v>366</v>
      </c>
      <c r="E40" s="5">
        <v>37465</v>
      </c>
      <c r="F40" s="6">
        <v>232.05821</v>
      </c>
      <c r="G40" s="7">
        <v>1.081237E-2</v>
      </c>
      <c r="H40" s="106"/>
    </row>
    <row r="41" spans="1:8" ht="53.1" customHeight="1" x14ac:dyDescent="0.2">
      <c r="A41" s="3">
        <v>35</v>
      </c>
      <c r="B41" s="4" t="s">
        <v>333</v>
      </c>
      <c r="C41" s="4" t="s">
        <v>334</v>
      </c>
      <c r="D41" s="4" t="s">
        <v>48</v>
      </c>
      <c r="E41" s="5">
        <v>74468</v>
      </c>
      <c r="F41" s="6">
        <v>229.77101400000001</v>
      </c>
      <c r="G41" s="7">
        <v>1.0705802E-2</v>
      </c>
      <c r="H41" s="106"/>
    </row>
    <row r="42" spans="1:8" ht="17.100000000000001" customHeight="1" x14ac:dyDescent="0.2">
      <c r="A42" s="3">
        <v>36</v>
      </c>
      <c r="B42" s="4" t="s">
        <v>396</v>
      </c>
      <c r="C42" s="4" t="s">
        <v>397</v>
      </c>
      <c r="D42" s="4" t="s">
        <v>288</v>
      </c>
      <c r="E42" s="5">
        <v>29851</v>
      </c>
      <c r="F42" s="6">
        <v>223.673543</v>
      </c>
      <c r="G42" s="7">
        <v>1.0421700000000001E-2</v>
      </c>
      <c r="H42" s="106"/>
    </row>
    <row r="43" spans="1:8" ht="29.1" customHeight="1" x14ac:dyDescent="0.2">
      <c r="A43" s="3">
        <v>37</v>
      </c>
      <c r="B43" s="4" t="s">
        <v>291</v>
      </c>
      <c r="C43" s="4" t="s">
        <v>292</v>
      </c>
      <c r="D43" s="4" t="s">
        <v>188</v>
      </c>
      <c r="E43" s="5">
        <v>28959</v>
      </c>
      <c r="F43" s="6">
        <v>220.07392050000001</v>
      </c>
      <c r="G43" s="7">
        <v>1.0253982E-2</v>
      </c>
      <c r="H43" s="106"/>
    </row>
    <row r="44" spans="1:8" ht="29.1" customHeight="1" x14ac:dyDescent="0.2">
      <c r="A44" s="3">
        <v>38</v>
      </c>
      <c r="B44" s="4" t="s">
        <v>451</v>
      </c>
      <c r="C44" s="4" t="s">
        <v>452</v>
      </c>
      <c r="D44" s="4" t="s">
        <v>453</v>
      </c>
      <c r="E44" s="5">
        <v>157132</v>
      </c>
      <c r="F44" s="6">
        <v>219.35627199999999</v>
      </c>
      <c r="G44" s="7">
        <v>1.0220544E-2</v>
      </c>
      <c r="H44" s="106"/>
    </row>
    <row r="45" spans="1:8" ht="17.100000000000001" customHeight="1" x14ac:dyDescent="0.2">
      <c r="A45" s="3">
        <v>39</v>
      </c>
      <c r="B45" s="4" t="s">
        <v>398</v>
      </c>
      <c r="C45" s="4" t="s">
        <v>399</v>
      </c>
      <c r="D45" s="4" t="s">
        <v>110</v>
      </c>
      <c r="E45" s="5">
        <v>34209</v>
      </c>
      <c r="F45" s="6">
        <v>218.869182</v>
      </c>
      <c r="G45" s="7">
        <v>1.0197849E-2</v>
      </c>
      <c r="H45" s="106"/>
    </row>
    <row r="46" spans="1:8" ht="17.100000000000001" customHeight="1" x14ac:dyDescent="0.2">
      <c r="A46" s="3">
        <v>40</v>
      </c>
      <c r="B46" s="4" t="s">
        <v>465</v>
      </c>
      <c r="C46" s="4" t="s">
        <v>466</v>
      </c>
      <c r="D46" s="4" t="s">
        <v>36</v>
      </c>
      <c r="E46" s="5">
        <v>84116</v>
      </c>
      <c r="F46" s="6">
        <v>218.70160000000001</v>
      </c>
      <c r="G46" s="7">
        <v>1.0190041E-2</v>
      </c>
      <c r="H46" s="106"/>
    </row>
    <row r="47" spans="1:8" ht="29.1" customHeight="1" x14ac:dyDescent="0.2">
      <c r="A47" s="3">
        <v>41</v>
      </c>
      <c r="B47" s="4" t="s">
        <v>420</v>
      </c>
      <c r="C47" s="4" t="s">
        <v>421</v>
      </c>
      <c r="D47" s="4" t="s">
        <v>366</v>
      </c>
      <c r="E47" s="5">
        <v>43436</v>
      </c>
      <c r="F47" s="6">
        <v>217.549206</v>
      </c>
      <c r="G47" s="7">
        <v>1.0136347E-2</v>
      </c>
      <c r="H47" s="106"/>
    </row>
    <row r="48" spans="1:8" ht="17.100000000000001" customHeight="1" x14ac:dyDescent="0.2">
      <c r="A48" s="3">
        <v>42</v>
      </c>
      <c r="B48" s="4" t="s">
        <v>400</v>
      </c>
      <c r="C48" s="4" t="s">
        <v>401</v>
      </c>
      <c r="D48" s="4" t="s">
        <v>31</v>
      </c>
      <c r="E48" s="5">
        <v>25628</v>
      </c>
      <c r="F48" s="6">
        <v>216.774438</v>
      </c>
      <c r="G48" s="7">
        <v>1.0100247999999999E-2</v>
      </c>
      <c r="H48" s="106"/>
    </row>
    <row r="49" spans="1:8" ht="17.100000000000001" customHeight="1" x14ac:dyDescent="0.2">
      <c r="A49" s="3">
        <v>43</v>
      </c>
      <c r="B49" s="4" t="s">
        <v>414</v>
      </c>
      <c r="C49" s="4" t="s">
        <v>415</v>
      </c>
      <c r="D49" s="4" t="s">
        <v>110</v>
      </c>
      <c r="E49" s="5">
        <v>17492</v>
      </c>
      <c r="F49" s="6">
        <v>216.22735800000001</v>
      </c>
      <c r="G49" s="7">
        <v>1.0074758E-2</v>
      </c>
      <c r="H49" s="106"/>
    </row>
    <row r="50" spans="1:8" ht="29.1" customHeight="1" x14ac:dyDescent="0.2">
      <c r="A50" s="3">
        <v>44</v>
      </c>
      <c r="B50" s="4" t="s">
        <v>443</v>
      </c>
      <c r="C50" s="4" t="s">
        <v>444</v>
      </c>
      <c r="D50" s="4" t="s">
        <v>204</v>
      </c>
      <c r="E50" s="5">
        <v>10472</v>
      </c>
      <c r="F50" s="6">
        <v>206.66492</v>
      </c>
      <c r="G50" s="7">
        <v>9.6292119999999998E-3</v>
      </c>
      <c r="H50" s="106"/>
    </row>
    <row r="51" spans="1:8" ht="17.100000000000001" customHeight="1" x14ac:dyDescent="0.2">
      <c r="A51" s="3">
        <v>45</v>
      </c>
      <c r="B51" s="4" t="s">
        <v>246</v>
      </c>
      <c r="C51" s="4" t="s">
        <v>247</v>
      </c>
      <c r="D51" s="4" t="s">
        <v>99</v>
      </c>
      <c r="E51" s="5">
        <v>32539</v>
      </c>
      <c r="F51" s="6">
        <v>204.42626749999999</v>
      </c>
      <c r="G51" s="7">
        <v>9.5249050000000002E-3</v>
      </c>
      <c r="H51" s="106"/>
    </row>
    <row r="52" spans="1:8" ht="17.100000000000001" customHeight="1" x14ac:dyDescent="0.2">
      <c r="A52" s="3">
        <v>46</v>
      </c>
      <c r="B52" s="4" t="s">
        <v>94</v>
      </c>
      <c r="C52" s="4" t="s">
        <v>95</v>
      </c>
      <c r="D52" s="4" t="s">
        <v>96</v>
      </c>
      <c r="E52" s="5">
        <v>40384</v>
      </c>
      <c r="F52" s="6">
        <v>201.73827199999999</v>
      </c>
      <c r="G52" s="7">
        <v>9.3996630000000008E-3</v>
      </c>
      <c r="H52" s="106"/>
    </row>
    <row r="53" spans="1:8" ht="17.100000000000001" customHeight="1" x14ac:dyDescent="0.2">
      <c r="A53" s="3">
        <v>47</v>
      </c>
      <c r="B53" s="4" t="s">
        <v>44</v>
      </c>
      <c r="C53" s="4" t="s">
        <v>45</v>
      </c>
      <c r="D53" s="4" t="s">
        <v>31</v>
      </c>
      <c r="E53" s="5">
        <v>5790</v>
      </c>
      <c r="F53" s="6">
        <v>194.48609999999999</v>
      </c>
      <c r="G53" s="7">
        <v>9.0617600000000003E-3</v>
      </c>
      <c r="H53" s="106"/>
    </row>
    <row r="54" spans="1:8" ht="17.100000000000001" customHeight="1" x14ac:dyDescent="0.2">
      <c r="A54" s="3">
        <v>48</v>
      </c>
      <c r="B54" s="4" t="s">
        <v>418</v>
      </c>
      <c r="C54" s="4" t="s">
        <v>419</v>
      </c>
      <c r="D54" s="4" t="s">
        <v>13</v>
      </c>
      <c r="E54" s="5">
        <v>39951</v>
      </c>
      <c r="F54" s="6">
        <v>189.90707850000001</v>
      </c>
      <c r="G54" s="7">
        <v>8.8484080000000003E-3</v>
      </c>
      <c r="H54" s="106"/>
    </row>
    <row r="55" spans="1:8" ht="17.100000000000001" customHeight="1" x14ac:dyDescent="0.2">
      <c r="A55" s="3">
        <v>49</v>
      </c>
      <c r="B55" s="4" t="s">
        <v>406</v>
      </c>
      <c r="C55" s="4" t="s">
        <v>407</v>
      </c>
      <c r="D55" s="4" t="s">
        <v>99</v>
      </c>
      <c r="E55" s="5">
        <v>19196</v>
      </c>
      <c r="F55" s="6">
        <v>187.19939199999999</v>
      </c>
      <c r="G55" s="7">
        <v>8.7222470000000007E-3</v>
      </c>
      <c r="H55" s="106"/>
    </row>
    <row r="56" spans="1:8" ht="17.100000000000001" customHeight="1" x14ac:dyDescent="0.2">
      <c r="A56" s="3">
        <v>50</v>
      </c>
      <c r="B56" s="4" t="s">
        <v>468</v>
      </c>
      <c r="C56" s="4" t="s">
        <v>469</v>
      </c>
      <c r="D56" s="4" t="s">
        <v>41</v>
      </c>
      <c r="E56" s="5">
        <v>26074</v>
      </c>
      <c r="F56" s="6">
        <v>186.35087799999999</v>
      </c>
      <c r="G56" s="7">
        <v>8.6827120000000004E-3</v>
      </c>
      <c r="H56" s="106"/>
    </row>
    <row r="57" spans="1:8" ht="29.1" customHeight="1" x14ac:dyDescent="0.2">
      <c r="A57" s="3">
        <v>51</v>
      </c>
      <c r="B57" s="4" t="s">
        <v>402</v>
      </c>
      <c r="C57" s="4" t="s">
        <v>403</v>
      </c>
      <c r="D57" s="4" t="s">
        <v>319</v>
      </c>
      <c r="E57" s="5">
        <v>43898</v>
      </c>
      <c r="F57" s="6">
        <v>183.73507900000001</v>
      </c>
      <c r="G57" s="7">
        <v>8.5608339999999998E-3</v>
      </c>
      <c r="H57" s="106"/>
    </row>
    <row r="58" spans="1:8" ht="17.100000000000001" customHeight="1" x14ac:dyDescent="0.2">
      <c r="A58" s="3">
        <v>52</v>
      </c>
      <c r="B58" s="4" t="s">
        <v>404</v>
      </c>
      <c r="C58" s="4" t="s">
        <v>405</v>
      </c>
      <c r="D58" s="4" t="s">
        <v>13</v>
      </c>
      <c r="E58" s="5">
        <v>235040</v>
      </c>
      <c r="F58" s="6">
        <v>173.92959999999999</v>
      </c>
      <c r="G58" s="7">
        <v>8.1039630000000005E-3</v>
      </c>
      <c r="H58" s="106"/>
    </row>
    <row r="59" spans="1:8" ht="17.100000000000001" customHeight="1" x14ac:dyDescent="0.2">
      <c r="A59" s="3">
        <v>53</v>
      </c>
      <c r="B59" s="4" t="s">
        <v>447</v>
      </c>
      <c r="C59" s="4" t="s">
        <v>448</v>
      </c>
      <c r="D59" s="4" t="s">
        <v>268</v>
      </c>
      <c r="E59" s="5">
        <v>55539</v>
      </c>
      <c r="F59" s="6">
        <v>167.36677649999999</v>
      </c>
      <c r="G59" s="7">
        <v>7.7981789999999997E-3</v>
      </c>
      <c r="H59" s="106"/>
    </row>
    <row r="60" spans="1:8" ht="17.100000000000001" customHeight="1" x14ac:dyDescent="0.2">
      <c r="A60" s="3">
        <v>54</v>
      </c>
      <c r="B60" s="4" t="s">
        <v>412</v>
      </c>
      <c r="C60" s="4" t="s">
        <v>413</v>
      </c>
      <c r="D60" s="4" t="s">
        <v>193</v>
      </c>
      <c r="E60" s="5">
        <v>19644</v>
      </c>
      <c r="F60" s="6">
        <v>160.913826</v>
      </c>
      <c r="G60" s="7">
        <v>7.4975149999999997E-3</v>
      </c>
      <c r="H60" s="106"/>
    </row>
    <row r="61" spans="1:8" ht="17.100000000000001" customHeight="1" x14ac:dyDescent="0.2">
      <c r="A61" s="3">
        <v>55</v>
      </c>
      <c r="B61" s="4" t="s">
        <v>432</v>
      </c>
      <c r="C61" s="4" t="s">
        <v>433</v>
      </c>
      <c r="D61" s="4" t="s">
        <v>89</v>
      </c>
      <c r="E61" s="5">
        <v>21910</v>
      </c>
      <c r="F61" s="6">
        <v>148.04587000000001</v>
      </c>
      <c r="G61" s="7">
        <v>6.8979540000000004E-3</v>
      </c>
      <c r="H61" s="106"/>
    </row>
    <row r="62" spans="1:8" ht="29.1" customHeight="1" x14ac:dyDescent="0.2">
      <c r="A62" s="3">
        <v>56</v>
      </c>
      <c r="B62" s="4" t="s">
        <v>424</v>
      </c>
      <c r="C62" s="4" t="s">
        <v>425</v>
      </c>
      <c r="D62" s="4" t="s">
        <v>110</v>
      </c>
      <c r="E62" s="5">
        <v>10609</v>
      </c>
      <c r="F62" s="6">
        <v>125.8068265</v>
      </c>
      <c r="G62" s="7">
        <v>5.8617620000000004E-3</v>
      </c>
      <c r="H62" s="106"/>
    </row>
    <row r="63" spans="1:8" ht="17.100000000000001" customHeight="1" x14ac:dyDescent="0.2">
      <c r="A63" s="3">
        <v>57</v>
      </c>
      <c r="B63" s="4" t="s">
        <v>436</v>
      </c>
      <c r="C63" s="4" t="s">
        <v>437</v>
      </c>
      <c r="D63" s="4" t="s">
        <v>16</v>
      </c>
      <c r="E63" s="5">
        <v>52998</v>
      </c>
      <c r="F63" s="6">
        <v>120.437955</v>
      </c>
      <c r="G63" s="7">
        <v>5.6116079999999997E-3</v>
      </c>
      <c r="H63" s="106"/>
    </row>
    <row r="64" spans="1:8" ht="17.100000000000001" customHeight="1" x14ac:dyDescent="0.2">
      <c r="A64" s="3">
        <v>58</v>
      </c>
      <c r="B64" s="4" t="s">
        <v>422</v>
      </c>
      <c r="C64" s="4" t="s">
        <v>423</v>
      </c>
      <c r="D64" s="4" t="s">
        <v>237</v>
      </c>
      <c r="E64" s="5">
        <v>14169</v>
      </c>
      <c r="F64" s="6">
        <v>104.19174150000001</v>
      </c>
      <c r="G64" s="7">
        <v>4.8546429999999996E-3</v>
      </c>
      <c r="H64" s="106"/>
    </row>
    <row r="65" spans="1:8" ht="17.100000000000001" customHeight="1" x14ac:dyDescent="0.2">
      <c r="A65" s="3">
        <v>59</v>
      </c>
      <c r="B65" s="4" t="s">
        <v>426</v>
      </c>
      <c r="C65" s="4" t="s">
        <v>427</v>
      </c>
      <c r="D65" s="4" t="s">
        <v>31</v>
      </c>
      <c r="E65" s="5">
        <v>11481</v>
      </c>
      <c r="F65" s="6">
        <v>91.101735000000005</v>
      </c>
      <c r="G65" s="7">
        <v>4.2447350000000003E-3</v>
      </c>
      <c r="H65" s="106"/>
    </row>
    <row r="66" spans="1:8" ht="29.1" customHeight="1" x14ac:dyDescent="0.2">
      <c r="A66" s="3">
        <v>60</v>
      </c>
      <c r="B66" s="4" t="s">
        <v>428</v>
      </c>
      <c r="C66" s="4" t="s">
        <v>429</v>
      </c>
      <c r="D66" s="4" t="s">
        <v>204</v>
      </c>
      <c r="E66" s="5">
        <v>2097</v>
      </c>
      <c r="F66" s="6">
        <v>84.568864500000004</v>
      </c>
      <c r="G66" s="7">
        <v>3.9403470000000003E-3</v>
      </c>
      <c r="H66" s="106"/>
    </row>
    <row r="67" spans="1:8" ht="17.100000000000001" customHeight="1" x14ac:dyDescent="0.2">
      <c r="A67" s="3">
        <v>61</v>
      </c>
      <c r="B67" s="4" t="s">
        <v>337</v>
      </c>
      <c r="C67" s="4" t="s">
        <v>338</v>
      </c>
      <c r="D67" s="4" t="s">
        <v>96</v>
      </c>
      <c r="E67" s="5">
        <v>110125</v>
      </c>
      <c r="F67" s="6">
        <v>82.043125000000003</v>
      </c>
      <c r="G67" s="7">
        <v>3.8226639999999999E-3</v>
      </c>
      <c r="H67" s="106"/>
    </row>
    <row r="68" spans="1:8" ht="17.100000000000001" customHeight="1" x14ac:dyDescent="0.2">
      <c r="A68" s="3">
        <v>62</v>
      </c>
      <c r="B68" s="4" t="s">
        <v>454</v>
      </c>
      <c r="C68" s="4" t="s">
        <v>455</v>
      </c>
      <c r="D68" s="4" t="s">
        <v>110</v>
      </c>
      <c r="E68" s="5">
        <v>28500</v>
      </c>
      <c r="F68" s="6">
        <v>80.825999999999993</v>
      </c>
      <c r="G68" s="7">
        <v>3.7659540000000002E-3</v>
      </c>
      <c r="H68" s="106"/>
    </row>
    <row r="69" spans="1:8" ht="29.1" customHeight="1" x14ac:dyDescent="0.2">
      <c r="A69" s="3">
        <v>63</v>
      </c>
      <c r="B69" s="4" t="s">
        <v>430</v>
      </c>
      <c r="C69" s="4" t="s">
        <v>431</v>
      </c>
      <c r="D69" s="4" t="s">
        <v>204</v>
      </c>
      <c r="E69" s="5">
        <v>34046</v>
      </c>
      <c r="F69" s="6">
        <v>76.995029000000002</v>
      </c>
      <c r="G69" s="7">
        <v>3.5874570000000001E-3</v>
      </c>
      <c r="H69" s="106"/>
    </row>
    <row r="70" spans="1:8" ht="29.1" customHeight="1" x14ac:dyDescent="0.2">
      <c r="A70" s="3">
        <v>64</v>
      </c>
      <c r="B70" s="4" t="s">
        <v>329</v>
      </c>
      <c r="C70" s="4" t="s">
        <v>330</v>
      </c>
      <c r="D70" s="4" t="s">
        <v>188</v>
      </c>
      <c r="E70" s="5">
        <v>16020</v>
      </c>
      <c r="F70" s="6">
        <v>60.107039999999998</v>
      </c>
      <c r="G70" s="7">
        <v>2.800589E-3</v>
      </c>
      <c r="H70" s="106"/>
    </row>
    <row r="71" spans="1:8" ht="29.1" customHeight="1" x14ac:dyDescent="0.2">
      <c r="A71" s="3">
        <v>65</v>
      </c>
      <c r="B71" s="4" t="s">
        <v>456</v>
      </c>
      <c r="C71" s="4" t="s">
        <v>457</v>
      </c>
      <c r="D71" s="4" t="s">
        <v>188</v>
      </c>
      <c r="E71" s="5">
        <v>6324</v>
      </c>
      <c r="F71" s="6">
        <v>42.329694000000003</v>
      </c>
      <c r="G71" s="7">
        <v>1.9722820000000001E-3</v>
      </c>
      <c r="H71" s="106"/>
    </row>
    <row r="72" spans="1:8" ht="29.1" customHeight="1" x14ac:dyDescent="0.2">
      <c r="A72" s="3">
        <v>66</v>
      </c>
      <c r="B72" s="4" t="s">
        <v>434</v>
      </c>
      <c r="C72" s="4" t="s">
        <v>435</v>
      </c>
      <c r="D72" s="4" t="s">
        <v>62</v>
      </c>
      <c r="E72" s="5">
        <v>9497</v>
      </c>
      <c r="F72" s="6">
        <v>39.759190500000003</v>
      </c>
      <c r="G72" s="7">
        <v>1.852514E-3</v>
      </c>
      <c r="H72" s="106"/>
    </row>
    <row r="73" spans="1:8" ht="14.1" customHeight="1" x14ac:dyDescent="0.2">
      <c r="A73" s="1"/>
      <c r="B73" s="1"/>
      <c r="C73" s="2" t="s">
        <v>130</v>
      </c>
      <c r="D73" s="1"/>
      <c r="E73" s="1" t="s">
        <v>131</v>
      </c>
      <c r="F73" s="9">
        <v>18982.648213</v>
      </c>
      <c r="G73" s="10">
        <v>0.88446524100000001</v>
      </c>
      <c r="H73" s="106"/>
    </row>
    <row r="74" spans="1:8" ht="14.1" customHeight="1" x14ac:dyDescent="0.2">
      <c r="A74" s="1"/>
      <c r="B74" s="1"/>
      <c r="C74" s="11"/>
      <c r="D74" s="1"/>
      <c r="E74" s="1"/>
      <c r="F74" s="12"/>
      <c r="G74" s="12"/>
      <c r="H74" s="106"/>
    </row>
    <row r="75" spans="1:8" ht="14.1" customHeight="1" x14ac:dyDescent="0.2">
      <c r="A75" s="1"/>
      <c r="B75" s="1"/>
      <c r="C75" s="2" t="s">
        <v>132</v>
      </c>
      <c r="D75" s="1"/>
      <c r="E75" s="1"/>
      <c r="F75" s="1"/>
      <c r="G75" s="1"/>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4.1" customHeight="1" x14ac:dyDescent="0.2">
      <c r="A78" s="1"/>
      <c r="B78" s="1"/>
      <c r="C78" s="2" t="s">
        <v>133</v>
      </c>
      <c r="D78" s="1"/>
      <c r="E78" s="1"/>
      <c r="F78" s="1"/>
      <c r="G78" s="1"/>
      <c r="H78" s="106"/>
    </row>
    <row r="79" spans="1:8" ht="14.1" customHeight="1" x14ac:dyDescent="0.2">
      <c r="A79" s="1"/>
      <c r="B79" s="1"/>
      <c r="C79" s="2" t="s">
        <v>130</v>
      </c>
      <c r="D79" s="1"/>
      <c r="E79" s="1" t="s">
        <v>131</v>
      </c>
      <c r="F79" s="13">
        <v>0</v>
      </c>
      <c r="G79" s="14">
        <v>0</v>
      </c>
      <c r="H79" s="106"/>
    </row>
    <row r="80" spans="1:8" ht="14.1" customHeight="1" x14ac:dyDescent="0.2">
      <c r="A80" s="1"/>
      <c r="B80" s="1"/>
      <c r="C80" s="11"/>
      <c r="D80" s="1"/>
      <c r="E80" s="1"/>
      <c r="F80" s="12"/>
      <c r="G80" s="12"/>
      <c r="H80" s="106"/>
    </row>
    <row r="81" spans="1:8" ht="14.1" customHeight="1" x14ac:dyDescent="0.2">
      <c r="A81" s="1"/>
      <c r="B81" s="1"/>
      <c r="C81" s="2" t="s">
        <v>134</v>
      </c>
      <c r="D81" s="1"/>
      <c r="E81" s="1"/>
      <c r="F81" s="1"/>
      <c r="G81" s="1"/>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135</v>
      </c>
      <c r="D84" s="1"/>
      <c r="E84" s="1"/>
      <c r="F84" s="12"/>
      <c r="G84" s="12"/>
      <c r="H84" s="106"/>
    </row>
    <row r="85" spans="1:8" ht="14.1" customHeight="1" x14ac:dyDescent="0.2">
      <c r="A85" s="1"/>
      <c r="B85" s="1"/>
      <c r="C85" s="2" t="s">
        <v>130</v>
      </c>
      <c r="D85" s="1"/>
      <c r="E85" s="1" t="s">
        <v>131</v>
      </c>
      <c r="F85" s="13">
        <v>0</v>
      </c>
      <c r="G85" s="14">
        <v>0</v>
      </c>
      <c r="H85" s="106"/>
    </row>
    <row r="86" spans="1:8" ht="14.1" customHeight="1" x14ac:dyDescent="0.2">
      <c r="A86" s="1"/>
      <c r="B86" s="1"/>
      <c r="C86" s="11"/>
      <c r="D86" s="1"/>
      <c r="E86" s="1"/>
      <c r="F86" s="12"/>
      <c r="G86" s="12"/>
      <c r="H86" s="106"/>
    </row>
    <row r="87" spans="1:8" ht="14.1" customHeight="1" x14ac:dyDescent="0.2">
      <c r="A87" s="1"/>
      <c r="B87" s="1"/>
      <c r="C87" s="2" t="s">
        <v>136</v>
      </c>
      <c r="D87" s="1"/>
      <c r="E87" s="1"/>
      <c r="F87" s="12"/>
      <c r="G87" s="12"/>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8" customHeight="1" x14ac:dyDescent="0.2">
      <c r="A90" s="1"/>
      <c r="B90" s="1"/>
      <c r="C90" s="2" t="s">
        <v>137</v>
      </c>
      <c r="D90" s="1"/>
      <c r="E90" s="1"/>
      <c r="F90" s="9">
        <v>18982.648213</v>
      </c>
      <c r="G90" s="10">
        <v>0.88446524100000001</v>
      </c>
      <c r="H90" s="106"/>
    </row>
    <row r="91" spans="1:8" ht="14.1" customHeight="1" x14ac:dyDescent="0.2">
      <c r="A91" s="1"/>
      <c r="B91" s="1"/>
      <c r="C91" s="11"/>
      <c r="D91" s="1"/>
      <c r="E91" s="1"/>
      <c r="F91" s="12"/>
      <c r="G91" s="12"/>
      <c r="H91" s="106"/>
    </row>
    <row r="92" spans="1:8" ht="14.1" customHeight="1" x14ac:dyDescent="0.2">
      <c r="A92" s="1"/>
      <c r="B92" s="1"/>
      <c r="C92" s="2" t="s">
        <v>138</v>
      </c>
      <c r="D92" s="1"/>
      <c r="E92" s="1"/>
      <c r="F92" s="12"/>
      <c r="G92" s="12"/>
      <c r="H92" s="106"/>
    </row>
    <row r="93" spans="1:8" ht="24" customHeight="1" x14ac:dyDescent="0.2">
      <c r="A93" s="1"/>
      <c r="B93" s="1"/>
      <c r="C93" s="2" t="s">
        <v>10</v>
      </c>
      <c r="D93" s="1"/>
      <c r="E93" s="1"/>
      <c r="F93" s="12"/>
      <c r="G93" s="12"/>
      <c r="H93" s="106"/>
    </row>
    <row r="94" spans="1:8" ht="14.1" customHeight="1" x14ac:dyDescent="0.2">
      <c r="A94" s="1"/>
      <c r="B94" s="1"/>
      <c r="C94" s="2" t="s">
        <v>130</v>
      </c>
      <c r="D94" s="1"/>
      <c r="E94" s="1" t="s">
        <v>131</v>
      </c>
      <c r="F94" s="13">
        <v>0</v>
      </c>
      <c r="G94" s="14">
        <v>0</v>
      </c>
      <c r="H94" s="106"/>
    </row>
    <row r="95" spans="1:8" ht="14.1" customHeight="1" x14ac:dyDescent="0.2">
      <c r="A95" s="1"/>
      <c r="B95" s="1"/>
      <c r="C95" s="11"/>
      <c r="D95" s="1"/>
      <c r="E95" s="1"/>
      <c r="F95" s="12"/>
      <c r="G95" s="12"/>
      <c r="H95" s="106"/>
    </row>
    <row r="96" spans="1:8" ht="14.1" customHeight="1" x14ac:dyDescent="0.2">
      <c r="A96" s="1"/>
      <c r="B96" s="1"/>
      <c r="C96" s="2" t="s">
        <v>139</v>
      </c>
      <c r="D96" s="1"/>
      <c r="E96" s="1"/>
      <c r="F96" s="1"/>
      <c r="G96" s="1"/>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140</v>
      </c>
      <c r="D99" s="1"/>
      <c r="E99" s="1"/>
      <c r="F99" s="1"/>
      <c r="G99" s="1"/>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141</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142</v>
      </c>
      <c r="D105" s="1"/>
      <c r="E105" s="1"/>
      <c r="F105" s="9">
        <v>0</v>
      </c>
      <c r="G105" s="10">
        <v>0</v>
      </c>
      <c r="H105" s="106"/>
    </row>
    <row r="106" spans="1:8" ht="14.1" customHeight="1" x14ac:dyDescent="0.2">
      <c r="A106" s="1"/>
      <c r="B106" s="1"/>
      <c r="C106" s="11"/>
      <c r="D106" s="1"/>
      <c r="E106" s="1"/>
      <c r="F106" s="12"/>
      <c r="G106" s="12"/>
      <c r="H106" s="106"/>
    </row>
    <row r="107" spans="1:8" ht="14.1" customHeight="1" x14ac:dyDescent="0.2">
      <c r="A107" s="1"/>
      <c r="B107" s="1"/>
      <c r="C107" s="2" t="s">
        <v>143</v>
      </c>
      <c r="D107" s="1"/>
      <c r="E107" s="1"/>
      <c r="F107" s="12"/>
      <c r="G107" s="12"/>
      <c r="H107" s="106"/>
    </row>
    <row r="108" spans="1:8" ht="14.1" customHeight="1" x14ac:dyDescent="0.2">
      <c r="A108" s="1"/>
      <c r="B108" s="1"/>
      <c r="C108" s="2" t="s">
        <v>144</v>
      </c>
      <c r="D108" s="1"/>
      <c r="E108" s="1"/>
      <c r="F108" s="12"/>
      <c r="G108" s="12"/>
      <c r="H108" s="106"/>
    </row>
    <row r="109" spans="1:8" ht="14.1" customHeight="1" x14ac:dyDescent="0.2">
      <c r="A109" s="1"/>
      <c r="B109" s="1"/>
      <c r="C109" s="2" t="s">
        <v>130</v>
      </c>
      <c r="D109" s="1"/>
      <c r="E109" s="1" t="s">
        <v>131</v>
      </c>
      <c r="F109" s="13">
        <v>0</v>
      </c>
      <c r="G109" s="14">
        <v>0</v>
      </c>
      <c r="H109" s="106"/>
    </row>
    <row r="110" spans="1:8" ht="14.1" customHeight="1" x14ac:dyDescent="0.2">
      <c r="A110" s="1"/>
      <c r="B110" s="1"/>
      <c r="C110" s="11"/>
      <c r="D110" s="1"/>
      <c r="E110" s="1"/>
      <c r="F110" s="12"/>
      <c r="G110" s="12"/>
      <c r="H110" s="106"/>
    </row>
    <row r="111" spans="1:8" ht="14.1" customHeight="1" x14ac:dyDescent="0.2">
      <c r="A111" s="1"/>
      <c r="B111" s="1"/>
      <c r="C111" s="2" t="s">
        <v>145</v>
      </c>
      <c r="D111" s="1"/>
      <c r="E111" s="1"/>
      <c r="F111" s="12"/>
      <c r="G111" s="12"/>
      <c r="H111" s="106"/>
    </row>
    <row r="112" spans="1:8" ht="14.1" customHeight="1" x14ac:dyDescent="0.2">
      <c r="A112" s="1"/>
      <c r="B112" s="1"/>
      <c r="C112" s="2" t="s">
        <v>130</v>
      </c>
      <c r="D112" s="1"/>
      <c r="E112" s="1" t="s">
        <v>131</v>
      </c>
      <c r="F112" s="13">
        <v>0</v>
      </c>
      <c r="G112" s="14">
        <v>0</v>
      </c>
      <c r="H112" s="106"/>
    </row>
    <row r="113" spans="1:8" ht="14.1" customHeight="1" x14ac:dyDescent="0.2">
      <c r="A113" s="1"/>
      <c r="B113" s="1"/>
      <c r="C113" s="11"/>
      <c r="D113" s="1"/>
      <c r="E113" s="1"/>
      <c r="F113" s="12"/>
      <c r="G113" s="12"/>
      <c r="H113" s="106"/>
    </row>
    <row r="114" spans="1:8" ht="14.1" customHeight="1" x14ac:dyDescent="0.2">
      <c r="A114" s="1"/>
      <c r="B114" s="1"/>
      <c r="C114" s="2" t="s">
        <v>146</v>
      </c>
      <c r="D114" s="1"/>
      <c r="E114" s="1"/>
      <c r="F114" s="12"/>
      <c r="G114" s="12"/>
      <c r="H114" s="106"/>
    </row>
    <row r="115" spans="1:8" ht="14.1" customHeight="1" x14ac:dyDescent="0.2">
      <c r="A115" s="1"/>
      <c r="B115" s="1"/>
      <c r="C115" s="2" t="s">
        <v>130</v>
      </c>
      <c r="D115" s="1"/>
      <c r="E115" s="1" t="s">
        <v>131</v>
      </c>
      <c r="F115" s="13">
        <v>0</v>
      </c>
      <c r="G115" s="14">
        <v>0</v>
      </c>
      <c r="H115" s="106"/>
    </row>
    <row r="116" spans="1:8" ht="14.1" customHeight="1" x14ac:dyDescent="0.2">
      <c r="A116" s="1"/>
      <c r="B116" s="1"/>
      <c r="C116" s="11"/>
      <c r="D116" s="1"/>
      <c r="E116" s="1"/>
      <c r="F116" s="12"/>
      <c r="G116" s="12"/>
      <c r="H116" s="106"/>
    </row>
    <row r="117" spans="1:8" ht="14.1" customHeight="1" x14ac:dyDescent="0.2">
      <c r="A117" s="1"/>
      <c r="B117" s="1"/>
      <c r="C117" s="2" t="s">
        <v>147</v>
      </c>
      <c r="D117" s="1"/>
      <c r="E117" s="1"/>
      <c r="F117" s="12"/>
      <c r="G117" s="12"/>
      <c r="H117" s="106"/>
    </row>
    <row r="118" spans="1:8" ht="17.100000000000001" customHeight="1" x14ac:dyDescent="0.2">
      <c r="A118" s="3">
        <v>1</v>
      </c>
      <c r="B118" s="4"/>
      <c r="C118" s="4" t="s">
        <v>148</v>
      </c>
      <c r="D118" s="4"/>
      <c r="E118" s="8"/>
      <c r="F118" s="6">
        <v>2482.8458918000001</v>
      </c>
      <c r="G118" s="7">
        <v>0.115684117</v>
      </c>
      <c r="H118" s="106">
        <v>6.1171451766917002</v>
      </c>
    </row>
    <row r="119" spans="1:8" ht="14.1" customHeight="1" x14ac:dyDescent="0.2">
      <c r="A119" s="1"/>
      <c r="B119" s="1"/>
      <c r="C119" s="2" t="s">
        <v>130</v>
      </c>
      <c r="D119" s="1"/>
      <c r="E119" s="1" t="s">
        <v>131</v>
      </c>
      <c r="F119" s="9">
        <v>2482.8458918000001</v>
      </c>
      <c r="G119" s="10">
        <v>0.115684117</v>
      </c>
      <c r="H119" s="106"/>
    </row>
    <row r="120" spans="1:8" ht="14.1" customHeight="1" x14ac:dyDescent="0.2">
      <c r="A120" s="1"/>
      <c r="B120" s="1"/>
      <c r="C120" s="11"/>
      <c r="D120" s="1"/>
      <c r="E120" s="1"/>
      <c r="F120" s="12"/>
      <c r="G120" s="12"/>
      <c r="H120" s="106"/>
    </row>
    <row r="121" spans="1:8" ht="14.1" customHeight="1" x14ac:dyDescent="0.2">
      <c r="A121" s="1"/>
      <c r="B121" s="1"/>
      <c r="C121" s="2" t="s">
        <v>149</v>
      </c>
      <c r="D121" s="1"/>
      <c r="E121" s="1"/>
      <c r="F121" s="9">
        <v>2482.8458918000001</v>
      </c>
      <c r="G121" s="10">
        <v>0.115684117</v>
      </c>
      <c r="H121" s="106"/>
    </row>
    <row r="122" spans="1:8" ht="14.1" customHeight="1" x14ac:dyDescent="0.2">
      <c r="A122" s="1"/>
      <c r="B122" s="1"/>
      <c r="C122" s="12"/>
      <c r="D122" s="1"/>
      <c r="E122" s="1"/>
      <c r="F122" s="1"/>
      <c r="G122" s="1"/>
      <c r="H122" s="106"/>
    </row>
    <row r="123" spans="1:8" ht="14.1" customHeight="1" x14ac:dyDescent="0.2">
      <c r="A123" s="1"/>
      <c r="B123" s="1"/>
      <c r="C123" s="2" t="s">
        <v>150</v>
      </c>
      <c r="D123" s="1"/>
      <c r="E123" s="1"/>
      <c r="F123" s="1"/>
      <c r="G123" s="1"/>
      <c r="H123" s="106"/>
    </row>
    <row r="124" spans="1:8" ht="14.1" customHeight="1" x14ac:dyDescent="0.2">
      <c r="A124" s="1"/>
      <c r="B124" s="1"/>
      <c r="C124" s="2" t="s">
        <v>151</v>
      </c>
      <c r="D124" s="1"/>
      <c r="E124" s="1"/>
      <c r="F124" s="1"/>
      <c r="G124" s="1"/>
      <c r="H124" s="106"/>
    </row>
    <row r="125" spans="1:8" ht="14.1" customHeight="1" x14ac:dyDescent="0.2">
      <c r="A125" s="1"/>
      <c r="B125" s="1"/>
      <c r="C125" s="2" t="s">
        <v>130</v>
      </c>
      <c r="D125" s="1"/>
      <c r="E125" s="1" t="s">
        <v>131</v>
      </c>
      <c r="F125" s="13">
        <v>0</v>
      </c>
      <c r="G125" s="14">
        <v>0</v>
      </c>
      <c r="H125" s="106"/>
    </row>
    <row r="126" spans="1:8" ht="14.1" customHeight="1" x14ac:dyDescent="0.2">
      <c r="A126" s="1"/>
      <c r="B126" s="1"/>
      <c r="C126" s="11"/>
      <c r="D126" s="1"/>
      <c r="E126" s="1"/>
      <c r="F126" s="12"/>
      <c r="G126" s="12"/>
      <c r="H126" s="106"/>
    </row>
    <row r="127" spans="1:8" ht="14.1" customHeight="1" x14ac:dyDescent="0.2">
      <c r="A127" s="1"/>
      <c r="B127" s="1"/>
      <c r="C127" s="2" t="s">
        <v>152</v>
      </c>
      <c r="D127" s="1"/>
      <c r="E127" s="1"/>
      <c r="F127" s="1"/>
      <c r="G127" s="1"/>
      <c r="H127" s="106"/>
    </row>
    <row r="128" spans="1:8" ht="14.1" customHeight="1" x14ac:dyDescent="0.2">
      <c r="A128" s="1"/>
      <c r="B128" s="1"/>
      <c r="C128" s="2" t="s">
        <v>153</v>
      </c>
      <c r="D128" s="1"/>
      <c r="E128" s="1"/>
      <c r="F128" s="1"/>
      <c r="G128" s="1"/>
      <c r="H128" s="106"/>
    </row>
    <row r="129" spans="1:8" ht="14.1" customHeight="1" x14ac:dyDescent="0.2">
      <c r="A129" s="1"/>
      <c r="B129" s="1"/>
      <c r="C129" s="2" t="s">
        <v>130</v>
      </c>
      <c r="D129" s="1"/>
      <c r="E129" s="1" t="s">
        <v>131</v>
      </c>
      <c r="F129" s="13">
        <v>0</v>
      </c>
      <c r="G129" s="14">
        <v>0</v>
      </c>
      <c r="H129" s="106"/>
    </row>
    <row r="130" spans="1:8" ht="14.1" customHeight="1" x14ac:dyDescent="0.2">
      <c r="A130" s="1"/>
      <c r="B130" s="1"/>
      <c r="C130" s="11"/>
      <c r="D130" s="1"/>
      <c r="E130" s="1"/>
      <c r="F130" s="12"/>
      <c r="G130" s="12"/>
      <c r="H130" s="106"/>
    </row>
    <row r="131" spans="1:8" ht="14.1" customHeight="1" x14ac:dyDescent="0.2">
      <c r="A131" s="1"/>
      <c r="B131" s="1"/>
      <c r="C131" s="11"/>
      <c r="D131" s="1"/>
      <c r="E131" s="1"/>
      <c r="F131" s="12"/>
      <c r="G131" s="12"/>
      <c r="H131" s="106"/>
    </row>
    <row r="132" spans="1:8" ht="24" customHeight="1" x14ac:dyDescent="0.2">
      <c r="A132" s="1"/>
      <c r="B132" s="1"/>
      <c r="C132" s="2" t="s">
        <v>154</v>
      </c>
      <c r="D132" s="1"/>
      <c r="E132" s="1"/>
      <c r="F132" s="12"/>
      <c r="G132" s="12"/>
      <c r="H132" s="106"/>
    </row>
    <row r="133" spans="1:8" ht="14.1" customHeight="1" x14ac:dyDescent="0.2">
      <c r="A133" s="1"/>
      <c r="B133" s="1"/>
      <c r="C133" s="2" t="s">
        <v>130</v>
      </c>
      <c r="D133" s="1"/>
      <c r="E133" s="1" t="s">
        <v>131</v>
      </c>
      <c r="F133" s="13">
        <v>0</v>
      </c>
      <c r="G133" s="14">
        <v>0</v>
      </c>
      <c r="H133" s="106"/>
    </row>
    <row r="134" spans="1:8" ht="14.1" customHeight="1" x14ac:dyDescent="0.2">
      <c r="A134" s="1"/>
      <c r="B134" s="1"/>
      <c r="C134" s="11"/>
      <c r="D134" s="1"/>
      <c r="E134" s="1"/>
      <c r="F134" s="12"/>
      <c r="G134" s="12"/>
      <c r="H134" s="106"/>
    </row>
    <row r="135" spans="1:8" ht="14.1" customHeight="1" x14ac:dyDescent="0.2">
      <c r="A135" s="1"/>
      <c r="B135" s="4"/>
      <c r="C135" s="4"/>
      <c r="D135" s="2"/>
      <c r="E135" s="1"/>
      <c r="F135" s="4"/>
      <c r="G135" s="8"/>
      <c r="H135" s="106"/>
    </row>
    <row r="136" spans="1:8" ht="18" customHeight="1" x14ac:dyDescent="0.2">
      <c r="A136" s="8"/>
      <c r="B136" s="4"/>
      <c r="C136" s="4" t="s">
        <v>155</v>
      </c>
      <c r="D136" s="4"/>
      <c r="E136" s="8"/>
      <c r="F136" s="6">
        <v>-3.2055368899999999</v>
      </c>
      <c r="G136" s="7">
        <v>-1.49357E-4</v>
      </c>
      <c r="H136" s="106"/>
    </row>
    <row r="137" spans="1:8" ht="14.1" customHeight="1" x14ac:dyDescent="0.2">
      <c r="A137" s="11"/>
      <c r="B137" s="11"/>
      <c r="C137" s="2" t="s">
        <v>156</v>
      </c>
      <c r="D137" s="15"/>
      <c r="E137" s="15"/>
      <c r="F137" s="9">
        <v>21462.28856791</v>
      </c>
      <c r="G137" s="10">
        <v>1.0000000010000001</v>
      </c>
      <c r="H137" s="106"/>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279" t="s">
        <v>158</v>
      </c>
      <c r="C140" s="280"/>
      <c r="D140" s="12" t="s">
        <v>131</v>
      </c>
      <c r="E140" s="21"/>
      <c r="F140" s="20"/>
      <c r="G140" s="20"/>
    </row>
    <row r="141" spans="1:8" ht="29.1" customHeight="1" x14ac:dyDescent="0.2">
      <c r="A141" s="18"/>
      <c r="B141" s="274" t="s">
        <v>159</v>
      </c>
      <c r="C141" s="275"/>
      <c r="D141" s="2" t="s">
        <v>160</v>
      </c>
      <c r="E141" s="21"/>
      <c r="F141" s="20"/>
      <c r="G141" s="20"/>
    </row>
    <row r="142" spans="1:8" ht="17.100000000000001" customHeight="1" x14ac:dyDescent="0.2">
      <c r="A142" s="18"/>
      <c r="B142" s="274" t="s">
        <v>161</v>
      </c>
      <c r="C142" s="275"/>
      <c r="D142" s="2" t="s">
        <v>160</v>
      </c>
      <c r="E142" s="21"/>
      <c r="F142" s="20"/>
      <c r="G142" s="20"/>
    </row>
    <row r="143" spans="1:8" ht="17.100000000000001" customHeight="1" x14ac:dyDescent="0.2">
      <c r="A143" s="18"/>
      <c r="B143" s="274" t="s">
        <v>162</v>
      </c>
      <c r="C143" s="275"/>
      <c r="D143" s="12" t="s">
        <v>131</v>
      </c>
      <c r="E143" s="21"/>
      <c r="F143" s="20"/>
      <c r="G143" s="20"/>
    </row>
    <row r="144" spans="1:8" ht="24" customHeight="1" x14ac:dyDescent="0.2">
      <c r="A144" s="22"/>
      <c r="B144" s="23" t="s">
        <v>131</v>
      </c>
      <c r="C144" s="23" t="s">
        <v>163</v>
      </c>
      <c r="D144" s="23" t="s">
        <v>164</v>
      </c>
      <c r="E144" s="22"/>
      <c r="F144" s="22"/>
      <c r="G144" s="22"/>
    </row>
    <row r="145" spans="1:7" ht="18" customHeight="1" x14ac:dyDescent="0.2">
      <c r="A145" s="22"/>
      <c r="B145" s="23" t="s">
        <v>165</v>
      </c>
      <c r="C145" s="23" t="s">
        <v>166</v>
      </c>
      <c r="D145" s="23" t="s">
        <v>167</v>
      </c>
      <c r="E145" s="22"/>
      <c r="F145" s="22"/>
      <c r="G145" s="22"/>
    </row>
    <row r="146" spans="1:7" ht="17.100000000000001" customHeight="1" x14ac:dyDescent="0.2">
      <c r="A146" s="22"/>
      <c r="B146" s="4" t="s">
        <v>168</v>
      </c>
      <c r="C146" s="24">
        <v>20.304600000000001</v>
      </c>
      <c r="D146" s="24">
        <v>20.4377</v>
      </c>
      <c r="E146" s="22"/>
      <c r="F146" s="19"/>
      <c r="G146" s="25"/>
    </row>
    <row r="147" spans="1:7" ht="17.100000000000001" customHeight="1" x14ac:dyDescent="0.2">
      <c r="A147" s="22"/>
      <c r="B147" s="4" t="s">
        <v>1048</v>
      </c>
      <c r="C147" s="24">
        <v>19.580100000000002</v>
      </c>
      <c r="D147" s="24">
        <v>19.708500000000001</v>
      </c>
      <c r="E147" s="22"/>
      <c r="F147" s="19"/>
      <c r="G147" s="25"/>
    </row>
    <row r="148" spans="1:7" ht="17.100000000000001" customHeight="1" x14ac:dyDescent="0.2">
      <c r="A148" s="22"/>
      <c r="B148" s="4" t="s">
        <v>169</v>
      </c>
      <c r="C148" s="24">
        <v>19.625</v>
      </c>
      <c r="D148" s="24">
        <v>19.743500000000001</v>
      </c>
      <c r="E148" s="22"/>
      <c r="F148" s="19"/>
      <c r="G148" s="25"/>
    </row>
    <row r="149" spans="1:7" ht="17.100000000000001" customHeight="1" x14ac:dyDescent="0.2">
      <c r="A149" s="22"/>
      <c r="B149" s="4" t="s">
        <v>1049</v>
      </c>
      <c r="C149" s="24">
        <v>18.906500000000001</v>
      </c>
      <c r="D149" s="24">
        <v>19.020700000000001</v>
      </c>
      <c r="E149" s="22"/>
      <c r="F149" s="19"/>
      <c r="G149" s="25"/>
    </row>
    <row r="150" spans="1:7" ht="14.1" customHeight="1" x14ac:dyDescent="0.2">
      <c r="A150" s="22"/>
      <c r="B150" s="22"/>
      <c r="C150" s="22"/>
      <c r="D150" s="22"/>
      <c r="E150" s="22"/>
      <c r="F150" s="22"/>
      <c r="G150" s="22"/>
    </row>
    <row r="151" spans="1:7" ht="17.100000000000001" customHeight="1" x14ac:dyDescent="0.2">
      <c r="A151" s="22"/>
      <c r="B151" s="274" t="s">
        <v>1060</v>
      </c>
      <c r="C151" s="275"/>
      <c r="D151" s="2" t="s">
        <v>160</v>
      </c>
      <c r="E151" s="22"/>
      <c r="F151" s="22"/>
      <c r="G151" s="22"/>
    </row>
    <row r="152" spans="1:7" ht="18" customHeight="1" x14ac:dyDescent="0.2">
      <c r="A152" s="22"/>
      <c r="B152" s="26" t="s">
        <v>170</v>
      </c>
      <c r="C152" s="26" t="s">
        <v>170</v>
      </c>
      <c r="D152" s="26"/>
      <c r="E152" s="22"/>
      <c r="F152" s="22"/>
      <c r="G152" s="22"/>
    </row>
    <row r="153" spans="1:7" ht="29.1" customHeight="1" x14ac:dyDescent="0.2">
      <c r="A153" s="22"/>
      <c r="B153" s="274" t="s">
        <v>171</v>
      </c>
      <c r="C153" s="275"/>
      <c r="D153" s="2" t="s">
        <v>160</v>
      </c>
      <c r="E153" s="22"/>
      <c r="F153" s="22"/>
      <c r="G153" s="22"/>
    </row>
    <row r="154" spans="1:7" ht="29.1" customHeight="1" x14ac:dyDescent="0.2">
      <c r="A154" s="22"/>
      <c r="B154" s="274" t="s">
        <v>172</v>
      </c>
      <c r="C154" s="275"/>
      <c r="D154" s="2" t="s">
        <v>160</v>
      </c>
      <c r="E154" s="22"/>
      <c r="F154" s="22"/>
      <c r="G154" s="22"/>
    </row>
    <row r="155" spans="1:7" ht="17.100000000000001" customHeight="1" x14ac:dyDescent="0.2">
      <c r="A155" s="22"/>
      <c r="B155" s="274" t="s">
        <v>173</v>
      </c>
      <c r="C155" s="275"/>
      <c r="D155" s="27">
        <v>0.26629483557996642</v>
      </c>
      <c r="E155" s="22"/>
      <c r="F155" s="19"/>
      <c r="G155" s="25"/>
    </row>
    <row r="156" spans="1:7" ht="17.100000000000001" customHeight="1" x14ac:dyDescent="0.2">
      <c r="A156" s="22"/>
      <c r="B156" s="274" t="s">
        <v>174</v>
      </c>
      <c r="C156" s="275"/>
      <c r="D156" s="2" t="s">
        <v>160</v>
      </c>
      <c r="E156" s="22"/>
      <c r="F156" s="22"/>
      <c r="G156" s="22"/>
    </row>
    <row r="164" spans="10:15" x14ac:dyDescent="0.2">
      <c r="J164" s="162"/>
      <c r="K164" s="162"/>
      <c r="L164" s="162"/>
      <c r="M164" s="162"/>
      <c r="N164" s="162"/>
      <c r="O164" s="162"/>
    </row>
  </sheetData>
  <mergeCells count="13">
    <mergeCell ref="J2:N2"/>
    <mergeCell ref="B140:C140"/>
    <mergeCell ref="B155:C155"/>
    <mergeCell ref="A1:H1"/>
    <mergeCell ref="A2:H2"/>
    <mergeCell ref="A3:H3"/>
    <mergeCell ref="B156:C156"/>
    <mergeCell ref="B141:C141"/>
    <mergeCell ref="B142:C142"/>
    <mergeCell ref="B143:C143"/>
    <mergeCell ref="B151:C151"/>
    <mergeCell ref="B153:C153"/>
    <mergeCell ref="B154:C154"/>
  </mergeCells>
  <hyperlinks>
    <hyperlink ref="I1" location="Index!B10" display="Index" xr:uid="{FC1DCB38-D20B-4CA7-8D8E-DD23BDACD7D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6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470</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382</v>
      </c>
      <c r="C7" s="4" t="s">
        <v>383</v>
      </c>
      <c r="D7" s="4" t="s">
        <v>110</v>
      </c>
      <c r="E7" s="5">
        <v>17407</v>
      </c>
      <c r="F7" s="6">
        <v>323.32632150000001</v>
      </c>
      <c r="G7" s="7">
        <v>3.9549291E-2</v>
      </c>
      <c r="H7" s="106"/>
    </row>
    <row r="8" spans="1:14" ht="17.100000000000001" customHeight="1" x14ac:dyDescent="0.2">
      <c r="A8" s="3">
        <v>2</v>
      </c>
      <c r="B8" s="4" t="s">
        <v>77</v>
      </c>
      <c r="C8" s="4" t="s">
        <v>78</v>
      </c>
      <c r="D8" s="4" t="s">
        <v>31</v>
      </c>
      <c r="E8" s="5">
        <v>16493</v>
      </c>
      <c r="F8" s="6">
        <v>266.39493599999997</v>
      </c>
      <c r="G8" s="7">
        <v>3.2585441E-2</v>
      </c>
      <c r="H8" s="106"/>
    </row>
    <row r="9" spans="1:14" ht="17.100000000000001" customHeight="1" x14ac:dyDescent="0.2">
      <c r="A9" s="3">
        <v>3</v>
      </c>
      <c r="B9" s="4" t="s">
        <v>29</v>
      </c>
      <c r="C9" s="4" t="s">
        <v>30</v>
      </c>
      <c r="D9" s="4" t="s">
        <v>31</v>
      </c>
      <c r="E9" s="5">
        <v>12093</v>
      </c>
      <c r="F9" s="6">
        <v>251.6976555</v>
      </c>
      <c r="G9" s="7">
        <v>3.0787669E-2</v>
      </c>
      <c r="H9" s="106"/>
    </row>
    <row r="10" spans="1:14" ht="17.100000000000001" customHeight="1" x14ac:dyDescent="0.2">
      <c r="A10" s="3">
        <v>4</v>
      </c>
      <c r="B10" s="4" t="s">
        <v>108</v>
      </c>
      <c r="C10" s="4" t="s">
        <v>109</v>
      </c>
      <c r="D10" s="4" t="s">
        <v>110</v>
      </c>
      <c r="E10" s="5">
        <v>65263</v>
      </c>
      <c r="F10" s="6">
        <v>242.84362300000001</v>
      </c>
      <c r="G10" s="7">
        <v>2.9704643999999999E-2</v>
      </c>
      <c r="H10" s="106"/>
    </row>
    <row r="11" spans="1:14" ht="29.1" customHeight="1" x14ac:dyDescent="0.2">
      <c r="A11" s="3">
        <v>5</v>
      </c>
      <c r="B11" s="4" t="s">
        <v>189</v>
      </c>
      <c r="C11" s="4" t="s">
        <v>190</v>
      </c>
      <c r="D11" s="4" t="s">
        <v>110</v>
      </c>
      <c r="E11" s="5">
        <v>61313</v>
      </c>
      <c r="F11" s="6">
        <v>222.136999</v>
      </c>
      <c r="G11" s="7">
        <v>2.7171807999999999E-2</v>
      </c>
      <c r="H11" s="106"/>
    </row>
    <row r="12" spans="1:14" ht="17.100000000000001" customHeight="1" x14ac:dyDescent="0.2">
      <c r="A12" s="3">
        <v>6</v>
      </c>
      <c r="B12" s="4" t="s">
        <v>32</v>
      </c>
      <c r="C12" s="4" t="s">
        <v>33</v>
      </c>
      <c r="D12" s="4" t="s">
        <v>31</v>
      </c>
      <c r="E12" s="5">
        <v>10555</v>
      </c>
      <c r="F12" s="6">
        <v>221.97165000000001</v>
      </c>
      <c r="G12" s="7">
        <v>2.7151583E-2</v>
      </c>
      <c r="H12" s="106"/>
    </row>
    <row r="13" spans="1:14" ht="17.100000000000001" customHeight="1" x14ac:dyDescent="0.2">
      <c r="A13" s="3">
        <v>7</v>
      </c>
      <c r="B13" s="4" t="s">
        <v>461</v>
      </c>
      <c r="C13" s="4" t="s">
        <v>462</v>
      </c>
      <c r="D13" s="4" t="s">
        <v>1114</v>
      </c>
      <c r="E13" s="5">
        <v>31217</v>
      </c>
      <c r="F13" s="6">
        <v>221.40657250000001</v>
      </c>
      <c r="G13" s="7">
        <v>2.7082463000000001E-2</v>
      </c>
      <c r="H13" s="106"/>
      <c r="J13" s="161" t="s">
        <v>1089</v>
      </c>
    </row>
    <row r="14" spans="1:14" ht="17.100000000000001" customHeight="1" x14ac:dyDescent="0.2">
      <c r="A14" s="3">
        <v>8</v>
      </c>
      <c r="B14" s="4" t="s">
        <v>380</v>
      </c>
      <c r="C14" s="4" t="s">
        <v>381</v>
      </c>
      <c r="D14" s="4" t="s">
        <v>99</v>
      </c>
      <c r="E14" s="5">
        <v>210200</v>
      </c>
      <c r="F14" s="6">
        <v>212.09180000000001</v>
      </c>
      <c r="G14" s="7">
        <v>2.5943079000000001E-2</v>
      </c>
      <c r="H14" s="106"/>
    </row>
    <row r="15" spans="1:14" ht="29.1" customHeight="1" x14ac:dyDescent="0.2">
      <c r="A15" s="3">
        <v>9</v>
      </c>
      <c r="B15" s="4" t="s">
        <v>196</v>
      </c>
      <c r="C15" s="4" t="s">
        <v>197</v>
      </c>
      <c r="D15" s="4" t="s">
        <v>188</v>
      </c>
      <c r="E15" s="5">
        <v>4390</v>
      </c>
      <c r="F15" s="6">
        <v>199.82182499999999</v>
      </c>
      <c r="G15" s="7">
        <v>2.4442215E-2</v>
      </c>
      <c r="H15" s="106"/>
    </row>
    <row r="16" spans="1:14" ht="17.100000000000001" customHeight="1" x14ac:dyDescent="0.2">
      <c r="A16" s="3">
        <v>10</v>
      </c>
      <c r="B16" s="4" t="s">
        <v>17</v>
      </c>
      <c r="C16" s="4" t="s">
        <v>18</v>
      </c>
      <c r="D16" s="4" t="s">
        <v>19</v>
      </c>
      <c r="E16" s="5">
        <v>22317</v>
      </c>
      <c r="F16" s="6">
        <v>185.67743999999999</v>
      </c>
      <c r="G16" s="7">
        <v>2.2712072999999999E-2</v>
      </c>
      <c r="H16" s="106"/>
    </row>
    <row r="17" spans="1:8" ht="17.100000000000001" customHeight="1" x14ac:dyDescent="0.2">
      <c r="A17" s="3">
        <v>11</v>
      </c>
      <c r="B17" s="4" t="s">
        <v>304</v>
      </c>
      <c r="C17" s="4" t="s">
        <v>305</v>
      </c>
      <c r="D17" s="4" t="s">
        <v>240</v>
      </c>
      <c r="E17" s="5">
        <v>34698</v>
      </c>
      <c r="F17" s="6">
        <v>177.98339100000001</v>
      </c>
      <c r="G17" s="7">
        <v>2.1770937000000001E-2</v>
      </c>
      <c r="H17" s="106"/>
    </row>
    <row r="18" spans="1:8" ht="17.100000000000001" customHeight="1" x14ac:dyDescent="0.2">
      <c r="A18" s="3">
        <v>12</v>
      </c>
      <c r="B18" s="4" t="s">
        <v>320</v>
      </c>
      <c r="C18" s="4" t="s">
        <v>321</v>
      </c>
      <c r="D18" s="4" t="s">
        <v>230</v>
      </c>
      <c r="E18" s="5">
        <v>12162</v>
      </c>
      <c r="F18" s="6">
        <v>176.00238300000001</v>
      </c>
      <c r="G18" s="7">
        <v>2.1528619999999998E-2</v>
      </c>
      <c r="H18" s="106"/>
    </row>
    <row r="19" spans="1:8" ht="17.100000000000001" customHeight="1" x14ac:dyDescent="0.2">
      <c r="A19" s="3">
        <v>13</v>
      </c>
      <c r="B19" s="4" t="s">
        <v>386</v>
      </c>
      <c r="C19" s="4" t="s">
        <v>387</v>
      </c>
      <c r="D19" s="4" t="s">
        <v>110</v>
      </c>
      <c r="E19" s="5">
        <v>27636</v>
      </c>
      <c r="F19" s="6">
        <v>165.29091600000001</v>
      </c>
      <c r="G19" s="7">
        <v>2.0218393000000001E-2</v>
      </c>
      <c r="H19" s="106"/>
    </row>
    <row r="20" spans="1:8" ht="17.100000000000001" customHeight="1" x14ac:dyDescent="0.2">
      <c r="A20" s="3">
        <v>14</v>
      </c>
      <c r="B20" s="4" t="s">
        <v>322</v>
      </c>
      <c r="C20" s="4" t="s">
        <v>323</v>
      </c>
      <c r="D20" s="4" t="s">
        <v>324</v>
      </c>
      <c r="E20" s="5">
        <v>10225</v>
      </c>
      <c r="F20" s="6">
        <v>163.87096249999999</v>
      </c>
      <c r="G20" s="7">
        <v>2.0044704E-2</v>
      </c>
      <c r="H20" s="106"/>
    </row>
    <row r="21" spans="1:8" ht="17.100000000000001" customHeight="1" x14ac:dyDescent="0.2">
      <c r="A21" s="3">
        <v>15</v>
      </c>
      <c r="B21" s="4" t="s">
        <v>439</v>
      </c>
      <c r="C21" s="4" t="s">
        <v>440</v>
      </c>
      <c r="D21" s="4" t="s">
        <v>31</v>
      </c>
      <c r="E21" s="5">
        <v>19221</v>
      </c>
      <c r="F21" s="6">
        <v>162.57121799999999</v>
      </c>
      <c r="G21" s="7">
        <v>1.9885719E-2</v>
      </c>
      <c r="H21" s="106"/>
    </row>
    <row r="22" spans="1:8" ht="17.100000000000001" customHeight="1" x14ac:dyDescent="0.2">
      <c r="A22" s="3">
        <v>16</v>
      </c>
      <c r="B22" s="4" t="s">
        <v>459</v>
      </c>
      <c r="C22" s="4" t="s">
        <v>460</v>
      </c>
      <c r="D22" s="4" t="s">
        <v>96</v>
      </c>
      <c r="E22" s="5">
        <v>11320</v>
      </c>
      <c r="F22" s="6">
        <v>161.63262</v>
      </c>
      <c r="G22" s="7">
        <v>1.9770909999999999E-2</v>
      </c>
      <c r="H22" s="106"/>
    </row>
    <row r="23" spans="1:8" ht="17.100000000000001" customHeight="1" x14ac:dyDescent="0.2">
      <c r="A23" s="3">
        <v>17</v>
      </c>
      <c r="B23" s="4" t="s">
        <v>384</v>
      </c>
      <c r="C23" s="4" t="s">
        <v>385</v>
      </c>
      <c r="D23" s="4" t="s">
        <v>288</v>
      </c>
      <c r="E23" s="5">
        <v>13510</v>
      </c>
      <c r="F23" s="6">
        <v>155.97295</v>
      </c>
      <c r="G23" s="7">
        <v>1.9078619000000002E-2</v>
      </c>
      <c r="H23" s="106"/>
    </row>
    <row r="24" spans="1:8" ht="17.100000000000001" customHeight="1" x14ac:dyDescent="0.2">
      <c r="A24" s="3">
        <v>18</v>
      </c>
      <c r="B24" s="4" t="s">
        <v>279</v>
      </c>
      <c r="C24" s="4" t="s">
        <v>280</v>
      </c>
      <c r="D24" s="4" t="s">
        <v>22</v>
      </c>
      <c r="E24" s="5">
        <v>66963</v>
      </c>
      <c r="F24" s="6">
        <v>143.20037550000001</v>
      </c>
      <c r="G24" s="7">
        <v>1.7516277E-2</v>
      </c>
      <c r="H24" s="106"/>
    </row>
    <row r="25" spans="1:8" ht="17.100000000000001" customHeight="1" x14ac:dyDescent="0.2">
      <c r="A25" s="3">
        <v>19</v>
      </c>
      <c r="B25" s="4" t="s">
        <v>213</v>
      </c>
      <c r="C25" s="4" t="s">
        <v>214</v>
      </c>
      <c r="D25" s="4" t="s">
        <v>1114</v>
      </c>
      <c r="E25" s="5">
        <v>3812</v>
      </c>
      <c r="F25" s="6">
        <v>140.779066</v>
      </c>
      <c r="G25" s="7">
        <v>1.7220102000000001E-2</v>
      </c>
      <c r="H25" s="106"/>
    </row>
    <row r="26" spans="1:8" ht="17.100000000000001" customHeight="1" x14ac:dyDescent="0.2">
      <c r="A26" s="3">
        <v>20</v>
      </c>
      <c r="B26" s="4" t="s">
        <v>416</v>
      </c>
      <c r="C26" s="4" t="s">
        <v>417</v>
      </c>
      <c r="D26" s="4" t="s">
        <v>212</v>
      </c>
      <c r="E26" s="5">
        <v>46520</v>
      </c>
      <c r="F26" s="6">
        <v>134.09389999999999</v>
      </c>
      <c r="G26" s="7">
        <v>1.6402371999999998E-2</v>
      </c>
      <c r="H26" s="106"/>
    </row>
    <row r="27" spans="1:8" ht="17.100000000000001" customHeight="1" x14ac:dyDescent="0.2">
      <c r="A27" s="3">
        <v>21</v>
      </c>
      <c r="B27" s="4" t="s">
        <v>392</v>
      </c>
      <c r="C27" s="4" t="s">
        <v>393</v>
      </c>
      <c r="D27" s="4" t="s">
        <v>230</v>
      </c>
      <c r="E27" s="5">
        <v>17350</v>
      </c>
      <c r="F27" s="6">
        <v>129.7433</v>
      </c>
      <c r="G27" s="7">
        <v>1.5870207000000001E-2</v>
      </c>
      <c r="H27" s="106"/>
    </row>
    <row r="28" spans="1:8" ht="17.100000000000001" customHeight="1" x14ac:dyDescent="0.2">
      <c r="A28" s="3">
        <v>22</v>
      </c>
      <c r="B28" s="4" t="s">
        <v>441</v>
      </c>
      <c r="C28" s="4" t="s">
        <v>442</v>
      </c>
      <c r="D28" s="4" t="s">
        <v>324</v>
      </c>
      <c r="E28" s="5">
        <v>8355</v>
      </c>
      <c r="F28" s="6">
        <v>128.3620425</v>
      </c>
      <c r="G28" s="7">
        <v>1.5701250999999999E-2</v>
      </c>
      <c r="H28" s="106"/>
    </row>
    <row r="29" spans="1:8" ht="17.100000000000001" customHeight="1" x14ac:dyDescent="0.2">
      <c r="A29" s="3">
        <v>23</v>
      </c>
      <c r="B29" s="4" t="s">
        <v>388</v>
      </c>
      <c r="C29" s="4" t="s">
        <v>389</v>
      </c>
      <c r="D29" s="4" t="s">
        <v>99</v>
      </c>
      <c r="E29" s="5">
        <v>23973</v>
      </c>
      <c r="F29" s="6">
        <v>125.7024255</v>
      </c>
      <c r="G29" s="7">
        <v>1.5375926999999999E-2</v>
      </c>
      <c r="H29" s="106"/>
    </row>
    <row r="30" spans="1:8" ht="29.1" customHeight="1" x14ac:dyDescent="0.2">
      <c r="A30" s="3">
        <v>24</v>
      </c>
      <c r="B30" s="4" t="s">
        <v>202</v>
      </c>
      <c r="C30" s="4" t="s">
        <v>203</v>
      </c>
      <c r="D30" s="4" t="s">
        <v>204</v>
      </c>
      <c r="E30" s="5">
        <v>26473</v>
      </c>
      <c r="F30" s="6">
        <v>120.3330215</v>
      </c>
      <c r="G30" s="7">
        <v>1.4719141E-2</v>
      </c>
      <c r="H30" s="106"/>
    </row>
    <row r="31" spans="1:8" ht="29.1" customHeight="1" x14ac:dyDescent="0.2">
      <c r="A31" s="3">
        <v>25</v>
      </c>
      <c r="B31" s="4" t="s">
        <v>63</v>
      </c>
      <c r="C31" s="4" t="s">
        <v>64</v>
      </c>
      <c r="D31" s="4" t="s">
        <v>25</v>
      </c>
      <c r="E31" s="5">
        <v>4064</v>
      </c>
      <c r="F31" s="6">
        <v>110.242096</v>
      </c>
      <c r="G31" s="7">
        <v>1.3484819E-2</v>
      </c>
      <c r="H31" s="106"/>
    </row>
    <row r="32" spans="1:8" ht="29.1" customHeight="1" x14ac:dyDescent="0.2">
      <c r="A32" s="3">
        <v>26</v>
      </c>
      <c r="B32" s="4" t="s">
        <v>445</v>
      </c>
      <c r="C32" s="4" t="s">
        <v>446</v>
      </c>
      <c r="D32" s="4" t="s">
        <v>51</v>
      </c>
      <c r="E32" s="5">
        <v>4415</v>
      </c>
      <c r="F32" s="6">
        <v>109.35072</v>
      </c>
      <c r="G32" s="7">
        <v>1.3375784999999999E-2</v>
      </c>
      <c r="H32" s="106"/>
    </row>
    <row r="33" spans="1:8" ht="29.1" customHeight="1" x14ac:dyDescent="0.2">
      <c r="A33" s="3">
        <v>27</v>
      </c>
      <c r="B33" s="4" t="s">
        <v>390</v>
      </c>
      <c r="C33" s="4" t="s">
        <v>391</v>
      </c>
      <c r="D33" s="4" t="s">
        <v>67</v>
      </c>
      <c r="E33" s="5">
        <v>6442</v>
      </c>
      <c r="F33" s="6">
        <v>103.38121599999999</v>
      </c>
      <c r="G33" s="7">
        <v>1.2645595000000001E-2</v>
      </c>
      <c r="H33" s="106"/>
    </row>
    <row r="34" spans="1:8" ht="17.100000000000001" customHeight="1" x14ac:dyDescent="0.2">
      <c r="A34" s="3">
        <v>28</v>
      </c>
      <c r="B34" s="4" t="s">
        <v>231</v>
      </c>
      <c r="C34" s="4" t="s">
        <v>232</v>
      </c>
      <c r="D34" s="4" t="s">
        <v>89</v>
      </c>
      <c r="E34" s="5">
        <v>2040</v>
      </c>
      <c r="F34" s="6">
        <v>97.806780000000003</v>
      </c>
      <c r="G34" s="7">
        <v>1.1963730000000001E-2</v>
      </c>
      <c r="H34" s="106"/>
    </row>
    <row r="35" spans="1:8" ht="17.100000000000001" customHeight="1" x14ac:dyDescent="0.2">
      <c r="A35" s="3">
        <v>29</v>
      </c>
      <c r="B35" s="4" t="s">
        <v>449</v>
      </c>
      <c r="C35" s="4" t="s">
        <v>450</v>
      </c>
      <c r="D35" s="4" t="s">
        <v>99</v>
      </c>
      <c r="E35" s="5">
        <v>121452</v>
      </c>
      <c r="F35" s="6">
        <v>94.064573999999993</v>
      </c>
      <c r="G35" s="7">
        <v>1.1505982999999999E-2</v>
      </c>
      <c r="H35" s="106"/>
    </row>
    <row r="36" spans="1:8" ht="29.1" customHeight="1" x14ac:dyDescent="0.2">
      <c r="A36" s="3">
        <v>30</v>
      </c>
      <c r="B36" s="4" t="s">
        <v>410</v>
      </c>
      <c r="C36" s="4" t="s">
        <v>411</v>
      </c>
      <c r="D36" s="4" t="s">
        <v>204</v>
      </c>
      <c r="E36" s="5">
        <v>25867</v>
      </c>
      <c r="F36" s="6">
        <v>91.569180000000003</v>
      </c>
      <c r="G36" s="7">
        <v>1.1200747E-2</v>
      </c>
      <c r="H36" s="106"/>
    </row>
    <row r="37" spans="1:8" ht="17.100000000000001" customHeight="1" x14ac:dyDescent="0.2">
      <c r="A37" s="3">
        <v>31</v>
      </c>
      <c r="B37" s="4" t="s">
        <v>42</v>
      </c>
      <c r="C37" s="4" t="s">
        <v>43</v>
      </c>
      <c r="D37" s="4" t="s">
        <v>16</v>
      </c>
      <c r="E37" s="5">
        <v>15608</v>
      </c>
      <c r="F37" s="6">
        <v>89.558704000000006</v>
      </c>
      <c r="G37" s="7">
        <v>1.0954825E-2</v>
      </c>
      <c r="H37" s="106"/>
    </row>
    <row r="38" spans="1:8" ht="17.100000000000001" customHeight="1" x14ac:dyDescent="0.2">
      <c r="A38" s="3">
        <v>32</v>
      </c>
      <c r="B38" s="4" t="s">
        <v>394</v>
      </c>
      <c r="C38" s="4" t="s">
        <v>395</v>
      </c>
      <c r="D38" s="4" t="s">
        <v>99</v>
      </c>
      <c r="E38" s="5">
        <v>12330</v>
      </c>
      <c r="F38" s="6">
        <v>89.546625000000006</v>
      </c>
      <c r="G38" s="7">
        <v>1.0953347E-2</v>
      </c>
      <c r="H38" s="106"/>
    </row>
    <row r="39" spans="1:8" ht="29.1" customHeight="1" x14ac:dyDescent="0.2">
      <c r="A39" s="3">
        <v>33</v>
      </c>
      <c r="B39" s="4" t="s">
        <v>317</v>
      </c>
      <c r="C39" s="4" t="s">
        <v>318</v>
      </c>
      <c r="D39" s="4" t="s">
        <v>319</v>
      </c>
      <c r="E39" s="5">
        <v>16028</v>
      </c>
      <c r="F39" s="6">
        <v>88.602784</v>
      </c>
      <c r="G39" s="7">
        <v>1.0837897000000001E-2</v>
      </c>
      <c r="H39" s="106"/>
    </row>
    <row r="40" spans="1:8" ht="29.1" customHeight="1" x14ac:dyDescent="0.2">
      <c r="A40" s="3">
        <v>34</v>
      </c>
      <c r="B40" s="4" t="s">
        <v>463</v>
      </c>
      <c r="C40" s="4" t="s">
        <v>464</v>
      </c>
      <c r="D40" s="4" t="s">
        <v>366</v>
      </c>
      <c r="E40" s="5">
        <v>14150</v>
      </c>
      <c r="F40" s="6">
        <v>87.645099999999999</v>
      </c>
      <c r="G40" s="7">
        <v>1.0720753E-2</v>
      </c>
      <c r="H40" s="106"/>
    </row>
    <row r="41" spans="1:8" ht="53.1" customHeight="1" x14ac:dyDescent="0.2">
      <c r="A41" s="3">
        <v>35</v>
      </c>
      <c r="B41" s="4" t="s">
        <v>333</v>
      </c>
      <c r="C41" s="4" t="s">
        <v>334</v>
      </c>
      <c r="D41" s="4" t="s">
        <v>48</v>
      </c>
      <c r="E41" s="5">
        <v>28232</v>
      </c>
      <c r="F41" s="6">
        <v>87.109836000000001</v>
      </c>
      <c r="G41" s="7">
        <v>1.0655279E-2</v>
      </c>
      <c r="H41" s="106"/>
    </row>
    <row r="42" spans="1:8" ht="17.100000000000001" customHeight="1" x14ac:dyDescent="0.2">
      <c r="A42" s="3">
        <v>36</v>
      </c>
      <c r="B42" s="4" t="s">
        <v>396</v>
      </c>
      <c r="C42" s="4" t="s">
        <v>397</v>
      </c>
      <c r="D42" s="4" t="s">
        <v>288</v>
      </c>
      <c r="E42" s="5">
        <v>11291</v>
      </c>
      <c r="F42" s="6">
        <v>84.603463000000005</v>
      </c>
      <c r="G42" s="7">
        <v>1.0348700000000001E-2</v>
      </c>
      <c r="H42" s="106"/>
    </row>
    <row r="43" spans="1:8" ht="29.1" customHeight="1" x14ac:dyDescent="0.2">
      <c r="A43" s="3">
        <v>37</v>
      </c>
      <c r="B43" s="4" t="s">
        <v>291</v>
      </c>
      <c r="C43" s="4" t="s">
        <v>292</v>
      </c>
      <c r="D43" s="4" t="s">
        <v>188</v>
      </c>
      <c r="E43" s="5">
        <v>10979</v>
      </c>
      <c r="F43" s="6">
        <v>83.434910500000001</v>
      </c>
      <c r="G43" s="7">
        <v>1.0205762E-2</v>
      </c>
      <c r="H43" s="106"/>
    </row>
    <row r="44" spans="1:8" ht="17.100000000000001" customHeight="1" x14ac:dyDescent="0.2">
      <c r="A44" s="3">
        <v>38</v>
      </c>
      <c r="B44" s="4" t="s">
        <v>465</v>
      </c>
      <c r="C44" s="4" t="s">
        <v>466</v>
      </c>
      <c r="D44" s="4" t="s">
        <v>36</v>
      </c>
      <c r="E44" s="5">
        <v>31981</v>
      </c>
      <c r="F44" s="6">
        <v>83.150599999999997</v>
      </c>
      <c r="G44" s="7">
        <v>1.0170985E-2</v>
      </c>
      <c r="H44" s="106"/>
    </row>
    <row r="45" spans="1:8" ht="17.100000000000001" customHeight="1" x14ac:dyDescent="0.2">
      <c r="A45" s="3">
        <v>39</v>
      </c>
      <c r="B45" s="4" t="s">
        <v>398</v>
      </c>
      <c r="C45" s="4" t="s">
        <v>399</v>
      </c>
      <c r="D45" s="4" t="s">
        <v>110</v>
      </c>
      <c r="E45" s="5">
        <v>12964</v>
      </c>
      <c r="F45" s="6">
        <v>82.943672000000007</v>
      </c>
      <c r="G45" s="7">
        <v>1.0145674E-2</v>
      </c>
      <c r="H45" s="106"/>
    </row>
    <row r="46" spans="1:8" ht="29.1" customHeight="1" x14ac:dyDescent="0.2">
      <c r="A46" s="3">
        <v>40</v>
      </c>
      <c r="B46" s="4" t="s">
        <v>451</v>
      </c>
      <c r="C46" s="4" t="s">
        <v>452</v>
      </c>
      <c r="D46" s="4" t="s">
        <v>453</v>
      </c>
      <c r="E46" s="5">
        <v>59314</v>
      </c>
      <c r="F46" s="6">
        <v>82.802344000000005</v>
      </c>
      <c r="G46" s="7">
        <v>1.0128387000000001E-2</v>
      </c>
      <c r="H46" s="106"/>
    </row>
    <row r="47" spans="1:8" ht="29.1" customHeight="1" x14ac:dyDescent="0.2">
      <c r="A47" s="3">
        <v>41</v>
      </c>
      <c r="B47" s="4" t="s">
        <v>420</v>
      </c>
      <c r="C47" s="4" t="s">
        <v>421</v>
      </c>
      <c r="D47" s="4" t="s">
        <v>366</v>
      </c>
      <c r="E47" s="5">
        <v>16397</v>
      </c>
      <c r="F47" s="6">
        <v>82.124374500000002</v>
      </c>
      <c r="G47" s="7">
        <v>1.0045457000000001E-2</v>
      </c>
      <c r="H47" s="106"/>
    </row>
    <row r="48" spans="1:8" ht="17.100000000000001" customHeight="1" x14ac:dyDescent="0.2">
      <c r="A48" s="3">
        <v>42</v>
      </c>
      <c r="B48" s="4" t="s">
        <v>414</v>
      </c>
      <c r="C48" s="4" t="s">
        <v>415</v>
      </c>
      <c r="D48" s="4" t="s">
        <v>110</v>
      </c>
      <c r="E48" s="5">
        <v>6623</v>
      </c>
      <c r="F48" s="6">
        <v>81.870214500000003</v>
      </c>
      <c r="G48" s="7">
        <v>1.0014369E-2</v>
      </c>
      <c r="H48" s="106"/>
    </row>
    <row r="49" spans="1:8" ht="17.100000000000001" customHeight="1" x14ac:dyDescent="0.2">
      <c r="A49" s="3">
        <v>43</v>
      </c>
      <c r="B49" s="4" t="s">
        <v>400</v>
      </c>
      <c r="C49" s="4" t="s">
        <v>401</v>
      </c>
      <c r="D49" s="4" t="s">
        <v>31</v>
      </c>
      <c r="E49" s="5">
        <v>9582</v>
      </c>
      <c r="F49" s="6">
        <v>81.049346999999997</v>
      </c>
      <c r="G49" s="7">
        <v>9.9139599999999994E-3</v>
      </c>
      <c r="H49" s="106"/>
    </row>
    <row r="50" spans="1:8" ht="17.100000000000001" customHeight="1" x14ac:dyDescent="0.2">
      <c r="A50" s="3">
        <v>44</v>
      </c>
      <c r="B50" s="4" t="s">
        <v>246</v>
      </c>
      <c r="C50" s="4" t="s">
        <v>247</v>
      </c>
      <c r="D50" s="4" t="s">
        <v>99</v>
      </c>
      <c r="E50" s="5">
        <v>12364</v>
      </c>
      <c r="F50" s="6">
        <v>77.676829999999995</v>
      </c>
      <c r="G50" s="7">
        <v>9.5014339999999996E-3</v>
      </c>
      <c r="H50" s="106"/>
    </row>
    <row r="51" spans="1:8" ht="29.1" customHeight="1" x14ac:dyDescent="0.2">
      <c r="A51" s="3">
        <v>45</v>
      </c>
      <c r="B51" s="4" t="s">
        <v>443</v>
      </c>
      <c r="C51" s="4" t="s">
        <v>444</v>
      </c>
      <c r="D51" s="4" t="s">
        <v>204</v>
      </c>
      <c r="E51" s="5">
        <v>3920</v>
      </c>
      <c r="F51" s="6">
        <v>77.361199999999997</v>
      </c>
      <c r="G51" s="7">
        <v>9.4628260000000006E-3</v>
      </c>
      <c r="H51" s="106"/>
    </row>
    <row r="52" spans="1:8" ht="17.100000000000001" customHeight="1" x14ac:dyDescent="0.2">
      <c r="A52" s="3">
        <v>46</v>
      </c>
      <c r="B52" s="4" t="s">
        <v>468</v>
      </c>
      <c r="C52" s="4" t="s">
        <v>469</v>
      </c>
      <c r="D52" s="4" t="s">
        <v>41</v>
      </c>
      <c r="E52" s="5">
        <v>10066</v>
      </c>
      <c r="F52" s="6">
        <v>71.941702000000006</v>
      </c>
      <c r="G52" s="7">
        <v>8.799912E-3</v>
      </c>
      <c r="H52" s="106"/>
    </row>
    <row r="53" spans="1:8" ht="17.100000000000001" customHeight="1" x14ac:dyDescent="0.2">
      <c r="A53" s="3">
        <v>47</v>
      </c>
      <c r="B53" s="4" t="s">
        <v>418</v>
      </c>
      <c r="C53" s="4" t="s">
        <v>419</v>
      </c>
      <c r="D53" s="4" t="s">
        <v>13</v>
      </c>
      <c r="E53" s="5">
        <v>15004</v>
      </c>
      <c r="F53" s="6">
        <v>71.321513999999993</v>
      </c>
      <c r="G53" s="7">
        <v>8.724051E-3</v>
      </c>
      <c r="H53" s="106"/>
    </row>
    <row r="54" spans="1:8" ht="17.100000000000001" customHeight="1" x14ac:dyDescent="0.2">
      <c r="A54" s="3">
        <v>48</v>
      </c>
      <c r="B54" s="4" t="s">
        <v>44</v>
      </c>
      <c r="C54" s="4" t="s">
        <v>45</v>
      </c>
      <c r="D54" s="4" t="s">
        <v>31</v>
      </c>
      <c r="E54" s="5">
        <v>2121</v>
      </c>
      <c r="F54" s="6">
        <v>71.244389999999996</v>
      </c>
      <c r="G54" s="7">
        <v>8.7146169999999992E-3</v>
      </c>
      <c r="H54" s="106"/>
    </row>
    <row r="55" spans="1:8" ht="17.100000000000001" customHeight="1" x14ac:dyDescent="0.2">
      <c r="A55" s="3">
        <v>49</v>
      </c>
      <c r="B55" s="4" t="s">
        <v>406</v>
      </c>
      <c r="C55" s="4" t="s">
        <v>407</v>
      </c>
      <c r="D55" s="4" t="s">
        <v>99</v>
      </c>
      <c r="E55" s="5">
        <v>7194</v>
      </c>
      <c r="F55" s="6">
        <v>70.155888000000004</v>
      </c>
      <c r="G55" s="7">
        <v>8.5814719999999997E-3</v>
      </c>
      <c r="H55" s="106"/>
    </row>
    <row r="56" spans="1:8" ht="29.1" customHeight="1" x14ac:dyDescent="0.2">
      <c r="A56" s="3">
        <v>50</v>
      </c>
      <c r="B56" s="4" t="s">
        <v>402</v>
      </c>
      <c r="C56" s="4" t="s">
        <v>403</v>
      </c>
      <c r="D56" s="4" t="s">
        <v>319</v>
      </c>
      <c r="E56" s="5">
        <v>16626</v>
      </c>
      <c r="F56" s="6">
        <v>69.588122999999996</v>
      </c>
      <c r="G56" s="7">
        <v>8.5120230000000005E-3</v>
      </c>
      <c r="H56" s="106"/>
    </row>
    <row r="57" spans="1:8" ht="17.100000000000001" customHeight="1" x14ac:dyDescent="0.2">
      <c r="A57" s="3">
        <v>51</v>
      </c>
      <c r="B57" s="4" t="s">
        <v>404</v>
      </c>
      <c r="C57" s="4" t="s">
        <v>405</v>
      </c>
      <c r="D57" s="4" t="s">
        <v>13</v>
      </c>
      <c r="E57" s="5">
        <v>88984</v>
      </c>
      <c r="F57" s="6">
        <v>65.848159999999993</v>
      </c>
      <c r="G57" s="7">
        <v>8.0545500000000006E-3</v>
      </c>
      <c r="H57" s="106"/>
    </row>
    <row r="58" spans="1:8" ht="17.100000000000001" customHeight="1" x14ac:dyDescent="0.2">
      <c r="A58" s="3">
        <v>52</v>
      </c>
      <c r="B58" s="4" t="s">
        <v>447</v>
      </c>
      <c r="C58" s="4" t="s">
        <v>448</v>
      </c>
      <c r="D58" s="4" t="s">
        <v>268</v>
      </c>
      <c r="E58" s="5">
        <v>20765</v>
      </c>
      <c r="F58" s="6">
        <v>62.5753275</v>
      </c>
      <c r="G58" s="7">
        <v>7.6542169999999996E-3</v>
      </c>
      <c r="H58" s="106"/>
    </row>
    <row r="59" spans="1:8" ht="17.100000000000001" customHeight="1" x14ac:dyDescent="0.2">
      <c r="A59" s="3">
        <v>53</v>
      </c>
      <c r="B59" s="4" t="s">
        <v>412</v>
      </c>
      <c r="C59" s="4" t="s">
        <v>413</v>
      </c>
      <c r="D59" s="4" t="s">
        <v>193</v>
      </c>
      <c r="E59" s="5">
        <v>7374</v>
      </c>
      <c r="F59" s="6">
        <v>60.404121000000004</v>
      </c>
      <c r="G59" s="7">
        <v>7.3886350000000002E-3</v>
      </c>
      <c r="H59" s="106"/>
    </row>
    <row r="60" spans="1:8" ht="17.100000000000001" customHeight="1" x14ac:dyDescent="0.2">
      <c r="A60" s="3">
        <v>54</v>
      </c>
      <c r="B60" s="4" t="s">
        <v>432</v>
      </c>
      <c r="C60" s="4" t="s">
        <v>433</v>
      </c>
      <c r="D60" s="4" t="s">
        <v>89</v>
      </c>
      <c r="E60" s="5">
        <v>8175</v>
      </c>
      <c r="F60" s="6">
        <v>55.238475000000001</v>
      </c>
      <c r="G60" s="7">
        <v>6.7567729999999998E-3</v>
      </c>
      <c r="H60" s="106"/>
    </row>
    <row r="61" spans="1:8" ht="17.100000000000001" customHeight="1" x14ac:dyDescent="0.2">
      <c r="A61" s="3">
        <v>55</v>
      </c>
      <c r="B61" s="4" t="s">
        <v>94</v>
      </c>
      <c r="C61" s="4" t="s">
        <v>95</v>
      </c>
      <c r="D61" s="4" t="s">
        <v>96</v>
      </c>
      <c r="E61" s="5">
        <v>10971</v>
      </c>
      <c r="F61" s="6">
        <v>54.805630499999999</v>
      </c>
      <c r="G61" s="7">
        <v>6.7038269999999999E-3</v>
      </c>
      <c r="H61" s="106"/>
    </row>
    <row r="62" spans="1:8" ht="29.1" customHeight="1" x14ac:dyDescent="0.2">
      <c r="A62" s="3">
        <v>56</v>
      </c>
      <c r="B62" s="4" t="s">
        <v>424</v>
      </c>
      <c r="C62" s="4" t="s">
        <v>425</v>
      </c>
      <c r="D62" s="4" t="s">
        <v>110</v>
      </c>
      <c r="E62" s="5">
        <v>3957</v>
      </c>
      <c r="F62" s="6">
        <v>46.924084499999999</v>
      </c>
      <c r="G62" s="7">
        <v>5.7397560000000004E-3</v>
      </c>
      <c r="H62" s="106"/>
    </row>
    <row r="63" spans="1:8" ht="17.100000000000001" customHeight="1" x14ac:dyDescent="0.2">
      <c r="A63" s="3">
        <v>57</v>
      </c>
      <c r="B63" s="4" t="s">
        <v>436</v>
      </c>
      <c r="C63" s="4" t="s">
        <v>437</v>
      </c>
      <c r="D63" s="4" t="s">
        <v>16</v>
      </c>
      <c r="E63" s="5">
        <v>20028</v>
      </c>
      <c r="F63" s="6">
        <v>45.513629999999999</v>
      </c>
      <c r="G63" s="7">
        <v>5.5672289999999999E-3</v>
      </c>
      <c r="H63" s="106"/>
    </row>
    <row r="64" spans="1:8" ht="17.100000000000001" customHeight="1" x14ac:dyDescent="0.2">
      <c r="A64" s="3">
        <v>58</v>
      </c>
      <c r="B64" s="4" t="s">
        <v>422</v>
      </c>
      <c r="C64" s="4" t="s">
        <v>423</v>
      </c>
      <c r="D64" s="4" t="s">
        <v>237</v>
      </c>
      <c r="E64" s="5">
        <v>5369</v>
      </c>
      <c r="F64" s="6">
        <v>39.4809415</v>
      </c>
      <c r="G64" s="7">
        <v>4.8293110000000002E-3</v>
      </c>
      <c r="H64" s="106"/>
    </row>
    <row r="65" spans="1:8" ht="17.100000000000001" customHeight="1" x14ac:dyDescent="0.2">
      <c r="A65" s="3">
        <v>59</v>
      </c>
      <c r="B65" s="4" t="s">
        <v>426</v>
      </c>
      <c r="C65" s="4" t="s">
        <v>427</v>
      </c>
      <c r="D65" s="4" t="s">
        <v>31</v>
      </c>
      <c r="E65" s="5">
        <v>4345</v>
      </c>
      <c r="F65" s="6">
        <v>34.477575000000002</v>
      </c>
      <c r="G65" s="7">
        <v>4.2172989999999999E-3</v>
      </c>
      <c r="H65" s="106"/>
    </row>
    <row r="66" spans="1:8" ht="29.1" customHeight="1" x14ac:dyDescent="0.2">
      <c r="A66" s="3">
        <v>60</v>
      </c>
      <c r="B66" s="4" t="s">
        <v>428</v>
      </c>
      <c r="C66" s="4" t="s">
        <v>429</v>
      </c>
      <c r="D66" s="4" t="s">
        <v>204</v>
      </c>
      <c r="E66" s="5">
        <v>792</v>
      </c>
      <c r="F66" s="6">
        <v>31.940172</v>
      </c>
      <c r="G66" s="7">
        <v>3.9069229999999996E-3</v>
      </c>
      <c r="H66" s="106"/>
    </row>
    <row r="67" spans="1:8" ht="17.100000000000001" customHeight="1" x14ac:dyDescent="0.2">
      <c r="A67" s="3">
        <v>61</v>
      </c>
      <c r="B67" s="4" t="s">
        <v>337</v>
      </c>
      <c r="C67" s="4" t="s">
        <v>338</v>
      </c>
      <c r="D67" s="4" t="s">
        <v>96</v>
      </c>
      <c r="E67" s="5">
        <v>41500</v>
      </c>
      <c r="F67" s="6">
        <v>30.9175</v>
      </c>
      <c r="G67" s="7">
        <v>3.7818299999999999E-3</v>
      </c>
      <c r="H67" s="106"/>
    </row>
    <row r="68" spans="1:8" ht="17.100000000000001" customHeight="1" x14ac:dyDescent="0.2">
      <c r="A68" s="3">
        <v>62</v>
      </c>
      <c r="B68" s="4" t="s">
        <v>454</v>
      </c>
      <c r="C68" s="4" t="s">
        <v>455</v>
      </c>
      <c r="D68" s="4" t="s">
        <v>110</v>
      </c>
      <c r="E68" s="5">
        <v>10376</v>
      </c>
      <c r="F68" s="6">
        <v>29.426335999999999</v>
      </c>
      <c r="G68" s="7">
        <v>3.5994310000000002E-3</v>
      </c>
      <c r="H68" s="106"/>
    </row>
    <row r="69" spans="1:8" ht="29.1" customHeight="1" x14ac:dyDescent="0.2">
      <c r="A69" s="3">
        <v>63</v>
      </c>
      <c r="B69" s="4" t="s">
        <v>430</v>
      </c>
      <c r="C69" s="4" t="s">
        <v>431</v>
      </c>
      <c r="D69" s="4" t="s">
        <v>204</v>
      </c>
      <c r="E69" s="5">
        <v>12902</v>
      </c>
      <c r="F69" s="6">
        <v>29.177873000000002</v>
      </c>
      <c r="G69" s="7">
        <v>3.569039E-3</v>
      </c>
      <c r="H69" s="106"/>
    </row>
    <row r="70" spans="1:8" ht="29.1" customHeight="1" x14ac:dyDescent="0.2">
      <c r="A70" s="3">
        <v>64</v>
      </c>
      <c r="B70" s="4" t="s">
        <v>329</v>
      </c>
      <c r="C70" s="4" t="s">
        <v>330</v>
      </c>
      <c r="D70" s="4" t="s">
        <v>188</v>
      </c>
      <c r="E70" s="5">
        <v>6070</v>
      </c>
      <c r="F70" s="6">
        <v>22.774640000000002</v>
      </c>
      <c r="G70" s="7">
        <v>2.7857950000000002E-3</v>
      </c>
      <c r="H70" s="106"/>
    </row>
    <row r="71" spans="1:8" ht="29.1" customHeight="1" x14ac:dyDescent="0.2">
      <c r="A71" s="3">
        <v>65</v>
      </c>
      <c r="B71" s="4" t="s">
        <v>434</v>
      </c>
      <c r="C71" s="4" t="s">
        <v>435</v>
      </c>
      <c r="D71" s="4" t="s">
        <v>62</v>
      </c>
      <c r="E71" s="5">
        <v>3799</v>
      </c>
      <c r="F71" s="6">
        <v>15.9045135</v>
      </c>
      <c r="G71" s="7">
        <v>1.945441E-3</v>
      </c>
      <c r="H71" s="106"/>
    </row>
    <row r="72" spans="1:8" ht="29.1" customHeight="1" x14ac:dyDescent="0.2">
      <c r="A72" s="3">
        <v>66</v>
      </c>
      <c r="B72" s="4" t="s">
        <v>456</v>
      </c>
      <c r="C72" s="4" t="s">
        <v>457</v>
      </c>
      <c r="D72" s="4" t="s">
        <v>188</v>
      </c>
      <c r="E72" s="5">
        <v>1852</v>
      </c>
      <c r="F72" s="6">
        <v>12.396362</v>
      </c>
      <c r="G72" s="7">
        <v>1.5163240000000001E-3</v>
      </c>
      <c r="H72" s="106"/>
    </row>
    <row r="73" spans="1:8" ht="14.1" customHeight="1" x14ac:dyDescent="0.2">
      <c r="A73" s="1"/>
      <c r="B73" s="1"/>
      <c r="C73" s="2" t="s">
        <v>130</v>
      </c>
      <c r="D73" s="1"/>
      <c r="E73" s="1" t="s">
        <v>131</v>
      </c>
      <c r="F73" s="9">
        <v>7290.8589229999998</v>
      </c>
      <c r="G73" s="10">
        <v>0.89181821400000005</v>
      </c>
      <c r="H73" s="106"/>
    </row>
    <row r="74" spans="1:8" ht="14.1" customHeight="1" x14ac:dyDescent="0.2">
      <c r="A74" s="1"/>
      <c r="B74" s="1"/>
      <c r="C74" s="11"/>
      <c r="D74" s="1"/>
      <c r="E74" s="1"/>
      <c r="F74" s="12"/>
      <c r="G74" s="12"/>
      <c r="H74" s="106"/>
    </row>
    <row r="75" spans="1:8" ht="14.1" customHeight="1" x14ac:dyDescent="0.2">
      <c r="A75" s="1"/>
      <c r="B75" s="1"/>
      <c r="C75" s="2" t="s">
        <v>132</v>
      </c>
      <c r="D75" s="1"/>
      <c r="E75" s="1"/>
      <c r="F75" s="1"/>
      <c r="G75" s="1"/>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4.1" customHeight="1" x14ac:dyDescent="0.2">
      <c r="A78" s="1"/>
      <c r="B78" s="1"/>
      <c r="C78" s="2" t="s">
        <v>133</v>
      </c>
      <c r="D78" s="1"/>
      <c r="E78" s="1"/>
      <c r="F78" s="1"/>
      <c r="G78" s="1"/>
      <c r="H78" s="106"/>
    </row>
    <row r="79" spans="1:8" ht="14.1" customHeight="1" x14ac:dyDescent="0.2">
      <c r="A79" s="1"/>
      <c r="B79" s="1"/>
      <c r="C79" s="2" t="s">
        <v>130</v>
      </c>
      <c r="D79" s="1"/>
      <c r="E79" s="1" t="s">
        <v>131</v>
      </c>
      <c r="F79" s="13">
        <v>0</v>
      </c>
      <c r="G79" s="14">
        <v>0</v>
      </c>
      <c r="H79" s="106"/>
    </row>
    <row r="80" spans="1:8" ht="14.1" customHeight="1" x14ac:dyDescent="0.2">
      <c r="A80" s="1"/>
      <c r="B80" s="1"/>
      <c r="C80" s="11"/>
      <c r="D80" s="1"/>
      <c r="E80" s="1"/>
      <c r="F80" s="12"/>
      <c r="G80" s="12"/>
      <c r="H80" s="106"/>
    </row>
    <row r="81" spans="1:8" ht="14.1" customHeight="1" x14ac:dyDescent="0.2">
      <c r="A81" s="1"/>
      <c r="B81" s="1"/>
      <c r="C81" s="2" t="s">
        <v>134</v>
      </c>
      <c r="D81" s="1"/>
      <c r="E81" s="1"/>
      <c r="F81" s="1"/>
      <c r="G81" s="1"/>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135</v>
      </c>
      <c r="D84" s="1"/>
      <c r="E84" s="1"/>
      <c r="F84" s="12"/>
      <c r="G84" s="12"/>
      <c r="H84" s="106"/>
    </row>
    <row r="85" spans="1:8" ht="14.1" customHeight="1" x14ac:dyDescent="0.2">
      <c r="A85" s="1"/>
      <c r="B85" s="1"/>
      <c r="C85" s="2" t="s">
        <v>130</v>
      </c>
      <c r="D85" s="1"/>
      <c r="E85" s="1" t="s">
        <v>131</v>
      </c>
      <c r="F85" s="13">
        <v>0</v>
      </c>
      <c r="G85" s="14">
        <v>0</v>
      </c>
      <c r="H85" s="106"/>
    </row>
    <row r="86" spans="1:8" ht="14.1" customHeight="1" x14ac:dyDescent="0.2">
      <c r="A86" s="1"/>
      <c r="B86" s="1"/>
      <c r="C86" s="11"/>
      <c r="D86" s="1"/>
      <c r="E86" s="1"/>
      <c r="F86" s="12"/>
      <c r="G86" s="12"/>
      <c r="H86" s="106"/>
    </row>
    <row r="87" spans="1:8" ht="14.1" customHeight="1" x14ac:dyDescent="0.2">
      <c r="A87" s="1"/>
      <c r="B87" s="1"/>
      <c r="C87" s="2" t="s">
        <v>136</v>
      </c>
      <c r="D87" s="1"/>
      <c r="E87" s="1"/>
      <c r="F87" s="12"/>
      <c r="G87" s="12"/>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8" customHeight="1" x14ac:dyDescent="0.2">
      <c r="A90" s="1"/>
      <c r="B90" s="1"/>
      <c r="C90" s="2" t="s">
        <v>137</v>
      </c>
      <c r="D90" s="1"/>
      <c r="E90" s="1"/>
      <c r="F90" s="9">
        <v>7290.8589229999998</v>
      </c>
      <c r="G90" s="10">
        <v>0.89181821400000005</v>
      </c>
      <c r="H90" s="106"/>
    </row>
    <row r="91" spans="1:8" ht="14.1" customHeight="1" x14ac:dyDescent="0.2">
      <c r="A91" s="1"/>
      <c r="B91" s="1"/>
      <c r="C91" s="11"/>
      <c r="D91" s="1"/>
      <c r="E91" s="1"/>
      <c r="F91" s="12"/>
      <c r="G91" s="12"/>
      <c r="H91" s="106"/>
    </row>
    <row r="92" spans="1:8" ht="14.1" customHeight="1" x14ac:dyDescent="0.2">
      <c r="A92" s="1"/>
      <c r="B92" s="1"/>
      <c r="C92" s="2" t="s">
        <v>138</v>
      </c>
      <c r="D92" s="1"/>
      <c r="E92" s="1"/>
      <c r="F92" s="12"/>
      <c r="G92" s="12"/>
      <c r="H92" s="106"/>
    </row>
    <row r="93" spans="1:8" ht="24" customHeight="1" x14ac:dyDescent="0.2">
      <c r="A93" s="1"/>
      <c r="B93" s="1"/>
      <c r="C93" s="2" t="s">
        <v>10</v>
      </c>
      <c r="D93" s="1"/>
      <c r="E93" s="1"/>
      <c r="F93" s="12"/>
      <c r="G93" s="12"/>
      <c r="H93" s="106"/>
    </row>
    <row r="94" spans="1:8" ht="14.1" customHeight="1" x14ac:dyDescent="0.2">
      <c r="A94" s="1"/>
      <c r="B94" s="1"/>
      <c r="C94" s="2" t="s">
        <v>130</v>
      </c>
      <c r="D94" s="1"/>
      <c r="E94" s="1" t="s">
        <v>131</v>
      </c>
      <c r="F94" s="13">
        <v>0</v>
      </c>
      <c r="G94" s="14">
        <v>0</v>
      </c>
      <c r="H94" s="106"/>
    </row>
    <row r="95" spans="1:8" ht="14.1" customHeight="1" x14ac:dyDescent="0.2">
      <c r="A95" s="1"/>
      <c r="B95" s="1"/>
      <c r="C95" s="11"/>
      <c r="D95" s="1"/>
      <c r="E95" s="1"/>
      <c r="F95" s="12"/>
      <c r="G95" s="12"/>
      <c r="H95" s="106"/>
    </row>
    <row r="96" spans="1:8" ht="14.1" customHeight="1" x14ac:dyDescent="0.2">
      <c r="A96" s="1"/>
      <c r="B96" s="1"/>
      <c r="C96" s="2" t="s">
        <v>139</v>
      </c>
      <c r="D96" s="1"/>
      <c r="E96" s="1"/>
      <c r="F96" s="1"/>
      <c r="G96" s="1"/>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140</v>
      </c>
      <c r="D99" s="1"/>
      <c r="E99" s="1"/>
      <c r="F99" s="1"/>
      <c r="G99" s="1"/>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141</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142</v>
      </c>
      <c r="D105" s="1"/>
      <c r="E105" s="1"/>
      <c r="F105" s="9">
        <v>0</v>
      </c>
      <c r="G105" s="10">
        <v>0</v>
      </c>
      <c r="H105" s="106"/>
    </row>
    <row r="106" spans="1:8" ht="14.1" customHeight="1" x14ac:dyDescent="0.2">
      <c r="A106" s="1"/>
      <c r="B106" s="1"/>
      <c r="C106" s="11"/>
      <c r="D106" s="1"/>
      <c r="E106" s="1"/>
      <c r="F106" s="12"/>
      <c r="G106" s="12"/>
      <c r="H106" s="106"/>
    </row>
    <row r="107" spans="1:8" ht="14.1" customHeight="1" x14ac:dyDescent="0.2">
      <c r="A107" s="1"/>
      <c r="B107" s="1"/>
      <c r="C107" s="2" t="s">
        <v>143</v>
      </c>
      <c r="D107" s="1"/>
      <c r="E107" s="1"/>
      <c r="F107" s="12"/>
      <c r="G107" s="12"/>
      <c r="H107" s="106"/>
    </row>
    <row r="108" spans="1:8" ht="14.1" customHeight="1" x14ac:dyDescent="0.2">
      <c r="A108" s="1"/>
      <c r="B108" s="1"/>
      <c r="C108" s="2" t="s">
        <v>144</v>
      </c>
      <c r="D108" s="1"/>
      <c r="E108" s="1"/>
      <c r="F108" s="12"/>
      <c r="G108" s="12"/>
      <c r="H108" s="106"/>
    </row>
    <row r="109" spans="1:8" ht="14.1" customHeight="1" x14ac:dyDescent="0.2">
      <c r="A109" s="1"/>
      <c r="B109" s="1"/>
      <c r="C109" s="2" t="s">
        <v>130</v>
      </c>
      <c r="D109" s="1"/>
      <c r="E109" s="1" t="s">
        <v>131</v>
      </c>
      <c r="F109" s="13">
        <v>0</v>
      </c>
      <c r="G109" s="14">
        <v>0</v>
      </c>
      <c r="H109" s="106"/>
    </row>
    <row r="110" spans="1:8" ht="14.1" customHeight="1" x14ac:dyDescent="0.2">
      <c r="A110" s="1"/>
      <c r="B110" s="1"/>
      <c r="C110" s="11"/>
      <c r="D110" s="1"/>
      <c r="E110" s="1"/>
      <c r="F110" s="12"/>
      <c r="G110" s="12"/>
      <c r="H110" s="106"/>
    </row>
    <row r="111" spans="1:8" ht="14.1" customHeight="1" x14ac:dyDescent="0.2">
      <c r="A111" s="1"/>
      <c r="B111" s="1"/>
      <c r="C111" s="2" t="s">
        <v>145</v>
      </c>
      <c r="D111" s="1"/>
      <c r="E111" s="1"/>
      <c r="F111" s="12"/>
      <c r="G111" s="12"/>
      <c r="H111" s="106"/>
    </row>
    <row r="112" spans="1:8" ht="14.1" customHeight="1" x14ac:dyDescent="0.2">
      <c r="A112" s="1"/>
      <c r="B112" s="1"/>
      <c r="C112" s="2" t="s">
        <v>130</v>
      </c>
      <c r="D112" s="1"/>
      <c r="E112" s="1" t="s">
        <v>131</v>
      </c>
      <c r="F112" s="13">
        <v>0</v>
      </c>
      <c r="G112" s="14">
        <v>0</v>
      </c>
      <c r="H112" s="106"/>
    </row>
    <row r="113" spans="1:8" ht="14.1" customHeight="1" x14ac:dyDescent="0.2">
      <c r="A113" s="1"/>
      <c r="B113" s="1"/>
      <c r="C113" s="11"/>
      <c r="D113" s="1"/>
      <c r="E113" s="1"/>
      <c r="F113" s="12"/>
      <c r="G113" s="12"/>
      <c r="H113" s="106"/>
    </row>
    <row r="114" spans="1:8" ht="14.1" customHeight="1" x14ac:dyDescent="0.2">
      <c r="A114" s="1"/>
      <c r="B114" s="1"/>
      <c r="C114" s="2" t="s">
        <v>146</v>
      </c>
      <c r="D114" s="1"/>
      <c r="E114" s="1"/>
      <c r="F114" s="12"/>
      <c r="G114" s="12"/>
      <c r="H114" s="106"/>
    </row>
    <row r="115" spans="1:8" ht="14.1" customHeight="1" x14ac:dyDescent="0.2">
      <c r="A115" s="1"/>
      <c r="B115" s="1"/>
      <c r="C115" s="2" t="s">
        <v>130</v>
      </c>
      <c r="D115" s="1"/>
      <c r="E115" s="1" t="s">
        <v>131</v>
      </c>
      <c r="F115" s="13">
        <v>0</v>
      </c>
      <c r="G115" s="14">
        <v>0</v>
      </c>
      <c r="H115" s="106"/>
    </row>
    <row r="116" spans="1:8" ht="14.1" customHeight="1" x14ac:dyDescent="0.2">
      <c r="A116" s="1"/>
      <c r="B116" s="1"/>
      <c r="C116" s="11"/>
      <c r="D116" s="1"/>
      <c r="E116" s="1"/>
      <c r="F116" s="12"/>
      <c r="G116" s="12"/>
      <c r="H116" s="106"/>
    </row>
    <row r="117" spans="1:8" ht="14.1" customHeight="1" x14ac:dyDescent="0.2">
      <c r="A117" s="1"/>
      <c r="B117" s="1"/>
      <c r="C117" s="2" t="s">
        <v>147</v>
      </c>
      <c r="D117" s="1"/>
      <c r="E117" s="1"/>
      <c r="F117" s="12"/>
      <c r="G117" s="12"/>
      <c r="H117" s="106"/>
    </row>
    <row r="118" spans="1:8" ht="17.100000000000001" customHeight="1" x14ac:dyDescent="0.2">
      <c r="A118" s="3">
        <v>1</v>
      </c>
      <c r="B118" s="4"/>
      <c r="C118" s="4" t="s">
        <v>148</v>
      </c>
      <c r="D118" s="4"/>
      <c r="E118" s="8"/>
      <c r="F118" s="6">
        <v>886.82447420000005</v>
      </c>
      <c r="G118" s="7">
        <v>0.10847641199999999</v>
      </c>
      <c r="H118" s="106">
        <v>6.1171451766917002</v>
      </c>
    </row>
    <row r="119" spans="1:8" ht="14.1" customHeight="1" x14ac:dyDescent="0.2">
      <c r="A119" s="1"/>
      <c r="B119" s="1"/>
      <c r="C119" s="2" t="s">
        <v>130</v>
      </c>
      <c r="D119" s="1"/>
      <c r="E119" s="1" t="s">
        <v>131</v>
      </c>
      <c r="F119" s="9">
        <v>886.82447420000005</v>
      </c>
      <c r="G119" s="10">
        <v>0.10847641199999999</v>
      </c>
      <c r="H119" s="106"/>
    </row>
    <row r="120" spans="1:8" ht="14.1" customHeight="1" x14ac:dyDescent="0.2">
      <c r="A120" s="1"/>
      <c r="B120" s="1"/>
      <c r="C120" s="11"/>
      <c r="D120" s="1"/>
      <c r="E120" s="1"/>
      <c r="F120" s="12"/>
      <c r="G120" s="12"/>
      <c r="H120" s="106"/>
    </row>
    <row r="121" spans="1:8" ht="14.1" customHeight="1" x14ac:dyDescent="0.2">
      <c r="A121" s="1"/>
      <c r="B121" s="1"/>
      <c r="C121" s="2" t="s">
        <v>149</v>
      </c>
      <c r="D121" s="1"/>
      <c r="E121" s="1"/>
      <c r="F121" s="9">
        <v>886.82447420000005</v>
      </c>
      <c r="G121" s="10">
        <v>0.10847641199999999</v>
      </c>
      <c r="H121" s="106"/>
    </row>
    <row r="122" spans="1:8" ht="14.1" customHeight="1" x14ac:dyDescent="0.2">
      <c r="A122" s="1"/>
      <c r="B122" s="1"/>
      <c r="C122" s="12"/>
      <c r="D122" s="1"/>
      <c r="E122" s="1"/>
      <c r="F122" s="1"/>
      <c r="G122" s="1"/>
      <c r="H122" s="106"/>
    </row>
    <row r="123" spans="1:8" ht="14.1" customHeight="1" x14ac:dyDescent="0.2">
      <c r="A123" s="1"/>
      <c r="B123" s="1"/>
      <c r="C123" s="2" t="s">
        <v>150</v>
      </c>
      <c r="D123" s="1"/>
      <c r="E123" s="1"/>
      <c r="F123" s="1"/>
      <c r="G123" s="1"/>
      <c r="H123" s="106"/>
    </row>
    <row r="124" spans="1:8" ht="14.1" customHeight="1" x14ac:dyDescent="0.2">
      <c r="A124" s="1"/>
      <c r="B124" s="1"/>
      <c r="C124" s="2" t="s">
        <v>151</v>
      </c>
      <c r="D124" s="1"/>
      <c r="E124" s="1"/>
      <c r="F124" s="1"/>
      <c r="G124" s="1"/>
      <c r="H124" s="106"/>
    </row>
    <row r="125" spans="1:8" ht="14.1" customHeight="1" x14ac:dyDescent="0.2">
      <c r="A125" s="1"/>
      <c r="B125" s="1"/>
      <c r="C125" s="2" t="s">
        <v>130</v>
      </c>
      <c r="D125" s="1"/>
      <c r="E125" s="1" t="s">
        <v>131</v>
      </c>
      <c r="F125" s="13">
        <v>0</v>
      </c>
      <c r="G125" s="14">
        <v>0</v>
      </c>
      <c r="H125" s="106"/>
    </row>
    <row r="126" spans="1:8" ht="14.1" customHeight="1" x14ac:dyDescent="0.2">
      <c r="A126" s="1"/>
      <c r="B126" s="1"/>
      <c r="C126" s="11"/>
      <c r="D126" s="1"/>
      <c r="E126" s="1"/>
      <c r="F126" s="12"/>
      <c r="G126" s="12"/>
      <c r="H126" s="106"/>
    </row>
    <row r="127" spans="1:8" ht="14.1" customHeight="1" x14ac:dyDescent="0.2">
      <c r="A127" s="1"/>
      <c r="B127" s="1"/>
      <c r="C127" s="2" t="s">
        <v>152</v>
      </c>
      <c r="D127" s="1"/>
      <c r="E127" s="1"/>
      <c r="F127" s="1"/>
      <c r="G127" s="1"/>
      <c r="H127" s="106"/>
    </row>
    <row r="128" spans="1:8" ht="14.1" customHeight="1" x14ac:dyDescent="0.2">
      <c r="A128" s="1"/>
      <c r="B128" s="1"/>
      <c r="C128" s="2" t="s">
        <v>153</v>
      </c>
      <c r="D128" s="1"/>
      <c r="E128" s="1"/>
      <c r="F128" s="1"/>
      <c r="G128" s="1"/>
      <c r="H128" s="106"/>
    </row>
    <row r="129" spans="1:8" ht="14.1" customHeight="1" x14ac:dyDescent="0.2">
      <c r="A129" s="1"/>
      <c r="B129" s="1"/>
      <c r="C129" s="2" t="s">
        <v>130</v>
      </c>
      <c r="D129" s="1"/>
      <c r="E129" s="1" t="s">
        <v>131</v>
      </c>
      <c r="F129" s="13">
        <v>0</v>
      </c>
      <c r="G129" s="14">
        <v>0</v>
      </c>
      <c r="H129" s="106"/>
    </row>
    <row r="130" spans="1:8" ht="14.1" customHeight="1" x14ac:dyDescent="0.2">
      <c r="A130" s="1"/>
      <c r="B130" s="1"/>
      <c r="C130" s="11"/>
      <c r="D130" s="1"/>
      <c r="E130" s="1"/>
      <c r="F130" s="12"/>
      <c r="G130" s="12"/>
      <c r="H130" s="106"/>
    </row>
    <row r="131" spans="1:8" ht="14.1" customHeight="1" x14ac:dyDescent="0.2">
      <c r="A131" s="1"/>
      <c r="B131" s="1"/>
      <c r="C131" s="11"/>
      <c r="D131" s="1"/>
      <c r="E131" s="1"/>
      <c r="F131" s="12"/>
      <c r="G131" s="12"/>
      <c r="H131" s="106"/>
    </row>
    <row r="132" spans="1:8" ht="24" customHeight="1" x14ac:dyDescent="0.2">
      <c r="A132" s="1"/>
      <c r="B132" s="1"/>
      <c r="C132" s="2" t="s">
        <v>154</v>
      </c>
      <c r="D132" s="1"/>
      <c r="E132" s="1"/>
      <c r="F132" s="12"/>
      <c r="G132" s="12"/>
      <c r="H132" s="106"/>
    </row>
    <row r="133" spans="1:8" ht="14.1" customHeight="1" x14ac:dyDescent="0.2">
      <c r="A133" s="1"/>
      <c r="B133" s="1"/>
      <c r="C133" s="2" t="s">
        <v>130</v>
      </c>
      <c r="D133" s="1"/>
      <c r="E133" s="1" t="s">
        <v>131</v>
      </c>
      <c r="F133" s="13">
        <v>0</v>
      </c>
      <c r="G133" s="14">
        <v>0</v>
      </c>
      <c r="H133" s="106"/>
    </row>
    <row r="134" spans="1:8" ht="14.1" customHeight="1" x14ac:dyDescent="0.2">
      <c r="A134" s="1"/>
      <c r="B134" s="1"/>
      <c r="C134" s="11"/>
      <c r="D134" s="1"/>
      <c r="E134" s="1"/>
      <c r="F134" s="12"/>
      <c r="G134" s="12"/>
      <c r="H134" s="106"/>
    </row>
    <row r="135" spans="1:8" ht="14.1" customHeight="1" x14ac:dyDescent="0.2">
      <c r="A135" s="1"/>
      <c r="B135" s="4"/>
      <c r="C135" s="4"/>
      <c r="D135" s="2"/>
      <c r="E135" s="1"/>
      <c r="F135" s="4"/>
      <c r="G135" s="8"/>
      <c r="H135" s="106"/>
    </row>
    <row r="136" spans="1:8" ht="18" customHeight="1" x14ac:dyDescent="0.2">
      <c r="A136" s="8"/>
      <c r="B136" s="4"/>
      <c r="C136" s="4" t="s">
        <v>155</v>
      </c>
      <c r="D136" s="4"/>
      <c r="E136" s="8"/>
      <c r="F136" s="6">
        <v>-2.4086633200000001</v>
      </c>
      <c r="G136" s="7">
        <v>-2.9462800000000001E-4</v>
      </c>
      <c r="H136" s="106"/>
    </row>
    <row r="137" spans="1:8" ht="14.1" customHeight="1" x14ac:dyDescent="0.2">
      <c r="A137" s="11"/>
      <c r="B137" s="11"/>
      <c r="C137" s="2" t="s">
        <v>156</v>
      </c>
      <c r="D137" s="15"/>
      <c r="E137" s="15"/>
      <c r="F137" s="9">
        <v>8175.2747534800001</v>
      </c>
      <c r="G137" s="10">
        <v>1</v>
      </c>
      <c r="H137" s="106"/>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279" t="s">
        <v>158</v>
      </c>
      <c r="C140" s="280"/>
      <c r="D140" s="12" t="s">
        <v>131</v>
      </c>
      <c r="E140" s="21"/>
      <c r="F140" s="20"/>
      <c r="G140" s="20"/>
    </row>
    <row r="141" spans="1:8" ht="29.1" customHeight="1" x14ac:dyDescent="0.2">
      <c r="A141" s="18"/>
      <c r="B141" s="274" t="s">
        <v>159</v>
      </c>
      <c r="C141" s="275"/>
      <c r="D141" s="2" t="s">
        <v>160</v>
      </c>
      <c r="E141" s="21"/>
      <c r="F141" s="20"/>
      <c r="G141" s="20"/>
    </row>
    <row r="142" spans="1:8" ht="17.100000000000001" customHeight="1" x14ac:dyDescent="0.2">
      <c r="A142" s="18"/>
      <c r="B142" s="274" t="s">
        <v>161</v>
      </c>
      <c r="C142" s="275"/>
      <c r="D142" s="2" t="s">
        <v>160</v>
      </c>
      <c r="E142" s="21"/>
      <c r="F142" s="20"/>
      <c r="G142" s="20"/>
    </row>
    <row r="143" spans="1:8" ht="17.100000000000001" customHeight="1" x14ac:dyDescent="0.2">
      <c r="A143" s="18"/>
      <c r="B143" s="274" t="s">
        <v>162</v>
      </c>
      <c r="C143" s="275"/>
      <c r="D143" s="12" t="s">
        <v>131</v>
      </c>
      <c r="E143" s="21"/>
      <c r="F143" s="20"/>
      <c r="G143" s="20"/>
    </row>
    <row r="144" spans="1:8" ht="24" customHeight="1" x14ac:dyDescent="0.2">
      <c r="A144" s="22"/>
      <c r="B144" s="23" t="s">
        <v>131</v>
      </c>
      <c r="C144" s="23" t="s">
        <v>163</v>
      </c>
      <c r="D144" s="23" t="s">
        <v>164</v>
      </c>
      <c r="E144" s="22"/>
      <c r="F144" s="22"/>
      <c r="G144" s="22"/>
    </row>
    <row r="145" spans="1:7" ht="18" customHeight="1" x14ac:dyDescent="0.2">
      <c r="A145" s="22"/>
      <c r="B145" s="23" t="s">
        <v>165</v>
      </c>
      <c r="C145" s="23" t="s">
        <v>166</v>
      </c>
      <c r="D145" s="23" t="s">
        <v>167</v>
      </c>
      <c r="E145" s="22"/>
      <c r="F145" s="22"/>
      <c r="G145" s="22"/>
    </row>
    <row r="146" spans="1:7" ht="17.100000000000001" customHeight="1" x14ac:dyDescent="0.2">
      <c r="A146" s="22"/>
      <c r="B146" s="4" t="s">
        <v>168</v>
      </c>
      <c r="C146" s="24">
        <v>20.529900000000001</v>
      </c>
      <c r="D146" s="24">
        <v>20.689599999999999</v>
      </c>
      <c r="E146" s="22"/>
      <c r="F146" s="19"/>
      <c r="G146" s="25"/>
    </row>
    <row r="147" spans="1:7" ht="17.100000000000001" customHeight="1" x14ac:dyDescent="0.2">
      <c r="A147" s="22"/>
      <c r="B147" s="4" t="s">
        <v>1048</v>
      </c>
      <c r="C147" s="24">
        <v>19.799900000000001</v>
      </c>
      <c r="D147" s="24">
        <v>19.953900000000001</v>
      </c>
      <c r="E147" s="22"/>
      <c r="F147" s="19"/>
      <c r="G147" s="25"/>
    </row>
    <row r="148" spans="1:7" ht="17.100000000000001" customHeight="1" x14ac:dyDescent="0.2">
      <c r="A148" s="22"/>
      <c r="B148" s="4" t="s">
        <v>169</v>
      </c>
      <c r="C148" s="24">
        <v>20.032900000000001</v>
      </c>
      <c r="D148" s="24">
        <v>20.179200000000002</v>
      </c>
      <c r="E148" s="22"/>
      <c r="F148" s="19"/>
      <c r="G148" s="25"/>
    </row>
    <row r="149" spans="1:7" ht="17.100000000000001" customHeight="1" x14ac:dyDescent="0.2">
      <c r="A149" s="22"/>
      <c r="B149" s="4" t="s">
        <v>1049</v>
      </c>
      <c r="C149" s="24">
        <v>19.308499999999999</v>
      </c>
      <c r="D149" s="24">
        <v>19.4495</v>
      </c>
      <c r="E149" s="22"/>
      <c r="F149" s="19"/>
      <c r="G149" s="25"/>
    </row>
    <row r="150" spans="1:7" ht="14.1" customHeight="1" x14ac:dyDescent="0.2">
      <c r="A150" s="22"/>
      <c r="B150" s="22"/>
      <c r="C150" s="22"/>
      <c r="D150" s="22"/>
      <c r="E150" s="22"/>
      <c r="F150" s="22"/>
      <c r="G150" s="22"/>
    </row>
    <row r="151" spans="1:7" ht="17.100000000000001" customHeight="1" x14ac:dyDescent="0.2">
      <c r="A151" s="22"/>
      <c r="B151" s="274" t="s">
        <v>1060</v>
      </c>
      <c r="C151" s="275"/>
      <c r="D151" s="2" t="s">
        <v>160</v>
      </c>
      <c r="E151" s="22"/>
      <c r="F151" s="22"/>
      <c r="G151" s="22"/>
    </row>
    <row r="152" spans="1:7" ht="18" customHeight="1" x14ac:dyDescent="0.2">
      <c r="A152" s="22"/>
      <c r="B152" s="26" t="s">
        <v>170</v>
      </c>
      <c r="C152" s="26" t="s">
        <v>170</v>
      </c>
      <c r="D152" s="26"/>
      <c r="E152" s="22"/>
      <c r="F152" s="22"/>
      <c r="G152" s="22"/>
    </row>
    <row r="153" spans="1:7" ht="29.1" customHeight="1" x14ac:dyDescent="0.2">
      <c r="A153" s="22"/>
      <c r="B153" s="274" t="s">
        <v>171</v>
      </c>
      <c r="C153" s="275"/>
      <c r="D153" s="2" t="s">
        <v>160</v>
      </c>
      <c r="E153" s="22"/>
      <c r="F153" s="22"/>
      <c r="G153" s="22"/>
    </row>
    <row r="154" spans="1:7" ht="29.1" customHeight="1" x14ac:dyDescent="0.2">
      <c r="A154" s="22"/>
      <c r="B154" s="274" t="s">
        <v>172</v>
      </c>
      <c r="C154" s="275"/>
      <c r="D154" s="2" t="s">
        <v>160</v>
      </c>
      <c r="E154" s="22"/>
      <c r="F154" s="22"/>
      <c r="G154" s="22"/>
    </row>
    <row r="155" spans="1:7" ht="17.100000000000001" customHeight="1" x14ac:dyDescent="0.2">
      <c r="A155" s="22"/>
      <c r="B155" s="274" t="s">
        <v>173</v>
      </c>
      <c r="C155" s="275"/>
      <c r="D155" s="27">
        <v>0.27627647494062907</v>
      </c>
      <c r="E155" s="22"/>
      <c r="F155" s="19"/>
      <c r="G155" s="25"/>
    </row>
    <row r="156" spans="1:7" ht="17.100000000000001" customHeight="1" x14ac:dyDescent="0.2">
      <c r="A156" s="22"/>
      <c r="B156" s="274" t="s">
        <v>174</v>
      </c>
      <c r="C156" s="275"/>
      <c r="D156" s="2" t="s">
        <v>160</v>
      </c>
      <c r="E156" s="22"/>
      <c r="F156" s="22"/>
      <c r="G156" s="22"/>
    </row>
    <row r="163" spans="10:15" x14ac:dyDescent="0.2">
      <c r="J163" s="162"/>
      <c r="K163" s="162"/>
      <c r="L163" s="162"/>
      <c r="M163" s="162"/>
      <c r="N163" s="162"/>
      <c r="O163" s="162"/>
    </row>
  </sheetData>
  <mergeCells count="13">
    <mergeCell ref="J2:N2"/>
    <mergeCell ref="B140:C140"/>
    <mergeCell ref="B155:C155"/>
    <mergeCell ref="A1:H1"/>
    <mergeCell ref="A2:H2"/>
    <mergeCell ref="A3:H3"/>
    <mergeCell ref="B156:C156"/>
    <mergeCell ref="B141:C141"/>
    <mergeCell ref="B142:C142"/>
    <mergeCell ref="B143:C143"/>
    <mergeCell ref="B151:C151"/>
    <mergeCell ref="B153:C153"/>
    <mergeCell ref="B154:C154"/>
  </mergeCells>
  <hyperlinks>
    <hyperlink ref="I1" location="Index!B11" display="Index" xr:uid="{67CF04DB-3F16-4D3F-8929-98A7BF80ABE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6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471</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382</v>
      </c>
      <c r="C7" s="4" t="s">
        <v>383</v>
      </c>
      <c r="D7" s="4" t="s">
        <v>110</v>
      </c>
      <c r="E7" s="5">
        <v>9128</v>
      </c>
      <c r="F7" s="6">
        <v>169.548036</v>
      </c>
      <c r="G7" s="7">
        <v>4.0041857E-2</v>
      </c>
      <c r="H7" s="106"/>
    </row>
    <row r="8" spans="1:14" ht="17.100000000000001" customHeight="1" x14ac:dyDescent="0.2">
      <c r="A8" s="3">
        <v>2</v>
      </c>
      <c r="B8" s="4" t="s">
        <v>29</v>
      </c>
      <c r="C8" s="4" t="s">
        <v>30</v>
      </c>
      <c r="D8" s="4" t="s">
        <v>31</v>
      </c>
      <c r="E8" s="5">
        <v>7409</v>
      </c>
      <c r="F8" s="6">
        <v>154.2072215</v>
      </c>
      <c r="G8" s="7">
        <v>3.6418843999999999E-2</v>
      </c>
      <c r="H8" s="106"/>
    </row>
    <row r="9" spans="1:14" ht="17.100000000000001" customHeight="1" x14ac:dyDescent="0.2">
      <c r="A9" s="3">
        <v>3</v>
      </c>
      <c r="B9" s="4" t="s">
        <v>77</v>
      </c>
      <c r="C9" s="4" t="s">
        <v>78</v>
      </c>
      <c r="D9" s="4" t="s">
        <v>31</v>
      </c>
      <c r="E9" s="5">
        <v>8542</v>
      </c>
      <c r="F9" s="6">
        <v>137.970384</v>
      </c>
      <c r="G9" s="7">
        <v>3.2584218999999998E-2</v>
      </c>
      <c r="H9" s="106"/>
    </row>
    <row r="10" spans="1:14" ht="17.100000000000001" customHeight="1" x14ac:dyDescent="0.2">
      <c r="A10" s="3">
        <v>4</v>
      </c>
      <c r="B10" s="4" t="s">
        <v>108</v>
      </c>
      <c r="C10" s="4" t="s">
        <v>109</v>
      </c>
      <c r="D10" s="4" t="s">
        <v>110</v>
      </c>
      <c r="E10" s="5">
        <v>33781</v>
      </c>
      <c r="F10" s="6">
        <v>125.699101</v>
      </c>
      <c r="G10" s="7">
        <v>2.9686132E-2</v>
      </c>
      <c r="H10" s="106"/>
    </row>
    <row r="11" spans="1:14" ht="29.1" customHeight="1" x14ac:dyDescent="0.2">
      <c r="A11" s="3">
        <v>5</v>
      </c>
      <c r="B11" s="4" t="s">
        <v>189</v>
      </c>
      <c r="C11" s="4" t="s">
        <v>190</v>
      </c>
      <c r="D11" s="4" t="s">
        <v>110</v>
      </c>
      <c r="E11" s="5">
        <v>31926</v>
      </c>
      <c r="F11" s="6">
        <v>115.66789799999999</v>
      </c>
      <c r="G11" s="7">
        <v>2.7317081E-2</v>
      </c>
      <c r="H11" s="106"/>
    </row>
    <row r="12" spans="1:14" ht="17.100000000000001" customHeight="1" x14ac:dyDescent="0.2">
      <c r="A12" s="3">
        <v>6</v>
      </c>
      <c r="B12" s="4" t="s">
        <v>32</v>
      </c>
      <c r="C12" s="4" t="s">
        <v>33</v>
      </c>
      <c r="D12" s="4" t="s">
        <v>31</v>
      </c>
      <c r="E12" s="5">
        <v>5450</v>
      </c>
      <c r="F12" s="6">
        <v>114.6135</v>
      </c>
      <c r="G12" s="7">
        <v>2.7068064999999999E-2</v>
      </c>
      <c r="H12" s="106"/>
    </row>
    <row r="13" spans="1:14" ht="17.100000000000001" customHeight="1" x14ac:dyDescent="0.2">
      <c r="A13" s="3">
        <v>7</v>
      </c>
      <c r="B13" s="4" t="s">
        <v>461</v>
      </c>
      <c r="C13" s="4" t="s">
        <v>462</v>
      </c>
      <c r="D13" s="4" t="s">
        <v>1114</v>
      </c>
      <c r="E13" s="5">
        <v>16149</v>
      </c>
      <c r="F13" s="6">
        <v>114.5367825</v>
      </c>
      <c r="G13" s="7">
        <v>2.7049947000000001E-2</v>
      </c>
      <c r="H13" s="106"/>
    </row>
    <row r="14" spans="1:14" ht="17.100000000000001" customHeight="1" x14ac:dyDescent="0.2">
      <c r="A14" s="3">
        <v>8</v>
      </c>
      <c r="B14" s="4" t="s">
        <v>380</v>
      </c>
      <c r="C14" s="4" t="s">
        <v>381</v>
      </c>
      <c r="D14" s="4" t="s">
        <v>99</v>
      </c>
      <c r="E14" s="5">
        <v>108727</v>
      </c>
      <c r="F14" s="6">
        <v>109.70554300000001</v>
      </c>
      <c r="G14" s="7">
        <v>2.5908962000000001E-2</v>
      </c>
      <c r="H14" s="106"/>
      <c r="J14" s="161" t="s">
        <v>1089</v>
      </c>
    </row>
    <row r="15" spans="1:14" ht="29.1" customHeight="1" x14ac:dyDescent="0.2">
      <c r="A15" s="3">
        <v>9</v>
      </c>
      <c r="B15" s="4" t="s">
        <v>196</v>
      </c>
      <c r="C15" s="4" t="s">
        <v>197</v>
      </c>
      <c r="D15" s="4" t="s">
        <v>188</v>
      </c>
      <c r="E15" s="5">
        <v>2276</v>
      </c>
      <c r="F15" s="6">
        <v>103.59783</v>
      </c>
      <c r="G15" s="7">
        <v>2.4466514000000002E-2</v>
      </c>
      <c r="H15" s="106"/>
    </row>
    <row r="16" spans="1:14" ht="17.100000000000001" customHeight="1" x14ac:dyDescent="0.2">
      <c r="A16" s="3">
        <v>10</v>
      </c>
      <c r="B16" s="4" t="s">
        <v>17</v>
      </c>
      <c r="C16" s="4" t="s">
        <v>18</v>
      </c>
      <c r="D16" s="4" t="s">
        <v>19</v>
      </c>
      <c r="E16" s="5">
        <v>11554</v>
      </c>
      <c r="F16" s="6">
        <v>96.129279999999994</v>
      </c>
      <c r="G16" s="7">
        <v>2.2702679999999999E-2</v>
      </c>
      <c r="H16" s="106"/>
    </row>
    <row r="17" spans="1:8" ht="17.100000000000001" customHeight="1" x14ac:dyDescent="0.2">
      <c r="A17" s="3">
        <v>11</v>
      </c>
      <c r="B17" s="4" t="s">
        <v>304</v>
      </c>
      <c r="C17" s="4" t="s">
        <v>305</v>
      </c>
      <c r="D17" s="4" t="s">
        <v>240</v>
      </c>
      <c r="E17" s="5">
        <v>17981</v>
      </c>
      <c r="F17" s="6">
        <v>92.233539500000006</v>
      </c>
      <c r="G17" s="7">
        <v>2.1782630000000001E-2</v>
      </c>
      <c r="H17" s="106"/>
    </row>
    <row r="18" spans="1:8" ht="17.100000000000001" customHeight="1" x14ac:dyDescent="0.2">
      <c r="A18" s="3">
        <v>12</v>
      </c>
      <c r="B18" s="4" t="s">
        <v>320</v>
      </c>
      <c r="C18" s="4" t="s">
        <v>321</v>
      </c>
      <c r="D18" s="4" t="s">
        <v>230</v>
      </c>
      <c r="E18" s="5">
        <v>6299</v>
      </c>
      <c r="F18" s="6">
        <v>91.155978500000003</v>
      </c>
      <c r="G18" s="7">
        <v>2.1528144999999999E-2</v>
      </c>
      <c r="H18" s="106"/>
    </row>
    <row r="19" spans="1:8" ht="17.100000000000001" customHeight="1" x14ac:dyDescent="0.2">
      <c r="A19" s="3">
        <v>13</v>
      </c>
      <c r="B19" s="4" t="s">
        <v>459</v>
      </c>
      <c r="C19" s="4" t="s">
        <v>460</v>
      </c>
      <c r="D19" s="4" t="s">
        <v>96</v>
      </c>
      <c r="E19" s="5">
        <v>6219</v>
      </c>
      <c r="F19" s="6">
        <v>88.797991499999995</v>
      </c>
      <c r="G19" s="7">
        <v>2.0971263E-2</v>
      </c>
      <c r="H19" s="106"/>
    </row>
    <row r="20" spans="1:8" ht="17.100000000000001" customHeight="1" x14ac:dyDescent="0.2">
      <c r="A20" s="3">
        <v>14</v>
      </c>
      <c r="B20" s="4" t="s">
        <v>386</v>
      </c>
      <c r="C20" s="4" t="s">
        <v>387</v>
      </c>
      <c r="D20" s="4" t="s">
        <v>110</v>
      </c>
      <c r="E20" s="5">
        <v>14697</v>
      </c>
      <c r="F20" s="6">
        <v>87.902756999999994</v>
      </c>
      <c r="G20" s="7">
        <v>2.0759837E-2</v>
      </c>
      <c r="H20" s="106"/>
    </row>
    <row r="21" spans="1:8" ht="17.100000000000001" customHeight="1" x14ac:dyDescent="0.2">
      <c r="A21" s="3">
        <v>15</v>
      </c>
      <c r="B21" s="4" t="s">
        <v>322</v>
      </c>
      <c r="C21" s="4" t="s">
        <v>323</v>
      </c>
      <c r="D21" s="4" t="s">
        <v>324</v>
      </c>
      <c r="E21" s="5">
        <v>5299</v>
      </c>
      <c r="F21" s="6">
        <v>84.924423500000003</v>
      </c>
      <c r="G21" s="7">
        <v>2.0056449E-2</v>
      </c>
      <c r="H21" s="106"/>
    </row>
    <row r="22" spans="1:8" ht="17.100000000000001" customHeight="1" x14ac:dyDescent="0.2">
      <c r="A22" s="3">
        <v>16</v>
      </c>
      <c r="B22" s="4" t="s">
        <v>384</v>
      </c>
      <c r="C22" s="4" t="s">
        <v>385</v>
      </c>
      <c r="D22" s="4" t="s">
        <v>288</v>
      </c>
      <c r="E22" s="5">
        <v>6988</v>
      </c>
      <c r="F22" s="6">
        <v>80.676460000000006</v>
      </c>
      <c r="G22" s="7">
        <v>1.9053214999999998E-2</v>
      </c>
      <c r="H22" s="106"/>
    </row>
    <row r="23" spans="1:8" ht="17.100000000000001" customHeight="1" x14ac:dyDescent="0.2">
      <c r="A23" s="3">
        <v>17</v>
      </c>
      <c r="B23" s="4" t="s">
        <v>213</v>
      </c>
      <c r="C23" s="4" t="s">
        <v>214</v>
      </c>
      <c r="D23" s="4" t="s">
        <v>1114</v>
      </c>
      <c r="E23" s="5">
        <v>2021</v>
      </c>
      <c r="F23" s="6">
        <v>74.636540499999995</v>
      </c>
      <c r="G23" s="7">
        <v>1.7626777999999999E-2</v>
      </c>
      <c r="H23" s="106"/>
    </row>
    <row r="24" spans="1:8" ht="17.100000000000001" customHeight="1" x14ac:dyDescent="0.2">
      <c r="A24" s="3">
        <v>18</v>
      </c>
      <c r="B24" s="4" t="s">
        <v>279</v>
      </c>
      <c r="C24" s="4" t="s">
        <v>280</v>
      </c>
      <c r="D24" s="4" t="s">
        <v>22</v>
      </c>
      <c r="E24" s="5">
        <v>34622</v>
      </c>
      <c r="F24" s="6">
        <v>74.039147</v>
      </c>
      <c r="G24" s="7">
        <v>1.7485693E-2</v>
      </c>
      <c r="H24" s="106"/>
    </row>
    <row r="25" spans="1:8" ht="17.100000000000001" customHeight="1" x14ac:dyDescent="0.2">
      <c r="A25" s="3">
        <v>19</v>
      </c>
      <c r="B25" s="4" t="s">
        <v>416</v>
      </c>
      <c r="C25" s="4" t="s">
        <v>417</v>
      </c>
      <c r="D25" s="4" t="s">
        <v>212</v>
      </c>
      <c r="E25" s="5">
        <v>24683</v>
      </c>
      <c r="F25" s="6">
        <v>71.148747499999999</v>
      </c>
      <c r="G25" s="7">
        <v>1.6803073000000002E-2</v>
      </c>
      <c r="H25" s="106"/>
    </row>
    <row r="26" spans="1:8" ht="17.100000000000001" customHeight="1" x14ac:dyDescent="0.2">
      <c r="A26" s="3">
        <v>20</v>
      </c>
      <c r="B26" s="4" t="s">
        <v>392</v>
      </c>
      <c r="C26" s="4" t="s">
        <v>393</v>
      </c>
      <c r="D26" s="4" t="s">
        <v>230</v>
      </c>
      <c r="E26" s="5">
        <v>8986</v>
      </c>
      <c r="F26" s="6">
        <v>67.197308000000007</v>
      </c>
      <c r="G26" s="7">
        <v>1.5869867999999999E-2</v>
      </c>
      <c r="H26" s="106"/>
    </row>
    <row r="27" spans="1:8" ht="17.100000000000001" customHeight="1" x14ac:dyDescent="0.2">
      <c r="A27" s="3">
        <v>21</v>
      </c>
      <c r="B27" s="4" t="s">
        <v>441</v>
      </c>
      <c r="C27" s="4" t="s">
        <v>442</v>
      </c>
      <c r="D27" s="4" t="s">
        <v>324</v>
      </c>
      <c r="E27" s="5">
        <v>4311</v>
      </c>
      <c r="F27" s="6">
        <v>66.232048500000005</v>
      </c>
      <c r="G27" s="7">
        <v>1.5641905000000001E-2</v>
      </c>
      <c r="H27" s="106"/>
    </row>
    <row r="28" spans="1:8" ht="17.100000000000001" customHeight="1" x14ac:dyDescent="0.2">
      <c r="A28" s="3">
        <v>22</v>
      </c>
      <c r="B28" s="4" t="s">
        <v>388</v>
      </c>
      <c r="C28" s="4" t="s">
        <v>389</v>
      </c>
      <c r="D28" s="4" t="s">
        <v>99</v>
      </c>
      <c r="E28" s="5">
        <v>12401</v>
      </c>
      <c r="F28" s="6">
        <v>65.024643499999996</v>
      </c>
      <c r="G28" s="7">
        <v>1.5356754E-2</v>
      </c>
      <c r="H28" s="106"/>
    </row>
    <row r="29" spans="1:8" ht="29.1" customHeight="1" x14ac:dyDescent="0.2">
      <c r="A29" s="3">
        <v>23</v>
      </c>
      <c r="B29" s="4" t="s">
        <v>202</v>
      </c>
      <c r="C29" s="4" t="s">
        <v>203</v>
      </c>
      <c r="D29" s="4" t="s">
        <v>204</v>
      </c>
      <c r="E29" s="5">
        <v>14038</v>
      </c>
      <c r="F29" s="6">
        <v>63.809728999999997</v>
      </c>
      <c r="G29" s="7">
        <v>1.5069829999999999E-2</v>
      </c>
      <c r="H29" s="106"/>
    </row>
    <row r="30" spans="1:8" ht="29.1" customHeight="1" x14ac:dyDescent="0.2">
      <c r="A30" s="3">
        <v>24</v>
      </c>
      <c r="B30" s="4" t="s">
        <v>63</v>
      </c>
      <c r="C30" s="4" t="s">
        <v>64</v>
      </c>
      <c r="D30" s="4" t="s">
        <v>25</v>
      </c>
      <c r="E30" s="5">
        <v>2108</v>
      </c>
      <c r="F30" s="6">
        <v>57.182662000000001</v>
      </c>
      <c r="G30" s="7">
        <v>1.3504726999999999E-2</v>
      </c>
      <c r="H30" s="106"/>
    </row>
    <row r="31" spans="1:8" ht="29.1" customHeight="1" x14ac:dyDescent="0.2">
      <c r="A31" s="3">
        <v>25</v>
      </c>
      <c r="B31" s="4" t="s">
        <v>445</v>
      </c>
      <c r="C31" s="4" t="s">
        <v>446</v>
      </c>
      <c r="D31" s="4" t="s">
        <v>51</v>
      </c>
      <c r="E31" s="5">
        <v>2243</v>
      </c>
      <c r="F31" s="6">
        <v>55.554623999999997</v>
      </c>
      <c r="G31" s="7">
        <v>1.3120236E-2</v>
      </c>
      <c r="H31" s="106"/>
    </row>
    <row r="32" spans="1:8" ht="29.1" customHeight="1" x14ac:dyDescent="0.2">
      <c r="A32" s="3">
        <v>26</v>
      </c>
      <c r="B32" s="4" t="s">
        <v>390</v>
      </c>
      <c r="C32" s="4" t="s">
        <v>391</v>
      </c>
      <c r="D32" s="4" t="s">
        <v>67</v>
      </c>
      <c r="E32" s="5">
        <v>3341</v>
      </c>
      <c r="F32" s="6">
        <v>53.616368000000001</v>
      </c>
      <c r="G32" s="7">
        <v>1.2662481999999999E-2</v>
      </c>
      <c r="H32" s="106"/>
    </row>
    <row r="33" spans="1:8" ht="17.100000000000001" customHeight="1" x14ac:dyDescent="0.2">
      <c r="A33" s="3">
        <v>27</v>
      </c>
      <c r="B33" s="4" t="s">
        <v>231</v>
      </c>
      <c r="C33" s="4" t="s">
        <v>232</v>
      </c>
      <c r="D33" s="4" t="s">
        <v>89</v>
      </c>
      <c r="E33" s="5">
        <v>1054</v>
      </c>
      <c r="F33" s="6">
        <v>50.533503000000003</v>
      </c>
      <c r="G33" s="7">
        <v>1.1934406999999999E-2</v>
      </c>
      <c r="H33" s="106"/>
    </row>
    <row r="34" spans="1:8" ht="17.100000000000001" customHeight="1" x14ac:dyDescent="0.2">
      <c r="A34" s="3">
        <v>28</v>
      </c>
      <c r="B34" s="4" t="s">
        <v>449</v>
      </c>
      <c r="C34" s="4" t="s">
        <v>450</v>
      </c>
      <c r="D34" s="4" t="s">
        <v>99</v>
      </c>
      <c r="E34" s="5">
        <v>62967</v>
      </c>
      <c r="F34" s="6">
        <v>48.767941499999999</v>
      </c>
      <c r="G34" s="7">
        <v>1.1517438E-2</v>
      </c>
      <c r="H34" s="106"/>
    </row>
    <row r="35" spans="1:8" ht="17.100000000000001" customHeight="1" x14ac:dyDescent="0.2">
      <c r="A35" s="3">
        <v>29</v>
      </c>
      <c r="B35" s="4" t="s">
        <v>439</v>
      </c>
      <c r="C35" s="4" t="s">
        <v>440</v>
      </c>
      <c r="D35" s="4" t="s">
        <v>31</v>
      </c>
      <c r="E35" s="5">
        <v>5737</v>
      </c>
      <c r="F35" s="6">
        <v>48.523546000000003</v>
      </c>
      <c r="G35" s="7">
        <v>1.1459719E-2</v>
      </c>
      <c r="H35" s="106"/>
    </row>
    <row r="36" spans="1:8" ht="29.1" customHeight="1" x14ac:dyDescent="0.2">
      <c r="A36" s="3">
        <v>30</v>
      </c>
      <c r="B36" s="4" t="s">
        <v>410</v>
      </c>
      <c r="C36" s="4" t="s">
        <v>411</v>
      </c>
      <c r="D36" s="4" t="s">
        <v>204</v>
      </c>
      <c r="E36" s="5">
        <v>13484</v>
      </c>
      <c r="F36" s="6">
        <v>47.733359999999998</v>
      </c>
      <c r="G36" s="7">
        <v>1.1273102E-2</v>
      </c>
      <c r="H36" s="106"/>
    </row>
    <row r="37" spans="1:8" ht="17.100000000000001" customHeight="1" x14ac:dyDescent="0.2">
      <c r="A37" s="3">
        <v>31</v>
      </c>
      <c r="B37" s="4" t="s">
        <v>394</v>
      </c>
      <c r="C37" s="4" t="s">
        <v>395</v>
      </c>
      <c r="D37" s="4" t="s">
        <v>99</v>
      </c>
      <c r="E37" s="5">
        <v>6397</v>
      </c>
      <c r="F37" s="6">
        <v>46.458212500000002</v>
      </c>
      <c r="G37" s="7">
        <v>1.0971953E-2</v>
      </c>
      <c r="H37" s="106"/>
    </row>
    <row r="38" spans="1:8" ht="17.100000000000001" customHeight="1" x14ac:dyDescent="0.2">
      <c r="A38" s="3">
        <v>32</v>
      </c>
      <c r="B38" s="4" t="s">
        <v>42</v>
      </c>
      <c r="C38" s="4" t="s">
        <v>43</v>
      </c>
      <c r="D38" s="4" t="s">
        <v>16</v>
      </c>
      <c r="E38" s="5">
        <v>8081</v>
      </c>
      <c r="F38" s="6">
        <v>46.368777999999999</v>
      </c>
      <c r="G38" s="7">
        <v>1.0950830999999999E-2</v>
      </c>
      <c r="H38" s="106"/>
    </row>
    <row r="39" spans="1:8" ht="29.1" customHeight="1" x14ac:dyDescent="0.2">
      <c r="A39" s="3">
        <v>33</v>
      </c>
      <c r="B39" s="4" t="s">
        <v>317</v>
      </c>
      <c r="C39" s="4" t="s">
        <v>318</v>
      </c>
      <c r="D39" s="4" t="s">
        <v>319</v>
      </c>
      <c r="E39" s="5">
        <v>8297</v>
      </c>
      <c r="F39" s="6">
        <v>45.865816000000002</v>
      </c>
      <c r="G39" s="7">
        <v>1.0832048E-2</v>
      </c>
      <c r="H39" s="106"/>
    </row>
    <row r="40" spans="1:8" ht="29.1" customHeight="1" x14ac:dyDescent="0.2">
      <c r="A40" s="3">
        <v>34</v>
      </c>
      <c r="B40" s="4" t="s">
        <v>463</v>
      </c>
      <c r="C40" s="4" t="s">
        <v>464</v>
      </c>
      <c r="D40" s="4" t="s">
        <v>366</v>
      </c>
      <c r="E40" s="5">
        <v>7362</v>
      </c>
      <c r="F40" s="6">
        <v>45.600228000000001</v>
      </c>
      <c r="G40" s="7">
        <v>1.0769324E-2</v>
      </c>
      <c r="H40" s="106"/>
    </row>
    <row r="41" spans="1:8" ht="53.1" customHeight="1" x14ac:dyDescent="0.2">
      <c r="A41" s="3">
        <v>35</v>
      </c>
      <c r="B41" s="4" t="s">
        <v>333</v>
      </c>
      <c r="C41" s="4" t="s">
        <v>334</v>
      </c>
      <c r="D41" s="4" t="s">
        <v>48</v>
      </c>
      <c r="E41" s="5">
        <v>14626</v>
      </c>
      <c r="F41" s="6">
        <v>45.128523000000001</v>
      </c>
      <c r="G41" s="7">
        <v>1.0657923E-2</v>
      </c>
      <c r="H41" s="106"/>
    </row>
    <row r="42" spans="1:8" ht="17.100000000000001" customHeight="1" x14ac:dyDescent="0.2">
      <c r="A42" s="3">
        <v>36</v>
      </c>
      <c r="B42" s="4" t="s">
        <v>396</v>
      </c>
      <c r="C42" s="4" t="s">
        <v>397</v>
      </c>
      <c r="D42" s="4" t="s">
        <v>288</v>
      </c>
      <c r="E42" s="5">
        <v>5849</v>
      </c>
      <c r="F42" s="6">
        <v>43.826557000000001</v>
      </c>
      <c r="G42" s="7">
        <v>1.0350440000000001E-2</v>
      </c>
      <c r="H42" s="106"/>
    </row>
    <row r="43" spans="1:8" ht="29.1" customHeight="1" x14ac:dyDescent="0.2">
      <c r="A43" s="3">
        <v>37</v>
      </c>
      <c r="B43" s="4" t="s">
        <v>291</v>
      </c>
      <c r="C43" s="4" t="s">
        <v>292</v>
      </c>
      <c r="D43" s="4" t="s">
        <v>188</v>
      </c>
      <c r="E43" s="5">
        <v>5691</v>
      </c>
      <c r="F43" s="6">
        <v>43.248754499999997</v>
      </c>
      <c r="G43" s="7">
        <v>1.0213981E-2</v>
      </c>
      <c r="H43" s="106"/>
    </row>
    <row r="44" spans="1:8" ht="17.100000000000001" customHeight="1" x14ac:dyDescent="0.2">
      <c r="A44" s="3">
        <v>38</v>
      </c>
      <c r="B44" s="4" t="s">
        <v>400</v>
      </c>
      <c r="C44" s="4" t="s">
        <v>401</v>
      </c>
      <c r="D44" s="4" t="s">
        <v>31</v>
      </c>
      <c r="E44" s="5">
        <v>5096</v>
      </c>
      <c r="F44" s="6">
        <v>43.104515999999997</v>
      </c>
      <c r="G44" s="7">
        <v>1.0179917E-2</v>
      </c>
      <c r="H44" s="106"/>
    </row>
    <row r="45" spans="1:8" ht="29.1" customHeight="1" x14ac:dyDescent="0.2">
      <c r="A45" s="3">
        <v>39</v>
      </c>
      <c r="B45" s="4" t="s">
        <v>451</v>
      </c>
      <c r="C45" s="4" t="s">
        <v>452</v>
      </c>
      <c r="D45" s="4" t="s">
        <v>453</v>
      </c>
      <c r="E45" s="5">
        <v>30866</v>
      </c>
      <c r="F45" s="6">
        <v>43.088935999999997</v>
      </c>
      <c r="G45" s="7">
        <v>1.0176236999999999E-2</v>
      </c>
      <c r="H45" s="106"/>
    </row>
    <row r="46" spans="1:8" ht="17.100000000000001" customHeight="1" x14ac:dyDescent="0.2">
      <c r="A46" s="3">
        <v>40</v>
      </c>
      <c r="B46" s="4" t="s">
        <v>465</v>
      </c>
      <c r="C46" s="4" t="s">
        <v>466</v>
      </c>
      <c r="D46" s="4" t="s">
        <v>36</v>
      </c>
      <c r="E46" s="5">
        <v>16529</v>
      </c>
      <c r="F46" s="6">
        <v>42.9754</v>
      </c>
      <c r="G46" s="7">
        <v>1.0149422999999999E-2</v>
      </c>
      <c r="H46" s="106"/>
    </row>
    <row r="47" spans="1:8" ht="29.1" customHeight="1" x14ac:dyDescent="0.2">
      <c r="A47" s="3">
        <v>41</v>
      </c>
      <c r="B47" s="4" t="s">
        <v>420</v>
      </c>
      <c r="C47" s="4" t="s">
        <v>421</v>
      </c>
      <c r="D47" s="4" t="s">
        <v>366</v>
      </c>
      <c r="E47" s="5">
        <v>8568</v>
      </c>
      <c r="F47" s="6">
        <v>42.912827999999998</v>
      </c>
      <c r="G47" s="7">
        <v>1.0134646000000001E-2</v>
      </c>
      <c r="H47" s="106"/>
    </row>
    <row r="48" spans="1:8" ht="17.100000000000001" customHeight="1" x14ac:dyDescent="0.2">
      <c r="A48" s="3">
        <v>42</v>
      </c>
      <c r="B48" s="4" t="s">
        <v>398</v>
      </c>
      <c r="C48" s="4" t="s">
        <v>399</v>
      </c>
      <c r="D48" s="4" t="s">
        <v>110</v>
      </c>
      <c r="E48" s="5">
        <v>6701</v>
      </c>
      <c r="F48" s="6">
        <v>42.872998000000003</v>
      </c>
      <c r="G48" s="7">
        <v>1.0125238999999999E-2</v>
      </c>
      <c r="H48" s="106"/>
    </row>
    <row r="49" spans="1:8" ht="17.100000000000001" customHeight="1" x14ac:dyDescent="0.2">
      <c r="A49" s="3">
        <v>43</v>
      </c>
      <c r="B49" s="4" t="s">
        <v>414</v>
      </c>
      <c r="C49" s="4" t="s">
        <v>415</v>
      </c>
      <c r="D49" s="4" t="s">
        <v>110</v>
      </c>
      <c r="E49" s="5">
        <v>3437</v>
      </c>
      <c r="F49" s="6">
        <v>42.486475499999997</v>
      </c>
      <c r="G49" s="7">
        <v>1.0033955000000001E-2</v>
      </c>
      <c r="H49" s="106"/>
    </row>
    <row r="50" spans="1:8" ht="29.1" customHeight="1" x14ac:dyDescent="0.2">
      <c r="A50" s="3">
        <v>44</v>
      </c>
      <c r="B50" s="4" t="s">
        <v>443</v>
      </c>
      <c r="C50" s="4" t="s">
        <v>444</v>
      </c>
      <c r="D50" s="4" t="s">
        <v>204</v>
      </c>
      <c r="E50" s="5">
        <v>2084</v>
      </c>
      <c r="F50" s="6">
        <v>41.127740000000003</v>
      </c>
      <c r="G50" s="7">
        <v>9.7130649999999999E-3</v>
      </c>
      <c r="H50" s="106"/>
    </row>
    <row r="51" spans="1:8" ht="17.100000000000001" customHeight="1" x14ac:dyDescent="0.2">
      <c r="A51" s="3">
        <v>45</v>
      </c>
      <c r="B51" s="4" t="s">
        <v>246</v>
      </c>
      <c r="C51" s="4" t="s">
        <v>247</v>
      </c>
      <c r="D51" s="4" t="s">
        <v>99</v>
      </c>
      <c r="E51" s="5">
        <v>6402</v>
      </c>
      <c r="F51" s="6">
        <v>40.220565000000001</v>
      </c>
      <c r="G51" s="7">
        <v>9.4988190000000004E-3</v>
      </c>
      <c r="H51" s="106"/>
    </row>
    <row r="52" spans="1:8" ht="17.100000000000001" customHeight="1" x14ac:dyDescent="0.2">
      <c r="A52" s="3">
        <v>46</v>
      </c>
      <c r="B52" s="4" t="s">
        <v>412</v>
      </c>
      <c r="C52" s="4" t="s">
        <v>413</v>
      </c>
      <c r="D52" s="4" t="s">
        <v>193</v>
      </c>
      <c r="E52" s="5">
        <v>4863</v>
      </c>
      <c r="F52" s="6">
        <v>39.835264500000001</v>
      </c>
      <c r="G52" s="7">
        <v>9.4078229999999992E-3</v>
      </c>
      <c r="H52" s="106"/>
    </row>
    <row r="53" spans="1:8" ht="17.100000000000001" customHeight="1" x14ac:dyDescent="0.2">
      <c r="A53" s="3">
        <v>47</v>
      </c>
      <c r="B53" s="4" t="s">
        <v>468</v>
      </c>
      <c r="C53" s="4" t="s">
        <v>469</v>
      </c>
      <c r="D53" s="4" t="s">
        <v>41</v>
      </c>
      <c r="E53" s="5">
        <v>5422</v>
      </c>
      <c r="F53" s="6">
        <v>38.751033999999997</v>
      </c>
      <c r="G53" s="7">
        <v>9.1517620000000008E-3</v>
      </c>
      <c r="H53" s="106"/>
    </row>
    <row r="54" spans="1:8" ht="17.100000000000001" customHeight="1" x14ac:dyDescent="0.2">
      <c r="A54" s="3">
        <v>48</v>
      </c>
      <c r="B54" s="4" t="s">
        <v>418</v>
      </c>
      <c r="C54" s="4" t="s">
        <v>419</v>
      </c>
      <c r="D54" s="4" t="s">
        <v>13</v>
      </c>
      <c r="E54" s="5">
        <v>8109</v>
      </c>
      <c r="F54" s="6">
        <v>38.546131500000001</v>
      </c>
      <c r="G54" s="7">
        <v>9.1033710000000007E-3</v>
      </c>
      <c r="H54" s="106"/>
    </row>
    <row r="55" spans="1:8" ht="17.100000000000001" customHeight="1" x14ac:dyDescent="0.2">
      <c r="A55" s="3">
        <v>49</v>
      </c>
      <c r="B55" s="4" t="s">
        <v>406</v>
      </c>
      <c r="C55" s="4" t="s">
        <v>407</v>
      </c>
      <c r="D55" s="4" t="s">
        <v>99</v>
      </c>
      <c r="E55" s="5">
        <v>3781</v>
      </c>
      <c r="F55" s="6">
        <v>36.872312000000001</v>
      </c>
      <c r="G55" s="7">
        <v>8.7080679999999994E-3</v>
      </c>
      <c r="H55" s="106"/>
    </row>
    <row r="56" spans="1:8" ht="29.1" customHeight="1" x14ac:dyDescent="0.2">
      <c r="A56" s="3">
        <v>50</v>
      </c>
      <c r="B56" s="4" t="s">
        <v>402</v>
      </c>
      <c r="C56" s="4" t="s">
        <v>403</v>
      </c>
      <c r="D56" s="4" t="s">
        <v>319</v>
      </c>
      <c r="E56" s="5">
        <v>8569</v>
      </c>
      <c r="F56" s="6">
        <v>35.8655495</v>
      </c>
      <c r="G56" s="7">
        <v>8.4703030000000002E-3</v>
      </c>
      <c r="H56" s="106"/>
    </row>
    <row r="57" spans="1:8" ht="17.100000000000001" customHeight="1" x14ac:dyDescent="0.2">
      <c r="A57" s="3">
        <v>51</v>
      </c>
      <c r="B57" s="4" t="s">
        <v>44</v>
      </c>
      <c r="C57" s="4" t="s">
        <v>45</v>
      </c>
      <c r="D57" s="4" t="s">
        <v>31</v>
      </c>
      <c r="E57" s="5">
        <v>1006</v>
      </c>
      <c r="F57" s="6">
        <v>33.791539999999998</v>
      </c>
      <c r="G57" s="7">
        <v>7.9804880000000009E-3</v>
      </c>
      <c r="H57" s="106"/>
    </row>
    <row r="58" spans="1:8" ht="17.100000000000001" customHeight="1" x14ac:dyDescent="0.2">
      <c r="A58" s="3">
        <v>52</v>
      </c>
      <c r="B58" s="4" t="s">
        <v>447</v>
      </c>
      <c r="C58" s="4" t="s">
        <v>448</v>
      </c>
      <c r="D58" s="4" t="s">
        <v>268</v>
      </c>
      <c r="E58" s="5">
        <v>11014</v>
      </c>
      <c r="F58" s="6">
        <v>33.190688999999999</v>
      </c>
      <c r="G58" s="7">
        <v>7.8385859999999998E-3</v>
      </c>
      <c r="H58" s="106"/>
    </row>
    <row r="59" spans="1:8" ht="17.100000000000001" customHeight="1" x14ac:dyDescent="0.2">
      <c r="A59" s="3">
        <v>53</v>
      </c>
      <c r="B59" s="4" t="s">
        <v>94</v>
      </c>
      <c r="C59" s="4" t="s">
        <v>95</v>
      </c>
      <c r="D59" s="4" t="s">
        <v>96</v>
      </c>
      <c r="E59" s="5">
        <v>5816</v>
      </c>
      <c r="F59" s="6">
        <v>29.053827999999999</v>
      </c>
      <c r="G59" s="7">
        <v>6.8615910000000002E-3</v>
      </c>
      <c r="H59" s="106"/>
    </row>
    <row r="60" spans="1:8" ht="17.100000000000001" customHeight="1" x14ac:dyDescent="0.2">
      <c r="A60" s="3">
        <v>54</v>
      </c>
      <c r="B60" s="4" t="s">
        <v>432</v>
      </c>
      <c r="C60" s="4" t="s">
        <v>433</v>
      </c>
      <c r="D60" s="4" t="s">
        <v>89</v>
      </c>
      <c r="E60" s="5">
        <v>4235</v>
      </c>
      <c r="F60" s="6">
        <v>28.615894999999998</v>
      </c>
      <c r="G60" s="7">
        <v>6.758165E-3</v>
      </c>
      <c r="H60" s="106"/>
    </row>
    <row r="61" spans="1:8" ht="29.1" customHeight="1" x14ac:dyDescent="0.2">
      <c r="A61" s="3">
        <v>55</v>
      </c>
      <c r="B61" s="4" t="s">
        <v>424</v>
      </c>
      <c r="C61" s="4" t="s">
        <v>425</v>
      </c>
      <c r="D61" s="4" t="s">
        <v>110</v>
      </c>
      <c r="E61" s="5">
        <v>2300</v>
      </c>
      <c r="F61" s="6">
        <v>27.274550000000001</v>
      </c>
      <c r="G61" s="7">
        <v>6.4413819999999998E-3</v>
      </c>
      <c r="H61" s="106"/>
    </row>
    <row r="62" spans="1:8" ht="17.100000000000001" customHeight="1" x14ac:dyDescent="0.2">
      <c r="A62" s="3">
        <v>56</v>
      </c>
      <c r="B62" s="4" t="s">
        <v>436</v>
      </c>
      <c r="C62" s="4" t="s">
        <v>437</v>
      </c>
      <c r="D62" s="4" t="s">
        <v>16</v>
      </c>
      <c r="E62" s="5">
        <v>10375</v>
      </c>
      <c r="F62" s="6">
        <v>23.577187500000001</v>
      </c>
      <c r="G62" s="7">
        <v>5.5681819999999996E-3</v>
      </c>
      <c r="H62" s="106"/>
    </row>
    <row r="63" spans="1:8" ht="17.100000000000001" customHeight="1" x14ac:dyDescent="0.2">
      <c r="A63" s="3">
        <v>57</v>
      </c>
      <c r="B63" s="4" t="s">
        <v>422</v>
      </c>
      <c r="C63" s="4" t="s">
        <v>423</v>
      </c>
      <c r="D63" s="4" t="s">
        <v>237</v>
      </c>
      <c r="E63" s="5">
        <v>2788</v>
      </c>
      <c r="F63" s="6">
        <v>20.501557999999999</v>
      </c>
      <c r="G63" s="7">
        <v>4.8418159999999997E-3</v>
      </c>
      <c r="H63" s="106"/>
    </row>
    <row r="64" spans="1:8" ht="17.100000000000001" customHeight="1" x14ac:dyDescent="0.2">
      <c r="A64" s="3">
        <v>58</v>
      </c>
      <c r="B64" s="4" t="s">
        <v>426</v>
      </c>
      <c r="C64" s="4" t="s">
        <v>427</v>
      </c>
      <c r="D64" s="4" t="s">
        <v>31</v>
      </c>
      <c r="E64" s="5">
        <v>2256</v>
      </c>
      <c r="F64" s="6">
        <v>17.90136</v>
      </c>
      <c r="G64" s="7">
        <v>4.2277319999999997E-3</v>
      </c>
      <c r="H64" s="106"/>
    </row>
    <row r="65" spans="1:8" ht="29.1" customHeight="1" x14ac:dyDescent="0.2">
      <c r="A65" s="3">
        <v>59</v>
      </c>
      <c r="B65" s="4" t="s">
        <v>428</v>
      </c>
      <c r="C65" s="4" t="s">
        <v>429</v>
      </c>
      <c r="D65" s="4" t="s">
        <v>204</v>
      </c>
      <c r="E65" s="5">
        <v>411</v>
      </c>
      <c r="F65" s="6">
        <v>16.575013500000001</v>
      </c>
      <c r="G65" s="7">
        <v>3.914491E-3</v>
      </c>
      <c r="H65" s="106"/>
    </row>
    <row r="66" spans="1:8" ht="17.100000000000001" customHeight="1" x14ac:dyDescent="0.2">
      <c r="A66" s="3">
        <v>60</v>
      </c>
      <c r="B66" s="4" t="s">
        <v>404</v>
      </c>
      <c r="C66" s="4" t="s">
        <v>405</v>
      </c>
      <c r="D66" s="4" t="s">
        <v>13</v>
      </c>
      <c r="E66" s="5">
        <v>21843</v>
      </c>
      <c r="F66" s="6">
        <v>16.163820000000001</v>
      </c>
      <c r="G66" s="7">
        <v>3.81738E-3</v>
      </c>
      <c r="H66" s="106"/>
    </row>
    <row r="67" spans="1:8" ht="17.100000000000001" customHeight="1" x14ac:dyDescent="0.2">
      <c r="A67" s="3">
        <v>61</v>
      </c>
      <c r="B67" s="4" t="s">
        <v>454</v>
      </c>
      <c r="C67" s="4" t="s">
        <v>455</v>
      </c>
      <c r="D67" s="4" t="s">
        <v>110</v>
      </c>
      <c r="E67" s="5">
        <v>5685</v>
      </c>
      <c r="F67" s="6">
        <v>16.12266</v>
      </c>
      <c r="G67" s="7">
        <v>3.80766E-3</v>
      </c>
      <c r="H67" s="106"/>
    </row>
    <row r="68" spans="1:8" ht="17.100000000000001" customHeight="1" x14ac:dyDescent="0.2">
      <c r="A68" s="3">
        <v>62</v>
      </c>
      <c r="B68" s="4" t="s">
        <v>337</v>
      </c>
      <c r="C68" s="4" t="s">
        <v>338</v>
      </c>
      <c r="D68" s="4" t="s">
        <v>96</v>
      </c>
      <c r="E68" s="5">
        <v>21125</v>
      </c>
      <c r="F68" s="6">
        <v>15.738125</v>
      </c>
      <c r="G68" s="7">
        <v>3.7168449999999999E-3</v>
      </c>
      <c r="H68" s="106"/>
    </row>
    <row r="69" spans="1:8" ht="29.1" customHeight="1" x14ac:dyDescent="0.2">
      <c r="A69" s="3">
        <v>63</v>
      </c>
      <c r="B69" s="4" t="s">
        <v>430</v>
      </c>
      <c r="C69" s="4" t="s">
        <v>431</v>
      </c>
      <c r="D69" s="4" t="s">
        <v>204</v>
      </c>
      <c r="E69" s="5">
        <v>6683</v>
      </c>
      <c r="F69" s="6">
        <v>15.113604499999999</v>
      </c>
      <c r="G69" s="7">
        <v>3.5693529999999999E-3</v>
      </c>
      <c r="H69" s="106"/>
    </row>
    <row r="70" spans="1:8" ht="29.1" customHeight="1" x14ac:dyDescent="0.2">
      <c r="A70" s="3">
        <v>64</v>
      </c>
      <c r="B70" s="4" t="s">
        <v>329</v>
      </c>
      <c r="C70" s="4" t="s">
        <v>330</v>
      </c>
      <c r="D70" s="4" t="s">
        <v>188</v>
      </c>
      <c r="E70" s="5">
        <v>3145</v>
      </c>
      <c r="F70" s="6">
        <v>11.800039999999999</v>
      </c>
      <c r="G70" s="7">
        <v>2.786794E-3</v>
      </c>
      <c r="H70" s="106"/>
    </row>
    <row r="71" spans="1:8" ht="29.1" customHeight="1" x14ac:dyDescent="0.2">
      <c r="A71" s="3">
        <v>65</v>
      </c>
      <c r="B71" s="4" t="s">
        <v>434</v>
      </c>
      <c r="C71" s="4" t="s">
        <v>435</v>
      </c>
      <c r="D71" s="4" t="s">
        <v>62</v>
      </c>
      <c r="E71" s="5">
        <v>1899</v>
      </c>
      <c r="F71" s="6">
        <v>7.9501635000000004</v>
      </c>
      <c r="G71" s="7">
        <v>1.8775759999999999E-3</v>
      </c>
      <c r="H71" s="106"/>
    </row>
    <row r="72" spans="1:8" ht="29.1" customHeight="1" x14ac:dyDescent="0.2">
      <c r="A72" s="3">
        <v>66</v>
      </c>
      <c r="B72" s="4" t="s">
        <v>456</v>
      </c>
      <c r="C72" s="4" t="s">
        <v>457</v>
      </c>
      <c r="D72" s="4" t="s">
        <v>188</v>
      </c>
      <c r="E72" s="5">
        <v>982</v>
      </c>
      <c r="F72" s="6">
        <v>6.5730170000000001</v>
      </c>
      <c r="G72" s="7">
        <v>1.5523379999999999E-3</v>
      </c>
      <c r="H72" s="106"/>
    </row>
    <row r="73" spans="1:8" ht="14.1" customHeight="1" x14ac:dyDescent="0.2">
      <c r="A73" s="1"/>
      <c r="B73" s="1"/>
      <c r="C73" s="2" t="s">
        <v>130</v>
      </c>
      <c r="D73" s="1"/>
      <c r="E73" s="1" t="s">
        <v>131</v>
      </c>
      <c r="F73" s="9">
        <v>3776.4665645</v>
      </c>
      <c r="G73" s="10">
        <v>0.89188135899999998</v>
      </c>
      <c r="H73" s="106"/>
    </row>
    <row r="74" spans="1:8" ht="14.1" customHeight="1" x14ac:dyDescent="0.2">
      <c r="A74" s="1"/>
      <c r="B74" s="1"/>
      <c r="C74" s="11"/>
      <c r="D74" s="1"/>
      <c r="E74" s="1"/>
      <c r="F74" s="12"/>
      <c r="G74" s="12"/>
      <c r="H74" s="106"/>
    </row>
    <row r="75" spans="1:8" ht="14.1" customHeight="1" x14ac:dyDescent="0.2">
      <c r="A75" s="1"/>
      <c r="B75" s="1"/>
      <c r="C75" s="2" t="s">
        <v>132</v>
      </c>
      <c r="D75" s="1"/>
      <c r="E75" s="1"/>
      <c r="F75" s="1"/>
      <c r="G75" s="1"/>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4.1" customHeight="1" x14ac:dyDescent="0.2">
      <c r="A78" s="1"/>
      <c r="B78" s="1"/>
      <c r="C78" s="2" t="s">
        <v>133</v>
      </c>
      <c r="D78" s="1"/>
      <c r="E78" s="1"/>
      <c r="F78" s="1"/>
      <c r="G78" s="1"/>
      <c r="H78" s="106"/>
    </row>
    <row r="79" spans="1:8" ht="14.1" customHeight="1" x14ac:dyDescent="0.2">
      <c r="A79" s="1"/>
      <c r="B79" s="1"/>
      <c r="C79" s="2" t="s">
        <v>130</v>
      </c>
      <c r="D79" s="1"/>
      <c r="E79" s="1" t="s">
        <v>131</v>
      </c>
      <c r="F79" s="13">
        <v>0</v>
      </c>
      <c r="G79" s="14">
        <v>0</v>
      </c>
      <c r="H79" s="106"/>
    </row>
    <row r="80" spans="1:8" ht="14.1" customHeight="1" x14ac:dyDescent="0.2">
      <c r="A80" s="1"/>
      <c r="B80" s="1"/>
      <c r="C80" s="11"/>
      <c r="D80" s="1"/>
      <c r="E80" s="1"/>
      <c r="F80" s="12"/>
      <c r="G80" s="12"/>
      <c r="H80" s="106"/>
    </row>
    <row r="81" spans="1:8" ht="14.1" customHeight="1" x14ac:dyDescent="0.2">
      <c r="A81" s="1"/>
      <c r="B81" s="1"/>
      <c r="C81" s="2" t="s">
        <v>134</v>
      </c>
      <c r="D81" s="1"/>
      <c r="E81" s="1"/>
      <c r="F81" s="1"/>
      <c r="G81" s="1"/>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135</v>
      </c>
      <c r="D84" s="1"/>
      <c r="E84" s="1"/>
      <c r="F84" s="12"/>
      <c r="G84" s="12"/>
      <c r="H84" s="106"/>
    </row>
    <row r="85" spans="1:8" ht="14.1" customHeight="1" x14ac:dyDescent="0.2">
      <c r="A85" s="1"/>
      <c r="B85" s="1"/>
      <c r="C85" s="2" t="s">
        <v>130</v>
      </c>
      <c r="D85" s="1"/>
      <c r="E85" s="1" t="s">
        <v>131</v>
      </c>
      <c r="F85" s="13">
        <v>0</v>
      </c>
      <c r="G85" s="14">
        <v>0</v>
      </c>
      <c r="H85" s="106"/>
    </row>
    <row r="86" spans="1:8" ht="14.1" customHeight="1" x14ac:dyDescent="0.2">
      <c r="A86" s="1"/>
      <c r="B86" s="1"/>
      <c r="C86" s="11"/>
      <c r="D86" s="1"/>
      <c r="E86" s="1"/>
      <c r="F86" s="12"/>
      <c r="G86" s="12"/>
      <c r="H86" s="106"/>
    </row>
    <row r="87" spans="1:8" ht="14.1" customHeight="1" x14ac:dyDescent="0.2">
      <c r="A87" s="1"/>
      <c r="B87" s="1"/>
      <c r="C87" s="2" t="s">
        <v>136</v>
      </c>
      <c r="D87" s="1"/>
      <c r="E87" s="1"/>
      <c r="F87" s="12"/>
      <c r="G87" s="12"/>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8" customHeight="1" x14ac:dyDescent="0.2">
      <c r="A90" s="1"/>
      <c r="B90" s="1"/>
      <c r="C90" s="2" t="s">
        <v>137</v>
      </c>
      <c r="D90" s="1"/>
      <c r="E90" s="1"/>
      <c r="F90" s="9">
        <v>3776.4665645</v>
      </c>
      <c r="G90" s="10">
        <v>0.89188135899999998</v>
      </c>
      <c r="H90" s="106"/>
    </row>
    <row r="91" spans="1:8" ht="14.1" customHeight="1" x14ac:dyDescent="0.2">
      <c r="A91" s="1"/>
      <c r="B91" s="1"/>
      <c r="C91" s="11"/>
      <c r="D91" s="1"/>
      <c r="E91" s="1"/>
      <c r="F91" s="12"/>
      <c r="G91" s="12"/>
      <c r="H91" s="106"/>
    </row>
    <row r="92" spans="1:8" ht="14.1" customHeight="1" x14ac:dyDescent="0.2">
      <c r="A92" s="1"/>
      <c r="B92" s="1"/>
      <c r="C92" s="2" t="s">
        <v>138</v>
      </c>
      <c r="D92" s="1"/>
      <c r="E92" s="1"/>
      <c r="F92" s="12"/>
      <c r="G92" s="12"/>
      <c r="H92" s="106"/>
    </row>
    <row r="93" spans="1:8" ht="24" customHeight="1" x14ac:dyDescent="0.2">
      <c r="A93" s="1"/>
      <c r="B93" s="1"/>
      <c r="C93" s="2" t="s">
        <v>10</v>
      </c>
      <c r="D93" s="1"/>
      <c r="E93" s="1"/>
      <c r="F93" s="12"/>
      <c r="G93" s="12"/>
      <c r="H93" s="106"/>
    </row>
    <row r="94" spans="1:8" ht="14.1" customHeight="1" x14ac:dyDescent="0.2">
      <c r="A94" s="1"/>
      <c r="B94" s="1"/>
      <c r="C94" s="2" t="s">
        <v>130</v>
      </c>
      <c r="D94" s="1"/>
      <c r="E94" s="1" t="s">
        <v>131</v>
      </c>
      <c r="F94" s="13">
        <v>0</v>
      </c>
      <c r="G94" s="14">
        <v>0</v>
      </c>
      <c r="H94" s="106"/>
    </row>
    <row r="95" spans="1:8" ht="14.1" customHeight="1" x14ac:dyDescent="0.2">
      <c r="A95" s="1"/>
      <c r="B95" s="1"/>
      <c r="C95" s="11"/>
      <c r="D95" s="1"/>
      <c r="E95" s="1"/>
      <c r="F95" s="12"/>
      <c r="G95" s="12"/>
      <c r="H95" s="106"/>
    </row>
    <row r="96" spans="1:8" ht="14.1" customHeight="1" x14ac:dyDescent="0.2">
      <c r="A96" s="1"/>
      <c r="B96" s="1"/>
      <c r="C96" s="2" t="s">
        <v>139</v>
      </c>
      <c r="D96" s="1"/>
      <c r="E96" s="1"/>
      <c r="F96" s="1"/>
      <c r="G96" s="1"/>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140</v>
      </c>
      <c r="D99" s="1"/>
      <c r="E99" s="1"/>
      <c r="F99" s="1"/>
      <c r="G99" s="1"/>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141</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142</v>
      </c>
      <c r="D105" s="1"/>
      <c r="E105" s="1"/>
      <c r="F105" s="9">
        <v>0</v>
      </c>
      <c r="G105" s="10">
        <v>0</v>
      </c>
      <c r="H105" s="106"/>
    </row>
    <row r="106" spans="1:8" ht="14.1" customHeight="1" x14ac:dyDescent="0.2">
      <c r="A106" s="1"/>
      <c r="B106" s="1"/>
      <c r="C106" s="11"/>
      <c r="D106" s="1"/>
      <c r="E106" s="1"/>
      <c r="F106" s="12"/>
      <c r="G106" s="12"/>
      <c r="H106" s="106"/>
    </row>
    <row r="107" spans="1:8" ht="14.1" customHeight="1" x14ac:dyDescent="0.2">
      <c r="A107" s="1"/>
      <c r="B107" s="1"/>
      <c r="C107" s="2" t="s">
        <v>143</v>
      </c>
      <c r="D107" s="1"/>
      <c r="E107" s="1"/>
      <c r="F107" s="12"/>
      <c r="G107" s="12"/>
      <c r="H107" s="106"/>
    </row>
    <row r="108" spans="1:8" ht="14.1" customHeight="1" x14ac:dyDescent="0.2">
      <c r="A108" s="1"/>
      <c r="B108" s="1"/>
      <c r="C108" s="2" t="s">
        <v>144</v>
      </c>
      <c r="D108" s="1"/>
      <c r="E108" s="1"/>
      <c r="F108" s="12"/>
      <c r="G108" s="12"/>
      <c r="H108" s="106"/>
    </row>
    <row r="109" spans="1:8" ht="14.1" customHeight="1" x14ac:dyDescent="0.2">
      <c r="A109" s="1"/>
      <c r="B109" s="1"/>
      <c r="C109" s="2" t="s">
        <v>130</v>
      </c>
      <c r="D109" s="1"/>
      <c r="E109" s="1" t="s">
        <v>131</v>
      </c>
      <c r="F109" s="13">
        <v>0</v>
      </c>
      <c r="G109" s="14">
        <v>0</v>
      </c>
      <c r="H109" s="106"/>
    </row>
    <row r="110" spans="1:8" ht="14.1" customHeight="1" x14ac:dyDescent="0.2">
      <c r="A110" s="1"/>
      <c r="B110" s="1"/>
      <c r="C110" s="11"/>
      <c r="D110" s="1"/>
      <c r="E110" s="1"/>
      <c r="F110" s="12"/>
      <c r="G110" s="12"/>
      <c r="H110" s="106"/>
    </row>
    <row r="111" spans="1:8" ht="14.1" customHeight="1" x14ac:dyDescent="0.2">
      <c r="A111" s="1"/>
      <c r="B111" s="1"/>
      <c r="C111" s="2" t="s">
        <v>145</v>
      </c>
      <c r="D111" s="1"/>
      <c r="E111" s="1"/>
      <c r="F111" s="12"/>
      <c r="G111" s="12"/>
      <c r="H111" s="106"/>
    </row>
    <row r="112" spans="1:8" ht="14.1" customHeight="1" x14ac:dyDescent="0.2">
      <c r="A112" s="1"/>
      <c r="B112" s="1"/>
      <c r="C112" s="2" t="s">
        <v>130</v>
      </c>
      <c r="D112" s="1"/>
      <c r="E112" s="1" t="s">
        <v>131</v>
      </c>
      <c r="F112" s="13">
        <v>0</v>
      </c>
      <c r="G112" s="14">
        <v>0</v>
      </c>
      <c r="H112" s="106"/>
    </row>
    <row r="113" spans="1:8" ht="14.1" customHeight="1" x14ac:dyDescent="0.2">
      <c r="A113" s="1"/>
      <c r="B113" s="1"/>
      <c r="C113" s="11"/>
      <c r="D113" s="1"/>
      <c r="E113" s="1"/>
      <c r="F113" s="12"/>
      <c r="G113" s="12"/>
      <c r="H113" s="106"/>
    </row>
    <row r="114" spans="1:8" ht="14.1" customHeight="1" x14ac:dyDescent="0.2">
      <c r="A114" s="1"/>
      <c r="B114" s="1"/>
      <c r="C114" s="2" t="s">
        <v>146</v>
      </c>
      <c r="D114" s="1"/>
      <c r="E114" s="1"/>
      <c r="F114" s="12"/>
      <c r="G114" s="12"/>
      <c r="H114" s="106"/>
    </row>
    <row r="115" spans="1:8" ht="14.1" customHeight="1" x14ac:dyDescent="0.2">
      <c r="A115" s="1"/>
      <c r="B115" s="1"/>
      <c r="C115" s="2" t="s">
        <v>130</v>
      </c>
      <c r="D115" s="1"/>
      <c r="E115" s="1" t="s">
        <v>131</v>
      </c>
      <c r="F115" s="13">
        <v>0</v>
      </c>
      <c r="G115" s="14">
        <v>0</v>
      </c>
      <c r="H115" s="106"/>
    </row>
    <row r="116" spans="1:8" ht="14.1" customHeight="1" x14ac:dyDescent="0.2">
      <c r="A116" s="1"/>
      <c r="B116" s="1"/>
      <c r="C116" s="11"/>
      <c r="D116" s="1"/>
      <c r="E116" s="1"/>
      <c r="F116" s="12"/>
      <c r="G116" s="12"/>
      <c r="H116" s="106"/>
    </row>
    <row r="117" spans="1:8" ht="14.1" customHeight="1" x14ac:dyDescent="0.2">
      <c r="A117" s="1"/>
      <c r="B117" s="1"/>
      <c r="C117" s="2" t="s">
        <v>147</v>
      </c>
      <c r="D117" s="1"/>
      <c r="E117" s="1"/>
      <c r="F117" s="12"/>
      <c r="G117" s="12"/>
      <c r="H117" s="106"/>
    </row>
    <row r="118" spans="1:8" ht="17.100000000000001" customHeight="1" x14ac:dyDescent="0.2">
      <c r="A118" s="3">
        <v>1</v>
      </c>
      <c r="B118" s="4"/>
      <c r="C118" s="4" t="s">
        <v>148</v>
      </c>
      <c r="D118" s="4"/>
      <c r="E118" s="8"/>
      <c r="F118" s="6">
        <v>459.12505379999999</v>
      </c>
      <c r="G118" s="7">
        <v>0.108430743</v>
      </c>
      <c r="H118" s="106">
        <v>6.1171451766917002</v>
      </c>
    </row>
    <row r="119" spans="1:8" ht="14.1" customHeight="1" x14ac:dyDescent="0.2">
      <c r="A119" s="1"/>
      <c r="B119" s="1"/>
      <c r="C119" s="2" t="s">
        <v>130</v>
      </c>
      <c r="D119" s="1"/>
      <c r="E119" s="1" t="s">
        <v>131</v>
      </c>
      <c r="F119" s="9">
        <v>459.12505379999999</v>
      </c>
      <c r="G119" s="10">
        <v>0.108430743</v>
      </c>
      <c r="H119" s="106"/>
    </row>
    <row r="120" spans="1:8" ht="14.1" customHeight="1" x14ac:dyDescent="0.2">
      <c r="A120" s="1"/>
      <c r="B120" s="1"/>
      <c r="C120" s="11"/>
      <c r="D120" s="1"/>
      <c r="E120" s="1"/>
      <c r="F120" s="12"/>
      <c r="G120" s="12"/>
      <c r="H120" s="106"/>
    </row>
    <row r="121" spans="1:8" ht="14.1" customHeight="1" x14ac:dyDescent="0.2">
      <c r="A121" s="1"/>
      <c r="B121" s="1"/>
      <c r="C121" s="2" t="s">
        <v>149</v>
      </c>
      <c r="D121" s="1"/>
      <c r="E121" s="1"/>
      <c r="F121" s="9">
        <v>459.12505379999999</v>
      </c>
      <c r="G121" s="10">
        <v>0.108430743</v>
      </c>
      <c r="H121" s="106"/>
    </row>
    <row r="122" spans="1:8" ht="14.1" customHeight="1" x14ac:dyDescent="0.2">
      <c r="A122" s="1"/>
      <c r="B122" s="1"/>
      <c r="C122" s="12"/>
      <c r="D122" s="1"/>
      <c r="E122" s="1"/>
      <c r="F122" s="1"/>
      <c r="G122" s="1"/>
      <c r="H122" s="106"/>
    </row>
    <row r="123" spans="1:8" ht="14.1" customHeight="1" x14ac:dyDescent="0.2">
      <c r="A123" s="1"/>
      <c r="B123" s="1"/>
      <c r="C123" s="2" t="s">
        <v>150</v>
      </c>
      <c r="D123" s="1"/>
      <c r="E123" s="1"/>
      <c r="F123" s="1"/>
      <c r="G123" s="1"/>
      <c r="H123" s="106"/>
    </row>
    <row r="124" spans="1:8" ht="14.1" customHeight="1" x14ac:dyDescent="0.2">
      <c r="A124" s="1"/>
      <c r="B124" s="1"/>
      <c r="C124" s="2" t="s">
        <v>151</v>
      </c>
      <c r="D124" s="1"/>
      <c r="E124" s="1"/>
      <c r="F124" s="1"/>
      <c r="G124" s="1"/>
      <c r="H124" s="106"/>
    </row>
    <row r="125" spans="1:8" ht="14.1" customHeight="1" x14ac:dyDescent="0.2">
      <c r="A125" s="1"/>
      <c r="B125" s="1"/>
      <c r="C125" s="2" t="s">
        <v>130</v>
      </c>
      <c r="D125" s="1"/>
      <c r="E125" s="1" t="s">
        <v>131</v>
      </c>
      <c r="F125" s="13">
        <v>0</v>
      </c>
      <c r="G125" s="14">
        <v>0</v>
      </c>
      <c r="H125" s="106"/>
    </row>
    <row r="126" spans="1:8" ht="14.1" customHeight="1" x14ac:dyDescent="0.2">
      <c r="A126" s="1"/>
      <c r="B126" s="1"/>
      <c r="C126" s="11"/>
      <c r="D126" s="1"/>
      <c r="E126" s="1"/>
      <c r="F126" s="12"/>
      <c r="G126" s="12"/>
      <c r="H126" s="106"/>
    </row>
    <row r="127" spans="1:8" ht="14.1" customHeight="1" x14ac:dyDescent="0.2">
      <c r="A127" s="1"/>
      <c r="B127" s="1"/>
      <c r="C127" s="2" t="s">
        <v>152</v>
      </c>
      <c r="D127" s="1"/>
      <c r="E127" s="1"/>
      <c r="F127" s="1"/>
      <c r="G127" s="1"/>
      <c r="H127" s="106"/>
    </row>
    <row r="128" spans="1:8" ht="14.1" customHeight="1" x14ac:dyDescent="0.2">
      <c r="A128" s="1"/>
      <c r="B128" s="1"/>
      <c r="C128" s="2" t="s">
        <v>153</v>
      </c>
      <c r="D128" s="1"/>
      <c r="E128" s="1"/>
      <c r="F128" s="1"/>
      <c r="G128" s="1"/>
      <c r="H128" s="106"/>
    </row>
    <row r="129" spans="1:8" ht="14.1" customHeight="1" x14ac:dyDescent="0.2">
      <c r="A129" s="1"/>
      <c r="B129" s="1"/>
      <c r="C129" s="2" t="s">
        <v>130</v>
      </c>
      <c r="D129" s="1"/>
      <c r="E129" s="1" t="s">
        <v>131</v>
      </c>
      <c r="F129" s="13">
        <v>0</v>
      </c>
      <c r="G129" s="14">
        <v>0</v>
      </c>
      <c r="H129" s="106"/>
    </row>
    <row r="130" spans="1:8" ht="14.1" customHeight="1" x14ac:dyDescent="0.2">
      <c r="A130" s="1"/>
      <c r="B130" s="1"/>
      <c r="C130" s="11"/>
      <c r="D130" s="1"/>
      <c r="E130" s="1"/>
      <c r="F130" s="12"/>
      <c r="G130" s="12"/>
      <c r="H130" s="106"/>
    </row>
    <row r="131" spans="1:8" ht="14.1" customHeight="1" x14ac:dyDescent="0.2">
      <c r="A131" s="1"/>
      <c r="B131" s="1"/>
      <c r="C131" s="11"/>
      <c r="D131" s="1"/>
      <c r="E131" s="1"/>
      <c r="F131" s="12"/>
      <c r="G131" s="12"/>
      <c r="H131" s="106"/>
    </row>
    <row r="132" spans="1:8" ht="24" customHeight="1" x14ac:dyDescent="0.2">
      <c r="A132" s="1"/>
      <c r="B132" s="1"/>
      <c r="C132" s="2" t="s">
        <v>154</v>
      </c>
      <c r="D132" s="1"/>
      <c r="E132" s="1"/>
      <c r="F132" s="12"/>
      <c r="G132" s="12"/>
      <c r="H132" s="106"/>
    </row>
    <row r="133" spans="1:8" ht="14.1" customHeight="1" x14ac:dyDescent="0.2">
      <c r="A133" s="1"/>
      <c r="B133" s="1"/>
      <c r="C133" s="2" t="s">
        <v>130</v>
      </c>
      <c r="D133" s="1"/>
      <c r="E133" s="1" t="s">
        <v>131</v>
      </c>
      <c r="F133" s="13">
        <v>0</v>
      </c>
      <c r="G133" s="14">
        <v>0</v>
      </c>
      <c r="H133" s="106"/>
    </row>
    <row r="134" spans="1:8" ht="14.1" customHeight="1" x14ac:dyDescent="0.2">
      <c r="A134" s="1"/>
      <c r="B134" s="1"/>
      <c r="C134" s="11"/>
      <c r="D134" s="1"/>
      <c r="E134" s="1"/>
      <c r="F134" s="12"/>
      <c r="G134" s="12"/>
      <c r="H134" s="106"/>
    </row>
    <row r="135" spans="1:8" ht="14.1" customHeight="1" x14ac:dyDescent="0.2">
      <c r="A135" s="1"/>
      <c r="B135" s="4"/>
      <c r="C135" s="4"/>
      <c r="D135" s="2"/>
      <c r="E135" s="1"/>
      <c r="F135" s="4"/>
      <c r="G135" s="8"/>
      <c r="H135" s="106"/>
    </row>
    <row r="136" spans="1:8" ht="18" customHeight="1" x14ac:dyDescent="0.2">
      <c r="A136" s="8"/>
      <c r="B136" s="4"/>
      <c r="C136" s="4" t="s">
        <v>155</v>
      </c>
      <c r="D136" s="4"/>
      <c r="E136" s="8"/>
      <c r="F136" s="6">
        <v>-1.32153031</v>
      </c>
      <c r="G136" s="7">
        <v>-3.1210299999999999E-4</v>
      </c>
      <c r="H136" s="106"/>
    </row>
    <row r="137" spans="1:8" ht="14.1" customHeight="1" x14ac:dyDescent="0.2">
      <c r="A137" s="11"/>
      <c r="B137" s="11"/>
      <c r="C137" s="2" t="s">
        <v>156</v>
      </c>
      <c r="D137" s="15"/>
      <c r="E137" s="15"/>
      <c r="F137" s="9">
        <v>4234.2700879900003</v>
      </c>
      <c r="G137" s="10">
        <v>0.99999999900000003</v>
      </c>
      <c r="H137" s="106"/>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279" t="s">
        <v>158</v>
      </c>
      <c r="C140" s="280"/>
      <c r="D140" s="12" t="s">
        <v>131</v>
      </c>
      <c r="E140" s="21"/>
      <c r="F140" s="20"/>
      <c r="G140" s="20"/>
    </row>
    <row r="141" spans="1:8" ht="29.1" customHeight="1" x14ac:dyDescent="0.2">
      <c r="A141" s="18"/>
      <c r="B141" s="274" t="s">
        <v>159</v>
      </c>
      <c r="C141" s="275"/>
      <c r="D141" s="2" t="s">
        <v>160</v>
      </c>
      <c r="E141" s="21"/>
      <c r="F141" s="20"/>
      <c r="G141" s="20"/>
    </row>
    <row r="142" spans="1:8" ht="17.100000000000001" customHeight="1" x14ac:dyDescent="0.2">
      <c r="A142" s="18"/>
      <c r="B142" s="274" t="s">
        <v>161</v>
      </c>
      <c r="C142" s="275"/>
      <c r="D142" s="2" t="s">
        <v>160</v>
      </c>
      <c r="E142" s="21"/>
      <c r="F142" s="20"/>
      <c r="G142" s="20"/>
    </row>
    <row r="143" spans="1:8" ht="17.100000000000001" customHeight="1" x14ac:dyDescent="0.2">
      <c r="A143" s="18"/>
      <c r="B143" s="274" t="s">
        <v>162</v>
      </c>
      <c r="C143" s="275"/>
      <c r="D143" s="12" t="s">
        <v>131</v>
      </c>
      <c r="E143" s="21"/>
      <c r="F143" s="20"/>
      <c r="G143" s="20"/>
    </row>
    <row r="144" spans="1:8" ht="24" customHeight="1" x14ac:dyDescent="0.2">
      <c r="A144" s="22"/>
      <c r="B144" s="23" t="s">
        <v>131</v>
      </c>
      <c r="C144" s="23" t="s">
        <v>163</v>
      </c>
      <c r="D144" s="23" t="s">
        <v>164</v>
      </c>
      <c r="E144" s="22"/>
      <c r="F144" s="22"/>
      <c r="G144" s="22"/>
    </row>
    <row r="145" spans="1:7" ht="18" customHeight="1" x14ac:dyDescent="0.2">
      <c r="A145" s="22"/>
      <c r="B145" s="23" t="s">
        <v>165</v>
      </c>
      <c r="C145" s="23" t="s">
        <v>166</v>
      </c>
      <c r="D145" s="23" t="s">
        <v>167</v>
      </c>
      <c r="E145" s="22"/>
      <c r="F145" s="22"/>
      <c r="G145" s="22"/>
    </row>
    <row r="146" spans="1:7" ht="17.100000000000001" customHeight="1" x14ac:dyDescent="0.2">
      <c r="A146" s="22"/>
      <c r="B146" s="4" t="s">
        <v>168</v>
      </c>
      <c r="C146" s="24">
        <v>23.073799999999999</v>
      </c>
      <c r="D146" s="24">
        <v>23.277699999999999</v>
      </c>
      <c r="E146" s="22"/>
      <c r="F146" s="19"/>
      <c r="G146" s="25"/>
    </row>
    <row r="147" spans="1:7" ht="17.100000000000001" customHeight="1" x14ac:dyDescent="0.2">
      <c r="A147" s="22"/>
      <c r="B147" s="4" t="s">
        <v>1048</v>
      </c>
      <c r="C147" s="24">
        <v>21.630800000000001</v>
      </c>
      <c r="D147" s="24">
        <v>21.821999999999999</v>
      </c>
      <c r="E147" s="22"/>
      <c r="F147" s="19"/>
      <c r="G147" s="25"/>
    </row>
    <row r="148" spans="1:7" ht="17.100000000000001" customHeight="1" x14ac:dyDescent="0.2">
      <c r="A148" s="22"/>
      <c r="B148" s="4" t="s">
        <v>169</v>
      </c>
      <c r="C148" s="24">
        <v>22.562100000000001</v>
      </c>
      <c r="D148" s="24">
        <v>22.750800000000002</v>
      </c>
      <c r="E148" s="22"/>
      <c r="F148" s="19"/>
      <c r="G148" s="25"/>
    </row>
    <row r="149" spans="1:7" ht="17.100000000000001" customHeight="1" x14ac:dyDescent="0.2">
      <c r="A149" s="22"/>
      <c r="B149" s="4" t="s">
        <v>1049</v>
      </c>
      <c r="C149" s="24">
        <v>21.130099999999999</v>
      </c>
      <c r="D149" s="24">
        <v>21.306799999999999</v>
      </c>
      <c r="E149" s="22"/>
      <c r="F149" s="19"/>
      <c r="G149" s="25"/>
    </row>
    <row r="150" spans="1:7" ht="14.1" customHeight="1" x14ac:dyDescent="0.2">
      <c r="A150" s="22"/>
      <c r="B150" s="22"/>
      <c r="C150" s="22"/>
      <c r="D150" s="22"/>
      <c r="E150" s="22"/>
      <c r="F150" s="22"/>
      <c r="G150" s="22"/>
    </row>
    <row r="151" spans="1:7" ht="17.100000000000001" customHeight="1" x14ac:dyDescent="0.2">
      <c r="A151" s="22"/>
      <c r="B151" s="274" t="s">
        <v>1060</v>
      </c>
      <c r="C151" s="275"/>
      <c r="D151" s="2" t="s">
        <v>160</v>
      </c>
      <c r="E151" s="22"/>
      <c r="F151" s="22"/>
      <c r="G151" s="22"/>
    </row>
    <row r="152" spans="1:7" ht="18" customHeight="1" x14ac:dyDescent="0.2">
      <c r="A152" s="22"/>
      <c r="B152" s="26" t="s">
        <v>170</v>
      </c>
      <c r="C152" s="26" t="s">
        <v>170</v>
      </c>
      <c r="D152" s="26"/>
      <c r="E152" s="22"/>
      <c r="F152" s="22"/>
      <c r="G152" s="22"/>
    </row>
    <row r="153" spans="1:7" ht="29.1" customHeight="1" x14ac:dyDescent="0.2">
      <c r="A153" s="22"/>
      <c r="B153" s="274" t="s">
        <v>171</v>
      </c>
      <c r="C153" s="275"/>
      <c r="D153" s="2" t="s">
        <v>160</v>
      </c>
      <c r="E153" s="22"/>
      <c r="F153" s="22"/>
      <c r="G153" s="22"/>
    </row>
    <row r="154" spans="1:7" ht="29.1" customHeight="1" x14ac:dyDescent="0.2">
      <c r="A154" s="22"/>
      <c r="B154" s="274" t="s">
        <v>172</v>
      </c>
      <c r="C154" s="275"/>
      <c r="D154" s="2" t="s">
        <v>160</v>
      </c>
      <c r="E154" s="22"/>
      <c r="F154" s="22"/>
      <c r="G154" s="22"/>
    </row>
    <row r="155" spans="1:7" ht="17.100000000000001" customHeight="1" x14ac:dyDescent="0.2">
      <c r="A155" s="22"/>
      <c r="B155" s="274" t="s">
        <v>173</v>
      </c>
      <c r="C155" s="275"/>
      <c r="D155" s="27">
        <v>0.27677880834277424</v>
      </c>
      <c r="E155" s="22"/>
      <c r="F155" s="19"/>
      <c r="G155" s="25"/>
    </row>
    <row r="156" spans="1:7" ht="17.100000000000001" customHeight="1" x14ac:dyDescent="0.2">
      <c r="A156" s="22"/>
      <c r="B156" s="274" t="s">
        <v>174</v>
      </c>
      <c r="C156" s="275"/>
      <c r="D156" s="2" t="s">
        <v>160</v>
      </c>
      <c r="E156" s="22"/>
      <c r="F156" s="22"/>
      <c r="G156" s="22"/>
    </row>
    <row r="162" spans="10:15" x14ac:dyDescent="0.2">
      <c r="J162" s="162"/>
      <c r="K162" s="162"/>
      <c r="L162" s="162"/>
      <c r="M162" s="162"/>
      <c r="N162" s="162"/>
      <c r="O162" s="162"/>
    </row>
  </sheetData>
  <mergeCells count="13">
    <mergeCell ref="J2:N2"/>
    <mergeCell ref="B140:C140"/>
    <mergeCell ref="B155:C155"/>
    <mergeCell ref="A1:H1"/>
    <mergeCell ref="A2:H2"/>
    <mergeCell ref="A3:H3"/>
    <mergeCell ref="B156:C156"/>
    <mergeCell ref="B141:C141"/>
    <mergeCell ref="B142:C142"/>
    <mergeCell ref="B143:C143"/>
    <mergeCell ref="B151:C151"/>
    <mergeCell ref="B153:C153"/>
    <mergeCell ref="B154:C154"/>
  </mergeCells>
  <hyperlinks>
    <hyperlink ref="I1" location="Index!B12" display="Index" xr:uid="{27C846BA-A80B-4F68-A223-B02A52580DD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5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472</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29</v>
      </c>
      <c r="C7" s="4" t="s">
        <v>30</v>
      </c>
      <c r="D7" s="4" t="s">
        <v>31</v>
      </c>
      <c r="E7" s="5">
        <v>33960</v>
      </c>
      <c r="F7" s="6">
        <v>706.82646</v>
      </c>
      <c r="G7" s="7">
        <v>4.8211636000000002E-2</v>
      </c>
      <c r="H7" s="106"/>
    </row>
    <row r="8" spans="1:14" ht="17.100000000000001" customHeight="1" x14ac:dyDescent="0.2">
      <c r="A8" s="3">
        <v>2</v>
      </c>
      <c r="B8" s="4" t="s">
        <v>108</v>
      </c>
      <c r="C8" s="4" t="s">
        <v>109</v>
      </c>
      <c r="D8" s="4" t="s">
        <v>110</v>
      </c>
      <c r="E8" s="5">
        <v>119971</v>
      </c>
      <c r="F8" s="6">
        <v>446.41209099999998</v>
      </c>
      <c r="G8" s="7">
        <v>3.0449139E-2</v>
      </c>
      <c r="H8" s="106"/>
    </row>
    <row r="9" spans="1:14" ht="29.1" customHeight="1" x14ac:dyDescent="0.2">
      <c r="A9" s="3">
        <v>3</v>
      </c>
      <c r="B9" s="4" t="s">
        <v>189</v>
      </c>
      <c r="C9" s="4" t="s">
        <v>190</v>
      </c>
      <c r="D9" s="4" t="s">
        <v>110</v>
      </c>
      <c r="E9" s="5">
        <v>120960</v>
      </c>
      <c r="F9" s="6">
        <v>438.23808000000002</v>
      </c>
      <c r="G9" s="7">
        <v>2.9891601E-2</v>
      </c>
      <c r="H9" s="106"/>
    </row>
    <row r="10" spans="1:14" ht="17.100000000000001" customHeight="1" x14ac:dyDescent="0.2">
      <c r="A10" s="3">
        <v>4</v>
      </c>
      <c r="B10" s="4" t="s">
        <v>32</v>
      </c>
      <c r="C10" s="4" t="s">
        <v>33</v>
      </c>
      <c r="D10" s="4" t="s">
        <v>31</v>
      </c>
      <c r="E10" s="5">
        <v>19181</v>
      </c>
      <c r="F10" s="6">
        <v>403.37643000000003</v>
      </c>
      <c r="G10" s="7">
        <v>2.7513737E-2</v>
      </c>
      <c r="H10" s="106"/>
    </row>
    <row r="11" spans="1:14" ht="17.100000000000001" customHeight="1" x14ac:dyDescent="0.2">
      <c r="A11" s="3">
        <v>5</v>
      </c>
      <c r="B11" s="4" t="s">
        <v>380</v>
      </c>
      <c r="C11" s="4" t="s">
        <v>381</v>
      </c>
      <c r="D11" s="4" t="s">
        <v>99</v>
      </c>
      <c r="E11" s="5">
        <v>384936</v>
      </c>
      <c r="F11" s="6">
        <v>388.40042399999999</v>
      </c>
      <c r="G11" s="7">
        <v>2.6492245000000001E-2</v>
      </c>
      <c r="H11" s="106"/>
    </row>
    <row r="12" spans="1:14" ht="17.100000000000001" customHeight="1" x14ac:dyDescent="0.2">
      <c r="A12" s="3">
        <v>6</v>
      </c>
      <c r="B12" s="4" t="s">
        <v>77</v>
      </c>
      <c r="C12" s="4" t="s">
        <v>78</v>
      </c>
      <c r="D12" s="4" t="s">
        <v>31</v>
      </c>
      <c r="E12" s="5">
        <v>23527</v>
      </c>
      <c r="F12" s="6">
        <v>380.008104</v>
      </c>
      <c r="G12" s="7">
        <v>2.5919817000000001E-2</v>
      </c>
      <c r="H12" s="106"/>
    </row>
    <row r="13" spans="1:14" ht="17.100000000000001" customHeight="1" x14ac:dyDescent="0.2">
      <c r="A13" s="3">
        <v>7</v>
      </c>
      <c r="B13" s="4" t="s">
        <v>382</v>
      </c>
      <c r="C13" s="4" t="s">
        <v>383</v>
      </c>
      <c r="D13" s="4" t="s">
        <v>110</v>
      </c>
      <c r="E13" s="5">
        <v>20160</v>
      </c>
      <c r="F13" s="6">
        <v>374.46192000000002</v>
      </c>
      <c r="G13" s="7">
        <v>2.5541518999999999E-2</v>
      </c>
      <c r="H13" s="106"/>
      <c r="J13" s="161" t="s">
        <v>1089</v>
      </c>
    </row>
    <row r="14" spans="1:14" ht="17.100000000000001" customHeight="1" x14ac:dyDescent="0.2">
      <c r="A14" s="3">
        <v>8</v>
      </c>
      <c r="B14" s="4" t="s">
        <v>416</v>
      </c>
      <c r="C14" s="4" t="s">
        <v>417</v>
      </c>
      <c r="D14" s="4" t="s">
        <v>212</v>
      </c>
      <c r="E14" s="5">
        <v>127326</v>
      </c>
      <c r="F14" s="6">
        <v>367.01719500000002</v>
      </c>
      <c r="G14" s="7">
        <v>2.5033725E-2</v>
      </c>
      <c r="H14" s="106"/>
    </row>
    <row r="15" spans="1:14" ht="29.1" customHeight="1" x14ac:dyDescent="0.2">
      <c r="A15" s="3">
        <v>9</v>
      </c>
      <c r="B15" s="4" t="s">
        <v>196</v>
      </c>
      <c r="C15" s="4" t="s">
        <v>197</v>
      </c>
      <c r="D15" s="4" t="s">
        <v>188</v>
      </c>
      <c r="E15" s="5">
        <v>7906</v>
      </c>
      <c r="F15" s="6">
        <v>359.861355</v>
      </c>
      <c r="G15" s="7">
        <v>2.4545635E-2</v>
      </c>
      <c r="H15" s="106"/>
    </row>
    <row r="16" spans="1:14" ht="17.100000000000001" customHeight="1" x14ac:dyDescent="0.2">
      <c r="A16" s="3">
        <v>10</v>
      </c>
      <c r="B16" s="4" t="s">
        <v>17</v>
      </c>
      <c r="C16" s="4" t="s">
        <v>18</v>
      </c>
      <c r="D16" s="4" t="s">
        <v>19</v>
      </c>
      <c r="E16" s="5">
        <v>40285</v>
      </c>
      <c r="F16" s="6">
        <v>335.1712</v>
      </c>
      <c r="G16" s="7">
        <v>2.2861554999999999E-2</v>
      </c>
      <c r="H16" s="106"/>
    </row>
    <row r="17" spans="1:8" ht="17.100000000000001" customHeight="1" x14ac:dyDescent="0.2">
      <c r="A17" s="3">
        <v>11</v>
      </c>
      <c r="B17" s="4" t="s">
        <v>304</v>
      </c>
      <c r="C17" s="4" t="s">
        <v>305</v>
      </c>
      <c r="D17" s="4" t="s">
        <v>240</v>
      </c>
      <c r="E17" s="5">
        <v>64027</v>
      </c>
      <c r="F17" s="6">
        <v>328.42649649999998</v>
      </c>
      <c r="G17" s="7">
        <v>2.2401508000000001E-2</v>
      </c>
      <c r="H17" s="106"/>
    </row>
    <row r="18" spans="1:8" ht="17.100000000000001" customHeight="1" x14ac:dyDescent="0.2">
      <c r="A18" s="3">
        <v>12</v>
      </c>
      <c r="B18" s="4" t="s">
        <v>320</v>
      </c>
      <c r="C18" s="4" t="s">
        <v>321</v>
      </c>
      <c r="D18" s="4" t="s">
        <v>230</v>
      </c>
      <c r="E18" s="5">
        <v>21555</v>
      </c>
      <c r="F18" s="6">
        <v>311.93318249999999</v>
      </c>
      <c r="G18" s="7">
        <v>2.1276521999999999E-2</v>
      </c>
      <c r="H18" s="106"/>
    </row>
    <row r="19" spans="1:8" ht="17.100000000000001" customHeight="1" x14ac:dyDescent="0.2">
      <c r="A19" s="3">
        <v>13</v>
      </c>
      <c r="B19" s="4" t="s">
        <v>459</v>
      </c>
      <c r="C19" s="4" t="s">
        <v>460</v>
      </c>
      <c r="D19" s="4" t="s">
        <v>96</v>
      </c>
      <c r="E19" s="5">
        <v>21498</v>
      </c>
      <c r="F19" s="6">
        <v>306.95919300000003</v>
      </c>
      <c r="G19" s="7">
        <v>2.0937253999999999E-2</v>
      </c>
      <c r="H19" s="106"/>
    </row>
    <row r="20" spans="1:8" ht="29.1" customHeight="1" x14ac:dyDescent="0.2">
      <c r="A20" s="3">
        <v>14</v>
      </c>
      <c r="B20" s="4" t="s">
        <v>445</v>
      </c>
      <c r="C20" s="4" t="s">
        <v>446</v>
      </c>
      <c r="D20" s="4" t="s">
        <v>51</v>
      </c>
      <c r="E20" s="5">
        <v>12377</v>
      </c>
      <c r="F20" s="6">
        <v>306.55353600000001</v>
      </c>
      <c r="G20" s="7">
        <v>2.0909583999999998E-2</v>
      </c>
      <c r="H20" s="106"/>
    </row>
    <row r="21" spans="1:8" ht="17.100000000000001" customHeight="1" x14ac:dyDescent="0.2">
      <c r="A21" s="3">
        <v>15</v>
      </c>
      <c r="B21" s="4" t="s">
        <v>322</v>
      </c>
      <c r="C21" s="4" t="s">
        <v>323</v>
      </c>
      <c r="D21" s="4" t="s">
        <v>324</v>
      </c>
      <c r="E21" s="5">
        <v>18321</v>
      </c>
      <c r="F21" s="6">
        <v>293.62150650000001</v>
      </c>
      <c r="G21" s="7">
        <v>2.0027508999999999E-2</v>
      </c>
      <c r="H21" s="106"/>
    </row>
    <row r="22" spans="1:8" ht="17.100000000000001" customHeight="1" x14ac:dyDescent="0.2">
      <c r="A22" s="3">
        <v>16</v>
      </c>
      <c r="B22" s="4" t="s">
        <v>87</v>
      </c>
      <c r="C22" s="4" t="s">
        <v>88</v>
      </c>
      <c r="D22" s="4" t="s">
        <v>89</v>
      </c>
      <c r="E22" s="5">
        <v>10363</v>
      </c>
      <c r="F22" s="6">
        <v>285.45919800000001</v>
      </c>
      <c r="G22" s="7">
        <v>1.9470768999999999E-2</v>
      </c>
      <c r="H22" s="106"/>
    </row>
    <row r="23" spans="1:8" ht="17.100000000000001" customHeight="1" x14ac:dyDescent="0.2">
      <c r="A23" s="3">
        <v>17</v>
      </c>
      <c r="B23" s="4" t="s">
        <v>461</v>
      </c>
      <c r="C23" s="4" t="s">
        <v>462</v>
      </c>
      <c r="D23" s="4" t="s">
        <v>1114</v>
      </c>
      <c r="E23" s="5">
        <v>40028</v>
      </c>
      <c r="F23" s="6">
        <v>283.89859000000001</v>
      </c>
      <c r="G23" s="7">
        <v>1.9364322E-2</v>
      </c>
      <c r="H23" s="106"/>
    </row>
    <row r="24" spans="1:8" ht="17.100000000000001" customHeight="1" x14ac:dyDescent="0.2">
      <c r="A24" s="3">
        <v>18</v>
      </c>
      <c r="B24" s="4" t="s">
        <v>384</v>
      </c>
      <c r="C24" s="4" t="s">
        <v>385</v>
      </c>
      <c r="D24" s="4" t="s">
        <v>288</v>
      </c>
      <c r="E24" s="5">
        <v>23695</v>
      </c>
      <c r="F24" s="6">
        <v>273.55877500000003</v>
      </c>
      <c r="G24" s="7">
        <v>1.8659057999999999E-2</v>
      </c>
      <c r="H24" s="106"/>
    </row>
    <row r="25" spans="1:8" ht="17.100000000000001" customHeight="1" x14ac:dyDescent="0.2">
      <c r="A25" s="3">
        <v>19</v>
      </c>
      <c r="B25" s="4" t="s">
        <v>279</v>
      </c>
      <c r="C25" s="4" t="s">
        <v>280</v>
      </c>
      <c r="D25" s="4" t="s">
        <v>22</v>
      </c>
      <c r="E25" s="5">
        <v>119529</v>
      </c>
      <c r="F25" s="6">
        <v>255.61276649999999</v>
      </c>
      <c r="G25" s="7">
        <v>1.7434986E-2</v>
      </c>
      <c r="H25" s="106"/>
    </row>
    <row r="26" spans="1:8" ht="29.1" customHeight="1" x14ac:dyDescent="0.2">
      <c r="A26" s="3">
        <v>20</v>
      </c>
      <c r="B26" s="4" t="s">
        <v>202</v>
      </c>
      <c r="C26" s="4" t="s">
        <v>203</v>
      </c>
      <c r="D26" s="4" t="s">
        <v>204</v>
      </c>
      <c r="E26" s="5">
        <v>53018</v>
      </c>
      <c r="F26" s="6">
        <v>240.99331900000001</v>
      </c>
      <c r="G26" s="7">
        <v>1.6437813999999999E-2</v>
      </c>
      <c r="H26" s="106"/>
    </row>
    <row r="27" spans="1:8" ht="17.100000000000001" customHeight="1" x14ac:dyDescent="0.2">
      <c r="A27" s="3">
        <v>21</v>
      </c>
      <c r="B27" s="4" t="s">
        <v>388</v>
      </c>
      <c r="C27" s="4" t="s">
        <v>389</v>
      </c>
      <c r="D27" s="4" t="s">
        <v>99</v>
      </c>
      <c r="E27" s="5">
        <v>43956</v>
      </c>
      <c r="F27" s="6">
        <v>230.48328599999999</v>
      </c>
      <c r="G27" s="7">
        <v>1.5720939999999999E-2</v>
      </c>
      <c r="H27" s="106"/>
    </row>
    <row r="28" spans="1:8" ht="17.100000000000001" customHeight="1" x14ac:dyDescent="0.2">
      <c r="A28" s="3">
        <v>22</v>
      </c>
      <c r="B28" s="4" t="s">
        <v>392</v>
      </c>
      <c r="C28" s="4" t="s">
        <v>393</v>
      </c>
      <c r="D28" s="4" t="s">
        <v>230</v>
      </c>
      <c r="E28" s="5">
        <v>30500</v>
      </c>
      <c r="F28" s="6">
        <v>228.07900000000001</v>
      </c>
      <c r="G28" s="7">
        <v>1.5556947E-2</v>
      </c>
      <c r="H28" s="106"/>
    </row>
    <row r="29" spans="1:8" ht="17.100000000000001" customHeight="1" x14ac:dyDescent="0.2">
      <c r="A29" s="3">
        <v>23</v>
      </c>
      <c r="B29" s="4" t="s">
        <v>441</v>
      </c>
      <c r="C29" s="4" t="s">
        <v>442</v>
      </c>
      <c r="D29" s="4" t="s">
        <v>324</v>
      </c>
      <c r="E29" s="5">
        <v>14772</v>
      </c>
      <c r="F29" s="6">
        <v>226.94962200000001</v>
      </c>
      <c r="G29" s="7">
        <v>1.5479913999999999E-2</v>
      </c>
      <c r="H29" s="106"/>
    </row>
    <row r="30" spans="1:8" ht="29.1" customHeight="1" x14ac:dyDescent="0.2">
      <c r="A30" s="3">
        <v>24</v>
      </c>
      <c r="B30" s="4" t="s">
        <v>390</v>
      </c>
      <c r="C30" s="4" t="s">
        <v>391</v>
      </c>
      <c r="D30" s="4" t="s">
        <v>67</v>
      </c>
      <c r="E30" s="5">
        <v>11589</v>
      </c>
      <c r="F30" s="6">
        <v>185.98027200000001</v>
      </c>
      <c r="G30" s="7">
        <v>1.2685452E-2</v>
      </c>
      <c r="H30" s="106"/>
    </row>
    <row r="31" spans="1:8" ht="29.1" customHeight="1" x14ac:dyDescent="0.2">
      <c r="A31" s="3">
        <v>25</v>
      </c>
      <c r="B31" s="4" t="s">
        <v>473</v>
      </c>
      <c r="C31" s="4" t="s">
        <v>474</v>
      </c>
      <c r="D31" s="4" t="s">
        <v>475</v>
      </c>
      <c r="E31" s="5">
        <v>36994</v>
      </c>
      <c r="F31" s="6">
        <v>182.21394699999999</v>
      </c>
      <c r="G31" s="7">
        <v>1.2428556E-2</v>
      </c>
      <c r="H31" s="106"/>
    </row>
    <row r="32" spans="1:8" ht="17.100000000000001" customHeight="1" x14ac:dyDescent="0.2">
      <c r="A32" s="3">
        <v>26</v>
      </c>
      <c r="B32" s="4" t="s">
        <v>439</v>
      </c>
      <c r="C32" s="4" t="s">
        <v>440</v>
      </c>
      <c r="D32" s="4" t="s">
        <v>31</v>
      </c>
      <c r="E32" s="5">
        <v>20871</v>
      </c>
      <c r="F32" s="6">
        <v>176.52691799999999</v>
      </c>
      <c r="G32" s="7">
        <v>1.2040652000000001E-2</v>
      </c>
      <c r="H32" s="106"/>
    </row>
    <row r="33" spans="1:8" ht="17.100000000000001" customHeight="1" x14ac:dyDescent="0.2">
      <c r="A33" s="3">
        <v>27</v>
      </c>
      <c r="B33" s="4" t="s">
        <v>406</v>
      </c>
      <c r="C33" s="4" t="s">
        <v>407</v>
      </c>
      <c r="D33" s="4" t="s">
        <v>99</v>
      </c>
      <c r="E33" s="5">
        <v>17966</v>
      </c>
      <c r="F33" s="6">
        <v>175.204432</v>
      </c>
      <c r="G33" s="7">
        <v>1.1950446999999999E-2</v>
      </c>
      <c r="H33" s="106"/>
    </row>
    <row r="34" spans="1:8" ht="17.100000000000001" customHeight="1" x14ac:dyDescent="0.2">
      <c r="A34" s="3">
        <v>28</v>
      </c>
      <c r="B34" s="4" t="s">
        <v>449</v>
      </c>
      <c r="C34" s="4" t="s">
        <v>450</v>
      </c>
      <c r="D34" s="4" t="s">
        <v>99</v>
      </c>
      <c r="E34" s="5">
        <v>214883</v>
      </c>
      <c r="F34" s="6">
        <v>166.4268835</v>
      </c>
      <c r="G34" s="7">
        <v>1.1351742999999999E-2</v>
      </c>
      <c r="H34" s="106"/>
    </row>
    <row r="35" spans="1:8" ht="29.1" customHeight="1" x14ac:dyDescent="0.2">
      <c r="A35" s="3">
        <v>29</v>
      </c>
      <c r="B35" s="4" t="s">
        <v>410</v>
      </c>
      <c r="C35" s="4" t="s">
        <v>411</v>
      </c>
      <c r="D35" s="4" t="s">
        <v>204</v>
      </c>
      <c r="E35" s="5">
        <v>46637</v>
      </c>
      <c r="F35" s="6">
        <v>165.09497999999999</v>
      </c>
      <c r="G35" s="7">
        <v>1.1260895999999999E-2</v>
      </c>
      <c r="H35" s="106"/>
    </row>
    <row r="36" spans="1:8" ht="17.100000000000001" customHeight="1" x14ac:dyDescent="0.2">
      <c r="A36" s="3">
        <v>30</v>
      </c>
      <c r="B36" s="4" t="s">
        <v>400</v>
      </c>
      <c r="C36" s="4" t="s">
        <v>401</v>
      </c>
      <c r="D36" s="4" t="s">
        <v>31</v>
      </c>
      <c r="E36" s="5">
        <v>19126</v>
      </c>
      <c r="F36" s="6">
        <v>161.77727100000001</v>
      </c>
      <c r="G36" s="7">
        <v>1.1034599000000001E-2</v>
      </c>
      <c r="H36" s="106"/>
    </row>
    <row r="37" spans="1:8" ht="17.100000000000001" customHeight="1" x14ac:dyDescent="0.2">
      <c r="A37" s="3">
        <v>31</v>
      </c>
      <c r="B37" s="4" t="s">
        <v>42</v>
      </c>
      <c r="C37" s="4" t="s">
        <v>43</v>
      </c>
      <c r="D37" s="4" t="s">
        <v>16</v>
      </c>
      <c r="E37" s="5">
        <v>28181</v>
      </c>
      <c r="F37" s="6">
        <v>161.70257799999999</v>
      </c>
      <c r="G37" s="7">
        <v>1.1029505E-2</v>
      </c>
      <c r="H37" s="106"/>
    </row>
    <row r="38" spans="1:8" ht="29.1" customHeight="1" x14ac:dyDescent="0.2">
      <c r="A38" s="3">
        <v>32</v>
      </c>
      <c r="B38" s="4" t="s">
        <v>463</v>
      </c>
      <c r="C38" s="4" t="s">
        <v>464</v>
      </c>
      <c r="D38" s="4" t="s">
        <v>366</v>
      </c>
      <c r="E38" s="5">
        <v>25833</v>
      </c>
      <c r="F38" s="6">
        <v>160.009602</v>
      </c>
      <c r="G38" s="7">
        <v>1.0914029E-2</v>
      </c>
      <c r="H38" s="106"/>
    </row>
    <row r="39" spans="1:8" ht="17.100000000000001" customHeight="1" x14ac:dyDescent="0.2">
      <c r="A39" s="3">
        <v>33</v>
      </c>
      <c r="B39" s="4" t="s">
        <v>394</v>
      </c>
      <c r="C39" s="4" t="s">
        <v>395</v>
      </c>
      <c r="D39" s="4" t="s">
        <v>99</v>
      </c>
      <c r="E39" s="5">
        <v>22023</v>
      </c>
      <c r="F39" s="6">
        <v>159.9420375</v>
      </c>
      <c r="G39" s="7">
        <v>1.0909421000000001E-2</v>
      </c>
      <c r="H39" s="106"/>
    </row>
    <row r="40" spans="1:8" ht="29.1" customHeight="1" x14ac:dyDescent="0.2">
      <c r="A40" s="3">
        <v>34</v>
      </c>
      <c r="B40" s="4" t="s">
        <v>317</v>
      </c>
      <c r="C40" s="4" t="s">
        <v>318</v>
      </c>
      <c r="D40" s="4" t="s">
        <v>319</v>
      </c>
      <c r="E40" s="5">
        <v>28411</v>
      </c>
      <c r="F40" s="6">
        <v>157.05600799999999</v>
      </c>
      <c r="G40" s="7">
        <v>1.0712569E-2</v>
      </c>
      <c r="H40" s="106"/>
    </row>
    <row r="41" spans="1:8" ht="53.1" customHeight="1" x14ac:dyDescent="0.2">
      <c r="A41" s="3">
        <v>35</v>
      </c>
      <c r="B41" s="4" t="s">
        <v>333</v>
      </c>
      <c r="C41" s="4" t="s">
        <v>334</v>
      </c>
      <c r="D41" s="4" t="s">
        <v>48</v>
      </c>
      <c r="E41" s="5">
        <v>50508</v>
      </c>
      <c r="F41" s="6">
        <v>155.842434</v>
      </c>
      <c r="G41" s="7">
        <v>1.0629793E-2</v>
      </c>
      <c r="H41" s="106"/>
    </row>
    <row r="42" spans="1:8" ht="29.1" customHeight="1" x14ac:dyDescent="0.2">
      <c r="A42" s="3">
        <v>36</v>
      </c>
      <c r="B42" s="4" t="s">
        <v>443</v>
      </c>
      <c r="C42" s="4" t="s">
        <v>444</v>
      </c>
      <c r="D42" s="4" t="s">
        <v>204</v>
      </c>
      <c r="E42" s="5">
        <v>7795</v>
      </c>
      <c r="F42" s="6">
        <v>153.83432500000001</v>
      </c>
      <c r="G42" s="7">
        <v>1.0492822000000001E-2</v>
      </c>
      <c r="H42" s="106"/>
    </row>
    <row r="43" spans="1:8" ht="29.1" customHeight="1" x14ac:dyDescent="0.2">
      <c r="A43" s="3">
        <v>37</v>
      </c>
      <c r="B43" s="4" t="s">
        <v>420</v>
      </c>
      <c r="C43" s="4" t="s">
        <v>421</v>
      </c>
      <c r="D43" s="4" t="s">
        <v>366</v>
      </c>
      <c r="E43" s="5">
        <v>30368</v>
      </c>
      <c r="F43" s="6">
        <v>152.098128</v>
      </c>
      <c r="G43" s="7">
        <v>1.0374398999999999E-2</v>
      </c>
      <c r="H43" s="106"/>
    </row>
    <row r="44" spans="1:8" ht="29.1" customHeight="1" x14ac:dyDescent="0.2">
      <c r="A44" s="3">
        <v>38</v>
      </c>
      <c r="B44" s="4" t="s">
        <v>291</v>
      </c>
      <c r="C44" s="4" t="s">
        <v>292</v>
      </c>
      <c r="D44" s="4" t="s">
        <v>188</v>
      </c>
      <c r="E44" s="5">
        <v>19852</v>
      </c>
      <c r="F44" s="6">
        <v>150.865274</v>
      </c>
      <c r="G44" s="7">
        <v>1.0290308E-2</v>
      </c>
      <c r="H44" s="106"/>
    </row>
    <row r="45" spans="1:8" ht="29.1" customHeight="1" x14ac:dyDescent="0.2">
      <c r="A45" s="3">
        <v>39</v>
      </c>
      <c r="B45" s="4" t="s">
        <v>451</v>
      </c>
      <c r="C45" s="4" t="s">
        <v>452</v>
      </c>
      <c r="D45" s="4" t="s">
        <v>453</v>
      </c>
      <c r="E45" s="5">
        <v>107873</v>
      </c>
      <c r="F45" s="6">
        <v>150.59070800000001</v>
      </c>
      <c r="G45" s="7">
        <v>1.0271580000000001E-2</v>
      </c>
      <c r="H45" s="106"/>
    </row>
    <row r="46" spans="1:8" ht="17.100000000000001" customHeight="1" x14ac:dyDescent="0.2">
      <c r="A46" s="3">
        <v>40</v>
      </c>
      <c r="B46" s="4" t="s">
        <v>465</v>
      </c>
      <c r="C46" s="4" t="s">
        <v>466</v>
      </c>
      <c r="D46" s="4" t="s">
        <v>36</v>
      </c>
      <c r="E46" s="5">
        <v>57782</v>
      </c>
      <c r="F46" s="6">
        <v>150.23320000000001</v>
      </c>
      <c r="G46" s="7">
        <v>1.0247195000000001E-2</v>
      </c>
      <c r="H46" s="106"/>
    </row>
    <row r="47" spans="1:8" ht="17.100000000000001" customHeight="1" x14ac:dyDescent="0.2">
      <c r="A47" s="3">
        <v>41</v>
      </c>
      <c r="B47" s="4" t="s">
        <v>396</v>
      </c>
      <c r="C47" s="4" t="s">
        <v>397</v>
      </c>
      <c r="D47" s="4" t="s">
        <v>288</v>
      </c>
      <c r="E47" s="5">
        <v>19892</v>
      </c>
      <c r="F47" s="6">
        <v>149.05075600000001</v>
      </c>
      <c r="G47" s="7">
        <v>1.0166542000000001E-2</v>
      </c>
      <c r="H47" s="106"/>
    </row>
    <row r="48" spans="1:8" ht="17.100000000000001" customHeight="1" x14ac:dyDescent="0.2">
      <c r="A48" s="3">
        <v>42</v>
      </c>
      <c r="B48" s="4" t="s">
        <v>398</v>
      </c>
      <c r="C48" s="4" t="s">
        <v>399</v>
      </c>
      <c r="D48" s="4" t="s">
        <v>110</v>
      </c>
      <c r="E48" s="5">
        <v>23119</v>
      </c>
      <c r="F48" s="6">
        <v>147.91536199999999</v>
      </c>
      <c r="G48" s="7">
        <v>1.0089097999999999E-2</v>
      </c>
      <c r="H48" s="106"/>
    </row>
    <row r="49" spans="1:8" ht="17.100000000000001" customHeight="1" x14ac:dyDescent="0.2">
      <c r="A49" s="3">
        <v>43</v>
      </c>
      <c r="B49" s="4" t="s">
        <v>246</v>
      </c>
      <c r="C49" s="4" t="s">
        <v>247</v>
      </c>
      <c r="D49" s="4" t="s">
        <v>99</v>
      </c>
      <c r="E49" s="5">
        <v>22326</v>
      </c>
      <c r="F49" s="6">
        <v>140.26309499999999</v>
      </c>
      <c r="G49" s="7">
        <v>9.5671479999999993E-3</v>
      </c>
      <c r="H49" s="106"/>
    </row>
    <row r="50" spans="1:8" ht="29.1" customHeight="1" x14ac:dyDescent="0.2">
      <c r="A50" s="3">
        <v>44</v>
      </c>
      <c r="B50" s="4" t="s">
        <v>476</v>
      </c>
      <c r="C50" s="4" t="s">
        <v>477</v>
      </c>
      <c r="D50" s="4" t="s">
        <v>204</v>
      </c>
      <c r="E50" s="5">
        <v>2436</v>
      </c>
      <c r="F50" s="6">
        <v>136.72658999999999</v>
      </c>
      <c r="G50" s="7">
        <v>9.3259280000000007E-3</v>
      </c>
      <c r="H50" s="106"/>
    </row>
    <row r="51" spans="1:8" ht="17.100000000000001" customHeight="1" x14ac:dyDescent="0.2">
      <c r="A51" s="3">
        <v>45</v>
      </c>
      <c r="B51" s="4" t="s">
        <v>44</v>
      </c>
      <c r="C51" s="4" t="s">
        <v>45</v>
      </c>
      <c r="D51" s="4" t="s">
        <v>31</v>
      </c>
      <c r="E51" s="5">
        <v>3907</v>
      </c>
      <c r="F51" s="6">
        <v>131.23613</v>
      </c>
      <c r="G51" s="7">
        <v>8.9514309999999993E-3</v>
      </c>
      <c r="H51" s="106"/>
    </row>
    <row r="52" spans="1:8" ht="17.100000000000001" customHeight="1" x14ac:dyDescent="0.2">
      <c r="A52" s="3">
        <v>46</v>
      </c>
      <c r="B52" s="4" t="s">
        <v>478</v>
      </c>
      <c r="C52" s="4" t="s">
        <v>479</v>
      </c>
      <c r="D52" s="4" t="s">
        <v>110</v>
      </c>
      <c r="E52" s="5">
        <v>8109</v>
      </c>
      <c r="F52" s="6">
        <v>127.7532405</v>
      </c>
      <c r="G52" s="7">
        <v>8.7138679999999996E-3</v>
      </c>
      <c r="H52" s="106"/>
    </row>
    <row r="53" spans="1:8" ht="17.100000000000001" customHeight="1" x14ac:dyDescent="0.2">
      <c r="A53" s="3">
        <v>47</v>
      </c>
      <c r="B53" s="4" t="s">
        <v>468</v>
      </c>
      <c r="C53" s="4" t="s">
        <v>469</v>
      </c>
      <c r="D53" s="4" t="s">
        <v>41</v>
      </c>
      <c r="E53" s="5">
        <v>17619</v>
      </c>
      <c r="F53" s="6">
        <v>125.92299300000001</v>
      </c>
      <c r="G53" s="7">
        <v>8.5890299999999992E-3</v>
      </c>
      <c r="H53" s="106"/>
    </row>
    <row r="54" spans="1:8" ht="17.100000000000001" customHeight="1" x14ac:dyDescent="0.2">
      <c r="A54" s="3">
        <v>48</v>
      </c>
      <c r="B54" s="4" t="s">
        <v>386</v>
      </c>
      <c r="C54" s="4" t="s">
        <v>387</v>
      </c>
      <c r="D54" s="4" t="s">
        <v>110</v>
      </c>
      <c r="E54" s="5">
        <v>20567</v>
      </c>
      <c r="F54" s="6">
        <v>123.01122700000001</v>
      </c>
      <c r="G54" s="7">
        <v>8.3904219999999998E-3</v>
      </c>
      <c r="H54" s="106"/>
    </row>
    <row r="55" spans="1:8" ht="29.1" customHeight="1" x14ac:dyDescent="0.2">
      <c r="A55" s="3">
        <v>49</v>
      </c>
      <c r="B55" s="4" t="s">
        <v>402</v>
      </c>
      <c r="C55" s="4" t="s">
        <v>403</v>
      </c>
      <c r="D55" s="4" t="s">
        <v>319</v>
      </c>
      <c r="E55" s="5">
        <v>29241</v>
      </c>
      <c r="F55" s="6">
        <v>122.3882055</v>
      </c>
      <c r="G55" s="7">
        <v>8.3479269999999998E-3</v>
      </c>
      <c r="H55" s="106"/>
    </row>
    <row r="56" spans="1:8" ht="17.100000000000001" customHeight="1" x14ac:dyDescent="0.2">
      <c r="A56" s="3">
        <v>50</v>
      </c>
      <c r="B56" s="4" t="s">
        <v>480</v>
      </c>
      <c r="C56" s="4" t="s">
        <v>481</v>
      </c>
      <c r="D56" s="4" t="s">
        <v>230</v>
      </c>
      <c r="E56" s="5">
        <v>63181</v>
      </c>
      <c r="F56" s="6">
        <v>122.002511</v>
      </c>
      <c r="G56" s="7">
        <v>8.3216190000000006E-3</v>
      </c>
      <c r="H56" s="106"/>
    </row>
    <row r="57" spans="1:8" ht="17.100000000000001" customHeight="1" x14ac:dyDescent="0.2">
      <c r="A57" s="3">
        <v>51</v>
      </c>
      <c r="B57" s="4" t="s">
        <v>412</v>
      </c>
      <c r="C57" s="4" t="s">
        <v>413</v>
      </c>
      <c r="D57" s="4" t="s">
        <v>193</v>
      </c>
      <c r="E57" s="5">
        <v>14087</v>
      </c>
      <c r="F57" s="6">
        <v>115.3936605</v>
      </c>
      <c r="G57" s="7">
        <v>7.8708389999999993E-3</v>
      </c>
      <c r="H57" s="106"/>
    </row>
    <row r="58" spans="1:8" ht="29.1" customHeight="1" x14ac:dyDescent="0.2">
      <c r="A58" s="3">
        <v>52</v>
      </c>
      <c r="B58" s="4" t="s">
        <v>424</v>
      </c>
      <c r="C58" s="4" t="s">
        <v>425</v>
      </c>
      <c r="D58" s="4" t="s">
        <v>110</v>
      </c>
      <c r="E58" s="5">
        <v>9500</v>
      </c>
      <c r="F58" s="6">
        <v>112.65575</v>
      </c>
      <c r="G58" s="7">
        <v>7.6840900000000002E-3</v>
      </c>
      <c r="H58" s="106"/>
    </row>
    <row r="59" spans="1:8" ht="17.100000000000001" customHeight="1" x14ac:dyDescent="0.2">
      <c r="A59" s="3">
        <v>53</v>
      </c>
      <c r="B59" s="4" t="s">
        <v>432</v>
      </c>
      <c r="C59" s="4" t="s">
        <v>433</v>
      </c>
      <c r="D59" s="4" t="s">
        <v>89</v>
      </c>
      <c r="E59" s="5">
        <v>15982</v>
      </c>
      <c r="F59" s="6">
        <v>107.990374</v>
      </c>
      <c r="G59" s="7">
        <v>7.3658710000000004E-3</v>
      </c>
      <c r="H59" s="106"/>
    </row>
    <row r="60" spans="1:8" ht="29.1" customHeight="1" x14ac:dyDescent="0.2">
      <c r="A60" s="3">
        <v>54</v>
      </c>
      <c r="B60" s="4" t="s">
        <v>482</v>
      </c>
      <c r="C60" s="4" t="s">
        <v>483</v>
      </c>
      <c r="D60" s="4" t="s">
        <v>62</v>
      </c>
      <c r="E60" s="5">
        <v>103230</v>
      </c>
      <c r="F60" s="6">
        <v>88.777799999999999</v>
      </c>
      <c r="G60" s="7">
        <v>6.055408E-3</v>
      </c>
      <c r="H60" s="106"/>
    </row>
    <row r="61" spans="1:8" ht="29.1" customHeight="1" x14ac:dyDescent="0.2">
      <c r="A61" s="3">
        <v>55</v>
      </c>
      <c r="B61" s="4" t="s">
        <v>484</v>
      </c>
      <c r="C61" s="4" t="s">
        <v>485</v>
      </c>
      <c r="D61" s="4" t="s">
        <v>204</v>
      </c>
      <c r="E61" s="5">
        <v>2024</v>
      </c>
      <c r="F61" s="6">
        <v>88.611732000000003</v>
      </c>
      <c r="G61" s="7">
        <v>6.0440809999999998E-3</v>
      </c>
      <c r="H61" s="106"/>
    </row>
    <row r="62" spans="1:8" ht="17.100000000000001" customHeight="1" x14ac:dyDescent="0.2">
      <c r="A62" s="3">
        <v>56</v>
      </c>
      <c r="B62" s="4" t="s">
        <v>436</v>
      </c>
      <c r="C62" s="4" t="s">
        <v>437</v>
      </c>
      <c r="D62" s="4" t="s">
        <v>16</v>
      </c>
      <c r="E62" s="5">
        <v>34897</v>
      </c>
      <c r="F62" s="6">
        <v>79.3034325</v>
      </c>
      <c r="G62" s="7">
        <v>5.4091749999999996E-3</v>
      </c>
      <c r="H62" s="106"/>
    </row>
    <row r="63" spans="1:8" ht="17.100000000000001" customHeight="1" x14ac:dyDescent="0.2">
      <c r="A63" s="3">
        <v>57</v>
      </c>
      <c r="B63" s="4" t="s">
        <v>414</v>
      </c>
      <c r="C63" s="4" t="s">
        <v>415</v>
      </c>
      <c r="D63" s="4" t="s">
        <v>110</v>
      </c>
      <c r="E63" s="5">
        <v>5957</v>
      </c>
      <c r="F63" s="6">
        <v>73.637455500000002</v>
      </c>
      <c r="G63" s="7">
        <v>5.0227070000000004E-3</v>
      </c>
      <c r="H63" s="106"/>
    </row>
    <row r="64" spans="1:8" ht="17.100000000000001" customHeight="1" x14ac:dyDescent="0.2">
      <c r="A64" s="3">
        <v>58</v>
      </c>
      <c r="B64" s="4" t="s">
        <v>422</v>
      </c>
      <c r="C64" s="4" t="s">
        <v>423</v>
      </c>
      <c r="D64" s="4" t="s">
        <v>237</v>
      </c>
      <c r="E64" s="5">
        <v>9697</v>
      </c>
      <c r="F64" s="6">
        <v>71.306889499999997</v>
      </c>
      <c r="G64" s="7">
        <v>4.8637419999999999E-3</v>
      </c>
      <c r="H64" s="106"/>
    </row>
    <row r="65" spans="1:8" ht="17.100000000000001" customHeight="1" x14ac:dyDescent="0.2">
      <c r="A65" s="3">
        <v>59</v>
      </c>
      <c r="B65" s="4" t="s">
        <v>454</v>
      </c>
      <c r="C65" s="4" t="s">
        <v>455</v>
      </c>
      <c r="D65" s="4" t="s">
        <v>110</v>
      </c>
      <c r="E65" s="5">
        <v>22129</v>
      </c>
      <c r="F65" s="6">
        <v>62.757843999999999</v>
      </c>
      <c r="G65" s="7">
        <v>4.2806240000000002E-3</v>
      </c>
      <c r="H65" s="106"/>
    </row>
    <row r="66" spans="1:8" ht="17.100000000000001" customHeight="1" x14ac:dyDescent="0.2">
      <c r="A66" s="3">
        <v>60</v>
      </c>
      <c r="B66" s="4" t="s">
        <v>426</v>
      </c>
      <c r="C66" s="4" t="s">
        <v>427</v>
      </c>
      <c r="D66" s="4" t="s">
        <v>31</v>
      </c>
      <c r="E66" s="5">
        <v>7769</v>
      </c>
      <c r="F66" s="6">
        <v>61.647015000000003</v>
      </c>
      <c r="G66" s="7">
        <v>4.2048559999999999E-3</v>
      </c>
      <c r="H66" s="106"/>
    </row>
    <row r="67" spans="1:8" ht="29.1" customHeight="1" x14ac:dyDescent="0.2">
      <c r="A67" s="3">
        <v>61</v>
      </c>
      <c r="B67" s="4" t="s">
        <v>428</v>
      </c>
      <c r="C67" s="4" t="s">
        <v>429</v>
      </c>
      <c r="D67" s="4" t="s">
        <v>204</v>
      </c>
      <c r="E67" s="5">
        <v>1438</v>
      </c>
      <c r="F67" s="6">
        <v>57.992382999999997</v>
      </c>
      <c r="G67" s="7">
        <v>3.9555789999999999E-3</v>
      </c>
      <c r="H67" s="106"/>
    </row>
    <row r="68" spans="1:8" ht="17.100000000000001" customHeight="1" x14ac:dyDescent="0.2">
      <c r="A68" s="3">
        <v>62</v>
      </c>
      <c r="B68" s="4" t="s">
        <v>337</v>
      </c>
      <c r="C68" s="4" t="s">
        <v>338</v>
      </c>
      <c r="D68" s="4" t="s">
        <v>96</v>
      </c>
      <c r="E68" s="5">
        <v>72875</v>
      </c>
      <c r="F68" s="6">
        <v>54.291874999999997</v>
      </c>
      <c r="G68" s="7">
        <v>3.7031719999999998E-3</v>
      </c>
      <c r="H68" s="106"/>
    </row>
    <row r="69" spans="1:8" ht="29.1" customHeight="1" x14ac:dyDescent="0.2">
      <c r="A69" s="3">
        <v>63</v>
      </c>
      <c r="B69" s="4" t="s">
        <v>430</v>
      </c>
      <c r="C69" s="4" t="s">
        <v>431</v>
      </c>
      <c r="D69" s="4" t="s">
        <v>204</v>
      </c>
      <c r="E69" s="5">
        <v>23079</v>
      </c>
      <c r="F69" s="6">
        <v>52.193158500000003</v>
      </c>
      <c r="G69" s="7">
        <v>3.5600219999999999E-3</v>
      </c>
      <c r="H69" s="106"/>
    </row>
    <row r="70" spans="1:8" ht="29.1" customHeight="1" x14ac:dyDescent="0.2">
      <c r="A70" s="3">
        <v>64</v>
      </c>
      <c r="B70" s="4" t="s">
        <v>329</v>
      </c>
      <c r="C70" s="4" t="s">
        <v>330</v>
      </c>
      <c r="D70" s="4" t="s">
        <v>188</v>
      </c>
      <c r="E70" s="5">
        <v>10835</v>
      </c>
      <c r="F70" s="6">
        <v>40.652920000000002</v>
      </c>
      <c r="G70" s="7">
        <v>2.7728779999999999E-3</v>
      </c>
      <c r="H70" s="106"/>
    </row>
    <row r="71" spans="1:8" ht="17.100000000000001" customHeight="1" x14ac:dyDescent="0.2">
      <c r="A71" s="3">
        <v>65</v>
      </c>
      <c r="B71" s="4" t="s">
        <v>404</v>
      </c>
      <c r="C71" s="4" t="s">
        <v>405</v>
      </c>
      <c r="D71" s="4" t="s">
        <v>13</v>
      </c>
      <c r="E71" s="5">
        <v>47153</v>
      </c>
      <c r="F71" s="6">
        <v>34.893219999999999</v>
      </c>
      <c r="G71" s="7">
        <v>2.3800169999999999E-3</v>
      </c>
      <c r="H71" s="106"/>
    </row>
    <row r="72" spans="1:8" ht="29.1" customHeight="1" x14ac:dyDescent="0.2">
      <c r="A72" s="3">
        <v>66</v>
      </c>
      <c r="B72" s="4" t="s">
        <v>434</v>
      </c>
      <c r="C72" s="4" t="s">
        <v>435</v>
      </c>
      <c r="D72" s="4" t="s">
        <v>62</v>
      </c>
      <c r="E72" s="5">
        <v>6615</v>
      </c>
      <c r="F72" s="6">
        <v>27.693697499999999</v>
      </c>
      <c r="G72" s="7">
        <v>1.8889480000000001E-3</v>
      </c>
      <c r="H72" s="106"/>
    </row>
    <row r="73" spans="1:8" ht="14.1" customHeight="1" x14ac:dyDescent="0.2">
      <c r="A73" s="1"/>
      <c r="B73" s="1"/>
      <c r="C73" s="2" t="s">
        <v>130</v>
      </c>
      <c r="D73" s="1"/>
      <c r="E73" s="1" t="s">
        <v>131</v>
      </c>
      <c r="F73" s="9">
        <v>12993.770044999999</v>
      </c>
      <c r="G73" s="10">
        <v>0.88628672399999997</v>
      </c>
      <c r="H73" s="106"/>
    </row>
    <row r="74" spans="1:8" ht="14.1" customHeight="1" x14ac:dyDescent="0.2">
      <c r="A74" s="1"/>
      <c r="B74" s="1"/>
      <c r="C74" s="11"/>
      <c r="D74" s="1"/>
      <c r="E74" s="1"/>
      <c r="F74" s="12"/>
      <c r="G74" s="12"/>
      <c r="H74" s="106"/>
    </row>
    <row r="75" spans="1:8" ht="14.1" customHeight="1" x14ac:dyDescent="0.2">
      <c r="A75" s="1"/>
      <c r="B75" s="1"/>
      <c r="C75" s="2" t="s">
        <v>132</v>
      </c>
      <c r="D75" s="1"/>
      <c r="E75" s="1"/>
      <c r="F75" s="1"/>
      <c r="G75" s="1"/>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4.1" customHeight="1" x14ac:dyDescent="0.2">
      <c r="A78" s="1"/>
      <c r="B78" s="1"/>
      <c r="C78" s="2" t="s">
        <v>133</v>
      </c>
      <c r="D78" s="1"/>
      <c r="E78" s="1"/>
      <c r="F78" s="1"/>
      <c r="G78" s="1"/>
      <c r="H78" s="106"/>
    </row>
    <row r="79" spans="1:8" ht="14.1" customHeight="1" x14ac:dyDescent="0.2">
      <c r="A79" s="1"/>
      <c r="B79" s="1"/>
      <c r="C79" s="2" t="s">
        <v>130</v>
      </c>
      <c r="D79" s="1"/>
      <c r="E79" s="1" t="s">
        <v>131</v>
      </c>
      <c r="F79" s="13">
        <v>0</v>
      </c>
      <c r="G79" s="14">
        <v>0</v>
      </c>
      <c r="H79" s="106"/>
    </row>
    <row r="80" spans="1:8" ht="14.1" customHeight="1" x14ac:dyDescent="0.2">
      <c r="A80" s="1"/>
      <c r="B80" s="1"/>
      <c r="C80" s="11"/>
      <c r="D80" s="1"/>
      <c r="E80" s="1"/>
      <c r="F80" s="12"/>
      <c r="G80" s="12"/>
      <c r="H80" s="106"/>
    </row>
    <row r="81" spans="1:8" ht="14.1" customHeight="1" x14ac:dyDescent="0.2">
      <c r="A81" s="1"/>
      <c r="B81" s="1"/>
      <c r="C81" s="2" t="s">
        <v>134</v>
      </c>
      <c r="D81" s="1"/>
      <c r="E81" s="1"/>
      <c r="F81" s="1"/>
      <c r="G81" s="1"/>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135</v>
      </c>
      <c r="D84" s="1"/>
      <c r="E84" s="1"/>
      <c r="F84" s="12"/>
      <c r="G84" s="12"/>
      <c r="H84" s="106"/>
    </row>
    <row r="85" spans="1:8" ht="14.1" customHeight="1" x14ac:dyDescent="0.2">
      <c r="A85" s="1"/>
      <c r="B85" s="1"/>
      <c r="C85" s="2" t="s">
        <v>130</v>
      </c>
      <c r="D85" s="1"/>
      <c r="E85" s="1" t="s">
        <v>131</v>
      </c>
      <c r="F85" s="13">
        <v>0</v>
      </c>
      <c r="G85" s="14">
        <v>0</v>
      </c>
      <c r="H85" s="106"/>
    </row>
    <row r="86" spans="1:8" ht="14.1" customHeight="1" x14ac:dyDescent="0.2">
      <c r="A86" s="1"/>
      <c r="B86" s="1"/>
      <c r="C86" s="11"/>
      <c r="D86" s="1"/>
      <c r="E86" s="1"/>
      <c r="F86" s="12"/>
      <c r="G86" s="12"/>
      <c r="H86" s="106"/>
    </row>
    <row r="87" spans="1:8" ht="14.1" customHeight="1" x14ac:dyDescent="0.2">
      <c r="A87" s="1"/>
      <c r="B87" s="1"/>
      <c r="C87" s="2" t="s">
        <v>136</v>
      </c>
      <c r="D87" s="1"/>
      <c r="E87" s="1"/>
      <c r="F87" s="12"/>
      <c r="G87" s="12"/>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8" customHeight="1" x14ac:dyDescent="0.2">
      <c r="A90" s="1"/>
      <c r="B90" s="1"/>
      <c r="C90" s="2" t="s">
        <v>137</v>
      </c>
      <c r="D90" s="1"/>
      <c r="E90" s="1"/>
      <c r="F90" s="9">
        <v>12993.770044999999</v>
      </c>
      <c r="G90" s="10">
        <v>0.88628672399999997</v>
      </c>
      <c r="H90" s="106"/>
    </row>
    <row r="91" spans="1:8" ht="14.1" customHeight="1" x14ac:dyDescent="0.2">
      <c r="A91" s="1"/>
      <c r="B91" s="1"/>
      <c r="C91" s="11"/>
      <c r="D91" s="1"/>
      <c r="E91" s="1"/>
      <c r="F91" s="12"/>
      <c r="G91" s="12"/>
      <c r="H91" s="106"/>
    </row>
    <row r="92" spans="1:8" ht="14.1" customHeight="1" x14ac:dyDescent="0.2">
      <c r="A92" s="1"/>
      <c r="B92" s="1"/>
      <c r="C92" s="2" t="s">
        <v>138</v>
      </c>
      <c r="D92" s="1"/>
      <c r="E92" s="1"/>
      <c r="F92" s="12"/>
      <c r="G92" s="12"/>
      <c r="H92" s="106"/>
    </row>
    <row r="93" spans="1:8" ht="24" customHeight="1" x14ac:dyDescent="0.2">
      <c r="A93" s="1"/>
      <c r="B93" s="1"/>
      <c r="C93" s="2" t="s">
        <v>10</v>
      </c>
      <c r="D93" s="1"/>
      <c r="E93" s="1"/>
      <c r="F93" s="12"/>
      <c r="G93" s="12"/>
      <c r="H93" s="106"/>
    </row>
    <row r="94" spans="1:8" ht="14.1" customHeight="1" x14ac:dyDescent="0.2">
      <c r="A94" s="1"/>
      <c r="B94" s="1"/>
      <c r="C94" s="2" t="s">
        <v>130</v>
      </c>
      <c r="D94" s="1"/>
      <c r="E94" s="1" t="s">
        <v>131</v>
      </c>
      <c r="F94" s="13">
        <v>0</v>
      </c>
      <c r="G94" s="14">
        <v>0</v>
      </c>
      <c r="H94" s="106"/>
    </row>
    <row r="95" spans="1:8" ht="14.1" customHeight="1" x14ac:dyDescent="0.2">
      <c r="A95" s="1"/>
      <c r="B95" s="1"/>
      <c r="C95" s="11"/>
      <c r="D95" s="1"/>
      <c r="E95" s="1"/>
      <c r="F95" s="12"/>
      <c r="G95" s="12"/>
      <c r="H95" s="106"/>
    </row>
    <row r="96" spans="1:8" ht="14.1" customHeight="1" x14ac:dyDescent="0.2">
      <c r="A96" s="1"/>
      <c r="B96" s="1"/>
      <c r="C96" s="2" t="s">
        <v>139</v>
      </c>
      <c r="D96" s="1"/>
      <c r="E96" s="1"/>
      <c r="F96" s="1"/>
      <c r="G96" s="1"/>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140</v>
      </c>
      <c r="D99" s="1"/>
      <c r="E99" s="1"/>
      <c r="F99" s="1"/>
      <c r="G99" s="1"/>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141</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142</v>
      </c>
      <c r="D105" s="1"/>
      <c r="E105" s="1"/>
      <c r="F105" s="9">
        <v>0</v>
      </c>
      <c r="G105" s="10">
        <v>0</v>
      </c>
      <c r="H105" s="106"/>
    </row>
    <row r="106" spans="1:8" ht="14.1" customHeight="1" x14ac:dyDescent="0.2">
      <c r="A106" s="1"/>
      <c r="B106" s="1"/>
      <c r="C106" s="11"/>
      <c r="D106" s="1"/>
      <c r="E106" s="1"/>
      <c r="F106" s="12"/>
      <c r="G106" s="12"/>
      <c r="H106" s="106"/>
    </row>
    <row r="107" spans="1:8" ht="14.1" customHeight="1" x14ac:dyDescent="0.2">
      <c r="A107" s="1"/>
      <c r="B107" s="1"/>
      <c r="C107" s="2" t="s">
        <v>143</v>
      </c>
      <c r="D107" s="1"/>
      <c r="E107" s="1"/>
      <c r="F107" s="12"/>
      <c r="G107" s="12"/>
      <c r="H107" s="106"/>
    </row>
    <row r="108" spans="1:8" ht="14.1" customHeight="1" x14ac:dyDescent="0.2">
      <c r="A108" s="1"/>
      <c r="B108" s="1"/>
      <c r="C108" s="2" t="s">
        <v>144</v>
      </c>
      <c r="D108" s="1"/>
      <c r="E108" s="1"/>
      <c r="F108" s="12"/>
      <c r="G108" s="12"/>
      <c r="H108" s="106"/>
    </row>
    <row r="109" spans="1:8" ht="14.1" customHeight="1" x14ac:dyDescent="0.2">
      <c r="A109" s="1"/>
      <c r="B109" s="1"/>
      <c r="C109" s="2" t="s">
        <v>130</v>
      </c>
      <c r="D109" s="1"/>
      <c r="E109" s="1" t="s">
        <v>131</v>
      </c>
      <c r="F109" s="13">
        <v>0</v>
      </c>
      <c r="G109" s="14">
        <v>0</v>
      </c>
      <c r="H109" s="106"/>
    </row>
    <row r="110" spans="1:8" ht="14.1" customHeight="1" x14ac:dyDescent="0.2">
      <c r="A110" s="1"/>
      <c r="B110" s="1"/>
      <c r="C110" s="11"/>
      <c r="D110" s="1"/>
      <c r="E110" s="1"/>
      <c r="F110" s="12"/>
      <c r="G110" s="12"/>
      <c r="H110" s="106"/>
    </row>
    <row r="111" spans="1:8" ht="14.1" customHeight="1" x14ac:dyDescent="0.2">
      <c r="A111" s="1"/>
      <c r="B111" s="1"/>
      <c r="C111" s="2" t="s">
        <v>145</v>
      </c>
      <c r="D111" s="1"/>
      <c r="E111" s="1"/>
      <c r="F111" s="12"/>
      <c r="G111" s="12"/>
      <c r="H111" s="106"/>
    </row>
    <row r="112" spans="1:8" ht="14.1" customHeight="1" x14ac:dyDescent="0.2">
      <c r="A112" s="1"/>
      <c r="B112" s="1"/>
      <c r="C112" s="2" t="s">
        <v>130</v>
      </c>
      <c r="D112" s="1"/>
      <c r="E112" s="1" t="s">
        <v>131</v>
      </c>
      <c r="F112" s="13">
        <v>0</v>
      </c>
      <c r="G112" s="14">
        <v>0</v>
      </c>
      <c r="H112" s="106"/>
    </row>
    <row r="113" spans="1:8" ht="14.1" customHeight="1" x14ac:dyDescent="0.2">
      <c r="A113" s="1"/>
      <c r="B113" s="1"/>
      <c r="C113" s="11"/>
      <c r="D113" s="1"/>
      <c r="E113" s="1"/>
      <c r="F113" s="12"/>
      <c r="G113" s="12"/>
      <c r="H113" s="106"/>
    </row>
    <row r="114" spans="1:8" ht="14.1" customHeight="1" x14ac:dyDescent="0.2">
      <c r="A114" s="1"/>
      <c r="B114" s="1"/>
      <c r="C114" s="2" t="s">
        <v>146</v>
      </c>
      <c r="D114" s="1"/>
      <c r="E114" s="1"/>
      <c r="F114" s="12"/>
      <c r="G114" s="12"/>
      <c r="H114" s="106"/>
    </row>
    <row r="115" spans="1:8" ht="14.1" customHeight="1" x14ac:dyDescent="0.2">
      <c r="A115" s="1"/>
      <c r="B115" s="1"/>
      <c r="C115" s="2" t="s">
        <v>130</v>
      </c>
      <c r="D115" s="1"/>
      <c r="E115" s="1" t="s">
        <v>131</v>
      </c>
      <c r="F115" s="13">
        <v>0</v>
      </c>
      <c r="G115" s="14">
        <v>0</v>
      </c>
      <c r="H115" s="106"/>
    </row>
    <row r="116" spans="1:8" ht="14.1" customHeight="1" x14ac:dyDescent="0.2">
      <c r="A116" s="1"/>
      <c r="B116" s="1"/>
      <c r="C116" s="11"/>
      <c r="D116" s="1"/>
      <c r="E116" s="1"/>
      <c r="F116" s="12"/>
      <c r="G116" s="12"/>
      <c r="H116" s="106"/>
    </row>
    <row r="117" spans="1:8" ht="14.1" customHeight="1" x14ac:dyDescent="0.2">
      <c r="A117" s="1"/>
      <c r="B117" s="1"/>
      <c r="C117" s="2" t="s">
        <v>147</v>
      </c>
      <c r="D117" s="1"/>
      <c r="E117" s="1"/>
      <c r="F117" s="12"/>
      <c r="G117" s="12"/>
      <c r="H117" s="106"/>
    </row>
    <row r="118" spans="1:8" ht="17.100000000000001" customHeight="1" x14ac:dyDescent="0.2">
      <c r="A118" s="3">
        <v>1</v>
      </c>
      <c r="B118" s="4"/>
      <c r="C118" s="4" t="s">
        <v>148</v>
      </c>
      <c r="D118" s="4"/>
      <c r="E118" s="8"/>
      <c r="F118" s="6">
        <v>1667.8752752</v>
      </c>
      <c r="G118" s="7">
        <v>0.11376342</v>
      </c>
      <c r="H118" s="106">
        <v>6.1171451766917002</v>
      </c>
    </row>
    <row r="119" spans="1:8" ht="14.1" customHeight="1" x14ac:dyDescent="0.2">
      <c r="A119" s="1"/>
      <c r="B119" s="1"/>
      <c r="C119" s="2" t="s">
        <v>130</v>
      </c>
      <c r="D119" s="1"/>
      <c r="E119" s="1" t="s">
        <v>131</v>
      </c>
      <c r="F119" s="9">
        <v>1667.8752752</v>
      </c>
      <c r="G119" s="10">
        <v>0.11376342</v>
      </c>
      <c r="H119" s="106"/>
    </row>
    <row r="120" spans="1:8" ht="14.1" customHeight="1" x14ac:dyDescent="0.2">
      <c r="A120" s="1"/>
      <c r="B120" s="1"/>
      <c r="C120" s="11"/>
      <c r="D120" s="1"/>
      <c r="E120" s="1"/>
      <c r="F120" s="12"/>
      <c r="G120" s="12"/>
      <c r="H120" s="106"/>
    </row>
    <row r="121" spans="1:8" ht="14.1" customHeight="1" x14ac:dyDescent="0.2">
      <c r="A121" s="1"/>
      <c r="B121" s="1"/>
      <c r="C121" s="2" t="s">
        <v>149</v>
      </c>
      <c r="D121" s="1"/>
      <c r="E121" s="1"/>
      <c r="F121" s="9">
        <v>1667.8752752</v>
      </c>
      <c r="G121" s="10">
        <v>0.11376342</v>
      </c>
      <c r="H121" s="106"/>
    </row>
    <row r="122" spans="1:8" ht="14.1" customHeight="1" x14ac:dyDescent="0.2">
      <c r="A122" s="1"/>
      <c r="B122" s="1"/>
      <c r="C122" s="12"/>
      <c r="D122" s="1"/>
      <c r="E122" s="1"/>
      <c r="F122" s="1"/>
      <c r="G122" s="1"/>
      <c r="H122" s="106"/>
    </row>
    <row r="123" spans="1:8" ht="14.1" customHeight="1" x14ac:dyDescent="0.2">
      <c r="A123" s="1"/>
      <c r="B123" s="1"/>
      <c r="C123" s="2" t="s">
        <v>150</v>
      </c>
      <c r="D123" s="1"/>
      <c r="E123" s="1"/>
      <c r="F123" s="1"/>
      <c r="G123" s="1"/>
      <c r="H123" s="106"/>
    </row>
    <row r="124" spans="1:8" ht="14.1" customHeight="1" x14ac:dyDescent="0.2">
      <c r="A124" s="1"/>
      <c r="B124" s="1"/>
      <c r="C124" s="2" t="s">
        <v>151</v>
      </c>
      <c r="D124" s="1"/>
      <c r="E124" s="1"/>
      <c r="F124" s="1"/>
      <c r="G124" s="1"/>
      <c r="H124" s="106"/>
    </row>
    <row r="125" spans="1:8" ht="14.1" customHeight="1" x14ac:dyDescent="0.2">
      <c r="A125" s="1"/>
      <c r="B125" s="1"/>
      <c r="C125" s="2" t="s">
        <v>130</v>
      </c>
      <c r="D125" s="1"/>
      <c r="E125" s="1" t="s">
        <v>131</v>
      </c>
      <c r="F125" s="13">
        <v>0</v>
      </c>
      <c r="G125" s="14">
        <v>0</v>
      </c>
      <c r="H125" s="106"/>
    </row>
    <row r="126" spans="1:8" ht="14.1" customHeight="1" x14ac:dyDescent="0.2">
      <c r="A126" s="1"/>
      <c r="B126" s="1"/>
      <c r="C126" s="11"/>
      <c r="D126" s="1"/>
      <c r="E126" s="1"/>
      <c r="F126" s="12"/>
      <c r="G126" s="12"/>
      <c r="H126" s="106"/>
    </row>
    <row r="127" spans="1:8" ht="14.1" customHeight="1" x14ac:dyDescent="0.2">
      <c r="A127" s="1"/>
      <c r="B127" s="1"/>
      <c r="C127" s="2" t="s">
        <v>152</v>
      </c>
      <c r="D127" s="1"/>
      <c r="E127" s="1"/>
      <c r="F127" s="1"/>
      <c r="G127" s="1"/>
      <c r="H127" s="106"/>
    </row>
    <row r="128" spans="1:8" ht="14.1" customHeight="1" x14ac:dyDescent="0.2">
      <c r="A128" s="1"/>
      <c r="B128" s="1"/>
      <c r="C128" s="2" t="s">
        <v>153</v>
      </c>
      <c r="D128" s="1"/>
      <c r="E128" s="1"/>
      <c r="F128" s="1"/>
      <c r="G128" s="1"/>
      <c r="H128" s="106"/>
    </row>
    <row r="129" spans="1:8" ht="14.1" customHeight="1" x14ac:dyDescent="0.2">
      <c r="A129" s="1"/>
      <c r="B129" s="1"/>
      <c r="C129" s="2" t="s">
        <v>130</v>
      </c>
      <c r="D129" s="1"/>
      <c r="E129" s="1" t="s">
        <v>131</v>
      </c>
      <c r="F129" s="13">
        <v>0</v>
      </c>
      <c r="G129" s="14">
        <v>0</v>
      </c>
      <c r="H129" s="106"/>
    </row>
    <row r="130" spans="1:8" ht="14.1" customHeight="1" x14ac:dyDescent="0.2">
      <c r="A130" s="1"/>
      <c r="B130" s="1"/>
      <c r="C130" s="11"/>
      <c r="D130" s="1"/>
      <c r="E130" s="1"/>
      <c r="F130" s="12"/>
      <c r="G130" s="12"/>
      <c r="H130" s="106"/>
    </row>
    <row r="131" spans="1:8" ht="14.1" customHeight="1" x14ac:dyDescent="0.2">
      <c r="A131" s="1"/>
      <c r="B131" s="1"/>
      <c r="C131" s="11"/>
      <c r="D131" s="1"/>
      <c r="E131" s="1"/>
      <c r="F131" s="12"/>
      <c r="G131" s="12"/>
      <c r="H131" s="106"/>
    </row>
    <row r="132" spans="1:8" ht="24" customHeight="1" x14ac:dyDescent="0.2">
      <c r="A132" s="1"/>
      <c r="B132" s="1"/>
      <c r="C132" s="2" t="s">
        <v>154</v>
      </c>
      <c r="D132" s="1"/>
      <c r="E132" s="1"/>
      <c r="F132" s="12"/>
      <c r="G132" s="12"/>
      <c r="H132" s="106"/>
    </row>
    <row r="133" spans="1:8" ht="14.1" customHeight="1" x14ac:dyDescent="0.2">
      <c r="A133" s="1"/>
      <c r="B133" s="1"/>
      <c r="C133" s="2" t="s">
        <v>130</v>
      </c>
      <c r="D133" s="1"/>
      <c r="E133" s="1" t="s">
        <v>131</v>
      </c>
      <c r="F133" s="13">
        <v>0</v>
      </c>
      <c r="G133" s="14">
        <v>0</v>
      </c>
      <c r="H133" s="106"/>
    </row>
    <row r="134" spans="1:8" ht="14.1" customHeight="1" x14ac:dyDescent="0.2">
      <c r="A134" s="1"/>
      <c r="B134" s="1"/>
      <c r="C134" s="11"/>
      <c r="D134" s="1"/>
      <c r="E134" s="1"/>
      <c r="F134" s="12"/>
      <c r="G134" s="12"/>
      <c r="H134" s="106"/>
    </row>
    <row r="135" spans="1:8" ht="14.1" customHeight="1" x14ac:dyDescent="0.2">
      <c r="A135" s="1"/>
      <c r="B135" s="4"/>
      <c r="C135" s="4"/>
      <c r="D135" s="2"/>
      <c r="E135" s="1"/>
      <c r="F135" s="4"/>
      <c r="G135" s="8"/>
      <c r="H135" s="106"/>
    </row>
    <row r="136" spans="1:8" ht="18" customHeight="1" x14ac:dyDescent="0.2">
      <c r="A136" s="8"/>
      <c r="B136" s="4"/>
      <c r="C136" s="4" t="s">
        <v>155</v>
      </c>
      <c r="D136" s="4"/>
      <c r="E136" s="8"/>
      <c r="F136" s="6">
        <v>-0.73515918999999996</v>
      </c>
      <c r="G136" s="7">
        <v>-5.0144E-5</v>
      </c>
      <c r="H136" s="106"/>
    </row>
    <row r="137" spans="1:8" ht="14.1" customHeight="1" x14ac:dyDescent="0.2">
      <c r="A137" s="11"/>
      <c r="B137" s="11"/>
      <c r="C137" s="2" t="s">
        <v>156</v>
      </c>
      <c r="D137" s="15"/>
      <c r="E137" s="15"/>
      <c r="F137" s="9">
        <v>14660.910161010001</v>
      </c>
      <c r="G137" s="10">
        <v>1</v>
      </c>
      <c r="H137" s="106"/>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279" t="s">
        <v>158</v>
      </c>
      <c r="C140" s="280"/>
      <c r="D140" s="12" t="s">
        <v>131</v>
      </c>
      <c r="E140" s="21"/>
      <c r="F140" s="20"/>
      <c r="G140" s="20"/>
    </row>
    <row r="141" spans="1:8" ht="29.1" customHeight="1" x14ac:dyDescent="0.2">
      <c r="A141" s="18"/>
      <c r="B141" s="274" t="s">
        <v>159</v>
      </c>
      <c r="C141" s="275"/>
      <c r="D141" s="2" t="s">
        <v>160</v>
      </c>
      <c r="E141" s="21"/>
      <c r="F141" s="20"/>
      <c r="G141" s="20"/>
    </row>
    <row r="142" spans="1:8" ht="17.100000000000001" customHeight="1" x14ac:dyDescent="0.2">
      <c r="A142" s="18"/>
      <c r="B142" s="274" t="s">
        <v>161</v>
      </c>
      <c r="C142" s="275"/>
      <c r="D142" s="2" t="s">
        <v>160</v>
      </c>
      <c r="E142" s="21"/>
      <c r="F142" s="20"/>
      <c r="G142" s="20"/>
    </row>
    <row r="143" spans="1:8" ht="17.100000000000001" customHeight="1" x14ac:dyDescent="0.2">
      <c r="A143" s="18"/>
      <c r="B143" s="274" t="s">
        <v>162</v>
      </c>
      <c r="C143" s="275"/>
      <c r="D143" s="12" t="s">
        <v>131</v>
      </c>
      <c r="E143" s="21"/>
      <c r="F143" s="20"/>
      <c r="G143" s="20"/>
    </row>
    <row r="144" spans="1:8" ht="24" customHeight="1" x14ac:dyDescent="0.2">
      <c r="A144" s="22"/>
      <c r="B144" s="23" t="s">
        <v>131</v>
      </c>
      <c r="C144" s="23" t="s">
        <v>163</v>
      </c>
      <c r="D144" s="23" t="s">
        <v>164</v>
      </c>
      <c r="E144" s="22"/>
      <c r="F144" s="22"/>
      <c r="G144" s="22"/>
    </row>
    <row r="145" spans="1:15" ht="18" customHeight="1" x14ac:dyDescent="0.2">
      <c r="A145" s="22"/>
      <c r="B145" s="23" t="s">
        <v>165</v>
      </c>
      <c r="C145" s="23" t="s">
        <v>166</v>
      </c>
      <c r="D145" s="23" t="s">
        <v>167</v>
      </c>
      <c r="E145" s="22"/>
      <c r="F145" s="22"/>
      <c r="G145" s="22"/>
    </row>
    <row r="146" spans="1:15" ht="17.100000000000001" customHeight="1" x14ac:dyDescent="0.2">
      <c r="A146" s="22"/>
      <c r="B146" s="4" t="s">
        <v>168</v>
      </c>
      <c r="C146" s="24">
        <v>23.146799999999999</v>
      </c>
      <c r="D146" s="24">
        <v>23.141300000000001</v>
      </c>
      <c r="E146" s="22"/>
      <c r="F146" s="19"/>
      <c r="G146" s="25"/>
    </row>
    <row r="147" spans="1:15" ht="17.100000000000001" customHeight="1" x14ac:dyDescent="0.2">
      <c r="A147" s="22"/>
      <c r="B147" s="4" t="s">
        <v>1048</v>
      </c>
      <c r="C147" s="24">
        <v>21.7255</v>
      </c>
      <c r="D147" s="24">
        <v>21.720400000000001</v>
      </c>
      <c r="E147" s="22"/>
      <c r="F147" s="19"/>
      <c r="G147" s="25"/>
    </row>
    <row r="148" spans="1:15" ht="17.100000000000001" customHeight="1" x14ac:dyDescent="0.2">
      <c r="A148" s="22"/>
      <c r="B148" s="4" t="s">
        <v>169</v>
      </c>
      <c r="C148" s="24">
        <v>22.723400000000002</v>
      </c>
      <c r="D148" s="24">
        <v>22.710100000000001</v>
      </c>
      <c r="E148" s="22"/>
      <c r="F148" s="19"/>
      <c r="G148" s="25"/>
    </row>
    <row r="149" spans="1:15" ht="17.100000000000001" customHeight="1" x14ac:dyDescent="0.2">
      <c r="A149" s="22"/>
      <c r="B149" s="4" t="s">
        <v>1049</v>
      </c>
      <c r="C149" s="24">
        <v>21.310300000000002</v>
      </c>
      <c r="D149" s="24">
        <v>21.297799999999999</v>
      </c>
      <c r="E149" s="22"/>
      <c r="F149" s="19"/>
      <c r="G149" s="25"/>
    </row>
    <row r="150" spans="1:15" ht="14.1" customHeight="1" x14ac:dyDescent="0.2">
      <c r="A150" s="22"/>
      <c r="B150" s="22"/>
      <c r="C150" s="22"/>
      <c r="D150" s="22"/>
      <c r="E150" s="22"/>
      <c r="F150" s="22"/>
      <c r="G150" s="22"/>
    </row>
    <row r="151" spans="1:15" ht="17.100000000000001" customHeight="1" x14ac:dyDescent="0.2">
      <c r="A151" s="22"/>
      <c r="B151" s="274" t="s">
        <v>1060</v>
      </c>
      <c r="C151" s="275"/>
      <c r="D151" s="2" t="s">
        <v>160</v>
      </c>
      <c r="E151" s="22"/>
      <c r="F151" s="22"/>
      <c r="G151" s="22"/>
    </row>
    <row r="152" spans="1:15" ht="18" customHeight="1" x14ac:dyDescent="0.2">
      <c r="A152" s="22"/>
      <c r="B152" s="26" t="s">
        <v>170</v>
      </c>
      <c r="C152" s="26" t="s">
        <v>170</v>
      </c>
      <c r="D152" s="26"/>
      <c r="E152" s="22"/>
      <c r="F152" s="22"/>
      <c r="G152" s="22"/>
    </row>
    <row r="153" spans="1:15" ht="29.1" customHeight="1" x14ac:dyDescent="0.2">
      <c r="A153" s="22"/>
      <c r="B153" s="274" t="s">
        <v>171</v>
      </c>
      <c r="C153" s="275"/>
      <c r="D153" s="2" t="s">
        <v>160</v>
      </c>
      <c r="E153" s="22"/>
      <c r="F153" s="22"/>
      <c r="G153" s="22"/>
    </row>
    <row r="154" spans="1:15" ht="29.1" customHeight="1" x14ac:dyDescent="0.2">
      <c r="A154" s="22"/>
      <c r="B154" s="274" t="s">
        <v>172</v>
      </c>
      <c r="C154" s="275"/>
      <c r="D154" s="2" t="s">
        <v>160</v>
      </c>
      <c r="E154" s="22"/>
      <c r="F154" s="22"/>
      <c r="G154" s="22"/>
    </row>
    <row r="155" spans="1:15" ht="17.100000000000001" customHeight="1" x14ac:dyDescent="0.2">
      <c r="A155" s="22"/>
      <c r="B155" s="274" t="s">
        <v>173</v>
      </c>
      <c r="C155" s="275"/>
      <c r="D155" s="27">
        <v>0.34125301835306965</v>
      </c>
      <c r="E155" s="22"/>
      <c r="F155" s="19"/>
      <c r="G155" s="25"/>
    </row>
    <row r="156" spans="1:15" ht="17.100000000000001" customHeight="1" x14ac:dyDescent="0.2">
      <c r="A156" s="22"/>
      <c r="B156" s="274" t="s">
        <v>174</v>
      </c>
      <c r="C156" s="275"/>
      <c r="D156" s="2" t="s">
        <v>160</v>
      </c>
      <c r="E156" s="22"/>
      <c r="F156" s="22"/>
      <c r="G156" s="22"/>
      <c r="J156" s="162"/>
      <c r="K156" s="162"/>
      <c r="L156" s="162"/>
      <c r="M156" s="162"/>
      <c r="N156" s="162"/>
      <c r="O156" s="162"/>
    </row>
  </sheetData>
  <mergeCells count="13">
    <mergeCell ref="J2:N2"/>
    <mergeCell ref="B140:C140"/>
    <mergeCell ref="B155:C155"/>
    <mergeCell ref="A1:H1"/>
    <mergeCell ref="A2:H2"/>
    <mergeCell ref="A3:H3"/>
    <mergeCell ref="B156:C156"/>
    <mergeCell ref="B141:C141"/>
    <mergeCell ref="B142:C142"/>
    <mergeCell ref="B143:C143"/>
    <mergeCell ref="B151:C151"/>
    <mergeCell ref="B153:C153"/>
    <mergeCell ref="B154:C154"/>
  </mergeCells>
  <hyperlinks>
    <hyperlink ref="I1" location="Index!B13" display="Index" xr:uid="{BA234AF8-35FD-46EE-9A0E-AF63037E089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486</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382</v>
      </c>
      <c r="C7" s="4" t="s">
        <v>383</v>
      </c>
      <c r="D7" s="4" t="s">
        <v>110</v>
      </c>
      <c r="E7" s="5">
        <v>6741</v>
      </c>
      <c r="F7" s="6">
        <v>125.21070450000001</v>
      </c>
      <c r="G7" s="7">
        <v>3.9412858000000002E-2</v>
      </c>
      <c r="H7" s="106"/>
    </row>
    <row r="8" spans="1:14" ht="17.100000000000001" customHeight="1" x14ac:dyDescent="0.2">
      <c r="A8" s="3">
        <v>2</v>
      </c>
      <c r="B8" s="4" t="s">
        <v>77</v>
      </c>
      <c r="C8" s="4" t="s">
        <v>78</v>
      </c>
      <c r="D8" s="4" t="s">
        <v>31</v>
      </c>
      <c r="E8" s="5">
        <v>7681</v>
      </c>
      <c r="F8" s="6">
        <v>124.063512</v>
      </c>
      <c r="G8" s="7">
        <v>3.9051754000000001E-2</v>
      </c>
      <c r="H8" s="106"/>
    </row>
    <row r="9" spans="1:14" ht="17.100000000000001" customHeight="1" x14ac:dyDescent="0.2">
      <c r="A9" s="3">
        <v>3</v>
      </c>
      <c r="B9" s="4" t="s">
        <v>29</v>
      </c>
      <c r="C9" s="4" t="s">
        <v>30</v>
      </c>
      <c r="D9" s="4" t="s">
        <v>31</v>
      </c>
      <c r="E9" s="5">
        <v>5488</v>
      </c>
      <c r="F9" s="6">
        <v>114.22448799999999</v>
      </c>
      <c r="G9" s="7">
        <v>3.5954701999999998E-2</v>
      </c>
      <c r="H9" s="106"/>
    </row>
    <row r="10" spans="1:14" ht="29.1" customHeight="1" x14ac:dyDescent="0.2">
      <c r="A10" s="3">
        <v>4</v>
      </c>
      <c r="B10" s="4" t="s">
        <v>189</v>
      </c>
      <c r="C10" s="4" t="s">
        <v>190</v>
      </c>
      <c r="D10" s="4" t="s">
        <v>110</v>
      </c>
      <c r="E10" s="5">
        <v>27823</v>
      </c>
      <c r="F10" s="6">
        <v>100.802729</v>
      </c>
      <c r="G10" s="7">
        <v>3.1729904000000003E-2</v>
      </c>
      <c r="H10" s="106"/>
    </row>
    <row r="11" spans="1:14" ht="17.100000000000001" customHeight="1" x14ac:dyDescent="0.2">
      <c r="A11" s="3">
        <v>5</v>
      </c>
      <c r="B11" s="4" t="s">
        <v>108</v>
      </c>
      <c r="C11" s="4" t="s">
        <v>109</v>
      </c>
      <c r="D11" s="4" t="s">
        <v>110</v>
      </c>
      <c r="E11" s="5">
        <v>26505</v>
      </c>
      <c r="F11" s="6">
        <v>98.625105000000005</v>
      </c>
      <c r="G11" s="7">
        <v>3.1044448999999998E-2</v>
      </c>
      <c r="H11" s="106"/>
    </row>
    <row r="12" spans="1:14" ht="17.100000000000001" customHeight="1" x14ac:dyDescent="0.2">
      <c r="A12" s="3">
        <v>6</v>
      </c>
      <c r="B12" s="4" t="s">
        <v>461</v>
      </c>
      <c r="C12" s="4" t="s">
        <v>462</v>
      </c>
      <c r="D12" s="4" t="s">
        <v>1114</v>
      </c>
      <c r="E12" s="5">
        <v>13845</v>
      </c>
      <c r="F12" s="6">
        <v>98.195662499999997</v>
      </c>
      <c r="G12" s="7">
        <v>3.0909272000000002E-2</v>
      </c>
      <c r="H12" s="106"/>
    </row>
    <row r="13" spans="1:14" ht="17.100000000000001" customHeight="1" x14ac:dyDescent="0.2">
      <c r="A13" s="3">
        <v>7</v>
      </c>
      <c r="B13" s="4" t="s">
        <v>380</v>
      </c>
      <c r="C13" s="4" t="s">
        <v>381</v>
      </c>
      <c r="D13" s="4" t="s">
        <v>99</v>
      </c>
      <c r="E13" s="5">
        <v>91263</v>
      </c>
      <c r="F13" s="6">
        <v>92.084367</v>
      </c>
      <c r="G13" s="7">
        <v>2.8985606000000001E-2</v>
      </c>
      <c r="H13" s="106"/>
      <c r="J13" s="161" t="s">
        <v>1090</v>
      </c>
    </row>
    <row r="14" spans="1:14" ht="17.100000000000001" customHeight="1" x14ac:dyDescent="0.2">
      <c r="A14" s="3">
        <v>8</v>
      </c>
      <c r="B14" s="4" t="s">
        <v>304</v>
      </c>
      <c r="C14" s="4" t="s">
        <v>305</v>
      </c>
      <c r="D14" s="4" t="s">
        <v>240</v>
      </c>
      <c r="E14" s="5">
        <v>16846</v>
      </c>
      <c r="F14" s="6">
        <v>86.411557000000002</v>
      </c>
      <c r="G14" s="7">
        <v>2.7199962000000001E-2</v>
      </c>
      <c r="H14" s="106"/>
    </row>
    <row r="15" spans="1:14" ht="17.100000000000001" customHeight="1" x14ac:dyDescent="0.2">
      <c r="A15" s="3">
        <v>9</v>
      </c>
      <c r="B15" s="4" t="s">
        <v>386</v>
      </c>
      <c r="C15" s="4" t="s">
        <v>387</v>
      </c>
      <c r="D15" s="4" t="s">
        <v>110</v>
      </c>
      <c r="E15" s="5">
        <v>14146</v>
      </c>
      <c r="F15" s="6">
        <v>84.607225999999997</v>
      </c>
      <c r="G15" s="7">
        <v>2.6632009000000002E-2</v>
      </c>
      <c r="H15" s="106"/>
    </row>
    <row r="16" spans="1:14" ht="29.1" customHeight="1" x14ac:dyDescent="0.2">
      <c r="A16" s="3">
        <v>10</v>
      </c>
      <c r="B16" s="4" t="s">
        <v>196</v>
      </c>
      <c r="C16" s="4" t="s">
        <v>197</v>
      </c>
      <c r="D16" s="4" t="s">
        <v>188</v>
      </c>
      <c r="E16" s="5">
        <v>1842</v>
      </c>
      <c r="F16" s="6">
        <v>83.843235000000007</v>
      </c>
      <c r="G16" s="7">
        <v>2.6391525999999998E-2</v>
      </c>
      <c r="H16" s="106"/>
    </row>
    <row r="17" spans="1:8" ht="17.100000000000001" customHeight="1" x14ac:dyDescent="0.2">
      <c r="A17" s="3">
        <v>11</v>
      </c>
      <c r="B17" s="4" t="s">
        <v>320</v>
      </c>
      <c r="C17" s="4" t="s">
        <v>321</v>
      </c>
      <c r="D17" s="4" t="s">
        <v>230</v>
      </c>
      <c r="E17" s="5">
        <v>5630</v>
      </c>
      <c r="F17" s="6">
        <v>81.474545000000006</v>
      </c>
      <c r="G17" s="7">
        <v>2.5645927999999998E-2</v>
      </c>
      <c r="H17" s="106"/>
    </row>
    <row r="18" spans="1:8" ht="17.100000000000001" customHeight="1" x14ac:dyDescent="0.2">
      <c r="A18" s="3">
        <v>12</v>
      </c>
      <c r="B18" s="4" t="s">
        <v>213</v>
      </c>
      <c r="C18" s="4" t="s">
        <v>214</v>
      </c>
      <c r="D18" s="4" t="s">
        <v>1114</v>
      </c>
      <c r="E18" s="5">
        <v>2123</v>
      </c>
      <c r="F18" s="6">
        <v>78.403451500000003</v>
      </c>
      <c r="G18" s="7">
        <v>2.4679232999999998E-2</v>
      </c>
      <c r="H18" s="106"/>
    </row>
    <row r="19" spans="1:8" ht="17.100000000000001" customHeight="1" x14ac:dyDescent="0.2">
      <c r="A19" s="3">
        <v>13</v>
      </c>
      <c r="B19" s="4" t="s">
        <v>439</v>
      </c>
      <c r="C19" s="4" t="s">
        <v>440</v>
      </c>
      <c r="D19" s="4" t="s">
        <v>31</v>
      </c>
      <c r="E19" s="5">
        <v>9092</v>
      </c>
      <c r="F19" s="6">
        <v>76.900136000000003</v>
      </c>
      <c r="G19" s="7">
        <v>2.4206030999999999E-2</v>
      </c>
      <c r="H19" s="106"/>
    </row>
    <row r="20" spans="1:8" ht="29.1" customHeight="1" x14ac:dyDescent="0.2">
      <c r="A20" s="3">
        <v>14</v>
      </c>
      <c r="B20" s="4" t="s">
        <v>202</v>
      </c>
      <c r="C20" s="4" t="s">
        <v>203</v>
      </c>
      <c r="D20" s="4" t="s">
        <v>204</v>
      </c>
      <c r="E20" s="5">
        <v>16491</v>
      </c>
      <c r="F20" s="6">
        <v>74.959840499999999</v>
      </c>
      <c r="G20" s="7">
        <v>2.3595279E-2</v>
      </c>
      <c r="H20" s="106"/>
    </row>
    <row r="21" spans="1:8" ht="17.100000000000001" customHeight="1" x14ac:dyDescent="0.2">
      <c r="A21" s="3">
        <v>15</v>
      </c>
      <c r="B21" s="4" t="s">
        <v>416</v>
      </c>
      <c r="C21" s="4" t="s">
        <v>417</v>
      </c>
      <c r="D21" s="4" t="s">
        <v>212</v>
      </c>
      <c r="E21" s="5">
        <v>24416</v>
      </c>
      <c r="F21" s="6">
        <v>70.37912</v>
      </c>
      <c r="G21" s="7">
        <v>2.2153395999999999E-2</v>
      </c>
      <c r="H21" s="106"/>
    </row>
    <row r="22" spans="1:8" ht="17.100000000000001" customHeight="1" x14ac:dyDescent="0.2">
      <c r="A22" s="3">
        <v>16</v>
      </c>
      <c r="B22" s="4" t="s">
        <v>418</v>
      </c>
      <c r="C22" s="4" t="s">
        <v>419</v>
      </c>
      <c r="D22" s="4" t="s">
        <v>13</v>
      </c>
      <c r="E22" s="5">
        <v>14751</v>
      </c>
      <c r="F22" s="6">
        <v>70.118878499999994</v>
      </c>
      <c r="G22" s="7">
        <v>2.2071479000000001E-2</v>
      </c>
      <c r="H22" s="106"/>
    </row>
    <row r="23" spans="1:8" ht="17.100000000000001" customHeight="1" x14ac:dyDescent="0.2">
      <c r="A23" s="3">
        <v>17</v>
      </c>
      <c r="B23" s="4" t="s">
        <v>441</v>
      </c>
      <c r="C23" s="4" t="s">
        <v>442</v>
      </c>
      <c r="D23" s="4" t="s">
        <v>324</v>
      </c>
      <c r="E23" s="5">
        <v>4118</v>
      </c>
      <c r="F23" s="6">
        <v>63.266893000000003</v>
      </c>
      <c r="G23" s="7">
        <v>1.9914663999999999E-2</v>
      </c>
      <c r="H23" s="106"/>
    </row>
    <row r="24" spans="1:8" ht="29.1" customHeight="1" x14ac:dyDescent="0.2">
      <c r="A24" s="3">
        <v>18</v>
      </c>
      <c r="B24" s="4" t="s">
        <v>451</v>
      </c>
      <c r="C24" s="4" t="s">
        <v>452</v>
      </c>
      <c r="D24" s="4" t="s">
        <v>453</v>
      </c>
      <c r="E24" s="5">
        <v>44667</v>
      </c>
      <c r="F24" s="6">
        <v>62.355131999999998</v>
      </c>
      <c r="G24" s="7">
        <v>1.9627667000000001E-2</v>
      </c>
      <c r="H24" s="106"/>
    </row>
    <row r="25" spans="1:8" ht="17.100000000000001" customHeight="1" x14ac:dyDescent="0.2">
      <c r="A25" s="3">
        <v>19</v>
      </c>
      <c r="B25" s="4" t="s">
        <v>392</v>
      </c>
      <c r="C25" s="4" t="s">
        <v>393</v>
      </c>
      <c r="D25" s="4" t="s">
        <v>230</v>
      </c>
      <c r="E25" s="5">
        <v>8151</v>
      </c>
      <c r="F25" s="6">
        <v>60.953178000000001</v>
      </c>
      <c r="G25" s="7">
        <v>1.9186370000000001E-2</v>
      </c>
      <c r="H25" s="106"/>
    </row>
    <row r="26" spans="1:8" ht="17.100000000000001" customHeight="1" x14ac:dyDescent="0.2">
      <c r="A26" s="3">
        <v>20</v>
      </c>
      <c r="B26" s="4" t="s">
        <v>322</v>
      </c>
      <c r="C26" s="4" t="s">
        <v>323</v>
      </c>
      <c r="D26" s="4" t="s">
        <v>324</v>
      </c>
      <c r="E26" s="5">
        <v>3672</v>
      </c>
      <c r="F26" s="6">
        <v>58.849308000000001</v>
      </c>
      <c r="G26" s="7">
        <v>1.852413E-2</v>
      </c>
      <c r="H26" s="106"/>
    </row>
    <row r="27" spans="1:8" ht="17.100000000000001" customHeight="1" x14ac:dyDescent="0.2">
      <c r="A27" s="3">
        <v>21</v>
      </c>
      <c r="B27" s="4" t="s">
        <v>388</v>
      </c>
      <c r="C27" s="4" t="s">
        <v>389</v>
      </c>
      <c r="D27" s="4" t="s">
        <v>99</v>
      </c>
      <c r="E27" s="5">
        <v>11094</v>
      </c>
      <c r="F27" s="6">
        <v>58.171388999999998</v>
      </c>
      <c r="G27" s="7">
        <v>1.8310739999999999E-2</v>
      </c>
      <c r="H27" s="106"/>
    </row>
    <row r="28" spans="1:8" ht="17.100000000000001" customHeight="1" x14ac:dyDescent="0.2">
      <c r="A28" s="3">
        <v>22</v>
      </c>
      <c r="B28" s="4" t="s">
        <v>231</v>
      </c>
      <c r="C28" s="4" t="s">
        <v>232</v>
      </c>
      <c r="D28" s="4" t="s">
        <v>89</v>
      </c>
      <c r="E28" s="5">
        <v>1151</v>
      </c>
      <c r="F28" s="6">
        <v>55.184119500000001</v>
      </c>
      <c r="G28" s="7">
        <v>1.7370430999999999E-2</v>
      </c>
      <c r="H28" s="106"/>
    </row>
    <row r="29" spans="1:8" ht="29.1" customHeight="1" x14ac:dyDescent="0.2">
      <c r="A29" s="3">
        <v>23</v>
      </c>
      <c r="B29" s="4" t="s">
        <v>445</v>
      </c>
      <c r="C29" s="4" t="s">
        <v>446</v>
      </c>
      <c r="D29" s="4" t="s">
        <v>51</v>
      </c>
      <c r="E29" s="5">
        <v>2187</v>
      </c>
      <c r="F29" s="6">
        <v>54.167616000000002</v>
      </c>
      <c r="G29" s="7">
        <v>1.7050464000000001E-2</v>
      </c>
      <c r="H29" s="106"/>
    </row>
    <row r="30" spans="1:8" ht="29.1" customHeight="1" x14ac:dyDescent="0.2">
      <c r="A30" s="3">
        <v>24</v>
      </c>
      <c r="B30" s="4" t="s">
        <v>443</v>
      </c>
      <c r="C30" s="4" t="s">
        <v>444</v>
      </c>
      <c r="D30" s="4" t="s">
        <v>204</v>
      </c>
      <c r="E30" s="5">
        <v>2681</v>
      </c>
      <c r="F30" s="6">
        <v>52.909534999999998</v>
      </c>
      <c r="G30" s="7">
        <v>1.6654454999999999E-2</v>
      </c>
      <c r="H30" s="106"/>
    </row>
    <row r="31" spans="1:8" ht="17.100000000000001" customHeight="1" x14ac:dyDescent="0.2">
      <c r="A31" s="3">
        <v>25</v>
      </c>
      <c r="B31" s="4" t="s">
        <v>404</v>
      </c>
      <c r="C31" s="4" t="s">
        <v>405</v>
      </c>
      <c r="D31" s="4" t="s">
        <v>13</v>
      </c>
      <c r="E31" s="5">
        <v>70325</v>
      </c>
      <c r="F31" s="6">
        <v>52.040500000000002</v>
      </c>
      <c r="G31" s="7">
        <v>1.6380907E-2</v>
      </c>
      <c r="H31" s="106"/>
    </row>
    <row r="32" spans="1:8" ht="17.100000000000001" customHeight="1" x14ac:dyDescent="0.2">
      <c r="A32" s="3">
        <v>26</v>
      </c>
      <c r="B32" s="4" t="s">
        <v>412</v>
      </c>
      <c r="C32" s="4" t="s">
        <v>413</v>
      </c>
      <c r="D32" s="4" t="s">
        <v>193</v>
      </c>
      <c r="E32" s="5">
        <v>6215</v>
      </c>
      <c r="F32" s="6">
        <v>50.910172500000002</v>
      </c>
      <c r="G32" s="7">
        <v>1.6025111000000002E-2</v>
      </c>
      <c r="H32" s="106"/>
    </row>
    <row r="33" spans="1:8" ht="29.1" customHeight="1" x14ac:dyDescent="0.2">
      <c r="A33" s="3">
        <v>27</v>
      </c>
      <c r="B33" s="4" t="s">
        <v>463</v>
      </c>
      <c r="C33" s="4" t="s">
        <v>464</v>
      </c>
      <c r="D33" s="4" t="s">
        <v>366</v>
      </c>
      <c r="E33" s="5">
        <v>8191</v>
      </c>
      <c r="F33" s="6">
        <v>50.735053999999998</v>
      </c>
      <c r="G33" s="7">
        <v>1.5969988000000001E-2</v>
      </c>
      <c r="H33" s="106"/>
    </row>
    <row r="34" spans="1:8" ht="17.100000000000001" customHeight="1" x14ac:dyDescent="0.2">
      <c r="A34" s="3">
        <v>28</v>
      </c>
      <c r="B34" s="4" t="s">
        <v>94</v>
      </c>
      <c r="C34" s="4" t="s">
        <v>95</v>
      </c>
      <c r="D34" s="4" t="s">
        <v>96</v>
      </c>
      <c r="E34" s="5">
        <v>9950</v>
      </c>
      <c r="F34" s="6">
        <v>49.705224999999999</v>
      </c>
      <c r="G34" s="7">
        <v>1.5645827000000001E-2</v>
      </c>
      <c r="H34" s="106"/>
    </row>
    <row r="35" spans="1:8" ht="17.100000000000001" customHeight="1" x14ac:dyDescent="0.2">
      <c r="A35" s="3">
        <v>29</v>
      </c>
      <c r="B35" s="4" t="s">
        <v>459</v>
      </c>
      <c r="C35" s="4" t="s">
        <v>460</v>
      </c>
      <c r="D35" s="4" t="s">
        <v>96</v>
      </c>
      <c r="E35" s="5">
        <v>3479</v>
      </c>
      <c r="F35" s="6">
        <v>49.674901499999997</v>
      </c>
      <c r="G35" s="7">
        <v>1.5636282000000001E-2</v>
      </c>
      <c r="H35" s="106"/>
    </row>
    <row r="36" spans="1:8" ht="17.100000000000001" customHeight="1" x14ac:dyDescent="0.2">
      <c r="A36" s="3">
        <v>30</v>
      </c>
      <c r="B36" s="4" t="s">
        <v>32</v>
      </c>
      <c r="C36" s="4" t="s">
        <v>33</v>
      </c>
      <c r="D36" s="4" t="s">
        <v>31</v>
      </c>
      <c r="E36" s="5">
        <v>2356</v>
      </c>
      <c r="F36" s="6">
        <v>49.546680000000002</v>
      </c>
      <c r="G36" s="7">
        <v>1.5595921E-2</v>
      </c>
      <c r="H36" s="106"/>
    </row>
    <row r="37" spans="1:8" ht="29.1" customHeight="1" x14ac:dyDescent="0.2">
      <c r="A37" s="3">
        <v>31</v>
      </c>
      <c r="B37" s="4" t="s">
        <v>63</v>
      </c>
      <c r="C37" s="4" t="s">
        <v>64</v>
      </c>
      <c r="D37" s="4" t="s">
        <v>25</v>
      </c>
      <c r="E37" s="5">
        <v>1823</v>
      </c>
      <c r="F37" s="6">
        <v>49.451609500000004</v>
      </c>
      <c r="G37" s="7">
        <v>1.5565996E-2</v>
      </c>
      <c r="H37" s="106"/>
    </row>
    <row r="38" spans="1:8" ht="17.100000000000001" customHeight="1" x14ac:dyDescent="0.2">
      <c r="A38" s="3">
        <v>32</v>
      </c>
      <c r="B38" s="4" t="s">
        <v>398</v>
      </c>
      <c r="C38" s="4" t="s">
        <v>399</v>
      </c>
      <c r="D38" s="4" t="s">
        <v>110</v>
      </c>
      <c r="E38" s="5">
        <v>7524</v>
      </c>
      <c r="F38" s="6">
        <v>48.138551999999997</v>
      </c>
      <c r="G38" s="7">
        <v>1.5152680999999999E-2</v>
      </c>
      <c r="H38" s="106"/>
    </row>
    <row r="39" spans="1:8" ht="29.1" customHeight="1" x14ac:dyDescent="0.2">
      <c r="A39" s="3">
        <v>33</v>
      </c>
      <c r="B39" s="4" t="s">
        <v>410</v>
      </c>
      <c r="C39" s="4" t="s">
        <v>411</v>
      </c>
      <c r="D39" s="4" t="s">
        <v>204</v>
      </c>
      <c r="E39" s="5">
        <v>13550</v>
      </c>
      <c r="F39" s="6">
        <v>47.966999999999999</v>
      </c>
      <c r="G39" s="7">
        <v>1.5098682E-2</v>
      </c>
      <c r="H39" s="106"/>
    </row>
    <row r="40" spans="1:8" ht="17.100000000000001" customHeight="1" x14ac:dyDescent="0.2">
      <c r="A40" s="3">
        <v>34</v>
      </c>
      <c r="B40" s="4" t="s">
        <v>449</v>
      </c>
      <c r="C40" s="4" t="s">
        <v>450</v>
      </c>
      <c r="D40" s="4" t="s">
        <v>99</v>
      </c>
      <c r="E40" s="5">
        <v>59081</v>
      </c>
      <c r="F40" s="6">
        <v>45.7582345</v>
      </c>
      <c r="G40" s="7">
        <v>1.4403424E-2</v>
      </c>
      <c r="H40" s="106"/>
    </row>
    <row r="41" spans="1:8" ht="17.100000000000001" customHeight="1" x14ac:dyDescent="0.2">
      <c r="A41" s="3">
        <v>35</v>
      </c>
      <c r="B41" s="4" t="s">
        <v>279</v>
      </c>
      <c r="C41" s="4" t="s">
        <v>280</v>
      </c>
      <c r="D41" s="4" t="s">
        <v>22</v>
      </c>
      <c r="E41" s="5">
        <v>21314</v>
      </c>
      <c r="F41" s="6">
        <v>45.579988999999998</v>
      </c>
      <c r="G41" s="7">
        <v>1.4347317E-2</v>
      </c>
      <c r="H41" s="106"/>
    </row>
    <row r="42" spans="1:8" ht="17.100000000000001" customHeight="1" x14ac:dyDescent="0.2">
      <c r="A42" s="3">
        <v>36</v>
      </c>
      <c r="B42" s="4" t="s">
        <v>396</v>
      </c>
      <c r="C42" s="4" t="s">
        <v>397</v>
      </c>
      <c r="D42" s="4" t="s">
        <v>288</v>
      </c>
      <c r="E42" s="5">
        <v>6040</v>
      </c>
      <c r="F42" s="6">
        <v>45.257719999999999</v>
      </c>
      <c r="G42" s="7">
        <v>1.4245875E-2</v>
      </c>
      <c r="H42" s="106"/>
    </row>
    <row r="43" spans="1:8" ht="17.100000000000001" customHeight="1" x14ac:dyDescent="0.2">
      <c r="A43" s="3">
        <v>37</v>
      </c>
      <c r="B43" s="4" t="s">
        <v>406</v>
      </c>
      <c r="C43" s="4" t="s">
        <v>407</v>
      </c>
      <c r="D43" s="4" t="s">
        <v>99</v>
      </c>
      <c r="E43" s="5">
        <v>4638</v>
      </c>
      <c r="F43" s="6">
        <v>45.229776000000001</v>
      </c>
      <c r="G43" s="7">
        <v>1.4237079E-2</v>
      </c>
      <c r="H43" s="106"/>
    </row>
    <row r="44" spans="1:8" ht="17.100000000000001" customHeight="1" x14ac:dyDescent="0.2">
      <c r="A44" s="3">
        <v>38</v>
      </c>
      <c r="B44" s="4" t="s">
        <v>447</v>
      </c>
      <c r="C44" s="4" t="s">
        <v>448</v>
      </c>
      <c r="D44" s="4" t="s">
        <v>268</v>
      </c>
      <c r="E44" s="5">
        <v>14444</v>
      </c>
      <c r="F44" s="6">
        <v>43.526994000000002</v>
      </c>
      <c r="G44" s="7">
        <v>1.3701091E-2</v>
      </c>
      <c r="H44" s="106"/>
    </row>
    <row r="45" spans="1:8" ht="29.1" customHeight="1" x14ac:dyDescent="0.2">
      <c r="A45" s="3">
        <v>39</v>
      </c>
      <c r="B45" s="4" t="s">
        <v>317</v>
      </c>
      <c r="C45" s="4" t="s">
        <v>318</v>
      </c>
      <c r="D45" s="4" t="s">
        <v>319</v>
      </c>
      <c r="E45" s="5">
        <v>7830</v>
      </c>
      <c r="F45" s="6">
        <v>43.284239999999997</v>
      </c>
      <c r="G45" s="7">
        <v>1.3624679000000001E-2</v>
      </c>
      <c r="H45" s="106"/>
    </row>
    <row r="46" spans="1:8" ht="29.1" customHeight="1" x14ac:dyDescent="0.2">
      <c r="A46" s="3">
        <v>40</v>
      </c>
      <c r="B46" s="4" t="s">
        <v>390</v>
      </c>
      <c r="C46" s="4" t="s">
        <v>391</v>
      </c>
      <c r="D46" s="4" t="s">
        <v>67</v>
      </c>
      <c r="E46" s="5">
        <v>2627</v>
      </c>
      <c r="F46" s="6">
        <v>42.158096</v>
      </c>
      <c r="G46" s="7">
        <v>1.3270199999999999E-2</v>
      </c>
      <c r="H46" s="106"/>
    </row>
    <row r="47" spans="1:8" ht="17.100000000000001" customHeight="1" x14ac:dyDescent="0.2">
      <c r="A47" s="3">
        <v>41</v>
      </c>
      <c r="B47" s="4" t="s">
        <v>384</v>
      </c>
      <c r="C47" s="4" t="s">
        <v>385</v>
      </c>
      <c r="D47" s="4" t="s">
        <v>288</v>
      </c>
      <c r="E47" s="5">
        <v>3553</v>
      </c>
      <c r="F47" s="6">
        <v>41.019385</v>
      </c>
      <c r="G47" s="7">
        <v>1.2911765E-2</v>
      </c>
      <c r="H47" s="106"/>
    </row>
    <row r="48" spans="1:8" ht="29.1" customHeight="1" x14ac:dyDescent="0.2">
      <c r="A48" s="3">
        <v>42</v>
      </c>
      <c r="B48" s="4" t="s">
        <v>291</v>
      </c>
      <c r="C48" s="4" t="s">
        <v>292</v>
      </c>
      <c r="D48" s="4" t="s">
        <v>188</v>
      </c>
      <c r="E48" s="5">
        <v>5060</v>
      </c>
      <c r="F48" s="6">
        <v>38.453470000000003</v>
      </c>
      <c r="G48" s="7">
        <v>1.2104086E-2</v>
      </c>
      <c r="H48" s="106"/>
    </row>
    <row r="49" spans="1:8" ht="53.1" customHeight="1" x14ac:dyDescent="0.2">
      <c r="A49" s="3">
        <v>43</v>
      </c>
      <c r="B49" s="4" t="s">
        <v>333</v>
      </c>
      <c r="C49" s="4" t="s">
        <v>334</v>
      </c>
      <c r="D49" s="4" t="s">
        <v>48</v>
      </c>
      <c r="E49" s="5">
        <v>11330</v>
      </c>
      <c r="F49" s="6">
        <v>34.958714999999998</v>
      </c>
      <c r="G49" s="7">
        <v>1.1004033999999999E-2</v>
      </c>
      <c r="H49" s="106"/>
    </row>
    <row r="50" spans="1:8" ht="17.100000000000001" customHeight="1" x14ac:dyDescent="0.2">
      <c r="A50" s="3">
        <v>44</v>
      </c>
      <c r="B50" s="4" t="s">
        <v>394</v>
      </c>
      <c r="C50" s="4" t="s">
        <v>395</v>
      </c>
      <c r="D50" s="4" t="s">
        <v>99</v>
      </c>
      <c r="E50" s="5">
        <v>4394</v>
      </c>
      <c r="F50" s="6">
        <v>31.911425000000001</v>
      </c>
      <c r="G50" s="7">
        <v>1.0044832E-2</v>
      </c>
      <c r="H50" s="106"/>
    </row>
    <row r="51" spans="1:8" ht="17.100000000000001" customHeight="1" x14ac:dyDescent="0.2">
      <c r="A51" s="3">
        <v>45</v>
      </c>
      <c r="B51" s="4" t="s">
        <v>480</v>
      </c>
      <c r="C51" s="4" t="s">
        <v>481</v>
      </c>
      <c r="D51" s="4" t="s">
        <v>230</v>
      </c>
      <c r="E51" s="5">
        <v>16207</v>
      </c>
      <c r="F51" s="6">
        <v>31.295717</v>
      </c>
      <c r="G51" s="7">
        <v>9.8510239999999999E-3</v>
      </c>
      <c r="H51" s="106"/>
    </row>
    <row r="52" spans="1:8" ht="17.100000000000001" customHeight="1" x14ac:dyDescent="0.2">
      <c r="A52" s="3">
        <v>46</v>
      </c>
      <c r="B52" s="4" t="s">
        <v>468</v>
      </c>
      <c r="C52" s="4" t="s">
        <v>469</v>
      </c>
      <c r="D52" s="4" t="s">
        <v>41</v>
      </c>
      <c r="E52" s="5">
        <v>4036</v>
      </c>
      <c r="F52" s="6">
        <v>28.845292000000001</v>
      </c>
      <c r="G52" s="7">
        <v>9.0796980000000006E-3</v>
      </c>
      <c r="H52" s="106"/>
    </row>
    <row r="53" spans="1:8" ht="17.100000000000001" customHeight="1" x14ac:dyDescent="0.2">
      <c r="A53" s="3">
        <v>47</v>
      </c>
      <c r="B53" s="4" t="s">
        <v>422</v>
      </c>
      <c r="C53" s="4" t="s">
        <v>423</v>
      </c>
      <c r="D53" s="4" t="s">
        <v>237</v>
      </c>
      <c r="E53" s="5">
        <v>3908</v>
      </c>
      <c r="F53" s="6">
        <v>28.737477999999999</v>
      </c>
      <c r="G53" s="7">
        <v>9.0457609999999994E-3</v>
      </c>
      <c r="H53" s="106"/>
    </row>
    <row r="54" spans="1:8" ht="17.100000000000001" customHeight="1" x14ac:dyDescent="0.2">
      <c r="A54" s="3">
        <v>48</v>
      </c>
      <c r="B54" s="4" t="s">
        <v>400</v>
      </c>
      <c r="C54" s="4" t="s">
        <v>401</v>
      </c>
      <c r="D54" s="4" t="s">
        <v>31</v>
      </c>
      <c r="E54" s="5">
        <v>3042</v>
      </c>
      <c r="F54" s="6">
        <v>25.730757000000001</v>
      </c>
      <c r="G54" s="7">
        <v>8.0993290000000006E-3</v>
      </c>
      <c r="H54" s="106"/>
    </row>
    <row r="55" spans="1:8" ht="29.1" customHeight="1" x14ac:dyDescent="0.2">
      <c r="A55" s="3">
        <v>49</v>
      </c>
      <c r="B55" s="4" t="s">
        <v>428</v>
      </c>
      <c r="C55" s="4" t="s">
        <v>429</v>
      </c>
      <c r="D55" s="4" t="s">
        <v>204</v>
      </c>
      <c r="E55" s="5">
        <v>596</v>
      </c>
      <c r="F55" s="6">
        <v>24.035786000000002</v>
      </c>
      <c r="G55" s="7">
        <v>7.5657989999999998E-3</v>
      </c>
      <c r="H55" s="106"/>
    </row>
    <row r="56" spans="1:8" ht="17.100000000000001" customHeight="1" x14ac:dyDescent="0.2">
      <c r="A56" s="3">
        <v>50</v>
      </c>
      <c r="B56" s="4" t="s">
        <v>337</v>
      </c>
      <c r="C56" s="4" t="s">
        <v>338</v>
      </c>
      <c r="D56" s="4" t="s">
        <v>96</v>
      </c>
      <c r="E56" s="5">
        <v>22875</v>
      </c>
      <c r="F56" s="6">
        <v>17.041875000000001</v>
      </c>
      <c r="G56" s="7">
        <v>5.3643099999999997E-3</v>
      </c>
      <c r="H56" s="106"/>
    </row>
    <row r="57" spans="1:8" ht="17.100000000000001" customHeight="1" x14ac:dyDescent="0.2">
      <c r="A57" s="3">
        <v>51</v>
      </c>
      <c r="B57" s="4" t="s">
        <v>426</v>
      </c>
      <c r="C57" s="4" t="s">
        <v>427</v>
      </c>
      <c r="D57" s="4" t="s">
        <v>31</v>
      </c>
      <c r="E57" s="5">
        <v>2107</v>
      </c>
      <c r="F57" s="6">
        <v>16.719045000000001</v>
      </c>
      <c r="G57" s="7">
        <v>5.2626920000000002E-3</v>
      </c>
      <c r="H57" s="106"/>
    </row>
    <row r="58" spans="1:8" ht="29.1" customHeight="1" x14ac:dyDescent="0.2">
      <c r="A58" s="3">
        <v>52</v>
      </c>
      <c r="B58" s="4" t="s">
        <v>456</v>
      </c>
      <c r="C58" s="4" t="s">
        <v>457</v>
      </c>
      <c r="D58" s="4" t="s">
        <v>188</v>
      </c>
      <c r="E58" s="5">
        <v>2348</v>
      </c>
      <c r="F58" s="6">
        <v>15.716338</v>
      </c>
      <c r="G58" s="7">
        <v>4.9470670000000003E-3</v>
      </c>
      <c r="H58" s="106"/>
    </row>
    <row r="59" spans="1:8" ht="17.100000000000001" customHeight="1" x14ac:dyDescent="0.2">
      <c r="A59" s="3">
        <v>53</v>
      </c>
      <c r="B59" s="4" t="s">
        <v>436</v>
      </c>
      <c r="C59" s="4" t="s">
        <v>437</v>
      </c>
      <c r="D59" s="4" t="s">
        <v>16</v>
      </c>
      <c r="E59" s="5">
        <v>1978</v>
      </c>
      <c r="F59" s="6">
        <v>4.4950049999999999</v>
      </c>
      <c r="G59" s="7">
        <v>1.4149029999999999E-3</v>
      </c>
      <c r="H59" s="106"/>
    </row>
    <row r="60" spans="1:8" ht="29.1" customHeight="1" x14ac:dyDescent="0.2">
      <c r="A60" s="3">
        <v>54</v>
      </c>
      <c r="B60" s="4" t="s">
        <v>430</v>
      </c>
      <c r="C60" s="4" t="s">
        <v>431</v>
      </c>
      <c r="D60" s="4" t="s">
        <v>204</v>
      </c>
      <c r="E60" s="5">
        <v>1719</v>
      </c>
      <c r="F60" s="6">
        <v>3.8875185000000001</v>
      </c>
      <c r="G60" s="7">
        <v>1.2236829999999999E-3</v>
      </c>
      <c r="H60" s="106"/>
    </row>
    <row r="61" spans="1:8" ht="14.1" customHeight="1" x14ac:dyDescent="0.2">
      <c r="A61" s="1"/>
      <c r="B61" s="1"/>
      <c r="C61" s="2" t="s">
        <v>130</v>
      </c>
      <c r="D61" s="1"/>
      <c r="E61" s="1" t="s">
        <v>131</v>
      </c>
      <c r="F61" s="9">
        <v>3027.9742784999999</v>
      </c>
      <c r="G61" s="10">
        <v>0.95312235199999995</v>
      </c>
      <c r="H61" s="106"/>
    </row>
    <row r="62" spans="1:8" ht="14.1" customHeight="1" x14ac:dyDescent="0.2">
      <c r="A62" s="1"/>
      <c r="B62" s="1"/>
      <c r="C62" s="11"/>
      <c r="D62" s="1"/>
      <c r="E62" s="1"/>
      <c r="F62" s="12"/>
      <c r="G62" s="12"/>
      <c r="H62" s="106"/>
    </row>
    <row r="63" spans="1:8" ht="14.1" customHeight="1" x14ac:dyDescent="0.2">
      <c r="A63" s="1"/>
      <c r="B63" s="1"/>
      <c r="C63" s="2" t="s">
        <v>132</v>
      </c>
      <c r="D63" s="1"/>
      <c r="E63" s="1"/>
      <c r="F63" s="1"/>
      <c r="G63" s="1"/>
      <c r="H63" s="106"/>
    </row>
    <row r="64" spans="1:8" ht="14.1" customHeight="1" x14ac:dyDescent="0.2">
      <c r="A64" s="1"/>
      <c r="B64" s="1"/>
      <c r="C64" s="2" t="s">
        <v>130</v>
      </c>
      <c r="D64" s="1"/>
      <c r="E64" s="1" t="s">
        <v>131</v>
      </c>
      <c r="F64" s="13">
        <v>0</v>
      </c>
      <c r="G64" s="14">
        <v>0</v>
      </c>
      <c r="H64" s="106"/>
    </row>
    <row r="65" spans="1:8" ht="14.1" customHeight="1" x14ac:dyDescent="0.2">
      <c r="A65" s="1"/>
      <c r="B65" s="1"/>
      <c r="C65" s="11"/>
      <c r="D65" s="1"/>
      <c r="E65" s="1"/>
      <c r="F65" s="12"/>
      <c r="G65" s="12"/>
      <c r="H65" s="106"/>
    </row>
    <row r="66" spans="1:8" ht="14.1" customHeight="1" x14ac:dyDescent="0.2">
      <c r="A66" s="1"/>
      <c r="B66" s="1"/>
      <c r="C66" s="2" t="s">
        <v>133</v>
      </c>
      <c r="D66" s="1"/>
      <c r="E66" s="1"/>
      <c r="F66" s="1"/>
      <c r="G66" s="1"/>
      <c r="H66" s="106"/>
    </row>
    <row r="67" spans="1:8" ht="14.1" customHeight="1" x14ac:dyDescent="0.2">
      <c r="A67" s="1"/>
      <c r="B67" s="1"/>
      <c r="C67" s="2" t="s">
        <v>130</v>
      </c>
      <c r="D67" s="1"/>
      <c r="E67" s="1" t="s">
        <v>131</v>
      </c>
      <c r="F67" s="13">
        <v>0</v>
      </c>
      <c r="G67" s="14">
        <v>0</v>
      </c>
      <c r="H67" s="106"/>
    </row>
    <row r="68" spans="1:8" ht="14.1" customHeight="1" x14ac:dyDescent="0.2">
      <c r="A68" s="1"/>
      <c r="B68" s="1"/>
      <c r="C68" s="11"/>
      <c r="D68" s="1"/>
      <c r="E68" s="1"/>
      <c r="F68" s="12"/>
      <c r="G68" s="12"/>
      <c r="H68" s="106"/>
    </row>
    <row r="69" spans="1:8" ht="14.1" customHeight="1" x14ac:dyDescent="0.2">
      <c r="A69" s="1"/>
      <c r="B69" s="1"/>
      <c r="C69" s="2" t="s">
        <v>134</v>
      </c>
      <c r="D69" s="1"/>
      <c r="E69" s="1"/>
      <c r="F69" s="1"/>
      <c r="G69" s="1"/>
      <c r="H69" s="106"/>
    </row>
    <row r="70" spans="1:8" ht="14.1" customHeight="1" x14ac:dyDescent="0.2">
      <c r="A70" s="1"/>
      <c r="B70" s="1"/>
      <c r="C70" s="2" t="s">
        <v>130</v>
      </c>
      <c r="D70" s="1"/>
      <c r="E70" s="1" t="s">
        <v>131</v>
      </c>
      <c r="F70" s="13">
        <v>0</v>
      </c>
      <c r="G70" s="14">
        <v>0</v>
      </c>
      <c r="H70" s="106"/>
    </row>
    <row r="71" spans="1:8" ht="14.1" customHeight="1" x14ac:dyDescent="0.2">
      <c r="A71" s="1"/>
      <c r="B71" s="1"/>
      <c r="C71" s="11"/>
      <c r="D71" s="1"/>
      <c r="E71" s="1"/>
      <c r="F71" s="12"/>
      <c r="G71" s="12"/>
      <c r="H71" s="106"/>
    </row>
    <row r="72" spans="1:8" ht="14.1" customHeight="1" x14ac:dyDescent="0.2">
      <c r="A72" s="1"/>
      <c r="B72" s="1"/>
      <c r="C72" s="2" t="s">
        <v>135</v>
      </c>
      <c r="D72" s="1"/>
      <c r="E72" s="1"/>
      <c r="F72" s="12"/>
      <c r="G72" s="12"/>
      <c r="H72" s="106"/>
    </row>
    <row r="73" spans="1:8" ht="14.1" customHeight="1" x14ac:dyDescent="0.2">
      <c r="A73" s="1"/>
      <c r="B73" s="1"/>
      <c r="C73" s="2" t="s">
        <v>130</v>
      </c>
      <c r="D73" s="1"/>
      <c r="E73" s="1" t="s">
        <v>131</v>
      </c>
      <c r="F73" s="13">
        <v>0</v>
      </c>
      <c r="G73" s="14">
        <v>0</v>
      </c>
      <c r="H73" s="106"/>
    </row>
    <row r="74" spans="1:8" ht="14.1" customHeight="1" x14ac:dyDescent="0.2">
      <c r="A74" s="1"/>
      <c r="B74" s="1"/>
      <c r="C74" s="11"/>
      <c r="D74" s="1"/>
      <c r="E74" s="1"/>
      <c r="F74" s="12"/>
      <c r="G74" s="12"/>
      <c r="H74" s="106"/>
    </row>
    <row r="75" spans="1:8" ht="14.1" customHeight="1" x14ac:dyDescent="0.2">
      <c r="A75" s="1"/>
      <c r="B75" s="1"/>
      <c r="C75" s="2" t="s">
        <v>136</v>
      </c>
      <c r="D75" s="1"/>
      <c r="E75" s="1"/>
      <c r="F75" s="12"/>
      <c r="G75" s="12"/>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8" customHeight="1" x14ac:dyDescent="0.2">
      <c r="A78" s="1"/>
      <c r="B78" s="1"/>
      <c r="C78" s="2" t="s">
        <v>137</v>
      </c>
      <c r="D78" s="1"/>
      <c r="E78" s="1"/>
      <c r="F78" s="9">
        <v>3027.9742784999999</v>
      </c>
      <c r="G78" s="10">
        <v>0.95312235199999995</v>
      </c>
      <c r="H78" s="106"/>
    </row>
    <row r="79" spans="1:8" ht="14.1" customHeight="1" x14ac:dyDescent="0.2">
      <c r="A79" s="1"/>
      <c r="B79" s="1"/>
      <c r="C79" s="11"/>
      <c r="D79" s="1"/>
      <c r="E79" s="1"/>
      <c r="F79" s="12"/>
      <c r="G79" s="12"/>
      <c r="H79" s="106"/>
    </row>
    <row r="80" spans="1:8" ht="14.1" customHeight="1" x14ac:dyDescent="0.2">
      <c r="A80" s="1"/>
      <c r="B80" s="1"/>
      <c r="C80" s="2" t="s">
        <v>138</v>
      </c>
      <c r="D80" s="1"/>
      <c r="E80" s="1"/>
      <c r="F80" s="12"/>
      <c r="G80" s="12"/>
      <c r="H80" s="106"/>
    </row>
    <row r="81" spans="1:8" ht="24" customHeight="1" x14ac:dyDescent="0.2">
      <c r="A81" s="1"/>
      <c r="B81" s="1"/>
      <c r="C81" s="2" t="s">
        <v>10</v>
      </c>
      <c r="D81" s="1"/>
      <c r="E81" s="1"/>
      <c r="F81" s="12"/>
      <c r="G81" s="12"/>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139</v>
      </c>
      <c r="D84" s="1"/>
      <c r="E84" s="1"/>
      <c r="F84" s="1"/>
      <c r="G84" s="1"/>
      <c r="H84" s="106"/>
    </row>
    <row r="85" spans="1:8" ht="14.1" customHeight="1" x14ac:dyDescent="0.2">
      <c r="A85" s="1"/>
      <c r="B85" s="1"/>
      <c r="C85" s="2" t="s">
        <v>130</v>
      </c>
      <c r="D85" s="1"/>
      <c r="E85" s="1" t="s">
        <v>131</v>
      </c>
      <c r="F85" s="13">
        <v>0</v>
      </c>
      <c r="G85" s="14">
        <v>0</v>
      </c>
      <c r="H85" s="106"/>
    </row>
    <row r="86" spans="1:8" ht="14.1" customHeight="1" x14ac:dyDescent="0.2">
      <c r="A86" s="1"/>
      <c r="B86" s="1"/>
      <c r="C86" s="11"/>
      <c r="D86" s="1"/>
      <c r="E86" s="1"/>
      <c r="F86" s="12"/>
      <c r="G86" s="12"/>
      <c r="H86" s="106"/>
    </row>
    <row r="87" spans="1:8" ht="14.1" customHeight="1" x14ac:dyDescent="0.2">
      <c r="A87" s="1"/>
      <c r="B87" s="1"/>
      <c r="C87" s="2" t="s">
        <v>140</v>
      </c>
      <c r="D87" s="1"/>
      <c r="E87" s="1"/>
      <c r="F87" s="1"/>
      <c r="G87" s="1"/>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4.1" customHeight="1" x14ac:dyDescent="0.2">
      <c r="A90" s="1"/>
      <c r="B90" s="1"/>
      <c r="C90" s="2" t="s">
        <v>141</v>
      </c>
      <c r="D90" s="1"/>
      <c r="E90" s="1"/>
      <c r="F90" s="12"/>
      <c r="G90" s="12"/>
      <c r="H90" s="106"/>
    </row>
    <row r="91" spans="1:8" ht="14.1" customHeight="1" x14ac:dyDescent="0.2">
      <c r="A91" s="1"/>
      <c r="B91" s="1"/>
      <c r="C91" s="2" t="s">
        <v>130</v>
      </c>
      <c r="D91" s="1"/>
      <c r="E91" s="1" t="s">
        <v>131</v>
      </c>
      <c r="F91" s="13">
        <v>0</v>
      </c>
      <c r="G91" s="14">
        <v>0</v>
      </c>
      <c r="H91" s="106"/>
    </row>
    <row r="92" spans="1:8" ht="14.1" customHeight="1" x14ac:dyDescent="0.2">
      <c r="A92" s="1"/>
      <c r="B92" s="1"/>
      <c r="C92" s="11"/>
      <c r="D92" s="1"/>
      <c r="E92" s="1"/>
      <c r="F92" s="12"/>
      <c r="G92" s="12"/>
      <c r="H92" s="106"/>
    </row>
    <row r="93" spans="1:8" ht="14.1" customHeight="1" x14ac:dyDescent="0.2">
      <c r="A93" s="1"/>
      <c r="B93" s="1"/>
      <c r="C93" s="2" t="s">
        <v>142</v>
      </c>
      <c r="D93" s="1"/>
      <c r="E93" s="1"/>
      <c r="F93" s="9">
        <v>0</v>
      </c>
      <c r="G93" s="10">
        <v>0</v>
      </c>
      <c r="H93" s="106"/>
    </row>
    <row r="94" spans="1:8" ht="14.1" customHeight="1" x14ac:dyDescent="0.2">
      <c r="A94" s="1"/>
      <c r="B94" s="1"/>
      <c r="C94" s="11"/>
      <c r="D94" s="1"/>
      <c r="E94" s="1"/>
      <c r="F94" s="12"/>
      <c r="G94" s="12"/>
      <c r="H94" s="106"/>
    </row>
    <row r="95" spans="1:8" ht="14.1" customHeight="1" x14ac:dyDescent="0.2">
      <c r="A95" s="1"/>
      <c r="B95" s="1"/>
      <c r="C95" s="2" t="s">
        <v>143</v>
      </c>
      <c r="D95" s="1"/>
      <c r="E95" s="1"/>
      <c r="F95" s="12"/>
      <c r="G95" s="12"/>
      <c r="H95" s="106"/>
    </row>
    <row r="96" spans="1:8" ht="14.1" customHeight="1" x14ac:dyDescent="0.2">
      <c r="A96" s="1"/>
      <c r="B96" s="1"/>
      <c r="C96" s="2" t="s">
        <v>144</v>
      </c>
      <c r="D96" s="1"/>
      <c r="E96" s="1"/>
      <c r="F96" s="12"/>
      <c r="G96" s="12"/>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145</v>
      </c>
      <c r="D99" s="1"/>
      <c r="E99" s="1"/>
      <c r="F99" s="12"/>
      <c r="G99" s="12"/>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146</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147</v>
      </c>
      <c r="D105" s="1"/>
      <c r="E105" s="1"/>
      <c r="F105" s="12"/>
      <c r="G105" s="12"/>
      <c r="H105" s="106"/>
    </row>
    <row r="106" spans="1:8" ht="17.100000000000001" customHeight="1" x14ac:dyDescent="0.2">
      <c r="A106" s="3">
        <v>1</v>
      </c>
      <c r="B106" s="4"/>
      <c r="C106" s="4" t="s">
        <v>148</v>
      </c>
      <c r="D106" s="4"/>
      <c r="E106" s="8"/>
      <c r="F106" s="6">
        <v>153.9497993</v>
      </c>
      <c r="G106" s="7">
        <v>4.8459127999999997E-2</v>
      </c>
      <c r="H106" s="106">
        <v>6.1171451766917002</v>
      </c>
    </row>
    <row r="107" spans="1:8" ht="14.1" customHeight="1" x14ac:dyDescent="0.2">
      <c r="A107" s="1"/>
      <c r="B107" s="1"/>
      <c r="C107" s="2" t="s">
        <v>130</v>
      </c>
      <c r="D107" s="1"/>
      <c r="E107" s="1" t="s">
        <v>131</v>
      </c>
      <c r="F107" s="9">
        <v>153.9497993</v>
      </c>
      <c r="G107" s="10">
        <v>4.8459127999999997E-2</v>
      </c>
      <c r="H107" s="106"/>
    </row>
    <row r="108" spans="1:8" ht="14.1" customHeight="1" x14ac:dyDescent="0.2">
      <c r="A108" s="1"/>
      <c r="B108" s="1"/>
      <c r="C108" s="11"/>
      <c r="D108" s="1"/>
      <c r="E108" s="1"/>
      <c r="F108" s="12"/>
      <c r="G108" s="12"/>
      <c r="H108" s="106"/>
    </row>
    <row r="109" spans="1:8" ht="14.1" customHeight="1" x14ac:dyDescent="0.2">
      <c r="A109" s="1"/>
      <c r="B109" s="1"/>
      <c r="C109" s="2" t="s">
        <v>149</v>
      </c>
      <c r="D109" s="1"/>
      <c r="E109" s="1"/>
      <c r="F109" s="9">
        <v>153.9497993</v>
      </c>
      <c r="G109" s="10">
        <v>4.8459127999999997E-2</v>
      </c>
      <c r="H109" s="106"/>
    </row>
    <row r="110" spans="1:8" ht="14.1" customHeight="1" x14ac:dyDescent="0.2">
      <c r="A110" s="1"/>
      <c r="B110" s="1"/>
      <c r="C110" s="12"/>
      <c r="D110" s="1"/>
      <c r="E110" s="1"/>
      <c r="F110" s="1"/>
      <c r="G110" s="1"/>
      <c r="H110" s="106"/>
    </row>
    <row r="111" spans="1:8" ht="14.1" customHeight="1" x14ac:dyDescent="0.2">
      <c r="A111" s="1"/>
      <c r="B111" s="1"/>
      <c r="C111" s="2" t="s">
        <v>150</v>
      </c>
      <c r="D111" s="1"/>
      <c r="E111" s="1"/>
      <c r="F111" s="1"/>
      <c r="G111" s="1"/>
      <c r="H111" s="106"/>
    </row>
    <row r="112" spans="1:8" ht="14.1" customHeight="1" x14ac:dyDescent="0.2">
      <c r="A112" s="1"/>
      <c r="B112" s="1"/>
      <c r="C112" s="2" t="s">
        <v>151</v>
      </c>
      <c r="D112" s="1"/>
      <c r="E112" s="1"/>
      <c r="F112" s="1"/>
      <c r="G112" s="1"/>
      <c r="H112" s="106"/>
    </row>
    <row r="113" spans="1:8" ht="14.1" customHeight="1" x14ac:dyDescent="0.2">
      <c r="A113" s="1"/>
      <c r="B113" s="1"/>
      <c r="C113" s="2" t="s">
        <v>130</v>
      </c>
      <c r="D113" s="1"/>
      <c r="E113" s="1" t="s">
        <v>131</v>
      </c>
      <c r="F113" s="13">
        <v>0</v>
      </c>
      <c r="G113" s="14">
        <v>0</v>
      </c>
      <c r="H113" s="106"/>
    </row>
    <row r="114" spans="1:8" ht="14.1" customHeight="1" x14ac:dyDescent="0.2">
      <c r="A114" s="1"/>
      <c r="B114" s="1"/>
      <c r="C114" s="11"/>
      <c r="D114" s="1"/>
      <c r="E114" s="1"/>
      <c r="F114" s="12"/>
      <c r="G114" s="12"/>
      <c r="H114" s="106"/>
    </row>
    <row r="115" spans="1:8" ht="14.1" customHeight="1" x14ac:dyDescent="0.2">
      <c r="A115" s="1"/>
      <c r="B115" s="1"/>
      <c r="C115" s="2" t="s">
        <v>152</v>
      </c>
      <c r="D115" s="1"/>
      <c r="E115" s="1"/>
      <c r="F115" s="1"/>
      <c r="G115" s="1"/>
      <c r="H115" s="106"/>
    </row>
    <row r="116" spans="1:8" ht="14.1" customHeight="1" x14ac:dyDescent="0.2">
      <c r="A116" s="1"/>
      <c r="B116" s="1"/>
      <c r="C116" s="2" t="s">
        <v>153</v>
      </c>
      <c r="D116" s="1"/>
      <c r="E116" s="1"/>
      <c r="F116" s="1"/>
      <c r="G116" s="1"/>
      <c r="H116" s="106"/>
    </row>
    <row r="117" spans="1:8" ht="14.1" customHeight="1" x14ac:dyDescent="0.2">
      <c r="A117" s="1"/>
      <c r="B117" s="1"/>
      <c r="C117" s="2" t="s">
        <v>130</v>
      </c>
      <c r="D117" s="1"/>
      <c r="E117" s="1" t="s">
        <v>131</v>
      </c>
      <c r="F117" s="13">
        <v>0</v>
      </c>
      <c r="G117" s="14">
        <v>0</v>
      </c>
      <c r="H117" s="106"/>
    </row>
    <row r="118" spans="1:8" ht="14.1" customHeight="1" x14ac:dyDescent="0.2">
      <c r="A118" s="1"/>
      <c r="B118" s="1"/>
      <c r="C118" s="11"/>
      <c r="D118" s="1"/>
      <c r="E118" s="1"/>
      <c r="F118" s="12"/>
      <c r="G118" s="12"/>
      <c r="H118" s="106"/>
    </row>
    <row r="119" spans="1:8" ht="14.1" customHeight="1" x14ac:dyDescent="0.2">
      <c r="A119" s="1"/>
      <c r="B119" s="1"/>
      <c r="C119" s="11"/>
      <c r="D119" s="1"/>
      <c r="E119" s="1"/>
      <c r="F119" s="12"/>
      <c r="G119" s="12"/>
      <c r="H119" s="106"/>
    </row>
    <row r="120" spans="1:8" ht="24" customHeight="1" x14ac:dyDescent="0.2">
      <c r="A120" s="1"/>
      <c r="B120" s="1"/>
      <c r="C120" s="2" t="s">
        <v>154</v>
      </c>
      <c r="D120" s="1"/>
      <c r="E120" s="1"/>
      <c r="F120" s="12"/>
      <c r="G120" s="12"/>
      <c r="H120" s="106"/>
    </row>
    <row r="121" spans="1:8" ht="14.1" customHeight="1" x14ac:dyDescent="0.2">
      <c r="A121" s="1"/>
      <c r="B121" s="1"/>
      <c r="C121" s="2" t="s">
        <v>130</v>
      </c>
      <c r="D121" s="1"/>
      <c r="E121" s="1" t="s">
        <v>131</v>
      </c>
      <c r="F121" s="13">
        <v>0</v>
      </c>
      <c r="G121" s="14">
        <v>0</v>
      </c>
      <c r="H121" s="106"/>
    </row>
    <row r="122" spans="1:8" ht="14.1" customHeight="1" x14ac:dyDescent="0.2">
      <c r="A122" s="1"/>
      <c r="B122" s="1"/>
      <c r="C122" s="11"/>
      <c r="D122" s="1"/>
      <c r="E122" s="1"/>
      <c r="F122" s="12"/>
      <c r="G122" s="12"/>
      <c r="H122" s="106"/>
    </row>
    <row r="123" spans="1:8" ht="14.1" customHeight="1" x14ac:dyDescent="0.2">
      <c r="A123" s="1"/>
      <c r="B123" s="4"/>
      <c r="C123" s="4"/>
      <c r="D123" s="2"/>
      <c r="E123" s="1"/>
      <c r="F123" s="4"/>
      <c r="G123" s="8"/>
      <c r="H123" s="106"/>
    </row>
    <row r="124" spans="1:8" ht="18" customHeight="1" x14ac:dyDescent="0.2">
      <c r="A124" s="8"/>
      <c r="B124" s="4"/>
      <c r="C124" s="4" t="s">
        <v>155</v>
      </c>
      <c r="D124" s="4"/>
      <c r="E124" s="8"/>
      <c r="F124" s="6">
        <v>-5.0241917899999997</v>
      </c>
      <c r="G124" s="7">
        <v>-1.5814760000000001E-3</v>
      </c>
      <c r="H124" s="106"/>
    </row>
    <row r="125" spans="1:8" ht="14.1" customHeight="1" x14ac:dyDescent="0.2">
      <c r="A125" s="11"/>
      <c r="B125" s="11"/>
      <c r="C125" s="2" t="s">
        <v>156</v>
      </c>
      <c r="D125" s="15"/>
      <c r="E125" s="15"/>
      <c r="F125" s="9">
        <v>3176.89988601</v>
      </c>
      <c r="G125" s="10">
        <v>1.0000000040000001</v>
      </c>
      <c r="H125" s="106"/>
    </row>
    <row r="126" spans="1:8" ht="14.1" customHeight="1" x14ac:dyDescent="0.2">
      <c r="A126" s="16"/>
      <c r="B126" s="16"/>
      <c r="C126" s="16"/>
      <c r="D126" s="17"/>
      <c r="E126" s="17"/>
      <c r="F126" s="17"/>
      <c r="G126" s="17"/>
    </row>
    <row r="127" spans="1:8" ht="14.1" customHeight="1" x14ac:dyDescent="0.2">
      <c r="A127" s="18"/>
      <c r="B127" s="18"/>
      <c r="C127" s="18"/>
      <c r="D127" s="20"/>
      <c r="E127" s="20"/>
      <c r="F127" s="20"/>
      <c r="G127" s="20"/>
    </row>
    <row r="128" spans="1:8" ht="14.1" customHeight="1" x14ac:dyDescent="0.2">
      <c r="A128" s="18"/>
      <c r="B128" s="279" t="s">
        <v>158</v>
      </c>
      <c r="C128" s="280"/>
      <c r="D128" s="12" t="s">
        <v>131</v>
      </c>
      <c r="E128" s="21"/>
      <c r="F128" s="20"/>
      <c r="G128" s="20"/>
    </row>
    <row r="129" spans="1:7" ht="29.1" customHeight="1" x14ac:dyDescent="0.2">
      <c r="A129" s="18"/>
      <c r="B129" s="274" t="s">
        <v>159</v>
      </c>
      <c r="C129" s="275"/>
      <c r="D129" s="2" t="s">
        <v>160</v>
      </c>
      <c r="E129" s="21"/>
      <c r="F129" s="20"/>
      <c r="G129" s="20"/>
    </row>
    <row r="130" spans="1:7" ht="17.100000000000001" customHeight="1" x14ac:dyDescent="0.2">
      <c r="A130" s="18"/>
      <c r="B130" s="274" t="s">
        <v>161</v>
      </c>
      <c r="C130" s="275"/>
      <c r="D130" s="2" t="s">
        <v>160</v>
      </c>
      <c r="E130" s="21"/>
      <c r="F130" s="20"/>
      <c r="G130" s="20"/>
    </row>
    <row r="131" spans="1:7" ht="17.100000000000001" customHeight="1" x14ac:dyDescent="0.2">
      <c r="A131" s="18"/>
      <c r="B131" s="274" t="s">
        <v>162</v>
      </c>
      <c r="C131" s="275"/>
      <c r="D131" s="12" t="s">
        <v>131</v>
      </c>
      <c r="E131" s="21"/>
      <c r="F131" s="20"/>
      <c r="G131" s="20"/>
    </row>
    <row r="132" spans="1:7" ht="24" customHeight="1" x14ac:dyDescent="0.2">
      <c r="A132" s="22"/>
      <c r="B132" s="23" t="s">
        <v>131</v>
      </c>
      <c r="C132" s="23" t="s">
        <v>163</v>
      </c>
      <c r="D132" s="23" t="s">
        <v>164</v>
      </c>
      <c r="E132" s="22"/>
      <c r="F132" s="22"/>
      <c r="G132" s="22"/>
    </row>
    <row r="133" spans="1:7" ht="18" customHeight="1" x14ac:dyDescent="0.2">
      <c r="A133" s="22"/>
      <c r="B133" s="23" t="s">
        <v>165</v>
      </c>
      <c r="C133" s="23" t="s">
        <v>166</v>
      </c>
      <c r="D133" s="23" t="s">
        <v>167</v>
      </c>
      <c r="E133" s="22"/>
      <c r="F133" s="22"/>
      <c r="G133" s="22"/>
    </row>
    <row r="134" spans="1:7" ht="17.100000000000001" customHeight="1" x14ac:dyDescent="0.2">
      <c r="A134" s="22"/>
      <c r="B134" s="4" t="s">
        <v>168</v>
      </c>
      <c r="C134" s="24">
        <v>17.221</v>
      </c>
      <c r="D134" s="24">
        <v>17.356000000000002</v>
      </c>
      <c r="E134" s="22"/>
      <c r="F134" s="19"/>
      <c r="G134" s="25"/>
    </row>
    <row r="135" spans="1:7" ht="17.100000000000001" customHeight="1" x14ac:dyDescent="0.2">
      <c r="A135" s="22"/>
      <c r="B135" s="4" t="s">
        <v>1048</v>
      </c>
      <c r="C135" s="24">
        <v>17.221</v>
      </c>
      <c r="D135" s="24">
        <v>17.356000000000002</v>
      </c>
      <c r="E135" s="22"/>
      <c r="F135" s="19"/>
      <c r="G135" s="25"/>
    </row>
    <row r="136" spans="1:7" ht="17.100000000000001" customHeight="1" x14ac:dyDescent="0.2">
      <c r="A136" s="22"/>
      <c r="B136" s="4" t="s">
        <v>169</v>
      </c>
      <c r="C136" s="24">
        <v>16.772600000000001</v>
      </c>
      <c r="D136" s="24">
        <v>16.898199999999999</v>
      </c>
      <c r="E136" s="22"/>
      <c r="F136" s="19"/>
      <c r="G136" s="25"/>
    </row>
    <row r="137" spans="1:7" ht="17.100000000000001" customHeight="1" x14ac:dyDescent="0.2">
      <c r="A137" s="22"/>
      <c r="B137" s="4" t="s">
        <v>1049</v>
      </c>
      <c r="C137" s="24">
        <v>16.772600000000001</v>
      </c>
      <c r="D137" s="24">
        <v>16.898299999999999</v>
      </c>
      <c r="E137" s="22"/>
      <c r="F137" s="19"/>
      <c r="G137" s="25"/>
    </row>
    <row r="138" spans="1:7" ht="14.1" customHeight="1" x14ac:dyDescent="0.2">
      <c r="A138" s="22"/>
      <c r="B138" s="22"/>
      <c r="C138" s="22"/>
      <c r="D138" s="22"/>
      <c r="E138" s="22"/>
      <c r="F138" s="22"/>
      <c r="G138" s="22"/>
    </row>
    <row r="139" spans="1:7" ht="17.100000000000001" customHeight="1" x14ac:dyDescent="0.2">
      <c r="A139" s="22"/>
      <c r="B139" s="274" t="s">
        <v>1060</v>
      </c>
      <c r="C139" s="275"/>
      <c r="D139" s="2" t="s">
        <v>160</v>
      </c>
      <c r="E139" s="22"/>
      <c r="F139" s="22"/>
      <c r="G139" s="22"/>
    </row>
    <row r="140" spans="1:7" ht="18" customHeight="1" x14ac:dyDescent="0.2">
      <c r="A140" s="22"/>
      <c r="B140" s="26" t="s">
        <v>170</v>
      </c>
      <c r="C140" s="26" t="s">
        <v>170</v>
      </c>
      <c r="D140" s="26"/>
      <c r="E140" s="22"/>
      <c r="F140" s="22"/>
      <c r="G140" s="22"/>
    </row>
    <row r="141" spans="1:7" ht="29.1" customHeight="1" x14ac:dyDescent="0.2">
      <c r="A141" s="22"/>
      <c r="B141" s="274" t="s">
        <v>171</v>
      </c>
      <c r="C141" s="275"/>
      <c r="D141" s="2" t="s">
        <v>160</v>
      </c>
      <c r="E141" s="22"/>
      <c r="F141" s="22"/>
      <c r="G141" s="22"/>
    </row>
    <row r="142" spans="1:7" ht="29.1" customHeight="1" x14ac:dyDescent="0.2">
      <c r="A142" s="22"/>
      <c r="B142" s="274" t="s">
        <v>172</v>
      </c>
      <c r="C142" s="275"/>
      <c r="D142" s="2" t="s">
        <v>160</v>
      </c>
      <c r="E142" s="22"/>
      <c r="F142" s="22"/>
      <c r="G142" s="22"/>
    </row>
    <row r="143" spans="1:7" ht="17.100000000000001" customHeight="1" x14ac:dyDescent="0.2">
      <c r="A143" s="22"/>
      <c r="B143" s="274" t="s">
        <v>173</v>
      </c>
      <c r="C143" s="275"/>
      <c r="D143" s="27">
        <v>0.15609464848956051</v>
      </c>
      <c r="E143" s="22"/>
      <c r="F143" s="19"/>
      <c r="G143" s="25"/>
    </row>
    <row r="144" spans="1:7" ht="17.100000000000001" customHeight="1" x14ac:dyDescent="0.2">
      <c r="A144" s="22"/>
      <c r="B144" s="274" t="s">
        <v>174</v>
      </c>
      <c r="C144" s="275"/>
      <c r="D144" s="2" t="s">
        <v>160</v>
      </c>
      <c r="E144" s="22"/>
      <c r="F144" s="22"/>
      <c r="G144" s="22"/>
    </row>
    <row r="158" spans="10:14" x14ac:dyDescent="0.2">
      <c r="J158" s="162"/>
      <c r="K158" s="162"/>
      <c r="L158" s="162"/>
      <c r="M158" s="162"/>
      <c r="N158" s="162"/>
    </row>
  </sheetData>
  <mergeCells count="13">
    <mergeCell ref="J2:N2"/>
    <mergeCell ref="B128:C128"/>
    <mergeCell ref="B143:C143"/>
    <mergeCell ref="A1:H1"/>
    <mergeCell ref="A2:H2"/>
    <mergeCell ref="A3:H3"/>
    <mergeCell ref="B144:C144"/>
    <mergeCell ref="B129:C129"/>
    <mergeCell ref="B130:C130"/>
    <mergeCell ref="B131:C131"/>
    <mergeCell ref="B139:C139"/>
    <mergeCell ref="B141:C141"/>
    <mergeCell ref="B142:C142"/>
  </mergeCells>
  <hyperlinks>
    <hyperlink ref="I1" location="Index!B14" display="Index" xr:uid="{0D14CC8E-5DFB-48CA-BF92-56056B4CD32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487</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382</v>
      </c>
      <c r="C7" s="4" t="s">
        <v>383</v>
      </c>
      <c r="D7" s="4" t="s">
        <v>110</v>
      </c>
      <c r="E7" s="5">
        <v>4578</v>
      </c>
      <c r="F7" s="6">
        <v>85.034060999999994</v>
      </c>
      <c r="G7" s="7">
        <v>4.0569279999999999E-2</v>
      </c>
      <c r="H7" s="106"/>
    </row>
    <row r="8" spans="1:14" ht="17.100000000000001" customHeight="1" x14ac:dyDescent="0.2">
      <c r="A8" s="3">
        <v>2</v>
      </c>
      <c r="B8" s="4" t="s">
        <v>77</v>
      </c>
      <c r="C8" s="4" t="s">
        <v>78</v>
      </c>
      <c r="D8" s="4" t="s">
        <v>31</v>
      </c>
      <c r="E8" s="5">
        <v>4789</v>
      </c>
      <c r="F8" s="6">
        <v>77.351928000000001</v>
      </c>
      <c r="G8" s="7">
        <v>3.6904177000000003E-2</v>
      </c>
      <c r="H8" s="106"/>
    </row>
    <row r="9" spans="1:14" ht="17.100000000000001" customHeight="1" x14ac:dyDescent="0.2">
      <c r="A9" s="3">
        <v>3</v>
      </c>
      <c r="B9" s="4" t="s">
        <v>29</v>
      </c>
      <c r="C9" s="4" t="s">
        <v>30</v>
      </c>
      <c r="D9" s="4" t="s">
        <v>31</v>
      </c>
      <c r="E9" s="5">
        <v>3493</v>
      </c>
      <c r="F9" s="6">
        <v>72.701555499999998</v>
      </c>
      <c r="G9" s="7">
        <v>3.4685510000000003E-2</v>
      </c>
      <c r="H9" s="106"/>
    </row>
    <row r="10" spans="1:14" ht="29.1" customHeight="1" x14ac:dyDescent="0.2">
      <c r="A10" s="3">
        <v>4</v>
      </c>
      <c r="B10" s="4" t="s">
        <v>189</v>
      </c>
      <c r="C10" s="4" t="s">
        <v>190</v>
      </c>
      <c r="D10" s="4" t="s">
        <v>110</v>
      </c>
      <c r="E10" s="5">
        <v>17793</v>
      </c>
      <c r="F10" s="6">
        <v>64.464039</v>
      </c>
      <c r="G10" s="7">
        <v>3.0755437E-2</v>
      </c>
      <c r="H10" s="106"/>
    </row>
    <row r="11" spans="1:14" ht="17.100000000000001" customHeight="1" x14ac:dyDescent="0.2">
      <c r="A11" s="3">
        <v>5</v>
      </c>
      <c r="B11" s="4" t="s">
        <v>108</v>
      </c>
      <c r="C11" s="4" t="s">
        <v>109</v>
      </c>
      <c r="D11" s="4" t="s">
        <v>110</v>
      </c>
      <c r="E11" s="5">
        <v>17019</v>
      </c>
      <c r="F11" s="6">
        <v>63.327699000000003</v>
      </c>
      <c r="G11" s="7">
        <v>3.0213295000000001E-2</v>
      </c>
      <c r="H11" s="106"/>
    </row>
    <row r="12" spans="1:14" ht="17.100000000000001" customHeight="1" x14ac:dyDescent="0.2">
      <c r="A12" s="3">
        <v>6</v>
      </c>
      <c r="B12" s="4" t="s">
        <v>386</v>
      </c>
      <c r="C12" s="4" t="s">
        <v>387</v>
      </c>
      <c r="D12" s="4" t="s">
        <v>110</v>
      </c>
      <c r="E12" s="5">
        <v>10545</v>
      </c>
      <c r="F12" s="6">
        <v>63.069645000000001</v>
      </c>
      <c r="G12" s="7">
        <v>3.0090179000000002E-2</v>
      </c>
      <c r="H12" s="106"/>
    </row>
    <row r="13" spans="1:14" ht="17.100000000000001" customHeight="1" x14ac:dyDescent="0.2">
      <c r="A13" s="3">
        <v>7</v>
      </c>
      <c r="B13" s="4" t="s">
        <v>461</v>
      </c>
      <c r="C13" s="4" t="s">
        <v>462</v>
      </c>
      <c r="D13" s="4" t="s">
        <v>1114</v>
      </c>
      <c r="E13" s="5">
        <v>8856</v>
      </c>
      <c r="F13" s="6">
        <v>62.81118</v>
      </c>
      <c r="G13" s="7">
        <v>2.9966867000000001E-2</v>
      </c>
      <c r="H13" s="106"/>
      <c r="J13" s="161" t="s">
        <v>1085</v>
      </c>
    </row>
    <row r="14" spans="1:14" ht="17.100000000000001" customHeight="1" x14ac:dyDescent="0.2">
      <c r="A14" s="3">
        <v>8</v>
      </c>
      <c r="B14" s="4" t="s">
        <v>380</v>
      </c>
      <c r="C14" s="4" t="s">
        <v>381</v>
      </c>
      <c r="D14" s="4" t="s">
        <v>99</v>
      </c>
      <c r="E14" s="5">
        <v>59758</v>
      </c>
      <c r="F14" s="6">
        <v>60.295822000000001</v>
      </c>
      <c r="G14" s="7">
        <v>2.8766803000000001E-2</v>
      </c>
      <c r="H14" s="106"/>
    </row>
    <row r="15" spans="1:14" ht="29.1" customHeight="1" x14ac:dyDescent="0.2">
      <c r="A15" s="3">
        <v>9</v>
      </c>
      <c r="B15" s="4" t="s">
        <v>196</v>
      </c>
      <c r="C15" s="4" t="s">
        <v>197</v>
      </c>
      <c r="D15" s="4" t="s">
        <v>188</v>
      </c>
      <c r="E15" s="5">
        <v>1246</v>
      </c>
      <c r="F15" s="6">
        <v>56.714804999999998</v>
      </c>
      <c r="G15" s="7">
        <v>2.705832E-2</v>
      </c>
      <c r="H15" s="106"/>
    </row>
    <row r="16" spans="1:14" ht="17.100000000000001" customHeight="1" x14ac:dyDescent="0.2">
      <c r="A16" s="3">
        <v>10</v>
      </c>
      <c r="B16" s="4" t="s">
        <v>304</v>
      </c>
      <c r="C16" s="4" t="s">
        <v>305</v>
      </c>
      <c r="D16" s="4" t="s">
        <v>240</v>
      </c>
      <c r="E16" s="5">
        <v>10907</v>
      </c>
      <c r="F16" s="6">
        <v>55.947456500000001</v>
      </c>
      <c r="G16" s="7">
        <v>2.6692222000000002E-2</v>
      </c>
      <c r="H16" s="106"/>
    </row>
    <row r="17" spans="1:8" ht="17.100000000000001" customHeight="1" x14ac:dyDescent="0.2">
      <c r="A17" s="3">
        <v>11</v>
      </c>
      <c r="B17" s="4" t="s">
        <v>320</v>
      </c>
      <c r="C17" s="4" t="s">
        <v>321</v>
      </c>
      <c r="D17" s="4" t="s">
        <v>230</v>
      </c>
      <c r="E17" s="5">
        <v>3795</v>
      </c>
      <c r="F17" s="6">
        <v>54.919342499999999</v>
      </c>
      <c r="G17" s="7">
        <v>2.6201715E-2</v>
      </c>
      <c r="H17" s="106"/>
    </row>
    <row r="18" spans="1:8" ht="17.100000000000001" customHeight="1" x14ac:dyDescent="0.2">
      <c r="A18" s="3">
        <v>12</v>
      </c>
      <c r="B18" s="4" t="s">
        <v>439</v>
      </c>
      <c r="C18" s="4" t="s">
        <v>440</v>
      </c>
      <c r="D18" s="4" t="s">
        <v>31</v>
      </c>
      <c r="E18" s="5">
        <v>5962</v>
      </c>
      <c r="F18" s="6">
        <v>50.426596000000004</v>
      </c>
      <c r="G18" s="7">
        <v>2.405825E-2</v>
      </c>
      <c r="H18" s="106"/>
    </row>
    <row r="19" spans="1:8" ht="17.100000000000001" customHeight="1" x14ac:dyDescent="0.2">
      <c r="A19" s="3">
        <v>13</v>
      </c>
      <c r="B19" s="4" t="s">
        <v>213</v>
      </c>
      <c r="C19" s="4" t="s">
        <v>214</v>
      </c>
      <c r="D19" s="4" t="s">
        <v>1114</v>
      </c>
      <c r="E19" s="5">
        <v>1308</v>
      </c>
      <c r="F19" s="6">
        <v>48.305093999999997</v>
      </c>
      <c r="G19" s="7">
        <v>2.3046093E-2</v>
      </c>
      <c r="H19" s="106"/>
    </row>
    <row r="20" spans="1:8" ht="17.100000000000001" customHeight="1" x14ac:dyDescent="0.2">
      <c r="A20" s="3">
        <v>14</v>
      </c>
      <c r="B20" s="4" t="s">
        <v>416</v>
      </c>
      <c r="C20" s="4" t="s">
        <v>417</v>
      </c>
      <c r="D20" s="4" t="s">
        <v>212</v>
      </c>
      <c r="E20" s="5">
        <v>15930</v>
      </c>
      <c r="F20" s="6">
        <v>45.918225</v>
      </c>
      <c r="G20" s="7">
        <v>2.1907330999999999E-2</v>
      </c>
      <c r="H20" s="106"/>
    </row>
    <row r="21" spans="1:8" ht="29.1" customHeight="1" x14ac:dyDescent="0.2">
      <c r="A21" s="3">
        <v>15</v>
      </c>
      <c r="B21" s="4" t="s">
        <v>202</v>
      </c>
      <c r="C21" s="4" t="s">
        <v>203</v>
      </c>
      <c r="D21" s="4" t="s">
        <v>204</v>
      </c>
      <c r="E21" s="5">
        <v>9440</v>
      </c>
      <c r="F21" s="6">
        <v>42.909520000000001</v>
      </c>
      <c r="G21" s="7">
        <v>2.0471895E-2</v>
      </c>
      <c r="H21" s="106"/>
    </row>
    <row r="22" spans="1:8" ht="17.100000000000001" customHeight="1" x14ac:dyDescent="0.2">
      <c r="A22" s="3">
        <v>16</v>
      </c>
      <c r="B22" s="4" t="s">
        <v>441</v>
      </c>
      <c r="C22" s="4" t="s">
        <v>442</v>
      </c>
      <c r="D22" s="4" t="s">
        <v>324</v>
      </c>
      <c r="E22" s="5">
        <v>2656</v>
      </c>
      <c r="F22" s="6">
        <v>40.805456</v>
      </c>
      <c r="G22" s="7">
        <v>1.9468057E-2</v>
      </c>
      <c r="H22" s="106"/>
    </row>
    <row r="23" spans="1:8" ht="17.100000000000001" customHeight="1" x14ac:dyDescent="0.2">
      <c r="A23" s="3">
        <v>17</v>
      </c>
      <c r="B23" s="4" t="s">
        <v>32</v>
      </c>
      <c r="C23" s="4" t="s">
        <v>33</v>
      </c>
      <c r="D23" s="4" t="s">
        <v>31</v>
      </c>
      <c r="E23" s="5">
        <v>1906</v>
      </c>
      <c r="F23" s="6">
        <v>40.083179999999999</v>
      </c>
      <c r="G23" s="7">
        <v>1.9123464E-2</v>
      </c>
      <c r="H23" s="106"/>
    </row>
    <row r="24" spans="1:8" ht="17.100000000000001" customHeight="1" x14ac:dyDescent="0.2">
      <c r="A24" s="3">
        <v>18</v>
      </c>
      <c r="B24" s="4" t="s">
        <v>384</v>
      </c>
      <c r="C24" s="4" t="s">
        <v>385</v>
      </c>
      <c r="D24" s="4" t="s">
        <v>288</v>
      </c>
      <c r="E24" s="5">
        <v>3437</v>
      </c>
      <c r="F24" s="6">
        <v>39.680165000000002</v>
      </c>
      <c r="G24" s="7">
        <v>1.8931186999999999E-2</v>
      </c>
      <c r="H24" s="106"/>
    </row>
    <row r="25" spans="1:8" ht="17.100000000000001" customHeight="1" x14ac:dyDescent="0.2">
      <c r="A25" s="3">
        <v>19</v>
      </c>
      <c r="B25" s="4" t="s">
        <v>94</v>
      </c>
      <c r="C25" s="4" t="s">
        <v>95</v>
      </c>
      <c r="D25" s="4" t="s">
        <v>96</v>
      </c>
      <c r="E25" s="5">
        <v>7883</v>
      </c>
      <c r="F25" s="6">
        <v>39.379526499999997</v>
      </c>
      <c r="G25" s="7">
        <v>1.8787754E-2</v>
      </c>
      <c r="H25" s="106"/>
    </row>
    <row r="26" spans="1:8" ht="29.1" customHeight="1" x14ac:dyDescent="0.2">
      <c r="A26" s="3">
        <v>20</v>
      </c>
      <c r="B26" s="4" t="s">
        <v>451</v>
      </c>
      <c r="C26" s="4" t="s">
        <v>452</v>
      </c>
      <c r="D26" s="4" t="s">
        <v>453</v>
      </c>
      <c r="E26" s="5">
        <v>28099</v>
      </c>
      <c r="F26" s="6">
        <v>39.226204000000003</v>
      </c>
      <c r="G26" s="7">
        <v>1.8714604999999999E-2</v>
      </c>
      <c r="H26" s="106"/>
    </row>
    <row r="27" spans="1:8" ht="17.100000000000001" customHeight="1" x14ac:dyDescent="0.2">
      <c r="A27" s="3">
        <v>21</v>
      </c>
      <c r="B27" s="4" t="s">
        <v>392</v>
      </c>
      <c r="C27" s="4" t="s">
        <v>393</v>
      </c>
      <c r="D27" s="4" t="s">
        <v>230</v>
      </c>
      <c r="E27" s="5">
        <v>5099</v>
      </c>
      <c r="F27" s="6">
        <v>38.130322</v>
      </c>
      <c r="G27" s="7">
        <v>1.8191766000000002E-2</v>
      </c>
      <c r="H27" s="106"/>
    </row>
    <row r="28" spans="1:8" ht="17.100000000000001" customHeight="1" x14ac:dyDescent="0.2">
      <c r="A28" s="3">
        <v>22</v>
      </c>
      <c r="B28" s="4" t="s">
        <v>322</v>
      </c>
      <c r="C28" s="4" t="s">
        <v>323</v>
      </c>
      <c r="D28" s="4" t="s">
        <v>324</v>
      </c>
      <c r="E28" s="5">
        <v>2367</v>
      </c>
      <c r="F28" s="6">
        <v>37.934725499999999</v>
      </c>
      <c r="G28" s="7">
        <v>1.8098448E-2</v>
      </c>
      <c r="H28" s="106"/>
    </row>
    <row r="29" spans="1:8" ht="17.100000000000001" customHeight="1" x14ac:dyDescent="0.2">
      <c r="A29" s="3">
        <v>23</v>
      </c>
      <c r="B29" s="4" t="s">
        <v>418</v>
      </c>
      <c r="C29" s="4" t="s">
        <v>419</v>
      </c>
      <c r="D29" s="4" t="s">
        <v>13</v>
      </c>
      <c r="E29" s="5">
        <v>7838</v>
      </c>
      <c r="F29" s="6">
        <v>37.257933000000001</v>
      </c>
      <c r="G29" s="7">
        <v>1.7775553999999999E-2</v>
      </c>
      <c r="H29" s="106"/>
    </row>
    <row r="30" spans="1:8" ht="17.100000000000001" customHeight="1" x14ac:dyDescent="0.2">
      <c r="A30" s="3">
        <v>24</v>
      </c>
      <c r="B30" s="4" t="s">
        <v>388</v>
      </c>
      <c r="C30" s="4" t="s">
        <v>389</v>
      </c>
      <c r="D30" s="4" t="s">
        <v>99</v>
      </c>
      <c r="E30" s="5">
        <v>6934</v>
      </c>
      <c r="F30" s="6">
        <v>36.358429000000001</v>
      </c>
      <c r="G30" s="7">
        <v>1.7346404999999999E-2</v>
      </c>
      <c r="H30" s="106"/>
    </row>
    <row r="31" spans="1:8" ht="29.1" customHeight="1" x14ac:dyDescent="0.2">
      <c r="A31" s="3">
        <v>25</v>
      </c>
      <c r="B31" s="4" t="s">
        <v>443</v>
      </c>
      <c r="C31" s="4" t="s">
        <v>444</v>
      </c>
      <c r="D31" s="4" t="s">
        <v>204</v>
      </c>
      <c r="E31" s="5">
        <v>1815</v>
      </c>
      <c r="F31" s="6">
        <v>35.819025000000003</v>
      </c>
      <c r="G31" s="7">
        <v>1.7089059E-2</v>
      </c>
      <c r="H31" s="106"/>
    </row>
    <row r="32" spans="1:8" ht="29.1" customHeight="1" x14ac:dyDescent="0.2">
      <c r="A32" s="3">
        <v>26</v>
      </c>
      <c r="B32" s="4" t="s">
        <v>445</v>
      </c>
      <c r="C32" s="4" t="s">
        <v>446</v>
      </c>
      <c r="D32" s="4" t="s">
        <v>51</v>
      </c>
      <c r="E32" s="5">
        <v>1417</v>
      </c>
      <c r="F32" s="6">
        <v>35.096255999999997</v>
      </c>
      <c r="G32" s="7">
        <v>1.6744229999999999E-2</v>
      </c>
      <c r="H32" s="106"/>
    </row>
    <row r="33" spans="1:8" ht="17.100000000000001" customHeight="1" x14ac:dyDescent="0.2">
      <c r="A33" s="3">
        <v>27</v>
      </c>
      <c r="B33" s="4" t="s">
        <v>231</v>
      </c>
      <c r="C33" s="4" t="s">
        <v>232</v>
      </c>
      <c r="D33" s="4" t="s">
        <v>89</v>
      </c>
      <c r="E33" s="5">
        <v>700</v>
      </c>
      <c r="F33" s="6">
        <v>33.561149999999998</v>
      </c>
      <c r="G33" s="7">
        <v>1.6011839E-2</v>
      </c>
      <c r="H33" s="106"/>
    </row>
    <row r="34" spans="1:8" ht="17.100000000000001" customHeight="1" x14ac:dyDescent="0.2">
      <c r="A34" s="3">
        <v>28</v>
      </c>
      <c r="B34" s="4" t="s">
        <v>459</v>
      </c>
      <c r="C34" s="4" t="s">
        <v>460</v>
      </c>
      <c r="D34" s="4" t="s">
        <v>96</v>
      </c>
      <c r="E34" s="5">
        <v>2275</v>
      </c>
      <c r="F34" s="6">
        <v>32.483587499999999</v>
      </c>
      <c r="G34" s="7">
        <v>1.5497739999999999E-2</v>
      </c>
      <c r="H34" s="106"/>
    </row>
    <row r="35" spans="1:8" ht="17.100000000000001" customHeight="1" x14ac:dyDescent="0.2">
      <c r="A35" s="3">
        <v>29</v>
      </c>
      <c r="B35" s="4" t="s">
        <v>406</v>
      </c>
      <c r="C35" s="4" t="s">
        <v>407</v>
      </c>
      <c r="D35" s="4" t="s">
        <v>99</v>
      </c>
      <c r="E35" s="5">
        <v>3328</v>
      </c>
      <c r="F35" s="6">
        <v>32.454656</v>
      </c>
      <c r="G35" s="7">
        <v>1.5483937E-2</v>
      </c>
      <c r="H35" s="106"/>
    </row>
    <row r="36" spans="1:8" ht="29.1" customHeight="1" x14ac:dyDescent="0.2">
      <c r="A36" s="3">
        <v>30</v>
      </c>
      <c r="B36" s="4" t="s">
        <v>63</v>
      </c>
      <c r="C36" s="4" t="s">
        <v>64</v>
      </c>
      <c r="D36" s="4" t="s">
        <v>25</v>
      </c>
      <c r="E36" s="5">
        <v>1193</v>
      </c>
      <c r="F36" s="6">
        <v>32.361914499999997</v>
      </c>
      <c r="G36" s="7">
        <v>1.5439690000000001E-2</v>
      </c>
      <c r="H36" s="106"/>
    </row>
    <row r="37" spans="1:8" ht="53.1" customHeight="1" x14ac:dyDescent="0.2">
      <c r="A37" s="3">
        <v>31</v>
      </c>
      <c r="B37" s="4" t="s">
        <v>333</v>
      </c>
      <c r="C37" s="4" t="s">
        <v>334</v>
      </c>
      <c r="D37" s="4" t="s">
        <v>48</v>
      </c>
      <c r="E37" s="5">
        <v>10454</v>
      </c>
      <c r="F37" s="6">
        <v>32.255817</v>
      </c>
      <c r="G37" s="7">
        <v>1.5389072E-2</v>
      </c>
      <c r="H37" s="106"/>
    </row>
    <row r="38" spans="1:8" ht="17.100000000000001" customHeight="1" x14ac:dyDescent="0.2">
      <c r="A38" s="3">
        <v>32</v>
      </c>
      <c r="B38" s="4" t="s">
        <v>412</v>
      </c>
      <c r="C38" s="4" t="s">
        <v>413</v>
      </c>
      <c r="D38" s="4" t="s">
        <v>193</v>
      </c>
      <c r="E38" s="5">
        <v>3820</v>
      </c>
      <c r="F38" s="6">
        <v>31.291530000000002</v>
      </c>
      <c r="G38" s="7">
        <v>1.4929016E-2</v>
      </c>
      <c r="H38" s="106"/>
    </row>
    <row r="39" spans="1:8" ht="17.100000000000001" customHeight="1" x14ac:dyDescent="0.2">
      <c r="A39" s="3">
        <v>33</v>
      </c>
      <c r="B39" s="4" t="s">
        <v>404</v>
      </c>
      <c r="C39" s="4" t="s">
        <v>405</v>
      </c>
      <c r="D39" s="4" t="s">
        <v>13</v>
      </c>
      <c r="E39" s="5">
        <v>40346</v>
      </c>
      <c r="F39" s="6">
        <v>29.85604</v>
      </c>
      <c r="G39" s="7">
        <v>1.4244152E-2</v>
      </c>
      <c r="H39" s="106"/>
    </row>
    <row r="40" spans="1:8" ht="17.100000000000001" customHeight="1" x14ac:dyDescent="0.2">
      <c r="A40" s="3">
        <v>34</v>
      </c>
      <c r="B40" s="4" t="s">
        <v>449</v>
      </c>
      <c r="C40" s="4" t="s">
        <v>450</v>
      </c>
      <c r="D40" s="4" t="s">
        <v>99</v>
      </c>
      <c r="E40" s="5">
        <v>38221</v>
      </c>
      <c r="F40" s="6">
        <v>29.602164500000001</v>
      </c>
      <c r="G40" s="7">
        <v>1.4123029E-2</v>
      </c>
      <c r="H40" s="106"/>
    </row>
    <row r="41" spans="1:8" ht="17.100000000000001" customHeight="1" x14ac:dyDescent="0.2">
      <c r="A41" s="3">
        <v>35</v>
      </c>
      <c r="B41" s="4" t="s">
        <v>447</v>
      </c>
      <c r="C41" s="4" t="s">
        <v>448</v>
      </c>
      <c r="D41" s="4" t="s">
        <v>268</v>
      </c>
      <c r="E41" s="5">
        <v>9664</v>
      </c>
      <c r="F41" s="6">
        <v>29.122464000000001</v>
      </c>
      <c r="G41" s="7">
        <v>1.3894167000000001E-2</v>
      </c>
      <c r="H41" s="106"/>
    </row>
    <row r="42" spans="1:8" ht="17.100000000000001" customHeight="1" x14ac:dyDescent="0.2">
      <c r="A42" s="3">
        <v>36</v>
      </c>
      <c r="B42" s="4" t="s">
        <v>398</v>
      </c>
      <c r="C42" s="4" t="s">
        <v>399</v>
      </c>
      <c r="D42" s="4" t="s">
        <v>110</v>
      </c>
      <c r="E42" s="5">
        <v>4498</v>
      </c>
      <c r="F42" s="6">
        <v>28.778203999999999</v>
      </c>
      <c r="G42" s="7">
        <v>1.3729922E-2</v>
      </c>
      <c r="H42" s="106"/>
    </row>
    <row r="43" spans="1:8" ht="17.100000000000001" customHeight="1" x14ac:dyDescent="0.2">
      <c r="A43" s="3">
        <v>37</v>
      </c>
      <c r="B43" s="4" t="s">
        <v>396</v>
      </c>
      <c r="C43" s="4" t="s">
        <v>397</v>
      </c>
      <c r="D43" s="4" t="s">
        <v>288</v>
      </c>
      <c r="E43" s="5">
        <v>3807</v>
      </c>
      <c r="F43" s="6">
        <v>28.525850999999999</v>
      </c>
      <c r="G43" s="7">
        <v>1.3609526E-2</v>
      </c>
      <c r="H43" s="106"/>
    </row>
    <row r="44" spans="1:8" ht="17.100000000000001" customHeight="1" x14ac:dyDescent="0.2">
      <c r="A44" s="3">
        <v>38</v>
      </c>
      <c r="B44" s="4" t="s">
        <v>279</v>
      </c>
      <c r="C44" s="4" t="s">
        <v>280</v>
      </c>
      <c r="D44" s="4" t="s">
        <v>22</v>
      </c>
      <c r="E44" s="5">
        <v>13326</v>
      </c>
      <c r="F44" s="6">
        <v>28.497651000000001</v>
      </c>
      <c r="G44" s="7">
        <v>1.3596072000000001E-2</v>
      </c>
      <c r="H44" s="106"/>
    </row>
    <row r="45" spans="1:8" ht="29.1" customHeight="1" x14ac:dyDescent="0.2">
      <c r="A45" s="3">
        <v>39</v>
      </c>
      <c r="B45" s="4" t="s">
        <v>317</v>
      </c>
      <c r="C45" s="4" t="s">
        <v>318</v>
      </c>
      <c r="D45" s="4" t="s">
        <v>319</v>
      </c>
      <c r="E45" s="5">
        <v>5082</v>
      </c>
      <c r="F45" s="6">
        <v>28.093295999999999</v>
      </c>
      <c r="G45" s="7">
        <v>1.3403155999999999E-2</v>
      </c>
      <c r="H45" s="106"/>
    </row>
    <row r="46" spans="1:8" ht="29.1" customHeight="1" x14ac:dyDescent="0.2">
      <c r="A46" s="3">
        <v>40</v>
      </c>
      <c r="B46" s="4" t="s">
        <v>390</v>
      </c>
      <c r="C46" s="4" t="s">
        <v>391</v>
      </c>
      <c r="D46" s="4" t="s">
        <v>67</v>
      </c>
      <c r="E46" s="5">
        <v>1669</v>
      </c>
      <c r="F46" s="6">
        <v>26.784112</v>
      </c>
      <c r="G46" s="7">
        <v>1.2778552E-2</v>
      </c>
      <c r="H46" s="106"/>
    </row>
    <row r="47" spans="1:8" ht="29.1" customHeight="1" x14ac:dyDescent="0.2">
      <c r="A47" s="3">
        <v>41</v>
      </c>
      <c r="B47" s="4" t="s">
        <v>410</v>
      </c>
      <c r="C47" s="4" t="s">
        <v>411</v>
      </c>
      <c r="D47" s="4" t="s">
        <v>204</v>
      </c>
      <c r="E47" s="5">
        <v>7291</v>
      </c>
      <c r="F47" s="6">
        <v>25.810140000000001</v>
      </c>
      <c r="G47" s="7">
        <v>1.2313875E-2</v>
      </c>
      <c r="H47" s="106"/>
    </row>
    <row r="48" spans="1:8" ht="29.1" customHeight="1" x14ac:dyDescent="0.2">
      <c r="A48" s="3">
        <v>42</v>
      </c>
      <c r="B48" s="4" t="s">
        <v>291</v>
      </c>
      <c r="C48" s="4" t="s">
        <v>292</v>
      </c>
      <c r="D48" s="4" t="s">
        <v>188</v>
      </c>
      <c r="E48" s="5">
        <v>3180</v>
      </c>
      <c r="F48" s="6">
        <v>24.166409999999999</v>
      </c>
      <c r="G48" s="7">
        <v>1.1529661E-2</v>
      </c>
      <c r="H48" s="106"/>
    </row>
    <row r="49" spans="1:8" ht="29.1" customHeight="1" x14ac:dyDescent="0.2">
      <c r="A49" s="3">
        <v>43</v>
      </c>
      <c r="B49" s="4" t="s">
        <v>463</v>
      </c>
      <c r="C49" s="4" t="s">
        <v>464</v>
      </c>
      <c r="D49" s="4" t="s">
        <v>366</v>
      </c>
      <c r="E49" s="5">
        <v>3485</v>
      </c>
      <c r="F49" s="6">
        <v>21.586089999999999</v>
      </c>
      <c r="G49" s="7">
        <v>1.0298603999999999E-2</v>
      </c>
      <c r="H49" s="106"/>
    </row>
    <row r="50" spans="1:8" ht="17.100000000000001" customHeight="1" x14ac:dyDescent="0.2">
      <c r="A50" s="3">
        <v>44</v>
      </c>
      <c r="B50" s="4" t="s">
        <v>394</v>
      </c>
      <c r="C50" s="4" t="s">
        <v>395</v>
      </c>
      <c r="D50" s="4" t="s">
        <v>99</v>
      </c>
      <c r="E50" s="5">
        <v>2752</v>
      </c>
      <c r="F50" s="6">
        <v>19.9864</v>
      </c>
      <c r="G50" s="7">
        <v>9.5354010000000006E-3</v>
      </c>
      <c r="H50" s="106"/>
    </row>
    <row r="51" spans="1:8" ht="17.100000000000001" customHeight="1" x14ac:dyDescent="0.2">
      <c r="A51" s="3">
        <v>45</v>
      </c>
      <c r="B51" s="4" t="s">
        <v>480</v>
      </c>
      <c r="C51" s="4" t="s">
        <v>481</v>
      </c>
      <c r="D51" s="4" t="s">
        <v>230</v>
      </c>
      <c r="E51" s="5">
        <v>10135</v>
      </c>
      <c r="F51" s="6">
        <v>19.570685000000001</v>
      </c>
      <c r="G51" s="7">
        <v>9.3370659999999998E-3</v>
      </c>
      <c r="H51" s="106"/>
    </row>
    <row r="52" spans="1:8" ht="17.100000000000001" customHeight="1" x14ac:dyDescent="0.2">
      <c r="A52" s="3">
        <v>46</v>
      </c>
      <c r="B52" s="4" t="s">
        <v>400</v>
      </c>
      <c r="C52" s="4" t="s">
        <v>401</v>
      </c>
      <c r="D52" s="4" t="s">
        <v>31</v>
      </c>
      <c r="E52" s="5">
        <v>2300</v>
      </c>
      <c r="F52" s="6">
        <v>19.454550000000001</v>
      </c>
      <c r="G52" s="7">
        <v>9.2816579999999999E-3</v>
      </c>
      <c r="H52" s="106"/>
    </row>
    <row r="53" spans="1:8" ht="29.1" customHeight="1" x14ac:dyDescent="0.2">
      <c r="A53" s="3">
        <v>47</v>
      </c>
      <c r="B53" s="4" t="s">
        <v>428</v>
      </c>
      <c r="C53" s="4" t="s">
        <v>429</v>
      </c>
      <c r="D53" s="4" t="s">
        <v>204</v>
      </c>
      <c r="E53" s="5">
        <v>472</v>
      </c>
      <c r="F53" s="6">
        <v>19.035052</v>
      </c>
      <c r="G53" s="7">
        <v>9.0815180000000002E-3</v>
      </c>
      <c r="H53" s="106"/>
    </row>
    <row r="54" spans="1:8" ht="17.100000000000001" customHeight="1" x14ac:dyDescent="0.2">
      <c r="A54" s="3">
        <v>48</v>
      </c>
      <c r="B54" s="4" t="s">
        <v>468</v>
      </c>
      <c r="C54" s="4" t="s">
        <v>469</v>
      </c>
      <c r="D54" s="4" t="s">
        <v>41</v>
      </c>
      <c r="E54" s="5">
        <v>2557</v>
      </c>
      <c r="F54" s="6">
        <v>18.274878999999999</v>
      </c>
      <c r="G54" s="7">
        <v>8.7188439999999999E-3</v>
      </c>
      <c r="H54" s="106"/>
    </row>
    <row r="55" spans="1:8" ht="17.100000000000001" customHeight="1" x14ac:dyDescent="0.2">
      <c r="A55" s="3">
        <v>49</v>
      </c>
      <c r="B55" s="4" t="s">
        <v>422</v>
      </c>
      <c r="C55" s="4" t="s">
        <v>423</v>
      </c>
      <c r="D55" s="4" t="s">
        <v>237</v>
      </c>
      <c r="E55" s="5">
        <v>2336</v>
      </c>
      <c r="F55" s="6">
        <v>17.177776000000001</v>
      </c>
      <c r="G55" s="7">
        <v>8.1954220000000008E-3</v>
      </c>
      <c r="H55" s="106"/>
    </row>
    <row r="56" spans="1:8" ht="17.100000000000001" customHeight="1" x14ac:dyDescent="0.2">
      <c r="A56" s="3">
        <v>50</v>
      </c>
      <c r="B56" s="4" t="s">
        <v>337</v>
      </c>
      <c r="C56" s="4" t="s">
        <v>338</v>
      </c>
      <c r="D56" s="4" t="s">
        <v>96</v>
      </c>
      <c r="E56" s="5">
        <v>14375</v>
      </c>
      <c r="F56" s="6">
        <v>10.709375</v>
      </c>
      <c r="G56" s="7">
        <v>5.1093839999999998E-3</v>
      </c>
      <c r="H56" s="106"/>
    </row>
    <row r="57" spans="1:8" ht="17.100000000000001" customHeight="1" x14ac:dyDescent="0.2">
      <c r="A57" s="3">
        <v>51</v>
      </c>
      <c r="B57" s="4" t="s">
        <v>426</v>
      </c>
      <c r="C57" s="4" t="s">
        <v>427</v>
      </c>
      <c r="D57" s="4" t="s">
        <v>31</v>
      </c>
      <c r="E57" s="5">
        <v>1303</v>
      </c>
      <c r="F57" s="6">
        <v>10.339305</v>
      </c>
      <c r="G57" s="7">
        <v>4.9328250000000001E-3</v>
      </c>
      <c r="H57" s="106"/>
    </row>
    <row r="58" spans="1:8" ht="29.1" customHeight="1" x14ac:dyDescent="0.2">
      <c r="A58" s="3">
        <v>52</v>
      </c>
      <c r="B58" s="4" t="s">
        <v>456</v>
      </c>
      <c r="C58" s="4" t="s">
        <v>457</v>
      </c>
      <c r="D58" s="4" t="s">
        <v>188</v>
      </c>
      <c r="E58" s="5">
        <v>1125</v>
      </c>
      <c r="F58" s="6">
        <v>7.5301875000000003</v>
      </c>
      <c r="G58" s="7">
        <v>3.5926109999999999E-3</v>
      </c>
      <c r="H58" s="106"/>
    </row>
    <row r="59" spans="1:8" ht="17.100000000000001" customHeight="1" x14ac:dyDescent="0.2">
      <c r="A59" s="3">
        <v>53</v>
      </c>
      <c r="B59" s="4" t="s">
        <v>436</v>
      </c>
      <c r="C59" s="4" t="s">
        <v>437</v>
      </c>
      <c r="D59" s="4" t="s">
        <v>16</v>
      </c>
      <c r="E59" s="5">
        <v>1389</v>
      </c>
      <c r="F59" s="6">
        <v>3.1565025000000002</v>
      </c>
      <c r="G59" s="7">
        <v>1.50595E-3</v>
      </c>
      <c r="H59" s="106"/>
    </row>
    <row r="60" spans="1:8" ht="29.1" customHeight="1" x14ac:dyDescent="0.2">
      <c r="A60" s="3">
        <v>54</v>
      </c>
      <c r="B60" s="4" t="s">
        <v>430</v>
      </c>
      <c r="C60" s="4" t="s">
        <v>431</v>
      </c>
      <c r="D60" s="4" t="s">
        <v>204</v>
      </c>
      <c r="E60" s="5">
        <v>1120</v>
      </c>
      <c r="F60" s="6">
        <v>2.53288</v>
      </c>
      <c r="G60" s="7">
        <v>1.2084229999999999E-3</v>
      </c>
      <c r="H60" s="106"/>
    </row>
    <row r="61" spans="1:8" ht="14.1" customHeight="1" x14ac:dyDescent="0.2">
      <c r="A61" s="1"/>
      <c r="B61" s="1"/>
      <c r="C61" s="2" t="s">
        <v>130</v>
      </c>
      <c r="D61" s="1"/>
      <c r="E61" s="1" t="s">
        <v>131</v>
      </c>
      <c r="F61" s="9">
        <v>1966.96686</v>
      </c>
      <c r="G61" s="10">
        <v>0.93842901499999998</v>
      </c>
      <c r="H61" s="106"/>
    </row>
    <row r="62" spans="1:8" ht="14.1" customHeight="1" x14ac:dyDescent="0.2">
      <c r="A62" s="1"/>
      <c r="B62" s="1"/>
      <c r="C62" s="11"/>
      <c r="D62" s="1"/>
      <c r="E62" s="1"/>
      <c r="F62" s="12"/>
      <c r="G62" s="12"/>
      <c r="H62" s="106"/>
    </row>
    <row r="63" spans="1:8" ht="14.1" customHeight="1" x14ac:dyDescent="0.2">
      <c r="A63" s="1"/>
      <c r="B63" s="1"/>
      <c r="C63" s="2" t="s">
        <v>132</v>
      </c>
      <c r="D63" s="1"/>
      <c r="E63" s="1"/>
      <c r="F63" s="1"/>
      <c r="G63" s="1"/>
      <c r="H63" s="106"/>
    </row>
    <row r="64" spans="1:8" ht="14.1" customHeight="1" x14ac:dyDescent="0.2">
      <c r="A64" s="1"/>
      <c r="B64" s="1"/>
      <c r="C64" s="2" t="s">
        <v>130</v>
      </c>
      <c r="D64" s="1"/>
      <c r="E64" s="1" t="s">
        <v>131</v>
      </c>
      <c r="F64" s="13">
        <v>0</v>
      </c>
      <c r="G64" s="14">
        <v>0</v>
      </c>
      <c r="H64" s="106"/>
    </row>
    <row r="65" spans="1:8" ht="14.1" customHeight="1" x14ac:dyDescent="0.2">
      <c r="A65" s="1"/>
      <c r="B65" s="1"/>
      <c r="C65" s="11"/>
      <c r="D65" s="1"/>
      <c r="E65" s="1"/>
      <c r="F65" s="12"/>
      <c r="G65" s="12"/>
      <c r="H65" s="106"/>
    </row>
    <row r="66" spans="1:8" ht="14.1" customHeight="1" x14ac:dyDescent="0.2">
      <c r="A66" s="1"/>
      <c r="B66" s="1"/>
      <c r="C66" s="2" t="s">
        <v>133</v>
      </c>
      <c r="D66" s="1"/>
      <c r="E66" s="1"/>
      <c r="F66" s="1"/>
      <c r="G66" s="1"/>
      <c r="H66" s="106"/>
    </row>
    <row r="67" spans="1:8" ht="14.1" customHeight="1" x14ac:dyDescent="0.2">
      <c r="A67" s="1"/>
      <c r="B67" s="1"/>
      <c r="C67" s="2" t="s">
        <v>130</v>
      </c>
      <c r="D67" s="1"/>
      <c r="E67" s="1" t="s">
        <v>131</v>
      </c>
      <c r="F67" s="13">
        <v>0</v>
      </c>
      <c r="G67" s="14">
        <v>0</v>
      </c>
      <c r="H67" s="106"/>
    </row>
    <row r="68" spans="1:8" ht="14.1" customHeight="1" x14ac:dyDescent="0.2">
      <c r="A68" s="1"/>
      <c r="B68" s="1"/>
      <c r="C68" s="11"/>
      <c r="D68" s="1"/>
      <c r="E68" s="1"/>
      <c r="F68" s="12"/>
      <c r="G68" s="12"/>
      <c r="H68" s="106"/>
    </row>
    <row r="69" spans="1:8" ht="14.1" customHeight="1" x14ac:dyDescent="0.2">
      <c r="A69" s="1"/>
      <c r="B69" s="1"/>
      <c r="C69" s="2" t="s">
        <v>134</v>
      </c>
      <c r="D69" s="1"/>
      <c r="E69" s="1"/>
      <c r="F69" s="1"/>
      <c r="G69" s="1"/>
      <c r="H69" s="106"/>
    </row>
    <row r="70" spans="1:8" ht="14.1" customHeight="1" x14ac:dyDescent="0.2">
      <c r="A70" s="1"/>
      <c r="B70" s="1"/>
      <c r="C70" s="2" t="s">
        <v>130</v>
      </c>
      <c r="D70" s="1"/>
      <c r="E70" s="1" t="s">
        <v>131</v>
      </c>
      <c r="F70" s="13">
        <v>0</v>
      </c>
      <c r="G70" s="14">
        <v>0</v>
      </c>
      <c r="H70" s="106"/>
    </row>
    <row r="71" spans="1:8" ht="14.1" customHeight="1" x14ac:dyDescent="0.2">
      <c r="A71" s="1"/>
      <c r="B71" s="1"/>
      <c r="C71" s="11"/>
      <c r="D71" s="1"/>
      <c r="E71" s="1"/>
      <c r="F71" s="12"/>
      <c r="G71" s="12"/>
      <c r="H71" s="106"/>
    </row>
    <row r="72" spans="1:8" ht="14.1" customHeight="1" x14ac:dyDescent="0.2">
      <c r="A72" s="1"/>
      <c r="B72" s="1"/>
      <c r="C72" s="2" t="s">
        <v>135</v>
      </c>
      <c r="D72" s="1"/>
      <c r="E72" s="1"/>
      <c r="F72" s="12"/>
      <c r="G72" s="12"/>
      <c r="H72" s="106"/>
    </row>
    <row r="73" spans="1:8" ht="14.1" customHeight="1" x14ac:dyDescent="0.2">
      <c r="A73" s="1"/>
      <c r="B73" s="1"/>
      <c r="C73" s="2" t="s">
        <v>130</v>
      </c>
      <c r="D73" s="1"/>
      <c r="E73" s="1" t="s">
        <v>131</v>
      </c>
      <c r="F73" s="13">
        <v>0</v>
      </c>
      <c r="G73" s="14">
        <v>0</v>
      </c>
      <c r="H73" s="106"/>
    </row>
    <row r="74" spans="1:8" ht="14.1" customHeight="1" x14ac:dyDescent="0.2">
      <c r="A74" s="1"/>
      <c r="B74" s="1"/>
      <c r="C74" s="11"/>
      <c r="D74" s="1"/>
      <c r="E74" s="1"/>
      <c r="F74" s="12"/>
      <c r="G74" s="12"/>
      <c r="H74" s="106"/>
    </row>
    <row r="75" spans="1:8" ht="14.1" customHeight="1" x14ac:dyDescent="0.2">
      <c r="A75" s="1"/>
      <c r="B75" s="1"/>
      <c r="C75" s="2" t="s">
        <v>136</v>
      </c>
      <c r="D75" s="1"/>
      <c r="E75" s="1"/>
      <c r="F75" s="12"/>
      <c r="G75" s="12"/>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8" customHeight="1" x14ac:dyDescent="0.2">
      <c r="A78" s="1"/>
      <c r="B78" s="1"/>
      <c r="C78" s="2" t="s">
        <v>137</v>
      </c>
      <c r="D78" s="1"/>
      <c r="E78" s="1"/>
      <c r="F78" s="9">
        <v>1966.96686</v>
      </c>
      <c r="G78" s="10">
        <v>0.93842901499999998</v>
      </c>
      <c r="H78" s="106"/>
    </row>
    <row r="79" spans="1:8" ht="14.1" customHeight="1" x14ac:dyDescent="0.2">
      <c r="A79" s="1"/>
      <c r="B79" s="1"/>
      <c r="C79" s="11"/>
      <c r="D79" s="1"/>
      <c r="E79" s="1"/>
      <c r="F79" s="12"/>
      <c r="G79" s="12"/>
      <c r="H79" s="106"/>
    </row>
    <row r="80" spans="1:8" ht="14.1" customHeight="1" x14ac:dyDescent="0.2">
      <c r="A80" s="1"/>
      <c r="B80" s="1"/>
      <c r="C80" s="2" t="s">
        <v>138</v>
      </c>
      <c r="D80" s="1"/>
      <c r="E80" s="1"/>
      <c r="F80" s="12"/>
      <c r="G80" s="12"/>
      <c r="H80" s="106"/>
    </row>
    <row r="81" spans="1:8" ht="24" customHeight="1" x14ac:dyDescent="0.2">
      <c r="A81" s="1"/>
      <c r="B81" s="1"/>
      <c r="C81" s="2" t="s">
        <v>10</v>
      </c>
      <c r="D81" s="1"/>
      <c r="E81" s="1"/>
      <c r="F81" s="12"/>
      <c r="G81" s="12"/>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139</v>
      </c>
      <c r="D84" s="1"/>
      <c r="E84" s="1"/>
      <c r="F84" s="1"/>
      <c r="G84" s="1"/>
      <c r="H84" s="106"/>
    </row>
    <row r="85" spans="1:8" ht="14.1" customHeight="1" x14ac:dyDescent="0.2">
      <c r="A85" s="1"/>
      <c r="B85" s="1"/>
      <c r="C85" s="2" t="s">
        <v>130</v>
      </c>
      <c r="D85" s="1"/>
      <c r="E85" s="1" t="s">
        <v>131</v>
      </c>
      <c r="F85" s="13">
        <v>0</v>
      </c>
      <c r="G85" s="14">
        <v>0</v>
      </c>
      <c r="H85" s="106"/>
    </row>
    <row r="86" spans="1:8" ht="14.1" customHeight="1" x14ac:dyDescent="0.2">
      <c r="A86" s="1"/>
      <c r="B86" s="1"/>
      <c r="C86" s="11"/>
      <c r="D86" s="1"/>
      <c r="E86" s="1"/>
      <c r="F86" s="12"/>
      <c r="G86" s="12"/>
      <c r="H86" s="106"/>
    </row>
    <row r="87" spans="1:8" ht="14.1" customHeight="1" x14ac:dyDescent="0.2">
      <c r="A87" s="1"/>
      <c r="B87" s="1"/>
      <c r="C87" s="2" t="s">
        <v>140</v>
      </c>
      <c r="D87" s="1"/>
      <c r="E87" s="1"/>
      <c r="F87" s="1"/>
      <c r="G87" s="1"/>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4.1" customHeight="1" x14ac:dyDescent="0.2">
      <c r="A90" s="1"/>
      <c r="B90" s="1"/>
      <c r="C90" s="2" t="s">
        <v>141</v>
      </c>
      <c r="D90" s="1"/>
      <c r="E90" s="1"/>
      <c r="F90" s="12"/>
      <c r="G90" s="12"/>
      <c r="H90" s="106"/>
    </row>
    <row r="91" spans="1:8" ht="14.1" customHeight="1" x14ac:dyDescent="0.2">
      <c r="A91" s="1"/>
      <c r="B91" s="1"/>
      <c r="C91" s="2" t="s">
        <v>130</v>
      </c>
      <c r="D91" s="1"/>
      <c r="E91" s="1" t="s">
        <v>131</v>
      </c>
      <c r="F91" s="13">
        <v>0</v>
      </c>
      <c r="G91" s="14">
        <v>0</v>
      </c>
      <c r="H91" s="106"/>
    </row>
    <row r="92" spans="1:8" ht="14.1" customHeight="1" x14ac:dyDescent="0.2">
      <c r="A92" s="1"/>
      <c r="B92" s="1"/>
      <c r="C92" s="11"/>
      <c r="D92" s="1"/>
      <c r="E92" s="1"/>
      <c r="F92" s="12"/>
      <c r="G92" s="12"/>
      <c r="H92" s="106"/>
    </row>
    <row r="93" spans="1:8" ht="14.1" customHeight="1" x14ac:dyDescent="0.2">
      <c r="A93" s="1"/>
      <c r="B93" s="1"/>
      <c r="C93" s="2" t="s">
        <v>142</v>
      </c>
      <c r="D93" s="1"/>
      <c r="E93" s="1"/>
      <c r="F93" s="9">
        <v>0</v>
      </c>
      <c r="G93" s="10">
        <v>0</v>
      </c>
      <c r="H93" s="106"/>
    </row>
    <row r="94" spans="1:8" ht="14.1" customHeight="1" x14ac:dyDescent="0.2">
      <c r="A94" s="1"/>
      <c r="B94" s="1"/>
      <c r="C94" s="11"/>
      <c r="D94" s="1"/>
      <c r="E94" s="1"/>
      <c r="F94" s="12"/>
      <c r="G94" s="12"/>
      <c r="H94" s="106"/>
    </row>
    <row r="95" spans="1:8" ht="14.1" customHeight="1" x14ac:dyDescent="0.2">
      <c r="A95" s="1"/>
      <c r="B95" s="1"/>
      <c r="C95" s="2" t="s">
        <v>143</v>
      </c>
      <c r="D95" s="1"/>
      <c r="E95" s="1"/>
      <c r="F95" s="12"/>
      <c r="G95" s="12"/>
      <c r="H95" s="106"/>
    </row>
    <row r="96" spans="1:8" ht="14.1" customHeight="1" x14ac:dyDescent="0.2">
      <c r="A96" s="1"/>
      <c r="B96" s="1"/>
      <c r="C96" s="2" t="s">
        <v>144</v>
      </c>
      <c r="D96" s="1"/>
      <c r="E96" s="1"/>
      <c r="F96" s="12"/>
      <c r="G96" s="12"/>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145</v>
      </c>
      <c r="D99" s="1"/>
      <c r="E99" s="1"/>
      <c r="F99" s="12"/>
      <c r="G99" s="12"/>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146</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147</v>
      </c>
      <c r="D105" s="1"/>
      <c r="E105" s="1"/>
      <c r="F105" s="12"/>
      <c r="G105" s="12"/>
      <c r="H105" s="106"/>
    </row>
    <row r="106" spans="1:8" ht="17.100000000000001" customHeight="1" x14ac:dyDescent="0.2">
      <c r="A106" s="3">
        <v>1</v>
      </c>
      <c r="B106" s="4"/>
      <c r="C106" s="4" t="s">
        <v>148</v>
      </c>
      <c r="D106" s="4"/>
      <c r="E106" s="8"/>
      <c r="F106" s="6">
        <v>127.5604216</v>
      </c>
      <c r="G106" s="7">
        <v>6.0858372000000001E-2</v>
      </c>
      <c r="H106" s="106">
        <v>6.1171451766917002</v>
      </c>
    </row>
    <row r="107" spans="1:8" ht="14.1" customHeight="1" x14ac:dyDescent="0.2">
      <c r="A107" s="1"/>
      <c r="B107" s="1"/>
      <c r="C107" s="2" t="s">
        <v>130</v>
      </c>
      <c r="D107" s="1"/>
      <c r="E107" s="1" t="s">
        <v>131</v>
      </c>
      <c r="F107" s="9">
        <v>127.5604216</v>
      </c>
      <c r="G107" s="10">
        <v>6.0858372000000001E-2</v>
      </c>
      <c r="H107" s="106"/>
    </row>
    <row r="108" spans="1:8" ht="14.1" customHeight="1" x14ac:dyDescent="0.2">
      <c r="A108" s="1"/>
      <c r="B108" s="1"/>
      <c r="C108" s="11"/>
      <c r="D108" s="1"/>
      <c r="E108" s="1"/>
      <c r="F108" s="12"/>
      <c r="G108" s="12"/>
      <c r="H108" s="106"/>
    </row>
    <row r="109" spans="1:8" ht="14.1" customHeight="1" x14ac:dyDescent="0.2">
      <c r="A109" s="1"/>
      <c r="B109" s="1"/>
      <c r="C109" s="2" t="s">
        <v>149</v>
      </c>
      <c r="D109" s="1"/>
      <c r="E109" s="1"/>
      <c r="F109" s="9">
        <v>127.5604216</v>
      </c>
      <c r="G109" s="10">
        <v>6.0858372000000001E-2</v>
      </c>
      <c r="H109" s="106"/>
    </row>
    <row r="110" spans="1:8" ht="14.1" customHeight="1" x14ac:dyDescent="0.2">
      <c r="A110" s="1"/>
      <c r="B110" s="1"/>
      <c r="C110" s="12"/>
      <c r="D110" s="1"/>
      <c r="E110" s="1"/>
      <c r="F110" s="1"/>
      <c r="G110" s="1"/>
      <c r="H110" s="106"/>
    </row>
    <row r="111" spans="1:8" ht="14.1" customHeight="1" x14ac:dyDescent="0.2">
      <c r="A111" s="1"/>
      <c r="B111" s="1"/>
      <c r="C111" s="2" t="s">
        <v>150</v>
      </c>
      <c r="D111" s="1"/>
      <c r="E111" s="1"/>
      <c r="F111" s="1"/>
      <c r="G111" s="1"/>
      <c r="H111" s="106"/>
    </row>
    <row r="112" spans="1:8" ht="14.1" customHeight="1" x14ac:dyDescent="0.2">
      <c r="A112" s="1"/>
      <c r="B112" s="1"/>
      <c r="C112" s="2" t="s">
        <v>151</v>
      </c>
      <c r="D112" s="1"/>
      <c r="E112" s="1"/>
      <c r="F112" s="1"/>
      <c r="G112" s="1"/>
      <c r="H112" s="106"/>
    </row>
    <row r="113" spans="1:8" ht="14.1" customHeight="1" x14ac:dyDescent="0.2">
      <c r="A113" s="1"/>
      <c r="B113" s="1"/>
      <c r="C113" s="2" t="s">
        <v>130</v>
      </c>
      <c r="D113" s="1"/>
      <c r="E113" s="1" t="s">
        <v>131</v>
      </c>
      <c r="F113" s="13">
        <v>0</v>
      </c>
      <c r="G113" s="14">
        <v>0</v>
      </c>
      <c r="H113" s="106"/>
    </row>
    <row r="114" spans="1:8" ht="14.1" customHeight="1" x14ac:dyDescent="0.2">
      <c r="A114" s="1"/>
      <c r="B114" s="1"/>
      <c r="C114" s="11"/>
      <c r="D114" s="1"/>
      <c r="E114" s="1"/>
      <c r="F114" s="12"/>
      <c r="G114" s="12"/>
      <c r="H114" s="106"/>
    </row>
    <row r="115" spans="1:8" ht="14.1" customHeight="1" x14ac:dyDescent="0.2">
      <c r="A115" s="1"/>
      <c r="B115" s="1"/>
      <c r="C115" s="2" t="s">
        <v>152</v>
      </c>
      <c r="D115" s="1"/>
      <c r="E115" s="1"/>
      <c r="F115" s="1"/>
      <c r="G115" s="1"/>
      <c r="H115" s="106"/>
    </row>
    <row r="116" spans="1:8" ht="14.1" customHeight="1" x14ac:dyDescent="0.2">
      <c r="A116" s="1"/>
      <c r="B116" s="1"/>
      <c r="C116" s="2" t="s">
        <v>153</v>
      </c>
      <c r="D116" s="1"/>
      <c r="E116" s="1"/>
      <c r="F116" s="1"/>
      <c r="G116" s="1"/>
      <c r="H116" s="106"/>
    </row>
    <row r="117" spans="1:8" ht="14.1" customHeight="1" x14ac:dyDescent="0.2">
      <c r="A117" s="1"/>
      <c r="B117" s="1"/>
      <c r="C117" s="2" t="s">
        <v>130</v>
      </c>
      <c r="D117" s="1"/>
      <c r="E117" s="1" t="s">
        <v>131</v>
      </c>
      <c r="F117" s="13">
        <v>0</v>
      </c>
      <c r="G117" s="14">
        <v>0</v>
      </c>
      <c r="H117" s="106"/>
    </row>
    <row r="118" spans="1:8" ht="14.1" customHeight="1" x14ac:dyDescent="0.2">
      <c r="A118" s="1"/>
      <c r="B118" s="1"/>
      <c r="C118" s="11"/>
      <c r="D118" s="1"/>
      <c r="E118" s="1"/>
      <c r="F118" s="12"/>
      <c r="G118" s="12"/>
      <c r="H118" s="106"/>
    </row>
    <row r="119" spans="1:8" ht="14.1" customHeight="1" x14ac:dyDescent="0.2">
      <c r="A119" s="1"/>
      <c r="B119" s="1"/>
      <c r="C119" s="11"/>
      <c r="D119" s="1"/>
      <c r="E119" s="1"/>
      <c r="F119" s="12"/>
      <c r="G119" s="12"/>
      <c r="H119" s="106"/>
    </row>
    <row r="120" spans="1:8" ht="24" customHeight="1" x14ac:dyDescent="0.2">
      <c r="A120" s="1"/>
      <c r="B120" s="1"/>
      <c r="C120" s="2" t="s">
        <v>154</v>
      </c>
      <c r="D120" s="1"/>
      <c r="E120" s="1"/>
      <c r="F120" s="12"/>
      <c r="G120" s="12"/>
      <c r="H120" s="106"/>
    </row>
    <row r="121" spans="1:8" ht="14.1" customHeight="1" x14ac:dyDescent="0.2">
      <c r="A121" s="1"/>
      <c r="B121" s="1"/>
      <c r="C121" s="2" t="s">
        <v>130</v>
      </c>
      <c r="D121" s="1"/>
      <c r="E121" s="1" t="s">
        <v>131</v>
      </c>
      <c r="F121" s="13">
        <v>0</v>
      </c>
      <c r="G121" s="14">
        <v>0</v>
      </c>
      <c r="H121" s="106"/>
    </row>
    <row r="122" spans="1:8" ht="14.1" customHeight="1" x14ac:dyDescent="0.2">
      <c r="A122" s="1"/>
      <c r="B122" s="1"/>
      <c r="C122" s="11"/>
      <c r="D122" s="1"/>
      <c r="E122" s="1"/>
      <c r="F122" s="12"/>
      <c r="G122" s="12"/>
      <c r="H122" s="106"/>
    </row>
    <row r="123" spans="1:8" ht="14.1" customHeight="1" x14ac:dyDescent="0.2">
      <c r="A123" s="1"/>
      <c r="B123" s="4"/>
      <c r="C123" s="4"/>
      <c r="D123" s="2"/>
      <c r="E123" s="1"/>
      <c r="F123" s="4"/>
      <c r="G123" s="8"/>
      <c r="H123" s="106"/>
    </row>
    <row r="124" spans="1:8" ht="18" customHeight="1" x14ac:dyDescent="0.2">
      <c r="A124" s="8"/>
      <c r="B124" s="4"/>
      <c r="C124" s="4" t="s">
        <v>155</v>
      </c>
      <c r="D124" s="4"/>
      <c r="E124" s="8"/>
      <c r="F124" s="6">
        <v>1.4936576100000001</v>
      </c>
      <c r="G124" s="7">
        <v>7.1261600000000001E-4</v>
      </c>
      <c r="H124" s="106"/>
    </row>
    <row r="125" spans="1:8" ht="14.1" customHeight="1" x14ac:dyDescent="0.2">
      <c r="A125" s="11"/>
      <c r="B125" s="11"/>
      <c r="C125" s="2" t="s">
        <v>156</v>
      </c>
      <c r="D125" s="15"/>
      <c r="E125" s="15"/>
      <c r="F125" s="9">
        <v>2096.0209392100001</v>
      </c>
      <c r="G125" s="10">
        <v>1.000000003</v>
      </c>
      <c r="H125" s="106"/>
    </row>
    <row r="126" spans="1:8" ht="14.1" customHeight="1" x14ac:dyDescent="0.2">
      <c r="A126" s="16"/>
      <c r="B126" s="16"/>
      <c r="C126" s="16"/>
      <c r="D126" s="17"/>
      <c r="E126" s="17"/>
      <c r="F126" s="17"/>
      <c r="G126" s="17"/>
    </row>
    <row r="127" spans="1:8" ht="14.1" customHeight="1" x14ac:dyDescent="0.2">
      <c r="A127" s="18"/>
      <c r="B127" s="18"/>
      <c r="C127" s="18"/>
      <c r="D127" s="20"/>
      <c r="E127" s="20"/>
      <c r="F127" s="20"/>
      <c r="G127" s="20"/>
    </row>
    <row r="128" spans="1:8" ht="14.1" customHeight="1" x14ac:dyDescent="0.2">
      <c r="A128" s="18"/>
      <c r="B128" s="279" t="s">
        <v>158</v>
      </c>
      <c r="C128" s="280"/>
      <c r="D128" s="12" t="s">
        <v>131</v>
      </c>
      <c r="E128" s="21"/>
      <c r="F128" s="20"/>
      <c r="G128" s="20"/>
    </row>
    <row r="129" spans="1:7" ht="29.1" customHeight="1" x14ac:dyDescent="0.2">
      <c r="A129" s="18"/>
      <c r="B129" s="274" t="s">
        <v>159</v>
      </c>
      <c r="C129" s="275"/>
      <c r="D129" s="2" t="s">
        <v>160</v>
      </c>
      <c r="E129" s="21"/>
      <c r="F129" s="20"/>
      <c r="G129" s="20"/>
    </row>
    <row r="130" spans="1:7" ht="17.100000000000001" customHeight="1" x14ac:dyDescent="0.2">
      <c r="A130" s="18"/>
      <c r="B130" s="274" t="s">
        <v>161</v>
      </c>
      <c r="C130" s="275"/>
      <c r="D130" s="2" t="s">
        <v>160</v>
      </c>
      <c r="E130" s="21"/>
      <c r="F130" s="20"/>
      <c r="G130" s="20"/>
    </row>
    <row r="131" spans="1:7" ht="17.100000000000001" customHeight="1" x14ac:dyDescent="0.2">
      <c r="A131" s="18"/>
      <c r="B131" s="274" t="s">
        <v>162</v>
      </c>
      <c r="C131" s="275"/>
      <c r="D131" s="12" t="s">
        <v>131</v>
      </c>
      <c r="E131" s="21"/>
      <c r="F131" s="20"/>
      <c r="G131" s="20"/>
    </row>
    <row r="132" spans="1:7" ht="24" customHeight="1" x14ac:dyDescent="0.2">
      <c r="A132" s="22"/>
      <c r="B132" s="23" t="s">
        <v>131</v>
      </c>
      <c r="C132" s="23" t="s">
        <v>163</v>
      </c>
      <c r="D132" s="23" t="s">
        <v>164</v>
      </c>
      <c r="E132" s="22"/>
      <c r="F132" s="22"/>
      <c r="G132" s="22"/>
    </row>
    <row r="133" spans="1:7" ht="18" customHeight="1" x14ac:dyDescent="0.2">
      <c r="A133" s="22"/>
      <c r="B133" s="23" t="s">
        <v>165</v>
      </c>
      <c r="C133" s="23" t="s">
        <v>166</v>
      </c>
      <c r="D133" s="23" t="s">
        <v>167</v>
      </c>
      <c r="E133" s="22"/>
      <c r="F133" s="22"/>
      <c r="G133" s="22"/>
    </row>
    <row r="134" spans="1:7" ht="17.100000000000001" customHeight="1" x14ac:dyDescent="0.2">
      <c r="A134" s="22"/>
      <c r="B134" s="4" t="s">
        <v>168</v>
      </c>
      <c r="C134" s="24">
        <v>19.638999999999999</v>
      </c>
      <c r="D134" s="24">
        <v>19.7775</v>
      </c>
      <c r="E134" s="22"/>
      <c r="F134" s="19"/>
      <c r="G134" s="25"/>
    </row>
    <row r="135" spans="1:7" ht="17.100000000000001" customHeight="1" x14ac:dyDescent="0.2">
      <c r="A135" s="22"/>
      <c r="B135" s="4" t="s">
        <v>1048</v>
      </c>
      <c r="C135" s="24">
        <v>18.964500000000001</v>
      </c>
      <c r="D135" s="24">
        <v>19.098299999999998</v>
      </c>
      <c r="E135" s="22"/>
      <c r="F135" s="19"/>
      <c r="G135" s="25"/>
    </row>
    <row r="136" spans="1:7" ht="17.100000000000001" customHeight="1" x14ac:dyDescent="0.2">
      <c r="A136" s="22"/>
      <c r="B136" s="4" t="s">
        <v>169</v>
      </c>
      <c r="C136" s="24">
        <v>19.385899999999999</v>
      </c>
      <c r="D136" s="24">
        <v>19.520600000000002</v>
      </c>
      <c r="E136" s="22"/>
      <c r="F136" s="19"/>
      <c r="G136" s="25"/>
    </row>
    <row r="137" spans="1:7" ht="17.100000000000001" customHeight="1" x14ac:dyDescent="0.2">
      <c r="A137" s="22"/>
      <c r="B137" s="4" t="s">
        <v>1049</v>
      </c>
      <c r="C137" s="24">
        <v>18.7133</v>
      </c>
      <c r="D137" s="24">
        <v>18.843299999999999</v>
      </c>
      <c r="E137" s="22"/>
      <c r="F137" s="19"/>
      <c r="G137" s="25"/>
    </row>
    <row r="138" spans="1:7" ht="14.1" customHeight="1" x14ac:dyDescent="0.2">
      <c r="A138" s="22"/>
      <c r="B138" s="22"/>
      <c r="C138" s="22"/>
      <c r="D138" s="22"/>
      <c r="E138" s="22"/>
      <c r="F138" s="22"/>
      <c r="G138" s="22"/>
    </row>
    <row r="139" spans="1:7" ht="17.100000000000001" customHeight="1" x14ac:dyDescent="0.2">
      <c r="A139" s="22"/>
      <c r="B139" s="274" t="s">
        <v>1060</v>
      </c>
      <c r="C139" s="275"/>
      <c r="D139" s="2" t="s">
        <v>160</v>
      </c>
      <c r="E139" s="22"/>
      <c r="F139" s="22"/>
      <c r="G139" s="22"/>
    </row>
    <row r="140" spans="1:7" ht="18" customHeight="1" x14ac:dyDescent="0.2">
      <c r="A140" s="22"/>
      <c r="B140" s="26" t="s">
        <v>170</v>
      </c>
      <c r="C140" s="26" t="s">
        <v>170</v>
      </c>
      <c r="D140" s="26"/>
      <c r="E140" s="22"/>
      <c r="F140" s="22"/>
      <c r="G140" s="22"/>
    </row>
    <row r="141" spans="1:7" ht="29.1" customHeight="1" x14ac:dyDescent="0.2">
      <c r="A141" s="22"/>
      <c r="B141" s="274" t="s">
        <v>171</v>
      </c>
      <c r="C141" s="275"/>
      <c r="D141" s="2" t="s">
        <v>160</v>
      </c>
      <c r="E141" s="22"/>
      <c r="F141" s="22"/>
      <c r="G141" s="22"/>
    </row>
    <row r="142" spans="1:7" ht="29.1" customHeight="1" x14ac:dyDescent="0.2">
      <c r="A142" s="22"/>
      <c r="B142" s="274" t="s">
        <v>172</v>
      </c>
      <c r="C142" s="275"/>
      <c r="D142" s="2" t="s">
        <v>160</v>
      </c>
      <c r="E142" s="22"/>
      <c r="F142" s="22"/>
      <c r="G142" s="22"/>
    </row>
    <row r="143" spans="1:7" ht="17.100000000000001" customHeight="1" x14ac:dyDescent="0.2">
      <c r="A143" s="22"/>
      <c r="B143" s="274" t="s">
        <v>173</v>
      </c>
      <c r="C143" s="275"/>
      <c r="D143" s="27">
        <v>0.14829715637420537</v>
      </c>
      <c r="E143" s="22"/>
      <c r="F143" s="19"/>
      <c r="G143" s="25"/>
    </row>
    <row r="144" spans="1:7" ht="17.100000000000001" customHeight="1" x14ac:dyDescent="0.2">
      <c r="A144" s="22"/>
      <c r="B144" s="274" t="s">
        <v>174</v>
      </c>
      <c r="C144" s="275"/>
      <c r="D144" s="2" t="s">
        <v>160</v>
      </c>
      <c r="E144" s="22"/>
      <c r="F144" s="22"/>
      <c r="G144" s="22"/>
    </row>
    <row r="155" spans="10:14" x14ac:dyDescent="0.2">
      <c r="J155" s="162"/>
      <c r="K155" s="162"/>
      <c r="L155" s="162"/>
      <c r="M155" s="162"/>
      <c r="N155" s="162"/>
    </row>
  </sheetData>
  <mergeCells count="13">
    <mergeCell ref="J2:N2"/>
    <mergeCell ref="B128:C128"/>
    <mergeCell ref="B143:C143"/>
    <mergeCell ref="A1:H1"/>
    <mergeCell ref="A2:H2"/>
    <mergeCell ref="A3:H3"/>
    <mergeCell ref="B144:C144"/>
    <mergeCell ref="B129:C129"/>
    <mergeCell ref="B130:C130"/>
    <mergeCell ref="B131:C131"/>
    <mergeCell ref="B139:C139"/>
    <mergeCell ref="B141:C141"/>
    <mergeCell ref="B142:C142"/>
  </mergeCells>
  <hyperlinks>
    <hyperlink ref="I1" location="Index!B15" display="Index" xr:uid="{4FDEE2DF-C1B2-4C75-BBD5-443FD8FE657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3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488</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19081</v>
      </c>
      <c r="F7" s="6">
        <v>173.38904700000001</v>
      </c>
      <c r="G7" s="7">
        <v>9.6581393000000001E-2</v>
      </c>
      <c r="H7" s="106"/>
    </row>
    <row r="8" spans="1:14" ht="17.100000000000001" customHeight="1" x14ac:dyDescent="0.2">
      <c r="A8" s="3">
        <v>2</v>
      </c>
      <c r="B8" s="4" t="s">
        <v>20</v>
      </c>
      <c r="C8" s="4" t="s">
        <v>21</v>
      </c>
      <c r="D8" s="4" t="s">
        <v>22</v>
      </c>
      <c r="E8" s="5">
        <v>5610</v>
      </c>
      <c r="F8" s="6">
        <v>143.03255999999999</v>
      </c>
      <c r="G8" s="7">
        <v>7.9672182999999994E-2</v>
      </c>
      <c r="H8" s="106"/>
    </row>
    <row r="9" spans="1:14" ht="17.100000000000001" customHeight="1" x14ac:dyDescent="0.2">
      <c r="A9" s="3">
        <v>3</v>
      </c>
      <c r="B9" s="4" t="s">
        <v>296</v>
      </c>
      <c r="C9" s="4" t="s">
        <v>297</v>
      </c>
      <c r="D9" s="4" t="s">
        <v>1114</v>
      </c>
      <c r="E9" s="5">
        <v>8300</v>
      </c>
      <c r="F9" s="6">
        <v>127.62495</v>
      </c>
      <c r="G9" s="7">
        <v>7.1089816E-2</v>
      </c>
      <c r="H9" s="106"/>
    </row>
    <row r="10" spans="1:14" ht="17.100000000000001" customHeight="1" x14ac:dyDescent="0.2">
      <c r="A10" s="3">
        <v>4</v>
      </c>
      <c r="B10" s="4" t="s">
        <v>264</v>
      </c>
      <c r="C10" s="4" t="s">
        <v>265</v>
      </c>
      <c r="D10" s="4" t="s">
        <v>16</v>
      </c>
      <c r="E10" s="5">
        <v>7350</v>
      </c>
      <c r="F10" s="6">
        <v>110.00745000000001</v>
      </c>
      <c r="G10" s="7">
        <v>6.1276493000000001E-2</v>
      </c>
      <c r="H10" s="106"/>
    </row>
    <row r="11" spans="1:14" ht="17.100000000000001" customHeight="1" x14ac:dyDescent="0.2">
      <c r="A11" s="3">
        <v>5</v>
      </c>
      <c r="B11" s="4" t="s">
        <v>42</v>
      </c>
      <c r="C11" s="4" t="s">
        <v>43</v>
      </c>
      <c r="D11" s="4" t="s">
        <v>16</v>
      </c>
      <c r="E11" s="5">
        <v>17595</v>
      </c>
      <c r="F11" s="6">
        <v>100.96011</v>
      </c>
      <c r="G11" s="7">
        <v>5.6236932000000003E-2</v>
      </c>
      <c r="H11" s="106"/>
    </row>
    <row r="12" spans="1:14" ht="29.1" customHeight="1" x14ac:dyDescent="0.2">
      <c r="A12" s="3">
        <v>6</v>
      </c>
      <c r="B12" s="4" t="s">
        <v>298</v>
      </c>
      <c r="C12" s="4" t="s">
        <v>299</v>
      </c>
      <c r="D12" s="4" t="s">
        <v>99</v>
      </c>
      <c r="E12" s="5">
        <v>3376</v>
      </c>
      <c r="F12" s="6">
        <v>83.380448000000001</v>
      </c>
      <c r="G12" s="7">
        <v>4.6444685999999999E-2</v>
      </c>
      <c r="H12" s="106"/>
    </row>
    <row r="13" spans="1:14" ht="17.100000000000001" customHeight="1" x14ac:dyDescent="0.2">
      <c r="A13" s="3">
        <v>7</v>
      </c>
      <c r="B13" s="4" t="s">
        <v>178</v>
      </c>
      <c r="C13" s="4" t="s">
        <v>179</v>
      </c>
      <c r="D13" s="4" t="s">
        <v>16</v>
      </c>
      <c r="E13" s="5">
        <v>8341</v>
      </c>
      <c r="F13" s="6">
        <v>75.569460000000007</v>
      </c>
      <c r="G13" s="7">
        <v>4.2093799000000001E-2</v>
      </c>
      <c r="H13" s="106"/>
      <c r="J13" s="161" t="s">
        <v>1085</v>
      </c>
    </row>
    <row r="14" spans="1:14" ht="17.100000000000001" customHeight="1" x14ac:dyDescent="0.2">
      <c r="A14" s="3">
        <v>8</v>
      </c>
      <c r="B14" s="4" t="s">
        <v>11</v>
      </c>
      <c r="C14" s="4" t="s">
        <v>12</v>
      </c>
      <c r="D14" s="4" t="s">
        <v>13</v>
      </c>
      <c r="E14" s="5">
        <v>3340</v>
      </c>
      <c r="F14" s="6">
        <v>67.571539999999999</v>
      </c>
      <c r="G14" s="7">
        <v>3.7638787E-2</v>
      </c>
      <c r="H14" s="106"/>
    </row>
    <row r="15" spans="1:14" ht="17.100000000000001" customHeight="1" x14ac:dyDescent="0.2">
      <c r="A15" s="3">
        <v>9</v>
      </c>
      <c r="B15" s="4" t="s">
        <v>17</v>
      </c>
      <c r="C15" s="4" t="s">
        <v>18</v>
      </c>
      <c r="D15" s="4" t="s">
        <v>19</v>
      </c>
      <c r="E15" s="5">
        <v>6757</v>
      </c>
      <c r="F15" s="6">
        <v>56.218240000000002</v>
      </c>
      <c r="G15" s="7">
        <v>3.1314756999999999E-2</v>
      </c>
      <c r="H15" s="106"/>
    </row>
    <row r="16" spans="1:14" ht="29.1" customHeight="1" x14ac:dyDescent="0.2">
      <c r="A16" s="3">
        <v>10</v>
      </c>
      <c r="B16" s="4" t="s">
        <v>196</v>
      </c>
      <c r="C16" s="4" t="s">
        <v>197</v>
      </c>
      <c r="D16" s="4" t="s">
        <v>188</v>
      </c>
      <c r="E16" s="5">
        <v>1204</v>
      </c>
      <c r="F16" s="6">
        <v>54.803069999999998</v>
      </c>
      <c r="G16" s="7">
        <v>3.0526477999999999E-2</v>
      </c>
      <c r="H16" s="106"/>
    </row>
    <row r="17" spans="1:8" ht="29.1" customHeight="1" x14ac:dyDescent="0.2">
      <c r="A17" s="3">
        <v>11</v>
      </c>
      <c r="B17" s="4" t="s">
        <v>23</v>
      </c>
      <c r="C17" s="4" t="s">
        <v>24</v>
      </c>
      <c r="D17" s="4" t="s">
        <v>25</v>
      </c>
      <c r="E17" s="5">
        <v>746</v>
      </c>
      <c r="F17" s="6">
        <v>50.093527000000002</v>
      </c>
      <c r="G17" s="7">
        <v>2.7903161999999999E-2</v>
      </c>
      <c r="H17" s="106"/>
    </row>
    <row r="18" spans="1:8" ht="17.100000000000001" customHeight="1" x14ac:dyDescent="0.2">
      <c r="A18" s="3">
        <v>12</v>
      </c>
      <c r="B18" s="4" t="s">
        <v>315</v>
      </c>
      <c r="C18" s="4" t="s">
        <v>316</v>
      </c>
      <c r="D18" s="4" t="s">
        <v>310</v>
      </c>
      <c r="E18" s="5">
        <v>12606</v>
      </c>
      <c r="F18" s="6">
        <v>43.957121999999998</v>
      </c>
      <c r="G18" s="7">
        <v>2.4485053E-2</v>
      </c>
      <c r="H18" s="106"/>
    </row>
    <row r="19" spans="1:8" ht="17.100000000000001" customHeight="1" x14ac:dyDescent="0.2">
      <c r="A19" s="3">
        <v>13</v>
      </c>
      <c r="B19" s="4" t="s">
        <v>300</v>
      </c>
      <c r="C19" s="4" t="s">
        <v>301</v>
      </c>
      <c r="D19" s="4" t="s">
        <v>245</v>
      </c>
      <c r="E19" s="5">
        <v>3200</v>
      </c>
      <c r="F19" s="6">
        <v>40.510399999999997</v>
      </c>
      <c r="G19" s="7">
        <v>2.2565155999999999E-2</v>
      </c>
      <c r="H19" s="106"/>
    </row>
    <row r="20" spans="1:8" ht="17.100000000000001" customHeight="1" x14ac:dyDescent="0.2">
      <c r="A20" s="3">
        <v>14</v>
      </c>
      <c r="B20" s="4" t="s">
        <v>371</v>
      </c>
      <c r="C20" s="4" t="s">
        <v>372</v>
      </c>
      <c r="D20" s="4" t="s">
        <v>110</v>
      </c>
      <c r="E20" s="5">
        <v>1421</v>
      </c>
      <c r="F20" s="6">
        <v>39.240915000000001</v>
      </c>
      <c r="G20" s="7">
        <v>2.1858025999999999E-2</v>
      </c>
      <c r="H20" s="106"/>
    </row>
    <row r="21" spans="1:8" ht="17.100000000000001" customHeight="1" x14ac:dyDescent="0.2">
      <c r="A21" s="3">
        <v>15</v>
      </c>
      <c r="B21" s="4" t="s">
        <v>416</v>
      </c>
      <c r="C21" s="4" t="s">
        <v>417</v>
      </c>
      <c r="D21" s="4" t="s">
        <v>212</v>
      </c>
      <c r="E21" s="5">
        <v>13359</v>
      </c>
      <c r="F21" s="6">
        <v>38.507317499999999</v>
      </c>
      <c r="G21" s="7">
        <v>2.1449395999999999E-2</v>
      </c>
      <c r="H21" s="106"/>
    </row>
    <row r="22" spans="1:8" ht="29.1" customHeight="1" x14ac:dyDescent="0.2">
      <c r="A22" s="3">
        <v>16</v>
      </c>
      <c r="B22" s="4" t="s">
        <v>224</v>
      </c>
      <c r="C22" s="4" t="s">
        <v>225</v>
      </c>
      <c r="D22" s="4" t="s">
        <v>209</v>
      </c>
      <c r="E22" s="5">
        <v>4000</v>
      </c>
      <c r="F22" s="6">
        <v>38.494</v>
      </c>
      <c r="G22" s="7">
        <v>2.1441978E-2</v>
      </c>
      <c r="H22" s="106"/>
    </row>
    <row r="23" spans="1:8" ht="17.100000000000001" customHeight="1" x14ac:dyDescent="0.2">
      <c r="A23" s="3">
        <v>17</v>
      </c>
      <c r="B23" s="4" t="s">
        <v>194</v>
      </c>
      <c r="C23" s="4" t="s">
        <v>195</v>
      </c>
      <c r="D23" s="4" t="s">
        <v>16</v>
      </c>
      <c r="E23" s="5">
        <v>25574</v>
      </c>
      <c r="F23" s="6">
        <v>37.772798000000002</v>
      </c>
      <c r="G23" s="7">
        <v>2.1040252999999998E-2</v>
      </c>
      <c r="H23" s="106"/>
    </row>
    <row r="24" spans="1:8" ht="17.100000000000001" customHeight="1" x14ac:dyDescent="0.2">
      <c r="A24" s="3">
        <v>18</v>
      </c>
      <c r="B24" s="4" t="s">
        <v>358</v>
      </c>
      <c r="C24" s="4" t="s">
        <v>359</v>
      </c>
      <c r="D24" s="4" t="s">
        <v>70</v>
      </c>
      <c r="E24" s="5">
        <v>9000</v>
      </c>
      <c r="F24" s="6">
        <v>37.147500000000001</v>
      </c>
      <c r="G24" s="7">
        <v>2.0691949000000001E-2</v>
      </c>
      <c r="H24" s="106"/>
    </row>
    <row r="25" spans="1:8" ht="17.100000000000001" customHeight="1" x14ac:dyDescent="0.2">
      <c r="A25" s="3">
        <v>19</v>
      </c>
      <c r="B25" s="4" t="s">
        <v>87</v>
      </c>
      <c r="C25" s="4" t="s">
        <v>88</v>
      </c>
      <c r="D25" s="4" t="s">
        <v>89</v>
      </c>
      <c r="E25" s="5">
        <v>1240</v>
      </c>
      <c r="F25" s="6">
        <v>34.157040000000002</v>
      </c>
      <c r="G25" s="7">
        <v>1.9026199000000001E-2</v>
      </c>
      <c r="H25" s="106"/>
    </row>
    <row r="26" spans="1:8" ht="17.100000000000001" customHeight="1" x14ac:dyDescent="0.2">
      <c r="A26" s="3">
        <v>20</v>
      </c>
      <c r="B26" s="4" t="s">
        <v>313</v>
      </c>
      <c r="C26" s="4" t="s">
        <v>314</v>
      </c>
      <c r="D26" s="4" t="s">
        <v>1114</v>
      </c>
      <c r="E26" s="5">
        <v>3000</v>
      </c>
      <c r="F26" s="6">
        <v>31.234500000000001</v>
      </c>
      <c r="G26" s="7">
        <v>1.7398282000000001E-2</v>
      </c>
      <c r="H26" s="106"/>
    </row>
    <row r="27" spans="1:8" ht="17.100000000000001" customHeight="1" x14ac:dyDescent="0.2">
      <c r="A27" s="3">
        <v>21</v>
      </c>
      <c r="B27" s="4" t="s">
        <v>306</v>
      </c>
      <c r="C27" s="4" t="s">
        <v>307</v>
      </c>
      <c r="D27" s="4" t="s">
        <v>1114</v>
      </c>
      <c r="E27" s="5">
        <v>960</v>
      </c>
      <c r="F27" s="6">
        <v>30.654240000000001</v>
      </c>
      <c r="G27" s="7">
        <v>1.7075065E-2</v>
      </c>
      <c r="H27" s="106"/>
    </row>
    <row r="28" spans="1:8" ht="17.100000000000001" customHeight="1" x14ac:dyDescent="0.2">
      <c r="A28" s="3">
        <v>22</v>
      </c>
      <c r="B28" s="4" t="s">
        <v>335</v>
      </c>
      <c r="C28" s="4" t="s">
        <v>336</v>
      </c>
      <c r="D28" s="4" t="s">
        <v>16</v>
      </c>
      <c r="E28" s="5">
        <v>1570</v>
      </c>
      <c r="F28" s="6">
        <v>29.860614999999999</v>
      </c>
      <c r="G28" s="7">
        <v>1.6632998999999999E-2</v>
      </c>
      <c r="H28" s="106"/>
    </row>
    <row r="29" spans="1:8" ht="17.100000000000001" customHeight="1" x14ac:dyDescent="0.2">
      <c r="A29" s="3">
        <v>23</v>
      </c>
      <c r="B29" s="4" t="s">
        <v>235</v>
      </c>
      <c r="C29" s="4" t="s">
        <v>236</v>
      </c>
      <c r="D29" s="4" t="s">
        <v>237</v>
      </c>
      <c r="E29" s="5">
        <v>6000</v>
      </c>
      <c r="F29" s="6">
        <v>27.591000000000001</v>
      </c>
      <c r="G29" s="7">
        <v>1.5368774999999999E-2</v>
      </c>
      <c r="H29" s="106"/>
    </row>
    <row r="30" spans="1:8" ht="29.1" customHeight="1" x14ac:dyDescent="0.2">
      <c r="A30" s="3">
        <v>24</v>
      </c>
      <c r="B30" s="4" t="s">
        <v>302</v>
      </c>
      <c r="C30" s="4" t="s">
        <v>303</v>
      </c>
      <c r="D30" s="4" t="s">
        <v>204</v>
      </c>
      <c r="E30" s="5">
        <v>2650</v>
      </c>
      <c r="F30" s="6">
        <v>26.947849999999999</v>
      </c>
      <c r="G30" s="7">
        <v>1.5010526999999999E-2</v>
      </c>
      <c r="H30" s="106"/>
    </row>
    <row r="31" spans="1:8" ht="17.100000000000001" customHeight="1" x14ac:dyDescent="0.2">
      <c r="A31" s="3">
        <v>25</v>
      </c>
      <c r="B31" s="4" t="s">
        <v>489</v>
      </c>
      <c r="C31" s="4" t="s">
        <v>490</v>
      </c>
      <c r="D31" s="4" t="s">
        <v>182</v>
      </c>
      <c r="E31" s="5">
        <v>7000</v>
      </c>
      <c r="F31" s="6">
        <v>24.773</v>
      </c>
      <c r="G31" s="7">
        <v>1.3799089E-2</v>
      </c>
      <c r="H31" s="106"/>
    </row>
    <row r="32" spans="1:8" ht="17.100000000000001" customHeight="1" x14ac:dyDescent="0.2">
      <c r="A32" s="3">
        <v>26</v>
      </c>
      <c r="B32" s="4" t="s">
        <v>279</v>
      </c>
      <c r="C32" s="4" t="s">
        <v>280</v>
      </c>
      <c r="D32" s="4" t="s">
        <v>22</v>
      </c>
      <c r="E32" s="5">
        <v>10787</v>
      </c>
      <c r="F32" s="6">
        <v>23.067999499999999</v>
      </c>
      <c r="G32" s="7">
        <v>1.2849367E-2</v>
      </c>
      <c r="H32" s="106"/>
    </row>
    <row r="33" spans="1:8" ht="29.1" customHeight="1" x14ac:dyDescent="0.2">
      <c r="A33" s="3">
        <v>27</v>
      </c>
      <c r="B33" s="4" t="s">
        <v>491</v>
      </c>
      <c r="C33" s="4" t="s">
        <v>492</v>
      </c>
      <c r="D33" s="4" t="s">
        <v>204</v>
      </c>
      <c r="E33" s="5">
        <v>1814</v>
      </c>
      <c r="F33" s="6">
        <v>21.176635999999998</v>
      </c>
      <c r="G33" s="7">
        <v>1.1795837E-2</v>
      </c>
      <c r="H33" s="106"/>
    </row>
    <row r="34" spans="1:8" ht="17.100000000000001" customHeight="1" x14ac:dyDescent="0.2">
      <c r="A34" s="3">
        <v>28</v>
      </c>
      <c r="B34" s="4" t="s">
        <v>308</v>
      </c>
      <c r="C34" s="4" t="s">
        <v>309</v>
      </c>
      <c r="D34" s="4" t="s">
        <v>310</v>
      </c>
      <c r="E34" s="5">
        <v>788</v>
      </c>
      <c r="F34" s="6">
        <v>20.099516000000001</v>
      </c>
      <c r="G34" s="7">
        <v>1.1195859000000001E-2</v>
      </c>
      <c r="H34" s="106"/>
    </row>
    <row r="35" spans="1:8" ht="17.100000000000001" customHeight="1" x14ac:dyDescent="0.2">
      <c r="A35" s="3">
        <v>29</v>
      </c>
      <c r="B35" s="4" t="s">
        <v>39</v>
      </c>
      <c r="C35" s="4" t="s">
        <v>40</v>
      </c>
      <c r="D35" s="4" t="s">
        <v>41</v>
      </c>
      <c r="E35" s="5">
        <v>2464</v>
      </c>
      <c r="F35" s="6">
        <v>19.66272</v>
      </c>
      <c r="G35" s="7">
        <v>1.0952554E-2</v>
      </c>
      <c r="H35" s="106"/>
    </row>
    <row r="36" spans="1:8" ht="29.1" customHeight="1" x14ac:dyDescent="0.2">
      <c r="A36" s="3">
        <v>30</v>
      </c>
      <c r="B36" s="4" t="s">
        <v>317</v>
      </c>
      <c r="C36" s="4" t="s">
        <v>318</v>
      </c>
      <c r="D36" s="4" t="s">
        <v>319</v>
      </c>
      <c r="E36" s="5">
        <v>3500</v>
      </c>
      <c r="F36" s="6">
        <v>19.347999999999999</v>
      </c>
      <c r="G36" s="7">
        <v>1.0777248E-2</v>
      </c>
      <c r="H36" s="106"/>
    </row>
    <row r="37" spans="1:8" ht="17.100000000000001" customHeight="1" x14ac:dyDescent="0.2">
      <c r="A37" s="3">
        <v>31</v>
      </c>
      <c r="B37" s="4" t="s">
        <v>104</v>
      </c>
      <c r="C37" s="4" t="s">
        <v>105</v>
      </c>
      <c r="D37" s="4" t="s">
        <v>22</v>
      </c>
      <c r="E37" s="5">
        <v>5912</v>
      </c>
      <c r="F37" s="6">
        <v>17.951788000000001</v>
      </c>
      <c r="G37" s="7">
        <v>9.9995280000000006E-3</v>
      </c>
      <c r="H37" s="106"/>
    </row>
    <row r="38" spans="1:8" ht="17.100000000000001" customHeight="1" x14ac:dyDescent="0.2">
      <c r="A38" s="3">
        <v>32</v>
      </c>
      <c r="B38" s="4" t="s">
        <v>339</v>
      </c>
      <c r="C38" s="4" t="s">
        <v>340</v>
      </c>
      <c r="D38" s="4" t="s">
        <v>16</v>
      </c>
      <c r="E38" s="5">
        <v>1556</v>
      </c>
      <c r="F38" s="6">
        <v>17.779634000000001</v>
      </c>
      <c r="G38" s="7">
        <v>9.9036349999999992E-3</v>
      </c>
      <c r="H38" s="106"/>
    </row>
    <row r="39" spans="1:8" ht="29.1" customHeight="1" x14ac:dyDescent="0.2">
      <c r="A39" s="3">
        <v>33</v>
      </c>
      <c r="B39" s="4" t="s">
        <v>364</v>
      </c>
      <c r="C39" s="4" t="s">
        <v>365</v>
      </c>
      <c r="D39" s="4" t="s">
        <v>366</v>
      </c>
      <c r="E39" s="5">
        <v>2272</v>
      </c>
      <c r="F39" s="6">
        <v>17.497807999999999</v>
      </c>
      <c r="G39" s="7">
        <v>9.7466519999999997E-3</v>
      </c>
      <c r="H39" s="106"/>
    </row>
    <row r="40" spans="1:8" ht="29.1" customHeight="1" x14ac:dyDescent="0.2">
      <c r="A40" s="3">
        <v>34</v>
      </c>
      <c r="B40" s="4" t="s">
        <v>493</v>
      </c>
      <c r="C40" s="4" t="s">
        <v>494</v>
      </c>
      <c r="D40" s="4" t="s">
        <v>25</v>
      </c>
      <c r="E40" s="5">
        <v>1871</v>
      </c>
      <c r="F40" s="6">
        <v>17.26933</v>
      </c>
      <c r="G40" s="7">
        <v>9.6193849999999994E-3</v>
      </c>
      <c r="H40" s="106"/>
    </row>
    <row r="41" spans="1:8" ht="17.100000000000001" customHeight="1" x14ac:dyDescent="0.2">
      <c r="A41" s="3">
        <v>35</v>
      </c>
      <c r="B41" s="4" t="s">
        <v>325</v>
      </c>
      <c r="C41" s="4" t="s">
        <v>326</v>
      </c>
      <c r="D41" s="4" t="s">
        <v>1114</v>
      </c>
      <c r="E41" s="5">
        <v>2582</v>
      </c>
      <c r="F41" s="6">
        <v>9.9807210000000008</v>
      </c>
      <c r="G41" s="7">
        <v>5.559474E-3</v>
      </c>
      <c r="H41" s="106"/>
    </row>
    <row r="42" spans="1:8" ht="17.100000000000001" customHeight="1" x14ac:dyDescent="0.2">
      <c r="A42" s="3">
        <v>36</v>
      </c>
      <c r="B42" s="4" t="s">
        <v>113</v>
      </c>
      <c r="C42" s="4" t="s">
        <v>114</v>
      </c>
      <c r="D42" s="4" t="s">
        <v>115</v>
      </c>
      <c r="E42" s="5">
        <v>2289</v>
      </c>
      <c r="F42" s="6">
        <v>9.2853285000000003</v>
      </c>
      <c r="G42" s="7">
        <v>5.172126E-3</v>
      </c>
      <c r="H42" s="106"/>
    </row>
    <row r="43" spans="1:8" ht="29.1" customHeight="1" x14ac:dyDescent="0.2">
      <c r="A43" s="3">
        <v>37</v>
      </c>
      <c r="B43" s="4" t="s">
        <v>252</v>
      </c>
      <c r="C43" s="4" t="s">
        <v>253</v>
      </c>
      <c r="D43" s="4" t="s">
        <v>204</v>
      </c>
      <c r="E43" s="5">
        <v>462</v>
      </c>
      <c r="F43" s="6">
        <v>8.2436969999999992</v>
      </c>
      <c r="G43" s="7">
        <v>4.5919150000000002E-3</v>
      </c>
      <c r="H43" s="106"/>
    </row>
    <row r="44" spans="1:8" ht="17.100000000000001" customHeight="1" x14ac:dyDescent="0.2">
      <c r="A44" s="3">
        <v>38</v>
      </c>
      <c r="B44" s="4" t="s">
        <v>343</v>
      </c>
      <c r="C44" s="102" t="s">
        <v>1013</v>
      </c>
      <c r="D44" s="4" t="s">
        <v>19</v>
      </c>
      <c r="E44" s="5">
        <v>482</v>
      </c>
      <c r="F44" s="6">
        <v>2.1203180000000001</v>
      </c>
      <c r="G44" s="7">
        <v>1.1810620000000001E-3</v>
      </c>
      <c r="H44" s="106"/>
    </row>
    <row r="45" spans="1:8" ht="14.1" customHeight="1" x14ac:dyDescent="0.2">
      <c r="A45" s="1"/>
      <c r="B45" s="1"/>
      <c r="C45" s="2" t="s">
        <v>130</v>
      </c>
      <c r="D45" s="1"/>
      <c r="E45" s="1" t="s">
        <v>131</v>
      </c>
      <c r="F45" s="9">
        <v>1726.9821955000004</v>
      </c>
      <c r="G45" s="10">
        <v>0.96196587500000019</v>
      </c>
      <c r="H45" s="106"/>
    </row>
    <row r="46" spans="1:8" ht="14.1" customHeight="1" x14ac:dyDescent="0.2">
      <c r="A46" s="1"/>
      <c r="B46" s="1"/>
      <c r="C46" s="11"/>
      <c r="D46" s="1"/>
      <c r="E46" s="1"/>
      <c r="F46" s="12"/>
      <c r="G46" s="12"/>
      <c r="H46" s="106"/>
    </row>
    <row r="47" spans="1:8" ht="14.1" customHeight="1" x14ac:dyDescent="0.2">
      <c r="A47" s="1"/>
      <c r="B47" s="1"/>
      <c r="C47" s="2" t="s">
        <v>132</v>
      </c>
      <c r="D47" s="1"/>
      <c r="E47" s="1"/>
      <c r="F47" s="1"/>
      <c r="G47" s="1"/>
      <c r="H47" s="106"/>
    </row>
    <row r="48" spans="1:8" ht="14.1" customHeight="1" x14ac:dyDescent="0.2">
      <c r="A48" s="1"/>
      <c r="B48" s="1"/>
      <c r="C48" s="2" t="s">
        <v>130</v>
      </c>
      <c r="D48" s="1"/>
      <c r="E48" s="1" t="s">
        <v>131</v>
      </c>
      <c r="F48" s="13">
        <v>0</v>
      </c>
      <c r="G48" s="14">
        <v>0</v>
      </c>
      <c r="H48" s="106"/>
    </row>
    <row r="49" spans="1:8" ht="14.1" customHeight="1" x14ac:dyDescent="0.2">
      <c r="A49" s="1"/>
      <c r="B49" s="1"/>
      <c r="C49" s="11"/>
      <c r="D49" s="1"/>
      <c r="E49" s="1"/>
      <c r="F49" s="12"/>
      <c r="G49" s="12"/>
      <c r="H49" s="106"/>
    </row>
    <row r="50" spans="1:8" ht="14.1" customHeight="1" x14ac:dyDescent="0.2">
      <c r="A50" s="1"/>
      <c r="B50" s="1"/>
      <c r="C50" s="2" t="s">
        <v>133</v>
      </c>
      <c r="D50" s="1"/>
      <c r="E50" s="1"/>
      <c r="F50" s="1"/>
      <c r="G50" s="1"/>
      <c r="H50" s="106"/>
    </row>
    <row r="51" spans="1:8" ht="14.1" customHeight="1" x14ac:dyDescent="0.2">
      <c r="A51" s="1"/>
      <c r="B51" s="1"/>
      <c r="C51" s="2" t="s">
        <v>130</v>
      </c>
      <c r="D51" s="1"/>
      <c r="E51" s="1" t="s">
        <v>131</v>
      </c>
      <c r="F51" s="13">
        <v>0</v>
      </c>
      <c r="G51" s="14">
        <v>0</v>
      </c>
      <c r="H51" s="106"/>
    </row>
    <row r="52" spans="1:8" ht="14.1" customHeight="1" x14ac:dyDescent="0.2">
      <c r="A52" s="1"/>
      <c r="B52" s="1"/>
      <c r="C52" s="11"/>
      <c r="D52" s="1"/>
      <c r="E52" s="1"/>
      <c r="F52" s="12"/>
      <c r="G52" s="12"/>
      <c r="H52" s="106"/>
    </row>
    <row r="53" spans="1:8" ht="14.1" customHeight="1" x14ac:dyDescent="0.2">
      <c r="A53" s="1"/>
      <c r="B53" s="1"/>
      <c r="C53" s="2" t="s">
        <v>134</v>
      </c>
      <c r="D53" s="1"/>
      <c r="E53" s="1"/>
      <c r="F53" s="1"/>
      <c r="G53" s="1"/>
      <c r="H53" s="106"/>
    </row>
    <row r="54" spans="1:8" ht="14.1" customHeight="1" x14ac:dyDescent="0.2">
      <c r="A54" s="1"/>
      <c r="B54" s="1"/>
      <c r="C54" s="2" t="s">
        <v>130</v>
      </c>
      <c r="D54" s="1"/>
      <c r="E54" s="1" t="s">
        <v>131</v>
      </c>
      <c r="F54" s="9">
        <v>0</v>
      </c>
      <c r="G54" s="10">
        <v>0</v>
      </c>
      <c r="H54" s="106"/>
    </row>
    <row r="55" spans="1:8" ht="14.1" customHeight="1" x14ac:dyDescent="0.2">
      <c r="A55" s="1"/>
      <c r="B55" s="1"/>
      <c r="C55" s="11"/>
      <c r="D55" s="1"/>
      <c r="E55" s="1"/>
      <c r="F55" s="12"/>
      <c r="G55" s="12"/>
      <c r="H55" s="106"/>
    </row>
    <row r="56" spans="1:8" ht="14.1" customHeight="1" x14ac:dyDescent="0.2">
      <c r="A56" s="1"/>
      <c r="B56" s="1"/>
      <c r="C56" s="2" t="s">
        <v>135</v>
      </c>
      <c r="D56" s="1"/>
      <c r="E56" s="1"/>
      <c r="F56" s="12"/>
      <c r="G56" s="12"/>
      <c r="H56" s="106"/>
    </row>
    <row r="57" spans="1:8" ht="14.1" customHeight="1" x14ac:dyDescent="0.2">
      <c r="A57" s="1"/>
      <c r="B57" s="1"/>
      <c r="C57" s="2" t="s">
        <v>130</v>
      </c>
      <c r="D57" s="1"/>
      <c r="E57" s="1" t="s">
        <v>131</v>
      </c>
      <c r="F57" s="13">
        <v>0</v>
      </c>
      <c r="G57" s="14">
        <v>0</v>
      </c>
      <c r="H57" s="106"/>
    </row>
    <row r="58" spans="1:8" ht="14.1" customHeight="1" x14ac:dyDescent="0.2">
      <c r="A58" s="1"/>
      <c r="B58" s="1"/>
      <c r="C58" s="11"/>
      <c r="D58" s="1"/>
      <c r="E58" s="1"/>
      <c r="F58" s="12"/>
      <c r="G58" s="12"/>
      <c r="H58" s="106"/>
    </row>
    <row r="59" spans="1:8" ht="14.1" customHeight="1" x14ac:dyDescent="0.2">
      <c r="A59" s="1"/>
      <c r="B59" s="1"/>
      <c r="C59" s="2" t="s">
        <v>136</v>
      </c>
      <c r="D59" s="1"/>
      <c r="E59" s="1"/>
      <c r="F59" s="12"/>
      <c r="G59" s="12"/>
      <c r="H59" s="106"/>
    </row>
    <row r="60" spans="1:8" ht="14.1" customHeight="1" x14ac:dyDescent="0.2">
      <c r="A60" s="1"/>
      <c r="B60" s="1"/>
      <c r="C60" s="2" t="s">
        <v>130</v>
      </c>
      <c r="D60" s="1"/>
      <c r="E60" s="1" t="s">
        <v>131</v>
      </c>
      <c r="F60" s="13">
        <v>0</v>
      </c>
      <c r="G60" s="14">
        <v>0</v>
      </c>
      <c r="H60" s="106"/>
    </row>
    <row r="61" spans="1:8" ht="14.1" customHeight="1" x14ac:dyDescent="0.2">
      <c r="A61" s="1"/>
      <c r="B61" s="1"/>
      <c r="C61" s="11"/>
      <c r="D61" s="1"/>
      <c r="E61" s="1"/>
      <c r="F61" s="12"/>
      <c r="G61" s="12"/>
      <c r="H61" s="106"/>
    </row>
    <row r="62" spans="1:8" ht="18" customHeight="1" x14ac:dyDescent="0.2">
      <c r="A62" s="1"/>
      <c r="B62" s="1"/>
      <c r="C62" s="2" t="s">
        <v>137</v>
      </c>
      <c r="D62" s="1"/>
      <c r="E62" s="1"/>
      <c r="F62" s="9">
        <v>1726.9821955</v>
      </c>
      <c r="G62" s="10">
        <v>0.96196587499999997</v>
      </c>
      <c r="H62" s="106"/>
    </row>
    <row r="63" spans="1:8" ht="14.1" customHeight="1" x14ac:dyDescent="0.2">
      <c r="A63" s="1"/>
      <c r="B63" s="1"/>
      <c r="C63" s="11"/>
      <c r="D63" s="1"/>
      <c r="E63" s="1"/>
      <c r="F63" s="12"/>
      <c r="G63" s="12"/>
      <c r="H63" s="106"/>
    </row>
    <row r="64" spans="1:8" ht="14.1" customHeight="1" x14ac:dyDescent="0.2">
      <c r="A64" s="1"/>
      <c r="B64" s="1"/>
      <c r="C64" s="2" t="s">
        <v>138</v>
      </c>
      <c r="D64" s="1"/>
      <c r="E64" s="1"/>
      <c r="F64" s="12"/>
      <c r="G64" s="12"/>
      <c r="H64" s="106"/>
    </row>
    <row r="65" spans="1:8" ht="24" customHeight="1" x14ac:dyDescent="0.2">
      <c r="A65" s="1"/>
      <c r="B65" s="1"/>
      <c r="C65" s="2" t="s">
        <v>10</v>
      </c>
      <c r="D65" s="1"/>
      <c r="E65" s="1"/>
      <c r="F65" s="12"/>
      <c r="G65" s="12"/>
      <c r="H65" s="106"/>
    </row>
    <row r="66" spans="1:8" ht="14.1" customHeight="1" x14ac:dyDescent="0.2">
      <c r="A66" s="1"/>
      <c r="B66" s="1"/>
      <c r="C66" s="2" t="s">
        <v>130</v>
      </c>
      <c r="D66" s="1"/>
      <c r="E66" s="1" t="s">
        <v>131</v>
      </c>
      <c r="F66" s="13">
        <v>0</v>
      </c>
      <c r="G66" s="14">
        <v>0</v>
      </c>
      <c r="H66" s="106"/>
    </row>
    <row r="67" spans="1:8" ht="14.1" customHeight="1" x14ac:dyDescent="0.2">
      <c r="A67" s="1"/>
      <c r="B67" s="1"/>
      <c r="C67" s="11"/>
      <c r="D67" s="1"/>
      <c r="E67" s="1"/>
      <c r="F67" s="12"/>
      <c r="G67" s="12"/>
      <c r="H67" s="106"/>
    </row>
    <row r="68" spans="1:8" ht="14.1" customHeight="1" x14ac:dyDescent="0.2">
      <c r="A68" s="1"/>
      <c r="B68" s="1"/>
      <c r="C68" s="2" t="s">
        <v>139</v>
      </c>
      <c r="D68" s="1"/>
      <c r="E68" s="1"/>
      <c r="F68" s="1"/>
      <c r="G68" s="1"/>
      <c r="H68" s="106"/>
    </row>
    <row r="69" spans="1:8" ht="14.1" customHeight="1" x14ac:dyDescent="0.2">
      <c r="A69" s="1"/>
      <c r="B69" s="1"/>
      <c r="C69" s="2" t="s">
        <v>130</v>
      </c>
      <c r="D69" s="1"/>
      <c r="E69" s="1" t="s">
        <v>131</v>
      </c>
      <c r="F69" s="13">
        <v>0</v>
      </c>
      <c r="G69" s="14">
        <v>0</v>
      </c>
      <c r="H69" s="106"/>
    </row>
    <row r="70" spans="1:8" ht="14.1" customHeight="1" x14ac:dyDescent="0.2">
      <c r="A70" s="1"/>
      <c r="B70" s="1"/>
      <c r="C70" s="11"/>
      <c r="D70" s="1"/>
      <c r="E70" s="1"/>
      <c r="F70" s="12"/>
      <c r="G70" s="12"/>
      <c r="H70" s="106"/>
    </row>
    <row r="71" spans="1:8" ht="14.1" customHeight="1" x14ac:dyDescent="0.2">
      <c r="A71" s="1"/>
      <c r="B71" s="1"/>
      <c r="C71" s="2" t="s">
        <v>140</v>
      </c>
      <c r="D71" s="1"/>
      <c r="E71" s="1"/>
      <c r="F71" s="1"/>
      <c r="G71" s="1"/>
      <c r="H71" s="106"/>
    </row>
    <row r="72" spans="1:8" ht="14.1" customHeight="1" x14ac:dyDescent="0.2">
      <c r="A72" s="1"/>
      <c r="B72" s="1"/>
      <c r="C72" s="2" t="s">
        <v>130</v>
      </c>
      <c r="D72" s="1"/>
      <c r="E72" s="1" t="s">
        <v>131</v>
      </c>
      <c r="F72" s="13">
        <v>0</v>
      </c>
      <c r="G72" s="14">
        <v>0</v>
      </c>
      <c r="H72" s="106"/>
    </row>
    <row r="73" spans="1:8" ht="14.1" customHeight="1" x14ac:dyDescent="0.2">
      <c r="A73" s="1"/>
      <c r="B73" s="1"/>
      <c r="C73" s="11"/>
      <c r="D73" s="1"/>
      <c r="E73" s="1"/>
      <c r="F73" s="12"/>
      <c r="G73" s="12"/>
      <c r="H73" s="106"/>
    </row>
    <row r="74" spans="1:8" ht="14.1" customHeight="1" x14ac:dyDescent="0.2">
      <c r="A74" s="1"/>
      <c r="B74" s="1"/>
      <c r="C74" s="2" t="s">
        <v>141</v>
      </c>
      <c r="D74" s="1"/>
      <c r="E74" s="1"/>
      <c r="F74" s="12"/>
      <c r="G74" s="12"/>
      <c r="H74" s="106"/>
    </row>
    <row r="75" spans="1:8" ht="14.1" customHeight="1" x14ac:dyDescent="0.2">
      <c r="A75" s="1"/>
      <c r="B75" s="1"/>
      <c r="C75" s="2" t="s">
        <v>130</v>
      </c>
      <c r="D75" s="1"/>
      <c r="E75" s="1" t="s">
        <v>131</v>
      </c>
      <c r="F75" s="13">
        <v>0</v>
      </c>
      <c r="G75" s="14">
        <v>0</v>
      </c>
      <c r="H75" s="106"/>
    </row>
    <row r="76" spans="1:8" ht="14.1" customHeight="1" x14ac:dyDescent="0.2">
      <c r="A76" s="1"/>
      <c r="B76" s="1"/>
      <c r="C76" s="11"/>
      <c r="D76" s="1"/>
      <c r="E76" s="1"/>
      <c r="F76" s="12"/>
      <c r="G76" s="12"/>
      <c r="H76" s="106"/>
    </row>
    <row r="77" spans="1:8" ht="14.1" customHeight="1" x14ac:dyDescent="0.2">
      <c r="A77" s="1"/>
      <c r="B77" s="1"/>
      <c r="C77" s="2" t="s">
        <v>142</v>
      </c>
      <c r="D77" s="1"/>
      <c r="E77" s="1"/>
      <c r="F77" s="9">
        <v>0</v>
      </c>
      <c r="G77" s="10">
        <v>0</v>
      </c>
      <c r="H77" s="106"/>
    </row>
    <row r="78" spans="1:8" ht="14.1" customHeight="1" x14ac:dyDescent="0.2">
      <c r="A78" s="1"/>
      <c r="B78" s="1"/>
      <c r="C78" s="11"/>
      <c r="D78" s="1"/>
      <c r="E78" s="1"/>
      <c r="F78" s="12"/>
      <c r="G78" s="12"/>
      <c r="H78" s="106"/>
    </row>
    <row r="79" spans="1:8" ht="14.1" customHeight="1" x14ac:dyDescent="0.2">
      <c r="A79" s="1"/>
      <c r="B79" s="1"/>
      <c r="C79" s="2" t="s">
        <v>143</v>
      </c>
      <c r="D79" s="1"/>
      <c r="E79" s="1"/>
      <c r="F79" s="12"/>
      <c r="G79" s="12"/>
      <c r="H79" s="106"/>
    </row>
    <row r="80" spans="1:8" ht="14.1" customHeight="1" x14ac:dyDescent="0.2">
      <c r="A80" s="1"/>
      <c r="B80" s="1"/>
      <c r="C80" s="2" t="s">
        <v>144</v>
      </c>
      <c r="D80" s="1"/>
      <c r="E80" s="1"/>
      <c r="F80" s="12"/>
      <c r="G80" s="12"/>
      <c r="H80" s="106"/>
    </row>
    <row r="81" spans="1:8" ht="14.1" customHeight="1" x14ac:dyDescent="0.2">
      <c r="A81" s="1"/>
      <c r="B81" s="1"/>
      <c r="C81" s="2" t="s">
        <v>130</v>
      </c>
      <c r="D81" s="1"/>
      <c r="E81" s="1" t="s">
        <v>131</v>
      </c>
      <c r="F81" s="13">
        <v>0</v>
      </c>
      <c r="G81" s="14">
        <v>0</v>
      </c>
      <c r="H81" s="106"/>
    </row>
    <row r="82" spans="1:8" ht="14.1" customHeight="1" x14ac:dyDescent="0.2">
      <c r="A82" s="1"/>
      <c r="B82" s="1"/>
      <c r="C82" s="11"/>
      <c r="D82" s="1"/>
      <c r="E82" s="1"/>
      <c r="F82" s="12"/>
      <c r="G82" s="12"/>
      <c r="H82" s="106"/>
    </row>
    <row r="83" spans="1:8" ht="14.1" customHeight="1" x14ac:dyDescent="0.2">
      <c r="A83" s="1"/>
      <c r="B83" s="1"/>
      <c r="C83" s="2" t="s">
        <v>145</v>
      </c>
      <c r="D83" s="1"/>
      <c r="E83" s="1"/>
      <c r="F83" s="12"/>
      <c r="G83" s="12"/>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146</v>
      </c>
      <c r="D86" s="1"/>
      <c r="E86" s="1"/>
      <c r="F86" s="12"/>
      <c r="G86" s="12"/>
      <c r="H86" s="106"/>
    </row>
    <row r="87" spans="1:8" ht="14.1" customHeight="1" x14ac:dyDescent="0.2">
      <c r="A87" s="1"/>
      <c r="B87" s="1"/>
      <c r="C87" s="2" t="s">
        <v>130</v>
      </c>
      <c r="D87" s="1"/>
      <c r="E87" s="1" t="s">
        <v>131</v>
      </c>
      <c r="F87" s="13">
        <v>0</v>
      </c>
      <c r="G87" s="14">
        <v>0</v>
      </c>
      <c r="H87" s="106"/>
    </row>
    <row r="88" spans="1:8" ht="14.1" customHeight="1" x14ac:dyDescent="0.2">
      <c r="A88" s="1"/>
      <c r="B88" s="1"/>
      <c r="C88" s="11"/>
      <c r="D88" s="1"/>
      <c r="E88" s="1"/>
      <c r="F88" s="12"/>
      <c r="G88" s="12"/>
      <c r="H88" s="106"/>
    </row>
    <row r="89" spans="1:8" ht="14.1" customHeight="1" x14ac:dyDescent="0.2">
      <c r="A89" s="1"/>
      <c r="B89" s="1"/>
      <c r="C89" s="2" t="s">
        <v>147</v>
      </c>
      <c r="D89" s="1"/>
      <c r="E89" s="1"/>
      <c r="F89" s="12"/>
      <c r="G89" s="12"/>
      <c r="H89" s="106"/>
    </row>
    <row r="90" spans="1:8" ht="17.100000000000001" customHeight="1" x14ac:dyDescent="0.2">
      <c r="A90" s="3">
        <v>1</v>
      </c>
      <c r="B90" s="4"/>
      <c r="C90" s="4" t="s">
        <v>148</v>
      </c>
      <c r="D90" s="4"/>
      <c r="E90" s="8"/>
      <c r="F90" s="6">
        <v>67.699554199999994</v>
      </c>
      <c r="G90" s="7">
        <v>3.7710094E-2</v>
      </c>
      <c r="H90" s="106">
        <v>6.1171451766917002</v>
      </c>
    </row>
    <row r="91" spans="1:8" ht="14.1" customHeight="1" x14ac:dyDescent="0.2">
      <c r="A91" s="1"/>
      <c r="B91" s="1"/>
      <c r="C91" s="2" t="s">
        <v>130</v>
      </c>
      <c r="D91" s="1"/>
      <c r="E91" s="1" t="s">
        <v>131</v>
      </c>
      <c r="F91" s="9">
        <v>67.699554199999994</v>
      </c>
      <c r="G91" s="10">
        <v>3.7710094E-2</v>
      </c>
      <c r="H91" s="106"/>
    </row>
    <row r="92" spans="1:8" ht="14.1" customHeight="1" x14ac:dyDescent="0.2">
      <c r="A92" s="1"/>
      <c r="B92" s="1"/>
      <c r="C92" s="11"/>
      <c r="D92" s="1"/>
      <c r="E92" s="1"/>
      <c r="F92" s="12"/>
      <c r="G92" s="12"/>
      <c r="H92" s="106"/>
    </row>
    <row r="93" spans="1:8" ht="14.1" customHeight="1" x14ac:dyDescent="0.2">
      <c r="A93" s="1"/>
      <c r="B93" s="1"/>
      <c r="C93" s="2" t="s">
        <v>149</v>
      </c>
      <c r="D93" s="1"/>
      <c r="E93" s="1"/>
      <c r="F93" s="9">
        <v>67.699554199999994</v>
      </c>
      <c r="G93" s="10">
        <v>3.7710094E-2</v>
      </c>
      <c r="H93" s="106"/>
    </row>
    <row r="94" spans="1:8" ht="14.1" customHeight="1" x14ac:dyDescent="0.2">
      <c r="A94" s="1"/>
      <c r="B94" s="1"/>
      <c r="C94" s="12"/>
      <c r="D94" s="1"/>
      <c r="E94" s="1"/>
      <c r="F94" s="1"/>
      <c r="G94" s="1"/>
      <c r="H94" s="106"/>
    </row>
    <row r="95" spans="1:8" ht="14.1" customHeight="1" x14ac:dyDescent="0.2">
      <c r="A95" s="1"/>
      <c r="B95" s="1"/>
      <c r="C95" s="2" t="s">
        <v>150</v>
      </c>
      <c r="D95" s="1"/>
      <c r="E95" s="1"/>
      <c r="F95" s="1"/>
      <c r="G95" s="1"/>
      <c r="H95" s="106"/>
    </row>
    <row r="96" spans="1:8" ht="14.1" customHeight="1" x14ac:dyDescent="0.2">
      <c r="A96" s="1"/>
      <c r="B96" s="1"/>
      <c r="C96" s="2" t="s">
        <v>151</v>
      </c>
      <c r="D96" s="1"/>
      <c r="E96" s="1"/>
      <c r="F96" s="1"/>
      <c r="G96" s="1"/>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152</v>
      </c>
      <c r="D99" s="1"/>
      <c r="E99" s="1"/>
      <c r="F99" s="1"/>
      <c r="G99" s="1"/>
      <c r="H99" s="106"/>
    </row>
    <row r="100" spans="1:8" ht="14.1" customHeight="1" x14ac:dyDescent="0.2">
      <c r="A100" s="1"/>
      <c r="B100" s="1"/>
      <c r="C100" s="2" t="s">
        <v>153</v>
      </c>
      <c r="D100" s="1"/>
      <c r="E100" s="1"/>
      <c r="F100" s="1"/>
      <c r="G100" s="1"/>
      <c r="H100" s="106"/>
    </row>
    <row r="101" spans="1:8" ht="14.1" customHeight="1" x14ac:dyDescent="0.2">
      <c r="A101" s="1"/>
      <c r="B101" s="1"/>
      <c r="C101" s="2" t="s">
        <v>130</v>
      </c>
      <c r="D101" s="1"/>
      <c r="E101" s="1" t="s">
        <v>131</v>
      </c>
      <c r="F101" s="13">
        <v>0</v>
      </c>
      <c r="G101" s="14">
        <v>0</v>
      </c>
      <c r="H101" s="106"/>
    </row>
    <row r="102" spans="1:8" ht="14.1" customHeight="1" x14ac:dyDescent="0.2">
      <c r="A102" s="1"/>
      <c r="B102" s="1"/>
      <c r="C102" s="11"/>
      <c r="D102" s="1"/>
      <c r="E102" s="1"/>
      <c r="F102" s="12"/>
      <c r="G102" s="12"/>
      <c r="H102" s="106"/>
    </row>
    <row r="103" spans="1:8" ht="14.1" customHeight="1" x14ac:dyDescent="0.2">
      <c r="A103" s="1"/>
      <c r="B103" s="1"/>
      <c r="C103" s="11"/>
      <c r="D103" s="1"/>
      <c r="E103" s="1"/>
      <c r="F103" s="12"/>
      <c r="G103" s="12"/>
      <c r="H103" s="106"/>
    </row>
    <row r="104" spans="1:8" ht="24" customHeight="1" x14ac:dyDescent="0.2">
      <c r="A104" s="1"/>
      <c r="B104" s="1"/>
      <c r="C104" s="2" t="s">
        <v>154</v>
      </c>
      <c r="D104" s="1"/>
      <c r="E104" s="1"/>
      <c r="F104" s="12"/>
      <c r="G104" s="12"/>
      <c r="H104" s="106"/>
    </row>
    <row r="105" spans="1:8" ht="14.1" customHeight="1" x14ac:dyDescent="0.2">
      <c r="A105" s="1"/>
      <c r="B105" s="1"/>
      <c r="C105" s="2" t="s">
        <v>130</v>
      </c>
      <c r="D105" s="1"/>
      <c r="E105" s="1" t="s">
        <v>131</v>
      </c>
      <c r="F105" s="13">
        <v>0</v>
      </c>
      <c r="G105" s="14">
        <v>0</v>
      </c>
      <c r="H105" s="106"/>
    </row>
    <row r="106" spans="1:8" ht="14.1" customHeight="1" x14ac:dyDescent="0.2">
      <c r="A106" s="1"/>
      <c r="B106" s="1"/>
      <c r="C106" s="11"/>
      <c r="D106" s="1"/>
      <c r="E106" s="1"/>
      <c r="F106" s="12"/>
      <c r="G106" s="12"/>
      <c r="H106" s="106"/>
    </row>
    <row r="107" spans="1:8" ht="14.1" customHeight="1" x14ac:dyDescent="0.2">
      <c r="A107" s="1"/>
      <c r="B107" s="4"/>
      <c r="C107" s="4"/>
      <c r="D107" s="2"/>
      <c r="E107" s="1"/>
      <c r="F107" s="4"/>
      <c r="G107" s="8"/>
      <c r="H107" s="106"/>
    </row>
    <row r="108" spans="1:8" ht="18" customHeight="1" x14ac:dyDescent="0.2">
      <c r="A108" s="8"/>
      <c r="B108" s="4"/>
      <c r="C108" s="4" t="s">
        <v>155</v>
      </c>
      <c r="D108" s="4"/>
      <c r="E108" s="8"/>
      <c r="F108" s="6">
        <v>0.58171640000000002</v>
      </c>
      <c r="G108" s="7">
        <v>3.2402800000000002E-4</v>
      </c>
      <c r="H108" s="106"/>
    </row>
    <row r="109" spans="1:8" ht="14.1" customHeight="1" x14ac:dyDescent="0.2">
      <c r="A109" s="11"/>
      <c r="B109" s="11"/>
      <c r="C109" s="2" t="s">
        <v>156</v>
      </c>
      <c r="D109" s="15"/>
      <c r="E109" s="15"/>
      <c r="F109" s="9">
        <v>1795.2634661</v>
      </c>
      <c r="G109" s="10">
        <v>0.99999999699999997</v>
      </c>
      <c r="H109" s="106"/>
    </row>
    <row r="110" spans="1:8" ht="14.1" customHeight="1" x14ac:dyDescent="0.2">
      <c r="A110" s="16"/>
      <c r="B110" s="16"/>
      <c r="C110" s="16"/>
      <c r="D110" s="17"/>
      <c r="E110" s="17"/>
      <c r="F110" s="17"/>
      <c r="G110" s="17"/>
    </row>
    <row r="111" spans="1:8" ht="14.1" customHeight="1" x14ac:dyDescent="0.2">
      <c r="A111" s="18"/>
      <c r="B111" s="18"/>
      <c r="C111" s="18"/>
      <c r="D111" s="20"/>
      <c r="E111" s="20"/>
      <c r="F111" s="20"/>
      <c r="G111" s="20"/>
    </row>
    <row r="112" spans="1:8" ht="14.1" customHeight="1" x14ac:dyDescent="0.2">
      <c r="A112" s="18"/>
      <c r="B112" s="279" t="s">
        <v>158</v>
      </c>
      <c r="C112" s="280"/>
      <c r="D112" s="12" t="s">
        <v>131</v>
      </c>
      <c r="E112" s="21"/>
      <c r="F112" s="20"/>
      <c r="G112" s="20"/>
    </row>
    <row r="113" spans="1:7" ht="29.1" customHeight="1" x14ac:dyDescent="0.2">
      <c r="A113" s="18"/>
      <c r="B113" s="274" t="s">
        <v>159</v>
      </c>
      <c r="C113" s="275"/>
      <c r="D113" s="2" t="s">
        <v>160</v>
      </c>
      <c r="E113" s="21"/>
      <c r="F113" s="20"/>
      <c r="G113" s="20"/>
    </row>
    <row r="114" spans="1:7" ht="17.100000000000001" customHeight="1" x14ac:dyDescent="0.2">
      <c r="A114" s="18"/>
      <c r="B114" s="274" t="s">
        <v>161</v>
      </c>
      <c r="C114" s="275"/>
      <c r="D114" s="2" t="s">
        <v>160</v>
      </c>
      <c r="E114" s="21"/>
      <c r="F114" s="20"/>
      <c r="G114" s="20"/>
    </row>
    <row r="115" spans="1:7" ht="17.100000000000001" customHeight="1" x14ac:dyDescent="0.2">
      <c r="A115" s="18"/>
      <c r="B115" s="274" t="s">
        <v>162</v>
      </c>
      <c r="C115" s="275"/>
      <c r="D115" s="12" t="s">
        <v>131</v>
      </c>
      <c r="E115" s="21"/>
      <c r="F115" s="20"/>
      <c r="G115" s="20"/>
    </row>
    <row r="116" spans="1:7" ht="24" customHeight="1" x14ac:dyDescent="0.2">
      <c r="A116" s="22"/>
      <c r="B116" s="23" t="s">
        <v>131</v>
      </c>
      <c r="C116" s="23" t="s">
        <v>163</v>
      </c>
      <c r="D116" s="23" t="s">
        <v>164</v>
      </c>
      <c r="E116" s="22"/>
      <c r="F116" s="22"/>
      <c r="G116" s="22"/>
    </row>
    <row r="117" spans="1:7" ht="18" customHeight="1" x14ac:dyDescent="0.2">
      <c r="A117" s="22"/>
      <c r="B117" s="23" t="s">
        <v>165</v>
      </c>
      <c r="C117" s="23" t="s">
        <v>166</v>
      </c>
      <c r="D117" s="23" t="s">
        <v>167</v>
      </c>
      <c r="E117" s="22"/>
      <c r="F117" s="22"/>
      <c r="G117" s="22"/>
    </row>
    <row r="118" spans="1:7" ht="17.100000000000001" customHeight="1" x14ac:dyDescent="0.2">
      <c r="A118" s="22"/>
      <c r="B118" s="4" t="s">
        <v>168</v>
      </c>
      <c r="C118" s="24">
        <v>22.449000000000002</v>
      </c>
      <c r="D118" s="24">
        <v>23.547999999999998</v>
      </c>
      <c r="E118" s="22"/>
      <c r="F118" s="19"/>
      <c r="G118" s="25"/>
    </row>
    <row r="119" spans="1:7" ht="17.100000000000001" customHeight="1" x14ac:dyDescent="0.2">
      <c r="A119" s="22"/>
      <c r="B119" s="4" t="s">
        <v>1048</v>
      </c>
      <c r="C119" s="24">
        <v>18.700900000000001</v>
      </c>
      <c r="D119" s="24">
        <v>19.616499999999998</v>
      </c>
      <c r="E119" s="22"/>
      <c r="F119" s="19"/>
      <c r="G119" s="25"/>
    </row>
    <row r="120" spans="1:7" ht="17.100000000000001" customHeight="1" x14ac:dyDescent="0.2">
      <c r="A120" s="22"/>
      <c r="B120" s="4" t="s">
        <v>169</v>
      </c>
      <c r="C120" s="24">
        <v>21.912600000000001</v>
      </c>
      <c r="D120" s="24">
        <v>22.978400000000001</v>
      </c>
      <c r="E120" s="22"/>
      <c r="F120" s="19"/>
      <c r="G120" s="25"/>
    </row>
    <row r="121" spans="1:7" ht="17.100000000000001" customHeight="1" x14ac:dyDescent="0.2">
      <c r="A121" s="22"/>
      <c r="B121" s="4" t="s">
        <v>1049</v>
      </c>
      <c r="C121" s="24">
        <v>18.191800000000001</v>
      </c>
      <c r="D121" s="24">
        <v>19.076599999999999</v>
      </c>
      <c r="E121" s="22"/>
      <c r="F121" s="19"/>
      <c r="G121" s="25"/>
    </row>
    <row r="122" spans="1:7" ht="14.1" customHeight="1" x14ac:dyDescent="0.2">
      <c r="A122" s="22"/>
      <c r="B122" s="22"/>
      <c r="C122" s="22"/>
      <c r="D122" s="22"/>
      <c r="E122" s="22"/>
      <c r="F122" s="22"/>
      <c r="G122" s="22"/>
    </row>
    <row r="123" spans="1:7" ht="17.100000000000001" customHeight="1" x14ac:dyDescent="0.2">
      <c r="A123" s="22"/>
      <c r="B123" s="274" t="s">
        <v>1060</v>
      </c>
      <c r="C123" s="275"/>
      <c r="D123" s="2" t="s">
        <v>160</v>
      </c>
      <c r="E123" s="22"/>
      <c r="F123" s="22"/>
      <c r="G123" s="22"/>
    </row>
    <row r="124" spans="1:7" ht="18" customHeight="1" x14ac:dyDescent="0.2">
      <c r="A124" s="22"/>
      <c r="B124" s="26" t="s">
        <v>170</v>
      </c>
      <c r="C124" s="26" t="s">
        <v>170</v>
      </c>
      <c r="D124" s="26"/>
      <c r="E124" s="22"/>
      <c r="F124" s="22"/>
      <c r="G124" s="22"/>
    </row>
    <row r="125" spans="1:7" ht="29.1" customHeight="1" x14ac:dyDescent="0.2">
      <c r="A125" s="22"/>
      <c r="B125" s="274" t="s">
        <v>171</v>
      </c>
      <c r="C125" s="275"/>
      <c r="D125" s="2" t="s">
        <v>160</v>
      </c>
      <c r="E125" s="22"/>
      <c r="F125" s="22"/>
      <c r="G125" s="22"/>
    </row>
    <row r="126" spans="1:7" ht="29.1" customHeight="1" x14ac:dyDescent="0.2">
      <c r="A126" s="22"/>
      <c r="B126" s="274" t="s">
        <v>172</v>
      </c>
      <c r="C126" s="275"/>
      <c r="D126" s="2" t="s">
        <v>160</v>
      </c>
      <c r="E126" s="22"/>
      <c r="F126" s="22"/>
      <c r="G126" s="22"/>
    </row>
    <row r="127" spans="1:7" ht="17.100000000000001" customHeight="1" x14ac:dyDescent="0.2">
      <c r="A127" s="22"/>
      <c r="B127" s="274" t="s">
        <v>173</v>
      </c>
      <c r="C127" s="275"/>
      <c r="D127" s="27">
        <v>4.2392641293672671E-2</v>
      </c>
      <c r="E127" s="22"/>
      <c r="F127" s="19"/>
      <c r="G127" s="25"/>
    </row>
    <row r="128" spans="1:7" ht="17.100000000000001" customHeight="1" x14ac:dyDescent="0.2">
      <c r="A128" s="22"/>
      <c r="B128" s="274" t="s">
        <v>174</v>
      </c>
      <c r="C128" s="275"/>
      <c r="D128" s="2" t="s">
        <v>160</v>
      </c>
      <c r="E128" s="22"/>
      <c r="F128" s="22"/>
      <c r="G128" s="22"/>
    </row>
    <row r="130" spans="10:14" x14ac:dyDescent="0.2">
      <c r="J130" s="162"/>
      <c r="K130" s="162"/>
      <c r="L130" s="162"/>
      <c r="M130" s="162"/>
      <c r="N130" s="162"/>
    </row>
  </sheetData>
  <mergeCells count="13">
    <mergeCell ref="B112:C112"/>
    <mergeCell ref="A1:H1"/>
    <mergeCell ref="A2:H2"/>
    <mergeCell ref="A3:H3"/>
    <mergeCell ref="J2:N2"/>
    <mergeCell ref="B127:C127"/>
    <mergeCell ref="B128:C128"/>
    <mergeCell ref="B113:C113"/>
    <mergeCell ref="B114:C114"/>
    <mergeCell ref="B115:C115"/>
    <mergeCell ref="B123:C123"/>
    <mergeCell ref="B125:C125"/>
    <mergeCell ref="B126:C126"/>
  </mergeCells>
  <hyperlinks>
    <hyperlink ref="I1" location="Index!B16" display="Index" xr:uid="{F1F0F56B-B7EF-4635-8FD0-E5650ADEDB3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12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495</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12088</v>
      </c>
      <c r="F7" s="6">
        <v>109.843656</v>
      </c>
      <c r="G7" s="7">
        <v>9.6085896000000004E-2</v>
      </c>
      <c r="H7" s="106"/>
    </row>
    <row r="8" spans="1:14" ht="17.100000000000001" customHeight="1" x14ac:dyDescent="0.2">
      <c r="A8" s="3">
        <v>2</v>
      </c>
      <c r="B8" s="4" t="s">
        <v>20</v>
      </c>
      <c r="C8" s="4" t="s">
        <v>21</v>
      </c>
      <c r="D8" s="4" t="s">
        <v>22</v>
      </c>
      <c r="E8" s="5">
        <v>3489</v>
      </c>
      <c r="F8" s="6">
        <v>88.955544000000003</v>
      </c>
      <c r="G8" s="7">
        <v>7.781399E-2</v>
      </c>
      <c r="H8" s="106"/>
    </row>
    <row r="9" spans="1:14" ht="17.100000000000001" customHeight="1" x14ac:dyDescent="0.2">
      <c r="A9" s="3">
        <v>3</v>
      </c>
      <c r="B9" s="4" t="s">
        <v>296</v>
      </c>
      <c r="C9" s="4" t="s">
        <v>297</v>
      </c>
      <c r="D9" s="4" t="s">
        <v>1114</v>
      </c>
      <c r="E9" s="5">
        <v>5779</v>
      </c>
      <c r="F9" s="6">
        <v>88.8607935</v>
      </c>
      <c r="G9" s="7">
        <v>7.7731106999999994E-2</v>
      </c>
      <c r="H9" s="106"/>
    </row>
    <row r="10" spans="1:14" ht="17.100000000000001" customHeight="1" x14ac:dyDescent="0.2">
      <c r="A10" s="3">
        <v>4</v>
      </c>
      <c r="B10" s="4" t="s">
        <v>264</v>
      </c>
      <c r="C10" s="4" t="s">
        <v>265</v>
      </c>
      <c r="D10" s="4" t="s">
        <v>16</v>
      </c>
      <c r="E10" s="5">
        <v>4906</v>
      </c>
      <c r="F10" s="6">
        <v>73.428101999999996</v>
      </c>
      <c r="G10" s="7">
        <v>6.4231337999999999E-2</v>
      </c>
      <c r="H10" s="106"/>
    </row>
    <row r="11" spans="1:14" ht="17.100000000000001" customHeight="1" x14ac:dyDescent="0.2">
      <c r="A11" s="3">
        <v>5</v>
      </c>
      <c r="B11" s="4" t="s">
        <v>42</v>
      </c>
      <c r="C11" s="4" t="s">
        <v>43</v>
      </c>
      <c r="D11" s="4" t="s">
        <v>16</v>
      </c>
      <c r="E11" s="5">
        <v>12485</v>
      </c>
      <c r="F11" s="6">
        <v>71.638930000000002</v>
      </c>
      <c r="G11" s="7">
        <v>6.2666257000000003E-2</v>
      </c>
      <c r="H11" s="106"/>
    </row>
    <row r="12" spans="1:14" ht="29.1" customHeight="1" x14ac:dyDescent="0.2">
      <c r="A12" s="3">
        <v>6</v>
      </c>
      <c r="B12" s="4" t="s">
        <v>298</v>
      </c>
      <c r="C12" s="4" t="s">
        <v>299</v>
      </c>
      <c r="D12" s="4" t="s">
        <v>99</v>
      </c>
      <c r="E12" s="5">
        <v>2230</v>
      </c>
      <c r="F12" s="6">
        <v>55.076540000000001</v>
      </c>
      <c r="G12" s="7">
        <v>4.8178282000000003E-2</v>
      </c>
      <c r="H12" s="106"/>
    </row>
    <row r="13" spans="1:14" ht="17.100000000000001" customHeight="1" x14ac:dyDescent="0.2">
      <c r="A13" s="3">
        <v>7</v>
      </c>
      <c r="B13" s="4" t="s">
        <v>178</v>
      </c>
      <c r="C13" s="4" t="s">
        <v>179</v>
      </c>
      <c r="D13" s="4" t="s">
        <v>16</v>
      </c>
      <c r="E13" s="5">
        <v>5335</v>
      </c>
      <c r="F13" s="6">
        <v>48.335099999999997</v>
      </c>
      <c r="G13" s="7">
        <v>4.2281197999999999E-2</v>
      </c>
      <c r="H13" s="106"/>
      <c r="J13" s="161" t="s">
        <v>1085</v>
      </c>
    </row>
    <row r="14" spans="1:14" ht="17.100000000000001" customHeight="1" x14ac:dyDescent="0.2">
      <c r="A14" s="3">
        <v>8</v>
      </c>
      <c r="B14" s="4" t="s">
        <v>11</v>
      </c>
      <c r="C14" s="4" t="s">
        <v>12</v>
      </c>
      <c r="D14" s="4" t="s">
        <v>13</v>
      </c>
      <c r="E14" s="5">
        <v>2233</v>
      </c>
      <c r="F14" s="6">
        <v>45.175823000000001</v>
      </c>
      <c r="G14" s="7">
        <v>3.9517615999999998E-2</v>
      </c>
      <c r="H14" s="106"/>
    </row>
    <row r="15" spans="1:14" ht="17.100000000000001" customHeight="1" x14ac:dyDescent="0.2">
      <c r="A15" s="3">
        <v>9</v>
      </c>
      <c r="B15" s="4" t="s">
        <v>17</v>
      </c>
      <c r="C15" s="4" t="s">
        <v>18</v>
      </c>
      <c r="D15" s="4" t="s">
        <v>19</v>
      </c>
      <c r="E15" s="5">
        <v>4570</v>
      </c>
      <c r="F15" s="6">
        <v>38.022399999999998</v>
      </c>
      <c r="G15" s="7">
        <v>3.3260149000000003E-2</v>
      </c>
      <c r="H15" s="106"/>
    </row>
    <row r="16" spans="1:14" ht="29.1" customHeight="1" x14ac:dyDescent="0.2">
      <c r="A16" s="3">
        <v>10</v>
      </c>
      <c r="B16" s="4" t="s">
        <v>23</v>
      </c>
      <c r="C16" s="4" t="s">
        <v>24</v>
      </c>
      <c r="D16" s="4" t="s">
        <v>25</v>
      </c>
      <c r="E16" s="5">
        <v>501</v>
      </c>
      <c r="F16" s="6">
        <v>33.641899500000001</v>
      </c>
      <c r="G16" s="7">
        <v>2.9428300000000001E-2</v>
      </c>
      <c r="H16" s="106"/>
    </row>
    <row r="17" spans="1:8" ht="17.100000000000001" customHeight="1" x14ac:dyDescent="0.2">
      <c r="A17" s="3">
        <v>11</v>
      </c>
      <c r="B17" s="4" t="s">
        <v>358</v>
      </c>
      <c r="C17" s="4" t="s">
        <v>359</v>
      </c>
      <c r="D17" s="4" t="s">
        <v>70</v>
      </c>
      <c r="E17" s="5">
        <v>7590</v>
      </c>
      <c r="F17" s="6">
        <v>31.327725000000001</v>
      </c>
      <c r="G17" s="7">
        <v>2.7403971999999999E-2</v>
      </c>
      <c r="H17" s="106"/>
    </row>
    <row r="18" spans="1:8" ht="17.100000000000001" customHeight="1" x14ac:dyDescent="0.2">
      <c r="A18" s="3">
        <v>12</v>
      </c>
      <c r="B18" s="4" t="s">
        <v>371</v>
      </c>
      <c r="C18" s="4" t="s">
        <v>372</v>
      </c>
      <c r="D18" s="4" t="s">
        <v>110</v>
      </c>
      <c r="E18" s="5">
        <v>959</v>
      </c>
      <c r="F18" s="6">
        <v>26.482785</v>
      </c>
      <c r="G18" s="7">
        <v>2.3165854E-2</v>
      </c>
      <c r="H18" s="106"/>
    </row>
    <row r="19" spans="1:8" ht="17.100000000000001" customHeight="1" x14ac:dyDescent="0.2">
      <c r="A19" s="3">
        <v>13</v>
      </c>
      <c r="B19" s="4" t="s">
        <v>315</v>
      </c>
      <c r="C19" s="4" t="s">
        <v>316</v>
      </c>
      <c r="D19" s="4" t="s">
        <v>310</v>
      </c>
      <c r="E19" s="5">
        <v>7286</v>
      </c>
      <c r="F19" s="6">
        <v>25.406282000000001</v>
      </c>
      <c r="G19" s="7">
        <v>2.2224181999999999E-2</v>
      </c>
      <c r="H19" s="106"/>
    </row>
    <row r="20" spans="1:8" ht="29.1" customHeight="1" x14ac:dyDescent="0.2">
      <c r="A20" s="3">
        <v>14</v>
      </c>
      <c r="B20" s="4" t="s">
        <v>196</v>
      </c>
      <c r="C20" s="4" t="s">
        <v>197</v>
      </c>
      <c r="D20" s="4" t="s">
        <v>188</v>
      </c>
      <c r="E20" s="5">
        <v>526</v>
      </c>
      <c r="F20" s="6">
        <v>23.942205000000001</v>
      </c>
      <c r="G20" s="7">
        <v>2.0943478000000001E-2</v>
      </c>
      <c r="H20" s="106"/>
    </row>
    <row r="21" spans="1:8" ht="17.100000000000001" customHeight="1" x14ac:dyDescent="0.2">
      <c r="A21" s="3">
        <v>15</v>
      </c>
      <c r="B21" s="4" t="s">
        <v>300</v>
      </c>
      <c r="C21" s="4" t="s">
        <v>301</v>
      </c>
      <c r="D21" s="4" t="s">
        <v>245</v>
      </c>
      <c r="E21" s="5">
        <v>1859</v>
      </c>
      <c r="F21" s="6">
        <v>23.534010500000001</v>
      </c>
      <c r="G21" s="7">
        <v>2.0586409E-2</v>
      </c>
      <c r="H21" s="106"/>
    </row>
    <row r="22" spans="1:8" ht="17.100000000000001" customHeight="1" x14ac:dyDescent="0.2">
      <c r="A22" s="3">
        <v>16</v>
      </c>
      <c r="B22" s="4" t="s">
        <v>306</v>
      </c>
      <c r="C22" s="4" t="s">
        <v>307</v>
      </c>
      <c r="D22" s="4" t="s">
        <v>1114</v>
      </c>
      <c r="E22" s="5">
        <v>672</v>
      </c>
      <c r="F22" s="6">
        <v>21.457968000000001</v>
      </c>
      <c r="G22" s="7">
        <v>1.8770387999999999E-2</v>
      </c>
      <c r="H22" s="106"/>
    </row>
    <row r="23" spans="1:8" ht="29.1" customHeight="1" x14ac:dyDescent="0.2">
      <c r="A23" s="3">
        <v>17</v>
      </c>
      <c r="B23" s="4" t="s">
        <v>224</v>
      </c>
      <c r="C23" s="4" t="s">
        <v>225</v>
      </c>
      <c r="D23" s="4" t="s">
        <v>209</v>
      </c>
      <c r="E23" s="5">
        <v>2059</v>
      </c>
      <c r="F23" s="6">
        <v>19.8147865</v>
      </c>
      <c r="G23" s="7">
        <v>1.7333013000000001E-2</v>
      </c>
      <c r="H23" s="106"/>
    </row>
    <row r="24" spans="1:8" ht="17.100000000000001" customHeight="1" x14ac:dyDescent="0.2">
      <c r="A24" s="3">
        <v>18</v>
      </c>
      <c r="B24" s="4" t="s">
        <v>313</v>
      </c>
      <c r="C24" s="4" t="s">
        <v>314</v>
      </c>
      <c r="D24" s="4" t="s">
        <v>1114</v>
      </c>
      <c r="E24" s="5">
        <v>1859</v>
      </c>
      <c r="F24" s="6">
        <v>19.354978500000001</v>
      </c>
      <c r="G24" s="7">
        <v>1.6930794999999998E-2</v>
      </c>
      <c r="H24" s="106"/>
    </row>
    <row r="25" spans="1:8" ht="17.100000000000001" customHeight="1" x14ac:dyDescent="0.2">
      <c r="A25" s="3">
        <v>19</v>
      </c>
      <c r="B25" s="4" t="s">
        <v>194</v>
      </c>
      <c r="C25" s="4" t="s">
        <v>195</v>
      </c>
      <c r="D25" s="4" t="s">
        <v>16</v>
      </c>
      <c r="E25" s="5">
        <v>12176</v>
      </c>
      <c r="F25" s="6">
        <v>17.983951999999999</v>
      </c>
      <c r="G25" s="7">
        <v>1.5731487999999998E-2</v>
      </c>
      <c r="H25" s="106"/>
    </row>
    <row r="26" spans="1:8" ht="17.100000000000001" customHeight="1" x14ac:dyDescent="0.2">
      <c r="A26" s="3">
        <v>20</v>
      </c>
      <c r="B26" s="4" t="s">
        <v>235</v>
      </c>
      <c r="C26" s="4" t="s">
        <v>236</v>
      </c>
      <c r="D26" s="4" t="s">
        <v>237</v>
      </c>
      <c r="E26" s="5">
        <v>3810</v>
      </c>
      <c r="F26" s="6">
        <v>17.520285000000001</v>
      </c>
      <c r="G26" s="7">
        <v>1.5325894E-2</v>
      </c>
      <c r="H26" s="106"/>
    </row>
    <row r="27" spans="1:8" ht="17.100000000000001" customHeight="1" x14ac:dyDescent="0.2">
      <c r="A27" s="3">
        <v>21</v>
      </c>
      <c r="B27" s="4" t="s">
        <v>335</v>
      </c>
      <c r="C27" s="4" t="s">
        <v>336</v>
      </c>
      <c r="D27" s="4" t="s">
        <v>16</v>
      </c>
      <c r="E27" s="5">
        <v>916</v>
      </c>
      <c r="F27" s="6">
        <v>17.421862000000001</v>
      </c>
      <c r="G27" s="7">
        <v>1.5239799E-2</v>
      </c>
      <c r="H27" s="106"/>
    </row>
    <row r="28" spans="1:8" ht="17.100000000000001" customHeight="1" x14ac:dyDescent="0.2">
      <c r="A28" s="3">
        <v>22</v>
      </c>
      <c r="B28" s="4" t="s">
        <v>279</v>
      </c>
      <c r="C28" s="4" t="s">
        <v>280</v>
      </c>
      <c r="D28" s="4" t="s">
        <v>22</v>
      </c>
      <c r="E28" s="5">
        <v>8132</v>
      </c>
      <c r="F28" s="6">
        <v>17.390281999999999</v>
      </c>
      <c r="G28" s="7">
        <v>1.5212174E-2</v>
      </c>
      <c r="H28" s="106"/>
    </row>
    <row r="29" spans="1:8" ht="17.100000000000001" customHeight="1" x14ac:dyDescent="0.2">
      <c r="A29" s="3">
        <v>23</v>
      </c>
      <c r="B29" s="4" t="s">
        <v>416</v>
      </c>
      <c r="C29" s="4" t="s">
        <v>417</v>
      </c>
      <c r="D29" s="4" t="s">
        <v>212</v>
      </c>
      <c r="E29" s="5">
        <v>5791</v>
      </c>
      <c r="F29" s="6">
        <v>16.692557499999999</v>
      </c>
      <c r="G29" s="7">
        <v>1.4601839E-2</v>
      </c>
      <c r="H29" s="106"/>
    </row>
    <row r="30" spans="1:8" ht="17.100000000000001" customHeight="1" x14ac:dyDescent="0.2">
      <c r="A30" s="3">
        <v>24</v>
      </c>
      <c r="B30" s="4" t="s">
        <v>489</v>
      </c>
      <c r="C30" s="4" t="s">
        <v>490</v>
      </c>
      <c r="D30" s="4" t="s">
        <v>182</v>
      </c>
      <c r="E30" s="5">
        <v>4646</v>
      </c>
      <c r="F30" s="6">
        <v>16.442194000000001</v>
      </c>
      <c r="G30" s="7">
        <v>1.4382832999999999E-2</v>
      </c>
      <c r="H30" s="106"/>
    </row>
    <row r="31" spans="1:8" ht="17.100000000000001" customHeight="1" x14ac:dyDescent="0.2">
      <c r="A31" s="3">
        <v>25</v>
      </c>
      <c r="B31" s="4" t="s">
        <v>87</v>
      </c>
      <c r="C31" s="4" t="s">
        <v>88</v>
      </c>
      <c r="D31" s="4" t="s">
        <v>89</v>
      </c>
      <c r="E31" s="5">
        <v>587</v>
      </c>
      <c r="F31" s="6">
        <v>16.169502000000001</v>
      </c>
      <c r="G31" s="7">
        <v>1.4144294999999999E-2</v>
      </c>
      <c r="H31" s="106"/>
    </row>
    <row r="32" spans="1:8" ht="29.1" customHeight="1" x14ac:dyDescent="0.2">
      <c r="A32" s="3">
        <v>26</v>
      </c>
      <c r="B32" s="4" t="s">
        <v>317</v>
      </c>
      <c r="C32" s="4" t="s">
        <v>318</v>
      </c>
      <c r="D32" s="4" t="s">
        <v>319</v>
      </c>
      <c r="E32" s="5">
        <v>2788</v>
      </c>
      <c r="F32" s="6">
        <v>15.412064000000001</v>
      </c>
      <c r="G32" s="7">
        <v>1.3481725E-2</v>
      </c>
      <c r="H32" s="106"/>
    </row>
    <row r="33" spans="1:8" ht="29.1" customHeight="1" x14ac:dyDescent="0.2">
      <c r="A33" s="3">
        <v>27</v>
      </c>
      <c r="B33" s="4" t="s">
        <v>491</v>
      </c>
      <c r="C33" s="4" t="s">
        <v>492</v>
      </c>
      <c r="D33" s="4" t="s">
        <v>204</v>
      </c>
      <c r="E33" s="5">
        <v>1213</v>
      </c>
      <c r="F33" s="6">
        <v>14.160562000000001</v>
      </c>
      <c r="G33" s="7">
        <v>1.2386972E-2</v>
      </c>
      <c r="H33" s="106"/>
    </row>
    <row r="34" spans="1:8" ht="17.100000000000001" customHeight="1" x14ac:dyDescent="0.2">
      <c r="A34" s="3">
        <v>28</v>
      </c>
      <c r="B34" s="4" t="s">
        <v>308</v>
      </c>
      <c r="C34" s="4" t="s">
        <v>309</v>
      </c>
      <c r="D34" s="4" t="s">
        <v>310</v>
      </c>
      <c r="E34" s="5">
        <v>517</v>
      </c>
      <c r="F34" s="6">
        <v>13.187118999999999</v>
      </c>
      <c r="G34" s="7">
        <v>1.1535451E-2</v>
      </c>
      <c r="H34" s="106"/>
    </row>
    <row r="35" spans="1:8" ht="17.100000000000001" customHeight="1" x14ac:dyDescent="0.2">
      <c r="A35" s="3">
        <v>29</v>
      </c>
      <c r="B35" s="4" t="s">
        <v>39</v>
      </c>
      <c r="C35" s="4" t="s">
        <v>40</v>
      </c>
      <c r="D35" s="4" t="s">
        <v>41</v>
      </c>
      <c r="E35" s="5">
        <v>1593</v>
      </c>
      <c r="F35" s="6">
        <v>12.71214</v>
      </c>
      <c r="G35" s="7">
        <v>1.1119963E-2</v>
      </c>
      <c r="H35" s="106"/>
    </row>
    <row r="36" spans="1:8" ht="17.100000000000001" customHeight="1" x14ac:dyDescent="0.2">
      <c r="A36" s="3">
        <v>30</v>
      </c>
      <c r="B36" s="4" t="s">
        <v>113</v>
      </c>
      <c r="C36" s="4" t="s">
        <v>114</v>
      </c>
      <c r="D36" s="4" t="s">
        <v>115</v>
      </c>
      <c r="E36" s="5">
        <v>2990</v>
      </c>
      <c r="F36" s="6">
        <v>12.128935</v>
      </c>
      <c r="G36" s="7">
        <v>1.0609802999999999E-2</v>
      </c>
      <c r="H36" s="106"/>
    </row>
    <row r="37" spans="1:8" ht="17.100000000000001" customHeight="1" x14ac:dyDescent="0.2">
      <c r="A37" s="3">
        <v>31</v>
      </c>
      <c r="B37" s="4" t="s">
        <v>104</v>
      </c>
      <c r="C37" s="4" t="s">
        <v>105</v>
      </c>
      <c r="D37" s="4" t="s">
        <v>22</v>
      </c>
      <c r="E37" s="5">
        <v>3989</v>
      </c>
      <c r="F37" s="6">
        <v>12.112598500000001</v>
      </c>
      <c r="G37" s="7">
        <v>1.0595513000000001E-2</v>
      </c>
      <c r="H37" s="106"/>
    </row>
    <row r="38" spans="1:8" ht="17.100000000000001" customHeight="1" x14ac:dyDescent="0.2">
      <c r="A38" s="3">
        <v>32</v>
      </c>
      <c r="B38" s="4" t="s">
        <v>339</v>
      </c>
      <c r="C38" s="4" t="s">
        <v>340</v>
      </c>
      <c r="D38" s="4" t="s">
        <v>16</v>
      </c>
      <c r="E38" s="5">
        <v>1052</v>
      </c>
      <c r="F38" s="6">
        <v>12.020678</v>
      </c>
      <c r="G38" s="7">
        <v>1.0515105E-2</v>
      </c>
      <c r="H38" s="106"/>
    </row>
    <row r="39" spans="1:8" ht="29.1" customHeight="1" x14ac:dyDescent="0.2">
      <c r="A39" s="3">
        <v>33</v>
      </c>
      <c r="B39" s="4" t="s">
        <v>364</v>
      </c>
      <c r="C39" s="4" t="s">
        <v>365</v>
      </c>
      <c r="D39" s="4" t="s">
        <v>366</v>
      </c>
      <c r="E39" s="5">
        <v>1535</v>
      </c>
      <c r="F39" s="6">
        <v>11.8218025</v>
      </c>
      <c r="G39" s="7">
        <v>1.0341138999999999E-2</v>
      </c>
      <c r="H39" s="106"/>
    </row>
    <row r="40" spans="1:8" ht="29.1" customHeight="1" x14ac:dyDescent="0.2">
      <c r="A40" s="3">
        <v>34</v>
      </c>
      <c r="B40" s="4" t="s">
        <v>493</v>
      </c>
      <c r="C40" s="4" t="s">
        <v>494</v>
      </c>
      <c r="D40" s="4" t="s">
        <v>25</v>
      </c>
      <c r="E40" s="5">
        <v>1266</v>
      </c>
      <c r="F40" s="6">
        <v>11.685180000000001</v>
      </c>
      <c r="G40" s="7">
        <v>1.0221628E-2</v>
      </c>
      <c r="H40" s="106"/>
    </row>
    <row r="41" spans="1:8" ht="17.100000000000001" customHeight="1" x14ac:dyDescent="0.2">
      <c r="A41" s="3">
        <v>35</v>
      </c>
      <c r="B41" s="4" t="s">
        <v>325</v>
      </c>
      <c r="C41" s="4" t="s">
        <v>326</v>
      </c>
      <c r="D41" s="4" t="s">
        <v>1114</v>
      </c>
      <c r="E41" s="5">
        <v>1742</v>
      </c>
      <c r="F41" s="6">
        <v>6.7337009999999999</v>
      </c>
      <c r="G41" s="7">
        <v>5.8903150000000001E-3</v>
      </c>
      <c r="H41" s="106"/>
    </row>
    <row r="42" spans="1:8" ht="29.1" customHeight="1" x14ac:dyDescent="0.2">
      <c r="A42" s="3">
        <v>36</v>
      </c>
      <c r="B42" s="4" t="s">
        <v>252</v>
      </c>
      <c r="C42" s="4" t="s">
        <v>253</v>
      </c>
      <c r="D42" s="4" t="s">
        <v>204</v>
      </c>
      <c r="E42" s="5">
        <v>311</v>
      </c>
      <c r="F42" s="6">
        <v>5.5493284999999997</v>
      </c>
      <c r="G42" s="7">
        <v>4.854283E-3</v>
      </c>
      <c r="H42" s="106"/>
    </row>
    <row r="43" spans="1:8" ht="17.100000000000001" customHeight="1" x14ac:dyDescent="0.2">
      <c r="A43" s="3">
        <v>37</v>
      </c>
      <c r="B43" s="4" t="s">
        <v>343</v>
      </c>
      <c r="C43" s="102" t="s">
        <v>1013</v>
      </c>
      <c r="D43" s="4" t="s">
        <v>19</v>
      </c>
      <c r="E43" s="5">
        <v>327</v>
      </c>
      <c r="F43" s="6">
        <v>1.4384729999999999</v>
      </c>
      <c r="G43" s="7">
        <v>1.2583060000000001E-3</v>
      </c>
      <c r="H43" s="106"/>
    </row>
    <row r="44" spans="1:8" ht="14.1" customHeight="1" x14ac:dyDescent="0.2">
      <c r="A44" s="1"/>
      <c r="B44" s="1"/>
      <c r="C44" s="2" t="s">
        <v>130</v>
      </c>
      <c r="D44" s="1"/>
      <c r="E44" s="1" t="s">
        <v>131</v>
      </c>
      <c r="F44" s="9">
        <v>1092.8827445000006</v>
      </c>
      <c r="G44" s="10">
        <v>0.95600074899999998</v>
      </c>
      <c r="H44" s="106"/>
    </row>
    <row r="45" spans="1:8" ht="14.1" customHeight="1" x14ac:dyDescent="0.2">
      <c r="A45" s="1"/>
      <c r="B45" s="1"/>
      <c r="C45" s="11"/>
      <c r="D45" s="1"/>
      <c r="E45" s="1"/>
      <c r="F45" s="12"/>
      <c r="G45" s="12"/>
      <c r="H45" s="106"/>
    </row>
    <row r="46" spans="1:8" ht="14.1" customHeight="1" x14ac:dyDescent="0.2">
      <c r="A46" s="1"/>
      <c r="B46" s="1"/>
      <c r="C46" s="2" t="s">
        <v>132</v>
      </c>
      <c r="D46" s="1"/>
      <c r="E46" s="1"/>
      <c r="F46" s="1"/>
      <c r="G46" s="1"/>
      <c r="H46" s="106"/>
    </row>
    <row r="47" spans="1:8" ht="14.1" customHeight="1" x14ac:dyDescent="0.2">
      <c r="A47" s="1"/>
      <c r="B47" s="1"/>
      <c r="C47" s="2" t="s">
        <v>130</v>
      </c>
      <c r="D47" s="1"/>
      <c r="E47" s="1" t="s">
        <v>131</v>
      </c>
      <c r="F47" s="13">
        <v>0</v>
      </c>
      <c r="G47" s="14">
        <v>0</v>
      </c>
      <c r="H47" s="106"/>
    </row>
    <row r="48" spans="1:8" ht="14.1" customHeight="1" x14ac:dyDescent="0.2">
      <c r="A48" s="1"/>
      <c r="B48" s="1"/>
      <c r="C48" s="11"/>
      <c r="D48" s="1"/>
      <c r="E48" s="1"/>
      <c r="F48" s="12"/>
      <c r="G48" s="12"/>
      <c r="H48" s="106"/>
    </row>
    <row r="49" spans="1:8" ht="14.1" customHeight="1" x14ac:dyDescent="0.2">
      <c r="A49" s="1"/>
      <c r="B49" s="1"/>
      <c r="C49" s="2" t="s">
        <v>133</v>
      </c>
      <c r="D49" s="1"/>
      <c r="E49" s="1"/>
      <c r="F49" s="1"/>
      <c r="G49" s="1"/>
      <c r="H49" s="106"/>
    </row>
    <row r="50" spans="1:8" ht="14.1" customHeight="1" x14ac:dyDescent="0.2">
      <c r="A50" s="1"/>
      <c r="B50" s="1"/>
      <c r="C50" s="2" t="s">
        <v>130</v>
      </c>
      <c r="D50" s="1"/>
      <c r="E50" s="1" t="s">
        <v>131</v>
      </c>
      <c r="F50" s="13">
        <v>0</v>
      </c>
      <c r="G50" s="14">
        <v>0</v>
      </c>
      <c r="H50" s="106"/>
    </row>
    <row r="51" spans="1:8" ht="14.1" customHeight="1" x14ac:dyDescent="0.2">
      <c r="A51" s="1"/>
      <c r="B51" s="1"/>
      <c r="C51" s="11"/>
      <c r="D51" s="1"/>
      <c r="E51" s="1"/>
      <c r="F51" s="12"/>
      <c r="G51" s="12"/>
      <c r="H51" s="106"/>
    </row>
    <row r="52" spans="1:8" ht="14.1" customHeight="1" x14ac:dyDescent="0.2">
      <c r="A52" s="1"/>
      <c r="B52" s="1"/>
      <c r="C52" s="2" t="s">
        <v>134</v>
      </c>
      <c r="D52" s="1"/>
      <c r="E52" s="1"/>
      <c r="F52" s="1"/>
      <c r="G52" s="1"/>
      <c r="H52" s="106"/>
    </row>
    <row r="53" spans="1:8" ht="14.1" customHeight="1" x14ac:dyDescent="0.2">
      <c r="A53" s="1"/>
      <c r="B53" s="1"/>
      <c r="C53" s="2" t="s">
        <v>130</v>
      </c>
      <c r="D53" s="1"/>
      <c r="E53" s="1" t="s">
        <v>131</v>
      </c>
      <c r="F53" s="9">
        <v>0</v>
      </c>
      <c r="G53" s="10">
        <v>0</v>
      </c>
      <c r="H53" s="106"/>
    </row>
    <row r="54" spans="1:8" ht="14.1" customHeight="1" x14ac:dyDescent="0.2">
      <c r="A54" s="1"/>
      <c r="B54" s="1"/>
      <c r="C54" s="11"/>
      <c r="D54" s="1"/>
      <c r="E54" s="1"/>
      <c r="F54" s="12"/>
      <c r="G54" s="12"/>
      <c r="H54" s="106"/>
    </row>
    <row r="55" spans="1:8" ht="14.1" customHeight="1" x14ac:dyDescent="0.2">
      <c r="A55" s="1"/>
      <c r="B55" s="1"/>
      <c r="C55" s="2" t="s">
        <v>135</v>
      </c>
      <c r="D55" s="1"/>
      <c r="E55" s="1"/>
      <c r="F55" s="12"/>
      <c r="G55" s="12"/>
      <c r="H55" s="106"/>
    </row>
    <row r="56" spans="1:8" ht="14.1" customHeight="1" x14ac:dyDescent="0.2">
      <c r="A56" s="1"/>
      <c r="B56" s="1"/>
      <c r="C56" s="2" t="s">
        <v>130</v>
      </c>
      <c r="D56" s="1"/>
      <c r="E56" s="1" t="s">
        <v>131</v>
      </c>
      <c r="F56" s="13">
        <v>0</v>
      </c>
      <c r="G56" s="14">
        <v>0</v>
      </c>
      <c r="H56" s="106"/>
    </row>
    <row r="57" spans="1:8" ht="14.1" customHeight="1" x14ac:dyDescent="0.2">
      <c r="A57" s="1"/>
      <c r="B57" s="1"/>
      <c r="C57" s="11"/>
      <c r="D57" s="1"/>
      <c r="E57" s="1"/>
      <c r="F57" s="12"/>
      <c r="G57" s="12"/>
      <c r="H57" s="106"/>
    </row>
    <row r="58" spans="1:8" ht="14.1" customHeight="1" x14ac:dyDescent="0.2">
      <c r="A58" s="1"/>
      <c r="B58" s="1"/>
      <c r="C58" s="2" t="s">
        <v>136</v>
      </c>
      <c r="D58" s="1"/>
      <c r="E58" s="1"/>
      <c r="F58" s="12"/>
      <c r="G58" s="12"/>
      <c r="H58" s="106"/>
    </row>
    <row r="59" spans="1:8" ht="14.1" customHeight="1" x14ac:dyDescent="0.2">
      <c r="A59" s="1"/>
      <c r="B59" s="1"/>
      <c r="C59" s="2" t="s">
        <v>130</v>
      </c>
      <c r="D59" s="1"/>
      <c r="E59" s="1" t="s">
        <v>131</v>
      </c>
      <c r="F59" s="13">
        <v>0</v>
      </c>
      <c r="G59" s="14">
        <v>0</v>
      </c>
      <c r="H59" s="106"/>
    </row>
    <row r="60" spans="1:8" ht="14.1" customHeight="1" x14ac:dyDescent="0.2">
      <c r="A60" s="1"/>
      <c r="B60" s="1"/>
      <c r="C60" s="11"/>
      <c r="D60" s="1"/>
      <c r="E60" s="1"/>
      <c r="F60" s="12"/>
      <c r="G60" s="12"/>
      <c r="H60" s="106"/>
    </row>
    <row r="61" spans="1:8" ht="18" customHeight="1" x14ac:dyDescent="0.2">
      <c r="A61" s="1"/>
      <c r="B61" s="1"/>
      <c r="C61" s="2" t="s">
        <v>137</v>
      </c>
      <c r="D61" s="1"/>
      <c r="E61" s="1"/>
      <c r="F61" s="9">
        <v>1092.8827444999999</v>
      </c>
      <c r="G61" s="10">
        <v>0.95600074899999998</v>
      </c>
      <c r="H61" s="106"/>
    </row>
    <row r="62" spans="1:8" ht="14.1" customHeight="1" x14ac:dyDescent="0.2">
      <c r="A62" s="1"/>
      <c r="B62" s="1"/>
      <c r="C62" s="11"/>
      <c r="D62" s="1"/>
      <c r="E62" s="1"/>
      <c r="F62" s="12"/>
      <c r="G62" s="12"/>
      <c r="H62" s="106"/>
    </row>
    <row r="63" spans="1:8" ht="14.1" customHeight="1" x14ac:dyDescent="0.2">
      <c r="A63" s="1"/>
      <c r="B63" s="1"/>
      <c r="C63" s="2" t="s">
        <v>138</v>
      </c>
      <c r="D63" s="1"/>
      <c r="E63" s="1"/>
      <c r="F63" s="12"/>
      <c r="G63" s="12"/>
      <c r="H63" s="106"/>
    </row>
    <row r="64" spans="1:8" ht="24" customHeight="1" x14ac:dyDescent="0.2">
      <c r="A64" s="1"/>
      <c r="B64" s="1"/>
      <c r="C64" s="2" t="s">
        <v>10</v>
      </c>
      <c r="D64" s="1"/>
      <c r="E64" s="1"/>
      <c r="F64" s="12"/>
      <c r="G64" s="12"/>
      <c r="H64" s="106"/>
    </row>
    <row r="65" spans="1:8" ht="14.1" customHeight="1" x14ac:dyDescent="0.2">
      <c r="A65" s="1"/>
      <c r="B65" s="1"/>
      <c r="C65" s="2" t="s">
        <v>130</v>
      </c>
      <c r="D65" s="1"/>
      <c r="E65" s="1" t="s">
        <v>131</v>
      </c>
      <c r="F65" s="13">
        <v>0</v>
      </c>
      <c r="G65" s="14">
        <v>0</v>
      </c>
      <c r="H65" s="106"/>
    </row>
    <row r="66" spans="1:8" ht="14.1" customHeight="1" x14ac:dyDescent="0.2">
      <c r="A66" s="1"/>
      <c r="B66" s="1"/>
      <c r="C66" s="11"/>
      <c r="D66" s="1"/>
      <c r="E66" s="1"/>
      <c r="F66" s="12"/>
      <c r="G66" s="12"/>
      <c r="H66" s="106"/>
    </row>
    <row r="67" spans="1:8" ht="14.1" customHeight="1" x14ac:dyDescent="0.2">
      <c r="A67" s="1"/>
      <c r="B67" s="1"/>
      <c r="C67" s="2" t="s">
        <v>139</v>
      </c>
      <c r="D67" s="1"/>
      <c r="E67" s="1"/>
      <c r="F67" s="1"/>
      <c r="G67" s="1"/>
      <c r="H67" s="106"/>
    </row>
    <row r="68" spans="1:8" ht="14.1" customHeight="1" x14ac:dyDescent="0.2">
      <c r="A68" s="1"/>
      <c r="B68" s="1"/>
      <c r="C68" s="2" t="s">
        <v>130</v>
      </c>
      <c r="D68" s="1"/>
      <c r="E68" s="1" t="s">
        <v>131</v>
      </c>
      <c r="F68" s="13">
        <v>0</v>
      </c>
      <c r="G68" s="14">
        <v>0</v>
      </c>
      <c r="H68" s="106"/>
    </row>
    <row r="69" spans="1:8" ht="14.1" customHeight="1" x14ac:dyDescent="0.2">
      <c r="A69" s="1"/>
      <c r="B69" s="1"/>
      <c r="C69" s="11"/>
      <c r="D69" s="1"/>
      <c r="E69" s="1"/>
      <c r="F69" s="12"/>
      <c r="G69" s="12"/>
      <c r="H69" s="106"/>
    </row>
    <row r="70" spans="1:8" ht="14.1" customHeight="1" x14ac:dyDescent="0.2">
      <c r="A70" s="1"/>
      <c r="B70" s="1"/>
      <c r="C70" s="2" t="s">
        <v>140</v>
      </c>
      <c r="D70" s="1"/>
      <c r="E70" s="1"/>
      <c r="F70" s="1"/>
      <c r="G70" s="1"/>
      <c r="H70" s="106"/>
    </row>
    <row r="71" spans="1:8" ht="14.1" customHeight="1" x14ac:dyDescent="0.2">
      <c r="A71" s="1"/>
      <c r="B71" s="1"/>
      <c r="C71" s="2" t="s">
        <v>130</v>
      </c>
      <c r="D71" s="1"/>
      <c r="E71" s="1" t="s">
        <v>131</v>
      </c>
      <c r="F71" s="13">
        <v>0</v>
      </c>
      <c r="G71" s="14">
        <v>0</v>
      </c>
      <c r="H71" s="106"/>
    </row>
    <row r="72" spans="1:8" ht="14.1" customHeight="1" x14ac:dyDescent="0.2">
      <c r="A72" s="1"/>
      <c r="B72" s="1"/>
      <c r="C72" s="11"/>
      <c r="D72" s="1"/>
      <c r="E72" s="1"/>
      <c r="F72" s="12"/>
      <c r="G72" s="12"/>
      <c r="H72" s="106"/>
    </row>
    <row r="73" spans="1:8" ht="14.1" customHeight="1" x14ac:dyDescent="0.2">
      <c r="A73" s="1"/>
      <c r="B73" s="1"/>
      <c r="C73" s="2" t="s">
        <v>141</v>
      </c>
      <c r="D73" s="1"/>
      <c r="E73" s="1"/>
      <c r="F73" s="12"/>
      <c r="G73" s="12"/>
      <c r="H73" s="106"/>
    </row>
    <row r="74" spans="1:8" ht="14.1" customHeight="1" x14ac:dyDescent="0.2">
      <c r="A74" s="1"/>
      <c r="B74" s="1"/>
      <c r="C74" s="2" t="s">
        <v>130</v>
      </c>
      <c r="D74" s="1"/>
      <c r="E74" s="1" t="s">
        <v>131</v>
      </c>
      <c r="F74" s="13">
        <v>0</v>
      </c>
      <c r="G74" s="14">
        <v>0</v>
      </c>
      <c r="H74" s="106"/>
    </row>
    <row r="75" spans="1:8" ht="14.1" customHeight="1" x14ac:dyDescent="0.2">
      <c r="A75" s="1"/>
      <c r="B75" s="1"/>
      <c r="C75" s="11"/>
      <c r="D75" s="1"/>
      <c r="E75" s="1"/>
      <c r="F75" s="12"/>
      <c r="G75" s="12"/>
      <c r="H75" s="106"/>
    </row>
    <row r="76" spans="1:8" ht="14.1" customHeight="1" x14ac:dyDescent="0.2">
      <c r="A76" s="1"/>
      <c r="B76" s="1"/>
      <c r="C76" s="2" t="s">
        <v>142</v>
      </c>
      <c r="D76" s="1"/>
      <c r="E76" s="1"/>
      <c r="F76" s="9">
        <v>0</v>
      </c>
      <c r="G76" s="10">
        <v>0</v>
      </c>
      <c r="H76" s="106"/>
    </row>
    <row r="77" spans="1:8" ht="14.1" customHeight="1" x14ac:dyDescent="0.2">
      <c r="A77" s="1"/>
      <c r="B77" s="1"/>
      <c r="C77" s="11"/>
      <c r="D77" s="1"/>
      <c r="E77" s="1"/>
      <c r="F77" s="12"/>
      <c r="G77" s="12"/>
      <c r="H77" s="106"/>
    </row>
    <row r="78" spans="1:8" ht="14.1" customHeight="1" x14ac:dyDescent="0.2">
      <c r="A78" s="1"/>
      <c r="B78" s="1"/>
      <c r="C78" s="2" t="s">
        <v>143</v>
      </c>
      <c r="D78" s="1"/>
      <c r="E78" s="1"/>
      <c r="F78" s="12"/>
      <c r="G78" s="12"/>
      <c r="H78" s="106"/>
    </row>
    <row r="79" spans="1:8" ht="14.1" customHeight="1" x14ac:dyDescent="0.2">
      <c r="A79" s="1"/>
      <c r="B79" s="1"/>
      <c r="C79" s="2" t="s">
        <v>144</v>
      </c>
      <c r="D79" s="1"/>
      <c r="E79" s="1"/>
      <c r="F79" s="12"/>
      <c r="G79" s="12"/>
      <c r="H79" s="106"/>
    </row>
    <row r="80" spans="1:8" ht="14.1" customHeight="1" x14ac:dyDescent="0.2">
      <c r="A80" s="1"/>
      <c r="B80" s="1"/>
      <c r="C80" s="2" t="s">
        <v>130</v>
      </c>
      <c r="D80" s="1"/>
      <c r="E80" s="1" t="s">
        <v>131</v>
      </c>
      <c r="F80" s="13">
        <v>0</v>
      </c>
      <c r="G80" s="14">
        <v>0</v>
      </c>
      <c r="H80" s="106"/>
    </row>
    <row r="81" spans="1:8" ht="14.1" customHeight="1" x14ac:dyDescent="0.2">
      <c r="A81" s="1"/>
      <c r="B81" s="1"/>
      <c r="C81" s="11"/>
      <c r="D81" s="1"/>
      <c r="E81" s="1"/>
      <c r="F81" s="12"/>
      <c r="G81" s="12"/>
      <c r="H81" s="106"/>
    </row>
    <row r="82" spans="1:8" ht="14.1" customHeight="1" x14ac:dyDescent="0.2">
      <c r="A82" s="1"/>
      <c r="B82" s="1"/>
      <c r="C82" s="2" t="s">
        <v>145</v>
      </c>
      <c r="D82" s="1"/>
      <c r="E82" s="1"/>
      <c r="F82" s="12"/>
      <c r="G82" s="12"/>
      <c r="H82" s="106"/>
    </row>
    <row r="83" spans="1:8" ht="14.1" customHeight="1" x14ac:dyDescent="0.2">
      <c r="A83" s="1"/>
      <c r="B83" s="1"/>
      <c r="C83" s="2" t="s">
        <v>130</v>
      </c>
      <c r="D83" s="1"/>
      <c r="E83" s="1" t="s">
        <v>131</v>
      </c>
      <c r="F83" s="13">
        <v>0</v>
      </c>
      <c r="G83" s="14">
        <v>0</v>
      </c>
      <c r="H83" s="106"/>
    </row>
    <row r="84" spans="1:8" ht="14.1" customHeight="1" x14ac:dyDescent="0.2">
      <c r="A84" s="1"/>
      <c r="B84" s="1"/>
      <c r="C84" s="11"/>
      <c r="D84" s="1"/>
      <c r="E84" s="1"/>
      <c r="F84" s="12"/>
      <c r="G84" s="12"/>
      <c r="H84" s="106"/>
    </row>
    <row r="85" spans="1:8" ht="14.1" customHeight="1" x14ac:dyDescent="0.2">
      <c r="A85" s="1"/>
      <c r="B85" s="1"/>
      <c r="C85" s="2" t="s">
        <v>146</v>
      </c>
      <c r="D85" s="1"/>
      <c r="E85" s="1"/>
      <c r="F85" s="12"/>
      <c r="G85" s="12"/>
      <c r="H85" s="106"/>
    </row>
    <row r="86" spans="1:8" ht="14.1" customHeight="1" x14ac:dyDescent="0.2">
      <c r="A86" s="1"/>
      <c r="B86" s="1"/>
      <c r="C86" s="2" t="s">
        <v>130</v>
      </c>
      <c r="D86" s="1"/>
      <c r="E86" s="1" t="s">
        <v>131</v>
      </c>
      <c r="F86" s="13">
        <v>0</v>
      </c>
      <c r="G86" s="14">
        <v>0</v>
      </c>
      <c r="H86" s="106"/>
    </row>
    <row r="87" spans="1:8" ht="14.1" customHeight="1" x14ac:dyDescent="0.2">
      <c r="A87" s="1"/>
      <c r="B87" s="1"/>
      <c r="C87" s="11"/>
      <c r="D87" s="1"/>
      <c r="E87" s="1"/>
      <c r="F87" s="12"/>
      <c r="G87" s="12"/>
      <c r="H87" s="106"/>
    </row>
    <row r="88" spans="1:8" ht="14.1" customHeight="1" x14ac:dyDescent="0.2">
      <c r="A88" s="1"/>
      <c r="B88" s="1"/>
      <c r="C88" s="2" t="s">
        <v>147</v>
      </c>
      <c r="D88" s="1"/>
      <c r="E88" s="1"/>
      <c r="F88" s="12"/>
      <c r="G88" s="12"/>
      <c r="H88" s="106"/>
    </row>
    <row r="89" spans="1:8" ht="17.100000000000001" customHeight="1" x14ac:dyDescent="0.2">
      <c r="A89" s="3">
        <v>1</v>
      </c>
      <c r="B89" s="4"/>
      <c r="C89" s="4" t="s">
        <v>148</v>
      </c>
      <c r="D89" s="4"/>
      <c r="E89" s="8"/>
      <c r="F89" s="6">
        <v>47.525235000000002</v>
      </c>
      <c r="G89" s="7">
        <v>4.1572768000000003E-2</v>
      </c>
      <c r="H89" s="106">
        <v>6.1171451766917002</v>
      </c>
    </row>
    <row r="90" spans="1:8" ht="14.1" customHeight="1" x14ac:dyDescent="0.2">
      <c r="A90" s="1"/>
      <c r="B90" s="1"/>
      <c r="C90" s="2" t="s">
        <v>130</v>
      </c>
      <c r="D90" s="1"/>
      <c r="E90" s="1" t="s">
        <v>131</v>
      </c>
      <c r="F90" s="9">
        <v>47.525235000000002</v>
      </c>
      <c r="G90" s="10">
        <v>4.1572768000000003E-2</v>
      </c>
      <c r="H90" s="106"/>
    </row>
    <row r="91" spans="1:8" ht="14.1" customHeight="1" x14ac:dyDescent="0.2">
      <c r="A91" s="1"/>
      <c r="B91" s="1"/>
      <c r="C91" s="11"/>
      <c r="D91" s="1"/>
      <c r="E91" s="1"/>
      <c r="F91" s="12"/>
      <c r="G91" s="12"/>
      <c r="H91" s="106"/>
    </row>
    <row r="92" spans="1:8" ht="14.1" customHeight="1" x14ac:dyDescent="0.2">
      <c r="A92" s="1"/>
      <c r="B92" s="1"/>
      <c r="C92" s="2" t="s">
        <v>149</v>
      </c>
      <c r="D92" s="1"/>
      <c r="E92" s="1"/>
      <c r="F92" s="9">
        <v>47.525235000000002</v>
      </c>
      <c r="G92" s="10">
        <v>4.1572768000000003E-2</v>
      </c>
      <c r="H92" s="106"/>
    </row>
    <row r="93" spans="1:8" ht="14.1" customHeight="1" x14ac:dyDescent="0.2">
      <c r="A93" s="1"/>
      <c r="B93" s="1"/>
      <c r="C93" s="12"/>
      <c r="D93" s="1"/>
      <c r="E93" s="1"/>
      <c r="F93" s="1"/>
      <c r="G93" s="1"/>
      <c r="H93" s="106"/>
    </row>
    <row r="94" spans="1:8" ht="14.1" customHeight="1" x14ac:dyDescent="0.2">
      <c r="A94" s="1"/>
      <c r="B94" s="1"/>
      <c r="C94" s="2" t="s">
        <v>150</v>
      </c>
      <c r="D94" s="1"/>
      <c r="E94" s="1"/>
      <c r="F94" s="1"/>
      <c r="G94" s="1"/>
      <c r="H94" s="106"/>
    </row>
    <row r="95" spans="1:8" ht="14.1" customHeight="1" x14ac:dyDescent="0.2">
      <c r="A95" s="1"/>
      <c r="B95" s="1"/>
      <c r="C95" s="2" t="s">
        <v>151</v>
      </c>
      <c r="D95" s="1"/>
      <c r="E95" s="1"/>
      <c r="F95" s="1"/>
      <c r="G95" s="1"/>
      <c r="H95" s="106"/>
    </row>
    <row r="96" spans="1:8" ht="14.1" customHeight="1" x14ac:dyDescent="0.2">
      <c r="A96" s="1"/>
      <c r="B96" s="1"/>
      <c r="C96" s="2" t="s">
        <v>130</v>
      </c>
      <c r="D96" s="1"/>
      <c r="E96" s="1" t="s">
        <v>131</v>
      </c>
      <c r="F96" s="13">
        <v>0</v>
      </c>
      <c r="G96" s="14">
        <v>0</v>
      </c>
      <c r="H96" s="106"/>
    </row>
    <row r="97" spans="1:8" ht="14.1" customHeight="1" x14ac:dyDescent="0.2">
      <c r="A97" s="1"/>
      <c r="B97" s="1"/>
      <c r="C97" s="11"/>
      <c r="D97" s="1"/>
      <c r="E97" s="1"/>
      <c r="F97" s="12"/>
      <c r="G97" s="12"/>
      <c r="H97" s="106"/>
    </row>
    <row r="98" spans="1:8" ht="14.1" customHeight="1" x14ac:dyDescent="0.2">
      <c r="A98" s="1"/>
      <c r="B98" s="1"/>
      <c r="C98" s="2" t="s">
        <v>152</v>
      </c>
      <c r="D98" s="1"/>
      <c r="E98" s="1"/>
      <c r="F98" s="1"/>
      <c r="G98" s="1"/>
      <c r="H98" s="106"/>
    </row>
    <row r="99" spans="1:8" ht="14.1" customHeight="1" x14ac:dyDescent="0.2">
      <c r="A99" s="1"/>
      <c r="B99" s="1"/>
      <c r="C99" s="2" t="s">
        <v>153</v>
      </c>
      <c r="D99" s="1"/>
      <c r="E99" s="1"/>
      <c r="F99" s="1"/>
      <c r="G99" s="1"/>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11"/>
      <c r="D102" s="1"/>
      <c r="E102" s="1"/>
      <c r="F102" s="12"/>
      <c r="G102" s="12"/>
      <c r="H102" s="106"/>
    </row>
    <row r="103" spans="1:8" ht="24" customHeight="1" x14ac:dyDescent="0.2">
      <c r="A103" s="1"/>
      <c r="B103" s="1"/>
      <c r="C103" s="2" t="s">
        <v>154</v>
      </c>
      <c r="D103" s="1"/>
      <c r="E103" s="1"/>
      <c r="F103" s="12"/>
      <c r="G103" s="12"/>
      <c r="H103" s="106"/>
    </row>
    <row r="104" spans="1:8" ht="14.1" customHeight="1" x14ac:dyDescent="0.2">
      <c r="A104" s="1"/>
      <c r="B104" s="1"/>
      <c r="C104" s="2" t="s">
        <v>130</v>
      </c>
      <c r="D104" s="1"/>
      <c r="E104" s="1" t="s">
        <v>131</v>
      </c>
      <c r="F104" s="13">
        <v>0</v>
      </c>
      <c r="G104" s="14">
        <v>0</v>
      </c>
      <c r="H104" s="106"/>
    </row>
    <row r="105" spans="1:8" ht="14.1" customHeight="1" x14ac:dyDescent="0.2">
      <c r="A105" s="1"/>
      <c r="B105" s="1"/>
      <c r="C105" s="11"/>
      <c r="D105" s="1"/>
      <c r="E105" s="1"/>
      <c r="F105" s="12"/>
      <c r="G105" s="12"/>
      <c r="H105" s="106"/>
    </row>
    <row r="106" spans="1:8" ht="14.1" customHeight="1" x14ac:dyDescent="0.2">
      <c r="A106" s="1"/>
      <c r="B106" s="4"/>
      <c r="C106" s="4"/>
      <c r="D106" s="2"/>
      <c r="E106" s="1"/>
      <c r="F106" s="4"/>
      <c r="G106" s="8"/>
      <c r="H106" s="106"/>
    </row>
    <row r="107" spans="1:8" ht="18" customHeight="1" x14ac:dyDescent="0.2">
      <c r="A107" s="8"/>
      <c r="B107" s="4"/>
      <c r="C107" s="4" t="s">
        <v>155</v>
      </c>
      <c r="D107" s="4"/>
      <c r="E107" s="8"/>
      <c r="F107" s="6">
        <v>2.7739112800000001</v>
      </c>
      <c r="G107" s="7">
        <v>2.4264830000000001E-3</v>
      </c>
      <c r="H107" s="106"/>
    </row>
    <row r="108" spans="1:8" ht="14.1" customHeight="1" x14ac:dyDescent="0.2">
      <c r="A108" s="11"/>
      <c r="B108" s="11"/>
      <c r="C108" s="2" t="s">
        <v>156</v>
      </c>
      <c r="D108" s="15"/>
      <c r="E108" s="15"/>
      <c r="F108" s="9">
        <v>1143.18189078</v>
      </c>
      <c r="G108" s="10">
        <v>1</v>
      </c>
      <c r="H108" s="106"/>
    </row>
    <row r="109" spans="1:8" ht="14.1" customHeight="1" x14ac:dyDescent="0.2">
      <c r="A109" s="16"/>
      <c r="B109" s="16"/>
      <c r="C109" s="16"/>
      <c r="D109" s="17"/>
      <c r="E109" s="17"/>
      <c r="F109" s="17"/>
      <c r="G109" s="17"/>
    </row>
    <row r="110" spans="1:8" ht="14.1" customHeight="1" x14ac:dyDescent="0.2">
      <c r="A110" s="18"/>
      <c r="B110" s="18"/>
      <c r="C110" s="18"/>
      <c r="D110" s="20"/>
      <c r="E110" s="20"/>
      <c r="F110" s="20"/>
      <c r="G110" s="20"/>
    </row>
    <row r="111" spans="1:8" ht="14.1" customHeight="1" x14ac:dyDescent="0.2">
      <c r="A111" s="18"/>
      <c r="B111" s="279" t="s">
        <v>158</v>
      </c>
      <c r="C111" s="280"/>
      <c r="D111" s="12" t="s">
        <v>131</v>
      </c>
      <c r="E111" s="21"/>
      <c r="F111" s="20"/>
      <c r="G111" s="20"/>
    </row>
    <row r="112" spans="1:8" ht="29.1" customHeight="1" x14ac:dyDescent="0.2">
      <c r="A112" s="18"/>
      <c r="B112" s="274" t="s">
        <v>159</v>
      </c>
      <c r="C112" s="275"/>
      <c r="D112" s="2" t="s">
        <v>160</v>
      </c>
      <c r="E112" s="21"/>
      <c r="F112" s="20"/>
      <c r="G112" s="20"/>
    </row>
    <row r="113" spans="1:14" ht="17.100000000000001" customHeight="1" x14ac:dyDescent="0.2">
      <c r="A113" s="18"/>
      <c r="B113" s="274" t="s">
        <v>161</v>
      </c>
      <c r="C113" s="275"/>
      <c r="D113" s="2" t="s">
        <v>160</v>
      </c>
      <c r="E113" s="21"/>
      <c r="F113" s="20"/>
      <c r="G113" s="20"/>
    </row>
    <row r="114" spans="1:14" ht="17.100000000000001" customHeight="1" x14ac:dyDescent="0.2">
      <c r="A114" s="18"/>
      <c r="B114" s="274" t="s">
        <v>162</v>
      </c>
      <c r="C114" s="275"/>
      <c r="D114" s="12" t="s">
        <v>131</v>
      </c>
      <c r="E114" s="21"/>
      <c r="F114" s="20"/>
      <c r="G114" s="20"/>
    </row>
    <row r="115" spans="1:14" ht="24" customHeight="1" x14ac:dyDescent="0.2">
      <c r="A115" s="22"/>
      <c r="B115" s="23" t="s">
        <v>131</v>
      </c>
      <c r="C115" s="23" t="s">
        <v>163</v>
      </c>
      <c r="D115" s="23" t="s">
        <v>164</v>
      </c>
      <c r="E115" s="22"/>
      <c r="F115" s="22"/>
      <c r="G115" s="22"/>
    </row>
    <row r="116" spans="1:14" ht="18" customHeight="1" x14ac:dyDescent="0.2">
      <c r="A116" s="22"/>
      <c r="B116" s="23" t="s">
        <v>165</v>
      </c>
      <c r="C116" s="23" t="s">
        <v>166</v>
      </c>
      <c r="D116" s="23" t="s">
        <v>167</v>
      </c>
      <c r="E116" s="22"/>
      <c r="F116" s="22"/>
      <c r="G116" s="22"/>
    </row>
    <row r="117" spans="1:14" ht="17.100000000000001" customHeight="1" x14ac:dyDescent="0.2">
      <c r="A117" s="22"/>
      <c r="B117" s="4" t="s">
        <v>168</v>
      </c>
      <c r="C117" s="24">
        <v>24.378499999999999</v>
      </c>
      <c r="D117" s="24">
        <v>25.584299999999999</v>
      </c>
      <c r="E117" s="22"/>
      <c r="F117" s="19"/>
      <c r="G117" s="25"/>
    </row>
    <row r="118" spans="1:14" ht="17.100000000000001" customHeight="1" x14ac:dyDescent="0.2">
      <c r="A118" s="22"/>
      <c r="B118" s="4" t="s">
        <v>1048</v>
      </c>
      <c r="C118" s="24">
        <v>19.752400000000002</v>
      </c>
      <c r="D118" s="24">
        <v>20.729299999999999</v>
      </c>
      <c r="E118" s="22"/>
      <c r="F118" s="19"/>
      <c r="G118" s="25"/>
    </row>
    <row r="119" spans="1:14" ht="17.100000000000001" customHeight="1" x14ac:dyDescent="0.2">
      <c r="A119" s="22"/>
      <c r="B119" s="4" t="s">
        <v>169</v>
      </c>
      <c r="C119" s="24">
        <v>23.790700000000001</v>
      </c>
      <c r="D119" s="24">
        <v>24.9636</v>
      </c>
      <c r="E119" s="22"/>
      <c r="F119" s="19"/>
      <c r="G119" s="25"/>
    </row>
    <row r="120" spans="1:14" ht="17.100000000000001" customHeight="1" x14ac:dyDescent="0.2">
      <c r="A120" s="22"/>
      <c r="B120" s="4" t="s">
        <v>1049</v>
      </c>
      <c r="C120" s="24">
        <v>19.202100000000002</v>
      </c>
      <c r="D120" s="24">
        <v>20.148800000000001</v>
      </c>
      <c r="E120" s="22"/>
      <c r="F120" s="19"/>
      <c r="G120" s="25"/>
    </row>
    <row r="121" spans="1:14" ht="14.1" customHeight="1" x14ac:dyDescent="0.2">
      <c r="A121" s="22"/>
      <c r="B121" s="22"/>
      <c r="C121" s="22"/>
      <c r="D121" s="22"/>
      <c r="E121" s="22"/>
      <c r="F121" s="22"/>
      <c r="G121" s="22"/>
    </row>
    <row r="122" spans="1:14" ht="17.100000000000001" customHeight="1" x14ac:dyDescent="0.2">
      <c r="A122" s="22"/>
      <c r="B122" s="274" t="s">
        <v>1060</v>
      </c>
      <c r="C122" s="275"/>
      <c r="D122" s="2" t="s">
        <v>160</v>
      </c>
      <c r="E122" s="22"/>
      <c r="F122" s="22"/>
      <c r="G122" s="22"/>
    </row>
    <row r="123" spans="1:14" ht="18" customHeight="1" x14ac:dyDescent="0.2">
      <c r="A123" s="22"/>
      <c r="B123" s="26" t="s">
        <v>170</v>
      </c>
      <c r="C123" s="26" t="s">
        <v>170</v>
      </c>
      <c r="D123" s="26"/>
      <c r="E123" s="22"/>
      <c r="F123" s="22"/>
      <c r="G123" s="22"/>
    </row>
    <row r="124" spans="1:14" ht="29.1" customHeight="1" x14ac:dyDescent="0.2">
      <c r="A124" s="22"/>
      <c r="B124" s="274" t="s">
        <v>171</v>
      </c>
      <c r="C124" s="275"/>
      <c r="D124" s="2" t="s">
        <v>160</v>
      </c>
      <c r="E124" s="22"/>
      <c r="F124" s="22"/>
      <c r="G124" s="22"/>
    </row>
    <row r="125" spans="1:14" ht="29.1" customHeight="1" x14ac:dyDescent="0.2">
      <c r="A125" s="22"/>
      <c r="B125" s="274" t="s">
        <v>172</v>
      </c>
      <c r="C125" s="275"/>
      <c r="D125" s="2" t="s">
        <v>160</v>
      </c>
      <c r="E125" s="22"/>
      <c r="F125" s="22"/>
      <c r="G125" s="22"/>
    </row>
    <row r="126" spans="1:14" ht="17.100000000000001" customHeight="1" x14ac:dyDescent="0.2">
      <c r="A126" s="22"/>
      <c r="B126" s="274" t="s">
        <v>173</v>
      </c>
      <c r="C126" s="275"/>
      <c r="D126" s="27">
        <v>4.8408872400684928E-2</v>
      </c>
      <c r="E126" s="22"/>
      <c r="F126" s="19"/>
      <c r="G126" s="25"/>
    </row>
    <row r="127" spans="1:14" ht="17.100000000000001" customHeight="1" x14ac:dyDescent="0.2">
      <c r="A127" s="22"/>
      <c r="B127" s="274" t="s">
        <v>174</v>
      </c>
      <c r="C127" s="275"/>
      <c r="D127" s="2" t="s">
        <v>160</v>
      </c>
      <c r="E127" s="22"/>
      <c r="F127" s="22"/>
      <c r="G127" s="22"/>
      <c r="J127" s="162"/>
      <c r="K127" s="162"/>
      <c r="L127" s="162"/>
      <c r="M127" s="162"/>
      <c r="N127" s="162"/>
    </row>
  </sheetData>
  <mergeCells count="13">
    <mergeCell ref="J2:N2"/>
    <mergeCell ref="B111:C111"/>
    <mergeCell ref="B126:C126"/>
    <mergeCell ref="A1:H1"/>
    <mergeCell ref="A2:H2"/>
    <mergeCell ref="A3:H3"/>
    <mergeCell ref="B127:C127"/>
    <mergeCell ref="B112:C112"/>
    <mergeCell ref="B113:C113"/>
    <mergeCell ref="B114:C114"/>
    <mergeCell ref="B122:C122"/>
    <mergeCell ref="B124:C124"/>
    <mergeCell ref="B125:C125"/>
  </mergeCells>
  <hyperlinks>
    <hyperlink ref="I1" location="Index!B17" display="Index" xr:uid="{F0965EAC-A666-49E5-9B52-79F2A83EA80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5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496</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461</v>
      </c>
      <c r="C7" s="4" t="s">
        <v>462</v>
      </c>
      <c r="D7" s="4" t="s">
        <v>1114</v>
      </c>
      <c r="E7" s="5">
        <v>37699</v>
      </c>
      <c r="F7" s="6">
        <v>267.3801575</v>
      </c>
      <c r="G7" s="7">
        <v>3.8442232E-2</v>
      </c>
      <c r="H7" s="106"/>
    </row>
    <row r="8" spans="1:14" ht="17.100000000000001" customHeight="1" x14ac:dyDescent="0.2">
      <c r="A8" s="3">
        <v>2</v>
      </c>
      <c r="B8" s="4" t="s">
        <v>29</v>
      </c>
      <c r="C8" s="4" t="s">
        <v>30</v>
      </c>
      <c r="D8" s="4" t="s">
        <v>31</v>
      </c>
      <c r="E8" s="5">
        <v>12434</v>
      </c>
      <c r="F8" s="6">
        <v>258.79505899999998</v>
      </c>
      <c r="G8" s="7">
        <v>3.7207920999999998E-2</v>
      </c>
      <c r="H8" s="106"/>
    </row>
    <row r="9" spans="1:14" ht="17.100000000000001" customHeight="1" x14ac:dyDescent="0.2">
      <c r="A9" s="3">
        <v>3</v>
      </c>
      <c r="B9" s="4" t="s">
        <v>322</v>
      </c>
      <c r="C9" s="4" t="s">
        <v>323</v>
      </c>
      <c r="D9" s="4" t="s">
        <v>324</v>
      </c>
      <c r="E9" s="5">
        <v>16028</v>
      </c>
      <c r="F9" s="6">
        <v>256.87274200000002</v>
      </c>
      <c r="G9" s="7">
        <v>3.6931541999999998E-2</v>
      </c>
      <c r="H9" s="106"/>
    </row>
    <row r="10" spans="1:14" ht="17.100000000000001" customHeight="1" x14ac:dyDescent="0.2">
      <c r="A10" s="3">
        <v>4</v>
      </c>
      <c r="B10" s="4" t="s">
        <v>77</v>
      </c>
      <c r="C10" s="4" t="s">
        <v>78</v>
      </c>
      <c r="D10" s="4" t="s">
        <v>31</v>
      </c>
      <c r="E10" s="5">
        <v>15897</v>
      </c>
      <c r="F10" s="6">
        <v>256.76834400000001</v>
      </c>
      <c r="G10" s="7">
        <v>3.6916532000000002E-2</v>
      </c>
      <c r="H10" s="106"/>
    </row>
    <row r="11" spans="1:14" ht="17.100000000000001" customHeight="1" x14ac:dyDescent="0.2">
      <c r="A11" s="3">
        <v>5</v>
      </c>
      <c r="B11" s="4" t="s">
        <v>108</v>
      </c>
      <c r="C11" s="4" t="s">
        <v>109</v>
      </c>
      <c r="D11" s="4" t="s">
        <v>110</v>
      </c>
      <c r="E11" s="5">
        <v>65253</v>
      </c>
      <c r="F11" s="6">
        <v>242.80641299999999</v>
      </c>
      <c r="G11" s="7">
        <v>3.4909174000000001E-2</v>
      </c>
      <c r="H11" s="106"/>
    </row>
    <row r="12" spans="1:14" ht="17.100000000000001" customHeight="1" x14ac:dyDescent="0.2">
      <c r="A12" s="3">
        <v>6</v>
      </c>
      <c r="B12" s="4" t="s">
        <v>386</v>
      </c>
      <c r="C12" s="4" t="s">
        <v>387</v>
      </c>
      <c r="D12" s="4" t="s">
        <v>110</v>
      </c>
      <c r="E12" s="5">
        <v>37592</v>
      </c>
      <c r="F12" s="6">
        <v>224.83775199999999</v>
      </c>
      <c r="G12" s="7">
        <v>3.2325752999999999E-2</v>
      </c>
      <c r="H12" s="106"/>
    </row>
    <row r="13" spans="1:14" ht="29.1" customHeight="1" x14ac:dyDescent="0.2">
      <c r="A13" s="3">
        <v>7</v>
      </c>
      <c r="B13" s="4" t="s">
        <v>196</v>
      </c>
      <c r="C13" s="4" t="s">
        <v>197</v>
      </c>
      <c r="D13" s="4" t="s">
        <v>188</v>
      </c>
      <c r="E13" s="5">
        <v>4936</v>
      </c>
      <c r="F13" s="6">
        <v>224.67438000000001</v>
      </c>
      <c r="G13" s="7">
        <v>3.2302264999999997E-2</v>
      </c>
      <c r="H13" s="106"/>
      <c r="J13" s="161" t="s">
        <v>1091</v>
      </c>
    </row>
    <row r="14" spans="1:14" ht="17.100000000000001" customHeight="1" x14ac:dyDescent="0.2">
      <c r="A14" s="3">
        <v>8</v>
      </c>
      <c r="B14" s="4" t="s">
        <v>418</v>
      </c>
      <c r="C14" s="4" t="s">
        <v>419</v>
      </c>
      <c r="D14" s="4" t="s">
        <v>13</v>
      </c>
      <c r="E14" s="5">
        <v>44883</v>
      </c>
      <c r="F14" s="6">
        <v>213.35134049999999</v>
      </c>
      <c r="G14" s="7">
        <v>3.067431E-2</v>
      </c>
      <c r="H14" s="106"/>
    </row>
    <row r="15" spans="1:14" ht="17.100000000000001" customHeight="1" x14ac:dyDescent="0.2">
      <c r="A15" s="3">
        <v>9</v>
      </c>
      <c r="B15" s="4" t="s">
        <v>32</v>
      </c>
      <c r="C15" s="4" t="s">
        <v>33</v>
      </c>
      <c r="D15" s="4" t="s">
        <v>31</v>
      </c>
      <c r="E15" s="5">
        <v>10116</v>
      </c>
      <c r="F15" s="6">
        <v>212.73947999999999</v>
      </c>
      <c r="G15" s="7">
        <v>3.058634E-2</v>
      </c>
      <c r="H15" s="106"/>
    </row>
    <row r="16" spans="1:14" ht="17.100000000000001" customHeight="1" x14ac:dyDescent="0.2">
      <c r="A16" s="3">
        <v>10</v>
      </c>
      <c r="B16" s="4" t="s">
        <v>416</v>
      </c>
      <c r="C16" s="4" t="s">
        <v>417</v>
      </c>
      <c r="D16" s="4" t="s">
        <v>212</v>
      </c>
      <c r="E16" s="5">
        <v>72529</v>
      </c>
      <c r="F16" s="6">
        <v>209.0648425</v>
      </c>
      <c r="G16" s="7">
        <v>3.0058023999999999E-2</v>
      </c>
      <c r="H16" s="106"/>
    </row>
    <row r="17" spans="1:8" ht="17.100000000000001" customHeight="1" x14ac:dyDescent="0.2">
      <c r="A17" s="3">
        <v>11</v>
      </c>
      <c r="B17" s="4" t="s">
        <v>382</v>
      </c>
      <c r="C17" s="4" t="s">
        <v>383</v>
      </c>
      <c r="D17" s="4" t="s">
        <v>110</v>
      </c>
      <c r="E17" s="5">
        <v>11132</v>
      </c>
      <c r="F17" s="6">
        <v>206.771334</v>
      </c>
      <c r="G17" s="7">
        <v>2.9728278E-2</v>
      </c>
      <c r="H17" s="106"/>
    </row>
    <row r="18" spans="1:8" ht="17.100000000000001" customHeight="1" x14ac:dyDescent="0.2">
      <c r="A18" s="3">
        <v>12</v>
      </c>
      <c r="B18" s="4" t="s">
        <v>94</v>
      </c>
      <c r="C18" s="4" t="s">
        <v>95</v>
      </c>
      <c r="D18" s="4" t="s">
        <v>96</v>
      </c>
      <c r="E18" s="5">
        <v>40332</v>
      </c>
      <c r="F18" s="6">
        <v>201.47850600000001</v>
      </c>
      <c r="G18" s="7">
        <v>2.8967308000000001E-2</v>
      </c>
      <c r="H18" s="106"/>
    </row>
    <row r="19" spans="1:8" ht="17.100000000000001" customHeight="1" x14ac:dyDescent="0.2">
      <c r="A19" s="3">
        <v>13</v>
      </c>
      <c r="B19" s="4" t="s">
        <v>380</v>
      </c>
      <c r="C19" s="4" t="s">
        <v>381</v>
      </c>
      <c r="D19" s="4" t="s">
        <v>99</v>
      </c>
      <c r="E19" s="5">
        <v>192978</v>
      </c>
      <c r="F19" s="6">
        <v>194.71480199999999</v>
      </c>
      <c r="G19" s="7">
        <v>2.7994866E-2</v>
      </c>
      <c r="H19" s="106"/>
    </row>
    <row r="20" spans="1:8" ht="17.100000000000001" customHeight="1" x14ac:dyDescent="0.2">
      <c r="A20" s="3">
        <v>14</v>
      </c>
      <c r="B20" s="4" t="s">
        <v>304</v>
      </c>
      <c r="C20" s="4" t="s">
        <v>305</v>
      </c>
      <c r="D20" s="4" t="s">
        <v>240</v>
      </c>
      <c r="E20" s="5">
        <v>36966</v>
      </c>
      <c r="F20" s="6">
        <v>189.617097</v>
      </c>
      <c r="G20" s="7">
        <v>2.726195E-2</v>
      </c>
      <c r="H20" s="106"/>
    </row>
    <row r="21" spans="1:8" ht="17.100000000000001" customHeight="1" x14ac:dyDescent="0.2">
      <c r="A21" s="3">
        <v>15</v>
      </c>
      <c r="B21" s="4" t="s">
        <v>320</v>
      </c>
      <c r="C21" s="4" t="s">
        <v>321</v>
      </c>
      <c r="D21" s="4" t="s">
        <v>230</v>
      </c>
      <c r="E21" s="5">
        <v>12562</v>
      </c>
      <c r="F21" s="6">
        <v>181.79098300000001</v>
      </c>
      <c r="G21" s="7">
        <v>2.6136759999999998E-2</v>
      </c>
      <c r="H21" s="106"/>
    </row>
    <row r="22" spans="1:8" ht="29.1" customHeight="1" x14ac:dyDescent="0.2">
      <c r="A22" s="3">
        <v>16</v>
      </c>
      <c r="B22" s="4" t="s">
        <v>445</v>
      </c>
      <c r="C22" s="4" t="s">
        <v>446</v>
      </c>
      <c r="D22" s="4" t="s">
        <v>51</v>
      </c>
      <c r="E22" s="5">
        <v>6607</v>
      </c>
      <c r="F22" s="6">
        <v>163.64217600000001</v>
      </c>
      <c r="G22" s="7">
        <v>2.352744E-2</v>
      </c>
      <c r="H22" s="106"/>
    </row>
    <row r="23" spans="1:8" ht="29.1" customHeight="1" x14ac:dyDescent="0.2">
      <c r="A23" s="3">
        <v>17</v>
      </c>
      <c r="B23" s="4" t="s">
        <v>63</v>
      </c>
      <c r="C23" s="4" t="s">
        <v>64</v>
      </c>
      <c r="D23" s="4" t="s">
        <v>25</v>
      </c>
      <c r="E23" s="5">
        <v>5414</v>
      </c>
      <c r="F23" s="6">
        <v>146.86287100000001</v>
      </c>
      <c r="G23" s="7">
        <v>2.1115017E-2</v>
      </c>
      <c r="H23" s="106"/>
    </row>
    <row r="24" spans="1:8" ht="17.100000000000001" customHeight="1" x14ac:dyDescent="0.2">
      <c r="A24" s="3">
        <v>18</v>
      </c>
      <c r="B24" s="4" t="s">
        <v>392</v>
      </c>
      <c r="C24" s="4" t="s">
        <v>393</v>
      </c>
      <c r="D24" s="4" t="s">
        <v>230</v>
      </c>
      <c r="E24" s="5">
        <v>18794</v>
      </c>
      <c r="F24" s="6">
        <v>140.54153199999999</v>
      </c>
      <c r="G24" s="7">
        <v>2.0206175E-2</v>
      </c>
      <c r="H24" s="106"/>
    </row>
    <row r="25" spans="1:8" ht="17.100000000000001" customHeight="1" x14ac:dyDescent="0.2">
      <c r="A25" s="3">
        <v>19</v>
      </c>
      <c r="B25" s="4" t="s">
        <v>388</v>
      </c>
      <c r="C25" s="4" t="s">
        <v>389</v>
      </c>
      <c r="D25" s="4" t="s">
        <v>99</v>
      </c>
      <c r="E25" s="5">
        <v>26340</v>
      </c>
      <c r="F25" s="6">
        <v>138.11378999999999</v>
      </c>
      <c r="G25" s="7">
        <v>1.9857129000000001E-2</v>
      </c>
      <c r="H25" s="106"/>
    </row>
    <row r="26" spans="1:8" ht="29.1" customHeight="1" x14ac:dyDescent="0.2">
      <c r="A26" s="3">
        <v>20</v>
      </c>
      <c r="B26" s="4" t="s">
        <v>451</v>
      </c>
      <c r="C26" s="4" t="s">
        <v>452</v>
      </c>
      <c r="D26" s="4" t="s">
        <v>453</v>
      </c>
      <c r="E26" s="5">
        <v>96813</v>
      </c>
      <c r="F26" s="6">
        <v>135.150948</v>
      </c>
      <c r="G26" s="7">
        <v>1.9431151000000001E-2</v>
      </c>
      <c r="H26" s="106"/>
    </row>
    <row r="27" spans="1:8" ht="17.100000000000001" customHeight="1" x14ac:dyDescent="0.2">
      <c r="A27" s="3">
        <v>21</v>
      </c>
      <c r="B27" s="4" t="s">
        <v>441</v>
      </c>
      <c r="C27" s="4" t="s">
        <v>442</v>
      </c>
      <c r="D27" s="4" t="s">
        <v>324</v>
      </c>
      <c r="E27" s="5">
        <v>8551</v>
      </c>
      <c r="F27" s="6">
        <v>131.3732885</v>
      </c>
      <c r="G27" s="7">
        <v>1.8888022000000001E-2</v>
      </c>
      <c r="H27" s="106"/>
    </row>
    <row r="28" spans="1:8" ht="17.100000000000001" customHeight="1" x14ac:dyDescent="0.2">
      <c r="A28" s="3">
        <v>22</v>
      </c>
      <c r="B28" s="4" t="s">
        <v>398</v>
      </c>
      <c r="C28" s="4" t="s">
        <v>399</v>
      </c>
      <c r="D28" s="4" t="s">
        <v>110</v>
      </c>
      <c r="E28" s="5">
        <v>20256</v>
      </c>
      <c r="F28" s="6">
        <v>129.59788800000001</v>
      </c>
      <c r="G28" s="7">
        <v>1.8632767000000001E-2</v>
      </c>
      <c r="H28" s="106"/>
    </row>
    <row r="29" spans="1:8" ht="29.1" customHeight="1" x14ac:dyDescent="0.2">
      <c r="A29" s="3">
        <v>23</v>
      </c>
      <c r="B29" s="4" t="s">
        <v>410</v>
      </c>
      <c r="C29" s="4" t="s">
        <v>411</v>
      </c>
      <c r="D29" s="4" t="s">
        <v>204</v>
      </c>
      <c r="E29" s="5">
        <v>36034</v>
      </c>
      <c r="F29" s="6">
        <v>127.56036</v>
      </c>
      <c r="G29" s="7">
        <v>1.8339824000000001E-2</v>
      </c>
      <c r="H29" s="106"/>
    </row>
    <row r="30" spans="1:8" ht="17.100000000000001" customHeight="1" x14ac:dyDescent="0.2">
      <c r="A30" s="3">
        <v>24</v>
      </c>
      <c r="B30" s="4" t="s">
        <v>480</v>
      </c>
      <c r="C30" s="4" t="s">
        <v>481</v>
      </c>
      <c r="D30" s="4" t="s">
        <v>230</v>
      </c>
      <c r="E30" s="5">
        <v>65797</v>
      </c>
      <c r="F30" s="6">
        <v>127.054007</v>
      </c>
      <c r="G30" s="7">
        <v>1.8267023E-2</v>
      </c>
      <c r="H30" s="106"/>
    </row>
    <row r="31" spans="1:8" ht="29.1" customHeight="1" x14ac:dyDescent="0.2">
      <c r="A31" s="3">
        <v>25</v>
      </c>
      <c r="B31" s="4" t="s">
        <v>463</v>
      </c>
      <c r="C31" s="4" t="s">
        <v>464</v>
      </c>
      <c r="D31" s="4" t="s">
        <v>366</v>
      </c>
      <c r="E31" s="5">
        <v>18954</v>
      </c>
      <c r="F31" s="6">
        <v>117.401076</v>
      </c>
      <c r="G31" s="7">
        <v>1.6879186000000001E-2</v>
      </c>
      <c r="H31" s="106"/>
    </row>
    <row r="32" spans="1:8" ht="17.100000000000001" customHeight="1" x14ac:dyDescent="0.2">
      <c r="A32" s="3">
        <v>26</v>
      </c>
      <c r="B32" s="4" t="s">
        <v>447</v>
      </c>
      <c r="C32" s="4" t="s">
        <v>448</v>
      </c>
      <c r="D32" s="4" t="s">
        <v>268</v>
      </c>
      <c r="E32" s="5">
        <v>38459</v>
      </c>
      <c r="F32" s="6">
        <v>115.8961965</v>
      </c>
      <c r="G32" s="7">
        <v>1.6662824E-2</v>
      </c>
      <c r="H32" s="106"/>
    </row>
    <row r="33" spans="1:8" ht="17.100000000000001" customHeight="1" x14ac:dyDescent="0.2">
      <c r="A33" s="3">
        <v>27</v>
      </c>
      <c r="B33" s="4" t="s">
        <v>394</v>
      </c>
      <c r="C33" s="4" t="s">
        <v>395</v>
      </c>
      <c r="D33" s="4" t="s">
        <v>99</v>
      </c>
      <c r="E33" s="5">
        <v>15340</v>
      </c>
      <c r="F33" s="6">
        <v>111.40675</v>
      </c>
      <c r="G33" s="7">
        <v>1.6017360000000001E-2</v>
      </c>
      <c r="H33" s="106"/>
    </row>
    <row r="34" spans="1:8" ht="53.1" customHeight="1" x14ac:dyDescent="0.2">
      <c r="A34" s="3">
        <v>28</v>
      </c>
      <c r="B34" s="4" t="s">
        <v>333</v>
      </c>
      <c r="C34" s="4" t="s">
        <v>334</v>
      </c>
      <c r="D34" s="4" t="s">
        <v>48</v>
      </c>
      <c r="E34" s="5">
        <v>33472</v>
      </c>
      <c r="F34" s="6">
        <v>103.277856</v>
      </c>
      <c r="G34" s="7">
        <v>1.4848638000000001E-2</v>
      </c>
      <c r="H34" s="106"/>
    </row>
    <row r="35" spans="1:8" ht="29.1" customHeight="1" x14ac:dyDescent="0.2">
      <c r="A35" s="3">
        <v>29</v>
      </c>
      <c r="B35" s="4" t="s">
        <v>473</v>
      </c>
      <c r="C35" s="4" t="s">
        <v>474</v>
      </c>
      <c r="D35" s="4" t="s">
        <v>475</v>
      </c>
      <c r="E35" s="5">
        <v>20856</v>
      </c>
      <c r="F35" s="6">
        <v>102.72622800000001</v>
      </c>
      <c r="G35" s="7">
        <v>1.4769328999999999E-2</v>
      </c>
      <c r="H35" s="106"/>
    </row>
    <row r="36" spans="1:8" ht="29.1" customHeight="1" x14ac:dyDescent="0.2">
      <c r="A36" s="3">
        <v>30</v>
      </c>
      <c r="B36" s="4" t="s">
        <v>390</v>
      </c>
      <c r="C36" s="4" t="s">
        <v>391</v>
      </c>
      <c r="D36" s="4" t="s">
        <v>67</v>
      </c>
      <c r="E36" s="5">
        <v>6367</v>
      </c>
      <c r="F36" s="6">
        <v>102.177616</v>
      </c>
      <c r="G36" s="7">
        <v>1.4690452999999999E-2</v>
      </c>
      <c r="H36" s="106"/>
    </row>
    <row r="37" spans="1:8" ht="17.100000000000001" customHeight="1" x14ac:dyDescent="0.2">
      <c r="A37" s="3">
        <v>31</v>
      </c>
      <c r="B37" s="4" t="s">
        <v>449</v>
      </c>
      <c r="C37" s="4" t="s">
        <v>450</v>
      </c>
      <c r="D37" s="4" t="s">
        <v>99</v>
      </c>
      <c r="E37" s="5">
        <v>124593</v>
      </c>
      <c r="F37" s="6">
        <v>96.497278499999993</v>
      </c>
      <c r="G37" s="7">
        <v>1.3873770000000001E-2</v>
      </c>
      <c r="H37" s="106"/>
    </row>
    <row r="38" spans="1:8" ht="29.1" customHeight="1" x14ac:dyDescent="0.2">
      <c r="A38" s="3">
        <v>32</v>
      </c>
      <c r="B38" s="4" t="s">
        <v>420</v>
      </c>
      <c r="C38" s="4" t="s">
        <v>421</v>
      </c>
      <c r="D38" s="4" t="s">
        <v>366</v>
      </c>
      <c r="E38" s="5">
        <v>18519</v>
      </c>
      <c r="F38" s="6">
        <v>92.752411499999994</v>
      </c>
      <c r="G38" s="7">
        <v>1.3335356E-2</v>
      </c>
      <c r="H38" s="106"/>
    </row>
    <row r="39" spans="1:8" ht="17.100000000000001" customHeight="1" x14ac:dyDescent="0.2">
      <c r="A39" s="3">
        <v>33</v>
      </c>
      <c r="B39" s="4" t="s">
        <v>396</v>
      </c>
      <c r="C39" s="4" t="s">
        <v>397</v>
      </c>
      <c r="D39" s="4" t="s">
        <v>288</v>
      </c>
      <c r="E39" s="5">
        <v>12295</v>
      </c>
      <c r="F39" s="6">
        <v>92.126435000000001</v>
      </c>
      <c r="G39" s="7">
        <v>1.3245358E-2</v>
      </c>
      <c r="H39" s="106"/>
    </row>
    <row r="40" spans="1:8" ht="29.1" customHeight="1" x14ac:dyDescent="0.2">
      <c r="A40" s="3">
        <v>34</v>
      </c>
      <c r="B40" s="4" t="s">
        <v>317</v>
      </c>
      <c r="C40" s="4" t="s">
        <v>318</v>
      </c>
      <c r="D40" s="4" t="s">
        <v>319</v>
      </c>
      <c r="E40" s="5">
        <v>16350</v>
      </c>
      <c r="F40" s="6">
        <v>90.382800000000003</v>
      </c>
      <c r="G40" s="7">
        <v>1.2994669E-2</v>
      </c>
      <c r="H40" s="106"/>
    </row>
    <row r="41" spans="1:8" ht="17.100000000000001" customHeight="1" x14ac:dyDescent="0.2">
      <c r="A41" s="3">
        <v>35</v>
      </c>
      <c r="B41" s="4" t="s">
        <v>412</v>
      </c>
      <c r="C41" s="4" t="s">
        <v>413</v>
      </c>
      <c r="D41" s="4" t="s">
        <v>193</v>
      </c>
      <c r="E41" s="5">
        <v>10328</v>
      </c>
      <c r="F41" s="6">
        <v>84.601811999999995</v>
      </c>
      <c r="G41" s="7">
        <v>1.2163515E-2</v>
      </c>
      <c r="H41" s="106"/>
    </row>
    <row r="42" spans="1:8" ht="29.1" customHeight="1" x14ac:dyDescent="0.2">
      <c r="A42" s="3">
        <v>36</v>
      </c>
      <c r="B42" s="4" t="s">
        <v>497</v>
      </c>
      <c r="C42" s="4" t="s">
        <v>498</v>
      </c>
      <c r="D42" s="4" t="s">
        <v>67</v>
      </c>
      <c r="E42" s="5">
        <v>26477</v>
      </c>
      <c r="F42" s="6">
        <v>80.688657500000005</v>
      </c>
      <c r="G42" s="7">
        <v>1.1600905999999999E-2</v>
      </c>
      <c r="H42" s="106"/>
    </row>
    <row r="43" spans="1:8" ht="29.1" customHeight="1" x14ac:dyDescent="0.2">
      <c r="A43" s="3">
        <v>37</v>
      </c>
      <c r="B43" s="4" t="s">
        <v>291</v>
      </c>
      <c r="C43" s="4" t="s">
        <v>292</v>
      </c>
      <c r="D43" s="4" t="s">
        <v>188</v>
      </c>
      <c r="E43" s="5">
        <v>10502</v>
      </c>
      <c r="F43" s="6">
        <v>79.809949000000003</v>
      </c>
      <c r="G43" s="7">
        <v>1.1474570999999999E-2</v>
      </c>
      <c r="H43" s="106"/>
    </row>
    <row r="44" spans="1:8" ht="29.1" customHeight="1" x14ac:dyDescent="0.2">
      <c r="A44" s="3">
        <v>38</v>
      </c>
      <c r="B44" s="4" t="s">
        <v>402</v>
      </c>
      <c r="C44" s="4" t="s">
        <v>403</v>
      </c>
      <c r="D44" s="4" t="s">
        <v>319</v>
      </c>
      <c r="E44" s="5">
        <v>18905</v>
      </c>
      <c r="F44" s="6">
        <v>79.126877500000006</v>
      </c>
      <c r="G44" s="7">
        <v>1.1376363E-2</v>
      </c>
      <c r="H44" s="106"/>
    </row>
    <row r="45" spans="1:8" ht="17.100000000000001" customHeight="1" x14ac:dyDescent="0.2">
      <c r="A45" s="3">
        <v>39</v>
      </c>
      <c r="B45" s="4" t="s">
        <v>404</v>
      </c>
      <c r="C45" s="4" t="s">
        <v>405</v>
      </c>
      <c r="D45" s="4" t="s">
        <v>13</v>
      </c>
      <c r="E45" s="5">
        <v>104608</v>
      </c>
      <c r="F45" s="6">
        <v>77.40992</v>
      </c>
      <c r="G45" s="7">
        <v>1.112951E-2</v>
      </c>
      <c r="H45" s="106"/>
    </row>
    <row r="46" spans="1:8" ht="17.100000000000001" customHeight="1" x14ac:dyDescent="0.2">
      <c r="A46" s="3">
        <v>40</v>
      </c>
      <c r="B46" s="4" t="s">
        <v>432</v>
      </c>
      <c r="C46" s="4" t="s">
        <v>433</v>
      </c>
      <c r="D46" s="4" t="s">
        <v>89</v>
      </c>
      <c r="E46" s="5">
        <v>10808</v>
      </c>
      <c r="F46" s="6">
        <v>73.029656000000003</v>
      </c>
      <c r="G46" s="7">
        <v>1.0499743000000001E-2</v>
      </c>
      <c r="H46" s="106"/>
    </row>
    <row r="47" spans="1:8" ht="17.100000000000001" customHeight="1" x14ac:dyDescent="0.2">
      <c r="A47" s="3">
        <v>41</v>
      </c>
      <c r="B47" s="4" t="s">
        <v>465</v>
      </c>
      <c r="C47" s="4" t="s">
        <v>466</v>
      </c>
      <c r="D47" s="4" t="s">
        <v>36</v>
      </c>
      <c r="E47" s="5">
        <v>27402</v>
      </c>
      <c r="F47" s="6">
        <v>71.245199999999997</v>
      </c>
      <c r="G47" s="7">
        <v>1.0243185E-2</v>
      </c>
      <c r="H47" s="106"/>
    </row>
    <row r="48" spans="1:8" ht="29.1" customHeight="1" x14ac:dyDescent="0.2">
      <c r="A48" s="3">
        <v>42</v>
      </c>
      <c r="B48" s="4" t="s">
        <v>424</v>
      </c>
      <c r="C48" s="4" t="s">
        <v>425</v>
      </c>
      <c r="D48" s="4" t="s">
        <v>110</v>
      </c>
      <c r="E48" s="5">
        <v>5046</v>
      </c>
      <c r="F48" s="6">
        <v>59.837991000000002</v>
      </c>
      <c r="G48" s="7">
        <v>8.6031289999999993E-3</v>
      </c>
      <c r="H48" s="106"/>
    </row>
    <row r="49" spans="1:8" ht="17.100000000000001" customHeight="1" x14ac:dyDescent="0.2">
      <c r="A49" s="3">
        <v>43</v>
      </c>
      <c r="B49" s="4" t="s">
        <v>454</v>
      </c>
      <c r="C49" s="4" t="s">
        <v>455</v>
      </c>
      <c r="D49" s="4" t="s">
        <v>110</v>
      </c>
      <c r="E49" s="5">
        <v>20113</v>
      </c>
      <c r="F49" s="6">
        <v>57.040467999999997</v>
      </c>
      <c r="G49" s="7">
        <v>8.2009189999999992E-3</v>
      </c>
      <c r="H49" s="106"/>
    </row>
    <row r="50" spans="1:8" ht="17.100000000000001" customHeight="1" x14ac:dyDescent="0.2">
      <c r="A50" s="3">
        <v>44</v>
      </c>
      <c r="B50" s="4" t="s">
        <v>499</v>
      </c>
      <c r="C50" s="4" t="s">
        <v>500</v>
      </c>
      <c r="D50" s="4" t="s">
        <v>237</v>
      </c>
      <c r="E50" s="5">
        <v>21415</v>
      </c>
      <c r="F50" s="6">
        <v>55.839612500000001</v>
      </c>
      <c r="G50" s="7">
        <v>8.0282670000000004E-3</v>
      </c>
      <c r="H50" s="106"/>
    </row>
    <row r="51" spans="1:8" ht="17.100000000000001" customHeight="1" x14ac:dyDescent="0.2">
      <c r="A51" s="3">
        <v>45</v>
      </c>
      <c r="B51" s="4" t="s">
        <v>422</v>
      </c>
      <c r="C51" s="4" t="s">
        <v>423</v>
      </c>
      <c r="D51" s="4" t="s">
        <v>237</v>
      </c>
      <c r="E51" s="5">
        <v>7165</v>
      </c>
      <c r="F51" s="6">
        <v>52.687827499999997</v>
      </c>
      <c r="G51" s="7">
        <v>7.5751229999999996E-3</v>
      </c>
      <c r="H51" s="106"/>
    </row>
    <row r="52" spans="1:8" ht="29.1" customHeight="1" x14ac:dyDescent="0.2">
      <c r="A52" s="3">
        <v>46</v>
      </c>
      <c r="B52" s="4" t="s">
        <v>428</v>
      </c>
      <c r="C52" s="4" t="s">
        <v>429</v>
      </c>
      <c r="D52" s="4" t="s">
        <v>204</v>
      </c>
      <c r="E52" s="5">
        <v>1052</v>
      </c>
      <c r="F52" s="6">
        <v>42.425581999999999</v>
      </c>
      <c r="G52" s="7">
        <v>6.0996820000000004E-3</v>
      </c>
      <c r="H52" s="106"/>
    </row>
    <row r="53" spans="1:8" ht="17.100000000000001" customHeight="1" x14ac:dyDescent="0.2">
      <c r="A53" s="3">
        <v>47</v>
      </c>
      <c r="B53" s="4" t="s">
        <v>436</v>
      </c>
      <c r="C53" s="4" t="s">
        <v>437</v>
      </c>
      <c r="D53" s="4" t="s">
        <v>16</v>
      </c>
      <c r="E53" s="5">
        <v>18341</v>
      </c>
      <c r="F53" s="6">
        <v>41.679922500000004</v>
      </c>
      <c r="G53" s="7">
        <v>5.9924760000000001E-3</v>
      </c>
      <c r="H53" s="106"/>
    </row>
    <row r="54" spans="1:8" ht="17.100000000000001" customHeight="1" x14ac:dyDescent="0.2">
      <c r="A54" s="3">
        <v>48</v>
      </c>
      <c r="B54" s="4" t="s">
        <v>123</v>
      </c>
      <c r="C54" s="4" t="s">
        <v>124</v>
      </c>
      <c r="D54" s="4" t="s">
        <v>110</v>
      </c>
      <c r="E54" s="5">
        <v>1940</v>
      </c>
      <c r="F54" s="6">
        <v>40.061970000000002</v>
      </c>
      <c r="G54" s="7">
        <v>5.7598570000000002E-3</v>
      </c>
      <c r="H54" s="106"/>
    </row>
    <row r="55" spans="1:8" ht="17.100000000000001" customHeight="1" x14ac:dyDescent="0.2">
      <c r="A55" s="3">
        <v>49</v>
      </c>
      <c r="B55" s="4" t="s">
        <v>426</v>
      </c>
      <c r="C55" s="4" t="s">
        <v>427</v>
      </c>
      <c r="D55" s="4" t="s">
        <v>31</v>
      </c>
      <c r="E55" s="5">
        <v>4443</v>
      </c>
      <c r="F55" s="6">
        <v>35.255204999999997</v>
      </c>
      <c r="G55" s="7">
        <v>5.0687709999999997E-3</v>
      </c>
      <c r="H55" s="106"/>
    </row>
    <row r="56" spans="1:8" ht="17.100000000000001" customHeight="1" x14ac:dyDescent="0.2">
      <c r="A56" s="3">
        <v>50</v>
      </c>
      <c r="B56" s="4" t="s">
        <v>337</v>
      </c>
      <c r="C56" s="4" t="s">
        <v>338</v>
      </c>
      <c r="D56" s="4" t="s">
        <v>96</v>
      </c>
      <c r="E56" s="5">
        <v>45125</v>
      </c>
      <c r="F56" s="6">
        <v>33.618124999999999</v>
      </c>
      <c r="G56" s="7">
        <v>4.8334019999999997E-3</v>
      </c>
      <c r="H56" s="106"/>
    </row>
    <row r="57" spans="1:8" ht="29.1" customHeight="1" x14ac:dyDescent="0.2">
      <c r="A57" s="3">
        <v>51</v>
      </c>
      <c r="B57" s="4" t="s">
        <v>456</v>
      </c>
      <c r="C57" s="4" t="s">
        <v>457</v>
      </c>
      <c r="D57" s="4" t="s">
        <v>188</v>
      </c>
      <c r="E57" s="5">
        <v>3563</v>
      </c>
      <c r="F57" s="6">
        <v>23.848940500000001</v>
      </c>
      <c r="G57" s="7">
        <v>3.4288500000000002E-3</v>
      </c>
      <c r="H57" s="106"/>
    </row>
    <row r="58" spans="1:8" ht="29.1" customHeight="1" x14ac:dyDescent="0.2">
      <c r="A58" s="3">
        <v>52</v>
      </c>
      <c r="B58" s="4" t="s">
        <v>430</v>
      </c>
      <c r="C58" s="4" t="s">
        <v>431</v>
      </c>
      <c r="D58" s="4" t="s">
        <v>204</v>
      </c>
      <c r="E58" s="5">
        <v>3593</v>
      </c>
      <c r="F58" s="6">
        <v>8.1255694999999992</v>
      </c>
      <c r="G58" s="7">
        <v>1.168243E-3</v>
      </c>
      <c r="H58" s="106"/>
    </row>
    <row r="59" spans="1:8" ht="14.1" customHeight="1" x14ac:dyDescent="0.2">
      <c r="A59" s="1"/>
      <c r="B59" s="1"/>
      <c r="C59" s="2" t="s">
        <v>130</v>
      </c>
      <c r="D59" s="1"/>
      <c r="E59" s="1" t="s">
        <v>131</v>
      </c>
      <c r="F59" s="9">
        <v>6602.5380260000002</v>
      </c>
      <c r="G59" s="10">
        <v>0.94927125800000001</v>
      </c>
      <c r="H59" s="106"/>
    </row>
    <row r="60" spans="1:8" ht="14.1" customHeight="1" x14ac:dyDescent="0.2">
      <c r="A60" s="1"/>
      <c r="B60" s="1"/>
      <c r="C60" s="11"/>
      <c r="D60" s="1"/>
      <c r="E60" s="1"/>
      <c r="F60" s="12"/>
      <c r="G60" s="12"/>
      <c r="H60" s="106"/>
    </row>
    <row r="61" spans="1:8" ht="14.1" customHeight="1" x14ac:dyDescent="0.2">
      <c r="A61" s="1"/>
      <c r="B61" s="1"/>
      <c r="C61" s="2" t="s">
        <v>132</v>
      </c>
      <c r="D61" s="1"/>
      <c r="E61" s="1"/>
      <c r="F61" s="1"/>
      <c r="G61" s="1"/>
      <c r="H61" s="106"/>
    </row>
    <row r="62" spans="1:8" ht="14.1" customHeight="1" x14ac:dyDescent="0.2">
      <c r="A62" s="1"/>
      <c r="B62" s="1"/>
      <c r="C62" s="2" t="s">
        <v>130</v>
      </c>
      <c r="D62" s="1"/>
      <c r="E62" s="1" t="s">
        <v>131</v>
      </c>
      <c r="F62" s="13">
        <v>0</v>
      </c>
      <c r="G62" s="14">
        <v>0</v>
      </c>
      <c r="H62" s="106"/>
    </row>
    <row r="63" spans="1:8" ht="14.1" customHeight="1" x14ac:dyDescent="0.2">
      <c r="A63" s="1"/>
      <c r="B63" s="1"/>
      <c r="C63" s="11"/>
      <c r="D63" s="1"/>
      <c r="E63" s="1"/>
      <c r="F63" s="12"/>
      <c r="G63" s="12"/>
      <c r="H63" s="106"/>
    </row>
    <row r="64" spans="1:8" ht="14.1" customHeight="1" x14ac:dyDescent="0.2">
      <c r="A64" s="1"/>
      <c r="B64" s="1"/>
      <c r="C64" s="2" t="s">
        <v>133</v>
      </c>
      <c r="D64" s="1"/>
      <c r="E64" s="1"/>
      <c r="F64" s="1"/>
      <c r="G64" s="1"/>
      <c r="H64" s="106"/>
    </row>
    <row r="65" spans="1:8" ht="14.1" customHeight="1" x14ac:dyDescent="0.2">
      <c r="A65" s="1"/>
      <c r="B65" s="1"/>
      <c r="C65" s="2" t="s">
        <v>130</v>
      </c>
      <c r="D65" s="1"/>
      <c r="E65" s="1" t="s">
        <v>131</v>
      </c>
      <c r="F65" s="13">
        <v>0</v>
      </c>
      <c r="G65" s="14">
        <v>0</v>
      </c>
      <c r="H65" s="106"/>
    </row>
    <row r="66" spans="1:8" ht="14.1" customHeight="1" x14ac:dyDescent="0.2">
      <c r="A66" s="1"/>
      <c r="B66" s="1"/>
      <c r="C66" s="11"/>
      <c r="D66" s="1"/>
      <c r="E66" s="1"/>
      <c r="F66" s="12"/>
      <c r="G66" s="12"/>
      <c r="H66" s="106"/>
    </row>
    <row r="67" spans="1:8" ht="14.1" customHeight="1" x14ac:dyDescent="0.2">
      <c r="A67" s="1"/>
      <c r="B67" s="1"/>
      <c r="C67" s="2" t="s">
        <v>134</v>
      </c>
      <c r="D67" s="1"/>
      <c r="E67" s="1"/>
      <c r="F67" s="1"/>
      <c r="G67" s="1"/>
      <c r="H67" s="106"/>
    </row>
    <row r="68" spans="1:8" ht="14.1" customHeight="1" x14ac:dyDescent="0.2">
      <c r="A68" s="1"/>
      <c r="B68" s="1"/>
      <c r="C68" s="2" t="s">
        <v>130</v>
      </c>
      <c r="D68" s="1"/>
      <c r="E68" s="1" t="s">
        <v>131</v>
      </c>
      <c r="F68" s="13">
        <v>0</v>
      </c>
      <c r="G68" s="14">
        <v>0</v>
      </c>
      <c r="H68" s="106"/>
    </row>
    <row r="69" spans="1:8" ht="14.1" customHeight="1" x14ac:dyDescent="0.2">
      <c r="A69" s="1"/>
      <c r="B69" s="1"/>
      <c r="C69" s="11"/>
      <c r="D69" s="1"/>
      <c r="E69" s="1"/>
      <c r="F69" s="12"/>
      <c r="G69" s="12"/>
      <c r="H69" s="106"/>
    </row>
    <row r="70" spans="1:8" ht="14.1" customHeight="1" x14ac:dyDescent="0.2">
      <c r="A70" s="1"/>
      <c r="B70" s="1"/>
      <c r="C70" s="2" t="s">
        <v>135</v>
      </c>
      <c r="D70" s="1"/>
      <c r="E70" s="1"/>
      <c r="F70" s="12"/>
      <c r="G70" s="12"/>
      <c r="H70" s="106"/>
    </row>
    <row r="71" spans="1:8" ht="14.1" customHeight="1" x14ac:dyDescent="0.2">
      <c r="A71" s="1"/>
      <c r="B71" s="1"/>
      <c r="C71" s="2" t="s">
        <v>130</v>
      </c>
      <c r="D71" s="1"/>
      <c r="E71" s="1" t="s">
        <v>131</v>
      </c>
      <c r="F71" s="13">
        <v>0</v>
      </c>
      <c r="G71" s="14">
        <v>0</v>
      </c>
      <c r="H71" s="106"/>
    </row>
    <row r="72" spans="1:8" ht="14.1" customHeight="1" x14ac:dyDescent="0.2">
      <c r="A72" s="1"/>
      <c r="B72" s="1"/>
      <c r="C72" s="11"/>
      <c r="D72" s="1"/>
      <c r="E72" s="1"/>
      <c r="F72" s="12"/>
      <c r="G72" s="12"/>
      <c r="H72" s="106"/>
    </row>
    <row r="73" spans="1:8" ht="14.1" customHeight="1" x14ac:dyDescent="0.2">
      <c r="A73" s="1"/>
      <c r="B73" s="1"/>
      <c r="C73" s="2" t="s">
        <v>136</v>
      </c>
      <c r="D73" s="1"/>
      <c r="E73" s="1"/>
      <c r="F73" s="12"/>
      <c r="G73" s="12"/>
      <c r="H73" s="106"/>
    </row>
    <row r="74" spans="1:8" ht="14.1" customHeight="1" x14ac:dyDescent="0.2">
      <c r="A74" s="1"/>
      <c r="B74" s="1"/>
      <c r="C74" s="2" t="s">
        <v>130</v>
      </c>
      <c r="D74" s="1"/>
      <c r="E74" s="1" t="s">
        <v>131</v>
      </c>
      <c r="F74" s="13">
        <v>0</v>
      </c>
      <c r="G74" s="14">
        <v>0</v>
      </c>
      <c r="H74" s="106"/>
    </row>
    <row r="75" spans="1:8" ht="14.1" customHeight="1" x14ac:dyDescent="0.2">
      <c r="A75" s="1"/>
      <c r="B75" s="1"/>
      <c r="C75" s="11"/>
      <c r="D75" s="1"/>
      <c r="E75" s="1"/>
      <c r="F75" s="12"/>
      <c r="G75" s="12"/>
      <c r="H75" s="106"/>
    </row>
    <row r="76" spans="1:8" ht="18" customHeight="1" x14ac:dyDescent="0.2">
      <c r="A76" s="1"/>
      <c r="B76" s="1"/>
      <c r="C76" s="2" t="s">
        <v>137</v>
      </c>
      <c r="D76" s="1"/>
      <c r="E76" s="1"/>
      <c r="F76" s="9">
        <v>6602.5380260000002</v>
      </c>
      <c r="G76" s="10">
        <v>0.94927125800000001</v>
      </c>
      <c r="H76" s="106"/>
    </row>
    <row r="77" spans="1:8" ht="14.1" customHeight="1" x14ac:dyDescent="0.2">
      <c r="A77" s="1"/>
      <c r="B77" s="1"/>
      <c r="C77" s="11"/>
      <c r="D77" s="1"/>
      <c r="E77" s="1"/>
      <c r="F77" s="12"/>
      <c r="G77" s="12"/>
      <c r="H77" s="106"/>
    </row>
    <row r="78" spans="1:8" ht="14.1" customHeight="1" x14ac:dyDescent="0.2">
      <c r="A78" s="1"/>
      <c r="B78" s="1"/>
      <c r="C78" s="2" t="s">
        <v>138</v>
      </c>
      <c r="D78" s="1"/>
      <c r="E78" s="1"/>
      <c r="F78" s="12"/>
      <c r="G78" s="12"/>
      <c r="H78" s="106"/>
    </row>
    <row r="79" spans="1:8" ht="24" customHeight="1" x14ac:dyDescent="0.2">
      <c r="A79" s="1"/>
      <c r="B79" s="1"/>
      <c r="C79" s="2" t="s">
        <v>10</v>
      </c>
      <c r="D79" s="1"/>
      <c r="E79" s="1"/>
      <c r="F79" s="12"/>
      <c r="G79" s="12"/>
      <c r="H79" s="106"/>
    </row>
    <row r="80" spans="1:8" ht="14.1" customHeight="1" x14ac:dyDescent="0.2">
      <c r="A80" s="1"/>
      <c r="B80" s="1"/>
      <c r="C80" s="2" t="s">
        <v>130</v>
      </c>
      <c r="D80" s="1"/>
      <c r="E80" s="1" t="s">
        <v>131</v>
      </c>
      <c r="F80" s="13">
        <v>0</v>
      </c>
      <c r="G80" s="14">
        <v>0</v>
      </c>
      <c r="H80" s="106"/>
    </row>
    <row r="81" spans="1:8" ht="14.1" customHeight="1" x14ac:dyDescent="0.2">
      <c r="A81" s="1"/>
      <c r="B81" s="1"/>
      <c r="C81" s="11"/>
      <c r="D81" s="1"/>
      <c r="E81" s="1"/>
      <c r="F81" s="12"/>
      <c r="G81" s="12"/>
      <c r="H81" s="106"/>
    </row>
    <row r="82" spans="1:8" ht="14.1" customHeight="1" x14ac:dyDescent="0.2">
      <c r="A82" s="1"/>
      <c r="B82" s="1"/>
      <c r="C82" s="2" t="s">
        <v>139</v>
      </c>
      <c r="D82" s="1"/>
      <c r="E82" s="1"/>
      <c r="F82" s="1"/>
      <c r="G82" s="1"/>
      <c r="H82" s="106"/>
    </row>
    <row r="83" spans="1:8" ht="14.1" customHeight="1" x14ac:dyDescent="0.2">
      <c r="A83" s="1"/>
      <c r="B83" s="1"/>
      <c r="C83" s="2" t="s">
        <v>130</v>
      </c>
      <c r="D83" s="1"/>
      <c r="E83" s="1" t="s">
        <v>131</v>
      </c>
      <c r="F83" s="13">
        <v>0</v>
      </c>
      <c r="G83" s="14">
        <v>0</v>
      </c>
      <c r="H83" s="106"/>
    </row>
    <row r="84" spans="1:8" ht="14.1" customHeight="1" x14ac:dyDescent="0.2">
      <c r="A84" s="1"/>
      <c r="B84" s="1"/>
      <c r="C84" s="11"/>
      <c r="D84" s="1"/>
      <c r="E84" s="1"/>
      <c r="F84" s="12"/>
      <c r="G84" s="12"/>
      <c r="H84" s="106"/>
    </row>
    <row r="85" spans="1:8" ht="14.1" customHeight="1" x14ac:dyDescent="0.2">
      <c r="A85" s="1"/>
      <c r="B85" s="1"/>
      <c r="C85" s="2" t="s">
        <v>140</v>
      </c>
      <c r="D85" s="1"/>
      <c r="E85" s="1"/>
      <c r="F85" s="1"/>
      <c r="G85" s="1"/>
      <c r="H85" s="106"/>
    </row>
    <row r="86" spans="1:8" ht="14.1" customHeight="1" x14ac:dyDescent="0.2">
      <c r="A86" s="1"/>
      <c r="B86" s="1"/>
      <c r="C86" s="2" t="s">
        <v>130</v>
      </c>
      <c r="D86" s="1"/>
      <c r="E86" s="1" t="s">
        <v>131</v>
      </c>
      <c r="F86" s="13">
        <v>0</v>
      </c>
      <c r="G86" s="14">
        <v>0</v>
      </c>
      <c r="H86" s="106"/>
    </row>
    <row r="87" spans="1:8" ht="14.1" customHeight="1" x14ac:dyDescent="0.2">
      <c r="A87" s="1"/>
      <c r="B87" s="1"/>
      <c r="C87" s="11"/>
      <c r="D87" s="1"/>
      <c r="E87" s="1"/>
      <c r="F87" s="12"/>
      <c r="G87" s="12"/>
      <c r="H87" s="106"/>
    </row>
    <row r="88" spans="1:8" ht="14.1" customHeight="1" x14ac:dyDescent="0.2">
      <c r="A88" s="1"/>
      <c r="B88" s="1"/>
      <c r="C88" s="2" t="s">
        <v>141</v>
      </c>
      <c r="D88" s="1"/>
      <c r="E88" s="1"/>
      <c r="F88" s="12"/>
      <c r="G88" s="12"/>
      <c r="H88" s="106"/>
    </row>
    <row r="89" spans="1:8" ht="14.1" customHeight="1" x14ac:dyDescent="0.2">
      <c r="A89" s="1"/>
      <c r="B89" s="1"/>
      <c r="C89" s="2" t="s">
        <v>130</v>
      </c>
      <c r="D89" s="1"/>
      <c r="E89" s="1" t="s">
        <v>131</v>
      </c>
      <c r="F89" s="13">
        <v>0</v>
      </c>
      <c r="G89" s="14">
        <v>0</v>
      </c>
      <c r="H89" s="106"/>
    </row>
    <row r="90" spans="1:8" ht="14.1" customHeight="1" x14ac:dyDescent="0.2">
      <c r="A90" s="1"/>
      <c r="B90" s="1"/>
      <c r="C90" s="11"/>
      <c r="D90" s="1"/>
      <c r="E90" s="1"/>
      <c r="F90" s="12"/>
      <c r="G90" s="12"/>
      <c r="H90" s="106"/>
    </row>
    <row r="91" spans="1:8" ht="14.1" customHeight="1" x14ac:dyDescent="0.2">
      <c r="A91" s="1"/>
      <c r="B91" s="1"/>
      <c r="C91" s="2" t="s">
        <v>142</v>
      </c>
      <c r="D91" s="1"/>
      <c r="E91" s="1"/>
      <c r="F91" s="9">
        <v>0</v>
      </c>
      <c r="G91" s="10">
        <v>0</v>
      </c>
      <c r="H91" s="106"/>
    </row>
    <row r="92" spans="1:8" ht="14.1" customHeight="1" x14ac:dyDescent="0.2">
      <c r="A92" s="1"/>
      <c r="B92" s="1"/>
      <c r="C92" s="11"/>
      <c r="D92" s="1"/>
      <c r="E92" s="1"/>
      <c r="F92" s="12"/>
      <c r="G92" s="12"/>
      <c r="H92" s="106"/>
    </row>
    <row r="93" spans="1:8" ht="14.1" customHeight="1" x14ac:dyDescent="0.2">
      <c r="A93" s="1"/>
      <c r="B93" s="1"/>
      <c r="C93" s="2" t="s">
        <v>143</v>
      </c>
      <c r="D93" s="1"/>
      <c r="E93" s="1"/>
      <c r="F93" s="12"/>
      <c r="G93" s="12"/>
      <c r="H93" s="106"/>
    </row>
    <row r="94" spans="1:8" ht="14.1" customHeight="1" x14ac:dyDescent="0.2">
      <c r="A94" s="1"/>
      <c r="B94" s="1"/>
      <c r="C94" s="2" t="s">
        <v>144</v>
      </c>
      <c r="D94" s="1"/>
      <c r="E94" s="1"/>
      <c r="F94" s="12"/>
      <c r="G94" s="12"/>
      <c r="H94" s="106"/>
    </row>
    <row r="95" spans="1:8" ht="14.1" customHeight="1" x14ac:dyDescent="0.2">
      <c r="A95" s="1"/>
      <c r="B95" s="1"/>
      <c r="C95" s="2" t="s">
        <v>130</v>
      </c>
      <c r="D95" s="1"/>
      <c r="E95" s="1" t="s">
        <v>131</v>
      </c>
      <c r="F95" s="13">
        <v>0</v>
      </c>
      <c r="G95" s="14">
        <v>0</v>
      </c>
      <c r="H95" s="106"/>
    </row>
    <row r="96" spans="1:8" ht="14.1" customHeight="1" x14ac:dyDescent="0.2">
      <c r="A96" s="1"/>
      <c r="B96" s="1"/>
      <c r="C96" s="11"/>
      <c r="D96" s="1"/>
      <c r="E96" s="1"/>
      <c r="F96" s="12"/>
      <c r="G96" s="12"/>
      <c r="H96" s="106"/>
    </row>
    <row r="97" spans="1:8" ht="14.1" customHeight="1" x14ac:dyDescent="0.2">
      <c r="A97" s="1"/>
      <c r="B97" s="1"/>
      <c r="C97" s="2" t="s">
        <v>145</v>
      </c>
      <c r="D97" s="1"/>
      <c r="E97" s="1"/>
      <c r="F97" s="12"/>
      <c r="G97" s="12"/>
      <c r="H97" s="106"/>
    </row>
    <row r="98" spans="1:8" ht="14.1" customHeight="1" x14ac:dyDescent="0.2">
      <c r="A98" s="1"/>
      <c r="B98" s="1"/>
      <c r="C98" s="2" t="s">
        <v>130</v>
      </c>
      <c r="D98" s="1"/>
      <c r="E98" s="1" t="s">
        <v>131</v>
      </c>
      <c r="F98" s="13">
        <v>0</v>
      </c>
      <c r="G98" s="14">
        <v>0</v>
      </c>
      <c r="H98" s="106"/>
    </row>
    <row r="99" spans="1:8" ht="14.1" customHeight="1" x14ac:dyDescent="0.2">
      <c r="A99" s="1"/>
      <c r="B99" s="1"/>
      <c r="C99" s="11"/>
      <c r="D99" s="1"/>
      <c r="E99" s="1"/>
      <c r="F99" s="12"/>
      <c r="G99" s="12"/>
      <c r="H99" s="106"/>
    </row>
    <row r="100" spans="1:8" ht="14.1" customHeight="1" x14ac:dyDescent="0.2">
      <c r="A100" s="1"/>
      <c r="B100" s="1"/>
      <c r="C100" s="2" t="s">
        <v>146</v>
      </c>
      <c r="D100" s="1"/>
      <c r="E100" s="1"/>
      <c r="F100" s="12"/>
      <c r="G100" s="12"/>
      <c r="H100" s="106"/>
    </row>
    <row r="101" spans="1:8" ht="14.1" customHeight="1" x14ac:dyDescent="0.2">
      <c r="A101" s="1"/>
      <c r="B101" s="1"/>
      <c r="C101" s="2" t="s">
        <v>130</v>
      </c>
      <c r="D101" s="1"/>
      <c r="E101" s="1" t="s">
        <v>131</v>
      </c>
      <c r="F101" s="13">
        <v>0</v>
      </c>
      <c r="G101" s="14">
        <v>0</v>
      </c>
      <c r="H101" s="106"/>
    </row>
    <row r="102" spans="1:8" ht="14.1" customHeight="1" x14ac:dyDescent="0.2">
      <c r="A102" s="1"/>
      <c r="B102" s="1"/>
      <c r="C102" s="11"/>
      <c r="D102" s="1"/>
      <c r="E102" s="1"/>
      <c r="F102" s="12"/>
      <c r="G102" s="12"/>
      <c r="H102" s="106"/>
    </row>
    <row r="103" spans="1:8" ht="14.1" customHeight="1" x14ac:dyDescent="0.2">
      <c r="A103" s="1"/>
      <c r="B103" s="1"/>
      <c r="C103" s="2" t="s">
        <v>147</v>
      </c>
      <c r="D103" s="1"/>
      <c r="E103" s="1"/>
      <c r="F103" s="12"/>
      <c r="G103" s="12"/>
      <c r="H103" s="106"/>
    </row>
    <row r="104" spans="1:8" ht="17.100000000000001" customHeight="1" x14ac:dyDescent="0.2">
      <c r="A104" s="3">
        <v>1</v>
      </c>
      <c r="B104" s="4"/>
      <c r="C104" s="4" t="s">
        <v>148</v>
      </c>
      <c r="D104" s="4"/>
      <c r="E104" s="8"/>
      <c r="F104" s="6">
        <v>405.52813620000001</v>
      </c>
      <c r="G104" s="7">
        <v>5.8304277000000002E-2</v>
      </c>
      <c r="H104" s="106">
        <v>6.1171451766917002</v>
      </c>
    </row>
    <row r="105" spans="1:8" ht="14.1" customHeight="1" x14ac:dyDescent="0.2">
      <c r="A105" s="1"/>
      <c r="B105" s="1"/>
      <c r="C105" s="2" t="s">
        <v>130</v>
      </c>
      <c r="D105" s="1"/>
      <c r="E105" s="1" t="s">
        <v>131</v>
      </c>
      <c r="F105" s="9">
        <v>405.52813620000001</v>
      </c>
      <c r="G105" s="10">
        <v>5.8304277000000002E-2</v>
      </c>
      <c r="H105" s="106"/>
    </row>
    <row r="106" spans="1:8" ht="14.1" customHeight="1" x14ac:dyDescent="0.2">
      <c r="A106" s="1"/>
      <c r="B106" s="1"/>
      <c r="C106" s="11"/>
      <c r="D106" s="1"/>
      <c r="E106" s="1"/>
      <c r="F106" s="12"/>
      <c r="G106" s="12"/>
      <c r="H106" s="106"/>
    </row>
    <row r="107" spans="1:8" ht="14.1" customHeight="1" x14ac:dyDescent="0.2">
      <c r="A107" s="1"/>
      <c r="B107" s="1"/>
      <c r="C107" s="2" t="s">
        <v>149</v>
      </c>
      <c r="D107" s="1"/>
      <c r="E107" s="1"/>
      <c r="F107" s="9">
        <v>405.52813620000001</v>
      </c>
      <c r="G107" s="10">
        <v>5.8304277000000002E-2</v>
      </c>
      <c r="H107" s="106"/>
    </row>
    <row r="108" spans="1:8" ht="14.1" customHeight="1" x14ac:dyDescent="0.2">
      <c r="A108" s="1"/>
      <c r="B108" s="1"/>
      <c r="C108" s="12"/>
      <c r="D108" s="1"/>
      <c r="E108" s="1"/>
      <c r="F108" s="1"/>
      <c r="G108" s="1"/>
      <c r="H108" s="106"/>
    </row>
    <row r="109" spans="1:8" ht="14.1" customHeight="1" x14ac:dyDescent="0.2">
      <c r="A109" s="1"/>
      <c r="B109" s="1"/>
      <c r="C109" s="2" t="s">
        <v>150</v>
      </c>
      <c r="D109" s="1"/>
      <c r="E109" s="1"/>
      <c r="F109" s="1"/>
      <c r="G109" s="1"/>
      <c r="H109" s="106"/>
    </row>
    <row r="110" spans="1:8" ht="14.1" customHeight="1" x14ac:dyDescent="0.2">
      <c r="A110" s="1"/>
      <c r="B110" s="1"/>
      <c r="C110" s="2" t="s">
        <v>151</v>
      </c>
      <c r="D110" s="1"/>
      <c r="E110" s="1"/>
      <c r="F110" s="1"/>
      <c r="G110" s="1"/>
      <c r="H110" s="106"/>
    </row>
    <row r="111" spans="1:8" ht="14.1" customHeight="1" x14ac:dyDescent="0.2">
      <c r="A111" s="1"/>
      <c r="B111" s="1"/>
      <c r="C111" s="2" t="s">
        <v>130</v>
      </c>
      <c r="D111" s="1"/>
      <c r="E111" s="1" t="s">
        <v>131</v>
      </c>
      <c r="F111" s="13">
        <v>0</v>
      </c>
      <c r="G111" s="14">
        <v>0</v>
      </c>
      <c r="H111" s="106"/>
    </row>
    <row r="112" spans="1:8" ht="14.1" customHeight="1" x14ac:dyDescent="0.2">
      <c r="A112" s="1"/>
      <c r="B112" s="1"/>
      <c r="C112" s="11"/>
      <c r="D112" s="1"/>
      <c r="E112" s="1"/>
      <c r="F112" s="12"/>
      <c r="G112" s="12"/>
      <c r="H112" s="106"/>
    </row>
    <row r="113" spans="1:8" ht="14.1" customHeight="1" x14ac:dyDescent="0.2">
      <c r="A113" s="1"/>
      <c r="B113" s="1"/>
      <c r="C113" s="2" t="s">
        <v>152</v>
      </c>
      <c r="D113" s="1"/>
      <c r="E113" s="1"/>
      <c r="F113" s="1"/>
      <c r="G113" s="1"/>
      <c r="H113" s="106"/>
    </row>
    <row r="114" spans="1:8" ht="14.1" customHeight="1" x14ac:dyDescent="0.2">
      <c r="A114" s="1"/>
      <c r="B114" s="1"/>
      <c r="C114" s="2" t="s">
        <v>153</v>
      </c>
      <c r="D114" s="1"/>
      <c r="E114" s="1"/>
      <c r="F114" s="1"/>
      <c r="G114" s="1"/>
      <c r="H114" s="106"/>
    </row>
    <row r="115" spans="1:8" ht="14.1" customHeight="1" x14ac:dyDescent="0.2">
      <c r="A115" s="1"/>
      <c r="B115" s="1"/>
      <c r="C115" s="2" t="s">
        <v>130</v>
      </c>
      <c r="D115" s="1"/>
      <c r="E115" s="1" t="s">
        <v>131</v>
      </c>
      <c r="F115" s="13">
        <v>0</v>
      </c>
      <c r="G115" s="14">
        <v>0</v>
      </c>
      <c r="H115" s="106"/>
    </row>
    <row r="116" spans="1:8" ht="14.1" customHeight="1" x14ac:dyDescent="0.2">
      <c r="A116" s="1"/>
      <c r="B116" s="1"/>
      <c r="C116" s="11"/>
      <c r="D116" s="1"/>
      <c r="E116" s="1"/>
      <c r="F116" s="12"/>
      <c r="G116" s="12"/>
      <c r="H116" s="106"/>
    </row>
    <row r="117" spans="1:8" ht="14.1" customHeight="1" x14ac:dyDescent="0.2">
      <c r="A117" s="1"/>
      <c r="B117" s="1"/>
      <c r="C117" s="11"/>
      <c r="D117" s="1"/>
      <c r="E117" s="1"/>
      <c r="F117" s="12"/>
      <c r="G117" s="12"/>
      <c r="H117" s="106"/>
    </row>
    <row r="118" spans="1:8" ht="24" customHeight="1" x14ac:dyDescent="0.2">
      <c r="A118" s="1"/>
      <c r="B118" s="1"/>
      <c r="C118" s="2" t="s">
        <v>154</v>
      </c>
      <c r="D118" s="1"/>
      <c r="E118" s="1"/>
      <c r="F118" s="12"/>
      <c r="G118" s="12"/>
      <c r="H118" s="106"/>
    </row>
    <row r="119" spans="1:8" ht="14.1" customHeight="1" x14ac:dyDescent="0.2">
      <c r="A119" s="1"/>
      <c r="B119" s="1"/>
      <c r="C119" s="2" t="s">
        <v>130</v>
      </c>
      <c r="D119" s="1"/>
      <c r="E119" s="1" t="s">
        <v>131</v>
      </c>
      <c r="F119" s="13">
        <v>0</v>
      </c>
      <c r="G119" s="14">
        <v>0</v>
      </c>
      <c r="H119" s="106"/>
    </row>
    <row r="120" spans="1:8" ht="14.1" customHeight="1" x14ac:dyDescent="0.2">
      <c r="A120" s="1"/>
      <c r="B120" s="1"/>
      <c r="C120" s="11"/>
      <c r="D120" s="1"/>
      <c r="E120" s="1"/>
      <c r="F120" s="12"/>
      <c r="G120" s="12"/>
      <c r="H120" s="106"/>
    </row>
    <row r="121" spans="1:8" ht="14.1" customHeight="1" x14ac:dyDescent="0.2">
      <c r="A121" s="1"/>
      <c r="B121" s="4"/>
      <c r="C121" s="4"/>
      <c r="D121" s="2"/>
      <c r="E121" s="1"/>
      <c r="F121" s="4"/>
      <c r="G121" s="8"/>
      <c r="H121" s="106"/>
    </row>
    <row r="122" spans="1:8" ht="18" customHeight="1" x14ac:dyDescent="0.2">
      <c r="A122" s="8"/>
      <c r="B122" s="4"/>
      <c r="C122" s="4" t="s">
        <v>155</v>
      </c>
      <c r="D122" s="4"/>
      <c r="E122" s="8"/>
      <c r="F122" s="6">
        <v>-52.69068438</v>
      </c>
      <c r="G122" s="7">
        <v>-7.5755340000000001E-3</v>
      </c>
      <c r="H122" s="106"/>
    </row>
    <row r="123" spans="1:8" ht="14.1" customHeight="1" x14ac:dyDescent="0.2">
      <c r="A123" s="11"/>
      <c r="B123" s="11"/>
      <c r="C123" s="2" t="s">
        <v>156</v>
      </c>
      <c r="D123" s="15"/>
      <c r="E123" s="15"/>
      <c r="F123" s="9">
        <v>6955.37547782</v>
      </c>
      <c r="G123" s="10">
        <v>1.0000000010000001</v>
      </c>
      <c r="H123" s="106"/>
    </row>
    <row r="124" spans="1:8" ht="14.1" customHeight="1" x14ac:dyDescent="0.2">
      <c r="A124" s="16"/>
      <c r="B124" s="16"/>
      <c r="C124" s="16"/>
      <c r="D124" s="17"/>
      <c r="E124" s="17"/>
      <c r="F124" s="17"/>
      <c r="G124" s="17"/>
    </row>
    <row r="125" spans="1:8" ht="14.1" customHeight="1" x14ac:dyDescent="0.2">
      <c r="A125" s="18"/>
      <c r="B125" s="18"/>
      <c r="C125" s="18"/>
      <c r="D125" s="20"/>
      <c r="E125" s="20"/>
      <c r="F125" s="20"/>
      <c r="G125" s="20"/>
    </row>
    <row r="126" spans="1:8" ht="14.1" customHeight="1" x14ac:dyDescent="0.2">
      <c r="A126" s="18"/>
      <c r="B126" s="279" t="s">
        <v>158</v>
      </c>
      <c r="C126" s="280"/>
      <c r="D126" s="12" t="s">
        <v>131</v>
      </c>
      <c r="E126" s="21"/>
      <c r="F126" s="20"/>
      <c r="G126" s="20"/>
    </row>
    <row r="127" spans="1:8" ht="29.1" customHeight="1" x14ac:dyDescent="0.2">
      <c r="A127" s="18"/>
      <c r="B127" s="274" t="s">
        <v>159</v>
      </c>
      <c r="C127" s="275"/>
      <c r="D127" s="2" t="s">
        <v>160</v>
      </c>
      <c r="E127" s="21"/>
      <c r="F127" s="20"/>
      <c r="G127" s="20"/>
    </row>
    <row r="128" spans="1:8" ht="17.100000000000001" customHeight="1" x14ac:dyDescent="0.2">
      <c r="A128" s="18"/>
      <c r="B128" s="274" t="s">
        <v>161</v>
      </c>
      <c r="C128" s="275"/>
      <c r="D128" s="2" t="s">
        <v>160</v>
      </c>
      <c r="E128" s="21"/>
      <c r="F128" s="20"/>
      <c r="G128" s="20"/>
    </row>
    <row r="129" spans="1:7" ht="17.100000000000001" customHeight="1" x14ac:dyDescent="0.2">
      <c r="A129" s="18"/>
      <c r="B129" s="274" t="s">
        <v>162</v>
      </c>
      <c r="C129" s="275"/>
      <c r="D129" s="12" t="s">
        <v>131</v>
      </c>
      <c r="E129" s="21"/>
      <c r="F129" s="20"/>
      <c r="G129" s="20"/>
    </row>
    <row r="130" spans="1:7" ht="24" customHeight="1" x14ac:dyDescent="0.2">
      <c r="A130" s="22"/>
      <c r="B130" s="23" t="s">
        <v>131</v>
      </c>
      <c r="C130" s="23" t="s">
        <v>163</v>
      </c>
      <c r="D130" s="23" t="s">
        <v>164</v>
      </c>
      <c r="E130" s="22"/>
      <c r="F130" s="22"/>
      <c r="G130" s="22"/>
    </row>
    <row r="131" spans="1:7" ht="18" customHeight="1" x14ac:dyDescent="0.2">
      <c r="A131" s="22"/>
      <c r="B131" s="23" t="s">
        <v>165</v>
      </c>
      <c r="C131" s="23" t="s">
        <v>166</v>
      </c>
      <c r="D131" s="23" t="s">
        <v>167</v>
      </c>
      <c r="E131" s="22"/>
      <c r="F131" s="22"/>
      <c r="G131" s="22"/>
    </row>
    <row r="132" spans="1:7" ht="17.100000000000001" customHeight="1" x14ac:dyDescent="0.2">
      <c r="A132" s="22"/>
      <c r="B132" s="4" t="s">
        <v>168</v>
      </c>
      <c r="C132" s="24">
        <v>20.288900000000002</v>
      </c>
      <c r="D132" s="24">
        <v>20.6355</v>
      </c>
      <c r="E132" s="22"/>
      <c r="F132" s="19"/>
      <c r="G132" s="25"/>
    </row>
    <row r="133" spans="1:7" ht="17.100000000000001" customHeight="1" x14ac:dyDescent="0.2">
      <c r="A133" s="22"/>
      <c r="B133" s="4" t="s">
        <v>1048</v>
      </c>
      <c r="C133" s="24">
        <v>18.6875</v>
      </c>
      <c r="D133" s="24">
        <v>19.006799999999998</v>
      </c>
      <c r="E133" s="22"/>
      <c r="F133" s="19"/>
      <c r="G133" s="25"/>
    </row>
    <row r="134" spans="1:7" ht="17.100000000000001" customHeight="1" x14ac:dyDescent="0.2">
      <c r="A134" s="22"/>
      <c r="B134" s="4" t="s">
        <v>169</v>
      </c>
      <c r="C134" s="24">
        <v>19.802199999999999</v>
      </c>
      <c r="D134" s="24">
        <v>20.137599999999999</v>
      </c>
      <c r="E134" s="22"/>
      <c r="F134" s="19"/>
      <c r="G134" s="25"/>
    </row>
    <row r="135" spans="1:7" ht="17.100000000000001" customHeight="1" x14ac:dyDescent="0.2">
      <c r="A135" s="22"/>
      <c r="B135" s="4" t="s">
        <v>1049</v>
      </c>
      <c r="C135" s="24">
        <v>18.222200000000001</v>
      </c>
      <c r="D135" s="24">
        <v>18.530799999999999</v>
      </c>
      <c r="E135" s="22"/>
      <c r="F135" s="19"/>
      <c r="G135" s="25"/>
    </row>
    <row r="136" spans="1:7" ht="14.1" customHeight="1" x14ac:dyDescent="0.2">
      <c r="A136" s="22"/>
      <c r="B136" s="22"/>
      <c r="C136" s="22"/>
      <c r="D136" s="22"/>
      <c r="E136" s="22"/>
      <c r="F136" s="22"/>
      <c r="G136" s="22"/>
    </row>
    <row r="137" spans="1:7" ht="17.100000000000001" customHeight="1" x14ac:dyDescent="0.2">
      <c r="A137" s="22"/>
      <c r="B137" s="274" t="s">
        <v>1060</v>
      </c>
      <c r="C137" s="275"/>
      <c r="D137" s="2" t="s">
        <v>160</v>
      </c>
      <c r="E137" s="22"/>
      <c r="F137" s="22"/>
      <c r="G137" s="22"/>
    </row>
    <row r="138" spans="1:7" ht="18" customHeight="1" x14ac:dyDescent="0.2">
      <c r="A138" s="22"/>
      <c r="B138" s="26" t="s">
        <v>170</v>
      </c>
      <c r="C138" s="26" t="s">
        <v>170</v>
      </c>
      <c r="D138" s="26"/>
      <c r="E138" s="22"/>
      <c r="F138" s="22"/>
      <c r="G138" s="22"/>
    </row>
    <row r="139" spans="1:7" ht="29.1" customHeight="1" x14ac:dyDescent="0.2">
      <c r="A139" s="22"/>
      <c r="B139" s="274" t="s">
        <v>171</v>
      </c>
      <c r="C139" s="275"/>
      <c r="D139" s="2" t="s">
        <v>160</v>
      </c>
      <c r="E139" s="22"/>
      <c r="F139" s="22"/>
      <c r="G139" s="22"/>
    </row>
    <row r="140" spans="1:7" ht="29.1" customHeight="1" x14ac:dyDescent="0.2">
      <c r="A140" s="22"/>
      <c r="B140" s="274" t="s">
        <v>172</v>
      </c>
      <c r="C140" s="275"/>
      <c r="D140" s="2" t="s">
        <v>160</v>
      </c>
      <c r="E140" s="22"/>
      <c r="F140" s="22"/>
      <c r="G140" s="22"/>
    </row>
    <row r="141" spans="1:7" ht="17.100000000000001" customHeight="1" x14ac:dyDescent="0.2">
      <c r="A141" s="22"/>
      <c r="B141" s="274" t="s">
        <v>173</v>
      </c>
      <c r="C141" s="275"/>
      <c r="D141" s="27">
        <v>0.13553013938002395</v>
      </c>
      <c r="E141" s="22"/>
      <c r="F141" s="19"/>
      <c r="G141" s="25"/>
    </row>
    <row r="142" spans="1:7" ht="17.100000000000001" customHeight="1" x14ac:dyDescent="0.2">
      <c r="A142" s="22"/>
      <c r="B142" s="274" t="s">
        <v>174</v>
      </c>
      <c r="C142" s="275"/>
      <c r="D142" s="2" t="s">
        <v>160</v>
      </c>
      <c r="E142" s="22"/>
      <c r="F142" s="22"/>
      <c r="G142" s="22"/>
    </row>
    <row r="156" spans="10:14" x14ac:dyDescent="0.2">
      <c r="J156" s="162"/>
      <c r="K156" s="162"/>
      <c r="L156" s="162"/>
      <c r="M156" s="162"/>
      <c r="N156" s="162"/>
    </row>
  </sheetData>
  <mergeCells count="13">
    <mergeCell ref="B126:C126"/>
    <mergeCell ref="A1:H1"/>
    <mergeCell ref="A2:H2"/>
    <mergeCell ref="A3:H3"/>
    <mergeCell ref="J2:N2"/>
    <mergeCell ref="B141:C141"/>
    <mergeCell ref="B142:C142"/>
    <mergeCell ref="B127:C127"/>
    <mergeCell ref="B128:C128"/>
    <mergeCell ref="B129:C129"/>
    <mergeCell ref="B137:C137"/>
    <mergeCell ref="B139:C139"/>
    <mergeCell ref="B140:C140"/>
  </mergeCells>
  <hyperlinks>
    <hyperlink ref="I1" location="Index!B18" display="Index" xr:uid="{765287A7-A670-41DF-B540-DA351E2DFF5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501</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461</v>
      </c>
      <c r="C7" s="4" t="s">
        <v>462</v>
      </c>
      <c r="D7" s="4" t="s">
        <v>1114</v>
      </c>
      <c r="E7" s="5">
        <v>19582</v>
      </c>
      <c r="F7" s="6">
        <v>138.885335</v>
      </c>
      <c r="G7" s="7">
        <v>4.0862885000000002E-2</v>
      </c>
      <c r="H7" s="106"/>
    </row>
    <row r="8" spans="1:14" ht="17.100000000000001" customHeight="1" x14ac:dyDescent="0.2">
      <c r="A8" s="3">
        <v>2</v>
      </c>
      <c r="B8" s="4" t="s">
        <v>77</v>
      </c>
      <c r="C8" s="4" t="s">
        <v>78</v>
      </c>
      <c r="D8" s="4" t="s">
        <v>31</v>
      </c>
      <c r="E8" s="5">
        <v>7749</v>
      </c>
      <c r="F8" s="6">
        <v>125.16184800000001</v>
      </c>
      <c r="G8" s="7">
        <v>3.6825156999999997E-2</v>
      </c>
      <c r="H8" s="106"/>
    </row>
    <row r="9" spans="1:14" ht="17.100000000000001" customHeight="1" x14ac:dyDescent="0.2">
      <c r="A9" s="3">
        <v>3</v>
      </c>
      <c r="B9" s="4" t="s">
        <v>322</v>
      </c>
      <c r="C9" s="4" t="s">
        <v>323</v>
      </c>
      <c r="D9" s="4" t="s">
        <v>324</v>
      </c>
      <c r="E9" s="5">
        <v>7740</v>
      </c>
      <c r="F9" s="6">
        <v>124.04510999999999</v>
      </c>
      <c r="G9" s="7">
        <v>3.6496590000000002E-2</v>
      </c>
      <c r="H9" s="106"/>
    </row>
    <row r="10" spans="1:14" ht="17.100000000000001" customHeight="1" x14ac:dyDescent="0.2">
      <c r="A10" s="3">
        <v>4</v>
      </c>
      <c r="B10" s="4" t="s">
        <v>29</v>
      </c>
      <c r="C10" s="4" t="s">
        <v>30</v>
      </c>
      <c r="D10" s="4" t="s">
        <v>31</v>
      </c>
      <c r="E10" s="5">
        <v>5766</v>
      </c>
      <c r="F10" s="6">
        <v>120.01064100000001</v>
      </c>
      <c r="G10" s="7">
        <v>3.5309567E-2</v>
      </c>
      <c r="H10" s="106"/>
    </row>
    <row r="11" spans="1:14" ht="17.100000000000001" customHeight="1" x14ac:dyDescent="0.2">
      <c r="A11" s="3">
        <v>5</v>
      </c>
      <c r="B11" s="4" t="s">
        <v>108</v>
      </c>
      <c r="C11" s="4" t="s">
        <v>109</v>
      </c>
      <c r="D11" s="4" t="s">
        <v>110</v>
      </c>
      <c r="E11" s="5">
        <v>31555</v>
      </c>
      <c r="F11" s="6">
        <v>117.416155</v>
      </c>
      <c r="G11" s="7">
        <v>3.4546216999999997E-2</v>
      </c>
      <c r="H11" s="106"/>
    </row>
    <row r="12" spans="1:14" ht="17.100000000000001" customHeight="1" x14ac:dyDescent="0.2">
      <c r="A12" s="3">
        <v>6</v>
      </c>
      <c r="B12" s="4" t="s">
        <v>386</v>
      </c>
      <c r="C12" s="4" t="s">
        <v>387</v>
      </c>
      <c r="D12" s="4" t="s">
        <v>110</v>
      </c>
      <c r="E12" s="5">
        <v>18118</v>
      </c>
      <c r="F12" s="6">
        <v>108.363758</v>
      </c>
      <c r="G12" s="7">
        <v>3.1882818E-2</v>
      </c>
      <c r="H12" s="106"/>
    </row>
    <row r="13" spans="1:14" ht="29.1" customHeight="1" x14ac:dyDescent="0.2">
      <c r="A13" s="3">
        <v>7</v>
      </c>
      <c r="B13" s="4" t="s">
        <v>196</v>
      </c>
      <c r="C13" s="4" t="s">
        <v>197</v>
      </c>
      <c r="D13" s="4" t="s">
        <v>188</v>
      </c>
      <c r="E13" s="5">
        <v>2356</v>
      </c>
      <c r="F13" s="6">
        <v>107.23923000000001</v>
      </c>
      <c r="G13" s="7">
        <v>3.1551958999999997E-2</v>
      </c>
      <c r="H13" s="106"/>
      <c r="J13" s="161" t="s">
        <v>1091</v>
      </c>
    </row>
    <row r="14" spans="1:14" ht="17.100000000000001" customHeight="1" x14ac:dyDescent="0.2">
      <c r="A14" s="3">
        <v>8</v>
      </c>
      <c r="B14" s="4" t="s">
        <v>382</v>
      </c>
      <c r="C14" s="4" t="s">
        <v>383</v>
      </c>
      <c r="D14" s="4" t="s">
        <v>110</v>
      </c>
      <c r="E14" s="5">
        <v>5646</v>
      </c>
      <c r="F14" s="6">
        <v>104.871627</v>
      </c>
      <c r="G14" s="7">
        <v>3.0855362000000001E-2</v>
      </c>
      <c r="H14" s="106"/>
    </row>
    <row r="15" spans="1:14" ht="17.100000000000001" customHeight="1" x14ac:dyDescent="0.2">
      <c r="A15" s="3">
        <v>9</v>
      </c>
      <c r="B15" s="4" t="s">
        <v>32</v>
      </c>
      <c r="C15" s="4" t="s">
        <v>33</v>
      </c>
      <c r="D15" s="4" t="s">
        <v>31</v>
      </c>
      <c r="E15" s="5">
        <v>4869</v>
      </c>
      <c r="F15" s="6">
        <v>102.39507</v>
      </c>
      <c r="G15" s="7">
        <v>3.0126707999999999E-2</v>
      </c>
      <c r="H15" s="106"/>
    </row>
    <row r="16" spans="1:14" ht="17.100000000000001" customHeight="1" x14ac:dyDescent="0.2">
      <c r="A16" s="3">
        <v>10</v>
      </c>
      <c r="B16" s="4" t="s">
        <v>416</v>
      </c>
      <c r="C16" s="4" t="s">
        <v>417</v>
      </c>
      <c r="D16" s="4" t="s">
        <v>212</v>
      </c>
      <c r="E16" s="5">
        <v>35324</v>
      </c>
      <c r="F16" s="6">
        <v>101.82143000000001</v>
      </c>
      <c r="G16" s="7">
        <v>2.9957932E-2</v>
      </c>
      <c r="H16" s="106"/>
    </row>
    <row r="17" spans="1:8" ht="17.100000000000001" customHeight="1" x14ac:dyDescent="0.2">
      <c r="A17" s="3">
        <v>11</v>
      </c>
      <c r="B17" s="4" t="s">
        <v>304</v>
      </c>
      <c r="C17" s="4" t="s">
        <v>305</v>
      </c>
      <c r="D17" s="4" t="s">
        <v>240</v>
      </c>
      <c r="E17" s="5">
        <v>18116</v>
      </c>
      <c r="F17" s="6">
        <v>92.926022000000003</v>
      </c>
      <c r="G17" s="7">
        <v>2.7340722000000001E-2</v>
      </c>
      <c r="H17" s="106"/>
    </row>
    <row r="18" spans="1:8" ht="17.100000000000001" customHeight="1" x14ac:dyDescent="0.2">
      <c r="A18" s="3">
        <v>12</v>
      </c>
      <c r="B18" s="4" t="s">
        <v>94</v>
      </c>
      <c r="C18" s="4" t="s">
        <v>95</v>
      </c>
      <c r="D18" s="4" t="s">
        <v>96</v>
      </c>
      <c r="E18" s="5">
        <v>18429</v>
      </c>
      <c r="F18" s="6">
        <v>92.062069500000007</v>
      </c>
      <c r="G18" s="7">
        <v>2.7086530000000001E-2</v>
      </c>
      <c r="H18" s="106"/>
    </row>
    <row r="19" spans="1:8" ht="17.100000000000001" customHeight="1" x14ac:dyDescent="0.2">
      <c r="A19" s="3">
        <v>13</v>
      </c>
      <c r="B19" s="4" t="s">
        <v>380</v>
      </c>
      <c r="C19" s="4" t="s">
        <v>381</v>
      </c>
      <c r="D19" s="4" t="s">
        <v>99</v>
      </c>
      <c r="E19" s="5">
        <v>88789</v>
      </c>
      <c r="F19" s="6">
        <v>89.588100999999995</v>
      </c>
      <c r="G19" s="7">
        <v>2.6358638E-2</v>
      </c>
      <c r="H19" s="106"/>
    </row>
    <row r="20" spans="1:8" ht="17.100000000000001" customHeight="1" x14ac:dyDescent="0.2">
      <c r="A20" s="3">
        <v>14</v>
      </c>
      <c r="B20" s="4" t="s">
        <v>320</v>
      </c>
      <c r="C20" s="4" t="s">
        <v>321</v>
      </c>
      <c r="D20" s="4" t="s">
        <v>230</v>
      </c>
      <c r="E20" s="5">
        <v>6161</v>
      </c>
      <c r="F20" s="6">
        <v>89.158911500000002</v>
      </c>
      <c r="G20" s="7">
        <v>2.6232361999999999E-2</v>
      </c>
      <c r="H20" s="106"/>
    </row>
    <row r="21" spans="1:8" ht="17.100000000000001" customHeight="1" x14ac:dyDescent="0.2">
      <c r="A21" s="3">
        <v>15</v>
      </c>
      <c r="B21" s="4" t="s">
        <v>418</v>
      </c>
      <c r="C21" s="4" t="s">
        <v>419</v>
      </c>
      <c r="D21" s="4" t="s">
        <v>13</v>
      </c>
      <c r="E21" s="5">
        <v>17176</v>
      </c>
      <c r="F21" s="6">
        <v>81.646116000000006</v>
      </c>
      <c r="G21" s="7">
        <v>2.4021944999999999E-2</v>
      </c>
      <c r="H21" s="106"/>
    </row>
    <row r="22" spans="1:8" ht="29.1" customHeight="1" x14ac:dyDescent="0.2">
      <c r="A22" s="3">
        <v>16</v>
      </c>
      <c r="B22" s="4" t="s">
        <v>445</v>
      </c>
      <c r="C22" s="4" t="s">
        <v>446</v>
      </c>
      <c r="D22" s="4" t="s">
        <v>51</v>
      </c>
      <c r="E22" s="5">
        <v>3181</v>
      </c>
      <c r="F22" s="6">
        <v>78.787008</v>
      </c>
      <c r="G22" s="7">
        <v>2.3180737E-2</v>
      </c>
      <c r="H22" s="106"/>
    </row>
    <row r="23" spans="1:8" ht="29.1" customHeight="1" x14ac:dyDescent="0.2">
      <c r="A23" s="3">
        <v>17</v>
      </c>
      <c r="B23" s="4" t="s">
        <v>497</v>
      </c>
      <c r="C23" s="4" t="s">
        <v>498</v>
      </c>
      <c r="D23" s="4" t="s">
        <v>67</v>
      </c>
      <c r="E23" s="5">
        <v>23991</v>
      </c>
      <c r="F23" s="6">
        <v>73.112572499999999</v>
      </c>
      <c r="G23" s="7">
        <v>2.1511203E-2</v>
      </c>
      <c r="H23" s="106"/>
    </row>
    <row r="24" spans="1:8" ht="29.1" customHeight="1" x14ac:dyDescent="0.2">
      <c r="A24" s="3">
        <v>18</v>
      </c>
      <c r="B24" s="4" t="s">
        <v>473</v>
      </c>
      <c r="C24" s="4" t="s">
        <v>474</v>
      </c>
      <c r="D24" s="4" t="s">
        <v>475</v>
      </c>
      <c r="E24" s="5">
        <v>13939</v>
      </c>
      <c r="F24" s="6">
        <v>68.656544499999995</v>
      </c>
      <c r="G24" s="7">
        <v>2.0200149000000001E-2</v>
      </c>
      <c r="H24" s="106"/>
    </row>
    <row r="25" spans="1:8" ht="17.100000000000001" customHeight="1" x14ac:dyDescent="0.2">
      <c r="A25" s="3">
        <v>19</v>
      </c>
      <c r="B25" s="4" t="s">
        <v>392</v>
      </c>
      <c r="C25" s="4" t="s">
        <v>393</v>
      </c>
      <c r="D25" s="4" t="s">
        <v>230</v>
      </c>
      <c r="E25" s="5">
        <v>9165</v>
      </c>
      <c r="F25" s="6">
        <v>68.535870000000003</v>
      </c>
      <c r="G25" s="7">
        <v>2.0164643999999999E-2</v>
      </c>
      <c r="H25" s="106"/>
    </row>
    <row r="26" spans="1:8" ht="29.1" customHeight="1" x14ac:dyDescent="0.2">
      <c r="A26" s="3">
        <v>20</v>
      </c>
      <c r="B26" s="4" t="s">
        <v>63</v>
      </c>
      <c r="C26" s="4" t="s">
        <v>64</v>
      </c>
      <c r="D26" s="4" t="s">
        <v>25</v>
      </c>
      <c r="E26" s="5">
        <v>2480</v>
      </c>
      <c r="F26" s="6">
        <v>67.273719999999997</v>
      </c>
      <c r="G26" s="7">
        <v>1.9793293999999999E-2</v>
      </c>
      <c r="H26" s="106"/>
    </row>
    <row r="27" spans="1:8" ht="29.1" customHeight="1" x14ac:dyDescent="0.2">
      <c r="A27" s="3">
        <v>21</v>
      </c>
      <c r="B27" s="4" t="s">
        <v>451</v>
      </c>
      <c r="C27" s="4" t="s">
        <v>452</v>
      </c>
      <c r="D27" s="4" t="s">
        <v>453</v>
      </c>
      <c r="E27" s="5">
        <v>47711</v>
      </c>
      <c r="F27" s="6">
        <v>66.604556000000002</v>
      </c>
      <c r="G27" s="7">
        <v>1.9596413E-2</v>
      </c>
      <c r="H27" s="106"/>
    </row>
    <row r="28" spans="1:8" ht="17.100000000000001" customHeight="1" x14ac:dyDescent="0.2">
      <c r="A28" s="3">
        <v>22</v>
      </c>
      <c r="B28" s="4" t="s">
        <v>398</v>
      </c>
      <c r="C28" s="4" t="s">
        <v>399</v>
      </c>
      <c r="D28" s="4" t="s">
        <v>110</v>
      </c>
      <c r="E28" s="5">
        <v>10328</v>
      </c>
      <c r="F28" s="6">
        <v>66.078543999999994</v>
      </c>
      <c r="G28" s="7">
        <v>1.9441648999999998E-2</v>
      </c>
      <c r="H28" s="106"/>
    </row>
    <row r="29" spans="1:8" ht="17.100000000000001" customHeight="1" x14ac:dyDescent="0.2">
      <c r="A29" s="3">
        <v>23</v>
      </c>
      <c r="B29" s="4" t="s">
        <v>388</v>
      </c>
      <c r="C29" s="4" t="s">
        <v>389</v>
      </c>
      <c r="D29" s="4" t="s">
        <v>99</v>
      </c>
      <c r="E29" s="5">
        <v>12457</v>
      </c>
      <c r="F29" s="6">
        <v>65.318279500000003</v>
      </c>
      <c r="G29" s="7">
        <v>1.9217964000000001E-2</v>
      </c>
      <c r="H29" s="106"/>
    </row>
    <row r="30" spans="1:8" ht="29.1" customHeight="1" x14ac:dyDescent="0.2">
      <c r="A30" s="3">
        <v>24</v>
      </c>
      <c r="B30" s="4" t="s">
        <v>410</v>
      </c>
      <c r="C30" s="4" t="s">
        <v>411</v>
      </c>
      <c r="D30" s="4" t="s">
        <v>204</v>
      </c>
      <c r="E30" s="5">
        <v>18366</v>
      </c>
      <c r="F30" s="6">
        <v>65.015640000000005</v>
      </c>
      <c r="G30" s="7">
        <v>1.9128921E-2</v>
      </c>
      <c r="H30" s="106"/>
    </row>
    <row r="31" spans="1:8" ht="17.100000000000001" customHeight="1" x14ac:dyDescent="0.2">
      <c r="A31" s="3">
        <v>25</v>
      </c>
      <c r="B31" s="4" t="s">
        <v>441</v>
      </c>
      <c r="C31" s="4" t="s">
        <v>442</v>
      </c>
      <c r="D31" s="4" t="s">
        <v>324</v>
      </c>
      <c r="E31" s="5">
        <v>4114</v>
      </c>
      <c r="F31" s="6">
        <v>63.205438999999998</v>
      </c>
      <c r="G31" s="7">
        <v>1.8596323000000001E-2</v>
      </c>
      <c r="H31" s="106"/>
    </row>
    <row r="32" spans="1:8" ht="17.100000000000001" customHeight="1" x14ac:dyDescent="0.2">
      <c r="A32" s="3">
        <v>26</v>
      </c>
      <c r="B32" s="4" t="s">
        <v>480</v>
      </c>
      <c r="C32" s="4" t="s">
        <v>481</v>
      </c>
      <c r="D32" s="4" t="s">
        <v>230</v>
      </c>
      <c r="E32" s="5">
        <v>31256</v>
      </c>
      <c r="F32" s="6">
        <v>60.355336000000001</v>
      </c>
      <c r="G32" s="7">
        <v>1.7757764999999998E-2</v>
      </c>
      <c r="H32" s="106"/>
    </row>
    <row r="33" spans="1:8" ht="17.100000000000001" customHeight="1" x14ac:dyDescent="0.2">
      <c r="A33" s="3">
        <v>27</v>
      </c>
      <c r="B33" s="4" t="s">
        <v>447</v>
      </c>
      <c r="C33" s="4" t="s">
        <v>448</v>
      </c>
      <c r="D33" s="4" t="s">
        <v>268</v>
      </c>
      <c r="E33" s="5">
        <v>17911</v>
      </c>
      <c r="F33" s="6">
        <v>53.974798499999999</v>
      </c>
      <c r="G33" s="7">
        <v>1.5880482000000001E-2</v>
      </c>
      <c r="H33" s="106"/>
    </row>
    <row r="34" spans="1:8" ht="29.1" customHeight="1" x14ac:dyDescent="0.2">
      <c r="A34" s="3">
        <v>28</v>
      </c>
      <c r="B34" s="4" t="s">
        <v>463</v>
      </c>
      <c r="C34" s="4" t="s">
        <v>464</v>
      </c>
      <c r="D34" s="4" t="s">
        <v>366</v>
      </c>
      <c r="E34" s="5">
        <v>8645</v>
      </c>
      <c r="F34" s="6">
        <v>53.547130000000003</v>
      </c>
      <c r="G34" s="7">
        <v>1.5754653E-2</v>
      </c>
      <c r="H34" s="106"/>
    </row>
    <row r="35" spans="1:8" ht="17.100000000000001" customHeight="1" x14ac:dyDescent="0.2">
      <c r="A35" s="3">
        <v>29</v>
      </c>
      <c r="B35" s="4" t="s">
        <v>394</v>
      </c>
      <c r="C35" s="4" t="s">
        <v>395</v>
      </c>
      <c r="D35" s="4" t="s">
        <v>99</v>
      </c>
      <c r="E35" s="5">
        <v>7127</v>
      </c>
      <c r="F35" s="6">
        <v>51.759837500000003</v>
      </c>
      <c r="G35" s="7">
        <v>1.5228795E-2</v>
      </c>
      <c r="H35" s="106"/>
    </row>
    <row r="36" spans="1:8" ht="29.1" customHeight="1" x14ac:dyDescent="0.2">
      <c r="A36" s="3">
        <v>30</v>
      </c>
      <c r="B36" s="4" t="s">
        <v>390</v>
      </c>
      <c r="C36" s="4" t="s">
        <v>391</v>
      </c>
      <c r="D36" s="4" t="s">
        <v>67</v>
      </c>
      <c r="E36" s="5">
        <v>3088</v>
      </c>
      <c r="F36" s="6">
        <v>49.556224</v>
      </c>
      <c r="G36" s="7">
        <v>1.4580447E-2</v>
      </c>
      <c r="H36" s="106"/>
    </row>
    <row r="37" spans="1:8" ht="53.1" customHeight="1" x14ac:dyDescent="0.2">
      <c r="A37" s="3">
        <v>31</v>
      </c>
      <c r="B37" s="4" t="s">
        <v>333</v>
      </c>
      <c r="C37" s="4" t="s">
        <v>334</v>
      </c>
      <c r="D37" s="4" t="s">
        <v>48</v>
      </c>
      <c r="E37" s="5">
        <v>15720</v>
      </c>
      <c r="F37" s="6">
        <v>48.504060000000003</v>
      </c>
      <c r="G37" s="7">
        <v>1.4270879E-2</v>
      </c>
      <c r="H37" s="106"/>
    </row>
    <row r="38" spans="1:8" ht="17.100000000000001" customHeight="1" x14ac:dyDescent="0.2">
      <c r="A38" s="3">
        <v>32</v>
      </c>
      <c r="B38" s="4" t="s">
        <v>449</v>
      </c>
      <c r="C38" s="4" t="s">
        <v>450</v>
      </c>
      <c r="D38" s="4" t="s">
        <v>99</v>
      </c>
      <c r="E38" s="5">
        <v>60160</v>
      </c>
      <c r="F38" s="6">
        <v>46.593919999999997</v>
      </c>
      <c r="G38" s="7">
        <v>1.3708877E-2</v>
      </c>
      <c r="H38" s="106"/>
    </row>
    <row r="39" spans="1:8" ht="29.1" customHeight="1" x14ac:dyDescent="0.2">
      <c r="A39" s="3">
        <v>33</v>
      </c>
      <c r="B39" s="4" t="s">
        <v>420</v>
      </c>
      <c r="C39" s="4" t="s">
        <v>421</v>
      </c>
      <c r="D39" s="4" t="s">
        <v>366</v>
      </c>
      <c r="E39" s="5">
        <v>8921</v>
      </c>
      <c r="F39" s="6">
        <v>44.680828499999997</v>
      </c>
      <c r="G39" s="7">
        <v>1.3146006999999999E-2</v>
      </c>
      <c r="H39" s="106"/>
    </row>
    <row r="40" spans="1:8" ht="17.100000000000001" customHeight="1" x14ac:dyDescent="0.2">
      <c r="A40" s="3">
        <v>34</v>
      </c>
      <c r="B40" s="4" t="s">
        <v>396</v>
      </c>
      <c r="C40" s="4" t="s">
        <v>397</v>
      </c>
      <c r="D40" s="4" t="s">
        <v>288</v>
      </c>
      <c r="E40" s="5">
        <v>5920</v>
      </c>
      <c r="F40" s="6">
        <v>44.358559999999997</v>
      </c>
      <c r="G40" s="7">
        <v>1.3051188999999999E-2</v>
      </c>
      <c r="H40" s="106"/>
    </row>
    <row r="41" spans="1:8" ht="29.1" customHeight="1" x14ac:dyDescent="0.2">
      <c r="A41" s="3">
        <v>35</v>
      </c>
      <c r="B41" s="4" t="s">
        <v>317</v>
      </c>
      <c r="C41" s="4" t="s">
        <v>318</v>
      </c>
      <c r="D41" s="4" t="s">
        <v>319</v>
      </c>
      <c r="E41" s="5">
        <v>7893</v>
      </c>
      <c r="F41" s="6">
        <v>43.632503999999997</v>
      </c>
      <c r="G41" s="7">
        <v>1.2837569E-2</v>
      </c>
      <c r="H41" s="106"/>
    </row>
    <row r="42" spans="1:8" ht="17.100000000000001" customHeight="1" x14ac:dyDescent="0.2">
      <c r="A42" s="3">
        <v>36</v>
      </c>
      <c r="B42" s="4" t="s">
        <v>412</v>
      </c>
      <c r="C42" s="4" t="s">
        <v>413</v>
      </c>
      <c r="D42" s="4" t="s">
        <v>193</v>
      </c>
      <c r="E42" s="5">
        <v>4775</v>
      </c>
      <c r="F42" s="6">
        <v>39.1144125</v>
      </c>
      <c r="G42" s="7">
        <v>1.1508254000000001E-2</v>
      </c>
      <c r="H42" s="106"/>
    </row>
    <row r="43" spans="1:8" ht="29.1" customHeight="1" x14ac:dyDescent="0.2">
      <c r="A43" s="3">
        <v>37</v>
      </c>
      <c r="B43" s="4" t="s">
        <v>291</v>
      </c>
      <c r="C43" s="4" t="s">
        <v>292</v>
      </c>
      <c r="D43" s="4" t="s">
        <v>188</v>
      </c>
      <c r="E43" s="5">
        <v>5097</v>
      </c>
      <c r="F43" s="6">
        <v>38.734651499999998</v>
      </c>
      <c r="G43" s="7">
        <v>1.1396521E-2</v>
      </c>
      <c r="H43" s="106"/>
    </row>
    <row r="44" spans="1:8" ht="17.100000000000001" customHeight="1" x14ac:dyDescent="0.2">
      <c r="A44" s="3">
        <v>38</v>
      </c>
      <c r="B44" s="4" t="s">
        <v>404</v>
      </c>
      <c r="C44" s="4" t="s">
        <v>405</v>
      </c>
      <c r="D44" s="4" t="s">
        <v>13</v>
      </c>
      <c r="E44" s="5">
        <v>50158</v>
      </c>
      <c r="F44" s="6">
        <v>37.11692</v>
      </c>
      <c r="G44" s="7">
        <v>1.0920551000000001E-2</v>
      </c>
      <c r="H44" s="106"/>
    </row>
    <row r="45" spans="1:8" ht="29.1" customHeight="1" x14ac:dyDescent="0.2">
      <c r="A45" s="3">
        <v>39</v>
      </c>
      <c r="B45" s="4" t="s">
        <v>402</v>
      </c>
      <c r="C45" s="4" t="s">
        <v>403</v>
      </c>
      <c r="D45" s="4" t="s">
        <v>319</v>
      </c>
      <c r="E45" s="5">
        <v>8672</v>
      </c>
      <c r="F45" s="6">
        <v>36.296655999999999</v>
      </c>
      <c r="G45" s="7">
        <v>1.0679213E-2</v>
      </c>
      <c r="H45" s="106"/>
    </row>
    <row r="46" spans="1:8" ht="17.100000000000001" customHeight="1" x14ac:dyDescent="0.2">
      <c r="A46" s="3">
        <v>40</v>
      </c>
      <c r="B46" s="4" t="s">
        <v>465</v>
      </c>
      <c r="C46" s="4" t="s">
        <v>466</v>
      </c>
      <c r="D46" s="4" t="s">
        <v>36</v>
      </c>
      <c r="E46" s="5">
        <v>13444</v>
      </c>
      <c r="F46" s="6">
        <v>34.9544</v>
      </c>
      <c r="G46" s="7">
        <v>1.0284293999999999E-2</v>
      </c>
      <c r="H46" s="106"/>
    </row>
    <row r="47" spans="1:8" ht="17.100000000000001" customHeight="1" x14ac:dyDescent="0.2">
      <c r="A47" s="3">
        <v>41</v>
      </c>
      <c r="B47" s="4" t="s">
        <v>432</v>
      </c>
      <c r="C47" s="4" t="s">
        <v>433</v>
      </c>
      <c r="D47" s="4" t="s">
        <v>89</v>
      </c>
      <c r="E47" s="5">
        <v>5084</v>
      </c>
      <c r="F47" s="6">
        <v>34.352587999999997</v>
      </c>
      <c r="G47" s="7">
        <v>1.0107229000000001E-2</v>
      </c>
      <c r="H47" s="106"/>
    </row>
    <row r="48" spans="1:8" ht="29.1" customHeight="1" x14ac:dyDescent="0.2">
      <c r="A48" s="3">
        <v>42</v>
      </c>
      <c r="B48" s="4" t="s">
        <v>424</v>
      </c>
      <c r="C48" s="4" t="s">
        <v>425</v>
      </c>
      <c r="D48" s="4" t="s">
        <v>110</v>
      </c>
      <c r="E48" s="5">
        <v>2514</v>
      </c>
      <c r="F48" s="6">
        <v>29.812269000000001</v>
      </c>
      <c r="G48" s="7">
        <v>8.7713749999999997E-3</v>
      </c>
      <c r="H48" s="106"/>
    </row>
    <row r="49" spans="1:8" ht="17.100000000000001" customHeight="1" x14ac:dyDescent="0.2">
      <c r="A49" s="3">
        <v>43</v>
      </c>
      <c r="B49" s="4" t="s">
        <v>499</v>
      </c>
      <c r="C49" s="4" t="s">
        <v>500</v>
      </c>
      <c r="D49" s="4" t="s">
        <v>237</v>
      </c>
      <c r="E49" s="5">
        <v>11012</v>
      </c>
      <c r="F49" s="6">
        <v>28.713789999999999</v>
      </c>
      <c r="G49" s="7">
        <v>8.4481799999999996E-3</v>
      </c>
      <c r="H49" s="106"/>
    </row>
    <row r="50" spans="1:8" ht="17.100000000000001" customHeight="1" x14ac:dyDescent="0.2">
      <c r="A50" s="3">
        <v>44</v>
      </c>
      <c r="B50" s="4" t="s">
        <v>422</v>
      </c>
      <c r="C50" s="4" t="s">
        <v>423</v>
      </c>
      <c r="D50" s="4" t="s">
        <v>237</v>
      </c>
      <c r="E50" s="5">
        <v>3248</v>
      </c>
      <c r="F50" s="6">
        <v>23.884167999999999</v>
      </c>
      <c r="G50" s="7">
        <v>7.0272069999999997E-3</v>
      </c>
      <c r="H50" s="106"/>
    </row>
    <row r="51" spans="1:8" ht="17.100000000000001" customHeight="1" x14ac:dyDescent="0.2">
      <c r="A51" s="3">
        <v>45</v>
      </c>
      <c r="B51" s="4" t="s">
        <v>436</v>
      </c>
      <c r="C51" s="4" t="s">
        <v>437</v>
      </c>
      <c r="D51" s="4" t="s">
        <v>16</v>
      </c>
      <c r="E51" s="5">
        <v>8773</v>
      </c>
      <c r="F51" s="6">
        <v>19.936642500000001</v>
      </c>
      <c r="G51" s="7">
        <v>5.8657650000000002E-3</v>
      </c>
      <c r="H51" s="106"/>
    </row>
    <row r="52" spans="1:8" ht="29.1" customHeight="1" x14ac:dyDescent="0.2">
      <c r="A52" s="3">
        <v>46</v>
      </c>
      <c r="B52" s="4" t="s">
        <v>428</v>
      </c>
      <c r="C52" s="4" t="s">
        <v>429</v>
      </c>
      <c r="D52" s="4" t="s">
        <v>204</v>
      </c>
      <c r="E52" s="5">
        <v>482</v>
      </c>
      <c r="F52" s="6">
        <v>19.438337000000001</v>
      </c>
      <c r="G52" s="7">
        <v>5.7191530000000003E-3</v>
      </c>
      <c r="H52" s="106"/>
    </row>
    <row r="53" spans="1:8" ht="17.100000000000001" customHeight="1" x14ac:dyDescent="0.2">
      <c r="A53" s="3">
        <v>47</v>
      </c>
      <c r="B53" s="4" t="s">
        <v>123</v>
      </c>
      <c r="C53" s="4" t="s">
        <v>124</v>
      </c>
      <c r="D53" s="4" t="s">
        <v>110</v>
      </c>
      <c r="E53" s="5">
        <v>937</v>
      </c>
      <c r="F53" s="6">
        <v>19.349518499999999</v>
      </c>
      <c r="G53" s="7">
        <v>5.6930210000000004E-3</v>
      </c>
      <c r="H53" s="106"/>
    </row>
    <row r="54" spans="1:8" ht="17.100000000000001" customHeight="1" x14ac:dyDescent="0.2">
      <c r="A54" s="3">
        <v>48</v>
      </c>
      <c r="B54" s="4" t="s">
        <v>426</v>
      </c>
      <c r="C54" s="4" t="s">
        <v>427</v>
      </c>
      <c r="D54" s="4" t="s">
        <v>31</v>
      </c>
      <c r="E54" s="5">
        <v>2157</v>
      </c>
      <c r="F54" s="6">
        <v>17.115794999999999</v>
      </c>
      <c r="G54" s="7">
        <v>5.0358139999999996E-3</v>
      </c>
      <c r="H54" s="106"/>
    </row>
    <row r="55" spans="1:8" ht="17.100000000000001" customHeight="1" x14ac:dyDescent="0.2">
      <c r="A55" s="3">
        <v>49</v>
      </c>
      <c r="B55" s="4" t="s">
        <v>337</v>
      </c>
      <c r="C55" s="4" t="s">
        <v>338</v>
      </c>
      <c r="D55" s="4" t="s">
        <v>96</v>
      </c>
      <c r="E55" s="5">
        <v>21625</v>
      </c>
      <c r="F55" s="6">
        <v>16.110624999999999</v>
      </c>
      <c r="G55" s="7">
        <v>4.740073E-3</v>
      </c>
      <c r="H55" s="106"/>
    </row>
    <row r="56" spans="1:8" ht="29.1" customHeight="1" x14ac:dyDescent="0.2">
      <c r="A56" s="3">
        <v>50</v>
      </c>
      <c r="B56" s="4" t="s">
        <v>456</v>
      </c>
      <c r="C56" s="4" t="s">
        <v>457</v>
      </c>
      <c r="D56" s="4" t="s">
        <v>188</v>
      </c>
      <c r="E56" s="5">
        <v>1745</v>
      </c>
      <c r="F56" s="6">
        <v>11.6801575</v>
      </c>
      <c r="G56" s="7">
        <v>3.4365390000000002E-3</v>
      </c>
      <c r="H56" s="106"/>
    </row>
    <row r="57" spans="1:8" ht="29.1" customHeight="1" x14ac:dyDescent="0.2">
      <c r="A57" s="3">
        <v>51</v>
      </c>
      <c r="B57" s="4" t="s">
        <v>430</v>
      </c>
      <c r="C57" s="4" t="s">
        <v>431</v>
      </c>
      <c r="D57" s="4" t="s">
        <v>204</v>
      </c>
      <c r="E57" s="5">
        <v>1757</v>
      </c>
      <c r="F57" s="6">
        <v>3.9734555</v>
      </c>
      <c r="G57" s="7">
        <v>1.169071E-3</v>
      </c>
      <c r="H57" s="106"/>
    </row>
    <row r="58" spans="1:8" ht="14.1" customHeight="1" x14ac:dyDescent="0.2">
      <c r="A58" s="1"/>
      <c r="B58" s="1"/>
      <c r="C58" s="2" t="s">
        <v>130</v>
      </c>
      <c r="D58" s="1"/>
      <c r="E58" s="1" t="s">
        <v>131</v>
      </c>
      <c r="F58" s="9">
        <v>3185.7271820000001</v>
      </c>
      <c r="G58" s="10">
        <v>0.93730561199999995</v>
      </c>
      <c r="H58" s="106"/>
    </row>
    <row r="59" spans="1:8" ht="14.1" customHeight="1" x14ac:dyDescent="0.2">
      <c r="A59" s="1"/>
      <c r="B59" s="1"/>
      <c r="C59" s="11"/>
      <c r="D59" s="1"/>
      <c r="E59" s="1"/>
      <c r="F59" s="12"/>
      <c r="G59" s="12"/>
      <c r="H59" s="106"/>
    </row>
    <row r="60" spans="1:8" ht="14.1" customHeight="1" x14ac:dyDescent="0.2">
      <c r="A60" s="1"/>
      <c r="B60" s="1"/>
      <c r="C60" s="2" t="s">
        <v>132</v>
      </c>
      <c r="D60" s="1"/>
      <c r="E60" s="1"/>
      <c r="F60" s="1"/>
      <c r="G60" s="1"/>
      <c r="H60" s="106"/>
    </row>
    <row r="61" spans="1:8" ht="14.1" customHeight="1" x14ac:dyDescent="0.2">
      <c r="A61" s="1"/>
      <c r="B61" s="1"/>
      <c r="C61" s="2" t="s">
        <v>130</v>
      </c>
      <c r="D61" s="1"/>
      <c r="E61" s="1" t="s">
        <v>131</v>
      </c>
      <c r="F61" s="13">
        <v>0</v>
      </c>
      <c r="G61" s="14">
        <v>0</v>
      </c>
      <c r="H61" s="106"/>
    </row>
    <row r="62" spans="1:8" ht="14.1" customHeight="1" x14ac:dyDescent="0.2">
      <c r="A62" s="1"/>
      <c r="B62" s="1"/>
      <c r="C62" s="11"/>
      <c r="D62" s="1"/>
      <c r="E62" s="1"/>
      <c r="F62" s="12"/>
      <c r="G62" s="12"/>
      <c r="H62" s="106"/>
    </row>
    <row r="63" spans="1:8" ht="14.1" customHeight="1" x14ac:dyDescent="0.2">
      <c r="A63" s="1"/>
      <c r="B63" s="1"/>
      <c r="C63" s="2" t="s">
        <v>133</v>
      </c>
      <c r="D63" s="1"/>
      <c r="E63" s="1"/>
      <c r="F63" s="1"/>
      <c r="G63" s="1"/>
      <c r="H63" s="106"/>
    </row>
    <row r="64" spans="1:8" ht="14.1" customHeight="1" x14ac:dyDescent="0.2">
      <c r="A64" s="1"/>
      <c r="B64" s="1"/>
      <c r="C64" s="2" t="s">
        <v>130</v>
      </c>
      <c r="D64" s="1"/>
      <c r="E64" s="1" t="s">
        <v>131</v>
      </c>
      <c r="F64" s="13">
        <v>0</v>
      </c>
      <c r="G64" s="14">
        <v>0</v>
      </c>
      <c r="H64" s="106"/>
    </row>
    <row r="65" spans="1:8" ht="14.1" customHeight="1" x14ac:dyDescent="0.2">
      <c r="A65" s="1"/>
      <c r="B65" s="1"/>
      <c r="C65" s="11"/>
      <c r="D65" s="1"/>
      <c r="E65" s="1"/>
      <c r="F65" s="12"/>
      <c r="G65" s="12"/>
      <c r="H65" s="106"/>
    </row>
    <row r="66" spans="1:8" ht="14.1" customHeight="1" x14ac:dyDescent="0.2">
      <c r="A66" s="1"/>
      <c r="B66" s="1"/>
      <c r="C66" s="2" t="s">
        <v>134</v>
      </c>
      <c r="D66" s="1"/>
      <c r="E66" s="1"/>
      <c r="F66" s="1"/>
      <c r="G66" s="1"/>
      <c r="H66" s="106"/>
    </row>
    <row r="67" spans="1:8" ht="14.1" customHeight="1" x14ac:dyDescent="0.2">
      <c r="A67" s="1"/>
      <c r="B67" s="1"/>
      <c r="C67" s="2" t="s">
        <v>130</v>
      </c>
      <c r="D67" s="1"/>
      <c r="E67" s="1" t="s">
        <v>131</v>
      </c>
      <c r="F67" s="13">
        <v>0</v>
      </c>
      <c r="G67" s="14">
        <v>0</v>
      </c>
      <c r="H67" s="106"/>
    </row>
    <row r="68" spans="1:8" ht="14.1" customHeight="1" x14ac:dyDescent="0.2">
      <c r="A68" s="1"/>
      <c r="B68" s="1"/>
      <c r="C68" s="11"/>
      <c r="D68" s="1"/>
      <c r="E68" s="1"/>
      <c r="F68" s="12"/>
      <c r="G68" s="12"/>
      <c r="H68" s="106"/>
    </row>
    <row r="69" spans="1:8" ht="14.1" customHeight="1" x14ac:dyDescent="0.2">
      <c r="A69" s="1"/>
      <c r="B69" s="1"/>
      <c r="C69" s="2" t="s">
        <v>135</v>
      </c>
      <c r="D69" s="1"/>
      <c r="E69" s="1"/>
      <c r="F69" s="12"/>
      <c r="G69" s="12"/>
      <c r="H69" s="106"/>
    </row>
    <row r="70" spans="1:8" ht="14.1" customHeight="1" x14ac:dyDescent="0.2">
      <c r="A70" s="1"/>
      <c r="B70" s="1"/>
      <c r="C70" s="2" t="s">
        <v>130</v>
      </c>
      <c r="D70" s="1"/>
      <c r="E70" s="1" t="s">
        <v>131</v>
      </c>
      <c r="F70" s="13">
        <v>0</v>
      </c>
      <c r="G70" s="14">
        <v>0</v>
      </c>
      <c r="H70" s="106"/>
    </row>
    <row r="71" spans="1:8" ht="14.1" customHeight="1" x14ac:dyDescent="0.2">
      <c r="A71" s="1"/>
      <c r="B71" s="1"/>
      <c r="C71" s="11"/>
      <c r="D71" s="1"/>
      <c r="E71" s="1"/>
      <c r="F71" s="12"/>
      <c r="G71" s="12"/>
      <c r="H71" s="106"/>
    </row>
    <row r="72" spans="1:8" ht="14.1" customHeight="1" x14ac:dyDescent="0.2">
      <c r="A72" s="1"/>
      <c r="B72" s="1"/>
      <c r="C72" s="2" t="s">
        <v>136</v>
      </c>
      <c r="D72" s="1"/>
      <c r="E72" s="1"/>
      <c r="F72" s="12"/>
      <c r="G72" s="12"/>
      <c r="H72" s="106"/>
    </row>
    <row r="73" spans="1:8" ht="14.1" customHeight="1" x14ac:dyDescent="0.2">
      <c r="A73" s="1"/>
      <c r="B73" s="1"/>
      <c r="C73" s="2" t="s">
        <v>130</v>
      </c>
      <c r="D73" s="1"/>
      <c r="E73" s="1" t="s">
        <v>131</v>
      </c>
      <c r="F73" s="13">
        <v>0</v>
      </c>
      <c r="G73" s="14">
        <v>0</v>
      </c>
      <c r="H73" s="106"/>
    </row>
    <row r="74" spans="1:8" ht="14.1" customHeight="1" x14ac:dyDescent="0.2">
      <c r="A74" s="1"/>
      <c r="B74" s="1"/>
      <c r="C74" s="11"/>
      <c r="D74" s="1"/>
      <c r="E74" s="1"/>
      <c r="F74" s="12"/>
      <c r="G74" s="12"/>
      <c r="H74" s="106"/>
    </row>
    <row r="75" spans="1:8" ht="18" customHeight="1" x14ac:dyDescent="0.2">
      <c r="A75" s="1"/>
      <c r="B75" s="1"/>
      <c r="C75" s="2" t="s">
        <v>137</v>
      </c>
      <c r="D75" s="1"/>
      <c r="E75" s="1"/>
      <c r="F75" s="9">
        <v>3185.7271820000001</v>
      </c>
      <c r="G75" s="10">
        <v>0.93730561199999995</v>
      </c>
      <c r="H75" s="106"/>
    </row>
    <row r="76" spans="1:8" ht="14.1" customHeight="1" x14ac:dyDescent="0.2">
      <c r="A76" s="1"/>
      <c r="B76" s="1"/>
      <c r="C76" s="11"/>
      <c r="D76" s="1"/>
      <c r="E76" s="1"/>
      <c r="F76" s="12"/>
      <c r="G76" s="12"/>
      <c r="H76" s="106"/>
    </row>
    <row r="77" spans="1:8" ht="14.1" customHeight="1" x14ac:dyDescent="0.2">
      <c r="A77" s="1"/>
      <c r="B77" s="1"/>
      <c r="C77" s="2" t="s">
        <v>138</v>
      </c>
      <c r="D77" s="1"/>
      <c r="E77" s="1"/>
      <c r="F77" s="12"/>
      <c r="G77" s="12"/>
      <c r="H77" s="106"/>
    </row>
    <row r="78" spans="1:8" ht="24" customHeight="1" x14ac:dyDescent="0.2">
      <c r="A78" s="1"/>
      <c r="B78" s="1"/>
      <c r="C78" s="2" t="s">
        <v>10</v>
      </c>
      <c r="D78" s="1"/>
      <c r="E78" s="1"/>
      <c r="F78" s="12"/>
      <c r="G78" s="12"/>
      <c r="H78" s="106"/>
    </row>
    <row r="79" spans="1:8" ht="14.1" customHeight="1" x14ac:dyDescent="0.2">
      <c r="A79" s="1"/>
      <c r="B79" s="1"/>
      <c r="C79" s="2" t="s">
        <v>130</v>
      </c>
      <c r="D79" s="1"/>
      <c r="E79" s="1" t="s">
        <v>131</v>
      </c>
      <c r="F79" s="13">
        <v>0</v>
      </c>
      <c r="G79" s="14">
        <v>0</v>
      </c>
      <c r="H79" s="106"/>
    </row>
    <row r="80" spans="1:8" ht="14.1" customHeight="1" x14ac:dyDescent="0.2">
      <c r="A80" s="1"/>
      <c r="B80" s="1"/>
      <c r="C80" s="11"/>
      <c r="D80" s="1"/>
      <c r="E80" s="1"/>
      <c r="F80" s="12"/>
      <c r="G80" s="12"/>
      <c r="H80" s="106"/>
    </row>
    <row r="81" spans="1:8" ht="14.1" customHeight="1" x14ac:dyDescent="0.2">
      <c r="A81" s="1"/>
      <c r="B81" s="1"/>
      <c r="C81" s="2" t="s">
        <v>139</v>
      </c>
      <c r="D81" s="1"/>
      <c r="E81" s="1"/>
      <c r="F81" s="1"/>
      <c r="G81" s="1"/>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140</v>
      </c>
      <c r="D84" s="1"/>
      <c r="E84" s="1"/>
      <c r="F84" s="1"/>
      <c r="G84" s="1"/>
      <c r="H84" s="106"/>
    </row>
    <row r="85" spans="1:8" ht="14.1" customHeight="1" x14ac:dyDescent="0.2">
      <c r="A85" s="1"/>
      <c r="B85" s="1"/>
      <c r="C85" s="2" t="s">
        <v>130</v>
      </c>
      <c r="D85" s="1"/>
      <c r="E85" s="1" t="s">
        <v>131</v>
      </c>
      <c r="F85" s="13">
        <v>0</v>
      </c>
      <c r="G85" s="14">
        <v>0</v>
      </c>
      <c r="H85" s="106"/>
    </row>
    <row r="86" spans="1:8" ht="14.1" customHeight="1" x14ac:dyDescent="0.2">
      <c r="A86" s="1"/>
      <c r="B86" s="1"/>
      <c r="C86" s="11"/>
      <c r="D86" s="1"/>
      <c r="E86" s="1"/>
      <c r="F86" s="12"/>
      <c r="G86" s="12"/>
      <c r="H86" s="106"/>
    </row>
    <row r="87" spans="1:8" ht="14.1" customHeight="1" x14ac:dyDescent="0.2">
      <c r="A87" s="1"/>
      <c r="B87" s="1"/>
      <c r="C87" s="2" t="s">
        <v>141</v>
      </c>
      <c r="D87" s="1"/>
      <c r="E87" s="1"/>
      <c r="F87" s="12"/>
      <c r="G87" s="12"/>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4.1" customHeight="1" x14ac:dyDescent="0.2">
      <c r="A90" s="1"/>
      <c r="B90" s="1"/>
      <c r="C90" s="2" t="s">
        <v>142</v>
      </c>
      <c r="D90" s="1"/>
      <c r="E90" s="1"/>
      <c r="F90" s="9">
        <v>0</v>
      </c>
      <c r="G90" s="10">
        <v>0</v>
      </c>
      <c r="H90" s="106"/>
    </row>
    <row r="91" spans="1:8" ht="14.1" customHeight="1" x14ac:dyDescent="0.2">
      <c r="A91" s="1"/>
      <c r="B91" s="1"/>
      <c r="C91" s="11"/>
      <c r="D91" s="1"/>
      <c r="E91" s="1"/>
      <c r="F91" s="12"/>
      <c r="G91" s="12"/>
      <c r="H91" s="106"/>
    </row>
    <row r="92" spans="1:8" ht="14.1" customHeight="1" x14ac:dyDescent="0.2">
      <c r="A92" s="1"/>
      <c r="B92" s="1"/>
      <c r="C92" s="2" t="s">
        <v>143</v>
      </c>
      <c r="D92" s="1"/>
      <c r="E92" s="1"/>
      <c r="F92" s="12"/>
      <c r="G92" s="12"/>
      <c r="H92" s="106"/>
    </row>
    <row r="93" spans="1:8" ht="14.1" customHeight="1" x14ac:dyDescent="0.2">
      <c r="A93" s="1"/>
      <c r="B93" s="1"/>
      <c r="C93" s="2" t="s">
        <v>144</v>
      </c>
      <c r="D93" s="1"/>
      <c r="E93" s="1"/>
      <c r="F93" s="12"/>
      <c r="G93" s="12"/>
      <c r="H93" s="106"/>
    </row>
    <row r="94" spans="1:8" ht="14.1" customHeight="1" x14ac:dyDescent="0.2">
      <c r="A94" s="1"/>
      <c r="B94" s="1"/>
      <c r="C94" s="2" t="s">
        <v>130</v>
      </c>
      <c r="D94" s="1"/>
      <c r="E94" s="1" t="s">
        <v>131</v>
      </c>
      <c r="F94" s="13">
        <v>0</v>
      </c>
      <c r="G94" s="14">
        <v>0</v>
      </c>
      <c r="H94" s="106"/>
    </row>
    <row r="95" spans="1:8" ht="14.1" customHeight="1" x14ac:dyDescent="0.2">
      <c r="A95" s="1"/>
      <c r="B95" s="1"/>
      <c r="C95" s="11"/>
      <c r="D95" s="1"/>
      <c r="E95" s="1"/>
      <c r="F95" s="12"/>
      <c r="G95" s="12"/>
      <c r="H95" s="106"/>
    </row>
    <row r="96" spans="1:8" ht="14.1" customHeight="1" x14ac:dyDescent="0.2">
      <c r="A96" s="1"/>
      <c r="B96" s="1"/>
      <c r="C96" s="2" t="s">
        <v>145</v>
      </c>
      <c r="D96" s="1"/>
      <c r="E96" s="1"/>
      <c r="F96" s="12"/>
      <c r="G96" s="12"/>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146</v>
      </c>
      <c r="D99" s="1"/>
      <c r="E99" s="1"/>
      <c r="F99" s="12"/>
      <c r="G99" s="12"/>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147</v>
      </c>
      <c r="D102" s="1"/>
      <c r="E102" s="1"/>
      <c r="F102" s="12"/>
      <c r="G102" s="12"/>
      <c r="H102" s="106"/>
    </row>
    <row r="103" spans="1:8" ht="17.100000000000001" customHeight="1" x14ac:dyDescent="0.2">
      <c r="A103" s="3">
        <v>1</v>
      </c>
      <c r="B103" s="4"/>
      <c r="C103" s="4" t="s">
        <v>148</v>
      </c>
      <c r="D103" s="4"/>
      <c r="E103" s="8"/>
      <c r="F103" s="6">
        <v>212.60606849999999</v>
      </c>
      <c r="G103" s="7">
        <v>6.2553022E-2</v>
      </c>
      <c r="H103" s="106">
        <v>6.1171451766917002</v>
      </c>
    </row>
    <row r="104" spans="1:8" ht="14.1" customHeight="1" x14ac:dyDescent="0.2">
      <c r="A104" s="1"/>
      <c r="B104" s="1"/>
      <c r="C104" s="2" t="s">
        <v>130</v>
      </c>
      <c r="D104" s="1"/>
      <c r="E104" s="1" t="s">
        <v>131</v>
      </c>
      <c r="F104" s="9">
        <v>212.60606849999999</v>
      </c>
      <c r="G104" s="10">
        <v>6.2553022E-2</v>
      </c>
      <c r="H104" s="106"/>
    </row>
    <row r="105" spans="1:8" ht="14.1" customHeight="1" x14ac:dyDescent="0.2">
      <c r="A105" s="1"/>
      <c r="B105" s="1"/>
      <c r="C105" s="11"/>
      <c r="D105" s="1"/>
      <c r="E105" s="1"/>
      <c r="F105" s="12"/>
      <c r="G105" s="12"/>
      <c r="H105" s="106"/>
    </row>
    <row r="106" spans="1:8" ht="14.1" customHeight="1" x14ac:dyDescent="0.2">
      <c r="A106" s="1"/>
      <c r="B106" s="1"/>
      <c r="C106" s="2" t="s">
        <v>149</v>
      </c>
      <c r="D106" s="1"/>
      <c r="E106" s="1"/>
      <c r="F106" s="9">
        <v>212.60606849999999</v>
      </c>
      <c r="G106" s="10">
        <v>6.2553022E-2</v>
      </c>
      <c r="H106" s="106"/>
    </row>
    <row r="107" spans="1:8" ht="14.1" customHeight="1" x14ac:dyDescent="0.2">
      <c r="A107" s="1"/>
      <c r="B107" s="1"/>
      <c r="C107" s="12"/>
      <c r="D107" s="1"/>
      <c r="E107" s="1"/>
      <c r="F107" s="1"/>
      <c r="G107" s="1"/>
      <c r="H107" s="106"/>
    </row>
    <row r="108" spans="1:8" ht="14.1" customHeight="1" x14ac:dyDescent="0.2">
      <c r="A108" s="1"/>
      <c r="B108" s="1"/>
      <c r="C108" s="2" t="s">
        <v>150</v>
      </c>
      <c r="D108" s="1"/>
      <c r="E108" s="1"/>
      <c r="F108" s="1"/>
      <c r="G108" s="1"/>
      <c r="H108" s="106"/>
    </row>
    <row r="109" spans="1:8" ht="14.1" customHeight="1" x14ac:dyDescent="0.2">
      <c r="A109" s="1"/>
      <c r="B109" s="1"/>
      <c r="C109" s="2" t="s">
        <v>151</v>
      </c>
      <c r="D109" s="1"/>
      <c r="E109" s="1"/>
      <c r="F109" s="1"/>
      <c r="G109" s="1"/>
      <c r="H109" s="106"/>
    </row>
    <row r="110" spans="1:8" ht="14.1" customHeight="1" x14ac:dyDescent="0.2">
      <c r="A110" s="1"/>
      <c r="B110" s="1"/>
      <c r="C110" s="2" t="s">
        <v>130</v>
      </c>
      <c r="D110" s="1"/>
      <c r="E110" s="1" t="s">
        <v>131</v>
      </c>
      <c r="F110" s="13">
        <v>0</v>
      </c>
      <c r="G110" s="14">
        <v>0</v>
      </c>
      <c r="H110" s="106"/>
    </row>
    <row r="111" spans="1:8" ht="14.1" customHeight="1" x14ac:dyDescent="0.2">
      <c r="A111" s="1"/>
      <c r="B111" s="1"/>
      <c r="C111" s="11"/>
      <c r="D111" s="1"/>
      <c r="E111" s="1"/>
      <c r="F111" s="12"/>
      <c r="G111" s="12"/>
      <c r="H111" s="106"/>
    </row>
    <row r="112" spans="1:8" ht="14.1" customHeight="1" x14ac:dyDescent="0.2">
      <c r="A112" s="1"/>
      <c r="B112" s="1"/>
      <c r="C112" s="2" t="s">
        <v>152</v>
      </c>
      <c r="D112" s="1"/>
      <c r="E112" s="1"/>
      <c r="F112" s="1"/>
      <c r="G112" s="1"/>
      <c r="H112" s="106"/>
    </row>
    <row r="113" spans="1:8" ht="14.1" customHeight="1" x14ac:dyDescent="0.2">
      <c r="A113" s="1"/>
      <c r="B113" s="1"/>
      <c r="C113" s="2" t="s">
        <v>153</v>
      </c>
      <c r="D113" s="1"/>
      <c r="E113" s="1"/>
      <c r="F113" s="1"/>
      <c r="G113" s="1"/>
      <c r="H113" s="106"/>
    </row>
    <row r="114" spans="1:8" ht="14.1" customHeight="1" x14ac:dyDescent="0.2">
      <c r="A114" s="1"/>
      <c r="B114" s="1"/>
      <c r="C114" s="2" t="s">
        <v>130</v>
      </c>
      <c r="D114" s="1"/>
      <c r="E114" s="1" t="s">
        <v>131</v>
      </c>
      <c r="F114" s="13">
        <v>0</v>
      </c>
      <c r="G114" s="14">
        <v>0</v>
      </c>
      <c r="H114" s="106"/>
    </row>
    <row r="115" spans="1:8" ht="14.1" customHeight="1" x14ac:dyDescent="0.2">
      <c r="A115" s="1"/>
      <c r="B115" s="1"/>
      <c r="C115" s="11"/>
      <c r="D115" s="1"/>
      <c r="E115" s="1"/>
      <c r="F115" s="12"/>
      <c r="G115" s="12"/>
      <c r="H115" s="106"/>
    </row>
    <row r="116" spans="1:8" ht="14.1" customHeight="1" x14ac:dyDescent="0.2">
      <c r="A116" s="1"/>
      <c r="B116" s="1"/>
      <c r="C116" s="11"/>
      <c r="D116" s="1"/>
      <c r="E116" s="1"/>
      <c r="F116" s="12"/>
      <c r="G116" s="12"/>
      <c r="H116" s="106"/>
    </row>
    <row r="117" spans="1:8" ht="24" customHeight="1" x14ac:dyDescent="0.2">
      <c r="A117" s="1"/>
      <c r="B117" s="1"/>
      <c r="C117" s="2" t="s">
        <v>154</v>
      </c>
      <c r="D117" s="1"/>
      <c r="E117" s="1"/>
      <c r="F117" s="12"/>
      <c r="G117" s="12"/>
      <c r="H117" s="106"/>
    </row>
    <row r="118" spans="1:8" ht="14.1" customHeight="1" x14ac:dyDescent="0.2">
      <c r="A118" s="1"/>
      <c r="B118" s="1"/>
      <c r="C118" s="2" t="s">
        <v>130</v>
      </c>
      <c r="D118" s="1"/>
      <c r="E118" s="1" t="s">
        <v>131</v>
      </c>
      <c r="F118" s="13">
        <v>0</v>
      </c>
      <c r="G118" s="14">
        <v>0</v>
      </c>
      <c r="H118" s="106"/>
    </row>
    <row r="119" spans="1:8" ht="14.1" customHeight="1" x14ac:dyDescent="0.2">
      <c r="A119" s="1"/>
      <c r="B119" s="1"/>
      <c r="C119" s="11"/>
      <c r="D119" s="1"/>
      <c r="E119" s="1"/>
      <c r="F119" s="12"/>
      <c r="G119" s="12"/>
      <c r="H119" s="106"/>
    </row>
    <row r="120" spans="1:8" ht="14.1" customHeight="1" x14ac:dyDescent="0.2">
      <c r="A120" s="1"/>
      <c r="B120" s="4"/>
      <c r="C120" s="4"/>
      <c r="D120" s="2"/>
      <c r="E120" s="1"/>
      <c r="F120" s="4"/>
      <c r="G120" s="8"/>
      <c r="H120" s="106"/>
    </row>
    <row r="121" spans="1:8" ht="18" customHeight="1" x14ac:dyDescent="0.2">
      <c r="A121" s="8"/>
      <c r="B121" s="4"/>
      <c r="C121" s="4" t="s">
        <v>155</v>
      </c>
      <c r="D121" s="4"/>
      <c r="E121" s="8"/>
      <c r="F121" s="6">
        <v>0.48046871000000002</v>
      </c>
      <c r="G121" s="7">
        <v>1.41364E-4</v>
      </c>
      <c r="H121" s="106"/>
    </row>
    <row r="122" spans="1:8" ht="14.1" customHeight="1" x14ac:dyDescent="0.2">
      <c r="A122" s="11"/>
      <c r="B122" s="11"/>
      <c r="C122" s="2" t="s">
        <v>156</v>
      </c>
      <c r="D122" s="15"/>
      <c r="E122" s="15"/>
      <c r="F122" s="9">
        <v>3398.8137192099998</v>
      </c>
      <c r="G122" s="10">
        <v>0.99999999799999995</v>
      </c>
      <c r="H122" s="106"/>
    </row>
    <row r="123" spans="1:8" ht="14.1" customHeight="1" x14ac:dyDescent="0.2">
      <c r="A123" s="16"/>
      <c r="B123" s="16"/>
      <c r="C123" s="16"/>
      <c r="D123" s="17"/>
      <c r="E123" s="17"/>
      <c r="F123" s="17"/>
      <c r="G123" s="17"/>
    </row>
    <row r="124" spans="1:8" ht="14.1" customHeight="1" x14ac:dyDescent="0.2">
      <c r="A124" s="18"/>
      <c r="B124" s="18"/>
      <c r="C124" s="18"/>
      <c r="D124" s="20"/>
      <c r="E124" s="20"/>
      <c r="F124" s="20"/>
      <c r="G124" s="20"/>
    </row>
    <row r="125" spans="1:8" ht="14.1" customHeight="1" x14ac:dyDescent="0.2">
      <c r="A125" s="18"/>
      <c r="B125" s="279" t="s">
        <v>158</v>
      </c>
      <c r="C125" s="280"/>
      <c r="D125" s="12" t="s">
        <v>131</v>
      </c>
      <c r="E125" s="21"/>
      <c r="F125" s="20"/>
      <c r="G125" s="20"/>
    </row>
    <row r="126" spans="1:8" ht="29.1" customHeight="1" x14ac:dyDescent="0.2">
      <c r="A126" s="18"/>
      <c r="B126" s="274" t="s">
        <v>159</v>
      </c>
      <c r="C126" s="275"/>
      <c r="D126" s="2" t="s">
        <v>160</v>
      </c>
      <c r="E126" s="21"/>
      <c r="F126" s="20"/>
      <c r="G126" s="20"/>
    </row>
    <row r="127" spans="1:8" ht="17.100000000000001" customHeight="1" x14ac:dyDescent="0.2">
      <c r="A127" s="18"/>
      <c r="B127" s="274" t="s">
        <v>161</v>
      </c>
      <c r="C127" s="275"/>
      <c r="D127" s="2" t="s">
        <v>160</v>
      </c>
      <c r="E127" s="21"/>
      <c r="F127" s="20"/>
      <c r="G127" s="20"/>
    </row>
    <row r="128" spans="1:8" ht="17.100000000000001" customHeight="1" x14ac:dyDescent="0.2">
      <c r="A128" s="18"/>
      <c r="B128" s="274" t="s">
        <v>162</v>
      </c>
      <c r="C128" s="275"/>
      <c r="D128" s="12" t="s">
        <v>131</v>
      </c>
      <c r="E128" s="21"/>
      <c r="F128" s="20"/>
      <c r="G128" s="20"/>
    </row>
    <row r="129" spans="1:7" ht="24" customHeight="1" x14ac:dyDescent="0.2">
      <c r="A129" s="22"/>
      <c r="B129" s="23" t="s">
        <v>131</v>
      </c>
      <c r="C129" s="23" t="s">
        <v>163</v>
      </c>
      <c r="D129" s="23" t="s">
        <v>164</v>
      </c>
      <c r="E129" s="22"/>
      <c r="F129" s="22"/>
      <c r="G129" s="22"/>
    </row>
    <row r="130" spans="1:7" ht="18" customHeight="1" x14ac:dyDescent="0.2">
      <c r="A130" s="22"/>
      <c r="B130" s="23" t="s">
        <v>165</v>
      </c>
      <c r="C130" s="23" t="s">
        <v>166</v>
      </c>
      <c r="D130" s="23" t="s">
        <v>167</v>
      </c>
      <c r="E130" s="22"/>
      <c r="F130" s="22"/>
      <c r="G130" s="22"/>
    </row>
    <row r="131" spans="1:7" ht="17.100000000000001" customHeight="1" x14ac:dyDescent="0.2">
      <c r="A131" s="22"/>
      <c r="B131" s="4" t="s">
        <v>168</v>
      </c>
      <c r="C131" s="24">
        <v>17.441400000000002</v>
      </c>
      <c r="D131" s="24">
        <v>17.744700000000002</v>
      </c>
      <c r="E131" s="22"/>
      <c r="F131" s="19"/>
      <c r="G131" s="25"/>
    </row>
    <row r="132" spans="1:7" ht="17.100000000000001" customHeight="1" x14ac:dyDescent="0.2">
      <c r="A132" s="22"/>
      <c r="B132" s="4" t="s">
        <v>1048</v>
      </c>
      <c r="C132" s="24">
        <v>17.441400000000002</v>
      </c>
      <c r="D132" s="24">
        <v>17.744700000000002</v>
      </c>
      <c r="E132" s="22"/>
      <c r="F132" s="19"/>
      <c r="G132" s="25"/>
    </row>
    <row r="133" spans="1:7" ht="17.100000000000001" customHeight="1" x14ac:dyDescent="0.2">
      <c r="A133" s="22"/>
      <c r="B133" s="4" t="s">
        <v>169</v>
      </c>
      <c r="C133" s="24">
        <v>17.110900000000001</v>
      </c>
      <c r="D133" s="24">
        <v>17.4068</v>
      </c>
      <c r="E133" s="22"/>
      <c r="F133" s="19"/>
      <c r="G133" s="25"/>
    </row>
    <row r="134" spans="1:7" ht="17.100000000000001" customHeight="1" x14ac:dyDescent="0.2">
      <c r="A134" s="22"/>
      <c r="B134" s="4" t="s">
        <v>1049</v>
      </c>
      <c r="C134" s="24">
        <v>17.110700000000001</v>
      </c>
      <c r="D134" s="24">
        <v>17.406600000000001</v>
      </c>
      <c r="E134" s="22"/>
      <c r="F134" s="19"/>
      <c r="G134" s="25"/>
    </row>
    <row r="135" spans="1:7" ht="14.1" customHeight="1" x14ac:dyDescent="0.2">
      <c r="A135" s="22"/>
      <c r="B135" s="22"/>
      <c r="C135" s="22"/>
      <c r="D135" s="22"/>
      <c r="E135" s="22"/>
      <c r="F135" s="22"/>
      <c r="G135" s="22"/>
    </row>
    <row r="136" spans="1:7" ht="17.100000000000001" customHeight="1" x14ac:dyDescent="0.2">
      <c r="A136" s="22"/>
      <c r="B136" s="274" t="s">
        <v>1060</v>
      </c>
      <c r="C136" s="275"/>
      <c r="D136" s="2" t="s">
        <v>160</v>
      </c>
      <c r="E136" s="22"/>
      <c r="F136" s="22"/>
      <c r="G136" s="22"/>
    </row>
    <row r="137" spans="1:7" ht="18" customHeight="1" x14ac:dyDescent="0.2">
      <c r="A137" s="22"/>
      <c r="B137" s="26" t="s">
        <v>170</v>
      </c>
      <c r="C137" s="26" t="s">
        <v>170</v>
      </c>
      <c r="D137" s="26"/>
      <c r="E137" s="22"/>
      <c r="F137" s="22"/>
      <c r="G137" s="22"/>
    </row>
    <row r="138" spans="1:7" ht="29.1" customHeight="1" x14ac:dyDescent="0.2">
      <c r="A138" s="22"/>
      <c r="B138" s="274" t="s">
        <v>171</v>
      </c>
      <c r="C138" s="275"/>
      <c r="D138" s="2" t="s">
        <v>160</v>
      </c>
      <c r="E138" s="22"/>
      <c r="F138" s="22"/>
      <c r="G138" s="22"/>
    </row>
    <row r="139" spans="1:7" ht="29.1" customHeight="1" x14ac:dyDescent="0.2">
      <c r="A139" s="22"/>
      <c r="B139" s="274" t="s">
        <v>172</v>
      </c>
      <c r="C139" s="275"/>
      <c r="D139" s="2" t="s">
        <v>160</v>
      </c>
      <c r="E139" s="22"/>
      <c r="F139" s="22"/>
      <c r="G139" s="22"/>
    </row>
    <row r="140" spans="1:7" ht="17.100000000000001" customHeight="1" x14ac:dyDescent="0.2">
      <c r="A140" s="22"/>
      <c r="B140" s="274" t="s">
        <v>173</v>
      </c>
      <c r="C140" s="275"/>
      <c r="D140" s="27">
        <v>0.13344915245905206</v>
      </c>
      <c r="E140" s="22"/>
      <c r="F140" s="19"/>
      <c r="G140" s="25"/>
    </row>
    <row r="141" spans="1:7" ht="17.100000000000001" customHeight="1" x14ac:dyDescent="0.2">
      <c r="A141" s="22"/>
      <c r="B141" s="274" t="s">
        <v>174</v>
      </c>
      <c r="C141" s="275"/>
      <c r="D141" s="2" t="s">
        <v>160</v>
      </c>
      <c r="E141" s="22"/>
      <c r="F141" s="22"/>
      <c r="G141" s="22"/>
    </row>
    <row r="155" spans="10:14" x14ac:dyDescent="0.2">
      <c r="J155" s="162"/>
      <c r="K155" s="162"/>
      <c r="L155" s="162"/>
      <c r="M155" s="162"/>
      <c r="N155" s="162"/>
    </row>
  </sheetData>
  <mergeCells count="13">
    <mergeCell ref="J2:N2"/>
    <mergeCell ref="B125:C125"/>
    <mergeCell ref="B140:C140"/>
    <mergeCell ref="A1:H1"/>
    <mergeCell ref="A2:H2"/>
    <mergeCell ref="A3:H3"/>
    <mergeCell ref="B141:C141"/>
    <mergeCell ref="B126:C126"/>
    <mergeCell ref="B127:C127"/>
    <mergeCell ref="B128:C128"/>
    <mergeCell ref="B136:C136"/>
    <mergeCell ref="B138:C138"/>
    <mergeCell ref="B139:C139"/>
  </mergeCells>
  <hyperlinks>
    <hyperlink ref="I1" location="Index!B19" display="Index" xr:uid="{C7E9F4DF-FD2D-4170-BEEC-F28FEC8AA8E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5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502</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29</v>
      </c>
      <c r="C7" s="4" t="s">
        <v>30</v>
      </c>
      <c r="D7" s="4" t="s">
        <v>31</v>
      </c>
      <c r="E7" s="5">
        <v>5782</v>
      </c>
      <c r="F7" s="6">
        <v>120.34365699999999</v>
      </c>
      <c r="G7" s="7">
        <v>3.7849398999999999E-2</v>
      </c>
      <c r="H7" s="106"/>
    </row>
    <row r="8" spans="1:14" ht="17.100000000000001" customHeight="1" x14ac:dyDescent="0.2">
      <c r="A8" s="3">
        <v>2</v>
      </c>
      <c r="B8" s="4" t="s">
        <v>77</v>
      </c>
      <c r="C8" s="4" t="s">
        <v>78</v>
      </c>
      <c r="D8" s="4" t="s">
        <v>31</v>
      </c>
      <c r="E8" s="5">
        <v>7442</v>
      </c>
      <c r="F8" s="6">
        <v>120.20318399999999</v>
      </c>
      <c r="G8" s="7">
        <v>3.7805219000000001E-2</v>
      </c>
      <c r="H8" s="106"/>
    </row>
    <row r="9" spans="1:14" ht="17.100000000000001" customHeight="1" x14ac:dyDescent="0.2">
      <c r="A9" s="3">
        <v>3</v>
      </c>
      <c r="B9" s="4" t="s">
        <v>322</v>
      </c>
      <c r="C9" s="4" t="s">
        <v>323</v>
      </c>
      <c r="D9" s="4" t="s">
        <v>324</v>
      </c>
      <c r="E9" s="5">
        <v>7370</v>
      </c>
      <c r="F9" s="6">
        <v>118.11530500000001</v>
      </c>
      <c r="G9" s="7">
        <v>3.7148557999999998E-2</v>
      </c>
      <c r="H9" s="106"/>
    </row>
    <row r="10" spans="1:14" ht="17.100000000000001" customHeight="1" x14ac:dyDescent="0.2">
      <c r="A10" s="3">
        <v>4</v>
      </c>
      <c r="B10" s="4" t="s">
        <v>461</v>
      </c>
      <c r="C10" s="4" t="s">
        <v>462</v>
      </c>
      <c r="D10" s="4" t="s">
        <v>1114</v>
      </c>
      <c r="E10" s="5">
        <v>14311</v>
      </c>
      <c r="F10" s="6">
        <v>101.50076749999999</v>
      </c>
      <c r="G10" s="7">
        <v>3.1923104000000001E-2</v>
      </c>
      <c r="H10" s="106"/>
    </row>
    <row r="11" spans="1:14" ht="17.100000000000001" customHeight="1" x14ac:dyDescent="0.2">
      <c r="A11" s="3">
        <v>5</v>
      </c>
      <c r="B11" s="4" t="s">
        <v>304</v>
      </c>
      <c r="C11" s="4" t="s">
        <v>305</v>
      </c>
      <c r="D11" s="4" t="s">
        <v>240</v>
      </c>
      <c r="E11" s="5">
        <v>19524</v>
      </c>
      <c r="F11" s="6">
        <v>100.148358</v>
      </c>
      <c r="G11" s="7">
        <v>3.1497756000000002E-2</v>
      </c>
      <c r="H11" s="106"/>
    </row>
    <row r="12" spans="1:14" ht="17.100000000000001" customHeight="1" x14ac:dyDescent="0.2">
      <c r="A12" s="3">
        <v>6</v>
      </c>
      <c r="B12" s="4" t="s">
        <v>382</v>
      </c>
      <c r="C12" s="4" t="s">
        <v>383</v>
      </c>
      <c r="D12" s="4" t="s">
        <v>110</v>
      </c>
      <c r="E12" s="5">
        <v>5377</v>
      </c>
      <c r="F12" s="6">
        <v>99.875086499999995</v>
      </c>
      <c r="G12" s="7">
        <v>3.1411809999999998E-2</v>
      </c>
      <c r="H12" s="106"/>
    </row>
    <row r="13" spans="1:14" ht="17.100000000000001" customHeight="1" x14ac:dyDescent="0.2">
      <c r="A13" s="3">
        <v>7</v>
      </c>
      <c r="B13" s="4" t="s">
        <v>108</v>
      </c>
      <c r="C13" s="4" t="s">
        <v>109</v>
      </c>
      <c r="D13" s="4" t="s">
        <v>110</v>
      </c>
      <c r="E13" s="5">
        <v>26570</v>
      </c>
      <c r="F13" s="6">
        <v>98.866969999999995</v>
      </c>
      <c r="G13" s="7">
        <v>3.1094745999999999E-2</v>
      </c>
      <c r="H13" s="106"/>
    </row>
    <row r="14" spans="1:14" ht="17.100000000000001" customHeight="1" x14ac:dyDescent="0.2">
      <c r="A14" s="3">
        <v>8</v>
      </c>
      <c r="B14" s="4" t="s">
        <v>380</v>
      </c>
      <c r="C14" s="4" t="s">
        <v>381</v>
      </c>
      <c r="D14" s="4" t="s">
        <v>99</v>
      </c>
      <c r="E14" s="5">
        <v>96084</v>
      </c>
      <c r="F14" s="6">
        <v>96.948756000000003</v>
      </c>
      <c r="G14" s="7">
        <v>3.0491445999999998E-2</v>
      </c>
      <c r="H14" s="106"/>
      <c r="J14" s="161" t="s">
        <v>1091</v>
      </c>
    </row>
    <row r="15" spans="1:14" ht="17.100000000000001" customHeight="1" x14ac:dyDescent="0.2">
      <c r="A15" s="3">
        <v>9</v>
      </c>
      <c r="B15" s="4" t="s">
        <v>416</v>
      </c>
      <c r="C15" s="4" t="s">
        <v>417</v>
      </c>
      <c r="D15" s="4" t="s">
        <v>212</v>
      </c>
      <c r="E15" s="5">
        <v>30513</v>
      </c>
      <c r="F15" s="6">
        <v>87.953722499999998</v>
      </c>
      <c r="G15" s="7">
        <v>2.7662409999999998E-2</v>
      </c>
      <c r="H15" s="106"/>
    </row>
    <row r="16" spans="1:14" ht="17.100000000000001" customHeight="1" x14ac:dyDescent="0.2">
      <c r="A16" s="3">
        <v>10</v>
      </c>
      <c r="B16" s="4" t="s">
        <v>386</v>
      </c>
      <c r="C16" s="4" t="s">
        <v>387</v>
      </c>
      <c r="D16" s="4" t="s">
        <v>110</v>
      </c>
      <c r="E16" s="5">
        <v>14444</v>
      </c>
      <c r="F16" s="6">
        <v>86.389563999999993</v>
      </c>
      <c r="G16" s="7">
        <v>2.7170465000000001E-2</v>
      </c>
      <c r="H16" s="106"/>
    </row>
    <row r="17" spans="1:8" ht="29.1" customHeight="1" x14ac:dyDescent="0.2">
      <c r="A17" s="3">
        <v>11</v>
      </c>
      <c r="B17" s="4" t="s">
        <v>196</v>
      </c>
      <c r="C17" s="4" t="s">
        <v>197</v>
      </c>
      <c r="D17" s="4" t="s">
        <v>188</v>
      </c>
      <c r="E17" s="5">
        <v>1852</v>
      </c>
      <c r="F17" s="6">
        <v>84.298410000000004</v>
      </c>
      <c r="G17" s="7">
        <v>2.6512773999999999E-2</v>
      </c>
      <c r="H17" s="106"/>
    </row>
    <row r="18" spans="1:8" ht="17.100000000000001" customHeight="1" x14ac:dyDescent="0.2">
      <c r="A18" s="3">
        <v>12</v>
      </c>
      <c r="B18" s="4" t="s">
        <v>94</v>
      </c>
      <c r="C18" s="4" t="s">
        <v>95</v>
      </c>
      <c r="D18" s="4" t="s">
        <v>96</v>
      </c>
      <c r="E18" s="5">
        <v>16682</v>
      </c>
      <c r="F18" s="6">
        <v>83.334930999999997</v>
      </c>
      <c r="G18" s="7">
        <v>2.6209749000000001E-2</v>
      </c>
      <c r="H18" s="106"/>
    </row>
    <row r="19" spans="1:8" ht="29.1" customHeight="1" x14ac:dyDescent="0.2">
      <c r="A19" s="3">
        <v>13</v>
      </c>
      <c r="B19" s="4" t="s">
        <v>189</v>
      </c>
      <c r="C19" s="4" t="s">
        <v>190</v>
      </c>
      <c r="D19" s="4" t="s">
        <v>110</v>
      </c>
      <c r="E19" s="5">
        <v>22574</v>
      </c>
      <c r="F19" s="6">
        <v>81.785601999999997</v>
      </c>
      <c r="G19" s="7">
        <v>2.5722467999999998E-2</v>
      </c>
      <c r="H19" s="106"/>
    </row>
    <row r="20" spans="1:8" ht="17.100000000000001" customHeight="1" x14ac:dyDescent="0.2">
      <c r="A20" s="3">
        <v>14</v>
      </c>
      <c r="B20" s="4" t="s">
        <v>320</v>
      </c>
      <c r="C20" s="4" t="s">
        <v>321</v>
      </c>
      <c r="D20" s="4" t="s">
        <v>230</v>
      </c>
      <c r="E20" s="5">
        <v>5601</v>
      </c>
      <c r="F20" s="6">
        <v>81.054871500000004</v>
      </c>
      <c r="G20" s="7">
        <v>2.5492646000000001E-2</v>
      </c>
      <c r="H20" s="106"/>
    </row>
    <row r="21" spans="1:8" ht="17.100000000000001" customHeight="1" x14ac:dyDescent="0.2">
      <c r="A21" s="3">
        <v>15</v>
      </c>
      <c r="B21" s="4" t="s">
        <v>418</v>
      </c>
      <c r="C21" s="4" t="s">
        <v>419</v>
      </c>
      <c r="D21" s="4" t="s">
        <v>13</v>
      </c>
      <c r="E21" s="5">
        <v>16845</v>
      </c>
      <c r="F21" s="6">
        <v>80.072707500000007</v>
      </c>
      <c r="G21" s="7">
        <v>2.5183744000000001E-2</v>
      </c>
      <c r="H21" s="106"/>
    </row>
    <row r="22" spans="1:8" ht="17.100000000000001" customHeight="1" x14ac:dyDescent="0.2">
      <c r="A22" s="3">
        <v>16</v>
      </c>
      <c r="B22" s="4" t="s">
        <v>213</v>
      </c>
      <c r="C22" s="4" t="s">
        <v>214</v>
      </c>
      <c r="D22" s="4" t="s">
        <v>1114</v>
      </c>
      <c r="E22" s="5">
        <v>2026</v>
      </c>
      <c r="F22" s="6">
        <v>74.821192999999994</v>
      </c>
      <c r="G22" s="7">
        <v>2.3532085000000001E-2</v>
      </c>
      <c r="H22" s="106"/>
    </row>
    <row r="23" spans="1:8" ht="29.1" customHeight="1" x14ac:dyDescent="0.2">
      <c r="A23" s="3">
        <v>17</v>
      </c>
      <c r="B23" s="4" t="s">
        <v>202</v>
      </c>
      <c r="C23" s="4" t="s">
        <v>203</v>
      </c>
      <c r="D23" s="4" t="s">
        <v>204</v>
      </c>
      <c r="E23" s="5">
        <v>15078</v>
      </c>
      <c r="F23" s="6">
        <v>68.537048999999996</v>
      </c>
      <c r="G23" s="7">
        <v>2.1555653000000001E-2</v>
      </c>
      <c r="H23" s="106"/>
    </row>
    <row r="24" spans="1:8" ht="29.1" customHeight="1" x14ac:dyDescent="0.2">
      <c r="A24" s="3">
        <v>18</v>
      </c>
      <c r="B24" s="4" t="s">
        <v>445</v>
      </c>
      <c r="C24" s="4" t="s">
        <v>446</v>
      </c>
      <c r="D24" s="4" t="s">
        <v>51</v>
      </c>
      <c r="E24" s="5">
        <v>2766</v>
      </c>
      <c r="F24" s="6">
        <v>68.508287999999993</v>
      </c>
      <c r="G24" s="7">
        <v>2.1546607999999998E-2</v>
      </c>
      <c r="H24" s="106"/>
    </row>
    <row r="25" spans="1:8" ht="17.100000000000001" customHeight="1" x14ac:dyDescent="0.2">
      <c r="A25" s="3">
        <v>19</v>
      </c>
      <c r="B25" s="4" t="s">
        <v>392</v>
      </c>
      <c r="C25" s="4" t="s">
        <v>393</v>
      </c>
      <c r="D25" s="4" t="s">
        <v>230</v>
      </c>
      <c r="E25" s="5">
        <v>9046</v>
      </c>
      <c r="F25" s="6">
        <v>67.645988000000003</v>
      </c>
      <c r="G25" s="7">
        <v>2.1275405000000001E-2</v>
      </c>
      <c r="H25" s="106"/>
    </row>
    <row r="26" spans="1:8" ht="17.100000000000001" customHeight="1" x14ac:dyDescent="0.2">
      <c r="A26" s="3">
        <v>20</v>
      </c>
      <c r="B26" s="4" t="s">
        <v>480</v>
      </c>
      <c r="C26" s="4" t="s">
        <v>481</v>
      </c>
      <c r="D26" s="4" t="s">
        <v>230</v>
      </c>
      <c r="E26" s="5">
        <v>33431</v>
      </c>
      <c r="F26" s="6">
        <v>64.555261000000002</v>
      </c>
      <c r="G26" s="7">
        <v>2.0303337000000001E-2</v>
      </c>
      <c r="H26" s="106"/>
    </row>
    <row r="27" spans="1:8" ht="17.100000000000001" customHeight="1" x14ac:dyDescent="0.2">
      <c r="A27" s="3">
        <v>21</v>
      </c>
      <c r="B27" s="4" t="s">
        <v>388</v>
      </c>
      <c r="C27" s="4" t="s">
        <v>389</v>
      </c>
      <c r="D27" s="4" t="s">
        <v>99</v>
      </c>
      <c r="E27" s="5">
        <v>12229</v>
      </c>
      <c r="F27" s="6">
        <v>64.122761499999996</v>
      </c>
      <c r="G27" s="7">
        <v>2.0167311E-2</v>
      </c>
      <c r="H27" s="106"/>
    </row>
    <row r="28" spans="1:8" ht="17.100000000000001" customHeight="1" x14ac:dyDescent="0.2">
      <c r="A28" s="3">
        <v>22</v>
      </c>
      <c r="B28" s="4" t="s">
        <v>32</v>
      </c>
      <c r="C28" s="4" t="s">
        <v>33</v>
      </c>
      <c r="D28" s="4" t="s">
        <v>31</v>
      </c>
      <c r="E28" s="5">
        <v>3026</v>
      </c>
      <c r="F28" s="6">
        <v>63.636780000000002</v>
      </c>
      <c r="G28" s="7">
        <v>2.0014464999999999E-2</v>
      </c>
      <c r="H28" s="106"/>
    </row>
    <row r="29" spans="1:8" ht="17.100000000000001" customHeight="1" x14ac:dyDescent="0.2">
      <c r="A29" s="3">
        <v>23</v>
      </c>
      <c r="B29" s="4" t="s">
        <v>441</v>
      </c>
      <c r="C29" s="4" t="s">
        <v>442</v>
      </c>
      <c r="D29" s="4" t="s">
        <v>324</v>
      </c>
      <c r="E29" s="5">
        <v>4116</v>
      </c>
      <c r="F29" s="6">
        <v>63.236165999999997</v>
      </c>
      <c r="G29" s="7">
        <v>1.9888467E-2</v>
      </c>
      <c r="H29" s="106"/>
    </row>
    <row r="30" spans="1:8" ht="29.1" customHeight="1" x14ac:dyDescent="0.2">
      <c r="A30" s="3">
        <v>24</v>
      </c>
      <c r="B30" s="4" t="s">
        <v>63</v>
      </c>
      <c r="C30" s="4" t="s">
        <v>64</v>
      </c>
      <c r="D30" s="4" t="s">
        <v>25</v>
      </c>
      <c r="E30" s="5">
        <v>2325</v>
      </c>
      <c r="F30" s="6">
        <v>63.069112500000003</v>
      </c>
      <c r="G30" s="7">
        <v>1.9835927E-2</v>
      </c>
      <c r="H30" s="106"/>
    </row>
    <row r="31" spans="1:8" ht="29.1" customHeight="1" x14ac:dyDescent="0.2">
      <c r="A31" s="3">
        <v>25</v>
      </c>
      <c r="B31" s="4" t="s">
        <v>410</v>
      </c>
      <c r="C31" s="4" t="s">
        <v>411</v>
      </c>
      <c r="D31" s="4" t="s">
        <v>204</v>
      </c>
      <c r="E31" s="5">
        <v>17579</v>
      </c>
      <c r="F31" s="6">
        <v>62.229660000000003</v>
      </c>
      <c r="G31" s="7">
        <v>1.9571910000000001E-2</v>
      </c>
      <c r="H31" s="106"/>
    </row>
    <row r="32" spans="1:8" ht="17.100000000000001" customHeight="1" x14ac:dyDescent="0.2">
      <c r="A32" s="3">
        <v>26</v>
      </c>
      <c r="B32" s="4" t="s">
        <v>398</v>
      </c>
      <c r="C32" s="4" t="s">
        <v>399</v>
      </c>
      <c r="D32" s="4" t="s">
        <v>110</v>
      </c>
      <c r="E32" s="5">
        <v>9015</v>
      </c>
      <c r="F32" s="6">
        <v>57.677970000000002</v>
      </c>
      <c r="G32" s="7">
        <v>1.8140354000000001E-2</v>
      </c>
      <c r="H32" s="106"/>
    </row>
    <row r="33" spans="1:8" ht="29.1" customHeight="1" x14ac:dyDescent="0.2">
      <c r="A33" s="3">
        <v>27</v>
      </c>
      <c r="B33" s="4" t="s">
        <v>451</v>
      </c>
      <c r="C33" s="4" t="s">
        <v>452</v>
      </c>
      <c r="D33" s="4" t="s">
        <v>453</v>
      </c>
      <c r="E33" s="5">
        <v>39159</v>
      </c>
      <c r="F33" s="6">
        <v>54.665964000000002</v>
      </c>
      <c r="G33" s="7">
        <v>1.7193045000000001E-2</v>
      </c>
      <c r="H33" s="106"/>
    </row>
    <row r="34" spans="1:8" ht="29.1" customHeight="1" x14ac:dyDescent="0.2">
      <c r="A34" s="3">
        <v>28</v>
      </c>
      <c r="B34" s="4" t="s">
        <v>390</v>
      </c>
      <c r="C34" s="4" t="s">
        <v>391</v>
      </c>
      <c r="D34" s="4" t="s">
        <v>67</v>
      </c>
      <c r="E34" s="5">
        <v>3057</v>
      </c>
      <c r="F34" s="6">
        <v>49.058736000000003</v>
      </c>
      <c r="G34" s="7">
        <v>1.542951E-2</v>
      </c>
      <c r="H34" s="106"/>
    </row>
    <row r="35" spans="1:8" ht="17.100000000000001" customHeight="1" x14ac:dyDescent="0.2">
      <c r="A35" s="3">
        <v>29</v>
      </c>
      <c r="B35" s="4" t="s">
        <v>447</v>
      </c>
      <c r="C35" s="4" t="s">
        <v>448</v>
      </c>
      <c r="D35" s="4" t="s">
        <v>268</v>
      </c>
      <c r="E35" s="5">
        <v>15525</v>
      </c>
      <c r="F35" s="6">
        <v>46.784587500000001</v>
      </c>
      <c r="G35" s="7">
        <v>1.4714266E-2</v>
      </c>
      <c r="H35" s="106"/>
    </row>
    <row r="36" spans="1:8" ht="17.100000000000001" customHeight="1" x14ac:dyDescent="0.2">
      <c r="A36" s="3">
        <v>30</v>
      </c>
      <c r="B36" s="4" t="s">
        <v>396</v>
      </c>
      <c r="C36" s="4" t="s">
        <v>397</v>
      </c>
      <c r="D36" s="4" t="s">
        <v>288</v>
      </c>
      <c r="E36" s="5">
        <v>6046</v>
      </c>
      <c r="F36" s="6">
        <v>45.302678</v>
      </c>
      <c r="G36" s="7">
        <v>1.4248189E-2</v>
      </c>
      <c r="H36" s="106"/>
    </row>
    <row r="37" spans="1:8" ht="29.1" customHeight="1" x14ac:dyDescent="0.2">
      <c r="A37" s="3">
        <v>31</v>
      </c>
      <c r="B37" s="4" t="s">
        <v>420</v>
      </c>
      <c r="C37" s="4" t="s">
        <v>421</v>
      </c>
      <c r="D37" s="4" t="s">
        <v>366</v>
      </c>
      <c r="E37" s="5">
        <v>8877</v>
      </c>
      <c r="F37" s="6">
        <v>44.460454499999997</v>
      </c>
      <c r="G37" s="7">
        <v>1.3983300000000001E-2</v>
      </c>
      <c r="H37" s="106"/>
    </row>
    <row r="38" spans="1:8" ht="17.100000000000001" customHeight="1" x14ac:dyDescent="0.2">
      <c r="A38" s="3">
        <v>32</v>
      </c>
      <c r="B38" s="4" t="s">
        <v>394</v>
      </c>
      <c r="C38" s="4" t="s">
        <v>395</v>
      </c>
      <c r="D38" s="4" t="s">
        <v>99</v>
      </c>
      <c r="E38" s="5">
        <v>6095</v>
      </c>
      <c r="F38" s="6">
        <v>44.264937500000002</v>
      </c>
      <c r="G38" s="7">
        <v>1.3921808000000001E-2</v>
      </c>
      <c r="H38" s="106"/>
    </row>
    <row r="39" spans="1:8" ht="29.1" customHeight="1" x14ac:dyDescent="0.2">
      <c r="A39" s="3">
        <v>33</v>
      </c>
      <c r="B39" s="4" t="s">
        <v>317</v>
      </c>
      <c r="C39" s="4" t="s">
        <v>318</v>
      </c>
      <c r="D39" s="4" t="s">
        <v>319</v>
      </c>
      <c r="E39" s="5">
        <v>7853</v>
      </c>
      <c r="F39" s="6">
        <v>43.411383999999998</v>
      </c>
      <c r="G39" s="7">
        <v>1.3653356E-2</v>
      </c>
      <c r="H39" s="106"/>
    </row>
    <row r="40" spans="1:8" ht="29.1" customHeight="1" x14ac:dyDescent="0.2">
      <c r="A40" s="3">
        <v>34</v>
      </c>
      <c r="B40" s="4" t="s">
        <v>402</v>
      </c>
      <c r="C40" s="4" t="s">
        <v>403</v>
      </c>
      <c r="D40" s="4" t="s">
        <v>319</v>
      </c>
      <c r="E40" s="5">
        <v>9641</v>
      </c>
      <c r="F40" s="6">
        <v>40.352405500000003</v>
      </c>
      <c r="G40" s="7">
        <v>1.2691274000000001E-2</v>
      </c>
      <c r="H40" s="106"/>
    </row>
    <row r="41" spans="1:8" ht="17.100000000000001" customHeight="1" x14ac:dyDescent="0.2">
      <c r="A41" s="3">
        <v>35</v>
      </c>
      <c r="B41" s="4" t="s">
        <v>384</v>
      </c>
      <c r="C41" s="4" t="s">
        <v>385</v>
      </c>
      <c r="D41" s="4" t="s">
        <v>288</v>
      </c>
      <c r="E41" s="5">
        <v>3490</v>
      </c>
      <c r="F41" s="6">
        <v>40.292050000000003</v>
      </c>
      <c r="G41" s="7">
        <v>1.2672291E-2</v>
      </c>
      <c r="H41" s="106"/>
    </row>
    <row r="42" spans="1:8" ht="17.100000000000001" customHeight="1" x14ac:dyDescent="0.2">
      <c r="A42" s="3">
        <v>36</v>
      </c>
      <c r="B42" s="4" t="s">
        <v>404</v>
      </c>
      <c r="C42" s="4" t="s">
        <v>405</v>
      </c>
      <c r="D42" s="4" t="s">
        <v>13</v>
      </c>
      <c r="E42" s="5">
        <v>51989</v>
      </c>
      <c r="F42" s="6">
        <v>38.47186</v>
      </c>
      <c r="G42" s="7">
        <v>1.2099822E-2</v>
      </c>
      <c r="H42" s="106"/>
    </row>
    <row r="43" spans="1:8" ht="29.1" customHeight="1" x14ac:dyDescent="0.2">
      <c r="A43" s="3">
        <v>37</v>
      </c>
      <c r="B43" s="4" t="s">
        <v>291</v>
      </c>
      <c r="C43" s="4" t="s">
        <v>292</v>
      </c>
      <c r="D43" s="4" t="s">
        <v>188</v>
      </c>
      <c r="E43" s="5">
        <v>4967</v>
      </c>
      <c r="F43" s="6">
        <v>37.746716499999998</v>
      </c>
      <c r="G43" s="7">
        <v>1.1871756000000001E-2</v>
      </c>
      <c r="H43" s="106"/>
    </row>
    <row r="44" spans="1:8" ht="17.100000000000001" customHeight="1" x14ac:dyDescent="0.2">
      <c r="A44" s="3">
        <v>38</v>
      </c>
      <c r="B44" s="4" t="s">
        <v>449</v>
      </c>
      <c r="C44" s="4" t="s">
        <v>450</v>
      </c>
      <c r="D44" s="4" t="s">
        <v>99</v>
      </c>
      <c r="E44" s="5">
        <v>48310</v>
      </c>
      <c r="F44" s="6">
        <v>37.416094999999999</v>
      </c>
      <c r="G44" s="7">
        <v>1.1767771999999999E-2</v>
      </c>
      <c r="H44" s="106"/>
    </row>
    <row r="45" spans="1:8" ht="17.100000000000001" customHeight="1" x14ac:dyDescent="0.2">
      <c r="A45" s="3">
        <v>39</v>
      </c>
      <c r="B45" s="4" t="s">
        <v>412</v>
      </c>
      <c r="C45" s="4" t="s">
        <v>413</v>
      </c>
      <c r="D45" s="4" t="s">
        <v>193</v>
      </c>
      <c r="E45" s="5">
        <v>4552</v>
      </c>
      <c r="F45" s="6">
        <v>37.287708000000002</v>
      </c>
      <c r="G45" s="7">
        <v>1.1727392999999999E-2</v>
      </c>
      <c r="H45" s="106"/>
    </row>
    <row r="46" spans="1:8" ht="29.1" customHeight="1" x14ac:dyDescent="0.2">
      <c r="A46" s="3">
        <v>40</v>
      </c>
      <c r="B46" s="4" t="s">
        <v>463</v>
      </c>
      <c r="C46" s="4" t="s">
        <v>464</v>
      </c>
      <c r="D46" s="4" t="s">
        <v>366</v>
      </c>
      <c r="E46" s="5">
        <v>5580</v>
      </c>
      <c r="F46" s="6">
        <v>34.562519999999999</v>
      </c>
      <c r="G46" s="7">
        <v>1.0870291000000001E-2</v>
      </c>
      <c r="H46" s="106"/>
    </row>
    <row r="47" spans="1:8" ht="29.1" customHeight="1" x14ac:dyDescent="0.2">
      <c r="A47" s="3">
        <v>41</v>
      </c>
      <c r="B47" s="4" t="s">
        <v>473</v>
      </c>
      <c r="C47" s="4" t="s">
        <v>474</v>
      </c>
      <c r="D47" s="4" t="s">
        <v>475</v>
      </c>
      <c r="E47" s="5">
        <v>6786</v>
      </c>
      <c r="F47" s="6">
        <v>33.424442999999997</v>
      </c>
      <c r="G47" s="7">
        <v>1.0512354E-2</v>
      </c>
      <c r="H47" s="106"/>
    </row>
    <row r="48" spans="1:8" ht="53.1" customHeight="1" x14ac:dyDescent="0.2">
      <c r="A48" s="3">
        <v>42</v>
      </c>
      <c r="B48" s="4" t="s">
        <v>333</v>
      </c>
      <c r="C48" s="4" t="s">
        <v>334</v>
      </c>
      <c r="D48" s="4" t="s">
        <v>48</v>
      </c>
      <c r="E48" s="5">
        <v>10763</v>
      </c>
      <c r="F48" s="6">
        <v>33.209236500000003</v>
      </c>
      <c r="G48" s="7">
        <v>1.0444669E-2</v>
      </c>
      <c r="H48" s="106"/>
    </row>
    <row r="49" spans="1:8" ht="29.1" customHeight="1" x14ac:dyDescent="0.2">
      <c r="A49" s="3">
        <v>43</v>
      </c>
      <c r="B49" s="4" t="s">
        <v>443</v>
      </c>
      <c r="C49" s="4" t="s">
        <v>444</v>
      </c>
      <c r="D49" s="4" t="s">
        <v>204</v>
      </c>
      <c r="E49" s="5">
        <v>1489</v>
      </c>
      <c r="F49" s="6">
        <v>29.385414999999998</v>
      </c>
      <c r="G49" s="7">
        <v>9.2420349999999991E-3</v>
      </c>
      <c r="H49" s="106"/>
    </row>
    <row r="50" spans="1:8" ht="29.1" customHeight="1" x14ac:dyDescent="0.2">
      <c r="A50" s="3">
        <v>44</v>
      </c>
      <c r="B50" s="4" t="s">
        <v>424</v>
      </c>
      <c r="C50" s="4" t="s">
        <v>425</v>
      </c>
      <c r="D50" s="4" t="s">
        <v>110</v>
      </c>
      <c r="E50" s="5">
        <v>2262</v>
      </c>
      <c r="F50" s="6">
        <v>26.823927000000001</v>
      </c>
      <c r="G50" s="7">
        <v>8.4364190000000006E-3</v>
      </c>
      <c r="H50" s="106"/>
    </row>
    <row r="51" spans="1:8" ht="17.100000000000001" customHeight="1" x14ac:dyDescent="0.2">
      <c r="A51" s="3">
        <v>45</v>
      </c>
      <c r="B51" s="4" t="s">
        <v>432</v>
      </c>
      <c r="C51" s="4" t="s">
        <v>433</v>
      </c>
      <c r="D51" s="4" t="s">
        <v>89</v>
      </c>
      <c r="E51" s="5">
        <v>3898</v>
      </c>
      <c r="F51" s="6">
        <v>26.338785999999999</v>
      </c>
      <c r="G51" s="7">
        <v>8.2838370000000005E-3</v>
      </c>
      <c r="H51" s="106"/>
    </row>
    <row r="52" spans="1:8" ht="29.1" customHeight="1" x14ac:dyDescent="0.2">
      <c r="A52" s="3">
        <v>46</v>
      </c>
      <c r="B52" s="4" t="s">
        <v>428</v>
      </c>
      <c r="C52" s="4" t="s">
        <v>429</v>
      </c>
      <c r="D52" s="4" t="s">
        <v>204</v>
      </c>
      <c r="E52" s="5">
        <v>536</v>
      </c>
      <c r="F52" s="6">
        <v>21.616076</v>
      </c>
      <c r="G52" s="7">
        <v>6.7984930000000001E-3</v>
      </c>
      <c r="H52" s="106"/>
    </row>
    <row r="53" spans="1:8" ht="17.100000000000001" customHeight="1" x14ac:dyDescent="0.2">
      <c r="A53" s="3">
        <v>47</v>
      </c>
      <c r="B53" s="4" t="s">
        <v>454</v>
      </c>
      <c r="C53" s="4" t="s">
        <v>455</v>
      </c>
      <c r="D53" s="4" t="s">
        <v>110</v>
      </c>
      <c r="E53" s="5">
        <v>7251</v>
      </c>
      <c r="F53" s="6">
        <v>20.563835999999998</v>
      </c>
      <c r="G53" s="7">
        <v>6.4675519999999997E-3</v>
      </c>
      <c r="H53" s="106"/>
    </row>
    <row r="54" spans="1:8" ht="17.100000000000001" customHeight="1" x14ac:dyDescent="0.2">
      <c r="A54" s="3">
        <v>48</v>
      </c>
      <c r="B54" s="4" t="s">
        <v>436</v>
      </c>
      <c r="C54" s="4" t="s">
        <v>437</v>
      </c>
      <c r="D54" s="4" t="s">
        <v>16</v>
      </c>
      <c r="E54" s="5">
        <v>8871</v>
      </c>
      <c r="F54" s="6">
        <v>20.159347499999999</v>
      </c>
      <c r="G54" s="7">
        <v>6.3403360000000002E-3</v>
      </c>
      <c r="H54" s="106"/>
    </row>
    <row r="55" spans="1:8" ht="17.100000000000001" customHeight="1" x14ac:dyDescent="0.2">
      <c r="A55" s="3">
        <v>49</v>
      </c>
      <c r="B55" s="4" t="s">
        <v>123</v>
      </c>
      <c r="C55" s="4" t="s">
        <v>124</v>
      </c>
      <c r="D55" s="4" t="s">
        <v>110</v>
      </c>
      <c r="E55" s="5">
        <v>928</v>
      </c>
      <c r="F55" s="6">
        <v>19.163664000000001</v>
      </c>
      <c r="G55" s="7">
        <v>6.0271819999999999E-3</v>
      </c>
      <c r="H55" s="106"/>
    </row>
    <row r="56" spans="1:8" ht="17.100000000000001" customHeight="1" x14ac:dyDescent="0.2">
      <c r="A56" s="3">
        <v>50</v>
      </c>
      <c r="B56" s="4" t="s">
        <v>422</v>
      </c>
      <c r="C56" s="4" t="s">
        <v>423</v>
      </c>
      <c r="D56" s="4" t="s">
        <v>237</v>
      </c>
      <c r="E56" s="5">
        <v>2470</v>
      </c>
      <c r="F56" s="6">
        <v>18.163145</v>
      </c>
      <c r="G56" s="7">
        <v>5.7125079999999998E-3</v>
      </c>
      <c r="H56" s="106"/>
    </row>
    <row r="57" spans="1:8" ht="17.100000000000001" customHeight="1" x14ac:dyDescent="0.2">
      <c r="A57" s="3">
        <v>51</v>
      </c>
      <c r="B57" s="4" t="s">
        <v>426</v>
      </c>
      <c r="C57" s="4" t="s">
        <v>427</v>
      </c>
      <c r="D57" s="4" t="s">
        <v>31</v>
      </c>
      <c r="E57" s="5">
        <v>2121</v>
      </c>
      <c r="F57" s="6">
        <v>16.830134999999999</v>
      </c>
      <c r="G57" s="7">
        <v>5.293262E-3</v>
      </c>
      <c r="H57" s="106"/>
    </row>
    <row r="58" spans="1:8" ht="17.100000000000001" customHeight="1" x14ac:dyDescent="0.2">
      <c r="A58" s="3">
        <v>52</v>
      </c>
      <c r="B58" s="4" t="s">
        <v>337</v>
      </c>
      <c r="C58" s="4" t="s">
        <v>338</v>
      </c>
      <c r="D58" s="4" t="s">
        <v>96</v>
      </c>
      <c r="E58" s="5">
        <v>21625</v>
      </c>
      <c r="F58" s="6">
        <v>16.110624999999999</v>
      </c>
      <c r="G58" s="7">
        <v>5.0669679999999998E-3</v>
      </c>
      <c r="H58" s="106"/>
    </row>
    <row r="59" spans="1:8" ht="29.1" customHeight="1" x14ac:dyDescent="0.2">
      <c r="A59" s="3">
        <v>53</v>
      </c>
      <c r="B59" s="4" t="s">
        <v>456</v>
      </c>
      <c r="C59" s="4" t="s">
        <v>457</v>
      </c>
      <c r="D59" s="4" t="s">
        <v>188</v>
      </c>
      <c r="E59" s="5">
        <v>1926</v>
      </c>
      <c r="F59" s="6">
        <v>12.891681</v>
      </c>
      <c r="G59" s="7">
        <v>4.0545750000000004E-3</v>
      </c>
      <c r="H59" s="106"/>
    </row>
    <row r="60" spans="1:8" ht="29.1" customHeight="1" x14ac:dyDescent="0.2">
      <c r="A60" s="3">
        <v>54</v>
      </c>
      <c r="B60" s="4" t="s">
        <v>430</v>
      </c>
      <c r="C60" s="4" t="s">
        <v>431</v>
      </c>
      <c r="D60" s="4" t="s">
        <v>204</v>
      </c>
      <c r="E60" s="5">
        <v>1748</v>
      </c>
      <c r="F60" s="6">
        <v>3.9531019999999999</v>
      </c>
      <c r="G60" s="7">
        <v>1.243294E-3</v>
      </c>
      <c r="H60" s="106"/>
    </row>
    <row r="61" spans="1:8" ht="14.1" customHeight="1" x14ac:dyDescent="0.2">
      <c r="A61" s="1"/>
      <c r="B61" s="1"/>
      <c r="C61" s="2" t="s">
        <v>130</v>
      </c>
      <c r="D61" s="1"/>
      <c r="E61" s="1" t="s">
        <v>131</v>
      </c>
      <c r="F61" s="9">
        <v>3051.6436370000001</v>
      </c>
      <c r="G61" s="10">
        <v>0.95977537300000004</v>
      </c>
      <c r="H61" s="106"/>
    </row>
    <row r="62" spans="1:8" ht="14.1" customHeight="1" x14ac:dyDescent="0.2">
      <c r="A62" s="1"/>
      <c r="B62" s="1"/>
      <c r="C62" s="11"/>
      <c r="D62" s="1"/>
      <c r="E62" s="1"/>
      <c r="F62" s="12"/>
      <c r="G62" s="12"/>
      <c r="H62" s="106"/>
    </row>
    <row r="63" spans="1:8" ht="14.1" customHeight="1" x14ac:dyDescent="0.2">
      <c r="A63" s="1"/>
      <c r="B63" s="1"/>
      <c r="C63" s="2" t="s">
        <v>132</v>
      </c>
      <c r="D63" s="1"/>
      <c r="E63" s="1"/>
      <c r="F63" s="1"/>
      <c r="G63" s="1"/>
      <c r="H63" s="106"/>
    </row>
    <row r="64" spans="1:8" ht="14.1" customHeight="1" x14ac:dyDescent="0.2">
      <c r="A64" s="1"/>
      <c r="B64" s="1"/>
      <c r="C64" s="2" t="s">
        <v>130</v>
      </c>
      <c r="D64" s="1"/>
      <c r="E64" s="1" t="s">
        <v>131</v>
      </c>
      <c r="F64" s="13">
        <v>0</v>
      </c>
      <c r="G64" s="14">
        <v>0</v>
      </c>
      <c r="H64" s="106"/>
    </row>
    <row r="65" spans="1:8" ht="14.1" customHeight="1" x14ac:dyDescent="0.2">
      <c r="A65" s="1"/>
      <c r="B65" s="1"/>
      <c r="C65" s="11"/>
      <c r="D65" s="1"/>
      <c r="E65" s="1"/>
      <c r="F65" s="12"/>
      <c r="G65" s="12"/>
      <c r="H65" s="106"/>
    </row>
    <row r="66" spans="1:8" ht="14.1" customHeight="1" x14ac:dyDescent="0.2">
      <c r="A66" s="1"/>
      <c r="B66" s="1"/>
      <c r="C66" s="2" t="s">
        <v>133</v>
      </c>
      <c r="D66" s="1"/>
      <c r="E66" s="1"/>
      <c r="F66" s="1"/>
      <c r="G66" s="1"/>
      <c r="H66" s="106"/>
    </row>
    <row r="67" spans="1:8" ht="14.1" customHeight="1" x14ac:dyDescent="0.2">
      <c r="A67" s="1"/>
      <c r="B67" s="1"/>
      <c r="C67" s="2" t="s">
        <v>130</v>
      </c>
      <c r="D67" s="1"/>
      <c r="E67" s="1" t="s">
        <v>131</v>
      </c>
      <c r="F67" s="13">
        <v>0</v>
      </c>
      <c r="G67" s="14">
        <v>0</v>
      </c>
      <c r="H67" s="106"/>
    </row>
    <row r="68" spans="1:8" ht="14.1" customHeight="1" x14ac:dyDescent="0.2">
      <c r="A68" s="1"/>
      <c r="B68" s="1"/>
      <c r="C68" s="11"/>
      <c r="D68" s="1"/>
      <c r="E68" s="1"/>
      <c r="F68" s="12"/>
      <c r="G68" s="12"/>
      <c r="H68" s="106"/>
    </row>
    <row r="69" spans="1:8" ht="14.1" customHeight="1" x14ac:dyDescent="0.2">
      <c r="A69" s="1"/>
      <c r="B69" s="1"/>
      <c r="C69" s="2" t="s">
        <v>134</v>
      </c>
      <c r="D69" s="1"/>
      <c r="E69" s="1"/>
      <c r="F69" s="1"/>
      <c r="G69" s="1"/>
      <c r="H69" s="106"/>
    </row>
    <row r="70" spans="1:8" ht="14.1" customHeight="1" x14ac:dyDescent="0.2">
      <c r="A70" s="1"/>
      <c r="B70" s="1"/>
      <c r="C70" s="2" t="s">
        <v>130</v>
      </c>
      <c r="D70" s="1"/>
      <c r="E70" s="1" t="s">
        <v>131</v>
      </c>
      <c r="F70" s="13">
        <v>0</v>
      </c>
      <c r="G70" s="14">
        <v>0</v>
      </c>
      <c r="H70" s="106"/>
    </row>
    <row r="71" spans="1:8" ht="14.1" customHeight="1" x14ac:dyDescent="0.2">
      <c r="A71" s="1"/>
      <c r="B71" s="1"/>
      <c r="C71" s="11"/>
      <c r="D71" s="1"/>
      <c r="E71" s="1"/>
      <c r="F71" s="12"/>
      <c r="G71" s="12"/>
      <c r="H71" s="106"/>
    </row>
    <row r="72" spans="1:8" ht="14.1" customHeight="1" x14ac:dyDescent="0.2">
      <c r="A72" s="1"/>
      <c r="B72" s="1"/>
      <c r="C72" s="2" t="s">
        <v>135</v>
      </c>
      <c r="D72" s="1"/>
      <c r="E72" s="1"/>
      <c r="F72" s="12"/>
      <c r="G72" s="12"/>
      <c r="H72" s="106"/>
    </row>
    <row r="73" spans="1:8" ht="14.1" customHeight="1" x14ac:dyDescent="0.2">
      <c r="A73" s="1"/>
      <c r="B73" s="1"/>
      <c r="C73" s="2" t="s">
        <v>130</v>
      </c>
      <c r="D73" s="1"/>
      <c r="E73" s="1" t="s">
        <v>131</v>
      </c>
      <c r="F73" s="13">
        <v>0</v>
      </c>
      <c r="G73" s="14">
        <v>0</v>
      </c>
      <c r="H73" s="106"/>
    </row>
    <row r="74" spans="1:8" ht="14.1" customHeight="1" x14ac:dyDescent="0.2">
      <c r="A74" s="1"/>
      <c r="B74" s="1"/>
      <c r="C74" s="11"/>
      <c r="D74" s="1"/>
      <c r="E74" s="1"/>
      <c r="F74" s="12"/>
      <c r="G74" s="12"/>
      <c r="H74" s="106"/>
    </row>
    <row r="75" spans="1:8" ht="14.1" customHeight="1" x14ac:dyDescent="0.2">
      <c r="A75" s="1"/>
      <c r="B75" s="1"/>
      <c r="C75" s="2" t="s">
        <v>136</v>
      </c>
      <c r="D75" s="1"/>
      <c r="E75" s="1"/>
      <c r="F75" s="12"/>
      <c r="G75" s="12"/>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8" customHeight="1" x14ac:dyDescent="0.2">
      <c r="A78" s="1"/>
      <c r="B78" s="1"/>
      <c r="C78" s="2" t="s">
        <v>137</v>
      </c>
      <c r="D78" s="1"/>
      <c r="E78" s="1"/>
      <c r="F78" s="9">
        <v>3051.6436370000001</v>
      </c>
      <c r="G78" s="10">
        <v>0.95977537300000004</v>
      </c>
      <c r="H78" s="106"/>
    </row>
    <row r="79" spans="1:8" ht="14.1" customHeight="1" x14ac:dyDescent="0.2">
      <c r="A79" s="1"/>
      <c r="B79" s="1"/>
      <c r="C79" s="11"/>
      <c r="D79" s="1"/>
      <c r="E79" s="1"/>
      <c r="F79" s="12"/>
      <c r="G79" s="12"/>
      <c r="H79" s="106"/>
    </row>
    <row r="80" spans="1:8" ht="14.1" customHeight="1" x14ac:dyDescent="0.2">
      <c r="A80" s="1"/>
      <c r="B80" s="1"/>
      <c r="C80" s="2" t="s">
        <v>138</v>
      </c>
      <c r="D80" s="1"/>
      <c r="E80" s="1"/>
      <c r="F80" s="12"/>
      <c r="G80" s="12"/>
      <c r="H80" s="106"/>
    </row>
    <row r="81" spans="1:8" ht="24" customHeight="1" x14ac:dyDescent="0.2">
      <c r="A81" s="1"/>
      <c r="B81" s="1"/>
      <c r="C81" s="2" t="s">
        <v>10</v>
      </c>
      <c r="D81" s="1"/>
      <c r="E81" s="1"/>
      <c r="F81" s="12"/>
      <c r="G81" s="12"/>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139</v>
      </c>
      <c r="D84" s="1"/>
      <c r="E84" s="1"/>
      <c r="F84" s="1"/>
      <c r="G84" s="1"/>
      <c r="H84" s="106"/>
    </row>
    <row r="85" spans="1:8" ht="14.1" customHeight="1" x14ac:dyDescent="0.2">
      <c r="A85" s="1"/>
      <c r="B85" s="1"/>
      <c r="C85" s="2" t="s">
        <v>130</v>
      </c>
      <c r="D85" s="1"/>
      <c r="E85" s="1" t="s">
        <v>131</v>
      </c>
      <c r="F85" s="13">
        <v>0</v>
      </c>
      <c r="G85" s="14">
        <v>0</v>
      </c>
      <c r="H85" s="106"/>
    </row>
    <row r="86" spans="1:8" ht="14.1" customHeight="1" x14ac:dyDescent="0.2">
      <c r="A86" s="1"/>
      <c r="B86" s="1"/>
      <c r="C86" s="11"/>
      <c r="D86" s="1"/>
      <c r="E86" s="1"/>
      <c r="F86" s="12"/>
      <c r="G86" s="12"/>
      <c r="H86" s="106"/>
    </row>
    <row r="87" spans="1:8" ht="14.1" customHeight="1" x14ac:dyDescent="0.2">
      <c r="A87" s="1"/>
      <c r="B87" s="1"/>
      <c r="C87" s="2" t="s">
        <v>140</v>
      </c>
      <c r="D87" s="1"/>
      <c r="E87" s="1"/>
      <c r="F87" s="1"/>
      <c r="G87" s="1"/>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4.1" customHeight="1" x14ac:dyDescent="0.2">
      <c r="A90" s="1"/>
      <c r="B90" s="1"/>
      <c r="C90" s="2" t="s">
        <v>141</v>
      </c>
      <c r="D90" s="1"/>
      <c r="E90" s="1"/>
      <c r="F90" s="12"/>
      <c r="G90" s="12"/>
      <c r="H90" s="106"/>
    </row>
    <row r="91" spans="1:8" ht="14.1" customHeight="1" x14ac:dyDescent="0.2">
      <c r="A91" s="1"/>
      <c r="B91" s="1"/>
      <c r="C91" s="2" t="s">
        <v>130</v>
      </c>
      <c r="D91" s="1"/>
      <c r="E91" s="1" t="s">
        <v>131</v>
      </c>
      <c r="F91" s="13">
        <v>0</v>
      </c>
      <c r="G91" s="14">
        <v>0</v>
      </c>
      <c r="H91" s="106"/>
    </row>
    <row r="92" spans="1:8" ht="14.1" customHeight="1" x14ac:dyDescent="0.2">
      <c r="A92" s="1"/>
      <c r="B92" s="1"/>
      <c r="C92" s="11"/>
      <c r="D92" s="1"/>
      <c r="E92" s="1"/>
      <c r="F92" s="12"/>
      <c r="G92" s="12"/>
      <c r="H92" s="106"/>
    </row>
    <row r="93" spans="1:8" ht="14.1" customHeight="1" x14ac:dyDescent="0.2">
      <c r="A93" s="1"/>
      <c r="B93" s="1"/>
      <c r="C93" s="2" t="s">
        <v>142</v>
      </c>
      <c r="D93" s="1"/>
      <c r="E93" s="1"/>
      <c r="F93" s="9">
        <v>0</v>
      </c>
      <c r="G93" s="10">
        <v>0</v>
      </c>
      <c r="H93" s="106"/>
    </row>
    <row r="94" spans="1:8" ht="14.1" customHeight="1" x14ac:dyDescent="0.2">
      <c r="A94" s="1"/>
      <c r="B94" s="1"/>
      <c r="C94" s="11"/>
      <c r="D94" s="1"/>
      <c r="E94" s="1"/>
      <c r="F94" s="12"/>
      <c r="G94" s="12"/>
      <c r="H94" s="106"/>
    </row>
    <row r="95" spans="1:8" ht="14.1" customHeight="1" x14ac:dyDescent="0.2">
      <c r="A95" s="1"/>
      <c r="B95" s="1"/>
      <c r="C95" s="2" t="s">
        <v>143</v>
      </c>
      <c r="D95" s="1"/>
      <c r="E95" s="1"/>
      <c r="F95" s="12"/>
      <c r="G95" s="12"/>
      <c r="H95" s="106"/>
    </row>
    <row r="96" spans="1:8" ht="14.1" customHeight="1" x14ac:dyDescent="0.2">
      <c r="A96" s="1"/>
      <c r="B96" s="1"/>
      <c r="C96" s="2" t="s">
        <v>144</v>
      </c>
      <c r="D96" s="1"/>
      <c r="E96" s="1"/>
      <c r="F96" s="12"/>
      <c r="G96" s="12"/>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145</v>
      </c>
      <c r="D99" s="1"/>
      <c r="E99" s="1"/>
      <c r="F99" s="12"/>
      <c r="G99" s="12"/>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146</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147</v>
      </c>
      <c r="D105" s="1"/>
      <c r="E105" s="1"/>
      <c r="F105" s="12"/>
      <c r="G105" s="12"/>
      <c r="H105" s="106"/>
    </row>
    <row r="106" spans="1:8" ht="17.100000000000001" customHeight="1" x14ac:dyDescent="0.2">
      <c r="A106" s="3">
        <v>1</v>
      </c>
      <c r="B106" s="4"/>
      <c r="C106" s="4" t="s">
        <v>148</v>
      </c>
      <c r="D106" s="4"/>
      <c r="E106" s="8"/>
      <c r="F106" s="6">
        <v>131.0978289</v>
      </c>
      <c r="G106" s="7">
        <v>4.1231704000000001E-2</v>
      </c>
      <c r="H106" s="106">
        <v>6.1171451766917002</v>
      </c>
    </row>
    <row r="107" spans="1:8" ht="14.1" customHeight="1" x14ac:dyDescent="0.2">
      <c r="A107" s="1"/>
      <c r="B107" s="1"/>
      <c r="C107" s="2" t="s">
        <v>130</v>
      </c>
      <c r="D107" s="1"/>
      <c r="E107" s="1" t="s">
        <v>131</v>
      </c>
      <c r="F107" s="9">
        <v>131.0978289</v>
      </c>
      <c r="G107" s="10">
        <v>4.1231704000000001E-2</v>
      </c>
      <c r="H107" s="106"/>
    </row>
    <row r="108" spans="1:8" ht="14.1" customHeight="1" x14ac:dyDescent="0.2">
      <c r="A108" s="1"/>
      <c r="B108" s="1"/>
      <c r="C108" s="11"/>
      <c r="D108" s="1"/>
      <c r="E108" s="1"/>
      <c r="F108" s="12"/>
      <c r="G108" s="12"/>
      <c r="H108" s="106"/>
    </row>
    <row r="109" spans="1:8" ht="14.1" customHeight="1" x14ac:dyDescent="0.2">
      <c r="A109" s="1"/>
      <c r="B109" s="1"/>
      <c r="C109" s="2" t="s">
        <v>149</v>
      </c>
      <c r="D109" s="1"/>
      <c r="E109" s="1"/>
      <c r="F109" s="9">
        <v>131.0978289</v>
      </c>
      <c r="G109" s="10">
        <v>4.1231704000000001E-2</v>
      </c>
      <c r="H109" s="106"/>
    </row>
    <row r="110" spans="1:8" ht="14.1" customHeight="1" x14ac:dyDescent="0.2">
      <c r="A110" s="1"/>
      <c r="B110" s="1"/>
      <c r="C110" s="12"/>
      <c r="D110" s="1"/>
      <c r="E110" s="1"/>
      <c r="F110" s="1"/>
      <c r="G110" s="1"/>
      <c r="H110" s="106"/>
    </row>
    <row r="111" spans="1:8" ht="14.1" customHeight="1" x14ac:dyDescent="0.2">
      <c r="A111" s="1"/>
      <c r="B111" s="1"/>
      <c r="C111" s="2" t="s">
        <v>150</v>
      </c>
      <c r="D111" s="1"/>
      <c r="E111" s="1"/>
      <c r="F111" s="1"/>
      <c r="G111" s="1"/>
      <c r="H111" s="106"/>
    </row>
    <row r="112" spans="1:8" ht="14.1" customHeight="1" x14ac:dyDescent="0.2">
      <c r="A112" s="1"/>
      <c r="B112" s="1"/>
      <c r="C112" s="2" t="s">
        <v>151</v>
      </c>
      <c r="D112" s="1"/>
      <c r="E112" s="1"/>
      <c r="F112" s="1"/>
      <c r="G112" s="1"/>
      <c r="H112" s="106"/>
    </row>
    <row r="113" spans="1:8" ht="14.1" customHeight="1" x14ac:dyDescent="0.2">
      <c r="A113" s="1"/>
      <c r="B113" s="1"/>
      <c r="C113" s="2" t="s">
        <v>130</v>
      </c>
      <c r="D113" s="1"/>
      <c r="E113" s="1" t="s">
        <v>131</v>
      </c>
      <c r="F113" s="13">
        <v>0</v>
      </c>
      <c r="G113" s="14">
        <v>0</v>
      </c>
      <c r="H113" s="106"/>
    </row>
    <row r="114" spans="1:8" ht="14.1" customHeight="1" x14ac:dyDescent="0.2">
      <c r="A114" s="1"/>
      <c r="B114" s="1"/>
      <c r="C114" s="11"/>
      <c r="D114" s="1"/>
      <c r="E114" s="1"/>
      <c r="F114" s="12"/>
      <c r="G114" s="12"/>
      <c r="H114" s="106"/>
    </row>
    <row r="115" spans="1:8" ht="14.1" customHeight="1" x14ac:dyDescent="0.2">
      <c r="A115" s="1"/>
      <c r="B115" s="1"/>
      <c r="C115" s="2" t="s">
        <v>152</v>
      </c>
      <c r="D115" s="1"/>
      <c r="E115" s="1"/>
      <c r="F115" s="1"/>
      <c r="G115" s="1"/>
      <c r="H115" s="106"/>
    </row>
    <row r="116" spans="1:8" ht="14.1" customHeight="1" x14ac:dyDescent="0.2">
      <c r="A116" s="1"/>
      <c r="B116" s="1"/>
      <c r="C116" s="2" t="s">
        <v>153</v>
      </c>
      <c r="D116" s="1"/>
      <c r="E116" s="1"/>
      <c r="F116" s="1"/>
      <c r="G116" s="1"/>
      <c r="H116" s="106"/>
    </row>
    <row r="117" spans="1:8" ht="14.1" customHeight="1" x14ac:dyDescent="0.2">
      <c r="A117" s="1"/>
      <c r="B117" s="1"/>
      <c r="C117" s="2" t="s">
        <v>130</v>
      </c>
      <c r="D117" s="1"/>
      <c r="E117" s="1" t="s">
        <v>131</v>
      </c>
      <c r="F117" s="13">
        <v>0</v>
      </c>
      <c r="G117" s="14">
        <v>0</v>
      </c>
      <c r="H117" s="106"/>
    </row>
    <row r="118" spans="1:8" ht="14.1" customHeight="1" x14ac:dyDescent="0.2">
      <c r="A118" s="1"/>
      <c r="B118" s="1"/>
      <c r="C118" s="11"/>
      <c r="D118" s="1"/>
      <c r="E118" s="1"/>
      <c r="F118" s="12"/>
      <c r="G118" s="12"/>
      <c r="H118" s="106"/>
    </row>
    <row r="119" spans="1:8" ht="14.1" customHeight="1" x14ac:dyDescent="0.2">
      <c r="A119" s="1"/>
      <c r="B119" s="1"/>
      <c r="C119" s="11"/>
      <c r="D119" s="1"/>
      <c r="E119" s="1"/>
      <c r="F119" s="12"/>
      <c r="G119" s="12"/>
      <c r="H119" s="106"/>
    </row>
    <row r="120" spans="1:8" ht="24" customHeight="1" x14ac:dyDescent="0.2">
      <c r="A120" s="1"/>
      <c r="B120" s="1"/>
      <c r="C120" s="2" t="s">
        <v>154</v>
      </c>
      <c r="D120" s="1"/>
      <c r="E120" s="1"/>
      <c r="F120" s="12"/>
      <c r="G120" s="12"/>
      <c r="H120" s="106"/>
    </row>
    <row r="121" spans="1:8" ht="14.1" customHeight="1" x14ac:dyDescent="0.2">
      <c r="A121" s="1"/>
      <c r="B121" s="1"/>
      <c r="C121" s="2" t="s">
        <v>130</v>
      </c>
      <c r="D121" s="1"/>
      <c r="E121" s="1" t="s">
        <v>131</v>
      </c>
      <c r="F121" s="13">
        <v>0</v>
      </c>
      <c r="G121" s="14">
        <v>0</v>
      </c>
      <c r="H121" s="106"/>
    </row>
    <row r="122" spans="1:8" ht="14.1" customHeight="1" x14ac:dyDescent="0.2">
      <c r="A122" s="1"/>
      <c r="B122" s="1"/>
      <c r="C122" s="11"/>
      <c r="D122" s="1"/>
      <c r="E122" s="1"/>
      <c r="F122" s="12"/>
      <c r="G122" s="12"/>
      <c r="H122" s="106"/>
    </row>
    <row r="123" spans="1:8" ht="14.1" customHeight="1" x14ac:dyDescent="0.2">
      <c r="A123" s="1"/>
      <c r="B123" s="4"/>
      <c r="C123" s="4"/>
      <c r="D123" s="2"/>
      <c r="E123" s="1"/>
      <c r="F123" s="4"/>
      <c r="G123" s="8"/>
      <c r="H123" s="106"/>
    </row>
    <row r="124" spans="1:8" ht="18" customHeight="1" x14ac:dyDescent="0.2">
      <c r="A124" s="8"/>
      <c r="B124" s="4"/>
      <c r="C124" s="4" t="s">
        <v>155</v>
      </c>
      <c r="D124" s="4"/>
      <c r="E124" s="8"/>
      <c r="F124" s="6">
        <v>-3.2020498100000001</v>
      </c>
      <c r="G124" s="7">
        <v>-1.00708E-3</v>
      </c>
      <c r="H124" s="106"/>
    </row>
    <row r="125" spans="1:8" ht="14.1" customHeight="1" x14ac:dyDescent="0.2">
      <c r="A125" s="11"/>
      <c r="B125" s="11"/>
      <c r="C125" s="2" t="s">
        <v>156</v>
      </c>
      <c r="D125" s="15"/>
      <c r="E125" s="15"/>
      <c r="F125" s="9">
        <v>3179.53941609</v>
      </c>
      <c r="G125" s="10">
        <v>0.99999999699999997</v>
      </c>
      <c r="H125" s="106"/>
    </row>
    <row r="126" spans="1:8" ht="14.1" customHeight="1" x14ac:dyDescent="0.2">
      <c r="A126" s="16"/>
      <c r="B126" s="16"/>
      <c r="C126" s="16"/>
      <c r="D126" s="17"/>
      <c r="E126" s="17"/>
      <c r="F126" s="17"/>
      <c r="G126" s="17"/>
    </row>
    <row r="127" spans="1:8" ht="14.1" customHeight="1" x14ac:dyDescent="0.2">
      <c r="A127" s="18"/>
      <c r="B127" s="18"/>
      <c r="C127" s="18"/>
      <c r="D127" s="20"/>
      <c r="E127" s="20"/>
      <c r="F127" s="20"/>
      <c r="G127" s="20"/>
    </row>
    <row r="128" spans="1:8" ht="14.1" customHeight="1" x14ac:dyDescent="0.2">
      <c r="A128" s="18"/>
      <c r="B128" s="279" t="s">
        <v>158</v>
      </c>
      <c r="C128" s="280"/>
      <c r="D128" s="12" t="s">
        <v>131</v>
      </c>
      <c r="E128" s="21"/>
      <c r="F128" s="20"/>
      <c r="G128" s="20"/>
    </row>
    <row r="129" spans="1:7" ht="29.1" customHeight="1" x14ac:dyDescent="0.2">
      <c r="A129" s="18"/>
      <c r="B129" s="274" t="s">
        <v>159</v>
      </c>
      <c r="C129" s="275"/>
      <c r="D129" s="2" t="s">
        <v>160</v>
      </c>
      <c r="E129" s="21"/>
      <c r="F129" s="20"/>
      <c r="G129" s="20"/>
    </row>
    <row r="130" spans="1:7" ht="17.100000000000001" customHeight="1" x14ac:dyDescent="0.2">
      <c r="A130" s="18"/>
      <c r="B130" s="274" t="s">
        <v>161</v>
      </c>
      <c r="C130" s="275"/>
      <c r="D130" s="2" t="s">
        <v>160</v>
      </c>
      <c r="E130" s="21"/>
      <c r="F130" s="20"/>
      <c r="G130" s="20"/>
    </row>
    <row r="131" spans="1:7" ht="17.100000000000001" customHeight="1" x14ac:dyDescent="0.2">
      <c r="A131" s="18"/>
      <c r="B131" s="274" t="s">
        <v>162</v>
      </c>
      <c r="C131" s="275"/>
      <c r="D131" s="12" t="s">
        <v>131</v>
      </c>
      <c r="E131" s="21"/>
      <c r="F131" s="20"/>
      <c r="G131" s="20"/>
    </row>
    <row r="132" spans="1:7" ht="24" customHeight="1" x14ac:dyDescent="0.2">
      <c r="A132" s="22"/>
      <c r="B132" s="23" t="s">
        <v>131</v>
      </c>
      <c r="C132" s="23" t="s">
        <v>163</v>
      </c>
      <c r="D132" s="23" t="s">
        <v>164</v>
      </c>
      <c r="E132" s="22"/>
      <c r="F132" s="22"/>
      <c r="G132" s="22"/>
    </row>
    <row r="133" spans="1:7" ht="18" customHeight="1" x14ac:dyDescent="0.2">
      <c r="A133" s="22"/>
      <c r="B133" s="23" t="s">
        <v>165</v>
      </c>
      <c r="C133" s="23" t="s">
        <v>166</v>
      </c>
      <c r="D133" s="23" t="s">
        <v>167</v>
      </c>
      <c r="E133" s="22"/>
      <c r="F133" s="22"/>
      <c r="G133" s="22"/>
    </row>
    <row r="134" spans="1:7" ht="17.100000000000001" customHeight="1" x14ac:dyDescent="0.2">
      <c r="A134" s="22"/>
      <c r="B134" s="4" t="s">
        <v>168</v>
      </c>
      <c r="C134" s="24">
        <v>17.107500000000002</v>
      </c>
      <c r="D134" s="24">
        <v>17.3066</v>
      </c>
      <c r="E134" s="22"/>
      <c r="F134" s="19"/>
      <c r="G134" s="25"/>
    </row>
    <row r="135" spans="1:7" ht="17.100000000000001" customHeight="1" x14ac:dyDescent="0.2">
      <c r="A135" s="22"/>
      <c r="B135" s="4" t="s">
        <v>1048</v>
      </c>
      <c r="C135" s="24">
        <v>17.107500000000002</v>
      </c>
      <c r="D135" s="24">
        <v>17.3066</v>
      </c>
      <c r="E135" s="22"/>
      <c r="F135" s="19"/>
      <c r="G135" s="25"/>
    </row>
    <row r="136" spans="1:7" ht="17.100000000000001" customHeight="1" x14ac:dyDescent="0.2">
      <c r="A136" s="22"/>
      <c r="B136" s="4" t="s">
        <v>169</v>
      </c>
      <c r="C136" s="24">
        <v>16.740500000000001</v>
      </c>
      <c r="D136" s="24">
        <v>16.932600000000001</v>
      </c>
      <c r="E136" s="22"/>
      <c r="F136" s="19"/>
      <c r="G136" s="25"/>
    </row>
    <row r="137" spans="1:7" ht="17.100000000000001" customHeight="1" x14ac:dyDescent="0.2">
      <c r="A137" s="22"/>
      <c r="B137" s="4" t="s">
        <v>1049</v>
      </c>
      <c r="C137" s="24">
        <v>16.740500000000001</v>
      </c>
      <c r="D137" s="24">
        <v>16.932600000000001</v>
      </c>
      <c r="E137" s="22"/>
      <c r="F137" s="19"/>
      <c r="G137" s="25"/>
    </row>
    <row r="138" spans="1:7" ht="14.1" customHeight="1" x14ac:dyDescent="0.2">
      <c r="A138" s="22"/>
      <c r="B138" s="22"/>
      <c r="C138" s="22"/>
      <c r="D138" s="22"/>
      <c r="E138" s="22"/>
      <c r="F138" s="22"/>
      <c r="G138" s="22"/>
    </row>
    <row r="139" spans="1:7" ht="17.100000000000001" customHeight="1" x14ac:dyDescent="0.2">
      <c r="A139" s="22"/>
      <c r="B139" s="274" t="s">
        <v>1060</v>
      </c>
      <c r="C139" s="275"/>
      <c r="D139" s="2" t="s">
        <v>160</v>
      </c>
      <c r="E139" s="22"/>
      <c r="F139" s="22"/>
      <c r="G139" s="22"/>
    </row>
    <row r="140" spans="1:7" ht="18" customHeight="1" x14ac:dyDescent="0.2">
      <c r="A140" s="22"/>
      <c r="B140" s="26" t="s">
        <v>170</v>
      </c>
      <c r="C140" s="26" t="s">
        <v>170</v>
      </c>
      <c r="D140" s="26"/>
      <c r="E140" s="22"/>
      <c r="F140" s="22"/>
      <c r="G140" s="22"/>
    </row>
    <row r="141" spans="1:7" ht="29.1" customHeight="1" x14ac:dyDescent="0.2">
      <c r="A141" s="22"/>
      <c r="B141" s="274" t="s">
        <v>171</v>
      </c>
      <c r="C141" s="275"/>
      <c r="D141" s="2" t="s">
        <v>160</v>
      </c>
      <c r="E141" s="22"/>
      <c r="F141" s="22"/>
      <c r="G141" s="22"/>
    </row>
    <row r="142" spans="1:7" ht="29.1" customHeight="1" x14ac:dyDescent="0.2">
      <c r="A142" s="22"/>
      <c r="B142" s="274" t="s">
        <v>172</v>
      </c>
      <c r="C142" s="275"/>
      <c r="D142" s="2" t="s">
        <v>160</v>
      </c>
      <c r="E142" s="22"/>
      <c r="F142" s="22"/>
      <c r="G142" s="22"/>
    </row>
    <row r="143" spans="1:7" ht="17.100000000000001" customHeight="1" x14ac:dyDescent="0.2">
      <c r="A143" s="22"/>
      <c r="B143" s="274" t="s">
        <v>173</v>
      </c>
      <c r="C143" s="275"/>
      <c r="D143" s="27">
        <v>0.14623691261560082</v>
      </c>
      <c r="E143" s="22"/>
      <c r="F143" s="19"/>
      <c r="G143" s="25"/>
    </row>
    <row r="144" spans="1:7" ht="17.100000000000001" customHeight="1" x14ac:dyDescent="0.2">
      <c r="A144" s="22"/>
      <c r="B144" s="274" t="s">
        <v>174</v>
      </c>
      <c r="C144" s="275"/>
      <c r="D144" s="2" t="s">
        <v>160</v>
      </c>
      <c r="E144" s="22"/>
      <c r="F144" s="22"/>
      <c r="G144" s="22"/>
    </row>
    <row r="154" spans="10:14" x14ac:dyDescent="0.2">
      <c r="J154" s="162"/>
      <c r="K154" s="162"/>
      <c r="L154" s="162"/>
      <c r="M154" s="162"/>
      <c r="N154" s="162"/>
    </row>
  </sheetData>
  <mergeCells count="13">
    <mergeCell ref="J2:N2"/>
    <mergeCell ref="B128:C128"/>
    <mergeCell ref="B143:C143"/>
    <mergeCell ref="A1:H1"/>
    <mergeCell ref="A2:H2"/>
    <mergeCell ref="A3:H3"/>
    <mergeCell ref="B144:C144"/>
    <mergeCell ref="B129:C129"/>
    <mergeCell ref="B130:C130"/>
    <mergeCell ref="B131:C131"/>
    <mergeCell ref="B139:C139"/>
    <mergeCell ref="B141:C141"/>
    <mergeCell ref="B142:C142"/>
  </mergeCells>
  <hyperlinks>
    <hyperlink ref="I1" location="Index!B20" display="Index" xr:uid="{44067B1E-B0BB-45E4-9636-20F21110CA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503</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77</v>
      </c>
      <c r="C7" s="4" t="s">
        <v>78</v>
      </c>
      <c r="D7" s="4" t="s">
        <v>31</v>
      </c>
      <c r="E7" s="5">
        <v>7968</v>
      </c>
      <c r="F7" s="6">
        <v>128.69913600000001</v>
      </c>
      <c r="G7" s="7">
        <v>3.7369252999999998E-2</v>
      </c>
      <c r="H7" s="106"/>
    </row>
    <row r="8" spans="1:14" ht="17.100000000000001" customHeight="1" x14ac:dyDescent="0.2">
      <c r="A8" s="3">
        <v>2</v>
      </c>
      <c r="B8" s="4" t="s">
        <v>29</v>
      </c>
      <c r="C8" s="4" t="s">
        <v>30</v>
      </c>
      <c r="D8" s="4" t="s">
        <v>31</v>
      </c>
      <c r="E8" s="5">
        <v>5959</v>
      </c>
      <c r="F8" s="6">
        <v>124.0276465</v>
      </c>
      <c r="G8" s="7">
        <v>3.6012833000000001E-2</v>
      </c>
      <c r="H8" s="106"/>
    </row>
    <row r="9" spans="1:14" ht="17.100000000000001" customHeight="1" x14ac:dyDescent="0.2">
      <c r="A9" s="3">
        <v>3</v>
      </c>
      <c r="B9" s="4" t="s">
        <v>461</v>
      </c>
      <c r="C9" s="4" t="s">
        <v>462</v>
      </c>
      <c r="D9" s="4" t="s">
        <v>1114</v>
      </c>
      <c r="E9" s="5">
        <v>14987</v>
      </c>
      <c r="F9" s="6">
        <v>106.2952975</v>
      </c>
      <c r="G9" s="7">
        <v>3.0864045E-2</v>
      </c>
      <c r="H9" s="106"/>
    </row>
    <row r="10" spans="1:14" ht="17.100000000000001" customHeight="1" x14ac:dyDescent="0.2">
      <c r="A10" s="3">
        <v>4</v>
      </c>
      <c r="B10" s="4" t="s">
        <v>382</v>
      </c>
      <c r="C10" s="4" t="s">
        <v>383</v>
      </c>
      <c r="D10" s="4" t="s">
        <v>110</v>
      </c>
      <c r="E10" s="5">
        <v>5611</v>
      </c>
      <c r="F10" s="6">
        <v>104.2215195</v>
      </c>
      <c r="G10" s="7">
        <v>3.0261900000000001E-2</v>
      </c>
      <c r="H10" s="106"/>
    </row>
    <row r="11" spans="1:14" ht="17.100000000000001" customHeight="1" x14ac:dyDescent="0.2">
      <c r="A11" s="3">
        <v>5</v>
      </c>
      <c r="B11" s="4" t="s">
        <v>108</v>
      </c>
      <c r="C11" s="4" t="s">
        <v>109</v>
      </c>
      <c r="D11" s="4" t="s">
        <v>110</v>
      </c>
      <c r="E11" s="5">
        <v>27826</v>
      </c>
      <c r="F11" s="6">
        <v>103.54054600000001</v>
      </c>
      <c r="G11" s="7">
        <v>3.0064171000000001E-2</v>
      </c>
      <c r="H11" s="106"/>
    </row>
    <row r="12" spans="1:14" ht="17.100000000000001" customHeight="1" x14ac:dyDescent="0.2">
      <c r="A12" s="3">
        <v>6</v>
      </c>
      <c r="B12" s="4" t="s">
        <v>386</v>
      </c>
      <c r="C12" s="4" t="s">
        <v>387</v>
      </c>
      <c r="D12" s="4" t="s">
        <v>110</v>
      </c>
      <c r="E12" s="5">
        <v>16978</v>
      </c>
      <c r="F12" s="6">
        <v>101.545418</v>
      </c>
      <c r="G12" s="7">
        <v>2.9484863E-2</v>
      </c>
      <c r="H12" s="106"/>
    </row>
    <row r="13" spans="1:14" ht="17.100000000000001" customHeight="1" x14ac:dyDescent="0.2">
      <c r="A13" s="3">
        <v>7</v>
      </c>
      <c r="B13" s="4" t="s">
        <v>304</v>
      </c>
      <c r="C13" s="4" t="s">
        <v>305</v>
      </c>
      <c r="D13" s="4" t="s">
        <v>240</v>
      </c>
      <c r="E13" s="5">
        <v>19759</v>
      </c>
      <c r="F13" s="6">
        <v>101.3537905</v>
      </c>
      <c r="G13" s="7">
        <v>2.9429222000000001E-2</v>
      </c>
      <c r="H13" s="106"/>
    </row>
    <row r="14" spans="1:14" ht="17.100000000000001" customHeight="1" x14ac:dyDescent="0.2">
      <c r="A14" s="3">
        <v>8</v>
      </c>
      <c r="B14" s="4" t="s">
        <v>322</v>
      </c>
      <c r="C14" s="4" t="s">
        <v>323</v>
      </c>
      <c r="D14" s="4" t="s">
        <v>324</v>
      </c>
      <c r="E14" s="5">
        <v>6199</v>
      </c>
      <c r="F14" s="6">
        <v>99.348273500000005</v>
      </c>
      <c r="G14" s="7">
        <v>2.8846897E-2</v>
      </c>
      <c r="H14" s="106"/>
      <c r="J14" s="161" t="s">
        <v>1091</v>
      </c>
    </row>
    <row r="15" spans="1:14" ht="29.1" customHeight="1" x14ac:dyDescent="0.2">
      <c r="A15" s="3">
        <v>9</v>
      </c>
      <c r="B15" s="4" t="s">
        <v>196</v>
      </c>
      <c r="C15" s="4" t="s">
        <v>197</v>
      </c>
      <c r="D15" s="4" t="s">
        <v>188</v>
      </c>
      <c r="E15" s="5">
        <v>2136</v>
      </c>
      <c r="F15" s="6">
        <v>97.225380000000001</v>
      </c>
      <c r="G15" s="7">
        <v>2.8230491E-2</v>
      </c>
      <c r="H15" s="106"/>
    </row>
    <row r="16" spans="1:14" ht="17.100000000000001" customHeight="1" x14ac:dyDescent="0.2">
      <c r="A16" s="3">
        <v>10</v>
      </c>
      <c r="B16" s="4" t="s">
        <v>380</v>
      </c>
      <c r="C16" s="4" t="s">
        <v>381</v>
      </c>
      <c r="D16" s="4" t="s">
        <v>99</v>
      </c>
      <c r="E16" s="5">
        <v>94613</v>
      </c>
      <c r="F16" s="6">
        <v>95.464517000000001</v>
      </c>
      <c r="G16" s="7">
        <v>2.7719205E-2</v>
      </c>
      <c r="H16" s="106"/>
    </row>
    <row r="17" spans="1:8" ht="17.100000000000001" customHeight="1" x14ac:dyDescent="0.2">
      <c r="A17" s="3">
        <v>11</v>
      </c>
      <c r="B17" s="4" t="s">
        <v>416</v>
      </c>
      <c r="C17" s="4" t="s">
        <v>417</v>
      </c>
      <c r="D17" s="4" t="s">
        <v>212</v>
      </c>
      <c r="E17" s="5">
        <v>32339</v>
      </c>
      <c r="F17" s="6">
        <v>93.217167500000002</v>
      </c>
      <c r="G17" s="7">
        <v>2.7066660999999999E-2</v>
      </c>
      <c r="H17" s="106"/>
    </row>
    <row r="18" spans="1:8" ht="17.100000000000001" customHeight="1" x14ac:dyDescent="0.2">
      <c r="A18" s="3">
        <v>12</v>
      </c>
      <c r="B18" s="4" t="s">
        <v>418</v>
      </c>
      <c r="C18" s="4" t="s">
        <v>419</v>
      </c>
      <c r="D18" s="4" t="s">
        <v>13</v>
      </c>
      <c r="E18" s="5">
        <v>19575</v>
      </c>
      <c r="F18" s="6">
        <v>93.0497625</v>
      </c>
      <c r="G18" s="7">
        <v>2.7018053E-2</v>
      </c>
      <c r="H18" s="106"/>
    </row>
    <row r="19" spans="1:8" ht="17.100000000000001" customHeight="1" x14ac:dyDescent="0.2">
      <c r="A19" s="3">
        <v>13</v>
      </c>
      <c r="B19" s="4" t="s">
        <v>320</v>
      </c>
      <c r="C19" s="4" t="s">
        <v>321</v>
      </c>
      <c r="D19" s="4" t="s">
        <v>230</v>
      </c>
      <c r="E19" s="5">
        <v>6371</v>
      </c>
      <c r="F19" s="6">
        <v>92.197926499999994</v>
      </c>
      <c r="G19" s="7">
        <v>2.6770713000000002E-2</v>
      </c>
      <c r="H19" s="106"/>
    </row>
    <row r="20" spans="1:8" ht="17.100000000000001" customHeight="1" x14ac:dyDescent="0.2">
      <c r="A20" s="3">
        <v>14</v>
      </c>
      <c r="B20" s="4" t="s">
        <v>213</v>
      </c>
      <c r="C20" s="4" t="s">
        <v>214</v>
      </c>
      <c r="D20" s="4" t="s">
        <v>1114</v>
      </c>
      <c r="E20" s="5">
        <v>2353</v>
      </c>
      <c r="F20" s="6">
        <v>86.897466499999993</v>
      </c>
      <c r="G20" s="7">
        <v>2.5231664000000001E-2</v>
      </c>
      <c r="H20" s="106"/>
    </row>
    <row r="21" spans="1:8" ht="17.100000000000001" customHeight="1" x14ac:dyDescent="0.2">
      <c r="A21" s="3">
        <v>15</v>
      </c>
      <c r="B21" s="4" t="s">
        <v>94</v>
      </c>
      <c r="C21" s="4" t="s">
        <v>95</v>
      </c>
      <c r="D21" s="4" t="s">
        <v>96</v>
      </c>
      <c r="E21" s="5">
        <v>17357</v>
      </c>
      <c r="F21" s="6">
        <v>86.706893500000007</v>
      </c>
      <c r="G21" s="7">
        <v>2.5176329000000001E-2</v>
      </c>
      <c r="H21" s="106"/>
    </row>
    <row r="22" spans="1:8" ht="29.1" customHeight="1" x14ac:dyDescent="0.2">
      <c r="A22" s="3">
        <v>16</v>
      </c>
      <c r="B22" s="4" t="s">
        <v>189</v>
      </c>
      <c r="C22" s="4" t="s">
        <v>190</v>
      </c>
      <c r="D22" s="4" t="s">
        <v>110</v>
      </c>
      <c r="E22" s="5">
        <v>23570</v>
      </c>
      <c r="F22" s="6">
        <v>85.394109999999998</v>
      </c>
      <c r="G22" s="7">
        <v>2.4795147999999999E-2</v>
      </c>
      <c r="H22" s="106"/>
    </row>
    <row r="23" spans="1:8" ht="17.100000000000001" customHeight="1" x14ac:dyDescent="0.2">
      <c r="A23" s="3">
        <v>17</v>
      </c>
      <c r="B23" s="4" t="s">
        <v>439</v>
      </c>
      <c r="C23" s="4" t="s">
        <v>440</v>
      </c>
      <c r="D23" s="4" t="s">
        <v>31</v>
      </c>
      <c r="E23" s="5">
        <v>9335</v>
      </c>
      <c r="F23" s="6">
        <v>78.955430000000007</v>
      </c>
      <c r="G23" s="7">
        <v>2.2925603999999999E-2</v>
      </c>
      <c r="H23" s="106"/>
    </row>
    <row r="24" spans="1:8" ht="29.1" customHeight="1" x14ac:dyDescent="0.2">
      <c r="A24" s="3">
        <v>18</v>
      </c>
      <c r="B24" s="4" t="s">
        <v>445</v>
      </c>
      <c r="C24" s="4" t="s">
        <v>446</v>
      </c>
      <c r="D24" s="4" t="s">
        <v>51</v>
      </c>
      <c r="E24" s="5">
        <v>2903</v>
      </c>
      <c r="F24" s="6">
        <v>71.901504000000003</v>
      </c>
      <c r="G24" s="7">
        <v>2.0877416999999999E-2</v>
      </c>
      <c r="H24" s="106"/>
    </row>
    <row r="25" spans="1:8" ht="17.100000000000001" customHeight="1" x14ac:dyDescent="0.2">
      <c r="A25" s="3">
        <v>19</v>
      </c>
      <c r="B25" s="4" t="s">
        <v>398</v>
      </c>
      <c r="C25" s="4" t="s">
        <v>399</v>
      </c>
      <c r="D25" s="4" t="s">
        <v>110</v>
      </c>
      <c r="E25" s="5">
        <v>11129</v>
      </c>
      <c r="F25" s="6">
        <v>71.203342000000006</v>
      </c>
      <c r="G25" s="7">
        <v>2.0674696999999999E-2</v>
      </c>
      <c r="H25" s="106"/>
    </row>
    <row r="26" spans="1:8" ht="17.100000000000001" customHeight="1" x14ac:dyDescent="0.2">
      <c r="A26" s="3">
        <v>20</v>
      </c>
      <c r="B26" s="4" t="s">
        <v>392</v>
      </c>
      <c r="C26" s="4" t="s">
        <v>393</v>
      </c>
      <c r="D26" s="4" t="s">
        <v>230</v>
      </c>
      <c r="E26" s="5">
        <v>9506</v>
      </c>
      <c r="F26" s="6">
        <v>71.085868000000005</v>
      </c>
      <c r="G26" s="7">
        <v>2.0640588000000001E-2</v>
      </c>
      <c r="H26" s="106"/>
    </row>
    <row r="27" spans="1:8" ht="29.1" customHeight="1" x14ac:dyDescent="0.2">
      <c r="A27" s="3">
        <v>21</v>
      </c>
      <c r="B27" s="4" t="s">
        <v>202</v>
      </c>
      <c r="C27" s="4" t="s">
        <v>203</v>
      </c>
      <c r="D27" s="4" t="s">
        <v>204</v>
      </c>
      <c r="E27" s="5">
        <v>14944</v>
      </c>
      <c r="F27" s="6">
        <v>67.927952000000005</v>
      </c>
      <c r="G27" s="7">
        <v>1.9723650999999998E-2</v>
      </c>
      <c r="H27" s="106"/>
    </row>
    <row r="28" spans="1:8" ht="17.100000000000001" customHeight="1" x14ac:dyDescent="0.2">
      <c r="A28" s="3">
        <v>22</v>
      </c>
      <c r="B28" s="4" t="s">
        <v>441</v>
      </c>
      <c r="C28" s="4" t="s">
        <v>442</v>
      </c>
      <c r="D28" s="4" t="s">
        <v>324</v>
      </c>
      <c r="E28" s="5">
        <v>4288</v>
      </c>
      <c r="F28" s="6">
        <v>65.878687999999997</v>
      </c>
      <c r="G28" s="7">
        <v>1.9128624E-2</v>
      </c>
      <c r="H28" s="106"/>
    </row>
    <row r="29" spans="1:8" ht="29.1" customHeight="1" x14ac:dyDescent="0.2">
      <c r="A29" s="3">
        <v>23</v>
      </c>
      <c r="B29" s="4" t="s">
        <v>410</v>
      </c>
      <c r="C29" s="4" t="s">
        <v>411</v>
      </c>
      <c r="D29" s="4" t="s">
        <v>204</v>
      </c>
      <c r="E29" s="5">
        <v>17769</v>
      </c>
      <c r="F29" s="6">
        <v>62.902259999999998</v>
      </c>
      <c r="G29" s="7">
        <v>1.8264384000000002E-2</v>
      </c>
      <c r="H29" s="106"/>
    </row>
    <row r="30" spans="1:8" ht="17.100000000000001" customHeight="1" x14ac:dyDescent="0.2">
      <c r="A30" s="3">
        <v>24</v>
      </c>
      <c r="B30" s="4" t="s">
        <v>480</v>
      </c>
      <c r="C30" s="4" t="s">
        <v>481</v>
      </c>
      <c r="D30" s="4" t="s">
        <v>230</v>
      </c>
      <c r="E30" s="5">
        <v>32152</v>
      </c>
      <c r="F30" s="6">
        <v>62.085512000000001</v>
      </c>
      <c r="G30" s="7">
        <v>1.8027232000000001E-2</v>
      </c>
      <c r="H30" s="106"/>
    </row>
    <row r="31" spans="1:8" ht="29.1" customHeight="1" x14ac:dyDescent="0.2">
      <c r="A31" s="3">
        <v>25</v>
      </c>
      <c r="B31" s="4" t="s">
        <v>63</v>
      </c>
      <c r="C31" s="4" t="s">
        <v>64</v>
      </c>
      <c r="D31" s="4" t="s">
        <v>25</v>
      </c>
      <c r="E31" s="5">
        <v>2267</v>
      </c>
      <c r="F31" s="6">
        <v>61.495775500000001</v>
      </c>
      <c r="G31" s="7">
        <v>1.7855995E-2</v>
      </c>
      <c r="H31" s="106"/>
    </row>
    <row r="32" spans="1:8" ht="17.100000000000001" customHeight="1" x14ac:dyDescent="0.2">
      <c r="A32" s="3">
        <v>26</v>
      </c>
      <c r="B32" s="4" t="s">
        <v>388</v>
      </c>
      <c r="C32" s="4" t="s">
        <v>389</v>
      </c>
      <c r="D32" s="4" t="s">
        <v>99</v>
      </c>
      <c r="E32" s="5">
        <v>11039</v>
      </c>
      <c r="F32" s="6">
        <v>57.882996499999997</v>
      </c>
      <c r="G32" s="7">
        <v>1.6806984000000001E-2</v>
      </c>
      <c r="H32" s="106"/>
    </row>
    <row r="33" spans="1:8" ht="17.100000000000001" customHeight="1" x14ac:dyDescent="0.2">
      <c r="A33" s="3">
        <v>27</v>
      </c>
      <c r="B33" s="4" t="s">
        <v>447</v>
      </c>
      <c r="C33" s="4" t="s">
        <v>448</v>
      </c>
      <c r="D33" s="4" t="s">
        <v>268</v>
      </c>
      <c r="E33" s="5">
        <v>18670</v>
      </c>
      <c r="F33" s="6">
        <v>56.262045000000001</v>
      </c>
      <c r="G33" s="7">
        <v>1.6336323E-2</v>
      </c>
      <c r="H33" s="106"/>
    </row>
    <row r="34" spans="1:8" ht="29.1" customHeight="1" x14ac:dyDescent="0.2">
      <c r="A34" s="3">
        <v>28</v>
      </c>
      <c r="B34" s="4" t="s">
        <v>451</v>
      </c>
      <c r="C34" s="4" t="s">
        <v>452</v>
      </c>
      <c r="D34" s="4" t="s">
        <v>453</v>
      </c>
      <c r="E34" s="5">
        <v>39723</v>
      </c>
      <c r="F34" s="6">
        <v>55.453308</v>
      </c>
      <c r="G34" s="7">
        <v>1.6101496999999999E-2</v>
      </c>
      <c r="H34" s="106"/>
    </row>
    <row r="35" spans="1:8" ht="53.1" customHeight="1" x14ac:dyDescent="0.2">
      <c r="A35" s="3">
        <v>29</v>
      </c>
      <c r="B35" s="4" t="s">
        <v>333</v>
      </c>
      <c r="C35" s="4" t="s">
        <v>334</v>
      </c>
      <c r="D35" s="4" t="s">
        <v>48</v>
      </c>
      <c r="E35" s="5">
        <v>17050</v>
      </c>
      <c r="F35" s="6">
        <v>52.607774999999997</v>
      </c>
      <c r="G35" s="7">
        <v>1.5275264E-2</v>
      </c>
      <c r="H35" s="106"/>
    </row>
    <row r="36" spans="1:8" ht="29.1" customHeight="1" x14ac:dyDescent="0.2">
      <c r="A36" s="3">
        <v>30</v>
      </c>
      <c r="B36" s="4" t="s">
        <v>390</v>
      </c>
      <c r="C36" s="4" t="s">
        <v>391</v>
      </c>
      <c r="D36" s="4" t="s">
        <v>67</v>
      </c>
      <c r="E36" s="5">
        <v>3200</v>
      </c>
      <c r="F36" s="6">
        <v>51.3536</v>
      </c>
      <c r="G36" s="7">
        <v>1.49111E-2</v>
      </c>
      <c r="H36" s="106"/>
    </row>
    <row r="37" spans="1:8" ht="17.100000000000001" customHeight="1" x14ac:dyDescent="0.2">
      <c r="A37" s="3">
        <v>31</v>
      </c>
      <c r="B37" s="4" t="s">
        <v>449</v>
      </c>
      <c r="C37" s="4" t="s">
        <v>450</v>
      </c>
      <c r="D37" s="4" t="s">
        <v>99</v>
      </c>
      <c r="E37" s="5">
        <v>62770</v>
      </c>
      <c r="F37" s="6">
        <v>48.615364999999997</v>
      </c>
      <c r="G37" s="7">
        <v>1.4116022000000001E-2</v>
      </c>
      <c r="H37" s="106"/>
    </row>
    <row r="38" spans="1:8" ht="17.100000000000001" customHeight="1" x14ac:dyDescent="0.2">
      <c r="A38" s="3">
        <v>32</v>
      </c>
      <c r="B38" s="4" t="s">
        <v>394</v>
      </c>
      <c r="C38" s="4" t="s">
        <v>395</v>
      </c>
      <c r="D38" s="4" t="s">
        <v>99</v>
      </c>
      <c r="E38" s="5">
        <v>6413</v>
      </c>
      <c r="F38" s="6">
        <v>46.574412500000001</v>
      </c>
      <c r="G38" s="7">
        <v>1.3523409E-2</v>
      </c>
      <c r="H38" s="106"/>
    </row>
    <row r="39" spans="1:8" ht="29.1" customHeight="1" x14ac:dyDescent="0.2">
      <c r="A39" s="3">
        <v>33</v>
      </c>
      <c r="B39" s="4" t="s">
        <v>420</v>
      </c>
      <c r="C39" s="4" t="s">
        <v>421</v>
      </c>
      <c r="D39" s="4" t="s">
        <v>366</v>
      </c>
      <c r="E39" s="5">
        <v>9296</v>
      </c>
      <c r="F39" s="6">
        <v>46.559016</v>
      </c>
      <c r="G39" s="7">
        <v>1.3518937999999999E-2</v>
      </c>
      <c r="H39" s="106"/>
    </row>
    <row r="40" spans="1:8" ht="17.100000000000001" customHeight="1" x14ac:dyDescent="0.2">
      <c r="A40" s="3">
        <v>34</v>
      </c>
      <c r="B40" s="4" t="s">
        <v>396</v>
      </c>
      <c r="C40" s="4" t="s">
        <v>397</v>
      </c>
      <c r="D40" s="4" t="s">
        <v>288</v>
      </c>
      <c r="E40" s="5">
        <v>6153</v>
      </c>
      <c r="F40" s="6">
        <v>46.104429000000003</v>
      </c>
      <c r="G40" s="7">
        <v>1.3386944E-2</v>
      </c>
      <c r="H40" s="106"/>
    </row>
    <row r="41" spans="1:8" ht="29.1" customHeight="1" x14ac:dyDescent="0.2">
      <c r="A41" s="3">
        <v>35</v>
      </c>
      <c r="B41" s="4" t="s">
        <v>317</v>
      </c>
      <c r="C41" s="4" t="s">
        <v>318</v>
      </c>
      <c r="D41" s="4" t="s">
        <v>319</v>
      </c>
      <c r="E41" s="5">
        <v>8218</v>
      </c>
      <c r="F41" s="6">
        <v>45.429104000000002</v>
      </c>
      <c r="G41" s="7">
        <v>1.3190855E-2</v>
      </c>
      <c r="H41" s="106"/>
    </row>
    <row r="42" spans="1:8" ht="17.100000000000001" customHeight="1" x14ac:dyDescent="0.2">
      <c r="A42" s="3">
        <v>36</v>
      </c>
      <c r="B42" s="4" t="s">
        <v>384</v>
      </c>
      <c r="C42" s="4" t="s">
        <v>385</v>
      </c>
      <c r="D42" s="4" t="s">
        <v>288</v>
      </c>
      <c r="E42" s="5">
        <v>3655</v>
      </c>
      <c r="F42" s="6">
        <v>42.196975000000002</v>
      </c>
      <c r="G42" s="7">
        <v>1.225237E-2</v>
      </c>
      <c r="H42" s="106"/>
    </row>
    <row r="43" spans="1:8" ht="29.1" customHeight="1" x14ac:dyDescent="0.2">
      <c r="A43" s="3">
        <v>37</v>
      </c>
      <c r="B43" s="4" t="s">
        <v>402</v>
      </c>
      <c r="C43" s="4" t="s">
        <v>403</v>
      </c>
      <c r="D43" s="4" t="s">
        <v>319</v>
      </c>
      <c r="E43" s="5">
        <v>9760</v>
      </c>
      <c r="F43" s="6">
        <v>40.850479999999997</v>
      </c>
      <c r="G43" s="7">
        <v>1.1861399999999999E-2</v>
      </c>
      <c r="H43" s="106"/>
    </row>
    <row r="44" spans="1:8" ht="29.1" customHeight="1" x14ac:dyDescent="0.2">
      <c r="A44" s="3">
        <v>38</v>
      </c>
      <c r="B44" s="4" t="s">
        <v>291</v>
      </c>
      <c r="C44" s="4" t="s">
        <v>292</v>
      </c>
      <c r="D44" s="4" t="s">
        <v>188</v>
      </c>
      <c r="E44" s="5">
        <v>5263</v>
      </c>
      <c r="F44" s="6">
        <v>39.996168500000003</v>
      </c>
      <c r="G44" s="7">
        <v>1.1613340999999999E-2</v>
      </c>
      <c r="H44" s="106"/>
    </row>
    <row r="45" spans="1:8" ht="17.100000000000001" customHeight="1" x14ac:dyDescent="0.2">
      <c r="A45" s="3">
        <v>39</v>
      </c>
      <c r="B45" s="4" t="s">
        <v>432</v>
      </c>
      <c r="C45" s="4" t="s">
        <v>433</v>
      </c>
      <c r="D45" s="4" t="s">
        <v>89</v>
      </c>
      <c r="E45" s="5">
        <v>5781</v>
      </c>
      <c r="F45" s="6">
        <v>39.062216999999997</v>
      </c>
      <c r="G45" s="7">
        <v>1.1342157E-2</v>
      </c>
      <c r="H45" s="106"/>
    </row>
    <row r="46" spans="1:8" ht="17.100000000000001" customHeight="1" x14ac:dyDescent="0.2">
      <c r="A46" s="3">
        <v>40</v>
      </c>
      <c r="B46" s="4" t="s">
        <v>454</v>
      </c>
      <c r="C46" s="4" t="s">
        <v>455</v>
      </c>
      <c r="D46" s="4" t="s">
        <v>110</v>
      </c>
      <c r="E46" s="5">
        <v>12795</v>
      </c>
      <c r="F46" s="6">
        <v>36.286619999999999</v>
      </c>
      <c r="G46" s="7">
        <v>1.0536231E-2</v>
      </c>
      <c r="H46" s="106"/>
    </row>
    <row r="47" spans="1:8" ht="29.1" customHeight="1" x14ac:dyDescent="0.2">
      <c r="A47" s="3">
        <v>41</v>
      </c>
      <c r="B47" s="4" t="s">
        <v>463</v>
      </c>
      <c r="C47" s="4" t="s">
        <v>464</v>
      </c>
      <c r="D47" s="4" t="s">
        <v>366</v>
      </c>
      <c r="E47" s="5">
        <v>5842</v>
      </c>
      <c r="F47" s="6">
        <v>36.185347999999998</v>
      </c>
      <c r="G47" s="7">
        <v>1.0506826E-2</v>
      </c>
      <c r="H47" s="106"/>
    </row>
    <row r="48" spans="1:8" ht="17.100000000000001" customHeight="1" x14ac:dyDescent="0.2">
      <c r="A48" s="3">
        <v>42</v>
      </c>
      <c r="B48" s="4" t="s">
        <v>404</v>
      </c>
      <c r="C48" s="4" t="s">
        <v>405</v>
      </c>
      <c r="D48" s="4" t="s">
        <v>13</v>
      </c>
      <c r="E48" s="5">
        <v>48779</v>
      </c>
      <c r="F48" s="6">
        <v>36.09646</v>
      </c>
      <c r="G48" s="7">
        <v>1.0481015999999999E-2</v>
      </c>
      <c r="H48" s="106"/>
    </row>
    <row r="49" spans="1:8" ht="29.1" customHeight="1" x14ac:dyDescent="0.2">
      <c r="A49" s="3">
        <v>43</v>
      </c>
      <c r="B49" s="4" t="s">
        <v>473</v>
      </c>
      <c r="C49" s="4" t="s">
        <v>474</v>
      </c>
      <c r="D49" s="4" t="s">
        <v>475</v>
      </c>
      <c r="E49" s="5">
        <v>7328</v>
      </c>
      <c r="F49" s="6">
        <v>36.094064000000003</v>
      </c>
      <c r="G49" s="7">
        <v>1.0480321000000001E-2</v>
      </c>
      <c r="H49" s="106"/>
    </row>
    <row r="50" spans="1:8" ht="29.1" customHeight="1" x14ac:dyDescent="0.2">
      <c r="A50" s="3">
        <v>44</v>
      </c>
      <c r="B50" s="4" t="s">
        <v>497</v>
      </c>
      <c r="C50" s="4" t="s">
        <v>498</v>
      </c>
      <c r="D50" s="4" t="s">
        <v>67</v>
      </c>
      <c r="E50" s="5">
        <v>11833</v>
      </c>
      <c r="F50" s="6">
        <v>36.0610675</v>
      </c>
      <c r="G50" s="7">
        <v>1.0470739999999999E-2</v>
      </c>
      <c r="H50" s="106"/>
    </row>
    <row r="51" spans="1:8" ht="29.1" customHeight="1" x14ac:dyDescent="0.2">
      <c r="A51" s="3">
        <v>45</v>
      </c>
      <c r="B51" s="4" t="s">
        <v>443</v>
      </c>
      <c r="C51" s="4" t="s">
        <v>444</v>
      </c>
      <c r="D51" s="4" t="s">
        <v>204</v>
      </c>
      <c r="E51" s="5">
        <v>1825</v>
      </c>
      <c r="F51" s="6">
        <v>36.016374999999996</v>
      </c>
      <c r="G51" s="7">
        <v>1.0457763E-2</v>
      </c>
      <c r="H51" s="106"/>
    </row>
    <row r="52" spans="1:8" ht="29.1" customHeight="1" x14ac:dyDescent="0.2">
      <c r="A52" s="3">
        <v>46</v>
      </c>
      <c r="B52" s="4" t="s">
        <v>424</v>
      </c>
      <c r="C52" s="4" t="s">
        <v>425</v>
      </c>
      <c r="D52" s="4" t="s">
        <v>110</v>
      </c>
      <c r="E52" s="5">
        <v>2285</v>
      </c>
      <c r="F52" s="6">
        <v>27.0966725</v>
      </c>
      <c r="G52" s="7">
        <v>7.8678259999999996E-3</v>
      </c>
      <c r="H52" s="106"/>
    </row>
    <row r="53" spans="1:8" ht="17.100000000000001" customHeight="1" x14ac:dyDescent="0.2">
      <c r="A53" s="3">
        <v>47</v>
      </c>
      <c r="B53" s="4" t="s">
        <v>499</v>
      </c>
      <c r="C53" s="4" t="s">
        <v>500</v>
      </c>
      <c r="D53" s="4" t="s">
        <v>237</v>
      </c>
      <c r="E53" s="5">
        <v>9356</v>
      </c>
      <c r="F53" s="6">
        <v>24.395769999999999</v>
      </c>
      <c r="G53" s="7">
        <v>7.083588E-3</v>
      </c>
      <c r="H53" s="106"/>
    </row>
    <row r="54" spans="1:8" ht="29.1" customHeight="1" x14ac:dyDescent="0.2">
      <c r="A54" s="3">
        <v>48</v>
      </c>
      <c r="B54" s="4" t="s">
        <v>428</v>
      </c>
      <c r="C54" s="4" t="s">
        <v>429</v>
      </c>
      <c r="D54" s="4" t="s">
        <v>204</v>
      </c>
      <c r="E54" s="5">
        <v>546</v>
      </c>
      <c r="F54" s="6">
        <v>22.019361</v>
      </c>
      <c r="G54" s="7">
        <v>6.3935709999999998E-3</v>
      </c>
      <c r="H54" s="106"/>
    </row>
    <row r="55" spans="1:8" ht="17.100000000000001" customHeight="1" x14ac:dyDescent="0.2">
      <c r="A55" s="3">
        <v>49</v>
      </c>
      <c r="B55" s="4" t="s">
        <v>436</v>
      </c>
      <c r="C55" s="4" t="s">
        <v>437</v>
      </c>
      <c r="D55" s="4" t="s">
        <v>16</v>
      </c>
      <c r="E55" s="5">
        <v>9321</v>
      </c>
      <c r="F55" s="6">
        <v>21.181972500000001</v>
      </c>
      <c r="G55" s="7">
        <v>6.1504259999999996E-3</v>
      </c>
      <c r="H55" s="106"/>
    </row>
    <row r="56" spans="1:8" ht="17.100000000000001" customHeight="1" x14ac:dyDescent="0.2">
      <c r="A56" s="3">
        <v>50</v>
      </c>
      <c r="B56" s="4" t="s">
        <v>123</v>
      </c>
      <c r="C56" s="4" t="s">
        <v>124</v>
      </c>
      <c r="D56" s="4" t="s">
        <v>110</v>
      </c>
      <c r="E56" s="5">
        <v>975</v>
      </c>
      <c r="F56" s="6">
        <v>20.134237500000001</v>
      </c>
      <c r="G56" s="7">
        <v>5.8462039999999998E-3</v>
      </c>
      <c r="H56" s="106"/>
    </row>
    <row r="57" spans="1:8" ht="17.100000000000001" customHeight="1" x14ac:dyDescent="0.2">
      <c r="A57" s="3">
        <v>51</v>
      </c>
      <c r="B57" s="4" t="s">
        <v>426</v>
      </c>
      <c r="C57" s="4" t="s">
        <v>427</v>
      </c>
      <c r="D57" s="4" t="s">
        <v>31</v>
      </c>
      <c r="E57" s="5">
        <v>2302</v>
      </c>
      <c r="F57" s="6">
        <v>18.266369999999998</v>
      </c>
      <c r="G57" s="7">
        <v>5.3038479999999999E-3</v>
      </c>
      <c r="H57" s="106"/>
    </row>
    <row r="58" spans="1:8" ht="17.100000000000001" customHeight="1" x14ac:dyDescent="0.2">
      <c r="A58" s="3">
        <v>52</v>
      </c>
      <c r="B58" s="4" t="s">
        <v>337</v>
      </c>
      <c r="C58" s="4" t="s">
        <v>338</v>
      </c>
      <c r="D58" s="4" t="s">
        <v>96</v>
      </c>
      <c r="E58" s="5">
        <v>22625</v>
      </c>
      <c r="F58" s="6">
        <v>16.855625</v>
      </c>
      <c r="G58" s="7">
        <v>4.8942220000000002E-3</v>
      </c>
      <c r="H58" s="106"/>
    </row>
    <row r="59" spans="1:8" ht="29.1" customHeight="1" x14ac:dyDescent="0.2">
      <c r="A59" s="3">
        <v>53</v>
      </c>
      <c r="B59" s="4" t="s">
        <v>456</v>
      </c>
      <c r="C59" s="4" t="s">
        <v>457</v>
      </c>
      <c r="D59" s="4" t="s">
        <v>188</v>
      </c>
      <c r="E59" s="5">
        <v>1792</v>
      </c>
      <c r="F59" s="6">
        <v>11.994752</v>
      </c>
      <c r="G59" s="7">
        <v>3.4828120000000001E-3</v>
      </c>
      <c r="H59" s="106"/>
    </row>
    <row r="60" spans="1:8" ht="29.1" customHeight="1" x14ac:dyDescent="0.2">
      <c r="A60" s="3">
        <v>54</v>
      </c>
      <c r="B60" s="4" t="s">
        <v>430</v>
      </c>
      <c r="C60" s="4" t="s">
        <v>431</v>
      </c>
      <c r="D60" s="4" t="s">
        <v>204</v>
      </c>
      <c r="E60" s="5">
        <v>1809</v>
      </c>
      <c r="F60" s="6">
        <v>4.0910535000000001</v>
      </c>
      <c r="G60" s="7">
        <v>1.1878839999999999E-3</v>
      </c>
      <c r="H60" s="106"/>
    </row>
    <row r="61" spans="1:8" ht="14.1" customHeight="1" x14ac:dyDescent="0.2">
      <c r="A61" s="1"/>
      <c r="B61" s="1"/>
      <c r="C61" s="2" t="s">
        <v>130</v>
      </c>
      <c r="D61" s="1"/>
      <c r="E61" s="1" t="s">
        <v>131</v>
      </c>
      <c r="F61" s="9">
        <v>3264.3448225000002</v>
      </c>
      <c r="G61" s="10">
        <v>0.94783952199999999</v>
      </c>
      <c r="H61" s="106"/>
    </row>
    <row r="62" spans="1:8" ht="14.1" customHeight="1" x14ac:dyDescent="0.2">
      <c r="A62" s="1"/>
      <c r="B62" s="1"/>
      <c r="C62" s="11"/>
      <c r="D62" s="1"/>
      <c r="E62" s="1"/>
      <c r="F62" s="12"/>
      <c r="G62" s="12"/>
      <c r="H62" s="106"/>
    </row>
    <row r="63" spans="1:8" ht="14.1" customHeight="1" x14ac:dyDescent="0.2">
      <c r="A63" s="1"/>
      <c r="B63" s="1"/>
      <c r="C63" s="2" t="s">
        <v>132</v>
      </c>
      <c r="D63" s="1"/>
      <c r="E63" s="1"/>
      <c r="F63" s="1"/>
      <c r="G63" s="1"/>
      <c r="H63" s="106"/>
    </row>
    <row r="64" spans="1:8" ht="14.1" customHeight="1" x14ac:dyDescent="0.2">
      <c r="A64" s="1"/>
      <c r="B64" s="1"/>
      <c r="C64" s="2" t="s">
        <v>130</v>
      </c>
      <c r="D64" s="1"/>
      <c r="E64" s="1" t="s">
        <v>131</v>
      </c>
      <c r="F64" s="13">
        <v>0</v>
      </c>
      <c r="G64" s="14">
        <v>0</v>
      </c>
      <c r="H64" s="106"/>
    </row>
    <row r="65" spans="1:8" ht="14.1" customHeight="1" x14ac:dyDescent="0.2">
      <c r="A65" s="1"/>
      <c r="B65" s="1"/>
      <c r="C65" s="11"/>
      <c r="D65" s="1"/>
      <c r="E65" s="1"/>
      <c r="F65" s="12"/>
      <c r="G65" s="12"/>
      <c r="H65" s="106"/>
    </row>
    <row r="66" spans="1:8" ht="14.1" customHeight="1" x14ac:dyDescent="0.2">
      <c r="A66" s="1"/>
      <c r="B66" s="1"/>
      <c r="C66" s="2" t="s">
        <v>133</v>
      </c>
      <c r="D66" s="1"/>
      <c r="E66" s="1"/>
      <c r="F66" s="1"/>
      <c r="G66" s="1"/>
      <c r="H66" s="106"/>
    </row>
    <row r="67" spans="1:8" ht="14.1" customHeight="1" x14ac:dyDescent="0.2">
      <c r="A67" s="1"/>
      <c r="B67" s="1"/>
      <c r="C67" s="2" t="s">
        <v>130</v>
      </c>
      <c r="D67" s="1"/>
      <c r="E67" s="1" t="s">
        <v>131</v>
      </c>
      <c r="F67" s="13">
        <v>0</v>
      </c>
      <c r="G67" s="14">
        <v>0</v>
      </c>
      <c r="H67" s="106"/>
    </row>
    <row r="68" spans="1:8" ht="14.1" customHeight="1" x14ac:dyDescent="0.2">
      <c r="A68" s="1"/>
      <c r="B68" s="1"/>
      <c r="C68" s="11"/>
      <c r="D68" s="1"/>
      <c r="E68" s="1"/>
      <c r="F68" s="12"/>
      <c r="G68" s="12"/>
      <c r="H68" s="106"/>
    </row>
    <row r="69" spans="1:8" ht="14.1" customHeight="1" x14ac:dyDescent="0.2">
      <c r="A69" s="1"/>
      <c r="B69" s="1"/>
      <c r="C69" s="2" t="s">
        <v>134</v>
      </c>
      <c r="D69" s="1"/>
      <c r="E69" s="1"/>
      <c r="F69" s="1"/>
      <c r="G69" s="1"/>
      <c r="H69" s="106"/>
    </row>
    <row r="70" spans="1:8" ht="14.1" customHeight="1" x14ac:dyDescent="0.2">
      <c r="A70" s="1"/>
      <c r="B70" s="1"/>
      <c r="C70" s="2" t="s">
        <v>130</v>
      </c>
      <c r="D70" s="1"/>
      <c r="E70" s="1" t="s">
        <v>131</v>
      </c>
      <c r="F70" s="13">
        <v>0</v>
      </c>
      <c r="G70" s="14">
        <v>0</v>
      </c>
      <c r="H70" s="106"/>
    </row>
    <row r="71" spans="1:8" ht="14.1" customHeight="1" x14ac:dyDescent="0.2">
      <c r="A71" s="1"/>
      <c r="B71" s="1"/>
      <c r="C71" s="11"/>
      <c r="D71" s="1"/>
      <c r="E71" s="1"/>
      <c r="F71" s="12"/>
      <c r="G71" s="12"/>
      <c r="H71" s="106"/>
    </row>
    <row r="72" spans="1:8" ht="14.1" customHeight="1" x14ac:dyDescent="0.2">
      <c r="A72" s="1"/>
      <c r="B72" s="1"/>
      <c r="C72" s="2" t="s">
        <v>135</v>
      </c>
      <c r="D72" s="1"/>
      <c r="E72" s="1"/>
      <c r="F72" s="12"/>
      <c r="G72" s="12"/>
      <c r="H72" s="106"/>
    </row>
    <row r="73" spans="1:8" ht="14.1" customHeight="1" x14ac:dyDescent="0.2">
      <c r="A73" s="1"/>
      <c r="B73" s="1"/>
      <c r="C73" s="2" t="s">
        <v>130</v>
      </c>
      <c r="D73" s="1"/>
      <c r="E73" s="1" t="s">
        <v>131</v>
      </c>
      <c r="F73" s="13">
        <v>0</v>
      </c>
      <c r="G73" s="14">
        <v>0</v>
      </c>
      <c r="H73" s="106"/>
    </row>
    <row r="74" spans="1:8" ht="14.1" customHeight="1" x14ac:dyDescent="0.2">
      <c r="A74" s="1"/>
      <c r="B74" s="1"/>
      <c r="C74" s="11"/>
      <c r="D74" s="1"/>
      <c r="E74" s="1"/>
      <c r="F74" s="12"/>
      <c r="G74" s="12"/>
      <c r="H74" s="106"/>
    </row>
    <row r="75" spans="1:8" ht="14.1" customHeight="1" x14ac:dyDescent="0.2">
      <c r="A75" s="1"/>
      <c r="B75" s="1"/>
      <c r="C75" s="2" t="s">
        <v>136</v>
      </c>
      <c r="D75" s="1"/>
      <c r="E75" s="1"/>
      <c r="F75" s="12"/>
      <c r="G75" s="12"/>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8" customHeight="1" x14ac:dyDescent="0.2">
      <c r="A78" s="1"/>
      <c r="B78" s="1"/>
      <c r="C78" s="2" t="s">
        <v>137</v>
      </c>
      <c r="D78" s="1"/>
      <c r="E78" s="1"/>
      <c r="F78" s="9">
        <v>3264.3448225000002</v>
      </c>
      <c r="G78" s="10">
        <v>0.94783952199999999</v>
      </c>
      <c r="H78" s="106"/>
    </row>
    <row r="79" spans="1:8" ht="14.1" customHeight="1" x14ac:dyDescent="0.2">
      <c r="A79" s="1"/>
      <c r="B79" s="1"/>
      <c r="C79" s="11"/>
      <c r="D79" s="1"/>
      <c r="E79" s="1"/>
      <c r="F79" s="12"/>
      <c r="G79" s="12"/>
      <c r="H79" s="106"/>
    </row>
    <row r="80" spans="1:8" ht="14.1" customHeight="1" x14ac:dyDescent="0.2">
      <c r="A80" s="1"/>
      <c r="B80" s="1"/>
      <c r="C80" s="2" t="s">
        <v>138</v>
      </c>
      <c r="D80" s="1"/>
      <c r="E80" s="1"/>
      <c r="F80" s="12"/>
      <c r="G80" s="12"/>
      <c r="H80" s="106"/>
    </row>
    <row r="81" spans="1:8" ht="24" customHeight="1" x14ac:dyDescent="0.2">
      <c r="A81" s="1"/>
      <c r="B81" s="1"/>
      <c r="C81" s="2" t="s">
        <v>10</v>
      </c>
      <c r="D81" s="1"/>
      <c r="E81" s="1"/>
      <c r="F81" s="12"/>
      <c r="G81" s="12"/>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139</v>
      </c>
      <c r="D84" s="1"/>
      <c r="E84" s="1"/>
      <c r="F84" s="1"/>
      <c r="G84" s="1"/>
      <c r="H84" s="106"/>
    </row>
    <row r="85" spans="1:8" ht="14.1" customHeight="1" x14ac:dyDescent="0.2">
      <c r="A85" s="1"/>
      <c r="B85" s="1"/>
      <c r="C85" s="2" t="s">
        <v>130</v>
      </c>
      <c r="D85" s="1"/>
      <c r="E85" s="1" t="s">
        <v>131</v>
      </c>
      <c r="F85" s="13">
        <v>0</v>
      </c>
      <c r="G85" s="14">
        <v>0</v>
      </c>
      <c r="H85" s="106"/>
    </row>
    <row r="86" spans="1:8" ht="14.1" customHeight="1" x14ac:dyDescent="0.2">
      <c r="A86" s="1"/>
      <c r="B86" s="1"/>
      <c r="C86" s="11"/>
      <c r="D86" s="1"/>
      <c r="E86" s="1"/>
      <c r="F86" s="12"/>
      <c r="G86" s="12"/>
      <c r="H86" s="106"/>
    </row>
    <row r="87" spans="1:8" ht="14.1" customHeight="1" x14ac:dyDescent="0.2">
      <c r="A87" s="1"/>
      <c r="B87" s="1"/>
      <c r="C87" s="2" t="s">
        <v>140</v>
      </c>
      <c r="D87" s="1"/>
      <c r="E87" s="1"/>
      <c r="F87" s="1"/>
      <c r="G87" s="1"/>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4.1" customHeight="1" x14ac:dyDescent="0.2">
      <c r="A90" s="1"/>
      <c r="B90" s="1"/>
      <c r="C90" s="2" t="s">
        <v>141</v>
      </c>
      <c r="D90" s="1"/>
      <c r="E90" s="1"/>
      <c r="F90" s="12"/>
      <c r="G90" s="12"/>
      <c r="H90" s="106"/>
    </row>
    <row r="91" spans="1:8" ht="14.1" customHeight="1" x14ac:dyDescent="0.2">
      <c r="A91" s="1"/>
      <c r="B91" s="1"/>
      <c r="C91" s="2" t="s">
        <v>130</v>
      </c>
      <c r="D91" s="1"/>
      <c r="E91" s="1" t="s">
        <v>131</v>
      </c>
      <c r="F91" s="13">
        <v>0</v>
      </c>
      <c r="G91" s="14">
        <v>0</v>
      </c>
      <c r="H91" s="106"/>
    </row>
    <row r="92" spans="1:8" ht="14.1" customHeight="1" x14ac:dyDescent="0.2">
      <c r="A92" s="1"/>
      <c r="B92" s="1"/>
      <c r="C92" s="11"/>
      <c r="D92" s="1"/>
      <c r="E92" s="1"/>
      <c r="F92" s="12"/>
      <c r="G92" s="12"/>
      <c r="H92" s="106"/>
    </row>
    <row r="93" spans="1:8" ht="14.1" customHeight="1" x14ac:dyDescent="0.2">
      <c r="A93" s="1"/>
      <c r="B93" s="1"/>
      <c r="C93" s="2" t="s">
        <v>142</v>
      </c>
      <c r="D93" s="1"/>
      <c r="E93" s="1"/>
      <c r="F93" s="9">
        <v>0</v>
      </c>
      <c r="G93" s="10">
        <v>0</v>
      </c>
      <c r="H93" s="106"/>
    </row>
    <row r="94" spans="1:8" ht="14.1" customHeight="1" x14ac:dyDescent="0.2">
      <c r="A94" s="1"/>
      <c r="B94" s="1"/>
      <c r="C94" s="11"/>
      <c r="D94" s="1"/>
      <c r="E94" s="1"/>
      <c r="F94" s="12"/>
      <c r="G94" s="12"/>
      <c r="H94" s="106"/>
    </row>
    <row r="95" spans="1:8" ht="14.1" customHeight="1" x14ac:dyDescent="0.2">
      <c r="A95" s="1"/>
      <c r="B95" s="1"/>
      <c r="C95" s="2" t="s">
        <v>143</v>
      </c>
      <c r="D95" s="1"/>
      <c r="E95" s="1"/>
      <c r="F95" s="12"/>
      <c r="G95" s="12"/>
      <c r="H95" s="106"/>
    </row>
    <row r="96" spans="1:8" ht="14.1" customHeight="1" x14ac:dyDescent="0.2">
      <c r="A96" s="1"/>
      <c r="B96" s="1"/>
      <c r="C96" s="2" t="s">
        <v>144</v>
      </c>
      <c r="D96" s="1"/>
      <c r="E96" s="1"/>
      <c r="F96" s="12"/>
      <c r="G96" s="12"/>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145</v>
      </c>
      <c r="D99" s="1"/>
      <c r="E99" s="1"/>
      <c r="F99" s="12"/>
      <c r="G99" s="12"/>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146</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147</v>
      </c>
      <c r="D105" s="1"/>
      <c r="E105" s="1"/>
      <c r="F105" s="12"/>
      <c r="G105" s="12"/>
      <c r="H105" s="106"/>
    </row>
    <row r="106" spans="1:8" ht="17.100000000000001" customHeight="1" x14ac:dyDescent="0.2">
      <c r="A106" s="3">
        <v>1</v>
      </c>
      <c r="B106" s="4"/>
      <c r="C106" s="4" t="s">
        <v>148</v>
      </c>
      <c r="D106" s="4"/>
      <c r="E106" s="8"/>
      <c r="F106" s="6">
        <v>182.69698109999999</v>
      </c>
      <c r="G106" s="7">
        <v>5.3048139000000001E-2</v>
      </c>
      <c r="H106" s="106">
        <v>6.1171451766917002</v>
      </c>
    </row>
    <row r="107" spans="1:8" ht="14.1" customHeight="1" x14ac:dyDescent="0.2">
      <c r="A107" s="1"/>
      <c r="B107" s="1"/>
      <c r="C107" s="2" t="s">
        <v>130</v>
      </c>
      <c r="D107" s="1"/>
      <c r="E107" s="1" t="s">
        <v>131</v>
      </c>
      <c r="F107" s="9">
        <v>182.69698109999999</v>
      </c>
      <c r="G107" s="10">
        <v>5.3048139000000001E-2</v>
      </c>
      <c r="H107" s="106"/>
    </row>
    <row r="108" spans="1:8" ht="14.1" customHeight="1" x14ac:dyDescent="0.2">
      <c r="A108" s="1"/>
      <c r="B108" s="1"/>
      <c r="C108" s="11"/>
      <c r="D108" s="1"/>
      <c r="E108" s="1"/>
      <c r="F108" s="12"/>
      <c r="G108" s="12"/>
      <c r="H108" s="106"/>
    </row>
    <row r="109" spans="1:8" ht="14.1" customHeight="1" x14ac:dyDescent="0.2">
      <c r="A109" s="1"/>
      <c r="B109" s="1"/>
      <c r="C109" s="2" t="s">
        <v>149</v>
      </c>
      <c r="D109" s="1"/>
      <c r="E109" s="1"/>
      <c r="F109" s="9">
        <v>182.69698109999999</v>
      </c>
      <c r="G109" s="10">
        <v>5.3048139000000001E-2</v>
      </c>
      <c r="H109" s="106"/>
    </row>
    <row r="110" spans="1:8" ht="14.1" customHeight="1" x14ac:dyDescent="0.2">
      <c r="A110" s="1"/>
      <c r="B110" s="1"/>
      <c r="C110" s="12"/>
      <c r="D110" s="1"/>
      <c r="E110" s="1"/>
      <c r="F110" s="1"/>
      <c r="G110" s="1"/>
      <c r="H110" s="106"/>
    </row>
    <row r="111" spans="1:8" ht="14.1" customHeight="1" x14ac:dyDescent="0.2">
      <c r="A111" s="1"/>
      <c r="B111" s="1"/>
      <c r="C111" s="2" t="s">
        <v>150</v>
      </c>
      <c r="D111" s="1"/>
      <c r="E111" s="1"/>
      <c r="F111" s="1"/>
      <c r="G111" s="1"/>
      <c r="H111" s="106"/>
    </row>
    <row r="112" spans="1:8" ht="14.1" customHeight="1" x14ac:dyDescent="0.2">
      <c r="A112" s="1"/>
      <c r="B112" s="1"/>
      <c r="C112" s="2" t="s">
        <v>151</v>
      </c>
      <c r="D112" s="1"/>
      <c r="E112" s="1"/>
      <c r="F112" s="1"/>
      <c r="G112" s="1"/>
      <c r="H112" s="106"/>
    </row>
    <row r="113" spans="1:8" ht="14.1" customHeight="1" x14ac:dyDescent="0.2">
      <c r="A113" s="1"/>
      <c r="B113" s="1"/>
      <c r="C113" s="2" t="s">
        <v>130</v>
      </c>
      <c r="D113" s="1"/>
      <c r="E113" s="1" t="s">
        <v>131</v>
      </c>
      <c r="F113" s="13">
        <v>0</v>
      </c>
      <c r="G113" s="14">
        <v>0</v>
      </c>
      <c r="H113" s="106"/>
    </row>
    <row r="114" spans="1:8" ht="14.1" customHeight="1" x14ac:dyDescent="0.2">
      <c r="A114" s="1"/>
      <c r="B114" s="1"/>
      <c r="C114" s="11"/>
      <c r="D114" s="1"/>
      <c r="E114" s="1"/>
      <c r="F114" s="12"/>
      <c r="G114" s="12"/>
      <c r="H114" s="106"/>
    </row>
    <row r="115" spans="1:8" ht="14.1" customHeight="1" x14ac:dyDescent="0.2">
      <c r="A115" s="1"/>
      <c r="B115" s="1"/>
      <c r="C115" s="2" t="s">
        <v>152</v>
      </c>
      <c r="D115" s="1"/>
      <c r="E115" s="1"/>
      <c r="F115" s="1"/>
      <c r="G115" s="1"/>
      <c r="H115" s="106"/>
    </row>
    <row r="116" spans="1:8" ht="14.1" customHeight="1" x14ac:dyDescent="0.2">
      <c r="A116" s="1"/>
      <c r="B116" s="1"/>
      <c r="C116" s="2" t="s">
        <v>153</v>
      </c>
      <c r="D116" s="1"/>
      <c r="E116" s="1"/>
      <c r="F116" s="1"/>
      <c r="G116" s="1"/>
      <c r="H116" s="106"/>
    </row>
    <row r="117" spans="1:8" ht="14.1" customHeight="1" x14ac:dyDescent="0.2">
      <c r="A117" s="1"/>
      <c r="B117" s="1"/>
      <c r="C117" s="2" t="s">
        <v>130</v>
      </c>
      <c r="D117" s="1"/>
      <c r="E117" s="1" t="s">
        <v>131</v>
      </c>
      <c r="F117" s="13">
        <v>0</v>
      </c>
      <c r="G117" s="14">
        <v>0</v>
      </c>
      <c r="H117" s="106"/>
    </row>
    <row r="118" spans="1:8" ht="14.1" customHeight="1" x14ac:dyDescent="0.2">
      <c r="A118" s="1"/>
      <c r="B118" s="1"/>
      <c r="C118" s="11"/>
      <c r="D118" s="1"/>
      <c r="E118" s="1"/>
      <c r="F118" s="12"/>
      <c r="G118" s="12"/>
      <c r="H118" s="106"/>
    </row>
    <row r="119" spans="1:8" ht="14.1" customHeight="1" x14ac:dyDescent="0.2">
      <c r="A119" s="1"/>
      <c r="B119" s="1"/>
      <c r="C119" s="11"/>
      <c r="D119" s="1"/>
      <c r="E119" s="1"/>
      <c r="F119" s="12"/>
      <c r="G119" s="12"/>
      <c r="H119" s="106"/>
    </row>
    <row r="120" spans="1:8" ht="24" customHeight="1" x14ac:dyDescent="0.2">
      <c r="A120" s="1"/>
      <c r="B120" s="1"/>
      <c r="C120" s="2" t="s">
        <v>154</v>
      </c>
      <c r="D120" s="1"/>
      <c r="E120" s="1"/>
      <c r="F120" s="12"/>
      <c r="G120" s="12"/>
      <c r="H120" s="106"/>
    </row>
    <row r="121" spans="1:8" ht="14.1" customHeight="1" x14ac:dyDescent="0.2">
      <c r="A121" s="1"/>
      <c r="B121" s="1"/>
      <c r="C121" s="2" t="s">
        <v>130</v>
      </c>
      <c r="D121" s="1"/>
      <c r="E121" s="1" t="s">
        <v>131</v>
      </c>
      <c r="F121" s="13">
        <v>0</v>
      </c>
      <c r="G121" s="14">
        <v>0</v>
      </c>
      <c r="H121" s="106"/>
    </row>
    <row r="122" spans="1:8" ht="14.1" customHeight="1" x14ac:dyDescent="0.2">
      <c r="A122" s="1"/>
      <c r="B122" s="1"/>
      <c r="C122" s="11"/>
      <c r="D122" s="1"/>
      <c r="E122" s="1"/>
      <c r="F122" s="12"/>
      <c r="G122" s="12"/>
      <c r="H122" s="106"/>
    </row>
    <row r="123" spans="1:8" ht="14.1" customHeight="1" x14ac:dyDescent="0.2">
      <c r="A123" s="1"/>
      <c r="B123" s="4"/>
      <c r="C123" s="4"/>
      <c r="D123" s="2"/>
      <c r="E123" s="1"/>
      <c r="F123" s="4"/>
      <c r="G123" s="8"/>
      <c r="H123" s="106"/>
    </row>
    <row r="124" spans="1:8" ht="18" customHeight="1" x14ac:dyDescent="0.2">
      <c r="A124" s="8"/>
      <c r="B124" s="4"/>
      <c r="C124" s="4" t="s">
        <v>155</v>
      </c>
      <c r="D124" s="4"/>
      <c r="E124" s="8"/>
      <c r="F124" s="6">
        <v>-3.0570914999999999</v>
      </c>
      <c r="G124" s="7">
        <v>-8.8766099999999998E-4</v>
      </c>
      <c r="H124" s="106"/>
    </row>
    <row r="125" spans="1:8" ht="14.1" customHeight="1" x14ac:dyDescent="0.2">
      <c r="A125" s="11"/>
      <c r="B125" s="11"/>
      <c r="C125" s="2" t="s">
        <v>156</v>
      </c>
      <c r="D125" s="15"/>
      <c r="E125" s="15"/>
      <c r="F125" s="9">
        <v>3443.9847120999998</v>
      </c>
      <c r="G125" s="10">
        <v>1</v>
      </c>
      <c r="H125" s="106"/>
    </row>
    <row r="126" spans="1:8" ht="14.1" customHeight="1" x14ac:dyDescent="0.2">
      <c r="A126" s="16"/>
      <c r="B126" s="16"/>
      <c r="C126" s="16"/>
      <c r="D126" s="17"/>
      <c r="E126" s="17"/>
      <c r="F126" s="17"/>
      <c r="G126" s="17"/>
    </row>
    <row r="127" spans="1:8" ht="14.1" customHeight="1" x14ac:dyDescent="0.2">
      <c r="A127" s="18"/>
      <c r="B127" s="18"/>
      <c r="C127" s="18"/>
      <c r="D127" s="20"/>
      <c r="E127" s="20"/>
      <c r="F127" s="20"/>
      <c r="G127" s="20"/>
    </row>
    <row r="128" spans="1:8" ht="14.1" customHeight="1" x14ac:dyDescent="0.2">
      <c r="A128" s="18"/>
      <c r="B128" s="279" t="s">
        <v>158</v>
      </c>
      <c r="C128" s="280"/>
      <c r="D128" s="12" t="s">
        <v>131</v>
      </c>
      <c r="E128" s="21"/>
      <c r="F128" s="20"/>
      <c r="G128" s="20"/>
    </row>
    <row r="129" spans="1:7" ht="29.1" customHeight="1" x14ac:dyDescent="0.2">
      <c r="A129" s="18"/>
      <c r="B129" s="274" t="s">
        <v>159</v>
      </c>
      <c r="C129" s="275"/>
      <c r="D129" s="2" t="s">
        <v>160</v>
      </c>
      <c r="E129" s="21"/>
      <c r="F129" s="20"/>
      <c r="G129" s="20"/>
    </row>
    <row r="130" spans="1:7" ht="17.100000000000001" customHeight="1" x14ac:dyDescent="0.2">
      <c r="A130" s="18"/>
      <c r="B130" s="274" t="s">
        <v>161</v>
      </c>
      <c r="C130" s="275"/>
      <c r="D130" s="2" t="s">
        <v>160</v>
      </c>
      <c r="E130" s="21"/>
      <c r="F130" s="20"/>
      <c r="G130" s="20"/>
    </row>
    <row r="131" spans="1:7" ht="17.100000000000001" customHeight="1" x14ac:dyDescent="0.2">
      <c r="A131" s="18"/>
      <c r="B131" s="274" t="s">
        <v>162</v>
      </c>
      <c r="C131" s="275"/>
      <c r="D131" s="12" t="s">
        <v>131</v>
      </c>
      <c r="E131" s="21"/>
      <c r="F131" s="20"/>
      <c r="G131" s="20"/>
    </row>
    <row r="132" spans="1:7" ht="24" customHeight="1" x14ac:dyDescent="0.2">
      <c r="A132" s="22"/>
      <c r="B132" s="23" t="s">
        <v>131</v>
      </c>
      <c r="C132" s="23" t="s">
        <v>163</v>
      </c>
      <c r="D132" s="23" t="s">
        <v>164</v>
      </c>
      <c r="E132" s="22"/>
      <c r="F132" s="22"/>
      <c r="G132" s="22"/>
    </row>
    <row r="133" spans="1:7" ht="18" customHeight="1" x14ac:dyDescent="0.2">
      <c r="A133" s="22"/>
      <c r="B133" s="23" t="s">
        <v>165</v>
      </c>
      <c r="C133" s="23" t="s">
        <v>166</v>
      </c>
      <c r="D133" s="23" t="s">
        <v>167</v>
      </c>
      <c r="E133" s="22"/>
      <c r="F133" s="22"/>
      <c r="G133" s="22"/>
    </row>
    <row r="134" spans="1:7" ht="17.100000000000001" customHeight="1" x14ac:dyDescent="0.2">
      <c r="A134" s="22"/>
      <c r="B134" s="4" t="s">
        <v>168</v>
      </c>
      <c r="C134" s="24">
        <v>16.485700000000001</v>
      </c>
      <c r="D134" s="24">
        <v>16.637899999999998</v>
      </c>
      <c r="E134" s="22"/>
      <c r="F134" s="19"/>
      <c r="G134" s="25"/>
    </row>
    <row r="135" spans="1:7" ht="17.100000000000001" customHeight="1" x14ac:dyDescent="0.2">
      <c r="A135" s="22"/>
      <c r="B135" s="4" t="s">
        <v>1048</v>
      </c>
      <c r="C135" s="24">
        <v>16.485700000000001</v>
      </c>
      <c r="D135" s="24">
        <v>16.637899999999998</v>
      </c>
      <c r="E135" s="22"/>
      <c r="F135" s="19"/>
      <c r="G135" s="25"/>
    </row>
    <row r="136" spans="1:7" ht="17.100000000000001" customHeight="1" x14ac:dyDescent="0.2">
      <c r="A136" s="22"/>
      <c r="B136" s="4" t="s">
        <v>169</v>
      </c>
      <c r="C136" s="24">
        <v>15.8377</v>
      </c>
      <c r="D136" s="24">
        <v>15.9815</v>
      </c>
      <c r="E136" s="22"/>
      <c r="F136" s="19"/>
      <c r="G136" s="25"/>
    </row>
    <row r="137" spans="1:7" ht="17.100000000000001" customHeight="1" x14ac:dyDescent="0.2">
      <c r="A137" s="22"/>
      <c r="B137" s="4" t="s">
        <v>1049</v>
      </c>
      <c r="C137" s="24">
        <v>15.8377</v>
      </c>
      <c r="D137" s="24">
        <v>15.9815</v>
      </c>
      <c r="E137" s="22"/>
      <c r="F137" s="19"/>
      <c r="G137" s="25"/>
    </row>
    <row r="138" spans="1:7" ht="14.1" customHeight="1" x14ac:dyDescent="0.2">
      <c r="A138" s="22"/>
      <c r="B138" s="22"/>
      <c r="C138" s="22"/>
      <c r="D138" s="22"/>
      <c r="E138" s="22"/>
      <c r="F138" s="22"/>
      <c r="G138" s="22"/>
    </row>
    <row r="139" spans="1:7" ht="17.100000000000001" customHeight="1" x14ac:dyDescent="0.2">
      <c r="A139" s="22"/>
      <c r="B139" s="274" t="s">
        <v>1060</v>
      </c>
      <c r="C139" s="275"/>
      <c r="D139" s="2" t="s">
        <v>160</v>
      </c>
      <c r="E139" s="22"/>
      <c r="F139" s="22"/>
      <c r="G139" s="22"/>
    </row>
    <row r="140" spans="1:7" ht="18" customHeight="1" x14ac:dyDescent="0.2">
      <c r="A140" s="22"/>
      <c r="B140" s="26" t="s">
        <v>170</v>
      </c>
      <c r="C140" s="26" t="s">
        <v>170</v>
      </c>
      <c r="D140" s="26"/>
      <c r="E140" s="22"/>
      <c r="F140" s="22"/>
      <c r="G140" s="22"/>
    </row>
    <row r="141" spans="1:7" ht="29.1" customHeight="1" x14ac:dyDescent="0.2">
      <c r="A141" s="22"/>
      <c r="B141" s="274" t="s">
        <v>171</v>
      </c>
      <c r="C141" s="275"/>
      <c r="D141" s="2" t="s">
        <v>160</v>
      </c>
      <c r="E141" s="22"/>
      <c r="F141" s="22"/>
      <c r="G141" s="22"/>
    </row>
    <row r="142" spans="1:7" ht="29.1" customHeight="1" x14ac:dyDescent="0.2">
      <c r="A142" s="22"/>
      <c r="B142" s="274" t="s">
        <v>172</v>
      </c>
      <c r="C142" s="275"/>
      <c r="D142" s="2" t="s">
        <v>160</v>
      </c>
      <c r="E142" s="22"/>
      <c r="F142" s="22"/>
      <c r="G142" s="22"/>
    </row>
    <row r="143" spans="1:7" ht="17.100000000000001" customHeight="1" x14ac:dyDescent="0.2">
      <c r="A143" s="22"/>
      <c r="B143" s="274" t="s">
        <v>173</v>
      </c>
      <c r="C143" s="275"/>
      <c r="D143" s="27">
        <v>0.14788125875566244</v>
      </c>
      <c r="E143" s="22"/>
      <c r="F143" s="19"/>
      <c r="G143" s="25"/>
    </row>
    <row r="144" spans="1:7" ht="17.100000000000001" customHeight="1" x14ac:dyDescent="0.2">
      <c r="A144" s="22"/>
      <c r="B144" s="274" t="s">
        <v>174</v>
      </c>
      <c r="C144" s="275"/>
      <c r="D144" s="2" t="s">
        <v>160</v>
      </c>
      <c r="E144" s="22"/>
      <c r="F144" s="22"/>
      <c r="G144" s="22"/>
    </row>
    <row r="158" spans="10:14" x14ac:dyDescent="0.2">
      <c r="J158" s="162"/>
      <c r="K158" s="162"/>
      <c r="L158" s="162"/>
      <c r="M158" s="162"/>
      <c r="N158" s="162"/>
    </row>
  </sheetData>
  <mergeCells count="13">
    <mergeCell ref="J2:N2"/>
    <mergeCell ref="B128:C128"/>
    <mergeCell ref="B143:C143"/>
    <mergeCell ref="A1:H1"/>
    <mergeCell ref="A2:H2"/>
    <mergeCell ref="A3:H3"/>
    <mergeCell ref="B144:C144"/>
    <mergeCell ref="B129:C129"/>
    <mergeCell ref="B130:C130"/>
    <mergeCell ref="B131:C131"/>
    <mergeCell ref="B139:C139"/>
    <mergeCell ref="B141:C141"/>
    <mergeCell ref="B142:C142"/>
  </mergeCells>
  <hyperlinks>
    <hyperlink ref="I1" location="Index!B21" display="Index" xr:uid="{9F80584F-56CB-43C2-BBEF-2178DF8AAED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6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504</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461</v>
      </c>
      <c r="C7" s="4" t="s">
        <v>462</v>
      </c>
      <c r="D7" s="4" t="s">
        <v>1114</v>
      </c>
      <c r="E7" s="5">
        <v>1100000</v>
      </c>
      <c r="F7" s="6">
        <v>7801.75</v>
      </c>
      <c r="G7" s="7">
        <v>3.7510483999999997E-2</v>
      </c>
      <c r="H7" s="106"/>
    </row>
    <row r="8" spans="1:14" ht="17.100000000000001" customHeight="1" x14ac:dyDescent="0.2">
      <c r="A8" s="3">
        <v>2</v>
      </c>
      <c r="B8" s="4" t="s">
        <v>29</v>
      </c>
      <c r="C8" s="4" t="s">
        <v>30</v>
      </c>
      <c r="D8" s="4" t="s">
        <v>31</v>
      </c>
      <c r="E8" s="5">
        <v>362000</v>
      </c>
      <c r="F8" s="6">
        <v>7534.4870000000001</v>
      </c>
      <c r="G8" s="7">
        <v>3.6225495000000003E-2</v>
      </c>
      <c r="H8" s="106"/>
    </row>
    <row r="9" spans="1:14" ht="17.100000000000001" customHeight="1" x14ac:dyDescent="0.2">
      <c r="A9" s="3">
        <v>3</v>
      </c>
      <c r="B9" s="4" t="s">
        <v>392</v>
      </c>
      <c r="C9" s="4" t="s">
        <v>393</v>
      </c>
      <c r="D9" s="4" t="s">
        <v>230</v>
      </c>
      <c r="E9" s="5">
        <v>824354</v>
      </c>
      <c r="F9" s="6">
        <v>6164.5192120000002</v>
      </c>
      <c r="G9" s="7">
        <v>2.9638747E-2</v>
      </c>
      <c r="H9" s="106"/>
    </row>
    <row r="10" spans="1:14" ht="17.100000000000001" customHeight="1" x14ac:dyDescent="0.2">
      <c r="A10" s="3">
        <v>4</v>
      </c>
      <c r="B10" s="4" t="s">
        <v>388</v>
      </c>
      <c r="C10" s="4" t="s">
        <v>389</v>
      </c>
      <c r="D10" s="4" t="s">
        <v>99</v>
      </c>
      <c r="E10" s="5">
        <v>1087000</v>
      </c>
      <c r="F10" s="6">
        <v>5699.6845000000003</v>
      </c>
      <c r="G10" s="7">
        <v>2.7403842000000001E-2</v>
      </c>
      <c r="H10" s="106"/>
    </row>
    <row r="11" spans="1:14" ht="17.100000000000001" customHeight="1" x14ac:dyDescent="0.2">
      <c r="A11" s="3">
        <v>5</v>
      </c>
      <c r="B11" s="4" t="s">
        <v>77</v>
      </c>
      <c r="C11" s="4" t="s">
        <v>78</v>
      </c>
      <c r="D11" s="4" t="s">
        <v>31</v>
      </c>
      <c r="E11" s="5">
        <v>327000</v>
      </c>
      <c r="F11" s="6">
        <v>5281.7039999999997</v>
      </c>
      <c r="G11" s="7">
        <v>2.5394209000000001E-2</v>
      </c>
      <c r="H11" s="106"/>
    </row>
    <row r="12" spans="1:14" ht="53.1" customHeight="1" x14ac:dyDescent="0.2">
      <c r="A12" s="3">
        <v>6</v>
      </c>
      <c r="B12" s="4" t="s">
        <v>46</v>
      </c>
      <c r="C12" s="4" t="s">
        <v>47</v>
      </c>
      <c r="D12" s="4" t="s">
        <v>48</v>
      </c>
      <c r="E12" s="5">
        <v>3440000</v>
      </c>
      <c r="F12" s="6">
        <v>5273.52</v>
      </c>
      <c r="G12" s="7">
        <v>2.5354860999999999E-2</v>
      </c>
      <c r="H12" s="106"/>
      <c r="J12" s="161" t="s">
        <v>1092</v>
      </c>
    </row>
    <row r="13" spans="1:14" ht="17.100000000000001" customHeight="1" x14ac:dyDescent="0.2">
      <c r="A13" s="3">
        <v>7</v>
      </c>
      <c r="B13" s="4" t="s">
        <v>505</v>
      </c>
      <c r="C13" s="4" t="s">
        <v>506</v>
      </c>
      <c r="D13" s="4" t="s">
        <v>185</v>
      </c>
      <c r="E13" s="5">
        <v>475000</v>
      </c>
      <c r="F13" s="6">
        <v>4948.7875000000004</v>
      </c>
      <c r="G13" s="7">
        <v>2.3793561000000001E-2</v>
      </c>
      <c r="H13" s="106"/>
    </row>
    <row r="14" spans="1:14" ht="17.100000000000001" customHeight="1" x14ac:dyDescent="0.2">
      <c r="A14" s="3">
        <v>8</v>
      </c>
      <c r="B14" s="4" t="s">
        <v>346</v>
      </c>
      <c r="C14" s="4" t="s">
        <v>347</v>
      </c>
      <c r="D14" s="4" t="s">
        <v>16</v>
      </c>
      <c r="E14" s="5">
        <v>1508000</v>
      </c>
      <c r="F14" s="6">
        <v>4379.232</v>
      </c>
      <c r="G14" s="7">
        <v>2.1055161999999999E-2</v>
      </c>
      <c r="H14" s="106"/>
    </row>
    <row r="15" spans="1:14" ht="17.100000000000001" customHeight="1" x14ac:dyDescent="0.2">
      <c r="A15" s="3">
        <v>9</v>
      </c>
      <c r="B15" s="4" t="s">
        <v>14</v>
      </c>
      <c r="C15" s="4" t="s">
        <v>15</v>
      </c>
      <c r="D15" s="4" t="s">
        <v>16</v>
      </c>
      <c r="E15" s="5">
        <v>464000</v>
      </c>
      <c r="F15" s="6">
        <v>4216.3680000000004</v>
      </c>
      <c r="G15" s="7">
        <v>2.0272119000000002E-2</v>
      </c>
      <c r="H15" s="106"/>
    </row>
    <row r="16" spans="1:14" ht="17.100000000000001" customHeight="1" x14ac:dyDescent="0.2">
      <c r="A16" s="3">
        <v>10</v>
      </c>
      <c r="B16" s="4" t="s">
        <v>507</v>
      </c>
      <c r="C16" s="4" t="s">
        <v>508</v>
      </c>
      <c r="D16" s="4" t="s">
        <v>324</v>
      </c>
      <c r="E16" s="5">
        <v>160000</v>
      </c>
      <c r="F16" s="6">
        <v>4078.64</v>
      </c>
      <c r="G16" s="7">
        <v>1.9609927999999999E-2</v>
      </c>
      <c r="H16" s="106"/>
    </row>
    <row r="17" spans="1:10" ht="17.100000000000001" customHeight="1" x14ac:dyDescent="0.2">
      <c r="A17" s="3">
        <v>11</v>
      </c>
      <c r="B17" s="4" t="s">
        <v>198</v>
      </c>
      <c r="C17" s="4" t="s">
        <v>199</v>
      </c>
      <c r="D17" s="4" t="s">
        <v>89</v>
      </c>
      <c r="E17" s="5">
        <v>147000</v>
      </c>
      <c r="F17" s="6">
        <v>4032.5774999999999</v>
      </c>
      <c r="G17" s="7">
        <v>1.9388461999999999E-2</v>
      </c>
      <c r="H17" s="106"/>
    </row>
    <row r="18" spans="1:10" ht="29.1" customHeight="1" x14ac:dyDescent="0.2">
      <c r="A18" s="3">
        <v>12</v>
      </c>
      <c r="B18" s="4" t="s">
        <v>509</v>
      </c>
      <c r="C18" s="4" t="s">
        <v>510</v>
      </c>
      <c r="D18" s="4" t="s">
        <v>188</v>
      </c>
      <c r="E18" s="5">
        <v>265529</v>
      </c>
      <c r="F18" s="6">
        <v>3969.5257855</v>
      </c>
      <c r="G18" s="7">
        <v>1.9085312E-2</v>
      </c>
      <c r="H18" s="106"/>
    </row>
    <row r="19" spans="1:10" ht="17.100000000000001" customHeight="1" x14ac:dyDescent="0.2">
      <c r="A19" s="3">
        <v>13</v>
      </c>
      <c r="B19" s="4" t="s">
        <v>441</v>
      </c>
      <c r="C19" s="4" t="s">
        <v>442</v>
      </c>
      <c r="D19" s="4" t="s">
        <v>324</v>
      </c>
      <c r="E19" s="5">
        <v>249000</v>
      </c>
      <c r="F19" s="6">
        <v>3825.5115000000001</v>
      </c>
      <c r="G19" s="7">
        <v>1.8392896999999998E-2</v>
      </c>
      <c r="H19" s="106"/>
    </row>
    <row r="20" spans="1:10" ht="17.100000000000001" customHeight="1" x14ac:dyDescent="0.2">
      <c r="A20" s="3">
        <v>14</v>
      </c>
      <c r="B20" s="4" t="s">
        <v>382</v>
      </c>
      <c r="C20" s="4" t="s">
        <v>383</v>
      </c>
      <c r="D20" s="4" t="s">
        <v>110</v>
      </c>
      <c r="E20" s="5">
        <v>201924</v>
      </c>
      <c r="F20" s="6">
        <v>3750.637338</v>
      </c>
      <c r="G20" s="7">
        <v>1.8032906000000001E-2</v>
      </c>
      <c r="H20" s="106"/>
    </row>
    <row r="21" spans="1:10" ht="17.100000000000001" customHeight="1" x14ac:dyDescent="0.2">
      <c r="A21" s="3">
        <v>15</v>
      </c>
      <c r="B21" s="4" t="s">
        <v>511</v>
      </c>
      <c r="C21" s="4" t="s">
        <v>512</v>
      </c>
      <c r="D21" s="4" t="s">
        <v>324</v>
      </c>
      <c r="E21" s="5">
        <v>90000</v>
      </c>
      <c r="F21" s="6">
        <v>3734.46</v>
      </c>
      <c r="G21" s="7">
        <v>1.7955125999999998E-2</v>
      </c>
      <c r="H21" s="106"/>
    </row>
    <row r="22" spans="1:10" ht="29.1" customHeight="1" x14ac:dyDescent="0.2">
      <c r="A22" s="3">
        <v>16</v>
      </c>
      <c r="B22" s="4" t="s">
        <v>513</v>
      </c>
      <c r="C22" s="4" t="s">
        <v>514</v>
      </c>
      <c r="D22" s="4" t="s">
        <v>204</v>
      </c>
      <c r="E22" s="5">
        <v>504084</v>
      </c>
      <c r="F22" s="6">
        <v>3690.9030480000001</v>
      </c>
      <c r="G22" s="7">
        <v>1.7745706E-2</v>
      </c>
      <c r="H22" s="106"/>
      <c r="J22" s="161" t="s">
        <v>1093</v>
      </c>
    </row>
    <row r="23" spans="1:10" ht="17.100000000000001" customHeight="1" x14ac:dyDescent="0.2">
      <c r="A23" s="3">
        <v>17</v>
      </c>
      <c r="B23" s="4" t="s">
        <v>42</v>
      </c>
      <c r="C23" s="4" t="s">
        <v>43</v>
      </c>
      <c r="D23" s="4" t="s">
        <v>16</v>
      </c>
      <c r="E23" s="5">
        <v>618000</v>
      </c>
      <c r="F23" s="6">
        <v>3546.0839999999998</v>
      </c>
      <c r="G23" s="7">
        <v>1.7049422000000002E-2</v>
      </c>
      <c r="H23" s="106"/>
    </row>
    <row r="24" spans="1:10" ht="17.100000000000001" customHeight="1" x14ac:dyDescent="0.2">
      <c r="A24" s="3">
        <v>18</v>
      </c>
      <c r="B24" s="4" t="s">
        <v>94</v>
      </c>
      <c r="C24" s="4" t="s">
        <v>95</v>
      </c>
      <c r="D24" s="4" t="s">
        <v>96</v>
      </c>
      <c r="E24" s="5">
        <v>698780</v>
      </c>
      <c r="F24" s="6">
        <v>3490.75549</v>
      </c>
      <c r="G24" s="7">
        <v>1.6783405000000001E-2</v>
      </c>
      <c r="H24" s="106"/>
    </row>
    <row r="25" spans="1:10" ht="17.100000000000001" customHeight="1" x14ac:dyDescent="0.2">
      <c r="A25" s="3">
        <v>19</v>
      </c>
      <c r="B25" s="4" t="s">
        <v>515</v>
      </c>
      <c r="C25" s="4" t="s">
        <v>516</v>
      </c>
      <c r="D25" s="4" t="s">
        <v>31</v>
      </c>
      <c r="E25" s="5">
        <v>511000</v>
      </c>
      <c r="F25" s="6">
        <v>3311.0245</v>
      </c>
      <c r="G25" s="7">
        <v>1.5919266000000001E-2</v>
      </c>
      <c r="H25" s="106"/>
    </row>
    <row r="26" spans="1:10" ht="53.1" customHeight="1" x14ac:dyDescent="0.2">
      <c r="A26" s="3">
        <v>20</v>
      </c>
      <c r="B26" s="4" t="s">
        <v>90</v>
      </c>
      <c r="C26" s="4" t="s">
        <v>91</v>
      </c>
      <c r="D26" s="4" t="s">
        <v>48</v>
      </c>
      <c r="E26" s="5">
        <v>208000</v>
      </c>
      <c r="F26" s="6">
        <v>3278.288</v>
      </c>
      <c r="G26" s="7">
        <v>1.5761870000000001E-2</v>
      </c>
      <c r="H26" s="106"/>
    </row>
    <row r="27" spans="1:10" ht="17.100000000000001" customHeight="1" x14ac:dyDescent="0.2">
      <c r="A27" s="3">
        <v>21</v>
      </c>
      <c r="B27" s="4" t="s">
        <v>293</v>
      </c>
      <c r="C27" s="4" t="s">
        <v>294</v>
      </c>
      <c r="D27" s="4" t="s">
        <v>110</v>
      </c>
      <c r="E27" s="5">
        <v>70000</v>
      </c>
      <c r="F27" s="6">
        <v>3161.62</v>
      </c>
      <c r="G27" s="7">
        <v>1.5200935E-2</v>
      </c>
      <c r="H27" s="106"/>
    </row>
    <row r="28" spans="1:10" ht="29.1" customHeight="1" x14ac:dyDescent="0.2">
      <c r="A28" s="3">
        <v>22</v>
      </c>
      <c r="B28" s="4" t="s">
        <v>443</v>
      </c>
      <c r="C28" s="4" t="s">
        <v>444</v>
      </c>
      <c r="D28" s="4" t="s">
        <v>204</v>
      </c>
      <c r="E28" s="5">
        <v>157039</v>
      </c>
      <c r="F28" s="6">
        <v>3099.1646649999998</v>
      </c>
      <c r="G28" s="7">
        <v>1.4900653E-2</v>
      </c>
      <c r="H28" s="106"/>
    </row>
    <row r="29" spans="1:10" ht="17.100000000000001" customHeight="1" x14ac:dyDescent="0.2">
      <c r="A29" s="3">
        <v>23</v>
      </c>
      <c r="B29" s="4" t="s">
        <v>400</v>
      </c>
      <c r="C29" s="4" t="s">
        <v>401</v>
      </c>
      <c r="D29" s="4" t="s">
        <v>31</v>
      </c>
      <c r="E29" s="5">
        <v>365000</v>
      </c>
      <c r="F29" s="6">
        <v>3087.3525</v>
      </c>
      <c r="G29" s="7">
        <v>1.484386E-2</v>
      </c>
      <c r="H29" s="106"/>
    </row>
    <row r="30" spans="1:10" ht="29.1" customHeight="1" x14ac:dyDescent="0.2">
      <c r="A30" s="3">
        <v>24</v>
      </c>
      <c r="B30" s="4" t="s">
        <v>298</v>
      </c>
      <c r="C30" s="4" t="s">
        <v>299</v>
      </c>
      <c r="D30" s="4" t="s">
        <v>99</v>
      </c>
      <c r="E30" s="5">
        <v>120000</v>
      </c>
      <c r="F30" s="6">
        <v>2963.76</v>
      </c>
      <c r="G30" s="7">
        <v>1.4249632999999999E-2</v>
      </c>
      <c r="H30" s="106"/>
    </row>
    <row r="31" spans="1:10" ht="17.100000000000001" customHeight="1" x14ac:dyDescent="0.2">
      <c r="A31" s="3">
        <v>25</v>
      </c>
      <c r="B31" s="4" t="s">
        <v>75</v>
      </c>
      <c r="C31" s="4" t="s">
        <v>76</v>
      </c>
      <c r="D31" s="4" t="s">
        <v>36</v>
      </c>
      <c r="E31" s="5">
        <v>1058667</v>
      </c>
      <c r="F31" s="6">
        <v>2962.1502660000001</v>
      </c>
      <c r="G31" s="7">
        <v>1.4241893E-2</v>
      </c>
      <c r="H31" s="106"/>
    </row>
    <row r="32" spans="1:10" ht="29.1" customHeight="1" x14ac:dyDescent="0.2">
      <c r="A32" s="3">
        <v>26</v>
      </c>
      <c r="B32" s="4" t="s">
        <v>196</v>
      </c>
      <c r="C32" s="4" t="s">
        <v>197</v>
      </c>
      <c r="D32" s="4" t="s">
        <v>188</v>
      </c>
      <c r="E32" s="5">
        <v>65000</v>
      </c>
      <c r="F32" s="6">
        <v>2958.6374999999998</v>
      </c>
      <c r="G32" s="7">
        <v>1.4225003999999999E-2</v>
      </c>
      <c r="H32" s="106"/>
    </row>
    <row r="33" spans="1:8" ht="17.100000000000001" customHeight="1" x14ac:dyDescent="0.2">
      <c r="A33" s="3">
        <v>27</v>
      </c>
      <c r="B33" s="4" t="s">
        <v>517</v>
      </c>
      <c r="C33" s="4" t="s">
        <v>518</v>
      </c>
      <c r="D33" s="4" t="s">
        <v>324</v>
      </c>
      <c r="E33" s="5">
        <v>415235</v>
      </c>
      <c r="F33" s="6">
        <v>2913.4963775000001</v>
      </c>
      <c r="G33" s="7">
        <v>1.4007967E-2</v>
      </c>
      <c r="H33" s="106"/>
    </row>
    <row r="34" spans="1:8" ht="17.100000000000001" customHeight="1" x14ac:dyDescent="0.2">
      <c r="A34" s="3">
        <v>28</v>
      </c>
      <c r="B34" s="4" t="s">
        <v>396</v>
      </c>
      <c r="C34" s="4" t="s">
        <v>397</v>
      </c>
      <c r="D34" s="4" t="s">
        <v>288</v>
      </c>
      <c r="E34" s="5">
        <v>372000</v>
      </c>
      <c r="F34" s="6">
        <v>2787.3960000000002</v>
      </c>
      <c r="G34" s="7">
        <v>1.3401682E-2</v>
      </c>
      <c r="H34" s="106"/>
    </row>
    <row r="35" spans="1:8" ht="17.100000000000001" customHeight="1" x14ac:dyDescent="0.2">
      <c r="A35" s="3">
        <v>29</v>
      </c>
      <c r="B35" s="4" t="s">
        <v>262</v>
      </c>
      <c r="C35" s="4" t="s">
        <v>263</v>
      </c>
      <c r="D35" s="4" t="s">
        <v>110</v>
      </c>
      <c r="E35" s="5">
        <v>314377</v>
      </c>
      <c r="F35" s="6">
        <v>2724.3910820000001</v>
      </c>
      <c r="G35" s="7">
        <v>1.3098757000000001E-2</v>
      </c>
      <c r="H35" s="106"/>
    </row>
    <row r="36" spans="1:8" ht="17.100000000000001" customHeight="1" x14ac:dyDescent="0.2">
      <c r="A36" s="3">
        <v>30</v>
      </c>
      <c r="B36" s="4" t="s">
        <v>519</v>
      </c>
      <c r="C36" s="4" t="s">
        <v>520</v>
      </c>
      <c r="D36" s="4" t="s">
        <v>1114</v>
      </c>
      <c r="E36" s="5">
        <v>206000</v>
      </c>
      <c r="F36" s="6">
        <v>2694.9949999999999</v>
      </c>
      <c r="G36" s="7">
        <v>1.2957422E-2</v>
      </c>
      <c r="H36" s="106"/>
    </row>
    <row r="37" spans="1:8" ht="17.100000000000001" customHeight="1" x14ac:dyDescent="0.2">
      <c r="A37" s="3">
        <v>31</v>
      </c>
      <c r="B37" s="4" t="s">
        <v>521</v>
      </c>
      <c r="C37" s="102" t="s">
        <v>1050</v>
      </c>
      <c r="D37" s="4" t="s">
        <v>70</v>
      </c>
      <c r="E37" s="5">
        <v>1138715</v>
      </c>
      <c r="F37" s="6">
        <v>2678.2576800000002</v>
      </c>
      <c r="G37" s="7">
        <v>1.287695E-2</v>
      </c>
      <c r="H37" s="106"/>
    </row>
    <row r="38" spans="1:8" ht="17.100000000000001" customHeight="1" x14ac:dyDescent="0.2">
      <c r="A38" s="3">
        <v>32</v>
      </c>
      <c r="B38" s="4" t="s">
        <v>228</v>
      </c>
      <c r="C38" s="4" t="s">
        <v>229</v>
      </c>
      <c r="D38" s="4" t="s">
        <v>230</v>
      </c>
      <c r="E38" s="5">
        <v>400000</v>
      </c>
      <c r="F38" s="6">
        <v>2439.8000000000002</v>
      </c>
      <c r="G38" s="7">
        <v>1.1730455000000001E-2</v>
      </c>
      <c r="H38" s="106"/>
    </row>
    <row r="39" spans="1:8" ht="17.100000000000001" customHeight="1" x14ac:dyDescent="0.2">
      <c r="A39" s="3">
        <v>33</v>
      </c>
      <c r="B39" s="4" t="s">
        <v>522</v>
      </c>
      <c r="C39" s="4" t="s">
        <v>523</v>
      </c>
      <c r="D39" s="4" t="s">
        <v>1114</v>
      </c>
      <c r="E39" s="5">
        <v>882816</v>
      </c>
      <c r="F39" s="6">
        <v>2391.1071360000001</v>
      </c>
      <c r="G39" s="7">
        <v>1.1496342E-2</v>
      </c>
      <c r="H39" s="106"/>
    </row>
    <row r="40" spans="1:8" ht="17.100000000000001" customHeight="1" x14ac:dyDescent="0.2">
      <c r="A40" s="3">
        <v>34</v>
      </c>
      <c r="B40" s="4" t="s">
        <v>524</v>
      </c>
      <c r="C40" s="4" t="s">
        <v>525</v>
      </c>
      <c r="D40" s="4" t="s">
        <v>110</v>
      </c>
      <c r="E40" s="5">
        <v>884000</v>
      </c>
      <c r="F40" s="6">
        <v>2376.192</v>
      </c>
      <c r="G40" s="7">
        <v>1.1424630999999999E-2</v>
      </c>
      <c r="H40" s="106"/>
    </row>
    <row r="41" spans="1:8" ht="17.100000000000001" customHeight="1" x14ac:dyDescent="0.2">
      <c r="A41" s="3">
        <v>35</v>
      </c>
      <c r="B41" s="4" t="s">
        <v>178</v>
      </c>
      <c r="C41" s="4" t="s">
        <v>179</v>
      </c>
      <c r="D41" s="4" t="s">
        <v>16</v>
      </c>
      <c r="E41" s="5">
        <v>258000</v>
      </c>
      <c r="F41" s="6">
        <v>2337.48</v>
      </c>
      <c r="G41" s="7">
        <v>1.1238504999999999E-2</v>
      </c>
      <c r="H41" s="106"/>
    </row>
    <row r="42" spans="1:8" ht="17.100000000000001" customHeight="1" x14ac:dyDescent="0.2">
      <c r="A42" s="3">
        <v>36</v>
      </c>
      <c r="B42" s="4" t="s">
        <v>436</v>
      </c>
      <c r="C42" s="4" t="s">
        <v>437</v>
      </c>
      <c r="D42" s="4" t="s">
        <v>16</v>
      </c>
      <c r="E42" s="5">
        <v>1016082</v>
      </c>
      <c r="F42" s="6">
        <v>2309.0463450000002</v>
      </c>
      <c r="G42" s="7">
        <v>1.1101797E-2</v>
      </c>
      <c r="H42" s="106"/>
    </row>
    <row r="43" spans="1:8" ht="17.100000000000001" customHeight="1" x14ac:dyDescent="0.2">
      <c r="A43" s="3">
        <v>37</v>
      </c>
      <c r="B43" s="4" t="s">
        <v>384</v>
      </c>
      <c r="C43" s="4" t="s">
        <v>385</v>
      </c>
      <c r="D43" s="4" t="s">
        <v>288</v>
      </c>
      <c r="E43" s="5">
        <v>199000</v>
      </c>
      <c r="F43" s="6">
        <v>2297.4549999999999</v>
      </c>
      <c r="G43" s="7">
        <v>1.1046066E-2</v>
      </c>
      <c r="H43" s="106"/>
    </row>
    <row r="44" spans="1:8" ht="17.100000000000001" customHeight="1" x14ac:dyDescent="0.2">
      <c r="A44" s="3">
        <v>38</v>
      </c>
      <c r="B44" s="4" t="s">
        <v>108</v>
      </c>
      <c r="C44" s="4" t="s">
        <v>109</v>
      </c>
      <c r="D44" s="4" t="s">
        <v>110</v>
      </c>
      <c r="E44" s="5">
        <v>600000</v>
      </c>
      <c r="F44" s="6">
        <v>2232.6</v>
      </c>
      <c r="G44" s="7">
        <v>1.0734245999999999E-2</v>
      </c>
      <c r="H44" s="106"/>
    </row>
    <row r="45" spans="1:8" ht="29.1" customHeight="1" x14ac:dyDescent="0.2">
      <c r="A45" s="3">
        <v>39</v>
      </c>
      <c r="B45" s="4" t="s">
        <v>526</v>
      </c>
      <c r="C45" s="4" t="s">
        <v>527</v>
      </c>
      <c r="D45" s="4" t="s">
        <v>204</v>
      </c>
      <c r="E45" s="5">
        <v>550000</v>
      </c>
      <c r="F45" s="6">
        <v>2190.9250000000002</v>
      </c>
      <c r="G45" s="7">
        <v>1.0533875E-2</v>
      </c>
      <c r="H45" s="106"/>
    </row>
    <row r="46" spans="1:8" ht="17.100000000000001" customHeight="1" x14ac:dyDescent="0.2">
      <c r="A46" s="3">
        <v>40</v>
      </c>
      <c r="B46" s="4" t="s">
        <v>528</v>
      </c>
      <c r="C46" s="4" t="s">
        <v>529</v>
      </c>
      <c r="D46" s="4" t="s">
        <v>70</v>
      </c>
      <c r="E46" s="5">
        <v>158521</v>
      </c>
      <c r="F46" s="6">
        <v>2156.7574654999999</v>
      </c>
      <c r="G46" s="7">
        <v>1.0369599E-2</v>
      </c>
      <c r="H46" s="106"/>
    </row>
    <row r="47" spans="1:8" ht="17.100000000000001" customHeight="1" x14ac:dyDescent="0.2">
      <c r="A47" s="3">
        <v>41</v>
      </c>
      <c r="B47" s="4" t="s">
        <v>530</v>
      </c>
      <c r="C47" s="4" t="s">
        <v>531</v>
      </c>
      <c r="D47" s="4" t="s">
        <v>110</v>
      </c>
      <c r="E47" s="5">
        <v>130000</v>
      </c>
      <c r="F47" s="6">
        <v>2150.98</v>
      </c>
      <c r="G47" s="7">
        <v>1.0341820999999999E-2</v>
      </c>
      <c r="H47" s="106"/>
    </row>
    <row r="48" spans="1:8" ht="17.100000000000001" customHeight="1" x14ac:dyDescent="0.2">
      <c r="A48" s="3">
        <v>42</v>
      </c>
      <c r="B48" s="4" t="s">
        <v>532</v>
      </c>
      <c r="C48" s="4" t="s">
        <v>533</v>
      </c>
      <c r="D48" s="4" t="s">
        <v>268</v>
      </c>
      <c r="E48" s="5">
        <v>121785</v>
      </c>
      <c r="F48" s="6">
        <v>2141.4674399999999</v>
      </c>
      <c r="G48" s="7">
        <v>1.0296085E-2</v>
      </c>
      <c r="H48" s="106"/>
    </row>
    <row r="49" spans="1:8" ht="29.1" customHeight="1" x14ac:dyDescent="0.2">
      <c r="A49" s="3">
        <v>43</v>
      </c>
      <c r="B49" s="4" t="s">
        <v>493</v>
      </c>
      <c r="C49" s="4" t="s">
        <v>494</v>
      </c>
      <c r="D49" s="4" t="s">
        <v>25</v>
      </c>
      <c r="E49" s="5">
        <v>231114</v>
      </c>
      <c r="F49" s="6">
        <v>2133.1822200000001</v>
      </c>
      <c r="G49" s="7">
        <v>1.025625E-2</v>
      </c>
      <c r="H49" s="106"/>
    </row>
    <row r="50" spans="1:8" ht="17.100000000000001" customHeight="1" x14ac:dyDescent="0.2">
      <c r="A50" s="3">
        <v>44</v>
      </c>
      <c r="B50" s="4" t="s">
        <v>106</v>
      </c>
      <c r="C50" s="4" t="s">
        <v>107</v>
      </c>
      <c r="D50" s="4" t="s">
        <v>89</v>
      </c>
      <c r="E50" s="5">
        <v>440335</v>
      </c>
      <c r="F50" s="6">
        <v>2049.31909</v>
      </c>
      <c r="G50" s="7">
        <v>9.8530389999999992E-3</v>
      </c>
      <c r="H50" s="106"/>
    </row>
    <row r="51" spans="1:8" ht="29.1" customHeight="1" x14ac:dyDescent="0.2">
      <c r="A51" s="3">
        <v>45</v>
      </c>
      <c r="B51" s="4" t="s">
        <v>63</v>
      </c>
      <c r="C51" s="4" t="s">
        <v>64</v>
      </c>
      <c r="D51" s="4" t="s">
        <v>25</v>
      </c>
      <c r="E51" s="5">
        <v>74011</v>
      </c>
      <c r="F51" s="6">
        <v>2007.6593915000001</v>
      </c>
      <c r="G51" s="7">
        <v>9.6527409999999994E-3</v>
      </c>
      <c r="H51" s="106"/>
    </row>
    <row r="52" spans="1:8" ht="17.100000000000001" customHeight="1" x14ac:dyDescent="0.2">
      <c r="A52" s="3">
        <v>46</v>
      </c>
      <c r="B52" s="4" t="s">
        <v>348</v>
      </c>
      <c r="C52" s="4" t="s">
        <v>349</v>
      </c>
      <c r="D52" s="4" t="s">
        <v>99</v>
      </c>
      <c r="E52" s="5">
        <v>28000</v>
      </c>
      <c r="F52" s="6">
        <v>2000.348</v>
      </c>
      <c r="G52" s="7">
        <v>9.6175889999999993E-3</v>
      </c>
      <c r="H52" s="106"/>
    </row>
    <row r="53" spans="1:8" ht="17.100000000000001" customHeight="1" x14ac:dyDescent="0.2">
      <c r="A53" s="3">
        <v>47</v>
      </c>
      <c r="B53" s="4" t="s">
        <v>534</v>
      </c>
      <c r="C53" s="4" t="s">
        <v>535</v>
      </c>
      <c r="D53" s="4" t="s">
        <v>324</v>
      </c>
      <c r="E53" s="5">
        <v>160942</v>
      </c>
      <c r="F53" s="6">
        <v>1969.205841</v>
      </c>
      <c r="G53" s="7">
        <v>9.4678579999999991E-3</v>
      </c>
      <c r="H53" s="106"/>
    </row>
    <row r="54" spans="1:8" ht="17.100000000000001" customHeight="1" x14ac:dyDescent="0.2">
      <c r="A54" s="3">
        <v>48</v>
      </c>
      <c r="B54" s="4" t="s">
        <v>246</v>
      </c>
      <c r="C54" s="4" t="s">
        <v>247</v>
      </c>
      <c r="D54" s="4" t="s">
        <v>99</v>
      </c>
      <c r="E54" s="5">
        <v>312802</v>
      </c>
      <c r="F54" s="6">
        <v>1965.1785649999999</v>
      </c>
      <c r="G54" s="7">
        <v>9.4484949999999995E-3</v>
      </c>
      <c r="H54" s="106"/>
    </row>
    <row r="55" spans="1:8" ht="17.100000000000001" customHeight="1" x14ac:dyDescent="0.2">
      <c r="A55" s="3">
        <v>49</v>
      </c>
      <c r="B55" s="4" t="s">
        <v>264</v>
      </c>
      <c r="C55" s="4" t="s">
        <v>265</v>
      </c>
      <c r="D55" s="4" t="s">
        <v>16</v>
      </c>
      <c r="E55" s="5">
        <v>131000</v>
      </c>
      <c r="F55" s="6">
        <v>1960.6769999999999</v>
      </c>
      <c r="G55" s="7">
        <v>9.4268519999999995E-3</v>
      </c>
      <c r="H55" s="106"/>
    </row>
    <row r="56" spans="1:8" ht="17.100000000000001" customHeight="1" x14ac:dyDescent="0.2">
      <c r="A56" s="3">
        <v>50</v>
      </c>
      <c r="B56" s="4" t="s">
        <v>386</v>
      </c>
      <c r="C56" s="4" t="s">
        <v>387</v>
      </c>
      <c r="D56" s="4" t="s">
        <v>110</v>
      </c>
      <c r="E56" s="5">
        <v>312601</v>
      </c>
      <c r="F56" s="6">
        <v>1869.666581</v>
      </c>
      <c r="G56" s="7">
        <v>8.9892779999999999E-3</v>
      </c>
      <c r="H56" s="106"/>
    </row>
    <row r="57" spans="1:8" ht="17.100000000000001" customHeight="1" x14ac:dyDescent="0.2">
      <c r="A57" s="3">
        <v>51</v>
      </c>
      <c r="B57" s="4" t="s">
        <v>350</v>
      </c>
      <c r="C57" s="4" t="s">
        <v>351</v>
      </c>
      <c r="D57" s="4" t="s">
        <v>31</v>
      </c>
      <c r="E57" s="5">
        <v>205000</v>
      </c>
      <c r="F57" s="6">
        <v>1865.5</v>
      </c>
      <c r="G57" s="7">
        <v>8.9692450000000007E-3</v>
      </c>
      <c r="H57" s="106"/>
    </row>
    <row r="58" spans="1:8" ht="17.100000000000001" customHeight="1" x14ac:dyDescent="0.2">
      <c r="A58" s="3">
        <v>52</v>
      </c>
      <c r="B58" s="4" t="s">
        <v>536</v>
      </c>
      <c r="C58" s="4" t="s">
        <v>537</v>
      </c>
      <c r="D58" s="4" t="s">
        <v>31</v>
      </c>
      <c r="E58" s="5">
        <v>61307</v>
      </c>
      <c r="F58" s="6">
        <v>1839.5471884999999</v>
      </c>
      <c r="G58" s="7">
        <v>8.8444649999999993E-3</v>
      </c>
      <c r="H58" s="106"/>
    </row>
    <row r="59" spans="1:8" ht="17.100000000000001" customHeight="1" x14ac:dyDescent="0.2">
      <c r="A59" s="3">
        <v>53</v>
      </c>
      <c r="B59" s="4" t="s">
        <v>538</v>
      </c>
      <c r="C59" s="4" t="s">
        <v>539</v>
      </c>
      <c r="D59" s="4" t="s">
        <v>89</v>
      </c>
      <c r="E59" s="5">
        <v>553006</v>
      </c>
      <c r="F59" s="6">
        <v>1823.5372850000001</v>
      </c>
      <c r="G59" s="7">
        <v>8.7674899999999993E-3</v>
      </c>
      <c r="H59" s="106"/>
    </row>
    <row r="60" spans="1:8" ht="17.100000000000001" customHeight="1" x14ac:dyDescent="0.2">
      <c r="A60" s="3">
        <v>54</v>
      </c>
      <c r="B60" s="4" t="s">
        <v>123</v>
      </c>
      <c r="C60" s="4" t="s">
        <v>124</v>
      </c>
      <c r="D60" s="4" t="s">
        <v>110</v>
      </c>
      <c r="E60" s="5">
        <v>84991</v>
      </c>
      <c r="F60" s="6">
        <v>1755.1066455</v>
      </c>
      <c r="G60" s="7">
        <v>8.4384779999999993E-3</v>
      </c>
      <c r="H60" s="106"/>
    </row>
    <row r="61" spans="1:8" ht="17.100000000000001" customHeight="1" x14ac:dyDescent="0.2">
      <c r="A61" s="3">
        <v>55</v>
      </c>
      <c r="B61" s="4" t="s">
        <v>540</v>
      </c>
      <c r="C61" s="4" t="s">
        <v>541</v>
      </c>
      <c r="D61" s="4" t="s">
        <v>182</v>
      </c>
      <c r="E61" s="5">
        <v>120000</v>
      </c>
      <c r="F61" s="6">
        <v>1679.28</v>
      </c>
      <c r="G61" s="7">
        <v>8.073907E-3</v>
      </c>
      <c r="H61" s="106"/>
    </row>
    <row r="62" spans="1:8" ht="17.100000000000001" customHeight="1" x14ac:dyDescent="0.2">
      <c r="A62" s="3">
        <v>56</v>
      </c>
      <c r="B62" s="4" t="s">
        <v>542</v>
      </c>
      <c r="C62" s="4" t="s">
        <v>543</v>
      </c>
      <c r="D62" s="4" t="s">
        <v>110</v>
      </c>
      <c r="E62" s="5">
        <v>30000</v>
      </c>
      <c r="F62" s="6">
        <v>1672.605</v>
      </c>
      <c r="G62" s="7">
        <v>8.0418139999999996E-3</v>
      </c>
      <c r="H62" s="106"/>
    </row>
    <row r="63" spans="1:8" ht="29.1" customHeight="1" x14ac:dyDescent="0.2">
      <c r="A63" s="3">
        <v>57</v>
      </c>
      <c r="B63" s="4" t="s">
        <v>428</v>
      </c>
      <c r="C63" s="4" t="s">
        <v>429</v>
      </c>
      <c r="D63" s="4" t="s">
        <v>204</v>
      </c>
      <c r="E63" s="5">
        <v>40215</v>
      </c>
      <c r="F63" s="6">
        <v>1621.8106275</v>
      </c>
      <c r="G63" s="7">
        <v>7.7975969999999999E-3</v>
      </c>
      <c r="H63" s="106"/>
    </row>
    <row r="64" spans="1:8" ht="17.100000000000001" customHeight="1" x14ac:dyDescent="0.2">
      <c r="A64" s="3">
        <v>58</v>
      </c>
      <c r="B64" s="4" t="s">
        <v>56</v>
      </c>
      <c r="C64" s="4" t="s">
        <v>57</v>
      </c>
      <c r="D64" s="4" t="s">
        <v>13</v>
      </c>
      <c r="E64" s="5">
        <v>607033</v>
      </c>
      <c r="F64" s="6">
        <v>1566.1451400000001</v>
      </c>
      <c r="G64" s="7">
        <v>7.5299599999999996E-3</v>
      </c>
      <c r="H64" s="106"/>
    </row>
    <row r="65" spans="1:8" ht="17.100000000000001" customHeight="1" x14ac:dyDescent="0.2">
      <c r="A65" s="3">
        <v>59</v>
      </c>
      <c r="B65" s="4" t="s">
        <v>544</v>
      </c>
      <c r="C65" s="4" t="s">
        <v>545</v>
      </c>
      <c r="D65" s="4" t="s">
        <v>324</v>
      </c>
      <c r="E65" s="5">
        <v>209888</v>
      </c>
      <c r="F65" s="6">
        <v>1450.2211359999999</v>
      </c>
      <c r="G65" s="7">
        <v>6.9726019999999996E-3</v>
      </c>
      <c r="H65" s="106"/>
    </row>
    <row r="66" spans="1:8" ht="17.100000000000001" customHeight="1" x14ac:dyDescent="0.2">
      <c r="A66" s="3">
        <v>60</v>
      </c>
      <c r="B66" s="4" t="s">
        <v>546</v>
      </c>
      <c r="C66" s="4" t="s">
        <v>547</v>
      </c>
      <c r="D66" s="4" t="s">
        <v>110</v>
      </c>
      <c r="E66" s="5">
        <v>192900</v>
      </c>
      <c r="F66" s="6">
        <v>1441.1559</v>
      </c>
      <c r="G66" s="7">
        <v>6.929017E-3</v>
      </c>
      <c r="H66" s="106"/>
    </row>
    <row r="67" spans="1:8" ht="29.1" customHeight="1" x14ac:dyDescent="0.2">
      <c r="A67" s="3">
        <v>61</v>
      </c>
      <c r="B67" s="4" t="s">
        <v>548</v>
      </c>
      <c r="C67" s="4" t="s">
        <v>549</v>
      </c>
      <c r="D67" s="4" t="s">
        <v>366</v>
      </c>
      <c r="E67" s="5">
        <v>450000</v>
      </c>
      <c r="F67" s="6">
        <v>1421.7750000000001</v>
      </c>
      <c r="G67" s="7">
        <v>6.8358339999999998E-3</v>
      </c>
      <c r="H67" s="106"/>
    </row>
    <row r="68" spans="1:8" ht="17.100000000000001" customHeight="1" x14ac:dyDescent="0.2">
      <c r="A68" s="3">
        <v>62</v>
      </c>
      <c r="B68" s="4" t="s">
        <v>243</v>
      </c>
      <c r="C68" s="4" t="s">
        <v>244</v>
      </c>
      <c r="D68" s="4" t="s">
        <v>245</v>
      </c>
      <c r="E68" s="5">
        <v>200000</v>
      </c>
      <c r="F68" s="6">
        <v>1416.1</v>
      </c>
      <c r="G68" s="7">
        <v>6.8085489999999997E-3</v>
      </c>
      <c r="H68" s="106"/>
    </row>
    <row r="69" spans="1:8" ht="17.100000000000001" customHeight="1" x14ac:dyDescent="0.2">
      <c r="A69" s="3">
        <v>63</v>
      </c>
      <c r="B69" s="4" t="s">
        <v>550</v>
      </c>
      <c r="C69" s="4" t="s">
        <v>551</v>
      </c>
      <c r="D69" s="4" t="s">
        <v>212</v>
      </c>
      <c r="E69" s="5">
        <v>94501</v>
      </c>
      <c r="F69" s="6">
        <v>1414.868972</v>
      </c>
      <c r="G69" s="7">
        <v>6.8026299999999996E-3</v>
      </c>
      <c r="H69" s="106"/>
    </row>
    <row r="70" spans="1:8" ht="17.100000000000001" customHeight="1" x14ac:dyDescent="0.2">
      <c r="A70" s="3">
        <v>64</v>
      </c>
      <c r="B70" s="4" t="s">
        <v>102</v>
      </c>
      <c r="C70" s="4" t="s">
        <v>103</v>
      </c>
      <c r="D70" s="4" t="s">
        <v>13</v>
      </c>
      <c r="E70" s="5">
        <v>634000</v>
      </c>
      <c r="F70" s="6">
        <v>1411.2840000000001</v>
      </c>
      <c r="G70" s="7">
        <v>6.7853940000000001E-3</v>
      </c>
      <c r="H70" s="106"/>
    </row>
    <row r="71" spans="1:8" ht="17.100000000000001" customHeight="1" x14ac:dyDescent="0.2">
      <c r="A71" s="3">
        <v>65</v>
      </c>
      <c r="B71" s="4" t="s">
        <v>426</v>
      </c>
      <c r="C71" s="4" t="s">
        <v>427</v>
      </c>
      <c r="D71" s="4" t="s">
        <v>31</v>
      </c>
      <c r="E71" s="5">
        <v>174450</v>
      </c>
      <c r="F71" s="6">
        <v>1384.2607499999999</v>
      </c>
      <c r="G71" s="7">
        <v>6.655467E-3</v>
      </c>
      <c r="H71" s="106"/>
    </row>
    <row r="72" spans="1:8" ht="29.1" customHeight="1" x14ac:dyDescent="0.2">
      <c r="A72" s="3">
        <v>66</v>
      </c>
      <c r="B72" s="4" t="s">
        <v>291</v>
      </c>
      <c r="C72" s="4" t="s">
        <v>292</v>
      </c>
      <c r="D72" s="4" t="s">
        <v>188</v>
      </c>
      <c r="E72" s="5">
        <v>181328</v>
      </c>
      <c r="F72" s="6">
        <v>1378.0021360000001</v>
      </c>
      <c r="G72" s="7">
        <v>6.6253759999999997E-3</v>
      </c>
      <c r="H72" s="106"/>
    </row>
    <row r="73" spans="1:8" ht="17.100000000000001" customHeight="1" x14ac:dyDescent="0.2">
      <c r="A73" s="3">
        <v>67</v>
      </c>
      <c r="B73" s="4" t="s">
        <v>356</v>
      </c>
      <c r="C73" s="4" t="s">
        <v>357</v>
      </c>
      <c r="D73" s="4" t="s">
        <v>41</v>
      </c>
      <c r="E73" s="5">
        <v>58528</v>
      </c>
      <c r="F73" s="6">
        <v>1107.9350400000001</v>
      </c>
      <c r="G73" s="7">
        <v>5.3269049999999998E-3</v>
      </c>
      <c r="H73" s="106"/>
    </row>
    <row r="74" spans="1:8" ht="17.100000000000001" customHeight="1" x14ac:dyDescent="0.2">
      <c r="A74" s="3">
        <v>68</v>
      </c>
      <c r="B74" s="4" t="s">
        <v>552</v>
      </c>
      <c r="C74" s="4" t="s">
        <v>553</v>
      </c>
      <c r="D74" s="4" t="s">
        <v>193</v>
      </c>
      <c r="E74" s="5">
        <v>200000</v>
      </c>
      <c r="F74" s="6">
        <v>1103.8</v>
      </c>
      <c r="G74" s="7">
        <v>5.3070239999999996E-3</v>
      </c>
      <c r="H74" s="106"/>
    </row>
    <row r="75" spans="1:8" ht="17.100000000000001" customHeight="1" x14ac:dyDescent="0.2">
      <c r="A75" s="3">
        <v>69</v>
      </c>
      <c r="B75" s="4" t="s">
        <v>213</v>
      </c>
      <c r="C75" s="4" t="s">
        <v>214</v>
      </c>
      <c r="D75" s="4" t="s">
        <v>1114</v>
      </c>
      <c r="E75" s="5">
        <v>22000</v>
      </c>
      <c r="F75" s="6">
        <v>812.471</v>
      </c>
      <c r="G75" s="7">
        <v>3.9063259999999999E-3</v>
      </c>
      <c r="H75" s="106"/>
    </row>
    <row r="76" spans="1:8" ht="17.100000000000001" customHeight="1" x14ac:dyDescent="0.2">
      <c r="A76" s="3">
        <v>70</v>
      </c>
      <c r="B76" s="4" t="s">
        <v>554</v>
      </c>
      <c r="C76" s="4" t="s">
        <v>555</v>
      </c>
      <c r="D76" s="4" t="s">
        <v>19</v>
      </c>
      <c r="E76" s="5">
        <v>56721</v>
      </c>
      <c r="F76" s="6">
        <v>743.07346050000001</v>
      </c>
      <c r="G76" s="7">
        <v>3.5726659999999999E-3</v>
      </c>
      <c r="H76" s="106"/>
    </row>
    <row r="77" spans="1:8" ht="17.100000000000001" customHeight="1" x14ac:dyDescent="0.2">
      <c r="A77" s="3">
        <v>71</v>
      </c>
      <c r="B77" s="4" t="s">
        <v>556</v>
      </c>
      <c r="C77" s="4" t="s">
        <v>557</v>
      </c>
      <c r="D77" s="4" t="s">
        <v>1114</v>
      </c>
      <c r="E77" s="5">
        <v>10000</v>
      </c>
      <c r="F77" s="6">
        <v>699.58500000000004</v>
      </c>
      <c r="G77" s="7">
        <v>3.3635750000000002E-3</v>
      </c>
      <c r="H77" s="106"/>
    </row>
    <row r="78" spans="1:8" ht="17.100000000000001" customHeight="1" x14ac:dyDescent="0.2">
      <c r="A78" s="3">
        <v>72</v>
      </c>
      <c r="B78" s="4" t="s">
        <v>558</v>
      </c>
      <c r="C78" s="4" t="s">
        <v>559</v>
      </c>
      <c r="D78" s="4" t="s">
        <v>182</v>
      </c>
      <c r="E78" s="5">
        <v>43906</v>
      </c>
      <c r="F78" s="6">
        <v>636.21989299999996</v>
      </c>
      <c r="G78" s="7">
        <v>3.0589179999999999E-3</v>
      </c>
      <c r="H78" s="106"/>
    </row>
    <row r="79" spans="1:8" ht="17.100000000000001" customHeight="1" x14ac:dyDescent="0.2">
      <c r="A79" s="3">
        <v>73</v>
      </c>
      <c r="B79" s="4" t="s">
        <v>125</v>
      </c>
      <c r="C79" s="4" t="s">
        <v>126</v>
      </c>
      <c r="D79" s="4"/>
      <c r="E79" s="5">
        <v>208000</v>
      </c>
      <c r="F79" s="6">
        <v>627.64</v>
      </c>
      <c r="G79" s="7">
        <v>3.0176669999999999E-3</v>
      </c>
      <c r="H79" s="106"/>
    </row>
    <row r="80" spans="1:8" ht="17.100000000000001" customHeight="1" x14ac:dyDescent="0.2">
      <c r="A80" s="3">
        <v>74</v>
      </c>
      <c r="B80" s="4" t="s">
        <v>560</v>
      </c>
      <c r="C80" s="4" t="s">
        <v>561</v>
      </c>
      <c r="D80" s="4" t="s">
        <v>110</v>
      </c>
      <c r="E80" s="5">
        <v>194403</v>
      </c>
      <c r="F80" s="6">
        <v>621.11758499999996</v>
      </c>
      <c r="G80" s="7">
        <v>2.9863070000000001E-3</v>
      </c>
      <c r="H80" s="106"/>
    </row>
    <row r="81" spans="1:8" ht="14.1" customHeight="1" x14ac:dyDescent="0.2">
      <c r="A81" s="1"/>
      <c r="B81" s="1"/>
      <c r="C81" s="2" t="s">
        <v>130</v>
      </c>
      <c r="D81" s="1"/>
      <c r="E81" s="1" t="s">
        <v>131</v>
      </c>
      <c r="F81" s="9">
        <v>196511.76927800002</v>
      </c>
      <c r="G81" s="10">
        <v>0.94482027300000038</v>
      </c>
      <c r="H81" s="106"/>
    </row>
    <row r="82" spans="1:8" ht="14.1" customHeight="1" x14ac:dyDescent="0.2">
      <c r="A82" s="1"/>
      <c r="B82" s="1"/>
      <c r="C82" s="11"/>
      <c r="D82" s="1"/>
      <c r="E82" s="1"/>
      <c r="F82" s="12"/>
      <c r="G82" s="12"/>
      <c r="H82" s="106"/>
    </row>
    <row r="83" spans="1:8" ht="14.1" customHeight="1" x14ac:dyDescent="0.2">
      <c r="A83" s="1"/>
      <c r="B83" s="1"/>
      <c r="C83" s="2" t="s">
        <v>132</v>
      </c>
      <c r="D83" s="1"/>
      <c r="E83" s="1"/>
      <c r="F83" s="1"/>
      <c r="G83" s="1"/>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133</v>
      </c>
      <c r="D86" s="1"/>
      <c r="E86" s="1"/>
      <c r="F86" s="1"/>
      <c r="G86" s="1"/>
      <c r="H86" s="106"/>
    </row>
    <row r="87" spans="1:8" ht="17.100000000000001" customHeight="1" x14ac:dyDescent="0.2">
      <c r="A87" s="3">
        <v>1</v>
      </c>
      <c r="B87" s="4" t="s">
        <v>127</v>
      </c>
      <c r="C87" s="102" t="s">
        <v>991</v>
      </c>
      <c r="D87" s="4" t="s">
        <v>128</v>
      </c>
      <c r="E87" s="5">
        <v>375961</v>
      </c>
      <c r="F87" s="6">
        <v>7.5190000000000003E-6</v>
      </c>
      <c r="G87" s="8" t="s">
        <v>129</v>
      </c>
      <c r="H87" s="106"/>
    </row>
    <row r="88" spans="1:8" ht="14.1" customHeight="1" x14ac:dyDescent="0.2">
      <c r="A88" s="1"/>
      <c r="B88" s="1"/>
      <c r="C88" s="2" t="s">
        <v>130</v>
      </c>
      <c r="D88" s="1"/>
      <c r="E88" s="1" t="s">
        <v>131</v>
      </c>
      <c r="F88" s="13">
        <v>7.5190000000000003E-6</v>
      </c>
      <c r="G88" s="14">
        <v>0</v>
      </c>
      <c r="H88" s="106"/>
    </row>
    <row r="89" spans="1:8" ht="14.1" customHeight="1" x14ac:dyDescent="0.2">
      <c r="A89" s="1"/>
      <c r="B89" s="1"/>
      <c r="C89" s="11"/>
      <c r="D89" s="1"/>
      <c r="E89" s="1"/>
      <c r="F89" s="12"/>
      <c r="G89" s="12"/>
      <c r="H89" s="106"/>
    </row>
    <row r="90" spans="1:8" ht="14.1" customHeight="1" x14ac:dyDescent="0.2">
      <c r="A90" s="1"/>
      <c r="B90" s="1"/>
      <c r="C90" s="2" t="s">
        <v>134</v>
      </c>
      <c r="D90" s="1"/>
      <c r="E90" s="1"/>
      <c r="F90" s="1"/>
      <c r="G90" s="1"/>
      <c r="H90" s="106"/>
    </row>
    <row r="91" spans="1:8" ht="14.1" customHeight="1" x14ac:dyDescent="0.2">
      <c r="A91" s="1"/>
      <c r="B91" s="1"/>
      <c r="C91" s="2" t="s">
        <v>130</v>
      </c>
      <c r="D91" s="1"/>
      <c r="E91" s="1" t="s">
        <v>131</v>
      </c>
      <c r="F91" s="13">
        <v>0</v>
      </c>
      <c r="G91" s="14">
        <v>0</v>
      </c>
      <c r="H91" s="106"/>
    </row>
    <row r="92" spans="1:8" ht="14.1" customHeight="1" x14ac:dyDescent="0.2">
      <c r="A92" s="1"/>
      <c r="B92" s="1"/>
      <c r="C92" s="11"/>
      <c r="D92" s="1"/>
      <c r="E92" s="1"/>
      <c r="F92" s="12"/>
      <c r="G92" s="12"/>
      <c r="H92" s="106"/>
    </row>
    <row r="93" spans="1:8" ht="14.1" customHeight="1" x14ac:dyDescent="0.2">
      <c r="A93" s="1"/>
      <c r="B93" s="1"/>
      <c r="C93" s="2" t="s">
        <v>135</v>
      </c>
      <c r="D93" s="1"/>
      <c r="E93" s="1"/>
      <c r="F93" s="12"/>
      <c r="G93" s="12"/>
      <c r="H93" s="106"/>
    </row>
    <row r="94" spans="1:8" ht="14.1" customHeight="1" x14ac:dyDescent="0.2">
      <c r="A94" s="1"/>
      <c r="B94" s="1"/>
      <c r="C94" s="2" t="s">
        <v>130</v>
      </c>
      <c r="D94" s="1"/>
      <c r="E94" s="1" t="s">
        <v>131</v>
      </c>
      <c r="F94" s="13">
        <v>0</v>
      </c>
      <c r="G94" s="14">
        <v>0</v>
      </c>
      <c r="H94" s="106"/>
    </row>
    <row r="95" spans="1:8" ht="14.1" customHeight="1" x14ac:dyDescent="0.2">
      <c r="A95" s="1"/>
      <c r="B95" s="1"/>
      <c r="C95" s="11"/>
      <c r="D95" s="1"/>
      <c r="E95" s="1"/>
      <c r="F95" s="12"/>
      <c r="G95" s="12"/>
      <c r="H95" s="106"/>
    </row>
    <row r="96" spans="1:8" ht="14.1" customHeight="1" x14ac:dyDescent="0.2">
      <c r="A96" s="1"/>
      <c r="B96" s="1"/>
      <c r="C96" s="2" t="s">
        <v>136</v>
      </c>
      <c r="D96" s="1"/>
      <c r="E96" s="1"/>
      <c r="F96" s="12"/>
      <c r="G96" s="12"/>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8" customHeight="1" x14ac:dyDescent="0.2">
      <c r="A99" s="1"/>
      <c r="B99" s="1"/>
      <c r="C99" s="2" t="s">
        <v>137</v>
      </c>
      <c r="D99" s="1"/>
      <c r="E99" s="1"/>
      <c r="F99" s="9">
        <v>196511.769285519</v>
      </c>
      <c r="G99" s="10">
        <v>0.94482027300000004</v>
      </c>
      <c r="H99" s="106"/>
    </row>
    <row r="100" spans="1:8" ht="14.1" customHeight="1" x14ac:dyDescent="0.2">
      <c r="A100" s="1"/>
      <c r="B100" s="1"/>
      <c r="C100" s="11"/>
      <c r="D100" s="1"/>
      <c r="E100" s="1"/>
      <c r="F100" s="12"/>
      <c r="G100" s="12"/>
      <c r="H100" s="106"/>
    </row>
    <row r="101" spans="1:8" ht="14.1" customHeight="1" x14ac:dyDescent="0.2">
      <c r="A101" s="1"/>
      <c r="B101" s="1"/>
      <c r="C101" s="2" t="s">
        <v>138</v>
      </c>
      <c r="D101" s="1"/>
      <c r="E101" s="1"/>
      <c r="F101" s="12"/>
      <c r="G101" s="12"/>
      <c r="H101" s="106"/>
    </row>
    <row r="102" spans="1:8" ht="24" customHeight="1" x14ac:dyDescent="0.2">
      <c r="A102" s="1"/>
      <c r="B102" s="1"/>
      <c r="C102" s="2" t="s">
        <v>10</v>
      </c>
      <c r="D102" s="1"/>
      <c r="E102" s="1"/>
      <c r="F102" s="12"/>
      <c r="G102" s="12"/>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139</v>
      </c>
      <c r="D105" s="1"/>
      <c r="E105" s="1"/>
      <c r="F105" s="1"/>
      <c r="G105" s="1"/>
      <c r="H105" s="106"/>
    </row>
    <row r="106" spans="1:8" ht="14.1" customHeight="1" x14ac:dyDescent="0.2">
      <c r="A106" s="1"/>
      <c r="B106" s="1"/>
      <c r="C106" s="2" t="s">
        <v>130</v>
      </c>
      <c r="D106" s="1"/>
      <c r="E106" s="1" t="s">
        <v>131</v>
      </c>
      <c r="F106" s="13">
        <v>0</v>
      </c>
      <c r="G106" s="14">
        <v>0</v>
      </c>
      <c r="H106" s="106"/>
    </row>
    <row r="107" spans="1:8" ht="14.1" customHeight="1" x14ac:dyDescent="0.2">
      <c r="A107" s="1"/>
      <c r="B107" s="1"/>
      <c r="C107" s="11"/>
      <c r="D107" s="1"/>
      <c r="E107" s="1"/>
      <c r="F107" s="12"/>
      <c r="G107" s="12"/>
      <c r="H107" s="106"/>
    </row>
    <row r="108" spans="1:8" ht="14.1" customHeight="1" x14ac:dyDescent="0.2">
      <c r="A108" s="1"/>
      <c r="B108" s="1"/>
      <c r="C108" s="2" t="s">
        <v>140</v>
      </c>
      <c r="D108" s="1"/>
      <c r="E108" s="1"/>
      <c r="F108" s="1"/>
      <c r="G108" s="1"/>
      <c r="H108" s="106"/>
    </row>
    <row r="109" spans="1:8" ht="14.1" customHeight="1" x14ac:dyDescent="0.2">
      <c r="A109" s="1"/>
      <c r="B109" s="1"/>
      <c r="C109" s="2" t="s">
        <v>130</v>
      </c>
      <c r="D109" s="1"/>
      <c r="E109" s="1" t="s">
        <v>131</v>
      </c>
      <c r="F109" s="13">
        <v>0</v>
      </c>
      <c r="G109" s="14">
        <v>0</v>
      </c>
      <c r="H109" s="106"/>
    </row>
    <row r="110" spans="1:8" ht="14.1" customHeight="1" x14ac:dyDescent="0.2">
      <c r="A110" s="1"/>
      <c r="B110" s="1"/>
      <c r="C110" s="11"/>
      <c r="D110" s="1"/>
      <c r="E110" s="1"/>
      <c r="F110" s="12"/>
      <c r="G110" s="12"/>
      <c r="H110" s="106"/>
    </row>
    <row r="111" spans="1:8" ht="14.1" customHeight="1" x14ac:dyDescent="0.2">
      <c r="A111" s="1"/>
      <c r="B111" s="1"/>
      <c r="C111" s="2" t="s">
        <v>141</v>
      </c>
      <c r="D111" s="1"/>
      <c r="E111" s="1"/>
      <c r="F111" s="12"/>
      <c r="G111" s="12"/>
      <c r="H111" s="106"/>
    </row>
    <row r="112" spans="1:8" ht="14.1" customHeight="1" x14ac:dyDescent="0.2">
      <c r="A112" s="1"/>
      <c r="B112" s="1"/>
      <c r="C112" s="2" t="s">
        <v>130</v>
      </c>
      <c r="D112" s="1"/>
      <c r="E112" s="1" t="s">
        <v>131</v>
      </c>
      <c r="F112" s="13">
        <v>0</v>
      </c>
      <c r="G112" s="14">
        <v>0</v>
      </c>
      <c r="H112" s="106"/>
    </row>
    <row r="113" spans="1:8" ht="14.1" customHeight="1" x14ac:dyDescent="0.2">
      <c r="A113" s="1"/>
      <c r="B113" s="1"/>
      <c r="C113" s="11"/>
      <c r="D113" s="1"/>
      <c r="E113" s="1"/>
      <c r="F113" s="12"/>
      <c r="G113" s="12"/>
      <c r="H113" s="106"/>
    </row>
    <row r="114" spans="1:8" ht="14.1" customHeight="1" x14ac:dyDescent="0.2">
      <c r="A114" s="1"/>
      <c r="B114" s="1"/>
      <c r="C114" s="2" t="s">
        <v>142</v>
      </c>
      <c r="D114" s="1"/>
      <c r="E114" s="1"/>
      <c r="F114" s="9">
        <v>0</v>
      </c>
      <c r="G114" s="10">
        <v>0</v>
      </c>
      <c r="H114" s="106"/>
    </row>
    <row r="115" spans="1:8" ht="14.1" customHeight="1" x14ac:dyDescent="0.2">
      <c r="A115" s="1"/>
      <c r="B115" s="1"/>
      <c r="C115" s="11"/>
      <c r="D115" s="1"/>
      <c r="E115" s="1"/>
      <c r="F115" s="12"/>
      <c r="G115" s="12"/>
      <c r="H115" s="106"/>
    </row>
    <row r="116" spans="1:8" ht="14.1" customHeight="1" x14ac:dyDescent="0.2">
      <c r="A116" s="1"/>
      <c r="B116" s="1"/>
      <c r="C116" s="2" t="s">
        <v>143</v>
      </c>
      <c r="D116" s="1"/>
      <c r="E116" s="1"/>
      <c r="F116" s="12"/>
      <c r="G116" s="12"/>
      <c r="H116" s="106"/>
    </row>
    <row r="117" spans="1:8" ht="14.1" customHeight="1" x14ac:dyDescent="0.2">
      <c r="A117" s="1"/>
      <c r="B117" s="1"/>
      <c r="C117" s="2" t="s">
        <v>144</v>
      </c>
      <c r="D117" s="1"/>
      <c r="E117" s="1"/>
      <c r="F117" s="12"/>
      <c r="G117" s="12"/>
      <c r="H117" s="106"/>
    </row>
    <row r="118" spans="1:8" ht="14.1" customHeight="1" x14ac:dyDescent="0.2">
      <c r="A118" s="1"/>
      <c r="B118" s="1"/>
      <c r="C118" s="2" t="s">
        <v>130</v>
      </c>
      <c r="D118" s="1"/>
      <c r="E118" s="1" t="s">
        <v>131</v>
      </c>
      <c r="F118" s="13">
        <v>0</v>
      </c>
      <c r="G118" s="14">
        <v>0</v>
      </c>
      <c r="H118" s="106"/>
    </row>
    <row r="119" spans="1:8" ht="14.1" customHeight="1" x14ac:dyDescent="0.2">
      <c r="A119" s="1"/>
      <c r="B119" s="1"/>
      <c r="C119" s="11"/>
      <c r="D119" s="1"/>
      <c r="E119" s="1"/>
      <c r="F119" s="12"/>
      <c r="G119" s="12"/>
      <c r="H119" s="106"/>
    </row>
    <row r="120" spans="1:8" ht="14.1" customHeight="1" x14ac:dyDescent="0.2">
      <c r="A120" s="1"/>
      <c r="B120" s="1"/>
      <c r="C120" s="2" t="s">
        <v>145</v>
      </c>
      <c r="D120" s="1"/>
      <c r="E120" s="1"/>
      <c r="F120" s="12"/>
      <c r="G120" s="12"/>
      <c r="H120" s="106"/>
    </row>
    <row r="121" spans="1:8" ht="14.1" customHeight="1" x14ac:dyDescent="0.2">
      <c r="A121" s="1"/>
      <c r="B121" s="1"/>
      <c r="C121" s="2" t="s">
        <v>130</v>
      </c>
      <c r="D121" s="1"/>
      <c r="E121" s="1" t="s">
        <v>131</v>
      </c>
      <c r="F121" s="13">
        <v>0</v>
      </c>
      <c r="G121" s="14">
        <v>0</v>
      </c>
      <c r="H121" s="106"/>
    </row>
    <row r="122" spans="1:8" ht="14.1" customHeight="1" x14ac:dyDescent="0.2">
      <c r="A122" s="1"/>
      <c r="B122" s="1"/>
      <c r="C122" s="11"/>
      <c r="D122" s="1"/>
      <c r="E122" s="1"/>
      <c r="F122" s="12"/>
      <c r="G122" s="12"/>
      <c r="H122" s="106"/>
    </row>
    <row r="123" spans="1:8" ht="14.1" customHeight="1" x14ac:dyDescent="0.2">
      <c r="A123" s="1"/>
      <c r="B123" s="1"/>
      <c r="C123" s="2" t="s">
        <v>146</v>
      </c>
      <c r="D123" s="1"/>
      <c r="E123" s="1"/>
      <c r="F123" s="12"/>
      <c r="G123" s="12"/>
      <c r="H123" s="106"/>
    </row>
    <row r="124" spans="1:8" ht="14.1" customHeight="1" x14ac:dyDescent="0.2">
      <c r="A124" s="1"/>
      <c r="B124" s="1"/>
      <c r="C124" s="2" t="s">
        <v>130</v>
      </c>
      <c r="D124" s="1"/>
      <c r="E124" s="1" t="s">
        <v>131</v>
      </c>
      <c r="F124" s="13">
        <v>0</v>
      </c>
      <c r="G124" s="14">
        <v>0</v>
      </c>
      <c r="H124" s="106"/>
    </row>
    <row r="125" spans="1:8" ht="14.1" customHeight="1" x14ac:dyDescent="0.2">
      <c r="A125" s="1"/>
      <c r="B125" s="1"/>
      <c r="C125" s="11"/>
      <c r="D125" s="1"/>
      <c r="E125" s="1"/>
      <c r="F125" s="12"/>
      <c r="G125" s="12"/>
      <c r="H125" s="106"/>
    </row>
    <row r="126" spans="1:8" ht="14.1" customHeight="1" x14ac:dyDescent="0.2">
      <c r="A126" s="1"/>
      <c r="B126" s="1"/>
      <c r="C126" s="2" t="s">
        <v>147</v>
      </c>
      <c r="D126" s="1"/>
      <c r="E126" s="1"/>
      <c r="F126" s="12"/>
      <c r="G126" s="12"/>
      <c r="H126" s="106"/>
    </row>
    <row r="127" spans="1:8" ht="17.100000000000001" customHeight="1" x14ac:dyDescent="0.2">
      <c r="A127" s="3">
        <v>1</v>
      </c>
      <c r="B127" s="4"/>
      <c r="C127" s="4" t="s">
        <v>148</v>
      </c>
      <c r="D127" s="4"/>
      <c r="E127" s="8"/>
      <c r="F127" s="6">
        <v>10438.2010281</v>
      </c>
      <c r="G127" s="7">
        <v>5.0186428999999998E-2</v>
      </c>
      <c r="H127" s="106">
        <v>6.1171451766917002</v>
      </c>
    </row>
    <row r="128" spans="1:8" ht="14.1" customHeight="1" x14ac:dyDescent="0.2">
      <c r="A128" s="1"/>
      <c r="B128" s="1"/>
      <c r="C128" s="2" t="s">
        <v>130</v>
      </c>
      <c r="D128" s="1"/>
      <c r="E128" s="1" t="s">
        <v>131</v>
      </c>
      <c r="F128" s="9">
        <v>10438.2010281</v>
      </c>
      <c r="G128" s="10">
        <v>5.0186428999999998E-2</v>
      </c>
      <c r="H128" s="106"/>
    </row>
    <row r="129" spans="1:8" ht="14.1" customHeight="1" x14ac:dyDescent="0.2">
      <c r="A129" s="1"/>
      <c r="B129" s="1"/>
      <c r="C129" s="11"/>
      <c r="D129" s="1"/>
      <c r="E129" s="1"/>
      <c r="F129" s="12"/>
      <c r="G129" s="12"/>
      <c r="H129" s="106"/>
    </row>
    <row r="130" spans="1:8" ht="14.1" customHeight="1" x14ac:dyDescent="0.2">
      <c r="A130" s="1"/>
      <c r="B130" s="1"/>
      <c r="C130" s="2" t="s">
        <v>149</v>
      </c>
      <c r="D130" s="1"/>
      <c r="E130" s="1"/>
      <c r="F130" s="9">
        <v>10438.2010281</v>
      </c>
      <c r="G130" s="10">
        <v>5.0186428999999998E-2</v>
      </c>
      <c r="H130" s="106"/>
    </row>
    <row r="131" spans="1:8" ht="14.1" customHeight="1" x14ac:dyDescent="0.2">
      <c r="A131" s="1"/>
      <c r="B131" s="1"/>
      <c r="C131" s="12"/>
      <c r="D131" s="1"/>
      <c r="E131" s="1"/>
      <c r="F131" s="1"/>
      <c r="G131" s="1"/>
      <c r="H131" s="106"/>
    </row>
    <row r="132" spans="1:8" ht="14.1" customHeight="1" x14ac:dyDescent="0.2">
      <c r="A132" s="1"/>
      <c r="B132" s="1"/>
      <c r="C132" s="2" t="s">
        <v>150</v>
      </c>
      <c r="D132" s="1"/>
      <c r="E132" s="1"/>
      <c r="F132" s="1"/>
      <c r="G132" s="1"/>
      <c r="H132" s="106"/>
    </row>
    <row r="133" spans="1:8" ht="14.1" customHeight="1" x14ac:dyDescent="0.2">
      <c r="A133" s="1"/>
      <c r="B133" s="1"/>
      <c r="C133" s="2" t="s">
        <v>151</v>
      </c>
      <c r="D133" s="1"/>
      <c r="E133" s="1"/>
      <c r="F133" s="1"/>
      <c r="G133" s="1"/>
      <c r="H133" s="106"/>
    </row>
    <row r="134" spans="1:8" ht="14.1" customHeight="1" x14ac:dyDescent="0.2">
      <c r="A134" s="1"/>
      <c r="B134" s="1"/>
      <c r="C134" s="2" t="s">
        <v>130</v>
      </c>
      <c r="D134" s="1"/>
      <c r="E134" s="1" t="s">
        <v>131</v>
      </c>
      <c r="F134" s="13">
        <v>0</v>
      </c>
      <c r="G134" s="14">
        <v>0</v>
      </c>
      <c r="H134" s="106"/>
    </row>
    <row r="135" spans="1:8" ht="14.1" customHeight="1" x14ac:dyDescent="0.2">
      <c r="A135" s="1"/>
      <c r="B135" s="1"/>
      <c r="C135" s="11"/>
      <c r="D135" s="1"/>
      <c r="E135" s="1"/>
      <c r="F135" s="12"/>
      <c r="G135" s="12"/>
      <c r="H135" s="106"/>
    </row>
    <row r="136" spans="1:8" ht="14.1" customHeight="1" x14ac:dyDescent="0.2">
      <c r="A136" s="1"/>
      <c r="B136" s="1"/>
      <c r="C136" s="2" t="s">
        <v>152</v>
      </c>
      <c r="D136" s="1"/>
      <c r="E136" s="1"/>
      <c r="F136" s="1"/>
      <c r="G136" s="1"/>
      <c r="H136" s="106"/>
    </row>
    <row r="137" spans="1:8" ht="14.1" customHeight="1" x14ac:dyDescent="0.2">
      <c r="A137" s="1"/>
      <c r="B137" s="1"/>
      <c r="C137" s="2" t="s">
        <v>153</v>
      </c>
      <c r="D137" s="1"/>
      <c r="E137" s="1"/>
      <c r="F137" s="1"/>
      <c r="G137" s="1"/>
      <c r="H137" s="106"/>
    </row>
    <row r="138" spans="1:8" ht="14.1" customHeight="1" x14ac:dyDescent="0.2">
      <c r="A138" s="1"/>
      <c r="B138" s="1"/>
      <c r="C138" s="2" t="s">
        <v>130</v>
      </c>
      <c r="D138" s="1"/>
      <c r="E138" s="1" t="s">
        <v>131</v>
      </c>
      <c r="F138" s="13">
        <v>0</v>
      </c>
      <c r="G138" s="14">
        <v>0</v>
      </c>
      <c r="H138" s="106"/>
    </row>
    <row r="139" spans="1:8" ht="14.1" customHeight="1" x14ac:dyDescent="0.2">
      <c r="A139" s="1"/>
      <c r="B139" s="1"/>
      <c r="C139" s="11"/>
      <c r="D139" s="1"/>
      <c r="E139" s="1"/>
      <c r="F139" s="12"/>
      <c r="G139" s="12"/>
      <c r="H139" s="106"/>
    </row>
    <row r="140" spans="1:8" ht="14.1" customHeight="1" x14ac:dyDescent="0.2">
      <c r="A140" s="1"/>
      <c r="B140" s="1"/>
      <c r="C140" s="11"/>
      <c r="D140" s="1"/>
      <c r="E140" s="1"/>
      <c r="F140" s="12"/>
      <c r="G140" s="12"/>
      <c r="H140" s="106"/>
    </row>
    <row r="141" spans="1:8" ht="24" customHeight="1" x14ac:dyDescent="0.2">
      <c r="A141" s="1"/>
      <c r="B141" s="1"/>
      <c r="C141" s="2" t="s">
        <v>154</v>
      </c>
      <c r="D141" s="1"/>
      <c r="E141" s="1"/>
      <c r="F141" s="12"/>
      <c r="G141" s="12"/>
      <c r="H141" s="106"/>
    </row>
    <row r="142" spans="1:8" ht="14.1" customHeight="1" x14ac:dyDescent="0.2">
      <c r="A142" s="1"/>
      <c r="B142" s="1"/>
      <c r="C142" s="2" t="s">
        <v>130</v>
      </c>
      <c r="D142" s="1"/>
      <c r="E142" s="1" t="s">
        <v>131</v>
      </c>
      <c r="F142" s="13">
        <v>0</v>
      </c>
      <c r="G142" s="14">
        <v>0</v>
      </c>
      <c r="H142" s="106"/>
    </row>
    <row r="143" spans="1:8" ht="14.1" customHeight="1" x14ac:dyDescent="0.2">
      <c r="A143" s="1"/>
      <c r="B143" s="1"/>
      <c r="C143" s="11"/>
      <c r="D143" s="1"/>
      <c r="E143" s="1"/>
      <c r="F143" s="12"/>
      <c r="G143" s="12"/>
      <c r="H143" s="106"/>
    </row>
    <row r="144" spans="1:8" ht="14.1" customHeight="1" x14ac:dyDescent="0.2">
      <c r="A144" s="1"/>
      <c r="B144" s="4"/>
      <c r="C144" s="4"/>
      <c r="D144" s="2"/>
      <c r="E144" s="1"/>
      <c r="F144" s="4"/>
      <c r="G144" s="8"/>
      <c r="H144" s="106"/>
    </row>
    <row r="145" spans="1:14" ht="18" customHeight="1" x14ac:dyDescent="0.2">
      <c r="A145" s="8"/>
      <c r="B145" s="4"/>
      <c r="C145" s="4" t="s">
        <v>155</v>
      </c>
      <c r="D145" s="4"/>
      <c r="E145" s="8"/>
      <c r="F145" s="6">
        <v>1038.5498519800001</v>
      </c>
      <c r="G145" s="7">
        <v>4.9933039999999996E-3</v>
      </c>
      <c r="H145" s="106"/>
    </row>
    <row r="146" spans="1:14" ht="14.1" customHeight="1" x14ac:dyDescent="0.2">
      <c r="A146" s="11"/>
      <c r="B146" s="11"/>
      <c r="C146" s="2" t="s">
        <v>156</v>
      </c>
      <c r="D146" s="15"/>
      <c r="E146" s="15"/>
      <c r="F146" s="9">
        <v>207988.52016559901</v>
      </c>
      <c r="G146" s="14">
        <v>1.0000000060000001</v>
      </c>
      <c r="H146" s="106"/>
    </row>
    <row r="147" spans="1:14" ht="14.1" customHeight="1" x14ac:dyDescent="0.2">
      <c r="A147" s="16"/>
      <c r="B147" s="16"/>
      <c r="C147" s="16"/>
      <c r="D147" s="17"/>
      <c r="E147" s="17"/>
      <c r="F147" s="17"/>
      <c r="G147" s="17"/>
    </row>
    <row r="148" spans="1:14" ht="17.100000000000001" customHeight="1" x14ac:dyDescent="0.2">
      <c r="A148" s="18"/>
      <c r="B148" s="286" t="s">
        <v>157</v>
      </c>
      <c r="C148" s="286"/>
      <c r="D148" s="286"/>
      <c r="E148" s="286"/>
      <c r="F148" s="286"/>
      <c r="G148" s="20"/>
    </row>
    <row r="149" spans="1:14" ht="14.1" customHeight="1" x14ac:dyDescent="0.2">
      <c r="A149" s="18"/>
      <c r="B149" s="18"/>
      <c r="C149" s="18"/>
      <c r="D149" s="20"/>
      <c r="E149" s="20"/>
      <c r="F149" s="20"/>
      <c r="G149" s="20"/>
    </row>
    <row r="150" spans="1:14" ht="14.1" customHeight="1" x14ac:dyDescent="0.2">
      <c r="A150" s="18"/>
      <c r="B150" s="279" t="s">
        <v>158</v>
      </c>
      <c r="C150" s="280"/>
      <c r="D150" s="12" t="s">
        <v>131</v>
      </c>
      <c r="E150" s="21"/>
      <c r="F150" s="20"/>
      <c r="G150" s="20"/>
    </row>
    <row r="151" spans="1:14" ht="29.1" customHeight="1" x14ac:dyDescent="0.2">
      <c r="A151" s="18"/>
      <c r="B151" s="274" t="s">
        <v>159</v>
      </c>
      <c r="C151" s="275"/>
      <c r="D151" s="2" t="s">
        <v>160</v>
      </c>
      <c r="E151" s="21"/>
      <c r="F151" s="20"/>
      <c r="G151" s="20"/>
    </row>
    <row r="152" spans="1:14" ht="17.100000000000001" customHeight="1" x14ac:dyDescent="0.2">
      <c r="A152" s="18"/>
      <c r="B152" s="276" t="s">
        <v>1001</v>
      </c>
      <c r="C152" s="277"/>
      <c r="D152" s="62" t="s">
        <v>1003</v>
      </c>
      <c r="E152" s="21"/>
      <c r="F152" s="20"/>
      <c r="G152" s="20"/>
    </row>
    <row r="153" spans="1:14" ht="17.100000000000001" customHeight="1" x14ac:dyDescent="0.2">
      <c r="A153" s="18"/>
      <c r="B153" s="274" t="s">
        <v>162</v>
      </c>
      <c r="C153" s="275"/>
      <c r="D153" s="12" t="s">
        <v>131</v>
      </c>
      <c r="E153" s="21"/>
      <c r="F153" s="20"/>
      <c r="G153" s="20"/>
    </row>
    <row r="154" spans="1:14" ht="24" customHeight="1" x14ac:dyDescent="0.2">
      <c r="A154" s="22"/>
      <c r="B154" s="23" t="s">
        <v>131</v>
      </c>
      <c r="C154" s="23" t="s">
        <v>163</v>
      </c>
      <c r="D154" s="23" t="s">
        <v>164</v>
      </c>
      <c r="E154" s="22"/>
      <c r="F154" s="22"/>
      <c r="G154" s="22"/>
    </row>
    <row r="155" spans="1:14" ht="18" customHeight="1" x14ac:dyDescent="0.2">
      <c r="A155" s="22"/>
      <c r="B155" s="23" t="s">
        <v>165</v>
      </c>
      <c r="C155" s="23" t="s">
        <v>166</v>
      </c>
      <c r="D155" s="23" t="s">
        <v>167</v>
      </c>
      <c r="E155" s="22"/>
      <c r="F155" s="22"/>
      <c r="G155" s="22"/>
    </row>
    <row r="156" spans="1:14" ht="17.100000000000001" customHeight="1" x14ac:dyDescent="0.2">
      <c r="A156" s="22"/>
      <c r="B156" s="4" t="s">
        <v>168</v>
      </c>
      <c r="C156" s="24">
        <v>159.1704</v>
      </c>
      <c r="D156" s="24">
        <v>162.67840000000001</v>
      </c>
      <c r="E156" s="22"/>
      <c r="F156" s="19"/>
      <c r="G156" s="25"/>
    </row>
    <row r="157" spans="1:14" ht="17.100000000000001" customHeight="1" x14ac:dyDescent="0.2">
      <c r="A157" s="22"/>
      <c r="B157" s="4" t="s">
        <v>1048</v>
      </c>
      <c r="C157" s="24">
        <v>27.894200000000001</v>
      </c>
      <c r="D157" s="24">
        <v>28.508800000000001</v>
      </c>
      <c r="E157" s="22"/>
      <c r="F157" s="19"/>
      <c r="G157" s="25"/>
      <c r="J157" s="162"/>
      <c r="K157" s="162"/>
      <c r="L157" s="162"/>
      <c r="M157" s="162"/>
      <c r="N157" s="162"/>
    </row>
    <row r="158" spans="1:14" ht="17.100000000000001" customHeight="1" x14ac:dyDescent="0.2">
      <c r="A158" s="22"/>
      <c r="B158" s="4" t="s">
        <v>169</v>
      </c>
      <c r="C158" s="24">
        <v>148.30330000000001</v>
      </c>
      <c r="D158" s="24">
        <v>151.41380000000001</v>
      </c>
      <c r="E158" s="22"/>
      <c r="F158" s="19"/>
      <c r="G158" s="25"/>
    </row>
    <row r="159" spans="1:14" ht="17.100000000000001" customHeight="1" x14ac:dyDescent="0.2">
      <c r="A159" s="22"/>
      <c r="B159" s="4" t="s">
        <v>1049</v>
      </c>
      <c r="C159" s="24">
        <v>25.295300000000001</v>
      </c>
      <c r="D159" s="24">
        <v>25.825600000000001</v>
      </c>
      <c r="E159" s="22"/>
      <c r="F159" s="19"/>
      <c r="G159" s="25"/>
    </row>
    <row r="160" spans="1:14" ht="14.1" customHeight="1" x14ac:dyDescent="0.2">
      <c r="A160" s="22"/>
      <c r="B160" s="22"/>
      <c r="C160" s="22"/>
      <c r="D160" s="22"/>
      <c r="E160" s="22"/>
      <c r="F160" s="22"/>
      <c r="G160" s="22"/>
    </row>
    <row r="161" spans="1:7" ht="17.100000000000001" customHeight="1" x14ac:dyDescent="0.2">
      <c r="A161" s="22"/>
      <c r="B161" s="274" t="s">
        <v>1060</v>
      </c>
      <c r="C161" s="275"/>
      <c r="D161" s="2" t="s">
        <v>160</v>
      </c>
      <c r="E161" s="22"/>
      <c r="F161" s="22"/>
      <c r="G161" s="22"/>
    </row>
    <row r="162" spans="1:7" ht="18" customHeight="1" x14ac:dyDescent="0.2">
      <c r="A162" s="22"/>
      <c r="B162" s="26" t="s">
        <v>170</v>
      </c>
      <c r="C162" s="26" t="s">
        <v>170</v>
      </c>
      <c r="D162" s="26"/>
      <c r="E162" s="22"/>
      <c r="F162" s="22"/>
      <c r="G162" s="22"/>
    </row>
    <row r="163" spans="1:7" ht="29.1" customHeight="1" x14ac:dyDescent="0.2">
      <c r="A163" s="22"/>
      <c r="B163" s="274" t="s">
        <v>171</v>
      </c>
      <c r="C163" s="275"/>
      <c r="D163" s="2" t="s">
        <v>160</v>
      </c>
      <c r="E163" s="22"/>
      <c r="F163" s="22"/>
      <c r="G163" s="22"/>
    </row>
    <row r="164" spans="1:7" ht="29.1" customHeight="1" x14ac:dyDescent="0.2">
      <c r="A164" s="22"/>
      <c r="B164" s="274" t="s">
        <v>172</v>
      </c>
      <c r="C164" s="275"/>
      <c r="D164" s="2" t="s">
        <v>160</v>
      </c>
      <c r="E164" s="22"/>
      <c r="F164" s="22"/>
      <c r="G164" s="22"/>
    </row>
    <row r="165" spans="1:7" ht="17.100000000000001" customHeight="1" x14ac:dyDescent="0.2">
      <c r="A165" s="22"/>
      <c r="B165" s="274" t="s">
        <v>173</v>
      </c>
      <c r="C165" s="275"/>
      <c r="D165" s="27">
        <v>0.45499569599390899</v>
      </c>
      <c r="E165" s="22"/>
      <c r="F165" s="19"/>
      <c r="G165" s="25"/>
    </row>
    <row r="166" spans="1:7" ht="17.100000000000001" customHeight="1" x14ac:dyDescent="0.2">
      <c r="A166" s="22"/>
      <c r="B166" s="274" t="s">
        <v>174</v>
      </c>
      <c r="C166" s="275"/>
      <c r="D166" s="2" t="s">
        <v>160</v>
      </c>
      <c r="E166" s="22"/>
      <c r="F166" s="22"/>
      <c r="G166" s="22"/>
    </row>
  </sheetData>
  <mergeCells count="14">
    <mergeCell ref="J2:N2"/>
    <mergeCell ref="B150:C150"/>
    <mergeCell ref="B148:F148"/>
    <mergeCell ref="A1:H1"/>
    <mergeCell ref="A2:H2"/>
    <mergeCell ref="A3:H3"/>
    <mergeCell ref="B165:C165"/>
    <mergeCell ref="B166:C166"/>
    <mergeCell ref="B151:C151"/>
    <mergeCell ref="B152:C152"/>
    <mergeCell ref="B153:C153"/>
    <mergeCell ref="B161:C161"/>
    <mergeCell ref="B163:C163"/>
    <mergeCell ref="B164:C164"/>
  </mergeCells>
  <hyperlinks>
    <hyperlink ref="I1" location="Index!B22" display="Index" xr:uid="{C281143E-01DB-4E60-AEF4-DFA1EFA1E5F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A8A3C-5EF4-4158-B50E-6C72EA3ABBF3}">
  <sheetPr>
    <outlinePr summaryBelow="0" summaryRight="0"/>
  </sheetPr>
  <dimension ref="A1:P217"/>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7" bestFit="1" customWidth="1"/>
    <col min="10" max="10" width="11.5703125" bestFit="1" customWidth="1"/>
    <col min="11" max="11" width="16.7109375" bestFit="1" customWidth="1"/>
    <col min="16" max="16" width="9.140625" style="115"/>
  </cols>
  <sheetData>
    <row r="1" spans="1:15" ht="18" customHeight="1" x14ac:dyDescent="0.2">
      <c r="A1" s="287" t="s">
        <v>0</v>
      </c>
      <c r="B1" s="287"/>
      <c r="C1" s="287"/>
      <c r="D1" s="287"/>
      <c r="E1" s="287"/>
      <c r="F1" s="287"/>
      <c r="G1" s="287"/>
      <c r="H1" s="287"/>
      <c r="I1" s="287"/>
      <c r="J1" s="163" t="s">
        <v>1080</v>
      </c>
      <c r="K1" s="107"/>
      <c r="L1" s="107"/>
      <c r="M1" s="107"/>
      <c r="N1" s="107"/>
      <c r="O1" s="107"/>
    </row>
    <row r="2" spans="1:15" ht="17.100000000000001" customHeight="1" x14ac:dyDescent="0.2">
      <c r="A2" s="287" t="s">
        <v>1070</v>
      </c>
      <c r="B2" s="288"/>
      <c r="C2" s="288"/>
      <c r="D2" s="288"/>
      <c r="E2" s="288"/>
      <c r="F2" s="288"/>
      <c r="G2" s="288"/>
      <c r="H2" s="288"/>
      <c r="I2" s="288"/>
      <c r="K2" s="278" t="s">
        <v>1081</v>
      </c>
      <c r="L2" s="278"/>
      <c r="M2" s="278"/>
      <c r="N2" s="278"/>
      <c r="O2" s="278"/>
    </row>
    <row r="3" spans="1:15" ht="21" customHeight="1" x14ac:dyDescent="0.2">
      <c r="A3" s="287" t="s">
        <v>1068</v>
      </c>
      <c r="B3" s="287"/>
      <c r="C3" s="287"/>
      <c r="D3" s="287"/>
      <c r="E3" s="287"/>
      <c r="F3" s="287"/>
      <c r="G3" s="287"/>
      <c r="H3" s="287"/>
      <c r="I3" s="287"/>
      <c r="K3" s="107"/>
      <c r="L3" s="107"/>
      <c r="M3" s="107"/>
      <c r="N3" s="107"/>
      <c r="O3" s="107"/>
    </row>
    <row r="4" spans="1:15" s="159" customFormat="1" ht="45" x14ac:dyDescent="0.2">
      <c r="A4" s="157" t="s">
        <v>2</v>
      </c>
      <c r="B4" s="157" t="s">
        <v>3</v>
      </c>
      <c r="C4" s="157" t="s">
        <v>4</v>
      </c>
      <c r="D4" s="157" t="s">
        <v>5</v>
      </c>
      <c r="E4" s="157" t="s">
        <v>6</v>
      </c>
      <c r="F4" s="157" t="s">
        <v>7</v>
      </c>
      <c r="G4" s="157" t="s">
        <v>8</v>
      </c>
      <c r="H4" s="155" t="s">
        <v>920</v>
      </c>
      <c r="I4" s="156" t="s">
        <v>1059</v>
      </c>
      <c r="K4" s="164"/>
      <c r="L4" s="164"/>
      <c r="M4" s="164"/>
      <c r="N4" s="164"/>
      <c r="O4" s="164"/>
    </row>
    <row r="5" spans="1:15" ht="14.1" customHeight="1" x14ac:dyDescent="0.2">
      <c r="A5" s="1"/>
      <c r="B5" s="1"/>
      <c r="C5" s="2" t="s">
        <v>9</v>
      </c>
      <c r="D5" s="1"/>
      <c r="E5" s="1"/>
      <c r="F5" s="1"/>
      <c r="G5" s="1"/>
      <c r="H5" s="106"/>
      <c r="I5" s="104"/>
      <c r="K5" s="107"/>
      <c r="L5" s="107"/>
      <c r="M5" s="107"/>
      <c r="N5" s="107"/>
      <c r="O5" s="107"/>
    </row>
    <row r="6" spans="1:15" ht="24" customHeight="1" x14ac:dyDescent="0.2">
      <c r="A6" s="1"/>
      <c r="B6" s="1"/>
      <c r="C6" s="2" t="s">
        <v>10</v>
      </c>
      <c r="D6" s="1"/>
      <c r="E6" s="1"/>
      <c r="F6" s="1"/>
      <c r="G6" s="1"/>
      <c r="H6" s="106"/>
      <c r="I6" s="104"/>
      <c r="K6" s="107"/>
      <c r="L6" s="107"/>
      <c r="M6" s="107"/>
      <c r="N6" s="107"/>
      <c r="O6" s="107"/>
    </row>
    <row r="7" spans="1:15" ht="17.100000000000001" customHeight="1" x14ac:dyDescent="0.2">
      <c r="A7" s="3">
        <v>1</v>
      </c>
      <c r="B7" s="4" t="s">
        <v>14</v>
      </c>
      <c r="C7" s="4" t="s">
        <v>15</v>
      </c>
      <c r="D7" s="4" t="s">
        <v>16</v>
      </c>
      <c r="E7" s="5">
        <v>2250000</v>
      </c>
      <c r="F7" s="6">
        <v>20445.75</v>
      </c>
      <c r="G7" s="7">
        <v>6.5282281999999997E-2</v>
      </c>
      <c r="H7" s="106"/>
      <c r="I7" s="104"/>
      <c r="K7" s="107"/>
      <c r="L7" s="107"/>
      <c r="M7" s="107"/>
      <c r="N7" s="107"/>
      <c r="O7" s="107"/>
    </row>
    <row r="8" spans="1:15" ht="17.100000000000001" customHeight="1" x14ac:dyDescent="0.2">
      <c r="A8" s="3">
        <v>2</v>
      </c>
      <c r="B8" s="4" t="s">
        <v>20</v>
      </c>
      <c r="C8" s="4" t="s">
        <v>21</v>
      </c>
      <c r="D8" s="4" t="s">
        <v>22</v>
      </c>
      <c r="E8" s="5">
        <v>640000</v>
      </c>
      <c r="F8" s="6">
        <v>16317.44</v>
      </c>
      <c r="G8" s="7">
        <v>5.2100789000000002E-2</v>
      </c>
      <c r="H8" s="106"/>
      <c r="I8" s="104"/>
      <c r="K8" s="107"/>
      <c r="L8" s="107"/>
      <c r="M8" s="107"/>
      <c r="N8" s="107"/>
      <c r="O8" s="107"/>
    </row>
    <row r="9" spans="1:15" ht="17.100000000000001" customHeight="1" x14ac:dyDescent="0.2">
      <c r="A9" s="3">
        <v>3</v>
      </c>
      <c r="B9" s="4" t="s">
        <v>264</v>
      </c>
      <c r="C9" s="4" t="s">
        <v>265</v>
      </c>
      <c r="D9" s="4" t="s">
        <v>16</v>
      </c>
      <c r="E9" s="5">
        <v>1088000</v>
      </c>
      <c r="F9" s="6">
        <v>16284.096</v>
      </c>
      <c r="G9" s="7">
        <v>5.1994324000000001E-2</v>
      </c>
      <c r="H9" s="106"/>
      <c r="I9" s="104"/>
      <c r="K9" s="107"/>
      <c r="L9" s="107"/>
      <c r="M9" s="107"/>
      <c r="N9" s="107"/>
      <c r="O9" s="107"/>
    </row>
    <row r="10" spans="1:15" ht="17.100000000000001" customHeight="1" x14ac:dyDescent="0.2">
      <c r="A10" s="3">
        <v>4</v>
      </c>
      <c r="B10" s="4" t="s">
        <v>296</v>
      </c>
      <c r="C10" s="4" t="s">
        <v>297</v>
      </c>
      <c r="D10" s="4" t="s">
        <v>1114</v>
      </c>
      <c r="E10" s="5">
        <v>1050000</v>
      </c>
      <c r="F10" s="6">
        <v>16145.325000000001</v>
      </c>
      <c r="G10" s="7">
        <v>5.1551235000000001E-2</v>
      </c>
      <c r="H10" s="106"/>
      <c r="I10" s="104"/>
      <c r="K10" s="107"/>
      <c r="L10" s="107"/>
      <c r="M10" s="107"/>
      <c r="N10" s="107"/>
      <c r="O10" s="107"/>
    </row>
    <row r="11" spans="1:15" ht="17.100000000000001" customHeight="1" x14ac:dyDescent="0.2">
      <c r="A11" s="3">
        <v>5</v>
      </c>
      <c r="B11" s="4" t="s">
        <v>17</v>
      </c>
      <c r="C11" s="4" t="s">
        <v>18</v>
      </c>
      <c r="D11" s="4" t="s">
        <v>19</v>
      </c>
      <c r="E11" s="5">
        <v>1350000</v>
      </c>
      <c r="F11" s="6">
        <v>11232</v>
      </c>
      <c r="G11" s="7">
        <v>3.5863227999999997E-2</v>
      </c>
      <c r="H11" s="106"/>
      <c r="I11" s="104"/>
      <c r="K11" s="107"/>
      <c r="L11" s="107"/>
      <c r="M11" s="107"/>
      <c r="N11" s="107"/>
      <c r="O11" s="107"/>
    </row>
    <row r="12" spans="1:15" ht="29.1" customHeight="1" x14ac:dyDescent="0.2">
      <c r="A12" s="3">
        <v>6</v>
      </c>
      <c r="B12" s="4" t="s">
        <v>302</v>
      </c>
      <c r="C12" s="4" t="s">
        <v>303</v>
      </c>
      <c r="D12" s="4" t="s">
        <v>204</v>
      </c>
      <c r="E12" s="5">
        <v>1050000</v>
      </c>
      <c r="F12" s="6">
        <v>10677.45</v>
      </c>
      <c r="G12" s="7">
        <v>3.4092576999999999E-2</v>
      </c>
      <c r="H12" s="106"/>
      <c r="I12" s="104"/>
      <c r="K12" s="161" t="s">
        <v>1094</v>
      </c>
      <c r="L12" s="107"/>
      <c r="M12" s="107"/>
      <c r="N12" s="107"/>
      <c r="O12" s="107"/>
    </row>
    <row r="13" spans="1:15" ht="29.1" customHeight="1" x14ac:dyDescent="0.2">
      <c r="A13" s="3">
        <v>7</v>
      </c>
      <c r="B13" s="4" t="s">
        <v>298</v>
      </c>
      <c r="C13" s="4" t="s">
        <v>299</v>
      </c>
      <c r="D13" s="4" t="s">
        <v>99</v>
      </c>
      <c r="E13" s="5">
        <v>412159</v>
      </c>
      <c r="F13" s="6">
        <v>10179.502982</v>
      </c>
      <c r="G13" s="7">
        <v>3.2502655999999998E-2</v>
      </c>
      <c r="H13" s="106"/>
      <c r="I13" s="104"/>
      <c r="K13" s="107"/>
      <c r="L13" s="107"/>
      <c r="M13" s="107"/>
      <c r="N13" s="107"/>
      <c r="O13" s="107"/>
    </row>
    <row r="14" spans="1:15" ht="17.100000000000001" customHeight="1" x14ac:dyDescent="0.2">
      <c r="A14" s="3">
        <v>8</v>
      </c>
      <c r="B14" s="4" t="s">
        <v>42</v>
      </c>
      <c r="C14" s="4" t="s">
        <v>43</v>
      </c>
      <c r="D14" s="4" t="s">
        <v>16</v>
      </c>
      <c r="E14" s="5">
        <v>1675000</v>
      </c>
      <c r="F14" s="6">
        <v>9611.15</v>
      </c>
      <c r="G14" s="7">
        <v>3.0687933000000001E-2</v>
      </c>
      <c r="H14" s="106"/>
      <c r="I14" s="104"/>
      <c r="K14" s="107"/>
      <c r="L14" s="107"/>
      <c r="M14" s="107"/>
      <c r="N14" s="107"/>
      <c r="O14" s="107"/>
    </row>
    <row r="15" spans="1:15" ht="17.100000000000001" customHeight="1" x14ac:dyDescent="0.2">
      <c r="A15" s="3">
        <v>9</v>
      </c>
      <c r="B15" s="4" t="s">
        <v>11</v>
      </c>
      <c r="C15" s="4" t="s">
        <v>12</v>
      </c>
      <c r="D15" s="4" t="s">
        <v>13</v>
      </c>
      <c r="E15" s="5">
        <v>425000</v>
      </c>
      <c r="F15" s="6">
        <v>8598.1749999999993</v>
      </c>
      <c r="G15" s="7">
        <v>2.7453552999999999E-2</v>
      </c>
      <c r="H15" s="106"/>
      <c r="I15" s="104"/>
      <c r="K15" s="107"/>
      <c r="L15" s="107"/>
      <c r="M15" s="107"/>
      <c r="N15" s="107"/>
      <c r="O15" s="107"/>
    </row>
    <row r="16" spans="1:15" ht="17.100000000000001" customHeight="1" x14ac:dyDescent="0.2">
      <c r="A16" s="3">
        <v>10</v>
      </c>
      <c r="B16" s="4" t="s">
        <v>178</v>
      </c>
      <c r="C16" s="4" t="s">
        <v>179</v>
      </c>
      <c r="D16" s="4" t="s">
        <v>16</v>
      </c>
      <c r="E16" s="5">
        <v>840000</v>
      </c>
      <c r="F16" s="6">
        <v>7610.4</v>
      </c>
      <c r="G16" s="7">
        <v>2.4299635999999999E-2</v>
      </c>
      <c r="H16" s="106"/>
      <c r="I16" s="104"/>
      <c r="K16" s="107"/>
      <c r="L16" s="107"/>
      <c r="M16" s="107"/>
      <c r="N16" s="107"/>
      <c r="O16" s="107"/>
    </row>
    <row r="17" spans="1:15" ht="17.100000000000001" customHeight="1" x14ac:dyDescent="0.2">
      <c r="A17" s="3">
        <v>11</v>
      </c>
      <c r="B17" s="4" t="s">
        <v>300</v>
      </c>
      <c r="C17" s="4" t="s">
        <v>301</v>
      </c>
      <c r="D17" s="4" t="s">
        <v>245</v>
      </c>
      <c r="E17" s="5">
        <v>543096</v>
      </c>
      <c r="F17" s="6">
        <v>6875.3238119999996</v>
      </c>
      <c r="G17" s="7">
        <v>2.1952573E-2</v>
      </c>
      <c r="H17" s="106"/>
      <c r="I17" s="104"/>
      <c r="K17" s="107"/>
      <c r="L17" s="107"/>
      <c r="M17" s="107"/>
      <c r="N17" s="107"/>
      <c r="O17" s="107"/>
    </row>
    <row r="18" spans="1:15" ht="17.100000000000001" customHeight="1" x14ac:dyDescent="0.2">
      <c r="A18" s="3">
        <v>12</v>
      </c>
      <c r="B18" s="4" t="s">
        <v>183</v>
      </c>
      <c r="C18" s="4" t="s">
        <v>184</v>
      </c>
      <c r="D18" s="4" t="s">
        <v>185</v>
      </c>
      <c r="E18" s="5">
        <v>627471</v>
      </c>
      <c r="F18" s="6">
        <v>6582.4845255</v>
      </c>
      <c r="G18" s="7">
        <v>2.1017551999999998E-2</v>
      </c>
      <c r="H18" s="106"/>
      <c r="I18" s="104"/>
      <c r="K18" s="107"/>
      <c r="L18" s="107"/>
      <c r="M18" s="107"/>
      <c r="N18" s="107"/>
      <c r="O18" s="107"/>
    </row>
    <row r="19" spans="1:15" ht="17.100000000000001" customHeight="1" x14ac:dyDescent="0.2">
      <c r="A19" s="3">
        <v>13</v>
      </c>
      <c r="B19" s="4" t="s">
        <v>605</v>
      </c>
      <c r="C19" s="4" t="s">
        <v>606</v>
      </c>
      <c r="D19" s="4" t="s">
        <v>185</v>
      </c>
      <c r="E19" s="5">
        <v>641000</v>
      </c>
      <c r="F19" s="6">
        <v>5745.6035000000002</v>
      </c>
      <c r="G19" s="7">
        <v>1.8345431999999998E-2</v>
      </c>
      <c r="H19" s="106"/>
      <c r="I19" s="104"/>
      <c r="K19" s="107"/>
      <c r="L19" s="107"/>
      <c r="M19" s="107"/>
      <c r="N19" s="107"/>
      <c r="O19" s="107"/>
    </row>
    <row r="20" spans="1:15" ht="29.1" customHeight="1" x14ac:dyDescent="0.2">
      <c r="A20" s="3">
        <v>14</v>
      </c>
      <c r="B20" s="4" t="s">
        <v>491</v>
      </c>
      <c r="C20" s="4" t="s">
        <v>492</v>
      </c>
      <c r="D20" s="4" t="s">
        <v>204</v>
      </c>
      <c r="E20" s="5">
        <v>471000</v>
      </c>
      <c r="F20" s="6">
        <v>5498.4539999999997</v>
      </c>
      <c r="G20" s="7">
        <v>1.7556295E-2</v>
      </c>
      <c r="H20" s="106"/>
      <c r="I20" s="104"/>
      <c r="K20" s="107"/>
      <c r="L20" s="107"/>
      <c r="M20" s="107"/>
      <c r="N20" s="107"/>
      <c r="O20" s="107"/>
    </row>
    <row r="21" spans="1:15" ht="17.100000000000001" customHeight="1" x14ac:dyDescent="0.2">
      <c r="A21" s="3">
        <v>15</v>
      </c>
      <c r="B21" s="4" t="s">
        <v>258</v>
      </c>
      <c r="C21" s="4" t="s">
        <v>259</v>
      </c>
      <c r="D21" s="4" t="s">
        <v>99</v>
      </c>
      <c r="E21" s="5">
        <v>262500</v>
      </c>
      <c r="F21" s="6">
        <v>4429.6875</v>
      </c>
      <c r="G21" s="7">
        <v>1.4143776E-2</v>
      </c>
      <c r="H21" s="106"/>
      <c r="I21" s="104"/>
      <c r="K21" s="107"/>
      <c r="L21" s="107"/>
      <c r="M21" s="107"/>
      <c r="N21" s="107"/>
      <c r="O21" s="107"/>
    </row>
    <row r="22" spans="1:15" ht="17.100000000000001" customHeight="1" x14ac:dyDescent="0.2">
      <c r="A22" s="3">
        <v>16</v>
      </c>
      <c r="B22" s="4" t="s">
        <v>392</v>
      </c>
      <c r="C22" s="4" t="s">
        <v>393</v>
      </c>
      <c r="D22" s="4" t="s">
        <v>230</v>
      </c>
      <c r="E22" s="5">
        <v>545838</v>
      </c>
      <c r="F22" s="6">
        <v>4081.7765639999998</v>
      </c>
      <c r="G22" s="7">
        <v>1.3032913E-2</v>
      </c>
      <c r="H22" s="106"/>
      <c r="I22" s="104"/>
      <c r="K22" s="107"/>
      <c r="L22" s="107"/>
      <c r="M22" s="107"/>
      <c r="N22" s="107"/>
      <c r="O22" s="107"/>
    </row>
    <row r="23" spans="1:15" ht="17.100000000000001" customHeight="1" x14ac:dyDescent="0.2">
      <c r="A23" s="3">
        <v>17</v>
      </c>
      <c r="B23" s="4" t="s">
        <v>68</v>
      </c>
      <c r="C23" s="4" t="s">
        <v>69</v>
      </c>
      <c r="D23" s="4" t="s">
        <v>70</v>
      </c>
      <c r="E23" s="5">
        <v>42000</v>
      </c>
      <c r="F23" s="6">
        <v>4001.5920000000001</v>
      </c>
      <c r="G23" s="7">
        <v>1.2776888E-2</v>
      </c>
      <c r="H23" s="106"/>
      <c r="I23" s="104"/>
      <c r="K23" s="107"/>
      <c r="L23" s="107"/>
      <c r="M23" s="107"/>
      <c r="N23" s="107"/>
      <c r="O23" s="107"/>
    </row>
    <row r="24" spans="1:15" ht="17.100000000000001" customHeight="1" x14ac:dyDescent="0.2">
      <c r="A24" s="3">
        <v>18</v>
      </c>
      <c r="B24" s="4" t="s">
        <v>581</v>
      </c>
      <c r="C24" s="4" t="s">
        <v>582</v>
      </c>
      <c r="D24" s="4" t="s">
        <v>70</v>
      </c>
      <c r="E24" s="5">
        <v>100802</v>
      </c>
      <c r="F24" s="6">
        <v>3881.3306090000001</v>
      </c>
      <c r="G24" s="7">
        <v>1.2392899000000001E-2</v>
      </c>
      <c r="H24" s="106"/>
      <c r="I24" s="104"/>
      <c r="K24" s="107"/>
      <c r="L24" s="107"/>
      <c r="M24" s="107"/>
      <c r="N24" s="107"/>
      <c r="O24" s="107"/>
    </row>
    <row r="25" spans="1:15" ht="53.1" customHeight="1" x14ac:dyDescent="0.2">
      <c r="A25" s="3">
        <v>19</v>
      </c>
      <c r="B25" s="4" t="s">
        <v>46</v>
      </c>
      <c r="C25" s="4" t="s">
        <v>47</v>
      </c>
      <c r="D25" s="4" t="s">
        <v>48</v>
      </c>
      <c r="E25" s="5">
        <v>2496366</v>
      </c>
      <c r="F25" s="6">
        <v>3826.9290780000001</v>
      </c>
      <c r="G25" s="7">
        <v>1.2219198000000001E-2</v>
      </c>
      <c r="H25" s="106"/>
      <c r="I25" s="104"/>
      <c r="K25" s="107"/>
      <c r="L25" s="107"/>
      <c r="M25" s="107"/>
      <c r="N25" s="107"/>
      <c r="O25" s="107"/>
    </row>
    <row r="26" spans="1:15" ht="17.100000000000001" customHeight="1" x14ac:dyDescent="0.2">
      <c r="A26" s="3">
        <v>20</v>
      </c>
      <c r="B26" s="4" t="s">
        <v>394</v>
      </c>
      <c r="C26" s="4" t="s">
        <v>395</v>
      </c>
      <c r="D26" s="4" t="s">
        <v>99</v>
      </c>
      <c r="E26" s="5">
        <v>500363</v>
      </c>
      <c r="F26" s="6">
        <v>3633.8862875</v>
      </c>
      <c r="G26" s="7">
        <v>1.1602822E-2</v>
      </c>
      <c r="H26" s="106"/>
      <c r="I26" s="104"/>
      <c r="K26" s="107"/>
      <c r="L26" s="107"/>
      <c r="M26" s="107"/>
      <c r="N26" s="107"/>
      <c r="O26" s="107"/>
    </row>
    <row r="27" spans="1:15" ht="17.100000000000001" customHeight="1" x14ac:dyDescent="0.2">
      <c r="A27" s="3">
        <v>21</v>
      </c>
      <c r="B27" s="4" t="s">
        <v>241</v>
      </c>
      <c r="C27" s="4" t="s">
        <v>242</v>
      </c>
      <c r="D27" s="4" t="s">
        <v>31</v>
      </c>
      <c r="E27" s="5">
        <v>173875</v>
      </c>
      <c r="F27" s="6">
        <v>3531.6620625</v>
      </c>
      <c r="G27" s="7">
        <v>1.1276425E-2</v>
      </c>
      <c r="H27" s="106"/>
      <c r="I27" s="104"/>
      <c r="K27" s="107"/>
      <c r="L27" s="107"/>
      <c r="M27" s="107"/>
      <c r="N27" s="107"/>
      <c r="O27" s="107"/>
    </row>
    <row r="28" spans="1:15" ht="17.100000000000001" customHeight="1" x14ac:dyDescent="0.2">
      <c r="A28" s="3">
        <v>22</v>
      </c>
      <c r="B28" s="4" t="s">
        <v>339</v>
      </c>
      <c r="C28" s="4" t="s">
        <v>340</v>
      </c>
      <c r="D28" s="4" t="s">
        <v>16</v>
      </c>
      <c r="E28" s="5">
        <v>290005</v>
      </c>
      <c r="F28" s="6">
        <v>3313.7421325</v>
      </c>
      <c r="G28" s="7">
        <v>1.0580617E-2</v>
      </c>
      <c r="H28" s="106"/>
      <c r="I28" s="104"/>
      <c r="K28" s="107"/>
      <c r="L28" s="107"/>
      <c r="M28" s="107"/>
      <c r="N28" s="107"/>
      <c r="O28" s="107"/>
    </row>
    <row r="29" spans="1:15" ht="17.100000000000001" customHeight="1" x14ac:dyDescent="0.2">
      <c r="A29" s="3">
        <v>23</v>
      </c>
      <c r="B29" s="4" t="s">
        <v>87</v>
      </c>
      <c r="C29" s="4" t="s">
        <v>88</v>
      </c>
      <c r="D29" s="4" t="s">
        <v>89</v>
      </c>
      <c r="E29" s="5">
        <v>115000</v>
      </c>
      <c r="F29" s="6">
        <v>3167.79</v>
      </c>
      <c r="G29" s="7">
        <v>1.0114599E-2</v>
      </c>
      <c r="H29" s="106"/>
      <c r="I29" s="104"/>
    </row>
    <row r="30" spans="1:15" ht="29.1" customHeight="1" x14ac:dyDescent="0.2">
      <c r="A30" s="3">
        <v>24</v>
      </c>
      <c r="B30" s="4" t="s">
        <v>189</v>
      </c>
      <c r="C30" s="4" t="s">
        <v>190</v>
      </c>
      <c r="D30" s="4" t="s">
        <v>110</v>
      </c>
      <c r="E30" s="5">
        <v>846797</v>
      </c>
      <c r="F30" s="6">
        <v>3067.9455309999998</v>
      </c>
      <c r="G30" s="7">
        <v>9.7958000000000003E-3</v>
      </c>
      <c r="H30" s="106"/>
      <c r="I30" s="104"/>
    </row>
    <row r="31" spans="1:15" ht="17.100000000000001" customHeight="1" x14ac:dyDescent="0.2">
      <c r="A31" s="3">
        <v>25</v>
      </c>
      <c r="B31" s="4" t="s">
        <v>215</v>
      </c>
      <c r="C31" s="4" t="s">
        <v>216</v>
      </c>
      <c r="D31" s="4" t="s">
        <v>185</v>
      </c>
      <c r="E31" s="5">
        <v>176400</v>
      </c>
      <c r="F31" s="6">
        <v>2915.6273999999999</v>
      </c>
      <c r="G31" s="7">
        <v>9.3094560000000007E-3</v>
      </c>
      <c r="H31" s="106"/>
      <c r="I31" s="104"/>
    </row>
    <row r="32" spans="1:15" ht="29.1" customHeight="1" x14ac:dyDescent="0.2">
      <c r="A32" s="3">
        <v>26</v>
      </c>
      <c r="B32" s="4" t="s">
        <v>252</v>
      </c>
      <c r="C32" s="4" t="s">
        <v>253</v>
      </c>
      <c r="D32" s="4" t="s">
        <v>204</v>
      </c>
      <c r="E32" s="5">
        <v>151887</v>
      </c>
      <c r="F32" s="6">
        <v>2710.1956845</v>
      </c>
      <c r="G32" s="7">
        <v>8.6535229999999998E-3</v>
      </c>
      <c r="H32" s="106"/>
      <c r="I32" s="104"/>
    </row>
    <row r="33" spans="1:9" ht="29.1" customHeight="1" x14ac:dyDescent="0.2">
      <c r="A33" s="3">
        <v>27</v>
      </c>
      <c r="B33" s="4" t="s">
        <v>83</v>
      </c>
      <c r="C33" s="4" t="s">
        <v>84</v>
      </c>
      <c r="D33" s="4" t="s">
        <v>25</v>
      </c>
      <c r="E33" s="5">
        <v>500000</v>
      </c>
      <c r="F33" s="6">
        <v>2664.75</v>
      </c>
      <c r="G33" s="7">
        <v>8.5084170000000008E-3</v>
      </c>
      <c r="H33" s="106"/>
      <c r="I33" s="104"/>
    </row>
    <row r="34" spans="1:9" ht="17.100000000000001" customHeight="1" x14ac:dyDescent="0.2">
      <c r="A34" s="3">
        <v>28</v>
      </c>
      <c r="B34" s="4" t="s">
        <v>727</v>
      </c>
      <c r="C34" s="4" t="s">
        <v>728</v>
      </c>
      <c r="D34" s="4" t="s">
        <v>283</v>
      </c>
      <c r="E34" s="5">
        <v>320000</v>
      </c>
      <c r="F34" s="6">
        <v>2653.76</v>
      </c>
      <c r="G34" s="7">
        <v>8.4733259999999998E-3</v>
      </c>
      <c r="H34" s="106"/>
      <c r="I34" s="104"/>
    </row>
    <row r="35" spans="1:9" ht="29.1" customHeight="1" x14ac:dyDescent="0.2">
      <c r="A35" s="3">
        <v>29</v>
      </c>
      <c r="B35" s="4" t="s">
        <v>709</v>
      </c>
      <c r="C35" s="4" t="s">
        <v>710</v>
      </c>
      <c r="D35" s="4" t="s">
        <v>283</v>
      </c>
      <c r="E35" s="5">
        <v>18000</v>
      </c>
      <c r="F35" s="6">
        <v>2535.6419999999998</v>
      </c>
      <c r="G35" s="7">
        <v>8.0961809999999992E-3</v>
      </c>
      <c r="H35" s="106"/>
      <c r="I35" s="104"/>
    </row>
    <row r="36" spans="1:9" ht="17.100000000000001" customHeight="1" x14ac:dyDescent="0.2">
      <c r="A36" s="3">
        <v>30</v>
      </c>
      <c r="B36" s="4" t="s">
        <v>191</v>
      </c>
      <c r="C36" s="4" t="s">
        <v>192</v>
      </c>
      <c r="D36" s="4" t="s">
        <v>193</v>
      </c>
      <c r="E36" s="5">
        <v>5000</v>
      </c>
      <c r="F36" s="6">
        <v>2488.4324999999999</v>
      </c>
      <c r="G36" s="7">
        <v>7.945443E-3</v>
      </c>
      <c r="H36" s="106"/>
      <c r="I36" s="104"/>
    </row>
    <row r="37" spans="1:9" ht="17.100000000000001" customHeight="1" x14ac:dyDescent="0.2">
      <c r="A37" s="3">
        <v>31</v>
      </c>
      <c r="B37" s="4" t="s">
        <v>306</v>
      </c>
      <c r="C37" s="4" t="s">
        <v>307</v>
      </c>
      <c r="D37" s="4" t="s">
        <v>1114</v>
      </c>
      <c r="E37" s="5">
        <v>75601</v>
      </c>
      <c r="F37" s="6">
        <v>2414.0533314999998</v>
      </c>
      <c r="G37" s="7">
        <v>7.7079540000000004E-3</v>
      </c>
      <c r="H37" s="106"/>
      <c r="I37" s="104"/>
    </row>
    <row r="38" spans="1:9" ht="17.100000000000001" customHeight="1" x14ac:dyDescent="0.2">
      <c r="A38" s="3">
        <v>32</v>
      </c>
      <c r="B38" s="4" t="s">
        <v>311</v>
      </c>
      <c r="C38" s="4" t="s">
        <v>312</v>
      </c>
      <c r="D38" s="4" t="s">
        <v>70</v>
      </c>
      <c r="E38" s="5">
        <v>175000</v>
      </c>
      <c r="F38" s="6">
        <v>2360.0500000000002</v>
      </c>
      <c r="G38" s="7">
        <v>7.535524E-3</v>
      </c>
      <c r="H38" s="106"/>
      <c r="I38" s="104"/>
    </row>
    <row r="39" spans="1:9" ht="29.1" customHeight="1" x14ac:dyDescent="0.2">
      <c r="A39" s="3">
        <v>33</v>
      </c>
      <c r="B39" s="4" t="s">
        <v>97</v>
      </c>
      <c r="C39" s="4" t="s">
        <v>98</v>
      </c>
      <c r="D39" s="4" t="s">
        <v>99</v>
      </c>
      <c r="E39" s="5">
        <v>268716</v>
      </c>
      <c r="F39" s="6">
        <v>1906.1369460000001</v>
      </c>
      <c r="G39" s="7">
        <v>6.0862019999999998E-3</v>
      </c>
      <c r="H39" s="106"/>
      <c r="I39" s="104"/>
    </row>
    <row r="40" spans="1:9" ht="17.100000000000001" customHeight="1" x14ac:dyDescent="0.2">
      <c r="A40" s="3">
        <v>34</v>
      </c>
      <c r="B40" s="4" t="s">
        <v>205</v>
      </c>
      <c r="C40" s="4" t="s">
        <v>206</v>
      </c>
      <c r="D40" s="4" t="s">
        <v>99</v>
      </c>
      <c r="E40" s="5">
        <v>152600</v>
      </c>
      <c r="F40" s="6">
        <v>1875.6829</v>
      </c>
      <c r="G40" s="7">
        <v>5.9889640000000003E-3</v>
      </c>
      <c r="H40" s="106"/>
      <c r="I40" s="104"/>
    </row>
    <row r="41" spans="1:9" ht="29.1" customHeight="1" x14ac:dyDescent="0.2">
      <c r="A41" s="3">
        <v>35</v>
      </c>
      <c r="B41" s="4" t="s">
        <v>207</v>
      </c>
      <c r="C41" s="4" t="s">
        <v>208</v>
      </c>
      <c r="D41" s="4" t="s">
        <v>209</v>
      </c>
      <c r="E41" s="5">
        <v>55000</v>
      </c>
      <c r="F41" s="6">
        <v>1783.0725</v>
      </c>
      <c r="G41" s="7">
        <v>5.6932629999999996E-3</v>
      </c>
      <c r="H41" s="106"/>
      <c r="I41" s="104"/>
    </row>
    <row r="42" spans="1:9" ht="17.100000000000001" customHeight="1" x14ac:dyDescent="0.2">
      <c r="A42" s="3">
        <v>36</v>
      </c>
      <c r="B42" s="4" t="s">
        <v>325</v>
      </c>
      <c r="C42" s="4" t="s">
        <v>326</v>
      </c>
      <c r="D42" s="4" t="s">
        <v>1114</v>
      </c>
      <c r="E42" s="5">
        <v>455339</v>
      </c>
      <c r="F42" s="6">
        <v>1760.1129045</v>
      </c>
      <c r="G42" s="7">
        <v>5.6199550000000003E-3</v>
      </c>
      <c r="H42" s="106"/>
      <c r="I42" s="104"/>
    </row>
    <row r="43" spans="1:9" ht="29.1" customHeight="1" x14ac:dyDescent="0.2">
      <c r="A43" s="3">
        <v>37</v>
      </c>
      <c r="B43" s="4" t="s">
        <v>364</v>
      </c>
      <c r="C43" s="4" t="s">
        <v>365</v>
      </c>
      <c r="D43" s="4" t="s">
        <v>366</v>
      </c>
      <c r="E43" s="5">
        <v>225000</v>
      </c>
      <c r="F43" s="6">
        <v>1732.8375000000001</v>
      </c>
      <c r="G43" s="7">
        <v>5.532866E-3</v>
      </c>
      <c r="H43" s="106"/>
      <c r="I43" s="104"/>
    </row>
    <row r="44" spans="1:9" ht="29.1" customHeight="1" x14ac:dyDescent="0.2">
      <c r="A44" s="3">
        <v>38</v>
      </c>
      <c r="B44" s="4" t="s">
        <v>224</v>
      </c>
      <c r="C44" s="4" t="s">
        <v>225</v>
      </c>
      <c r="D44" s="4" t="s">
        <v>209</v>
      </c>
      <c r="E44" s="5">
        <v>175000</v>
      </c>
      <c r="F44" s="6">
        <v>1684.1125</v>
      </c>
      <c r="G44" s="7">
        <v>5.3772890000000004E-3</v>
      </c>
      <c r="H44" s="106"/>
      <c r="I44" s="104"/>
    </row>
    <row r="45" spans="1:9" ht="17.100000000000001" customHeight="1" x14ac:dyDescent="0.2">
      <c r="A45" s="3">
        <v>39</v>
      </c>
      <c r="B45" s="4" t="s">
        <v>34</v>
      </c>
      <c r="C45" s="4" t="s">
        <v>35</v>
      </c>
      <c r="D45" s="4" t="s">
        <v>36</v>
      </c>
      <c r="E45" s="5">
        <v>55000</v>
      </c>
      <c r="F45" s="6">
        <v>1677.3625</v>
      </c>
      <c r="G45" s="7">
        <v>5.3557370000000002E-3</v>
      </c>
      <c r="H45" s="106"/>
      <c r="I45" s="104"/>
    </row>
    <row r="46" spans="1:9" ht="17.100000000000001" customHeight="1" x14ac:dyDescent="0.2">
      <c r="A46" s="3">
        <v>40</v>
      </c>
      <c r="B46" s="4" t="s">
        <v>266</v>
      </c>
      <c r="C46" s="4" t="s">
        <v>267</v>
      </c>
      <c r="D46" s="4" t="s">
        <v>268</v>
      </c>
      <c r="E46" s="5">
        <v>166000</v>
      </c>
      <c r="F46" s="6">
        <v>1589.6990000000001</v>
      </c>
      <c r="G46" s="7">
        <v>5.0758310000000003E-3</v>
      </c>
      <c r="H46" s="106"/>
      <c r="I46" s="104"/>
    </row>
    <row r="47" spans="1:9" ht="17.100000000000001" customHeight="1" x14ac:dyDescent="0.2">
      <c r="A47" s="3">
        <v>41</v>
      </c>
      <c r="B47" s="4" t="s">
        <v>26</v>
      </c>
      <c r="C47" s="4" t="s">
        <v>27</v>
      </c>
      <c r="D47" s="4" t="s">
        <v>28</v>
      </c>
      <c r="E47" s="5">
        <v>900000</v>
      </c>
      <c r="F47" s="6">
        <v>1557.9</v>
      </c>
      <c r="G47" s="7">
        <v>4.9742989999999997E-3</v>
      </c>
      <c r="H47" s="106"/>
      <c r="I47" s="104"/>
    </row>
    <row r="48" spans="1:9" ht="17.100000000000001" customHeight="1" x14ac:dyDescent="0.2">
      <c r="A48" s="3">
        <v>42</v>
      </c>
      <c r="B48" s="4" t="s">
        <v>113</v>
      </c>
      <c r="C48" s="4" t="s">
        <v>114</v>
      </c>
      <c r="D48" s="4" t="s">
        <v>115</v>
      </c>
      <c r="E48" s="5">
        <v>381012</v>
      </c>
      <c r="F48" s="6">
        <v>1545.5751780000001</v>
      </c>
      <c r="G48" s="7">
        <v>4.934946E-3</v>
      </c>
      <c r="H48" s="106"/>
      <c r="I48" s="104"/>
    </row>
    <row r="49" spans="1:9" ht="17.100000000000001" customHeight="1" x14ac:dyDescent="0.2">
      <c r="A49" s="3">
        <v>43</v>
      </c>
      <c r="B49" s="4" t="s">
        <v>346</v>
      </c>
      <c r="C49" s="4" t="s">
        <v>347</v>
      </c>
      <c r="D49" s="4" t="s">
        <v>16</v>
      </c>
      <c r="E49" s="5">
        <v>530000</v>
      </c>
      <c r="F49" s="6">
        <v>1539.12</v>
      </c>
      <c r="G49" s="7">
        <v>4.9143349999999997E-3</v>
      </c>
      <c r="H49" s="106"/>
      <c r="I49" s="104"/>
    </row>
    <row r="50" spans="1:9" ht="29.1" customHeight="1" x14ac:dyDescent="0.2">
      <c r="A50" s="3">
        <v>44</v>
      </c>
      <c r="B50" s="4" t="s">
        <v>23</v>
      </c>
      <c r="C50" s="4" t="s">
        <v>24</v>
      </c>
      <c r="D50" s="4" t="s">
        <v>25</v>
      </c>
      <c r="E50" s="5">
        <v>21379</v>
      </c>
      <c r="F50" s="6">
        <v>1435.5891604999999</v>
      </c>
      <c r="G50" s="7">
        <v>4.5837660000000004E-3</v>
      </c>
      <c r="H50" s="106"/>
      <c r="I50" s="104"/>
    </row>
    <row r="51" spans="1:9" ht="17.100000000000001" customHeight="1" x14ac:dyDescent="0.2">
      <c r="A51" s="3">
        <v>45</v>
      </c>
      <c r="B51" s="4" t="s">
        <v>348</v>
      </c>
      <c r="C51" s="4" t="s">
        <v>349</v>
      </c>
      <c r="D51" s="4" t="s">
        <v>99</v>
      </c>
      <c r="E51" s="5">
        <v>20000</v>
      </c>
      <c r="F51" s="6">
        <v>1428.82</v>
      </c>
      <c r="G51" s="7">
        <v>4.5621530000000002E-3</v>
      </c>
      <c r="H51" s="106"/>
      <c r="I51" s="104"/>
    </row>
    <row r="52" spans="1:9" ht="17.100000000000001" customHeight="1" x14ac:dyDescent="0.2">
      <c r="A52" s="3">
        <v>46</v>
      </c>
      <c r="B52" s="4" t="s">
        <v>246</v>
      </c>
      <c r="C52" s="4" t="s">
        <v>247</v>
      </c>
      <c r="D52" s="4" t="s">
        <v>99</v>
      </c>
      <c r="E52" s="5">
        <v>207500</v>
      </c>
      <c r="F52" s="6">
        <v>1303.6187500000001</v>
      </c>
      <c r="G52" s="7">
        <v>4.1623909999999997E-3</v>
      </c>
      <c r="H52" s="106"/>
      <c r="I52" s="104"/>
    </row>
    <row r="53" spans="1:9" ht="53.1" customHeight="1" x14ac:dyDescent="0.2">
      <c r="A53" s="3">
        <v>47</v>
      </c>
      <c r="B53" s="4" t="s">
        <v>90</v>
      </c>
      <c r="C53" s="4" t="s">
        <v>91</v>
      </c>
      <c r="D53" s="4" t="s">
        <v>48</v>
      </c>
      <c r="E53" s="5">
        <v>80000</v>
      </c>
      <c r="F53" s="6">
        <v>1260.8800000000001</v>
      </c>
      <c r="G53" s="7">
        <v>4.0259279999999998E-3</v>
      </c>
      <c r="H53" s="106"/>
      <c r="I53" s="104"/>
    </row>
    <row r="54" spans="1:9" ht="17.100000000000001" customHeight="1" x14ac:dyDescent="0.2">
      <c r="A54" s="3">
        <v>48</v>
      </c>
      <c r="B54" s="4" t="s">
        <v>238</v>
      </c>
      <c r="C54" s="4" t="s">
        <v>239</v>
      </c>
      <c r="D54" s="4" t="s">
        <v>240</v>
      </c>
      <c r="E54" s="5">
        <v>452752</v>
      </c>
      <c r="F54" s="6">
        <v>1188.2476240000001</v>
      </c>
      <c r="G54" s="7">
        <v>3.7940169999999998E-3</v>
      </c>
      <c r="H54" s="106"/>
      <c r="I54" s="104"/>
    </row>
    <row r="55" spans="1:9" ht="17.100000000000001" customHeight="1" x14ac:dyDescent="0.2">
      <c r="A55" s="3">
        <v>49</v>
      </c>
      <c r="B55" s="4" t="s">
        <v>335</v>
      </c>
      <c r="C55" s="4" t="s">
        <v>336</v>
      </c>
      <c r="D55" s="4" t="s">
        <v>16</v>
      </c>
      <c r="E55" s="5">
        <v>60010</v>
      </c>
      <c r="F55" s="6">
        <v>1141.360195</v>
      </c>
      <c r="G55" s="7">
        <v>3.6443069999999998E-3</v>
      </c>
      <c r="H55" s="106"/>
      <c r="I55" s="104"/>
    </row>
    <row r="56" spans="1:9" ht="17.100000000000001" customHeight="1" x14ac:dyDescent="0.2">
      <c r="A56" s="3">
        <v>50</v>
      </c>
      <c r="B56" s="4" t="s">
        <v>459</v>
      </c>
      <c r="C56" s="4" t="s">
        <v>460</v>
      </c>
      <c r="D56" s="4" t="s">
        <v>96</v>
      </c>
      <c r="E56" s="5">
        <v>70000</v>
      </c>
      <c r="F56" s="6">
        <v>999.495</v>
      </c>
      <c r="G56" s="7">
        <v>3.1913390000000001E-3</v>
      </c>
      <c r="H56" s="106"/>
      <c r="I56" s="104"/>
    </row>
    <row r="57" spans="1:9" ht="17.100000000000001" customHeight="1" x14ac:dyDescent="0.2">
      <c r="A57" s="3">
        <v>51</v>
      </c>
      <c r="B57" s="4" t="s">
        <v>269</v>
      </c>
      <c r="C57" s="4" t="s">
        <v>270</v>
      </c>
      <c r="D57" s="4" t="s">
        <v>89</v>
      </c>
      <c r="E57" s="5">
        <v>160000</v>
      </c>
      <c r="F57" s="6">
        <v>858.72</v>
      </c>
      <c r="G57" s="7">
        <v>2.741851E-3</v>
      </c>
      <c r="H57" s="106"/>
      <c r="I57" s="104"/>
    </row>
    <row r="58" spans="1:9" ht="17.100000000000001" customHeight="1" x14ac:dyDescent="0.2">
      <c r="A58" s="3">
        <v>52</v>
      </c>
      <c r="B58" s="4" t="s">
        <v>275</v>
      </c>
      <c r="C58" s="4" t="s">
        <v>276</v>
      </c>
      <c r="D58" s="4" t="s">
        <v>99</v>
      </c>
      <c r="E58" s="5">
        <v>45000</v>
      </c>
      <c r="F58" s="6">
        <v>820.98</v>
      </c>
      <c r="G58" s="7">
        <v>2.6213489999999998E-3</v>
      </c>
      <c r="H58" s="106"/>
      <c r="I58" s="104"/>
    </row>
    <row r="59" spans="1:9" ht="29.1" customHeight="1" x14ac:dyDescent="0.2">
      <c r="A59" s="3">
        <v>53</v>
      </c>
      <c r="B59" s="4" t="s">
        <v>60</v>
      </c>
      <c r="C59" s="4" t="s">
        <v>61</v>
      </c>
      <c r="D59" s="4" t="s">
        <v>62</v>
      </c>
      <c r="E59" s="5">
        <v>97208</v>
      </c>
      <c r="F59" s="6">
        <v>800.55648399999995</v>
      </c>
      <c r="G59" s="7">
        <v>2.5561379999999999E-3</v>
      </c>
      <c r="H59" s="106"/>
      <c r="I59" s="104"/>
    </row>
    <row r="60" spans="1:9" ht="17.100000000000001" customHeight="1" x14ac:dyDescent="0.2">
      <c r="A60" s="3">
        <v>54</v>
      </c>
      <c r="B60" s="4" t="s">
        <v>313</v>
      </c>
      <c r="C60" s="4" t="s">
        <v>314</v>
      </c>
      <c r="D60" s="4" t="s">
        <v>1114</v>
      </c>
      <c r="E60" s="5">
        <v>74693</v>
      </c>
      <c r="F60" s="6">
        <v>777.66616950000002</v>
      </c>
      <c r="G60" s="7">
        <v>2.4830500000000001E-3</v>
      </c>
      <c r="H60" s="106"/>
      <c r="I60" s="104"/>
    </row>
    <row r="61" spans="1:9" ht="29.1" customHeight="1" x14ac:dyDescent="0.2">
      <c r="A61" s="3">
        <v>55</v>
      </c>
      <c r="B61" s="4" t="s">
        <v>317</v>
      </c>
      <c r="C61" s="4" t="s">
        <v>318</v>
      </c>
      <c r="D61" s="4" t="s">
        <v>319</v>
      </c>
      <c r="E61" s="5">
        <v>88925</v>
      </c>
      <c r="F61" s="6">
        <v>491.57740000000001</v>
      </c>
      <c r="G61" s="7">
        <v>1.569583E-3</v>
      </c>
      <c r="H61" s="106"/>
      <c r="I61" s="104"/>
    </row>
    <row r="62" spans="1:9" ht="17.100000000000001" customHeight="1" x14ac:dyDescent="0.2">
      <c r="A62" s="3">
        <v>56</v>
      </c>
      <c r="B62" s="4" t="s">
        <v>176</v>
      </c>
      <c r="C62" s="4" t="s">
        <v>177</v>
      </c>
      <c r="D62" s="4" t="s">
        <v>16</v>
      </c>
      <c r="E62" s="5">
        <v>215000</v>
      </c>
      <c r="F62" s="6">
        <v>282.72500000000002</v>
      </c>
      <c r="G62" s="7">
        <v>9.0272699999999998E-4</v>
      </c>
      <c r="H62" s="106"/>
      <c r="I62" s="104"/>
    </row>
    <row r="63" spans="1:9" ht="17.100000000000001" customHeight="1" x14ac:dyDescent="0.2">
      <c r="A63" s="3">
        <v>57</v>
      </c>
      <c r="B63" s="4" t="s">
        <v>125</v>
      </c>
      <c r="C63" s="4" t="s">
        <v>126</v>
      </c>
      <c r="D63" s="4"/>
      <c r="E63" s="5">
        <v>80000</v>
      </c>
      <c r="F63" s="6">
        <v>241.4</v>
      </c>
      <c r="G63" s="7">
        <v>7.7077799999999996E-4</v>
      </c>
      <c r="H63" s="106"/>
      <c r="I63" s="104"/>
    </row>
    <row r="64" spans="1:9" ht="14.1" customHeight="1" x14ac:dyDescent="0.2">
      <c r="A64" s="1"/>
      <c r="B64" s="1"/>
      <c r="C64" s="2" t="s">
        <v>130</v>
      </c>
      <c r="D64" s="1"/>
      <c r="E64" s="1" t="s">
        <v>131</v>
      </c>
      <c r="F64" s="9">
        <v>241166.84531949999</v>
      </c>
      <c r="G64" s="10">
        <v>0.77003396700000004</v>
      </c>
      <c r="H64" s="106"/>
      <c r="I64" s="104"/>
    </row>
    <row r="65" spans="1:9" ht="14.1" customHeight="1" x14ac:dyDescent="0.2">
      <c r="A65" s="1"/>
      <c r="B65" s="1"/>
      <c r="C65" s="11"/>
      <c r="D65" s="1"/>
      <c r="E65" s="1"/>
      <c r="F65" s="12"/>
      <c r="G65" s="12"/>
      <c r="H65" s="106"/>
      <c r="I65" s="104"/>
    </row>
    <row r="66" spans="1:9" ht="14.1" customHeight="1" x14ac:dyDescent="0.2">
      <c r="A66" s="1"/>
      <c r="B66" s="1"/>
      <c r="C66" s="2" t="s">
        <v>132</v>
      </c>
      <c r="D66" s="1"/>
      <c r="E66" s="1"/>
      <c r="F66" s="1"/>
      <c r="G66" s="1"/>
      <c r="H66" s="106"/>
      <c r="I66" s="104"/>
    </row>
    <row r="67" spans="1:9" ht="14.1" customHeight="1" x14ac:dyDescent="0.2">
      <c r="A67" s="1"/>
      <c r="B67" s="1"/>
      <c r="C67" s="2" t="s">
        <v>130</v>
      </c>
      <c r="D67" s="1"/>
      <c r="E67" s="1" t="s">
        <v>131</v>
      </c>
      <c r="F67" s="13">
        <v>0</v>
      </c>
      <c r="G67" s="14">
        <v>0</v>
      </c>
      <c r="H67" s="106"/>
      <c r="I67" s="104"/>
    </row>
    <row r="68" spans="1:9" ht="14.1" customHeight="1" x14ac:dyDescent="0.2">
      <c r="A68" s="1"/>
      <c r="B68" s="1"/>
      <c r="C68" s="11"/>
      <c r="D68" s="1"/>
      <c r="E68" s="1"/>
      <c r="F68" s="12"/>
      <c r="G68" s="12"/>
      <c r="H68" s="106"/>
      <c r="I68" s="104"/>
    </row>
    <row r="69" spans="1:9" ht="14.1" customHeight="1" x14ac:dyDescent="0.2">
      <c r="A69" s="1"/>
      <c r="B69" s="1"/>
      <c r="C69" s="2" t="s">
        <v>133</v>
      </c>
      <c r="D69" s="1"/>
      <c r="E69" s="1"/>
      <c r="F69" s="1"/>
      <c r="G69" s="1"/>
      <c r="H69" s="106"/>
      <c r="I69" s="104"/>
    </row>
    <row r="70" spans="1:9" ht="29.1" customHeight="1" x14ac:dyDescent="0.2">
      <c r="A70" s="3">
        <v>1</v>
      </c>
      <c r="B70" s="4" t="s">
        <v>646</v>
      </c>
      <c r="C70" s="4" t="s">
        <v>999</v>
      </c>
      <c r="D70" s="4" t="s">
        <v>647</v>
      </c>
      <c r="E70" s="5">
        <v>30579</v>
      </c>
      <c r="F70" s="6">
        <v>1.5901080000000001</v>
      </c>
      <c r="G70" s="8" t="s">
        <v>129</v>
      </c>
      <c r="H70" s="106"/>
      <c r="I70" s="104"/>
    </row>
    <row r="71" spans="1:9" ht="14.1" customHeight="1" x14ac:dyDescent="0.2">
      <c r="A71" s="1"/>
      <c r="B71" s="1"/>
      <c r="C71" s="2" t="s">
        <v>130</v>
      </c>
      <c r="D71" s="1"/>
      <c r="E71" s="1" t="s">
        <v>131</v>
      </c>
      <c r="F71" s="13">
        <v>1.5901080000000001</v>
      </c>
      <c r="G71" s="14">
        <v>0</v>
      </c>
      <c r="H71" s="106"/>
      <c r="I71" s="104"/>
    </row>
    <row r="72" spans="1:9" ht="14.1" customHeight="1" x14ac:dyDescent="0.2">
      <c r="A72" s="1"/>
      <c r="B72" s="1"/>
      <c r="C72" s="11"/>
      <c r="D72" s="1"/>
      <c r="E72" s="1"/>
      <c r="F72" s="12"/>
      <c r="G72" s="12"/>
      <c r="H72" s="106"/>
      <c r="I72" s="104"/>
    </row>
    <row r="73" spans="1:9" ht="14.1" customHeight="1" x14ac:dyDescent="0.2">
      <c r="A73" s="1"/>
      <c r="B73" s="1"/>
      <c r="C73" s="2" t="s">
        <v>134</v>
      </c>
      <c r="D73" s="1"/>
      <c r="E73" s="1"/>
      <c r="F73" s="1"/>
      <c r="G73" s="1"/>
      <c r="H73" s="106"/>
      <c r="I73" s="104"/>
    </row>
    <row r="74" spans="1:9" ht="14.1" customHeight="1" x14ac:dyDescent="0.2">
      <c r="A74" s="1"/>
      <c r="B74" s="1"/>
      <c r="C74" s="2" t="s">
        <v>130</v>
      </c>
      <c r="D74" s="1"/>
      <c r="E74" s="1" t="s">
        <v>131</v>
      </c>
      <c r="F74" s="13">
        <v>0</v>
      </c>
      <c r="G74" s="14">
        <v>0</v>
      </c>
      <c r="H74" s="106"/>
      <c r="I74" s="104"/>
    </row>
    <row r="75" spans="1:9" ht="14.1" customHeight="1" x14ac:dyDescent="0.2">
      <c r="A75" s="1"/>
      <c r="B75" s="1"/>
      <c r="C75" s="11"/>
      <c r="D75" s="1"/>
      <c r="E75" s="1"/>
      <c r="F75" s="12"/>
      <c r="G75" s="12"/>
      <c r="H75" s="106"/>
      <c r="I75" s="104"/>
    </row>
    <row r="76" spans="1:9" ht="14.1" customHeight="1" x14ac:dyDescent="0.2">
      <c r="A76" s="1"/>
      <c r="B76" s="1"/>
      <c r="C76" s="2" t="s">
        <v>135</v>
      </c>
      <c r="D76" s="1"/>
      <c r="E76" s="1"/>
      <c r="F76" s="12"/>
      <c r="G76" s="12"/>
      <c r="H76" s="106"/>
      <c r="I76" s="104"/>
    </row>
    <row r="77" spans="1:9" ht="14.1" customHeight="1" x14ac:dyDescent="0.2">
      <c r="A77" s="1"/>
      <c r="B77" s="1"/>
      <c r="C77" s="2" t="s">
        <v>130</v>
      </c>
      <c r="D77" s="1"/>
      <c r="E77" s="1" t="s">
        <v>131</v>
      </c>
      <c r="F77" s="13">
        <v>0</v>
      </c>
      <c r="G77" s="14">
        <v>0</v>
      </c>
      <c r="H77" s="106"/>
      <c r="I77" s="104"/>
    </row>
    <row r="78" spans="1:9" ht="14.1" customHeight="1" x14ac:dyDescent="0.2">
      <c r="A78" s="1"/>
      <c r="B78" s="1"/>
      <c r="C78" s="11"/>
      <c r="D78" s="1"/>
      <c r="E78" s="1"/>
      <c r="F78" s="12"/>
      <c r="G78" s="12"/>
      <c r="H78" s="106"/>
      <c r="I78" s="104"/>
    </row>
    <row r="79" spans="1:9" ht="14.1" customHeight="1" x14ac:dyDescent="0.2">
      <c r="A79" s="1"/>
      <c r="B79" s="1"/>
      <c r="C79" s="2" t="s">
        <v>136</v>
      </c>
      <c r="D79" s="1"/>
      <c r="E79" s="1"/>
      <c r="F79" s="12"/>
      <c r="G79" s="12"/>
      <c r="H79" s="106"/>
      <c r="I79" s="104"/>
    </row>
    <row r="80" spans="1:9" ht="14.1" customHeight="1" x14ac:dyDescent="0.2">
      <c r="A80" s="1"/>
      <c r="B80" s="1"/>
      <c r="C80" s="2" t="s">
        <v>130</v>
      </c>
      <c r="D80" s="1"/>
      <c r="E80" s="1" t="s">
        <v>131</v>
      </c>
      <c r="F80" s="13">
        <v>0</v>
      </c>
      <c r="G80" s="14">
        <v>0</v>
      </c>
      <c r="H80" s="106"/>
      <c r="I80" s="104"/>
    </row>
    <row r="81" spans="1:10" ht="14.1" customHeight="1" x14ac:dyDescent="0.2">
      <c r="A81" s="1"/>
      <c r="B81" s="1"/>
      <c r="C81" s="11"/>
      <c r="D81" s="1"/>
      <c r="E81" s="1"/>
      <c r="F81" s="12"/>
      <c r="G81" s="12"/>
      <c r="H81" s="106"/>
      <c r="I81" s="104"/>
    </row>
    <row r="82" spans="1:10" ht="18" customHeight="1" x14ac:dyDescent="0.2">
      <c r="A82" s="1"/>
      <c r="B82" s="1"/>
      <c r="C82" s="2" t="s">
        <v>137</v>
      </c>
      <c r="D82" s="1"/>
      <c r="E82" s="1"/>
      <c r="F82" s="9">
        <v>241166.84531949999</v>
      </c>
      <c r="G82" s="10">
        <v>0.77003396700000004</v>
      </c>
      <c r="H82" s="106"/>
      <c r="I82" s="104"/>
    </row>
    <row r="83" spans="1:10" ht="14.1" customHeight="1" x14ac:dyDescent="0.2">
      <c r="A83" s="1"/>
      <c r="B83" s="1"/>
      <c r="C83" s="11"/>
      <c r="D83" s="1"/>
      <c r="E83" s="1"/>
      <c r="F83" s="12"/>
      <c r="G83" s="12"/>
      <c r="H83" s="106"/>
      <c r="I83" s="104"/>
    </row>
    <row r="84" spans="1:10" ht="14.1" customHeight="1" x14ac:dyDescent="0.2">
      <c r="A84" s="1"/>
      <c r="B84" s="1"/>
      <c r="C84" s="2" t="s">
        <v>138</v>
      </c>
      <c r="D84" s="1"/>
      <c r="E84" s="1"/>
      <c r="F84" s="12"/>
      <c r="G84" s="12"/>
      <c r="H84" s="106"/>
      <c r="I84" s="104"/>
    </row>
    <row r="85" spans="1:10" ht="24" customHeight="1" x14ac:dyDescent="0.2">
      <c r="A85" s="1"/>
      <c r="B85" s="1"/>
      <c r="C85" s="2" t="s">
        <v>10</v>
      </c>
      <c r="D85" s="1"/>
      <c r="E85" s="1"/>
      <c r="F85" s="12"/>
      <c r="G85" s="12"/>
      <c r="H85" s="106"/>
      <c r="I85" s="104"/>
    </row>
    <row r="86" spans="1:10" ht="29.1" customHeight="1" x14ac:dyDescent="0.2">
      <c r="A86" s="3">
        <v>1</v>
      </c>
      <c r="B86" s="4" t="s">
        <v>760</v>
      </c>
      <c r="C86" s="4" t="s">
        <v>761</v>
      </c>
      <c r="D86" s="4" t="s">
        <v>600</v>
      </c>
      <c r="E86" s="5">
        <v>250</v>
      </c>
      <c r="F86" s="6">
        <v>2491.0475000000001</v>
      </c>
      <c r="G86" s="7">
        <v>7.9537930000000007E-3</v>
      </c>
      <c r="H86" s="106">
        <v>7.3449999999999998</v>
      </c>
      <c r="I86" s="104"/>
    </row>
    <row r="87" spans="1:10" ht="17.100000000000001" customHeight="1" x14ac:dyDescent="0.2">
      <c r="A87" s="3">
        <v>2</v>
      </c>
      <c r="B87" s="4" t="s">
        <v>762</v>
      </c>
      <c r="C87" s="4" t="s">
        <v>763</v>
      </c>
      <c r="D87" s="4" t="s">
        <v>600</v>
      </c>
      <c r="E87" s="5">
        <v>250</v>
      </c>
      <c r="F87" s="6">
        <v>2431.63</v>
      </c>
      <c r="G87" s="7">
        <v>7.764076E-3</v>
      </c>
      <c r="H87" s="106">
        <v>7.55</v>
      </c>
      <c r="I87" s="104"/>
    </row>
    <row r="88" spans="1:10" ht="28.5" customHeight="1" x14ac:dyDescent="0.2">
      <c r="A88" s="110">
        <v>3</v>
      </c>
      <c r="B88" s="102" t="s">
        <v>764</v>
      </c>
      <c r="C88" s="102" t="s">
        <v>1058</v>
      </c>
      <c r="D88" s="102" t="s">
        <v>765</v>
      </c>
      <c r="E88" s="111">
        <v>150</v>
      </c>
      <c r="F88" s="106">
        <v>1521.8805</v>
      </c>
      <c r="G88" s="112">
        <v>4.8592899999999996E-3</v>
      </c>
      <c r="H88" s="106">
        <v>8.2292000000000005</v>
      </c>
      <c r="I88" s="104">
        <v>7.2717499999499999</v>
      </c>
      <c r="J88" s="165"/>
    </row>
    <row r="89" spans="1:10" ht="29.1" customHeight="1" x14ac:dyDescent="0.2">
      <c r="A89" s="3">
        <v>4</v>
      </c>
      <c r="B89" s="4" t="s">
        <v>766</v>
      </c>
      <c r="C89" s="4" t="s">
        <v>767</v>
      </c>
      <c r="D89" s="4" t="s">
        <v>600</v>
      </c>
      <c r="E89" s="5">
        <v>150</v>
      </c>
      <c r="F89" s="6">
        <v>1489.713</v>
      </c>
      <c r="G89" s="7">
        <v>4.7565810000000002E-3</v>
      </c>
      <c r="H89" s="106">
        <v>7.3949999999999996</v>
      </c>
      <c r="I89" s="104"/>
    </row>
    <row r="90" spans="1:10" ht="29.1" customHeight="1" x14ac:dyDescent="0.2">
      <c r="A90" s="3">
        <v>5</v>
      </c>
      <c r="B90" s="4" t="s">
        <v>768</v>
      </c>
      <c r="C90" s="4" t="s">
        <v>769</v>
      </c>
      <c r="D90" s="4" t="s">
        <v>600</v>
      </c>
      <c r="E90" s="5">
        <v>150</v>
      </c>
      <c r="F90" s="6">
        <v>1485.0735</v>
      </c>
      <c r="G90" s="7">
        <v>4.741767E-3</v>
      </c>
      <c r="H90" s="106">
        <v>7.8163999999999998</v>
      </c>
      <c r="I90" s="104"/>
    </row>
    <row r="91" spans="1:10" ht="29.1" customHeight="1" x14ac:dyDescent="0.2">
      <c r="A91" s="3">
        <v>6</v>
      </c>
      <c r="B91" s="4" t="s">
        <v>770</v>
      </c>
      <c r="C91" s="4" t="s">
        <v>771</v>
      </c>
      <c r="D91" s="4" t="s">
        <v>600</v>
      </c>
      <c r="E91" s="5">
        <v>100</v>
      </c>
      <c r="F91" s="6">
        <v>1007.245</v>
      </c>
      <c r="G91" s="7">
        <v>3.2160840000000001E-3</v>
      </c>
      <c r="H91" s="106">
        <v>7.55</v>
      </c>
      <c r="I91" s="104"/>
      <c r="J91" s="165"/>
    </row>
    <row r="92" spans="1:10" ht="29.1" customHeight="1" x14ac:dyDescent="0.2">
      <c r="A92" s="3">
        <v>7</v>
      </c>
      <c r="B92" s="4" t="s">
        <v>772</v>
      </c>
      <c r="C92" s="4" t="s">
        <v>773</v>
      </c>
      <c r="D92" s="4" t="s">
        <v>600</v>
      </c>
      <c r="E92" s="5">
        <v>100</v>
      </c>
      <c r="F92" s="6">
        <v>1001.755</v>
      </c>
      <c r="G92" s="7">
        <v>3.1985550000000001E-3</v>
      </c>
      <c r="H92" s="106">
        <v>7.52</v>
      </c>
      <c r="I92" s="104"/>
    </row>
    <row r="93" spans="1:10" ht="29.1" customHeight="1" x14ac:dyDescent="0.2">
      <c r="A93" s="3">
        <v>8</v>
      </c>
      <c r="B93" s="4" t="s">
        <v>774</v>
      </c>
      <c r="C93" s="4" t="s">
        <v>775</v>
      </c>
      <c r="D93" s="4" t="s">
        <v>600</v>
      </c>
      <c r="E93" s="5">
        <v>100</v>
      </c>
      <c r="F93" s="6">
        <v>1000.609</v>
      </c>
      <c r="G93" s="7">
        <v>3.194896E-3</v>
      </c>
      <c r="H93" s="106">
        <v>7.64</v>
      </c>
      <c r="I93" s="104"/>
    </row>
    <row r="94" spans="1:10" ht="29.1" customHeight="1" x14ac:dyDescent="0.2">
      <c r="A94" s="3">
        <v>9</v>
      </c>
      <c r="B94" s="4" t="s">
        <v>776</v>
      </c>
      <c r="C94" s="4" t="s">
        <v>777</v>
      </c>
      <c r="D94" s="4" t="s">
        <v>600</v>
      </c>
      <c r="E94" s="5">
        <v>100</v>
      </c>
      <c r="F94" s="6">
        <v>999.55399999999997</v>
      </c>
      <c r="G94" s="7">
        <v>3.191527E-3</v>
      </c>
      <c r="H94" s="106">
        <v>7.24</v>
      </c>
      <c r="I94" s="104"/>
    </row>
    <row r="95" spans="1:10" ht="29.1" customHeight="1" x14ac:dyDescent="0.2">
      <c r="A95" s="3">
        <v>10</v>
      </c>
      <c r="B95" s="4" t="s">
        <v>778</v>
      </c>
      <c r="C95" s="4" t="s">
        <v>779</v>
      </c>
      <c r="D95" s="4" t="s">
        <v>620</v>
      </c>
      <c r="E95" s="5">
        <v>100</v>
      </c>
      <c r="F95" s="6">
        <v>991.97400000000005</v>
      </c>
      <c r="G95" s="7">
        <v>3.1673249999999999E-3</v>
      </c>
      <c r="H95" s="106">
        <v>7.2750000000000004</v>
      </c>
      <c r="I95" s="104"/>
    </row>
    <row r="96" spans="1:10" ht="29.1" customHeight="1" x14ac:dyDescent="0.2">
      <c r="A96" s="3">
        <v>11</v>
      </c>
      <c r="B96" s="4" t="s">
        <v>780</v>
      </c>
      <c r="C96" s="4" t="s">
        <v>781</v>
      </c>
      <c r="D96" s="4" t="s">
        <v>600</v>
      </c>
      <c r="E96" s="5">
        <v>100</v>
      </c>
      <c r="F96" s="6">
        <v>953.43</v>
      </c>
      <c r="G96" s="7">
        <v>3.0442550000000001E-3</v>
      </c>
      <c r="H96" s="106">
        <v>7.54</v>
      </c>
      <c r="I96" s="104"/>
    </row>
    <row r="97" spans="1:9" ht="17.100000000000001" customHeight="1" x14ac:dyDescent="0.2">
      <c r="A97" s="3">
        <v>12</v>
      </c>
      <c r="B97" s="4" t="s">
        <v>627</v>
      </c>
      <c r="C97" s="4" t="s">
        <v>628</v>
      </c>
      <c r="D97" s="4" t="s">
        <v>600</v>
      </c>
      <c r="E97" s="5">
        <v>55</v>
      </c>
      <c r="F97" s="6">
        <v>550.05885000000001</v>
      </c>
      <c r="G97" s="7">
        <v>1.756311E-3</v>
      </c>
      <c r="H97" s="106">
        <v>6.7649999999999997</v>
      </c>
      <c r="I97" s="104"/>
    </row>
    <row r="98" spans="1:9" ht="17.100000000000001" customHeight="1" x14ac:dyDescent="0.2">
      <c r="A98" s="3">
        <v>13</v>
      </c>
      <c r="B98" s="4" t="s">
        <v>782</v>
      </c>
      <c r="C98" s="4" t="s">
        <v>783</v>
      </c>
      <c r="D98" s="4" t="s">
        <v>631</v>
      </c>
      <c r="E98" s="5">
        <v>50</v>
      </c>
      <c r="F98" s="6">
        <v>499.26049999999998</v>
      </c>
      <c r="G98" s="7">
        <v>1.594114E-3</v>
      </c>
      <c r="H98" s="106">
        <v>7.73</v>
      </c>
      <c r="I98" s="104"/>
    </row>
    <row r="99" spans="1:9" ht="29.1" customHeight="1" x14ac:dyDescent="0.2">
      <c r="A99" s="3">
        <v>14</v>
      </c>
      <c r="B99" s="4" t="s">
        <v>618</v>
      </c>
      <c r="C99" s="4" t="s">
        <v>619</v>
      </c>
      <c r="D99" s="4" t="s">
        <v>620</v>
      </c>
      <c r="E99" s="5">
        <v>50</v>
      </c>
      <c r="F99" s="6">
        <v>491.42899999999997</v>
      </c>
      <c r="G99" s="7">
        <v>1.569109E-3</v>
      </c>
      <c r="H99" s="106">
        <v>7.61</v>
      </c>
      <c r="I99" s="104"/>
    </row>
    <row r="100" spans="1:9" ht="29.1" customHeight="1" x14ac:dyDescent="0.2">
      <c r="A100" s="3">
        <v>15</v>
      </c>
      <c r="B100" s="4" t="s">
        <v>629</v>
      </c>
      <c r="C100" s="4" t="s">
        <v>630</v>
      </c>
      <c r="D100" s="4" t="s">
        <v>631</v>
      </c>
      <c r="E100" s="5">
        <v>45</v>
      </c>
      <c r="F100" s="6">
        <v>446.24610000000001</v>
      </c>
      <c r="G100" s="7">
        <v>1.4248419999999999E-3</v>
      </c>
      <c r="H100" s="106">
        <v>7.46</v>
      </c>
      <c r="I100" s="104"/>
    </row>
    <row r="101" spans="1:9" ht="29.1" customHeight="1" x14ac:dyDescent="0.2">
      <c r="A101" s="3">
        <v>16</v>
      </c>
      <c r="B101" s="4" t="s">
        <v>784</v>
      </c>
      <c r="C101" s="4" t="s">
        <v>785</v>
      </c>
      <c r="D101" s="4" t="s">
        <v>600</v>
      </c>
      <c r="E101" s="5">
        <v>40</v>
      </c>
      <c r="F101" s="6">
        <v>401.01479999999998</v>
      </c>
      <c r="G101" s="7">
        <v>1.2804209999999999E-3</v>
      </c>
      <c r="H101" s="106">
        <v>7.0167000000000002</v>
      </c>
      <c r="I101" s="104"/>
    </row>
    <row r="102" spans="1:9" ht="29.1" customHeight="1" x14ac:dyDescent="0.2">
      <c r="A102" s="3">
        <v>17</v>
      </c>
      <c r="B102" s="4" t="s">
        <v>786</v>
      </c>
      <c r="C102" s="4" t="s">
        <v>787</v>
      </c>
      <c r="D102" s="4" t="s">
        <v>600</v>
      </c>
      <c r="E102" s="5">
        <v>20</v>
      </c>
      <c r="F102" s="6">
        <v>199.14959999999999</v>
      </c>
      <c r="G102" s="7">
        <v>6.3587500000000005E-4</v>
      </c>
      <c r="H102" s="106">
        <v>7.25</v>
      </c>
      <c r="I102" s="104"/>
    </row>
    <row r="103" spans="1:9" ht="29.1" customHeight="1" x14ac:dyDescent="0.2">
      <c r="A103" s="3">
        <v>18</v>
      </c>
      <c r="B103" s="4" t="s">
        <v>788</v>
      </c>
      <c r="C103" s="4" t="s">
        <v>789</v>
      </c>
      <c r="D103" s="4" t="s">
        <v>600</v>
      </c>
      <c r="E103" s="5">
        <v>20</v>
      </c>
      <c r="F103" s="6">
        <v>192.89519999999999</v>
      </c>
      <c r="G103" s="7">
        <v>6.1590500000000003E-4</v>
      </c>
      <c r="H103" s="106">
        <v>7.52</v>
      </c>
      <c r="I103" s="104"/>
    </row>
    <row r="104" spans="1:9" ht="14.1" customHeight="1" x14ac:dyDescent="0.2">
      <c r="A104" s="1"/>
      <c r="B104" s="1"/>
      <c r="C104" s="2" t="s">
        <v>130</v>
      </c>
      <c r="D104" s="1"/>
      <c r="E104" s="1" t="s">
        <v>131</v>
      </c>
      <c r="F104" s="9">
        <v>18153.965550000001</v>
      </c>
      <c r="G104" s="10">
        <v>5.7964726000000001E-2</v>
      </c>
      <c r="H104" s="106"/>
      <c r="I104" s="104"/>
    </row>
    <row r="105" spans="1:9" ht="14.1" customHeight="1" x14ac:dyDescent="0.2">
      <c r="A105" s="1"/>
      <c r="B105" s="1"/>
      <c r="C105" s="11"/>
      <c r="D105" s="1"/>
      <c r="E105" s="1"/>
      <c r="F105" s="12"/>
      <c r="G105" s="12"/>
      <c r="H105" s="106"/>
      <c r="I105" s="104"/>
    </row>
    <row r="106" spans="1:9" ht="14.1" customHeight="1" x14ac:dyDescent="0.2">
      <c r="A106" s="1"/>
      <c r="B106" s="1"/>
      <c r="C106" s="2" t="s">
        <v>139</v>
      </c>
      <c r="D106" s="1"/>
      <c r="E106" s="1"/>
      <c r="F106" s="1"/>
      <c r="G106" s="1"/>
      <c r="H106" s="106"/>
      <c r="I106" s="104"/>
    </row>
    <row r="107" spans="1:9" ht="17.100000000000001" customHeight="1" x14ac:dyDescent="0.2">
      <c r="A107" s="3">
        <v>1</v>
      </c>
      <c r="B107" s="4" t="s">
        <v>790</v>
      </c>
      <c r="C107" s="4" t="s">
        <v>791</v>
      </c>
      <c r="D107" s="4" t="s">
        <v>631</v>
      </c>
      <c r="E107" s="5">
        <v>50</v>
      </c>
      <c r="F107" s="6">
        <v>505.92450000000002</v>
      </c>
      <c r="G107" s="7">
        <v>1.615392E-3</v>
      </c>
      <c r="H107" s="106">
        <v>8.4749999999999996</v>
      </c>
      <c r="I107" s="104"/>
    </row>
    <row r="108" spans="1:9" ht="14.1" customHeight="1" x14ac:dyDescent="0.2">
      <c r="A108" s="1"/>
      <c r="B108" s="1"/>
      <c r="C108" s="2" t="s">
        <v>130</v>
      </c>
      <c r="D108" s="1"/>
      <c r="E108" s="1" t="s">
        <v>131</v>
      </c>
      <c r="F108" s="9">
        <v>505.92450000000002</v>
      </c>
      <c r="G108" s="10">
        <v>1.615392E-3</v>
      </c>
      <c r="H108" s="106"/>
      <c r="I108" s="104"/>
    </row>
    <row r="109" spans="1:9" ht="14.1" customHeight="1" x14ac:dyDescent="0.2">
      <c r="A109" s="1"/>
      <c r="B109" s="1"/>
      <c r="C109" s="11"/>
      <c r="D109" s="1"/>
      <c r="E109" s="1"/>
      <c r="F109" s="12"/>
      <c r="G109" s="12"/>
      <c r="H109" s="106"/>
      <c r="I109" s="104"/>
    </row>
    <row r="110" spans="1:9" ht="14.1" customHeight="1" x14ac:dyDescent="0.2">
      <c r="A110" s="1"/>
      <c r="B110" s="1"/>
      <c r="C110" s="2" t="s">
        <v>140</v>
      </c>
      <c r="D110" s="1"/>
      <c r="E110" s="1"/>
      <c r="F110" s="1"/>
      <c r="G110" s="1"/>
      <c r="H110" s="106"/>
      <c r="I110" s="104"/>
    </row>
    <row r="111" spans="1:9" ht="29.1" customHeight="1" x14ac:dyDescent="0.2">
      <c r="A111" s="3">
        <v>1</v>
      </c>
      <c r="B111" s="4" t="s">
        <v>792</v>
      </c>
      <c r="C111" s="4" t="s">
        <v>793</v>
      </c>
      <c r="D111" s="4" t="s">
        <v>572</v>
      </c>
      <c r="E111" s="5">
        <v>7500000</v>
      </c>
      <c r="F111" s="6">
        <v>7463.07</v>
      </c>
      <c r="G111" s="7">
        <v>2.3829217999999999E-2</v>
      </c>
      <c r="H111" s="106">
        <v>7.0022000000000002</v>
      </c>
      <c r="I111" s="104"/>
    </row>
    <row r="112" spans="1:9" ht="29.1" customHeight="1" x14ac:dyDescent="0.2">
      <c r="A112" s="3">
        <v>2</v>
      </c>
      <c r="B112" s="4" t="s">
        <v>794</v>
      </c>
      <c r="C112" s="4" t="s">
        <v>795</v>
      </c>
      <c r="D112" s="4" t="s">
        <v>572</v>
      </c>
      <c r="E112" s="5">
        <v>2500000</v>
      </c>
      <c r="F112" s="6">
        <v>2467.5275000000001</v>
      </c>
      <c r="G112" s="7">
        <v>7.8786949999999998E-3</v>
      </c>
      <c r="H112" s="106">
        <v>7.4466999999999999</v>
      </c>
      <c r="I112" s="104"/>
    </row>
    <row r="113" spans="1:9" ht="29.1" customHeight="1" x14ac:dyDescent="0.2">
      <c r="A113" s="3">
        <v>3</v>
      </c>
      <c r="B113" s="4" t="s">
        <v>796</v>
      </c>
      <c r="C113" s="4" t="s">
        <v>797</v>
      </c>
      <c r="D113" s="4" t="s">
        <v>572</v>
      </c>
      <c r="E113" s="5">
        <v>2000000</v>
      </c>
      <c r="F113" s="6">
        <v>1891.7159999999999</v>
      </c>
      <c r="G113" s="7">
        <v>6.040157E-3</v>
      </c>
      <c r="H113" s="106">
        <v>7.3113000000000001</v>
      </c>
      <c r="I113" s="104"/>
    </row>
    <row r="114" spans="1:9" ht="38.25" customHeight="1" x14ac:dyDescent="0.2">
      <c r="A114" s="3">
        <v>4</v>
      </c>
      <c r="B114" s="4" t="s">
        <v>798</v>
      </c>
      <c r="C114" s="4" t="s">
        <v>936</v>
      </c>
      <c r="D114" s="4" t="s">
        <v>572</v>
      </c>
      <c r="E114" s="5">
        <v>1500000</v>
      </c>
      <c r="F114" s="6">
        <v>1475.5709999999999</v>
      </c>
      <c r="G114" s="7">
        <v>4.7114260000000003E-3</v>
      </c>
      <c r="H114" s="106">
        <v>7.0881719038415154</v>
      </c>
      <c r="I114" s="104"/>
    </row>
    <row r="115" spans="1:9" ht="29.1" customHeight="1" x14ac:dyDescent="0.2">
      <c r="A115" s="3">
        <v>5</v>
      </c>
      <c r="B115" s="4" t="s">
        <v>799</v>
      </c>
      <c r="C115" s="4" t="s">
        <v>800</v>
      </c>
      <c r="D115" s="4" t="s">
        <v>572</v>
      </c>
      <c r="E115" s="5">
        <v>1500000</v>
      </c>
      <c r="F115" s="6">
        <v>1407.0045</v>
      </c>
      <c r="G115" s="7">
        <v>4.4924969999999998E-3</v>
      </c>
      <c r="H115" s="106">
        <v>7.4812000000000003</v>
      </c>
      <c r="I115" s="104"/>
    </row>
    <row r="116" spans="1:9" ht="29.1" customHeight="1" x14ac:dyDescent="0.2">
      <c r="A116" s="3">
        <v>6</v>
      </c>
      <c r="B116" s="4" t="s">
        <v>801</v>
      </c>
      <c r="C116" s="4" t="s">
        <v>802</v>
      </c>
      <c r="D116" s="4" t="s">
        <v>572</v>
      </c>
      <c r="E116" s="5">
        <v>1000000</v>
      </c>
      <c r="F116" s="6">
        <v>1001.296</v>
      </c>
      <c r="G116" s="7">
        <v>3.1970890000000002E-3</v>
      </c>
      <c r="H116" s="106">
        <v>6.9062000000000001</v>
      </c>
      <c r="I116" s="104"/>
    </row>
    <row r="117" spans="1:9" ht="29.1" customHeight="1" x14ac:dyDescent="0.2">
      <c r="A117" s="3">
        <v>7</v>
      </c>
      <c r="B117" s="4" t="s">
        <v>803</v>
      </c>
      <c r="C117" s="4" t="s">
        <v>804</v>
      </c>
      <c r="D117" s="4" t="s">
        <v>572</v>
      </c>
      <c r="E117" s="5">
        <v>1000000</v>
      </c>
      <c r="F117" s="6">
        <v>999.94100000000003</v>
      </c>
      <c r="G117" s="7">
        <v>3.1927629999999999E-3</v>
      </c>
      <c r="H117" s="106">
        <v>7.3780999999999999</v>
      </c>
      <c r="I117" s="104"/>
    </row>
    <row r="118" spans="1:9" ht="29.1" customHeight="1" x14ac:dyDescent="0.2">
      <c r="A118" s="3">
        <v>8</v>
      </c>
      <c r="B118" s="4" t="s">
        <v>632</v>
      </c>
      <c r="C118" s="4" t="s">
        <v>633</v>
      </c>
      <c r="D118" s="4" t="s">
        <v>572</v>
      </c>
      <c r="E118" s="5">
        <v>1000000</v>
      </c>
      <c r="F118" s="6">
        <v>953.66200000000003</v>
      </c>
      <c r="G118" s="7">
        <v>3.0449959999999999E-3</v>
      </c>
      <c r="H118" s="106">
        <v>7.1867000000000001</v>
      </c>
      <c r="I118" s="104"/>
    </row>
    <row r="119" spans="1:9" ht="29.1" customHeight="1" x14ac:dyDescent="0.2">
      <c r="A119" s="3">
        <v>9</v>
      </c>
      <c r="B119" s="4" t="s">
        <v>638</v>
      </c>
      <c r="C119" s="4" t="s">
        <v>639</v>
      </c>
      <c r="D119" s="4" t="s">
        <v>572</v>
      </c>
      <c r="E119" s="5">
        <v>950000</v>
      </c>
      <c r="F119" s="6">
        <v>933.79015000000004</v>
      </c>
      <c r="G119" s="7">
        <v>2.9815459999999998E-3</v>
      </c>
      <c r="H119" s="106">
        <v>7.1062000000000003</v>
      </c>
      <c r="I119" s="104"/>
    </row>
    <row r="120" spans="1:9" ht="29.1" customHeight="1" x14ac:dyDescent="0.2">
      <c r="A120" s="3">
        <v>10</v>
      </c>
      <c r="B120" s="4" t="s">
        <v>805</v>
      </c>
      <c r="C120" s="4" t="s">
        <v>806</v>
      </c>
      <c r="D120" s="4" t="s">
        <v>572</v>
      </c>
      <c r="E120" s="5">
        <v>650000</v>
      </c>
      <c r="F120" s="6">
        <v>650.45174999999995</v>
      </c>
      <c r="G120" s="7">
        <v>2.0768610000000002E-3</v>
      </c>
      <c r="H120" s="106">
        <v>6.2458</v>
      </c>
      <c r="I120" s="104"/>
    </row>
    <row r="121" spans="1:9" ht="29.1" customHeight="1" x14ac:dyDescent="0.2">
      <c r="A121" s="3">
        <v>11</v>
      </c>
      <c r="B121" s="4" t="s">
        <v>807</v>
      </c>
      <c r="C121" s="4" t="s">
        <v>808</v>
      </c>
      <c r="D121" s="4" t="s">
        <v>572</v>
      </c>
      <c r="E121" s="5">
        <v>400000</v>
      </c>
      <c r="F121" s="6">
        <v>407.49880000000002</v>
      </c>
      <c r="G121" s="7">
        <v>1.3011240000000001E-3</v>
      </c>
      <c r="H121" s="106">
        <v>7.4405999999999999</v>
      </c>
      <c r="I121" s="104"/>
    </row>
    <row r="122" spans="1:9" ht="29.1" customHeight="1" x14ac:dyDescent="0.2">
      <c r="A122" s="3">
        <v>12</v>
      </c>
      <c r="B122" s="4" t="s">
        <v>809</v>
      </c>
      <c r="C122" s="4" t="s">
        <v>810</v>
      </c>
      <c r="D122" s="4" t="s">
        <v>572</v>
      </c>
      <c r="E122" s="5">
        <v>400000</v>
      </c>
      <c r="F122" s="6">
        <v>405.65440000000001</v>
      </c>
      <c r="G122" s="7">
        <v>1.295235E-3</v>
      </c>
      <c r="H122" s="106">
        <v>7.4096000000000002</v>
      </c>
      <c r="I122" s="104"/>
    </row>
    <row r="123" spans="1:9" ht="29.1" customHeight="1" x14ac:dyDescent="0.2">
      <c r="A123" s="3">
        <v>13</v>
      </c>
      <c r="B123" s="4" t="s">
        <v>811</v>
      </c>
      <c r="C123" s="4" t="s">
        <v>812</v>
      </c>
      <c r="D123" s="4" t="s">
        <v>572</v>
      </c>
      <c r="E123" s="5">
        <v>400000</v>
      </c>
      <c r="F123" s="6">
        <v>405.32799999999997</v>
      </c>
      <c r="G123" s="7">
        <v>1.2941929999999999E-3</v>
      </c>
      <c r="H123" s="106">
        <v>7.4050000000000002</v>
      </c>
      <c r="I123" s="104"/>
    </row>
    <row r="124" spans="1:9" ht="14.1" customHeight="1" x14ac:dyDescent="0.2">
      <c r="A124" s="1"/>
      <c r="B124" s="1"/>
      <c r="C124" s="2" t="s">
        <v>130</v>
      </c>
      <c r="D124" s="1"/>
      <c r="E124" s="1" t="s">
        <v>131</v>
      </c>
      <c r="F124" s="9">
        <v>20462.5111</v>
      </c>
      <c r="G124" s="10">
        <v>6.5335799999999999E-2</v>
      </c>
      <c r="H124" s="106"/>
      <c r="I124" s="104"/>
    </row>
    <row r="125" spans="1:9" ht="14.1" customHeight="1" x14ac:dyDescent="0.2">
      <c r="A125" s="1"/>
      <c r="B125" s="1"/>
      <c r="C125" s="11"/>
      <c r="D125" s="1"/>
      <c r="E125" s="1"/>
      <c r="F125" s="12"/>
      <c r="G125" s="12"/>
      <c r="H125" s="106"/>
      <c r="I125" s="104"/>
    </row>
    <row r="126" spans="1:9" ht="14.1" customHeight="1" x14ac:dyDescent="0.2">
      <c r="A126" s="1"/>
      <c r="B126" s="1"/>
      <c r="C126" s="2" t="s">
        <v>141</v>
      </c>
      <c r="D126" s="1"/>
      <c r="E126" s="1"/>
      <c r="F126" s="12"/>
      <c r="G126" s="12"/>
      <c r="H126" s="106"/>
      <c r="I126" s="104"/>
    </row>
    <row r="127" spans="1:9" ht="14.1" customHeight="1" x14ac:dyDescent="0.2">
      <c r="A127" s="1"/>
      <c r="B127" s="1"/>
      <c r="C127" s="2" t="s">
        <v>130</v>
      </c>
      <c r="D127" s="1"/>
      <c r="E127" s="1" t="s">
        <v>131</v>
      </c>
      <c r="F127" s="13">
        <v>0</v>
      </c>
      <c r="G127" s="14">
        <v>0</v>
      </c>
      <c r="H127" s="106"/>
      <c r="I127" s="104"/>
    </row>
    <row r="128" spans="1:9" ht="14.1" customHeight="1" x14ac:dyDescent="0.2">
      <c r="A128" s="1"/>
      <c r="B128" s="1"/>
      <c r="C128" s="11"/>
      <c r="D128" s="1"/>
      <c r="E128" s="1"/>
      <c r="F128" s="12"/>
      <c r="G128" s="12"/>
      <c r="H128" s="106"/>
      <c r="I128" s="104"/>
    </row>
    <row r="129" spans="1:9" ht="14.1" customHeight="1" x14ac:dyDescent="0.2">
      <c r="A129" s="1"/>
      <c r="B129" s="1"/>
      <c r="C129" s="2" t="s">
        <v>142</v>
      </c>
      <c r="D129" s="1"/>
      <c r="E129" s="1"/>
      <c r="F129" s="9">
        <v>39122.401149999998</v>
      </c>
      <c r="G129" s="10">
        <v>0.124915918</v>
      </c>
      <c r="H129" s="106"/>
      <c r="I129" s="104"/>
    </row>
    <row r="130" spans="1:9" ht="14.1" customHeight="1" x14ac:dyDescent="0.2">
      <c r="A130" s="1"/>
      <c r="B130" s="1"/>
      <c r="C130" s="11"/>
      <c r="D130" s="1"/>
      <c r="E130" s="1"/>
      <c r="F130" s="12"/>
      <c r="G130" s="12"/>
      <c r="H130" s="106"/>
      <c r="I130" s="104"/>
    </row>
    <row r="131" spans="1:9" ht="14.1" customHeight="1" x14ac:dyDescent="0.2">
      <c r="A131" s="1"/>
      <c r="B131" s="1"/>
      <c r="C131" s="2" t="s">
        <v>143</v>
      </c>
      <c r="D131" s="1"/>
      <c r="E131" s="1"/>
      <c r="F131" s="12"/>
      <c r="G131" s="12"/>
      <c r="H131" s="106"/>
      <c r="I131" s="104"/>
    </row>
    <row r="132" spans="1:9" ht="14.1" customHeight="1" x14ac:dyDescent="0.2">
      <c r="A132" s="1"/>
      <c r="B132" s="1"/>
      <c r="C132" s="2" t="s">
        <v>144</v>
      </c>
      <c r="D132" s="1"/>
      <c r="E132" s="1"/>
      <c r="F132" s="12"/>
      <c r="G132" s="12"/>
      <c r="H132" s="106"/>
      <c r="I132" s="104"/>
    </row>
    <row r="133" spans="1:9" ht="17.100000000000001" customHeight="1" x14ac:dyDescent="0.2">
      <c r="A133" s="3">
        <v>1</v>
      </c>
      <c r="B133" s="4" t="s">
        <v>813</v>
      </c>
      <c r="C133" s="4" t="s">
        <v>814</v>
      </c>
      <c r="D133" s="4" t="s">
        <v>815</v>
      </c>
      <c r="E133" s="5">
        <v>500</v>
      </c>
      <c r="F133" s="6">
        <v>2464.54</v>
      </c>
      <c r="G133" s="7">
        <v>7.8691560000000004E-3</v>
      </c>
      <c r="H133" s="106">
        <v>6.91</v>
      </c>
      <c r="I133" s="104"/>
    </row>
    <row r="134" spans="1:9" ht="17.100000000000001" customHeight="1" x14ac:dyDescent="0.2">
      <c r="A134" s="3">
        <v>2</v>
      </c>
      <c r="B134" s="4" t="s">
        <v>816</v>
      </c>
      <c r="C134" s="4" t="s">
        <v>817</v>
      </c>
      <c r="D134" s="4" t="s">
        <v>815</v>
      </c>
      <c r="E134" s="5">
        <v>500</v>
      </c>
      <c r="F134" s="6">
        <v>2451.0650000000001</v>
      </c>
      <c r="G134" s="7">
        <v>7.8261310000000001E-3</v>
      </c>
      <c r="H134" s="106">
        <v>6.9401000000000002</v>
      </c>
      <c r="I134" s="104"/>
    </row>
    <row r="135" spans="1:9" ht="17.100000000000001" customHeight="1" x14ac:dyDescent="0.2">
      <c r="A135" s="3">
        <v>3</v>
      </c>
      <c r="B135" s="4" t="s">
        <v>818</v>
      </c>
      <c r="C135" s="4" t="s">
        <v>819</v>
      </c>
      <c r="D135" s="4" t="s">
        <v>815</v>
      </c>
      <c r="E135" s="5">
        <v>500</v>
      </c>
      <c r="F135" s="6">
        <v>2410.9775</v>
      </c>
      <c r="G135" s="7">
        <v>7.6981330000000002E-3</v>
      </c>
      <c r="H135" s="106">
        <v>7.2850999999999999</v>
      </c>
      <c r="I135" s="104"/>
    </row>
    <row r="136" spans="1:9" ht="17.100000000000001" customHeight="1" x14ac:dyDescent="0.2">
      <c r="A136" s="3">
        <v>4</v>
      </c>
      <c r="B136" s="4" t="s">
        <v>820</v>
      </c>
      <c r="C136" s="4" t="s">
        <v>821</v>
      </c>
      <c r="D136" s="4" t="s">
        <v>815</v>
      </c>
      <c r="E136" s="5">
        <v>500</v>
      </c>
      <c r="F136" s="6">
        <v>2360.4825000000001</v>
      </c>
      <c r="G136" s="7">
        <v>7.536905E-3</v>
      </c>
      <c r="H136" s="106">
        <v>7.4649999999999999</v>
      </c>
      <c r="I136" s="104"/>
    </row>
    <row r="137" spans="1:9" ht="17.100000000000001" customHeight="1" x14ac:dyDescent="0.2">
      <c r="A137" s="3">
        <v>5</v>
      </c>
      <c r="B137" s="4" t="s">
        <v>822</v>
      </c>
      <c r="C137" s="4" t="s">
        <v>823</v>
      </c>
      <c r="D137" s="4" t="s">
        <v>824</v>
      </c>
      <c r="E137" s="5">
        <v>500</v>
      </c>
      <c r="F137" s="6">
        <v>2360.1125000000002</v>
      </c>
      <c r="G137" s="7">
        <v>7.5357239999999997E-3</v>
      </c>
      <c r="H137" s="106">
        <v>7.46</v>
      </c>
      <c r="I137" s="104"/>
    </row>
    <row r="138" spans="1:9" ht="29.1" customHeight="1" x14ac:dyDescent="0.2">
      <c r="A138" s="3">
        <v>6</v>
      </c>
      <c r="B138" s="4" t="s">
        <v>825</v>
      </c>
      <c r="C138" s="4" t="s">
        <v>826</v>
      </c>
      <c r="D138" s="4" t="s">
        <v>824</v>
      </c>
      <c r="E138" s="5">
        <v>500</v>
      </c>
      <c r="F138" s="6">
        <v>2353.2950000000001</v>
      </c>
      <c r="G138" s="7">
        <v>7.5139559999999996E-3</v>
      </c>
      <c r="H138" s="106">
        <v>7.4850000000000003</v>
      </c>
      <c r="I138" s="104"/>
    </row>
    <row r="139" spans="1:9" ht="17.100000000000001" customHeight="1" x14ac:dyDescent="0.2">
      <c r="A139" s="3">
        <v>7</v>
      </c>
      <c r="B139" s="4" t="s">
        <v>827</v>
      </c>
      <c r="C139" s="4" t="s">
        <v>828</v>
      </c>
      <c r="D139" s="4" t="s">
        <v>815</v>
      </c>
      <c r="E139" s="5">
        <v>500</v>
      </c>
      <c r="F139" s="6">
        <v>2350.69</v>
      </c>
      <c r="G139" s="7">
        <v>7.5056380000000002E-3</v>
      </c>
      <c r="H139" s="106">
        <v>7.36</v>
      </c>
      <c r="I139" s="104"/>
    </row>
    <row r="140" spans="1:9" ht="14.1" customHeight="1" x14ac:dyDescent="0.2">
      <c r="A140" s="1"/>
      <c r="B140" s="1"/>
      <c r="C140" s="2" t="s">
        <v>130</v>
      </c>
      <c r="D140" s="1"/>
      <c r="E140" s="1" t="s">
        <v>131</v>
      </c>
      <c r="F140" s="9">
        <v>16751.162499999999</v>
      </c>
      <c r="G140" s="10">
        <v>5.3485642999999999E-2</v>
      </c>
      <c r="H140" s="106"/>
      <c r="I140" s="104"/>
    </row>
    <row r="141" spans="1:9" ht="14.1" customHeight="1" x14ac:dyDescent="0.2">
      <c r="A141" s="1"/>
      <c r="B141" s="1"/>
      <c r="C141" s="11"/>
      <c r="D141" s="1"/>
      <c r="E141" s="1"/>
      <c r="F141" s="12"/>
      <c r="G141" s="12"/>
      <c r="H141" s="106"/>
      <c r="I141" s="104"/>
    </row>
    <row r="142" spans="1:9" ht="14.1" customHeight="1" x14ac:dyDescent="0.2">
      <c r="A142" s="1"/>
      <c r="B142" s="1"/>
      <c r="C142" s="2" t="s">
        <v>145</v>
      </c>
      <c r="D142" s="1"/>
      <c r="E142" s="1"/>
      <c r="F142" s="12"/>
      <c r="G142" s="12"/>
      <c r="H142" s="106"/>
      <c r="I142" s="104"/>
    </row>
    <row r="143" spans="1:9" ht="29.1" customHeight="1" x14ac:dyDescent="0.2">
      <c r="A143" s="3">
        <v>1</v>
      </c>
      <c r="B143" s="4" t="s">
        <v>829</v>
      </c>
      <c r="C143" s="4" t="s">
        <v>830</v>
      </c>
      <c r="D143" s="4" t="s">
        <v>824</v>
      </c>
      <c r="E143" s="5">
        <v>500</v>
      </c>
      <c r="F143" s="6">
        <v>2402.8024999999998</v>
      </c>
      <c r="G143" s="7">
        <v>7.6720310000000002E-3</v>
      </c>
      <c r="H143" s="106">
        <v>7.4950000000000001</v>
      </c>
      <c r="I143" s="104"/>
    </row>
    <row r="144" spans="1:9" ht="14.1" customHeight="1" x14ac:dyDescent="0.2">
      <c r="A144" s="1"/>
      <c r="B144" s="1"/>
      <c r="C144" s="2" t="s">
        <v>130</v>
      </c>
      <c r="D144" s="1"/>
      <c r="E144" s="1" t="s">
        <v>131</v>
      </c>
      <c r="F144" s="9">
        <v>2402.8024999999998</v>
      </c>
      <c r="G144" s="10">
        <v>7.6720310000000002E-3</v>
      </c>
      <c r="H144" s="106"/>
      <c r="I144" s="104"/>
    </row>
    <row r="145" spans="1:9" ht="14.1" customHeight="1" x14ac:dyDescent="0.2">
      <c r="A145" s="1"/>
      <c r="B145" s="1"/>
      <c r="C145" s="11"/>
      <c r="D145" s="1"/>
      <c r="E145" s="1"/>
      <c r="F145" s="12"/>
      <c r="G145" s="12"/>
      <c r="H145" s="106"/>
      <c r="I145" s="104"/>
    </row>
    <row r="146" spans="1:9" ht="14.1" customHeight="1" x14ac:dyDescent="0.2">
      <c r="A146" s="1"/>
      <c r="B146" s="1"/>
      <c r="C146" s="2" t="s">
        <v>146</v>
      </c>
      <c r="D146" s="1"/>
      <c r="E146" s="1"/>
      <c r="F146" s="12"/>
      <c r="G146" s="12"/>
      <c r="H146" s="106"/>
      <c r="I146" s="104"/>
    </row>
    <row r="147" spans="1:9" ht="17.100000000000001" customHeight="1" x14ac:dyDescent="0.2">
      <c r="A147" s="3">
        <v>1</v>
      </c>
      <c r="B147" s="4" t="s">
        <v>831</v>
      </c>
      <c r="C147" s="4" t="s">
        <v>832</v>
      </c>
      <c r="D147" s="4" t="s">
        <v>572</v>
      </c>
      <c r="E147" s="5">
        <v>2500000</v>
      </c>
      <c r="F147" s="6">
        <v>2472.0450000000001</v>
      </c>
      <c r="G147" s="7">
        <v>7.8931190000000005E-3</v>
      </c>
      <c r="H147" s="106">
        <v>6.35</v>
      </c>
      <c r="I147" s="104"/>
    </row>
    <row r="148" spans="1:9" ht="17.100000000000001" customHeight="1" x14ac:dyDescent="0.2">
      <c r="A148" s="3">
        <v>2</v>
      </c>
      <c r="B148" s="4" t="s">
        <v>833</v>
      </c>
      <c r="C148" s="4" t="s">
        <v>834</v>
      </c>
      <c r="D148" s="4" t="s">
        <v>572</v>
      </c>
      <c r="E148" s="5">
        <v>500000</v>
      </c>
      <c r="F148" s="6">
        <v>497.49549999999999</v>
      </c>
      <c r="G148" s="7">
        <v>1.5884790000000001E-3</v>
      </c>
      <c r="H148" s="106">
        <v>6.125</v>
      </c>
      <c r="I148" s="104"/>
    </row>
    <row r="149" spans="1:9" ht="14.1" customHeight="1" x14ac:dyDescent="0.2">
      <c r="A149" s="1"/>
      <c r="B149" s="1"/>
      <c r="C149" s="2" t="s">
        <v>130</v>
      </c>
      <c r="D149" s="1"/>
      <c r="E149" s="1" t="s">
        <v>131</v>
      </c>
      <c r="F149" s="9">
        <v>2969.5405000000001</v>
      </c>
      <c r="G149" s="10">
        <v>9.4815980000000008E-3</v>
      </c>
      <c r="H149" s="106"/>
      <c r="I149" s="104"/>
    </row>
    <row r="150" spans="1:9" ht="14.1" customHeight="1" x14ac:dyDescent="0.2">
      <c r="A150" s="1"/>
      <c r="B150" s="1"/>
      <c r="C150" s="11"/>
      <c r="D150" s="1"/>
      <c r="E150" s="1"/>
      <c r="F150" s="12"/>
      <c r="G150" s="12"/>
      <c r="H150" s="106"/>
      <c r="I150" s="104"/>
    </row>
    <row r="151" spans="1:9" ht="14.1" customHeight="1" x14ac:dyDescent="0.2">
      <c r="A151" s="1"/>
      <c r="B151" s="1"/>
      <c r="C151" s="2" t="s">
        <v>147</v>
      </c>
      <c r="D151" s="1"/>
      <c r="E151" s="1"/>
      <c r="F151" s="12"/>
      <c r="G151" s="12"/>
      <c r="H151" s="106"/>
      <c r="I151" s="104"/>
    </row>
    <row r="152" spans="1:9" ht="17.100000000000001" customHeight="1" x14ac:dyDescent="0.2">
      <c r="A152" s="3">
        <v>1</v>
      </c>
      <c r="B152" s="4"/>
      <c r="C152" s="4" t="s">
        <v>148</v>
      </c>
      <c r="D152" s="4"/>
      <c r="E152" s="8"/>
      <c r="F152" s="6">
        <v>2572.6912342999999</v>
      </c>
      <c r="G152" s="7">
        <v>8.2144780000000008E-3</v>
      </c>
      <c r="H152" s="106">
        <v>6.1171451766917002</v>
      </c>
      <c r="I152" s="104"/>
    </row>
    <row r="153" spans="1:9" ht="14.1" customHeight="1" x14ac:dyDescent="0.2">
      <c r="A153" s="1"/>
      <c r="B153" s="1"/>
      <c r="C153" s="2" t="s">
        <v>130</v>
      </c>
      <c r="D153" s="1"/>
      <c r="E153" s="1" t="s">
        <v>131</v>
      </c>
      <c r="F153" s="9">
        <v>2572.6912342999999</v>
      </c>
      <c r="G153" s="10">
        <v>8.2144780000000008E-3</v>
      </c>
      <c r="H153" s="106"/>
      <c r="I153" s="104"/>
    </row>
    <row r="154" spans="1:9" ht="14.1" customHeight="1" x14ac:dyDescent="0.2">
      <c r="A154" s="1"/>
      <c r="B154" s="1"/>
      <c r="C154" s="11"/>
      <c r="D154" s="1"/>
      <c r="E154" s="1"/>
      <c r="F154" s="12"/>
      <c r="G154" s="12"/>
      <c r="H154" s="106"/>
      <c r="I154" s="104"/>
    </row>
    <row r="155" spans="1:9" ht="14.1" customHeight="1" x14ac:dyDescent="0.2">
      <c r="A155" s="1"/>
      <c r="B155" s="1"/>
      <c r="C155" s="2" t="s">
        <v>149</v>
      </c>
      <c r="D155" s="1"/>
      <c r="E155" s="1"/>
      <c r="F155" s="9">
        <v>24696.1967343</v>
      </c>
      <c r="G155" s="10">
        <v>7.885375E-2</v>
      </c>
      <c r="H155" s="106"/>
      <c r="I155" s="104"/>
    </row>
    <row r="156" spans="1:9" ht="14.1" customHeight="1" x14ac:dyDescent="0.2">
      <c r="A156" s="1"/>
      <c r="B156" s="1"/>
      <c r="C156" s="12"/>
      <c r="D156" s="1"/>
      <c r="E156" s="1"/>
      <c r="F156" s="1"/>
      <c r="G156" s="1"/>
      <c r="H156" s="106"/>
      <c r="I156" s="104"/>
    </row>
    <row r="157" spans="1:9" ht="14.1" customHeight="1" x14ac:dyDescent="0.2">
      <c r="A157" s="1"/>
      <c r="B157" s="1"/>
      <c r="C157" s="2" t="s">
        <v>150</v>
      </c>
      <c r="D157" s="1"/>
      <c r="E157" s="1"/>
      <c r="F157" s="1"/>
      <c r="G157" s="1"/>
      <c r="H157" s="106"/>
      <c r="I157" s="104"/>
    </row>
    <row r="158" spans="1:9" ht="14.1" customHeight="1" x14ac:dyDescent="0.2">
      <c r="A158" s="1"/>
      <c r="B158" s="1"/>
      <c r="C158" s="2" t="s">
        <v>151</v>
      </c>
      <c r="D158" s="1"/>
      <c r="E158" s="1"/>
      <c r="F158" s="1"/>
      <c r="G158" s="1"/>
      <c r="H158" s="106"/>
      <c r="I158" s="104"/>
    </row>
    <row r="159" spans="1:9" ht="14.1" customHeight="1" x14ac:dyDescent="0.2">
      <c r="A159" s="1"/>
      <c r="B159" s="1"/>
      <c r="C159" s="2" t="s">
        <v>130</v>
      </c>
      <c r="D159" s="1"/>
      <c r="E159" s="1" t="s">
        <v>131</v>
      </c>
      <c r="F159" s="13">
        <v>0</v>
      </c>
      <c r="G159" s="14">
        <v>0</v>
      </c>
      <c r="H159" s="106"/>
      <c r="I159" s="104"/>
    </row>
    <row r="160" spans="1:9" ht="14.1" customHeight="1" x14ac:dyDescent="0.2">
      <c r="A160" s="1"/>
      <c r="B160" s="1"/>
      <c r="C160" s="11"/>
      <c r="D160" s="1"/>
      <c r="E160" s="1"/>
      <c r="F160" s="12"/>
      <c r="G160" s="12"/>
      <c r="H160" s="106"/>
      <c r="I160" s="104"/>
    </row>
    <row r="161" spans="1:16" ht="14.1" customHeight="1" x14ac:dyDescent="0.2">
      <c r="A161" s="1"/>
      <c r="B161" s="1"/>
      <c r="C161" s="2" t="s">
        <v>152</v>
      </c>
      <c r="D161" s="1"/>
      <c r="E161" s="1"/>
      <c r="F161" s="1"/>
      <c r="G161" s="1"/>
      <c r="H161" s="106"/>
      <c r="I161" s="104"/>
    </row>
    <row r="162" spans="1:16" ht="14.1" customHeight="1" x14ac:dyDescent="0.2">
      <c r="A162" s="1"/>
      <c r="B162" s="1"/>
      <c r="C162" s="2" t="s">
        <v>153</v>
      </c>
      <c r="D162" s="1"/>
      <c r="E162" s="1"/>
      <c r="F162" s="1"/>
      <c r="G162" s="1"/>
      <c r="H162" s="106"/>
      <c r="I162" s="104"/>
    </row>
    <row r="163" spans="1:16" ht="14.1" customHeight="1" x14ac:dyDescent="0.2">
      <c r="A163" s="1"/>
      <c r="B163" s="1"/>
      <c r="C163" s="2" t="s">
        <v>130</v>
      </c>
      <c r="D163" s="1"/>
      <c r="E163" s="1" t="s">
        <v>131</v>
      </c>
      <c r="F163" s="13">
        <v>0</v>
      </c>
      <c r="G163" s="14">
        <v>0</v>
      </c>
      <c r="H163" s="106"/>
      <c r="I163" s="104"/>
    </row>
    <row r="164" spans="1:16" ht="14.1" customHeight="1" x14ac:dyDescent="0.2">
      <c r="A164" s="1"/>
      <c r="B164" s="1"/>
      <c r="C164" s="11"/>
      <c r="D164" s="1"/>
      <c r="E164" s="1"/>
      <c r="F164" s="12"/>
      <c r="G164" s="12"/>
      <c r="H164" s="106"/>
      <c r="I164" s="104"/>
    </row>
    <row r="165" spans="1:16" ht="24" customHeight="1" x14ac:dyDescent="0.2">
      <c r="A165" s="1"/>
      <c r="B165" s="1"/>
      <c r="C165" s="2" t="s">
        <v>154</v>
      </c>
      <c r="D165" s="1"/>
      <c r="E165" s="1"/>
      <c r="F165" s="12"/>
      <c r="G165" s="12"/>
      <c r="H165" s="106"/>
      <c r="I165" s="104"/>
    </row>
    <row r="166" spans="1:16" ht="14.1" customHeight="1" x14ac:dyDescent="0.2">
      <c r="A166" s="1"/>
      <c r="B166" s="1"/>
      <c r="C166" s="2" t="s">
        <v>130</v>
      </c>
      <c r="D166" s="1"/>
      <c r="E166" s="1" t="s">
        <v>131</v>
      </c>
      <c r="F166" s="13">
        <v>0</v>
      </c>
      <c r="G166" s="14">
        <v>0</v>
      </c>
      <c r="H166" s="106"/>
      <c r="I166" s="104"/>
    </row>
    <row r="167" spans="1:16" ht="14.1" customHeight="1" x14ac:dyDescent="0.2">
      <c r="A167" s="1"/>
      <c r="B167" s="1"/>
      <c r="C167" s="11"/>
      <c r="D167" s="1"/>
      <c r="E167" s="1"/>
      <c r="F167" s="12"/>
      <c r="G167" s="12"/>
      <c r="H167" s="106"/>
      <c r="I167" s="104"/>
    </row>
    <row r="168" spans="1:16" ht="14.1" customHeight="1" x14ac:dyDescent="0.2">
      <c r="A168" s="1"/>
      <c r="B168" s="4"/>
      <c r="C168" s="4"/>
      <c r="D168" s="2"/>
      <c r="E168" s="1"/>
      <c r="F168" s="4"/>
      <c r="G168" s="8"/>
      <c r="H168" s="106"/>
      <c r="I168" s="104"/>
    </row>
    <row r="169" spans="1:16" ht="18" customHeight="1" x14ac:dyDescent="0.2">
      <c r="A169" s="8"/>
      <c r="B169" s="4"/>
      <c r="C169" s="4" t="s">
        <v>835</v>
      </c>
      <c r="D169" s="4"/>
      <c r="E169" s="8"/>
      <c r="F169" s="6">
        <v>8204.4373200999999</v>
      </c>
      <c r="G169" s="7">
        <v>2.6196368000000001E-2</v>
      </c>
      <c r="H169" s="106"/>
      <c r="I169" s="104"/>
    </row>
    <row r="170" spans="1:16" ht="14.1" customHeight="1" x14ac:dyDescent="0.2">
      <c r="A170" s="11"/>
      <c r="B170" s="11"/>
      <c r="C170" s="2" t="s">
        <v>156</v>
      </c>
      <c r="D170" s="12"/>
      <c r="E170" s="12"/>
      <c r="F170" s="9">
        <v>313189.88052389998</v>
      </c>
      <c r="G170" s="10">
        <v>1.000000003</v>
      </c>
      <c r="H170" s="106"/>
      <c r="I170" s="104"/>
    </row>
    <row r="171" spans="1:16" ht="14.1" customHeight="1" x14ac:dyDescent="0.2">
      <c r="A171" s="16"/>
      <c r="B171" s="16"/>
      <c r="C171" s="16"/>
      <c r="D171" s="17"/>
      <c r="E171" s="17"/>
      <c r="F171" s="17"/>
      <c r="G171" s="17"/>
    </row>
    <row r="172" spans="1:16" ht="17.100000000000001" customHeight="1" x14ac:dyDescent="0.2">
      <c r="A172" s="18"/>
      <c r="B172" s="281" t="s">
        <v>836</v>
      </c>
      <c r="C172" s="281"/>
      <c r="D172" s="281"/>
      <c r="E172" s="281"/>
      <c r="F172" s="281"/>
      <c r="G172" s="20"/>
    </row>
    <row r="173" spans="1:16" ht="17.100000000000001" customHeight="1" x14ac:dyDescent="0.2">
      <c r="A173" s="18"/>
      <c r="B173" s="281" t="s">
        <v>837</v>
      </c>
      <c r="C173" s="281"/>
      <c r="D173" s="281"/>
      <c r="E173" s="281"/>
      <c r="F173" s="281"/>
      <c r="G173" s="20"/>
    </row>
    <row r="174" spans="1:16" ht="17.100000000000001" customHeight="1" x14ac:dyDescent="0.2">
      <c r="A174" s="18"/>
      <c r="B174" s="281" t="s">
        <v>157</v>
      </c>
      <c r="C174" s="281"/>
      <c r="D174" s="281"/>
      <c r="E174" s="281"/>
      <c r="F174" s="281"/>
      <c r="G174" s="20"/>
    </row>
    <row r="175" spans="1:16" s="101" customFormat="1" ht="69.75" customHeight="1" x14ac:dyDescent="0.25">
      <c r="A175" s="99"/>
      <c r="B175" s="289" t="s">
        <v>937</v>
      </c>
      <c r="C175" s="289"/>
      <c r="D175" s="289"/>
      <c r="E175" s="289"/>
      <c r="F175" s="289"/>
      <c r="G175" s="100"/>
      <c r="H175"/>
      <c r="I175"/>
      <c r="J175"/>
      <c r="K175"/>
      <c r="L175"/>
      <c r="M175"/>
      <c r="N175"/>
      <c r="O175"/>
      <c r="P175" s="115"/>
    </row>
    <row r="176" spans="1:16" ht="14.1" customHeight="1" x14ac:dyDescent="0.2">
      <c r="A176" s="18"/>
      <c r="B176" s="18"/>
      <c r="C176" s="18"/>
      <c r="D176" s="20"/>
      <c r="E176" s="20"/>
      <c r="F176" s="20"/>
      <c r="G176" s="20"/>
    </row>
    <row r="177" spans="1:16" ht="14.1" customHeight="1" x14ac:dyDescent="0.2">
      <c r="A177" s="18"/>
      <c r="B177" s="279" t="s">
        <v>158</v>
      </c>
      <c r="C177" s="290"/>
      <c r="D177" s="280"/>
      <c r="E177" s="21"/>
      <c r="F177" s="20"/>
      <c r="G177" s="20"/>
    </row>
    <row r="178" spans="1:16" ht="29.1" customHeight="1" x14ac:dyDescent="0.2">
      <c r="A178" s="18"/>
      <c r="B178" s="274" t="s">
        <v>159</v>
      </c>
      <c r="C178" s="275"/>
      <c r="D178" s="62" t="s">
        <v>1035</v>
      </c>
      <c r="E178" s="21"/>
      <c r="F178" s="20"/>
      <c r="G178" s="20"/>
      <c r="P178" s="107"/>
    </row>
    <row r="179" spans="1:16" ht="17.100000000000001" customHeight="1" x14ac:dyDescent="0.2">
      <c r="A179" s="18"/>
      <c r="B179" s="274" t="s">
        <v>1001</v>
      </c>
      <c r="C179" s="275"/>
      <c r="D179" s="62" t="s">
        <v>1004</v>
      </c>
      <c r="E179" s="21"/>
      <c r="F179" s="20"/>
      <c r="G179" s="20"/>
    </row>
    <row r="180" spans="1:16" ht="17.100000000000001" customHeight="1" x14ac:dyDescent="0.2">
      <c r="A180" s="18"/>
      <c r="B180" s="274" t="s">
        <v>162</v>
      </c>
      <c r="C180" s="275"/>
      <c r="D180" s="12" t="s">
        <v>131</v>
      </c>
      <c r="E180" s="21"/>
      <c r="F180" s="20"/>
      <c r="G180" s="20"/>
    </row>
    <row r="181" spans="1:16" ht="24" customHeight="1" x14ac:dyDescent="0.2">
      <c r="A181" s="22"/>
      <c r="B181" s="23" t="s">
        <v>131</v>
      </c>
      <c r="C181" s="23" t="s">
        <v>163</v>
      </c>
      <c r="D181" s="23" t="s">
        <v>164</v>
      </c>
      <c r="E181" s="22"/>
      <c r="F181" s="22"/>
      <c r="G181" s="22"/>
    </row>
    <row r="182" spans="1:16" ht="18" customHeight="1" x14ac:dyDescent="0.2">
      <c r="A182" s="22"/>
      <c r="B182" s="28" t="s">
        <v>165</v>
      </c>
      <c r="C182" s="23" t="s">
        <v>166</v>
      </c>
      <c r="D182" s="23" t="s">
        <v>167</v>
      </c>
      <c r="E182" s="22"/>
      <c r="F182" s="22"/>
      <c r="G182" s="22"/>
    </row>
    <row r="183" spans="1:16" ht="17.100000000000001" customHeight="1" x14ac:dyDescent="0.2">
      <c r="A183" s="22"/>
      <c r="B183" s="4" t="s">
        <v>168</v>
      </c>
      <c r="C183" s="29">
        <v>124.4757</v>
      </c>
      <c r="D183" s="29">
        <v>127.9198</v>
      </c>
      <c r="E183" s="22"/>
      <c r="F183" s="19"/>
      <c r="G183" s="25"/>
    </row>
    <row r="184" spans="1:16" ht="29.1" customHeight="1" x14ac:dyDescent="0.2">
      <c r="A184" s="22"/>
      <c r="B184" s="4" t="s">
        <v>1063</v>
      </c>
      <c r="C184" s="29">
        <v>38.622</v>
      </c>
      <c r="D184" s="29">
        <v>39.334899999999998</v>
      </c>
      <c r="E184" s="22"/>
      <c r="F184" s="19"/>
      <c r="G184" s="25"/>
    </row>
    <row r="185" spans="1:16" ht="17.100000000000001" customHeight="1" x14ac:dyDescent="0.2">
      <c r="A185" s="22"/>
      <c r="B185" s="4" t="s">
        <v>169</v>
      </c>
      <c r="C185" s="29">
        <v>112.1917</v>
      </c>
      <c r="D185" s="29">
        <v>115.17700000000001</v>
      </c>
      <c r="E185" s="22"/>
      <c r="F185" s="19"/>
      <c r="G185" s="25"/>
    </row>
    <row r="186" spans="1:16" ht="29.1" customHeight="1" x14ac:dyDescent="0.2">
      <c r="A186" s="22"/>
      <c r="B186" s="4" t="s">
        <v>1065</v>
      </c>
      <c r="C186" s="29">
        <v>26.4588</v>
      </c>
      <c r="D186" s="29">
        <v>26.908899999999999</v>
      </c>
      <c r="E186" s="22"/>
      <c r="F186" s="19"/>
      <c r="G186" s="25"/>
    </row>
    <row r="187" spans="1:16" ht="14.1" customHeight="1" x14ac:dyDescent="0.2">
      <c r="A187" s="22"/>
      <c r="B187" s="22"/>
      <c r="C187" s="22"/>
      <c r="D187" s="22"/>
      <c r="E187" s="22"/>
      <c r="F187" s="22"/>
      <c r="G187" s="22"/>
    </row>
    <row r="188" spans="1:16" ht="17.100000000000001" customHeight="1" x14ac:dyDescent="0.2">
      <c r="A188" s="22"/>
      <c r="B188" s="274" t="s">
        <v>1060</v>
      </c>
      <c r="C188" s="275"/>
      <c r="D188" s="2" t="s">
        <v>131</v>
      </c>
      <c r="E188" s="22"/>
      <c r="F188" s="22"/>
      <c r="G188" s="22"/>
    </row>
    <row r="189" spans="1:16" ht="18" customHeight="1" x14ac:dyDescent="0.2">
      <c r="A189" s="22"/>
      <c r="B189" s="30" t="s">
        <v>165</v>
      </c>
      <c r="C189" s="31" t="s">
        <v>838</v>
      </c>
      <c r="D189" s="31" t="s">
        <v>839</v>
      </c>
      <c r="E189" s="22"/>
      <c r="F189" s="22"/>
      <c r="G189" s="22"/>
    </row>
    <row r="190" spans="1:16" ht="29.1" customHeight="1" x14ac:dyDescent="0.2">
      <c r="A190" s="22"/>
      <c r="B190" s="4" t="s">
        <v>1063</v>
      </c>
      <c r="C190" s="32">
        <v>0.35</v>
      </c>
      <c r="D190" s="32">
        <v>0.35</v>
      </c>
      <c r="E190" s="22"/>
      <c r="F190" s="19"/>
      <c r="G190" s="25"/>
    </row>
    <row r="191" spans="1:16" ht="29.1" customHeight="1" x14ac:dyDescent="0.2">
      <c r="A191" s="22"/>
      <c r="B191" s="4" t="s">
        <v>1065</v>
      </c>
      <c r="C191" s="32">
        <v>0.25</v>
      </c>
      <c r="D191" s="32">
        <v>0.25</v>
      </c>
      <c r="E191" s="22"/>
      <c r="F191" s="19"/>
      <c r="G191" s="25"/>
    </row>
    <row r="192" spans="1:16" ht="14.1" customHeight="1" x14ac:dyDescent="0.2">
      <c r="A192" s="22"/>
      <c r="B192" s="33"/>
      <c r="C192" s="33"/>
      <c r="D192" s="34"/>
      <c r="E192" s="22"/>
      <c r="F192" s="19"/>
      <c r="G192" s="25"/>
    </row>
    <row r="193" spans="1:15" ht="29.1" customHeight="1" x14ac:dyDescent="0.2">
      <c r="A193" s="22"/>
      <c r="B193" s="276" t="s">
        <v>171</v>
      </c>
      <c r="C193" s="277"/>
      <c r="D193" s="2" t="s">
        <v>160</v>
      </c>
      <c r="E193" s="35"/>
      <c r="F193" s="22"/>
      <c r="G193" s="22"/>
    </row>
    <row r="194" spans="1:15" ht="29.1" customHeight="1" x14ac:dyDescent="0.2">
      <c r="A194" s="22"/>
      <c r="B194" s="276" t="s">
        <v>172</v>
      </c>
      <c r="C194" s="277"/>
      <c r="D194" s="2" t="s">
        <v>160</v>
      </c>
      <c r="E194" s="35"/>
      <c r="F194" s="22"/>
      <c r="G194" s="22"/>
    </row>
    <row r="195" spans="1:15" ht="17.100000000000001" customHeight="1" x14ac:dyDescent="0.2">
      <c r="A195" s="22"/>
      <c r="B195" s="276" t="s">
        <v>1044</v>
      </c>
      <c r="C195" s="277"/>
      <c r="D195" s="36">
        <v>1.7483213464795275</v>
      </c>
      <c r="E195" s="35"/>
      <c r="F195" s="22"/>
      <c r="G195" s="22"/>
    </row>
    <row r="196" spans="1:15" ht="17.100000000000001" customHeight="1" x14ac:dyDescent="0.2">
      <c r="A196" s="22"/>
      <c r="B196" s="276" t="s">
        <v>1045</v>
      </c>
      <c r="C196" s="277"/>
      <c r="D196" s="36">
        <v>1.3884404647972661</v>
      </c>
      <c r="E196" s="35"/>
      <c r="F196" s="22"/>
      <c r="G196" s="22"/>
    </row>
    <row r="197" spans="1:15" ht="17.100000000000001" customHeight="1" x14ac:dyDescent="0.2">
      <c r="A197" s="22"/>
      <c r="B197" s="276" t="s">
        <v>1046</v>
      </c>
      <c r="C197" s="277"/>
      <c r="D197" s="27">
        <v>0.73046824437624902</v>
      </c>
      <c r="E197" s="22"/>
      <c r="F197" s="19"/>
      <c r="G197" s="25"/>
    </row>
    <row r="198" spans="1:15" ht="17.100000000000001" customHeight="1" x14ac:dyDescent="0.2">
      <c r="A198" s="22"/>
      <c r="B198" s="276" t="s">
        <v>1047</v>
      </c>
      <c r="C198" s="277"/>
      <c r="D198" s="2" t="s">
        <v>160</v>
      </c>
      <c r="E198" s="35"/>
      <c r="F198" s="22"/>
      <c r="G198" s="22"/>
    </row>
    <row r="199" spans="1:15" ht="11.1" customHeight="1" x14ac:dyDescent="0.2">
      <c r="A199" s="37"/>
      <c r="B199" s="37"/>
      <c r="C199" s="37"/>
      <c r="D199" s="37"/>
      <c r="E199" s="37"/>
      <c r="F199" s="37"/>
      <c r="G199" s="37"/>
    </row>
    <row r="200" spans="1:15" s="115" customFormat="1" x14ac:dyDescent="0.2">
      <c r="B200" s="116" t="s">
        <v>1034</v>
      </c>
      <c r="J200"/>
      <c r="K200"/>
      <c r="L200"/>
      <c r="M200"/>
      <c r="N200"/>
      <c r="O200"/>
    </row>
    <row r="201" spans="1:15" s="115" customFormat="1" ht="38.25" x14ac:dyDescent="0.2">
      <c r="B201" s="117" t="s">
        <v>1014</v>
      </c>
      <c r="C201" s="117" t="s">
        <v>1015</v>
      </c>
      <c r="D201" s="117" t="s">
        <v>1016</v>
      </c>
      <c r="E201" s="117" t="s">
        <v>1017</v>
      </c>
      <c r="F201" s="117" t="s">
        <v>1018</v>
      </c>
      <c r="J201"/>
      <c r="K201"/>
      <c r="L201"/>
      <c r="M201"/>
      <c r="N201"/>
      <c r="O201"/>
    </row>
    <row r="202" spans="1:15" s="115" customFormat="1" ht="25.5" x14ac:dyDescent="0.2">
      <c r="B202" s="118" t="s">
        <v>1019</v>
      </c>
      <c r="C202" s="119" t="s">
        <v>1020</v>
      </c>
      <c r="D202" s="120">
        <v>0</v>
      </c>
      <c r="E202" s="121">
        <v>0</v>
      </c>
      <c r="F202" s="122">
        <v>1000</v>
      </c>
      <c r="J202"/>
      <c r="K202"/>
      <c r="L202"/>
      <c r="M202"/>
      <c r="N202"/>
      <c r="O202"/>
    </row>
    <row r="203" spans="1:15" s="115" customFormat="1" x14ac:dyDescent="0.2">
      <c r="B203" s="116"/>
      <c r="J203"/>
      <c r="K203"/>
      <c r="L203"/>
      <c r="M203"/>
      <c r="N203"/>
      <c r="O203"/>
    </row>
    <row r="204" spans="1:15" s="115" customFormat="1" ht="29.25" customHeight="1" x14ac:dyDescent="0.2">
      <c r="B204" s="123" t="s">
        <v>1021</v>
      </c>
      <c r="C204" s="123" t="s">
        <v>1022</v>
      </c>
      <c r="D204" s="298" t="s">
        <v>1023</v>
      </c>
      <c r="E204" s="299"/>
      <c r="F204" s="291" t="s">
        <v>1024</v>
      </c>
      <c r="G204" s="291"/>
      <c r="H204" s="124"/>
      <c r="I204" s="125"/>
      <c r="J204"/>
      <c r="K204"/>
      <c r="L204"/>
      <c r="M204"/>
      <c r="N204"/>
      <c r="O204"/>
    </row>
    <row r="205" spans="1:15" s="115" customFormat="1" ht="25.5" x14ac:dyDescent="0.2">
      <c r="B205" s="126" t="s">
        <v>1025</v>
      </c>
      <c r="C205" s="127" t="s">
        <v>1026</v>
      </c>
      <c r="D205" s="300">
        <v>0</v>
      </c>
      <c r="E205" s="301"/>
      <c r="F205" s="300">
        <v>0</v>
      </c>
      <c r="G205" s="301"/>
      <c r="H205" s="128"/>
      <c r="I205" s="125"/>
      <c r="J205" s="107"/>
      <c r="K205"/>
      <c r="L205"/>
      <c r="M205"/>
      <c r="N205"/>
      <c r="O205"/>
    </row>
    <row r="206" spans="1:15" s="115" customFormat="1" x14ac:dyDescent="0.2">
      <c r="B206" s="292" t="s">
        <v>1027</v>
      </c>
      <c r="C206" s="293"/>
      <c r="D206" s="293"/>
      <c r="E206" s="293"/>
      <c r="F206" s="293"/>
      <c r="G206" s="294"/>
      <c r="H206" s="124"/>
      <c r="I206" s="125"/>
      <c r="J206" s="107"/>
      <c r="K206"/>
      <c r="L206"/>
      <c r="M206"/>
      <c r="N206"/>
      <c r="O206"/>
    </row>
    <row r="207" spans="1:15" s="115" customFormat="1" x14ac:dyDescent="0.2">
      <c r="B207" s="291" t="s">
        <v>1021</v>
      </c>
      <c r="C207" s="291" t="s">
        <v>1022</v>
      </c>
      <c r="D207" s="292" t="s">
        <v>1028</v>
      </c>
      <c r="E207" s="293"/>
      <c r="F207" s="294"/>
      <c r="G207" s="126"/>
      <c r="H207" s="124"/>
      <c r="I207" s="125"/>
      <c r="J207" s="107"/>
      <c r="K207"/>
      <c r="L207"/>
      <c r="M207"/>
      <c r="N207"/>
      <c r="O207"/>
    </row>
    <row r="208" spans="1:15" s="115" customFormat="1" ht="38.25" x14ac:dyDescent="0.2">
      <c r="B208" s="291"/>
      <c r="C208" s="291"/>
      <c r="D208" s="129" t="s">
        <v>1029</v>
      </c>
      <c r="E208" s="129" t="s">
        <v>1030</v>
      </c>
      <c r="F208" s="129" t="s">
        <v>1031</v>
      </c>
      <c r="G208" s="129" t="s">
        <v>1033</v>
      </c>
      <c r="H208" s="124"/>
      <c r="I208" s="125"/>
      <c r="J208" s="107"/>
      <c r="K208"/>
      <c r="L208"/>
      <c r="M208"/>
      <c r="N208"/>
      <c r="O208"/>
    </row>
    <row r="209" spans="2:15" s="115" customFormat="1" ht="25.5" x14ac:dyDescent="0.2">
      <c r="B209" s="130" t="s">
        <v>1025</v>
      </c>
      <c r="C209" s="127" t="s">
        <v>1026</v>
      </c>
      <c r="D209" s="131">
        <v>700</v>
      </c>
      <c r="E209" s="131">
        <v>24.098357999999998</v>
      </c>
      <c r="F209" s="132">
        <v>724.09835799999996</v>
      </c>
      <c r="G209" s="187">
        <v>2.3120107098886398E-3</v>
      </c>
      <c r="H209" s="124"/>
      <c r="I209" s="125"/>
      <c r="J209" s="107"/>
      <c r="K209"/>
      <c r="L209"/>
      <c r="M209"/>
      <c r="N209"/>
      <c r="O209"/>
    </row>
    <row r="210" spans="2:15" s="115" customFormat="1" ht="27.75" customHeight="1" x14ac:dyDescent="0.2">
      <c r="B210" s="295" t="s">
        <v>1032</v>
      </c>
      <c r="C210" s="296"/>
      <c r="D210" s="296"/>
      <c r="E210" s="296"/>
      <c r="F210" s="296"/>
      <c r="G210" s="297"/>
      <c r="H210" s="124"/>
      <c r="I210" s="125"/>
      <c r="J210" s="107"/>
      <c r="K210"/>
      <c r="L210"/>
      <c r="M210"/>
      <c r="N210"/>
      <c r="O210"/>
    </row>
    <row r="211" spans="2:15" s="115" customFormat="1" x14ac:dyDescent="0.2">
      <c r="J211" s="107"/>
      <c r="K211"/>
      <c r="L211"/>
      <c r="M211"/>
      <c r="N211"/>
      <c r="O211"/>
    </row>
    <row r="212" spans="2:15" x14ac:dyDescent="0.2">
      <c r="J212" s="107"/>
    </row>
    <row r="213" spans="2:15" x14ac:dyDescent="0.2">
      <c r="J213" s="107"/>
    </row>
    <row r="214" spans="2:15" x14ac:dyDescent="0.2">
      <c r="J214" s="107"/>
    </row>
    <row r="215" spans="2:15" ht="15" x14ac:dyDescent="0.2">
      <c r="J215" s="166"/>
    </row>
    <row r="216" spans="2:15" ht="15" x14ac:dyDescent="0.25">
      <c r="J216" s="167"/>
    </row>
    <row r="217" spans="2:15" x14ac:dyDescent="0.2">
      <c r="J217" s="107"/>
    </row>
  </sheetData>
  <mergeCells count="28">
    <mergeCell ref="K2:O2"/>
    <mergeCell ref="B207:B208"/>
    <mergeCell ref="C207:C208"/>
    <mergeCell ref="D207:F207"/>
    <mergeCell ref="B210:G210"/>
    <mergeCell ref="D204:E204"/>
    <mergeCell ref="F204:G204"/>
    <mergeCell ref="D205:E205"/>
    <mergeCell ref="F205:G205"/>
    <mergeCell ref="B206:G206"/>
    <mergeCell ref="B194:C194"/>
    <mergeCell ref="B195:C195"/>
    <mergeCell ref="B196:C196"/>
    <mergeCell ref="B198:C198"/>
    <mergeCell ref="B197:C197"/>
    <mergeCell ref="A1:I1"/>
    <mergeCell ref="A2:I2"/>
    <mergeCell ref="A3:I3"/>
    <mergeCell ref="B193:C193"/>
    <mergeCell ref="B172:F172"/>
    <mergeCell ref="B173:F173"/>
    <mergeCell ref="B174:F174"/>
    <mergeCell ref="B175:F175"/>
    <mergeCell ref="B177:D177"/>
    <mergeCell ref="B178:C178"/>
    <mergeCell ref="B179:C179"/>
    <mergeCell ref="B180:C180"/>
    <mergeCell ref="B188:C188"/>
  </mergeCells>
  <hyperlinks>
    <hyperlink ref="J1" location="Index!B23" display="Index" xr:uid="{3EB71326-4282-465D-8330-72692278AF5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O148"/>
  <sheetViews>
    <sheetView showGridLines="0" topLeftCell="A105" workbookViewId="0">
      <selection activeCell="B123" sqref="B123"/>
    </sheetView>
  </sheetViews>
  <sheetFormatPr defaultRowHeight="12.75" x14ac:dyDescent="0.2"/>
  <cols>
    <col min="1" max="1" width="6.85546875" customWidth="1"/>
    <col min="2" max="2" width="20.5703125" customWidth="1"/>
    <col min="3" max="3" width="35.425781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1071</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264</v>
      </c>
      <c r="C7" s="4" t="s">
        <v>265</v>
      </c>
      <c r="D7" s="4" t="s">
        <v>16</v>
      </c>
      <c r="E7" s="5">
        <v>31900</v>
      </c>
      <c r="F7" s="6">
        <v>477.44729999999998</v>
      </c>
      <c r="G7" s="7">
        <v>8.4934701000000001E-2</v>
      </c>
      <c r="H7" s="106"/>
    </row>
    <row r="8" spans="1:14" ht="17.100000000000001" customHeight="1" x14ac:dyDescent="0.2">
      <c r="A8" s="3">
        <v>2</v>
      </c>
      <c r="B8" s="4" t="s">
        <v>238</v>
      </c>
      <c r="C8" s="4" t="s">
        <v>239</v>
      </c>
      <c r="D8" s="4" t="s">
        <v>240</v>
      </c>
      <c r="E8" s="5">
        <v>180000</v>
      </c>
      <c r="F8" s="6">
        <v>472.41</v>
      </c>
      <c r="G8" s="7">
        <v>8.4038598000000006E-2</v>
      </c>
      <c r="H8" s="106"/>
    </row>
    <row r="9" spans="1:14" ht="17.100000000000001" customHeight="1" x14ac:dyDescent="0.2">
      <c r="A9" s="3">
        <v>3</v>
      </c>
      <c r="B9" s="4" t="s">
        <v>348</v>
      </c>
      <c r="C9" s="4" t="s">
        <v>349</v>
      </c>
      <c r="D9" s="4" t="s">
        <v>99</v>
      </c>
      <c r="E9" s="5">
        <v>6250</v>
      </c>
      <c r="F9" s="6">
        <v>446.50625000000002</v>
      </c>
      <c r="G9" s="7">
        <v>7.9430494000000004E-2</v>
      </c>
      <c r="H9" s="106"/>
    </row>
    <row r="10" spans="1:14" ht="29.1" customHeight="1" x14ac:dyDescent="0.2">
      <c r="A10" s="3">
        <v>4</v>
      </c>
      <c r="B10" s="4" t="s">
        <v>60</v>
      </c>
      <c r="C10" s="4" t="s">
        <v>61</v>
      </c>
      <c r="D10" s="4" t="s">
        <v>62</v>
      </c>
      <c r="E10" s="5">
        <v>50000</v>
      </c>
      <c r="F10" s="6">
        <v>411.77499999999998</v>
      </c>
      <c r="G10" s="7">
        <v>7.3252034999999993E-2</v>
      </c>
      <c r="H10" s="106"/>
    </row>
    <row r="11" spans="1:14" ht="17.100000000000001" customHeight="1" x14ac:dyDescent="0.2">
      <c r="A11" s="3">
        <v>5</v>
      </c>
      <c r="B11" s="4" t="s">
        <v>178</v>
      </c>
      <c r="C11" s="4" t="s">
        <v>179</v>
      </c>
      <c r="D11" s="4" t="s">
        <v>16</v>
      </c>
      <c r="E11" s="5">
        <v>37200</v>
      </c>
      <c r="F11" s="6">
        <v>337.03199999999998</v>
      </c>
      <c r="G11" s="7">
        <v>5.9955752000000001E-2</v>
      </c>
      <c r="H11" s="106"/>
    </row>
    <row r="12" spans="1:14" ht="17.100000000000001" customHeight="1" x14ac:dyDescent="0.2">
      <c r="A12" s="3">
        <v>6</v>
      </c>
      <c r="B12" s="4" t="s">
        <v>11</v>
      </c>
      <c r="C12" s="4" t="s">
        <v>12</v>
      </c>
      <c r="D12" s="4" t="s">
        <v>13</v>
      </c>
      <c r="E12" s="5">
        <v>13800</v>
      </c>
      <c r="F12" s="6">
        <v>279.18779999999998</v>
      </c>
      <c r="G12" s="7">
        <v>4.9665653999999997E-2</v>
      </c>
      <c r="H12" s="106"/>
      <c r="J12" s="161"/>
    </row>
    <row r="13" spans="1:14" ht="17.100000000000001" customHeight="1" x14ac:dyDescent="0.2">
      <c r="A13" s="3">
        <v>7</v>
      </c>
      <c r="B13" s="4" t="s">
        <v>68</v>
      </c>
      <c r="C13" s="4" t="s">
        <v>69</v>
      </c>
      <c r="D13" s="4" t="s">
        <v>70</v>
      </c>
      <c r="E13" s="5">
        <v>2500</v>
      </c>
      <c r="F13" s="6">
        <v>238.19</v>
      </c>
      <c r="G13" s="7">
        <v>4.2372418000000002E-2</v>
      </c>
      <c r="H13" s="106"/>
    </row>
    <row r="14" spans="1:14" ht="17.100000000000001" customHeight="1" x14ac:dyDescent="0.2">
      <c r="A14" s="3">
        <v>8</v>
      </c>
      <c r="B14" s="4" t="s">
        <v>14</v>
      </c>
      <c r="C14" s="4" t="s">
        <v>15</v>
      </c>
      <c r="D14" s="4" t="s">
        <v>16</v>
      </c>
      <c r="E14" s="5">
        <v>24750</v>
      </c>
      <c r="F14" s="6">
        <v>224.90325000000001</v>
      </c>
      <c r="G14" s="7">
        <v>4.0008793000000001E-2</v>
      </c>
      <c r="H14" s="106"/>
      <c r="J14" s="161" t="s">
        <v>1095</v>
      </c>
    </row>
    <row r="15" spans="1:14" ht="17.100000000000001" customHeight="1" x14ac:dyDescent="0.2">
      <c r="A15" s="3">
        <v>9</v>
      </c>
      <c r="B15" s="4" t="s">
        <v>562</v>
      </c>
      <c r="C15" s="4" t="s">
        <v>563</v>
      </c>
      <c r="D15" s="4" t="s">
        <v>110</v>
      </c>
      <c r="E15" s="5">
        <v>7000</v>
      </c>
      <c r="F15" s="6">
        <v>217.53899999999999</v>
      </c>
      <c r="G15" s="7">
        <v>3.8698742000000001E-2</v>
      </c>
      <c r="H15" s="106"/>
    </row>
    <row r="16" spans="1:14" ht="17.100000000000001" customHeight="1" x14ac:dyDescent="0.2">
      <c r="A16" s="3">
        <v>10</v>
      </c>
      <c r="B16" s="4" t="s">
        <v>335</v>
      </c>
      <c r="C16" s="4" t="s">
        <v>336</v>
      </c>
      <c r="D16" s="4" t="s">
        <v>16</v>
      </c>
      <c r="E16" s="5">
        <v>9200</v>
      </c>
      <c r="F16" s="6">
        <v>174.9794</v>
      </c>
      <c r="G16" s="7">
        <v>3.1127671999999999E-2</v>
      </c>
      <c r="H16" s="106"/>
    </row>
    <row r="17" spans="1:8" ht="29.1" customHeight="1" x14ac:dyDescent="0.2">
      <c r="A17" s="3">
        <v>11</v>
      </c>
      <c r="B17" s="4" t="s">
        <v>302</v>
      </c>
      <c r="C17" s="4" t="s">
        <v>303</v>
      </c>
      <c r="D17" s="4" t="s">
        <v>204</v>
      </c>
      <c r="E17" s="5">
        <v>14700</v>
      </c>
      <c r="F17" s="6">
        <v>149.48429999999999</v>
      </c>
      <c r="G17" s="7">
        <v>2.6592263000000001E-2</v>
      </c>
      <c r="H17" s="106"/>
    </row>
    <row r="18" spans="1:8" ht="17.100000000000001" customHeight="1" x14ac:dyDescent="0.2">
      <c r="A18" s="3">
        <v>12</v>
      </c>
      <c r="B18" s="4" t="s">
        <v>73</v>
      </c>
      <c r="C18" s="4" t="s">
        <v>74</v>
      </c>
      <c r="D18" s="4" t="s">
        <v>36</v>
      </c>
      <c r="E18" s="5">
        <v>3575</v>
      </c>
      <c r="F18" s="6">
        <v>104.5902</v>
      </c>
      <c r="G18" s="7">
        <v>1.8605901000000001E-2</v>
      </c>
      <c r="H18" s="106"/>
    </row>
    <row r="19" spans="1:8" ht="17.100000000000001" customHeight="1" x14ac:dyDescent="0.2">
      <c r="A19" s="3">
        <v>13</v>
      </c>
      <c r="B19" s="4" t="s">
        <v>325</v>
      </c>
      <c r="C19" s="4" t="s">
        <v>326</v>
      </c>
      <c r="D19" s="4" t="s">
        <v>1114</v>
      </c>
      <c r="E19" s="5">
        <v>26000</v>
      </c>
      <c r="F19" s="6">
        <v>100.503</v>
      </c>
      <c r="G19" s="7">
        <v>1.7878815999999999E-2</v>
      </c>
      <c r="H19" s="106"/>
    </row>
    <row r="20" spans="1:8" ht="29.1" customHeight="1" x14ac:dyDescent="0.2">
      <c r="A20" s="3">
        <v>14</v>
      </c>
      <c r="B20" s="4" t="s">
        <v>564</v>
      </c>
      <c r="C20" s="4" t="s">
        <v>565</v>
      </c>
      <c r="D20" s="4" t="s">
        <v>204</v>
      </c>
      <c r="E20" s="5">
        <v>11000</v>
      </c>
      <c r="F20" s="6">
        <v>59.1965</v>
      </c>
      <c r="G20" s="7">
        <v>1.0530664E-2</v>
      </c>
      <c r="H20" s="106"/>
    </row>
    <row r="21" spans="1:8" ht="29.1" customHeight="1" x14ac:dyDescent="0.2">
      <c r="A21" s="3">
        <v>15</v>
      </c>
      <c r="B21" s="4" t="s">
        <v>83</v>
      </c>
      <c r="C21" s="4" t="s">
        <v>84</v>
      </c>
      <c r="D21" s="4" t="s">
        <v>25</v>
      </c>
      <c r="E21" s="5">
        <v>10800</v>
      </c>
      <c r="F21" s="6">
        <v>57.558599999999998</v>
      </c>
      <c r="G21" s="7">
        <v>1.0239292000000001E-2</v>
      </c>
      <c r="H21" s="106"/>
    </row>
    <row r="22" spans="1:8" ht="29.1" customHeight="1" x14ac:dyDescent="0.2">
      <c r="A22" s="3">
        <v>16</v>
      </c>
      <c r="B22" s="4" t="s">
        <v>566</v>
      </c>
      <c r="C22" s="4" t="s">
        <v>567</v>
      </c>
      <c r="D22" s="4" t="s">
        <v>204</v>
      </c>
      <c r="E22" s="5">
        <v>10800</v>
      </c>
      <c r="F22" s="6">
        <v>46.8018</v>
      </c>
      <c r="G22" s="7">
        <v>8.3257290000000005E-3</v>
      </c>
      <c r="H22" s="106"/>
    </row>
    <row r="23" spans="1:8" ht="17.100000000000001" customHeight="1" x14ac:dyDescent="0.2">
      <c r="A23" s="3">
        <v>17</v>
      </c>
      <c r="B23" s="4" t="s">
        <v>568</v>
      </c>
      <c r="C23" s="4" t="s">
        <v>569</v>
      </c>
      <c r="D23" s="4" t="s">
        <v>99</v>
      </c>
      <c r="E23" s="5">
        <v>8924</v>
      </c>
      <c r="F23" s="6">
        <v>7.2373640000000004</v>
      </c>
      <c r="G23" s="7">
        <v>1.287479E-3</v>
      </c>
      <c r="H23" s="106"/>
    </row>
    <row r="24" spans="1:8" ht="14.1" customHeight="1" x14ac:dyDescent="0.2">
      <c r="A24" s="1"/>
      <c r="B24" s="1"/>
      <c r="C24" s="2" t="s">
        <v>130</v>
      </c>
      <c r="D24" s="1"/>
      <c r="E24" s="1" t="s">
        <v>131</v>
      </c>
      <c r="F24" s="9">
        <v>3805.3417639999998</v>
      </c>
      <c r="G24" s="10">
        <v>0.67694500300000005</v>
      </c>
      <c r="H24" s="106"/>
    </row>
    <row r="25" spans="1:8" ht="14.1" customHeight="1" x14ac:dyDescent="0.2">
      <c r="A25" s="1"/>
      <c r="B25" s="1"/>
      <c r="C25" s="11"/>
      <c r="D25" s="1"/>
      <c r="E25" s="1"/>
      <c r="F25" s="12"/>
      <c r="G25" s="12"/>
      <c r="H25" s="106"/>
    </row>
    <row r="26" spans="1:8" ht="14.1" customHeight="1" x14ac:dyDescent="0.2">
      <c r="A26" s="1"/>
      <c r="B26" s="1"/>
      <c r="C26" s="2" t="s">
        <v>132</v>
      </c>
      <c r="D26" s="1"/>
      <c r="E26" s="1"/>
      <c r="F26" s="1"/>
      <c r="G26" s="1"/>
      <c r="H26" s="106"/>
    </row>
    <row r="27" spans="1:8" ht="14.1" customHeight="1" x14ac:dyDescent="0.2">
      <c r="A27" s="1"/>
      <c r="B27" s="1"/>
      <c r="C27" s="2" t="s">
        <v>130</v>
      </c>
      <c r="D27" s="1"/>
      <c r="E27" s="1" t="s">
        <v>131</v>
      </c>
      <c r="F27" s="13">
        <v>0</v>
      </c>
      <c r="G27" s="14">
        <v>0</v>
      </c>
      <c r="H27" s="106"/>
    </row>
    <row r="28" spans="1:8" ht="14.1" customHeight="1" x14ac:dyDescent="0.2">
      <c r="A28" s="1"/>
      <c r="B28" s="1"/>
      <c r="C28" s="11"/>
      <c r="D28" s="1"/>
      <c r="E28" s="1"/>
      <c r="F28" s="12"/>
      <c r="G28" s="12"/>
      <c r="H28" s="106"/>
    </row>
    <row r="29" spans="1:8" ht="14.1" customHeight="1" x14ac:dyDescent="0.2">
      <c r="A29" s="1"/>
      <c r="B29" s="1"/>
      <c r="C29" s="2" t="s">
        <v>133</v>
      </c>
      <c r="D29" s="1"/>
      <c r="E29" s="1"/>
      <c r="F29" s="1"/>
      <c r="G29" s="1"/>
      <c r="H29" s="106"/>
    </row>
    <row r="30" spans="1:8" ht="14.1" customHeight="1" x14ac:dyDescent="0.2">
      <c r="A30" s="1"/>
      <c r="B30" s="1"/>
      <c r="C30" s="2" t="s">
        <v>130</v>
      </c>
      <c r="D30" s="1"/>
      <c r="E30" s="1" t="s">
        <v>131</v>
      </c>
      <c r="F30" s="13">
        <v>0</v>
      </c>
      <c r="G30" s="14">
        <v>0</v>
      </c>
      <c r="H30" s="106"/>
    </row>
    <row r="31" spans="1:8" ht="14.1" customHeight="1" x14ac:dyDescent="0.2">
      <c r="A31" s="1"/>
      <c r="B31" s="1"/>
      <c r="C31" s="11"/>
      <c r="D31" s="1"/>
      <c r="E31" s="1"/>
      <c r="F31" s="12"/>
      <c r="G31" s="12"/>
      <c r="H31" s="106"/>
    </row>
    <row r="32" spans="1:8" ht="14.1" customHeight="1" x14ac:dyDescent="0.2">
      <c r="A32" s="1"/>
      <c r="B32" s="1"/>
      <c r="C32" s="2" t="s">
        <v>134</v>
      </c>
      <c r="D32" s="1"/>
      <c r="E32" s="1"/>
      <c r="F32" s="1"/>
      <c r="G32" s="1"/>
      <c r="H32" s="106"/>
    </row>
    <row r="33" spans="1:8" ht="14.1" customHeight="1" x14ac:dyDescent="0.2">
      <c r="A33" s="1"/>
      <c r="B33" s="1"/>
      <c r="C33" s="2" t="s">
        <v>130</v>
      </c>
      <c r="D33" s="1"/>
      <c r="E33" s="1" t="s">
        <v>131</v>
      </c>
      <c r="F33" s="13">
        <v>0</v>
      </c>
      <c r="G33" s="14">
        <v>0</v>
      </c>
      <c r="H33" s="106"/>
    </row>
    <row r="34" spans="1:8" ht="14.1" customHeight="1" x14ac:dyDescent="0.2">
      <c r="A34" s="1"/>
      <c r="B34" s="1"/>
      <c r="C34" s="11"/>
      <c r="D34" s="1"/>
      <c r="E34" s="1"/>
      <c r="F34" s="12"/>
      <c r="G34" s="12"/>
      <c r="H34" s="106"/>
    </row>
    <row r="35" spans="1:8" ht="14.1" customHeight="1" x14ac:dyDescent="0.2">
      <c r="A35" s="1"/>
      <c r="B35" s="1"/>
      <c r="C35" s="2" t="s">
        <v>135</v>
      </c>
      <c r="D35" s="1"/>
      <c r="E35" s="1"/>
      <c r="F35" s="12"/>
      <c r="G35" s="12"/>
      <c r="H35" s="106"/>
    </row>
    <row r="36" spans="1:8" ht="14.1" customHeight="1" x14ac:dyDescent="0.2">
      <c r="A36" s="1"/>
      <c r="B36" s="1"/>
      <c r="C36" s="2" t="s">
        <v>130</v>
      </c>
      <c r="D36" s="1"/>
      <c r="E36" s="1" t="s">
        <v>131</v>
      </c>
      <c r="F36" s="13">
        <v>0</v>
      </c>
      <c r="G36" s="14">
        <v>0</v>
      </c>
      <c r="H36" s="106"/>
    </row>
    <row r="37" spans="1:8" ht="14.1" customHeight="1" x14ac:dyDescent="0.2">
      <c r="A37" s="1"/>
      <c r="B37" s="1"/>
      <c r="C37" s="11"/>
      <c r="D37" s="1"/>
      <c r="E37" s="1"/>
      <c r="F37" s="12"/>
      <c r="G37" s="12"/>
      <c r="H37" s="106"/>
    </row>
    <row r="38" spans="1:8" ht="14.1" customHeight="1" x14ac:dyDescent="0.2">
      <c r="A38" s="1"/>
      <c r="B38" s="1"/>
      <c r="C38" s="2" t="s">
        <v>136</v>
      </c>
      <c r="D38" s="1"/>
      <c r="E38" s="1"/>
      <c r="F38" s="12"/>
      <c r="G38" s="12"/>
      <c r="H38" s="106"/>
    </row>
    <row r="39" spans="1:8" ht="25.5" x14ac:dyDescent="0.2">
      <c r="A39" s="3">
        <v>1</v>
      </c>
      <c r="B39" s="4"/>
      <c r="C39" s="4" t="s">
        <v>938</v>
      </c>
      <c r="D39" s="4" t="s">
        <v>570</v>
      </c>
      <c r="E39" s="5">
        <v>-8924</v>
      </c>
      <c r="F39" s="6">
        <v>-7.2819839999999996</v>
      </c>
      <c r="G39" s="7">
        <v>-1.2954199999999998E-3</v>
      </c>
      <c r="H39" s="106"/>
    </row>
    <row r="40" spans="1:8" x14ac:dyDescent="0.2">
      <c r="A40" s="3">
        <v>2</v>
      </c>
      <c r="B40" s="4"/>
      <c r="C40" s="4" t="s">
        <v>939</v>
      </c>
      <c r="D40" s="4" t="s">
        <v>570</v>
      </c>
      <c r="E40" s="5">
        <v>-10800</v>
      </c>
      <c r="F40" s="6">
        <v>-47.077199999999998</v>
      </c>
      <c r="G40" s="7">
        <v>-8.3747200000000004E-3</v>
      </c>
      <c r="H40" s="106"/>
    </row>
    <row r="41" spans="1:8" x14ac:dyDescent="0.2">
      <c r="A41" s="3">
        <v>3</v>
      </c>
      <c r="B41" s="4"/>
      <c r="C41" s="4" t="s">
        <v>940</v>
      </c>
      <c r="D41" s="4" t="s">
        <v>570</v>
      </c>
      <c r="E41" s="5">
        <v>-10800</v>
      </c>
      <c r="F41" s="6">
        <v>-57.882599999999996</v>
      </c>
      <c r="G41" s="7">
        <v>-1.0296929999999999E-2</v>
      </c>
      <c r="H41" s="106"/>
    </row>
    <row r="42" spans="1:8" ht="25.5" x14ac:dyDescent="0.2">
      <c r="A42" s="3">
        <v>4</v>
      </c>
      <c r="B42" s="4"/>
      <c r="C42" s="4" t="s">
        <v>941</v>
      </c>
      <c r="D42" s="4" t="s">
        <v>570</v>
      </c>
      <c r="E42" s="5">
        <v>-11000</v>
      </c>
      <c r="F42" s="6">
        <v>-59.383499999999998</v>
      </c>
      <c r="G42" s="7">
        <v>-1.0563929999999999E-2</v>
      </c>
      <c r="H42" s="106"/>
    </row>
    <row r="43" spans="1:8" x14ac:dyDescent="0.2">
      <c r="A43" s="3">
        <v>5</v>
      </c>
      <c r="B43" s="4"/>
      <c r="C43" s="4" t="s">
        <v>942</v>
      </c>
      <c r="D43" s="4" t="s">
        <v>570</v>
      </c>
      <c r="E43" s="5">
        <v>-26000</v>
      </c>
      <c r="F43" s="6">
        <v>-100.828</v>
      </c>
      <c r="G43" s="7">
        <v>-1.7936629999999999E-2</v>
      </c>
      <c r="H43" s="106"/>
    </row>
    <row r="44" spans="1:8" x14ac:dyDescent="0.2">
      <c r="A44" s="3">
        <v>6</v>
      </c>
      <c r="B44" s="4"/>
      <c r="C44" s="4" t="s">
        <v>943</v>
      </c>
      <c r="D44" s="4" t="s">
        <v>570</v>
      </c>
      <c r="E44" s="5">
        <v>-3575</v>
      </c>
      <c r="F44" s="6">
        <v>-105.248</v>
      </c>
      <c r="G44" s="7">
        <v>-1.8722920000000001E-2</v>
      </c>
      <c r="H44" s="106"/>
    </row>
    <row r="45" spans="1:8" ht="25.5" x14ac:dyDescent="0.2">
      <c r="A45" s="3">
        <v>7</v>
      </c>
      <c r="B45" s="4"/>
      <c r="C45" s="4" t="s">
        <v>944</v>
      </c>
      <c r="D45" s="4" t="s">
        <v>570</v>
      </c>
      <c r="E45" s="5">
        <v>-14700</v>
      </c>
      <c r="F45" s="6">
        <v>-150.3075</v>
      </c>
      <c r="G45" s="7">
        <v>-2.6738710000000002E-2</v>
      </c>
      <c r="H45" s="106"/>
    </row>
    <row r="46" spans="1:8" ht="25.5" x14ac:dyDescent="0.2">
      <c r="A46" s="3">
        <v>8</v>
      </c>
      <c r="B46" s="4"/>
      <c r="C46" s="4" t="s">
        <v>945</v>
      </c>
      <c r="D46" s="4" t="s">
        <v>570</v>
      </c>
      <c r="E46" s="5">
        <v>-9200</v>
      </c>
      <c r="F46" s="6">
        <v>-175.45779999999999</v>
      </c>
      <c r="G46" s="7">
        <v>-3.1212780000000002E-2</v>
      </c>
      <c r="H46" s="106"/>
    </row>
    <row r="47" spans="1:8" x14ac:dyDescent="0.2">
      <c r="A47" s="3">
        <v>9</v>
      </c>
      <c r="B47" s="4"/>
      <c r="C47" s="4" t="s">
        <v>946</v>
      </c>
      <c r="D47" s="4" t="s">
        <v>570</v>
      </c>
      <c r="E47" s="5">
        <v>-7000</v>
      </c>
      <c r="F47" s="6">
        <v>-218.33</v>
      </c>
      <c r="G47" s="7">
        <v>-3.8839459999999999E-2</v>
      </c>
      <c r="H47" s="106"/>
    </row>
    <row r="48" spans="1:8" x14ac:dyDescent="0.2">
      <c r="A48" s="3">
        <v>10</v>
      </c>
      <c r="B48" s="4"/>
      <c r="C48" s="4" t="s">
        <v>947</v>
      </c>
      <c r="D48" s="4" t="s">
        <v>570</v>
      </c>
      <c r="E48" s="5">
        <v>-24750</v>
      </c>
      <c r="F48" s="6">
        <v>-226.12837500000001</v>
      </c>
      <c r="G48" s="7">
        <v>-4.0226740000000004E-2</v>
      </c>
      <c r="H48" s="106"/>
    </row>
    <row r="49" spans="1:8" ht="25.5" x14ac:dyDescent="0.2">
      <c r="A49" s="3">
        <v>11</v>
      </c>
      <c r="B49" s="4"/>
      <c r="C49" s="4" t="s">
        <v>948</v>
      </c>
      <c r="D49" s="4" t="s">
        <v>570</v>
      </c>
      <c r="E49" s="5">
        <v>-2500</v>
      </c>
      <c r="F49" s="6">
        <v>-238.84125</v>
      </c>
      <c r="G49" s="7">
        <v>-4.2488279999999996E-2</v>
      </c>
      <c r="H49" s="106"/>
    </row>
    <row r="50" spans="1:8" x14ac:dyDescent="0.2">
      <c r="A50" s="3">
        <v>12</v>
      </c>
      <c r="B50" s="4"/>
      <c r="C50" s="4" t="s">
        <v>949</v>
      </c>
      <c r="D50" s="4" t="s">
        <v>570</v>
      </c>
      <c r="E50" s="5">
        <v>-13800</v>
      </c>
      <c r="F50" s="6">
        <v>-280.76100000000002</v>
      </c>
      <c r="G50" s="7">
        <v>-4.9945519999999993E-2</v>
      </c>
      <c r="H50" s="106"/>
    </row>
    <row r="51" spans="1:8" x14ac:dyDescent="0.2">
      <c r="A51" s="3">
        <v>13</v>
      </c>
      <c r="B51" s="4"/>
      <c r="C51" s="4" t="s">
        <v>950</v>
      </c>
      <c r="D51" s="4" t="s">
        <v>570</v>
      </c>
      <c r="E51" s="5">
        <v>-37200</v>
      </c>
      <c r="F51" s="6">
        <v>-338.24099999999999</v>
      </c>
      <c r="G51" s="7">
        <v>-6.0170830000000002E-2</v>
      </c>
      <c r="H51" s="106"/>
    </row>
    <row r="52" spans="1:8" x14ac:dyDescent="0.2">
      <c r="A52" s="3">
        <v>14</v>
      </c>
      <c r="B52" s="4"/>
      <c r="C52" s="4" t="s">
        <v>951</v>
      </c>
      <c r="D52" s="4" t="s">
        <v>570</v>
      </c>
      <c r="E52" s="5">
        <v>-50000</v>
      </c>
      <c r="F52" s="6">
        <v>-413.7</v>
      </c>
      <c r="G52" s="7">
        <v>-7.3594480000000004E-2</v>
      </c>
      <c r="H52" s="106"/>
    </row>
    <row r="53" spans="1:8" x14ac:dyDescent="0.2">
      <c r="A53" s="3">
        <v>15</v>
      </c>
      <c r="B53" s="4"/>
      <c r="C53" s="4" t="s">
        <v>952</v>
      </c>
      <c r="D53" s="4" t="s">
        <v>570</v>
      </c>
      <c r="E53" s="5">
        <v>-6250</v>
      </c>
      <c r="F53" s="6">
        <v>-448.98124999999999</v>
      </c>
      <c r="G53" s="7">
        <v>-7.9870789999999997E-2</v>
      </c>
      <c r="H53" s="106"/>
    </row>
    <row r="54" spans="1:8" ht="25.5" x14ac:dyDescent="0.2">
      <c r="A54" s="3">
        <v>16</v>
      </c>
      <c r="B54" s="4"/>
      <c r="C54" s="4" t="s">
        <v>953</v>
      </c>
      <c r="D54" s="4" t="s">
        <v>570</v>
      </c>
      <c r="E54" s="5">
        <v>-180000</v>
      </c>
      <c r="F54" s="6">
        <v>-475.2</v>
      </c>
      <c r="G54" s="7">
        <v>-8.4534920000000013E-2</v>
      </c>
      <c r="H54" s="106"/>
    </row>
    <row r="55" spans="1:8" x14ac:dyDescent="0.2">
      <c r="A55" s="3">
        <v>17</v>
      </c>
      <c r="B55" s="4"/>
      <c r="C55" s="4" t="s">
        <v>954</v>
      </c>
      <c r="D55" s="4" t="s">
        <v>570</v>
      </c>
      <c r="E55" s="5">
        <v>-31900</v>
      </c>
      <c r="F55" s="6">
        <v>-479.53674999999998</v>
      </c>
      <c r="G55" s="7">
        <v>-8.5306409999999999E-2</v>
      </c>
      <c r="H55" s="106"/>
    </row>
    <row r="56" spans="1:8" ht="14.1" customHeight="1" x14ac:dyDescent="0.2">
      <c r="A56" s="1"/>
      <c r="B56" s="1"/>
      <c r="C56" s="2" t="s">
        <v>130</v>
      </c>
      <c r="D56" s="1"/>
      <c r="E56" s="1" t="s">
        <v>131</v>
      </c>
      <c r="F56" s="9">
        <v>-3823.186209</v>
      </c>
      <c r="G56" s="10">
        <v>-0.68011941300000001</v>
      </c>
      <c r="H56" s="106"/>
    </row>
    <row r="57" spans="1:8" ht="14.1" customHeight="1" x14ac:dyDescent="0.2">
      <c r="A57" s="1"/>
      <c r="B57" s="1"/>
      <c r="C57" s="11"/>
      <c r="D57" s="1"/>
      <c r="E57" s="1"/>
      <c r="F57" s="12"/>
      <c r="G57" s="12"/>
      <c r="H57" s="106"/>
    </row>
    <row r="58" spans="1:8" ht="18" customHeight="1" x14ac:dyDescent="0.2">
      <c r="A58" s="1"/>
      <c r="B58" s="1"/>
      <c r="C58" s="2" t="s">
        <v>137</v>
      </c>
      <c r="D58" s="1"/>
      <c r="E58" s="1"/>
      <c r="F58" s="9">
        <v>3805.3417639999998</v>
      </c>
      <c r="G58" s="10">
        <v>0.67694500300000005</v>
      </c>
      <c r="H58" s="106"/>
    </row>
    <row r="59" spans="1:8" ht="14.1" customHeight="1" x14ac:dyDescent="0.2">
      <c r="A59" s="1"/>
      <c r="B59" s="1"/>
      <c r="C59" s="11"/>
      <c r="D59" s="1"/>
      <c r="E59" s="1"/>
      <c r="F59" s="12"/>
      <c r="G59" s="12"/>
      <c r="H59" s="106"/>
    </row>
    <row r="60" spans="1:8" ht="14.1" customHeight="1" x14ac:dyDescent="0.2">
      <c r="A60" s="1"/>
      <c r="B60" s="1"/>
      <c r="C60" s="2" t="s">
        <v>138</v>
      </c>
      <c r="D60" s="1"/>
      <c r="E60" s="1"/>
      <c r="F60" s="12"/>
      <c r="G60" s="12"/>
      <c r="H60" s="106"/>
    </row>
    <row r="61" spans="1:8" ht="24" customHeight="1" x14ac:dyDescent="0.2">
      <c r="A61" s="1"/>
      <c r="B61" s="1"/>
      <c r="C61" s="2" t="s">
        <v>10</v>
      </c>
      <c r="D61" s="1"/>
      <c r="E61" s="1"/>
      <c r="F61" s="12"/>
      <c r="G61" s="12"/>
      <c r="H61" s="106"/>
    </row>
    <row r="62" spans="1:8" ht="14.1" customHeight="1" x14ac:dyDescent="0.2">
      <c r="A62" s="1"/>
      <c r="B62" s="1"/>
      <c r="C62" s="2" t="s">
        <v>130</v>
      </c>
      <c r="D62" s="1"/>
      <c r="E62" s="1" t="s">
        <v>131</v>
      </c>
      <c r="F62" s="13">
        <v>0</v>
      </c>
      <c r="G62" s="14">
        <v>0</v>
      </c>
      <c r="H62" s="106"/>
    </row>
    <row r="63" spans="1:8" ht="14.1" customHeight="1" x14ac:dyDescent="0.2">
      <c r="A63" s="1"/>
      <c r="B63" s="1"/>
      <c r="C63" s="11"/>
      <c r="D63" s="1"/>
      <c r="E63" s="1"/>
      <c r="F63" s="12"/>
      <c r="G63" s="12"/>
      <c r="H63" s="106"/>
    </row>
    <row r="64" spans="1:8" ht="14.1" customHeight="1" x14ac:dyDescent="0.2">
      <c r="A64" s="1"/>
      <c r="B64" s="1"/>
      <c r="C64" s="2" t="s">
        <v>139</v>
      </c>
      <c r="D64" s="1"/>
      <c r="E64" s="1"/>
      <c r="F64" s="1"/>
      <c r="G64" s="1"/>
      <c r="H64" s="106"/>
    </row>
    <row r="65" spans="1:8" ht="14.1" customHeight="1" x14ac:dyDescent="0.2">
      <c r="A65" s="1"/>
      <c r="B65" s="1"/>
      <c r="C65" s="2" t="s">
        <v>130</v>
      </c>
      <c r="D65" s="1"/>
      <c r="E65" s="1" t="s">
        <v>131</v>
      </c>
      <c r="F65" s="13">
        <v>0</v>
      </c>
      <c r="G65" s="14">
        <v>0</v>
      </c>
      <c r="H65" s="106"/>
    </row>
    <row r="66" spans="1:8" ht="14.1" customHeight="1" x14ac:dyDescent="0.2">
      <c r="A66" s="1"/>
      <c r="B66" s="1"/>
      <c r="C66" s="11"/>
      <c r="D66" s="1"/>
      <c r="E66" s="1"/>
      <c r="F66" s="12"/>
      <c r="G66" s="12"/>
      <c r="H66" s="106"/>
    </row>
    <row r="67" spans="1:8" ht="14.1" customHeight="1" x14ac:dyDescent="0.2">
      <c r="A67" s="1"/>
      <c r="B67" s="1"/>
      <c r="C67" s="2" t="s">
        <v>140</v>
      </c>
      <c r="D67" s="1"/>
      <c r="E67" s="1"/>
      <c r="F67" s="1"/>
      <c r="G67" s="1"/>
      <c r="H67" s="106"/>
    </row>
    <row r="68" spans="1:8" ht="14.1" customHeight="1" x14ac:dyDescent="0.2">
      <c r="A68" s="1"/>
      <c r="B68" s="1"/>
      <c r="C68" s="2" t="s">
        <v>130</v>
      </c>
      <c r="D68" s="1"/>
      <c r="E68" s="1" t="s">
        <v>131</v>
      </c>
      <c r="F68" s="13">
        <v>0</v>
      </c>
      <c r="G68" s="14">
        <v>0</v>
      </c>
      <c r="H68" s="106"/>
    </row>
    <row r="69" spans="1:8" ht="14.1" customHeight="1" x14ac:dyDescent="0.2">
      <c r="A69" s="1"/>
      <c r="B69" s="1"/>
      <c r="C69" s="11"/>
      <c r="D69" s="1"/>
      <c r="E69" s="1"/>
      <c r="F69" s="12"/>
      <c r="G69" s="12"/>
      <c r="H69" s="106"/>
    </row>
    <row r="70" spans="1:8" ht="14.1" customHeight="1" x14ac:dyDescent="0.2">
      <c r="A70" s="1"/>
      <c r="B70" s="1"/>
      <c r="C70" s="2" t="s">
        <v>141</v>
      </c>
      <c r="D70" s="1"/>
      <c r="E70" s="1"/>
      <c r="F70" s="12"/>
      <c r="G70" s="12"/>
      <c r="H70" s="106"/>
    </row>
    <row r="71" spans="1:8" ht="14.1" customHeight="1" x14ac:dyDescent="0.2">
      <c r="A71" s="1"/>
      <c r="B71" s="1"/>
      <c r="C71" s="2" t="s">
        <v>130</v>
      </c>
      <c r="D71" s="1"/>
      <c r="E71" s="1" t="s">
        <v>131</v>
      </c>
      <c r="F71" s="13">
        <v>0</v>
      </c>
      <c r="G71" s="14">
        <v>0</v>
      </c>
      <c r="H71" s="106"/>
    </row>
    <row r="72" spans="1:8" ht="14.1" customHeight="1" x14ac:dyDescent="0.2">
      <c r="A72" s="1"/>
      <c r="B72" s="1"/>
      <c r="C72" s="11"/>
      <c r="D72" s="1"/>
      <c r="E72" s="1"/>
      <c r="F72" s="12"/>
      <c r="G72" s="12"/>
      <c r="H72" s="106"/>
    </row>
    <row r="73" spans="1:8" ht="14.1" customHeight="1" x14ac:dyDescent="0.2">
      <c r="A73" s="1"/>
      <c r="B73" s="1"/>
      <c r="C73" s="2" t="s">
        <v>142</v>
      </c>
      <c r="D73" s="1"/>
      <c r="E73" s="1"/>
      <c r="F73" s="9">
        <v>0</v>
      </c>
      <c r="G73" s="10">
        <v>0</v>
      </c>
      <c r="H73" s="106"/>
    </row>
    <row r="74" spans="1:8" ht="14.1" customHeight="1" x14ac:dyDescent="0.2">
      <c r="A74" s="1"/>
      <c r="B74" s="1"/>
      <c r="C74" s="11"/>
      <c r="D74" s="1"/>
      <c r="E74" s="1"/>
      <c r="F74" s="12"/>
      <c r="G74" s="12"/>
      <c r="H74" s="106"/>
    </row>
    <row r="75" spans="1:8" ht="14.1" customHeight="1" x14ac:dyDescent="0.2">
      <c r="A75" s="1"/>
      <c r="B75" s="1"/>
      <c r="C75" s="2" t="s">
        <v>143</v>
      </c>
      <c r="D75" s="1"/>
      <c r="E75" s="1"/>
      <c r="F75" s="12"/>
      <c r="G75" s="12"/>
      <c r="H75" s="106"/>
    </row>
    <row r="76" spans="1:8" ht="14.1" customHeight="1" x14ac:dyDescent="0.2">
      <c r="A76" s="1"/>
      <c r="B76" s="1"/>
      <c r="C76" s="2" t="s">
        <v>144</v>
      </c>
      <c r="D76" s="1"/>
      <c r="E76" s="1"/>
      <c r="F76" s="12"/>
      <c r="G76" s="12"/>
      <c r="H76" s="106"/>
    </row>
    <row r="77" spans="1:8" ht="14.1" customHeight="1" x14ac:dyDescent="0.2">
      <c r="A77" s="1"/>
      <c r="B77" s="1"/>
      <c r="C77" s="2" t="s">
        <v>130</v>
      </c>
      <c r="D77" s="1"/>
      <c r="E77" s="1" t="s">
        <v>131</v>
      </c>
      <c r="F77" s="13">
        <v>0</v>
      </c>
      <c r="G77" s="14">
        <v>0</v>
      </c>
      <c r="H77" s="106"/>
    </row>
    <row r="78" spans="1:8" ht="14.1" customHeight="1" x14ac:dyDescent="0.2">
      <c r="A78" s="1"/>
      <c r="B78" s="1"/>
      <c r="C78" s="11"/>
      <c r="D78" s="1"/>
      <c r="E78" s="1"/>
      <c r="F78" s="12"/>
      <c r="G78" s="12"/>
      <c r="H78" s="106"/>
    </row>
    <row r="79" spans="1:8" ht="14.1" customHeight="1" x14ac:dyDescent="0.2">
      <c r="A79" s="1"/>
      <c r="B79" s="1"/>
      <c r="C79" s="2" t="s">
        <v>145</v>
      </c>
      <c r="D79" s="1"/>
      <c r="E79" s="1"/>
      <c r="F79" s="12"/>
      <c r="G79" s="12"/>
      <c r="H79" s="106"/>
    </row>
    <row r="80" spans="1:8" ht="14.1" customHeight="1" x14ac:dyDescent="0.2">
      <c r="A80" s="1"/>
      <c r="B80" s="1"/>
      <c r="C80" s="2" t="s">
        <v>130</v>
      </c>
      <c r="D80" s="1"/>
      <c r="E80" s="1" t="s">
        <v>131</v>
      </c>
      <c r="F80" s="13">
        <v>0</v>
      </c>
      <c r="G80" s="14">
        <v>0</v>
      </c>
      <c r="H80" s="106"/>
    </row>
    <row r="81" spans="1:8" ht="14.1" customHeight="1" x14ac:dyDescent="0.2">
      <c r="A81" s="1"/>
      <c r="B81" s="1"/>
      <c r="C81" s="11"/>
      <c r="D81" s="1"/>
      <c r="E81" s="1"/>
      <c r="F81" s="12"/>
      <c r="G81" s="12"/>
      <c r="H81" s="106"/>
    </row>
    <row r="82" spans="1:8" ht="14.1" customHeight="1" x14ac:dyDescent="0.2">
      <c r="A82" s="1"/>
      <c r="B82" s="1"/>
      <c r="C82" s="2" t="s">
        <v>146</v>
      </c>
      <c r="D82" s="1"/>
      <c r="E82" s="1"/>
      <c r="F82" s="12"/>
      <c r="G82" s="12"/>
      <c r="H82" s="106"/>
    </row>
    <row r="83" spans="1:8" ht="17.100000000000001" customHeight="1" x14ac:dyDescent="0.2">
      <c r="A83" s="3">
        <v>1</v>
      </c>
      <c r="B83" s="4" t="s">
        <v>571</v>
      </c>
      <c r="C83" s="4" t="s">
        <v>1052</v>
      </c>
      <c r="D83" s="4" t="s">
        <v>572</v>
      </c>
      <c r="E83" s="5">
        <v>500000</v>
      </c>
      <c r="F83" s="6">
        <v>497.49549999999999</v>
      </c>
      <c r="G83" s="7">
        <v>8.8501142000000005E-2</v>
      </c>
      <c r="H83" s="106">
        <v>6.125</v>
      </c>
    </row>
    <row r="84" spans="1:8" ht="17.100000000000001" customHeight="1" x14ac:dyDescent="0.2">
      <c r="A84" s="3">
        <v>2</v>
      </c>
      <c r="B84" s="4" t="s">
        <v>573</v>
      </c>
      <c r="C84" s="4" t="s">
        <v>1053</v>
      </c>
      <c r="D84" s="4" t="s">
        <v>572</v>
      </c>
      <c r="E84" s="5">
        <v>500000</v>
      </c>
      <c r="F84" s="6">
        <v>493.81450000000001</v>
      </c>
      <c r="G84" s="7">
        <v>8.7846316999999993E-2</v>
      </c>
      <c r="H84" s="106">
        <v>6.35</v>
      </c>
    </row>
    <row r="85" spans="1:8" ht="14.1" customHeight="1" x14ac:dyDescent="0.2">
      <c r="A85" s="1"/>
      <c r="B85" s="1"/>
      <c r="C85" s="2" t="s">
        <v>130</v>
      </c>
      <c r="D85" s="1"/>
      <c r="E85" s="1" t="s">
        <v>131</v>
      </c>
      <c r="F85" s="9">
        <v>991.31</v>
      </c>
      <c r="G85" s="10">
        <v>0.17634745900000001</v>
      </c>
      <c r="H85" s="106"/>
    </row>
    <row r="86" spans="1:8" ht="14.1" customHeight="1" x14ac:dyDescent="0.2">
      <c r="A86" s="1"/>
      <c r="B86" s="1"/>
      <c r="C86" s="11"/>
      <c r="D86" s="1"/>
      <c r="E86" s="1"/>
      <c r="F86" s="12"/>
      <c r="G86" s="12"/>
      <c r="H86" s="106"/>
    </row>
    <row r="87" spans="1:8" ht="14.1" customHeight="1" x14ac:dyDescent="0.2">
      <c r="A87" s="1"/>
      <c r="B87" s="1"/>
      <c r="C87" s="2" t="s">
        <v>147</v>
      </c>
      <c r="D87" s="1"/>
      <c r="E87" s="1"/>
      <c r="F87" s="12"/>
      <c r="G87" s="12"/>
      <c r="H87" s="106"/>
    </row>
    <row r="88" spans="1:8" ht="17.100000000000001" customHeight="1" x14ac:dyDescent="0.2">
      <c r="A88" s="3">
        <v>1</v>
      </c>
      <c r="B88" s="4"/>
      <c r="C88" s="4" t="s">
        <v>148</v>
      </c>
      <c r="D88" s="4"/>
      <c r="E88" s="8"/>
      <c r="F88" s="6">
        <v>248.52264930000001</v>
      </c>
      <c r="G88" s="7">
        <v>4.4210526999999999E-2</v>
      </c>
      <c r="H88" s="106">
        <v>6.1171451766917002</v>
      </c>
    </row>
    <row r="89" spans="1:8" ht="14.1" customHeight="1" x14ac:dyDescent="0.2">
      <c r="A89" s="1"/>
      <c r="B89" s="1"/>
      <c r="C89" s="2" t="s">
        <v>130</v>
      </c>
      <c r="D89" s="1"/>
      <c r="E89" s="1" t="s">
        <v>131</v>
      </c>
      <c r="F89" s="9">
        <v>248.52264930000001</v>
      </c>
      <c r="G89" s="10">
        <v>4.4210526999999999E-2</v>
      </c>
      <c r="H89" s="106"/>
    </row>
    <row r="90" spans="1:8" ht="14.1" customHeight="1" x14ac:dyDescent="0.2">
      <c r="A90" s="1"/>
      <c r="B90" s="1"/>
      <c r="C90" s="11"/>
      <c r="D90" s="1"/>
      <c r="E90" s="1"/>
      <c r="F90" s="12"/>
      <c r="G90" s="12"/>
      <c r="H90" s="106"/>
    </row>
    <row r="91" spans="1:8" ht="14.1" customHeight="1" x14ac:dyDescent="0.2">
      <c r="A91" s="1"/>
      <c r="B91" s="1"/>
      <c r="C91" s="2" t="s">
        <v>149</v>
      </c>
      <c r="D91" s="1"/>
      <c r="E91" s="1"/>
      <c r="F91" s="9">
        <v>1239.8326493</v>
      </c>
      <c r="G91" s="10">
        <v>0.22055798600000001</v>
      </c>
      <c r="H91" s="106"/>
    </row>
    <row r="92" spans="1:8" ht="14.1" customHeight="1" x14ac:dyDescent="0.2">
      <c r="A92" s="1"/>
      <c r="B92" s="1"/>
      <c r="C92" s="12"/>
      <c r="D92" s="1"/>
      <c r="E92" s="1"/>
      <c r="F92" s="1"/>
      <c r="G92" s="1"/>
      <c r="H92" s="106"/>
    </row>
    <row r="93" spans="1:8" ht="14.1" customHeight="1" x14ac:dyDescent="0.2">
      <c r="A93" s="1"/>
      <c r="B93" s="1"/>
      <c r="C93" s="2" t="s">
        <v>150</v>
      </c>
      <c r="D93" s="1"/>
      <c r="E93" s="1"/>
      <c r="F93" s="1"/>
      <c r="G93" s="1"/>
      <c r="H93" s="106"/>
    </row>
    <row r="94" spans="1:8" ht="14.1" customHeight="1" x14ac:dyDescent="0.2">
      <c r="A94" s="1"/>
      <c r="B94" s="1"/>
      <c r="C94" s="2" t="s">
        <v>151</v>
      </c>
      <c r="D94" s="1"/>
      <c r="E94" s="1"/>
      <c r="F94" s="1"/>
      <c r="G94" s="1"/>
      <c r="H94" s="106"/>
    </row>
    <row r="95" spans="1:8" ht="17.100000000000001" customHeight="1" x14ac:dyDescent="0.2">
      <c r="A95" s="3">
        <v>1</v>
      </c>
      <c r="B95" s="4" t="s">
        <v>574</v>
      </c>
      <c r="C95" s="102" t="s">
        <v>985</v>
      </c>
      <c r="D95" s="4"/>
      <c r="E95" s="5">
        <v>31859.646000000001</v>
      </c>
      <c r="F95" s="6">
        <v>615.87031030100002</v>
      </c>
      <c r="G95" s="7">
        <v>0.10955923400000001</v>
      </c>
      <c r="H95" s="106"/>
    </row>
    <row r="96" spans="1:8" ht="14.1" customHeight="1" x14ac:dyDescent="0.2">
      <c r="A96" s="1"/>
      <c r="B96" s="1"/>
      <c r="C96" s="2" t="s">
        <v>130</v>
      </c>
      <c r="D96" s="1"/>
      <c r="E96" s="1" t="s">
        <v>131</v>
      </c>
      <c r="F96" s="9">
        <v>615.87031030100002</v>
      </c>
      <c r="G96" s="10">
        <v>0.10955923400000001</v>
      </c>
      <c r="H96" s="106"/>
    </row>
    <row r="97" spans="1:15" ht="14.1" customHeight="1" x14ac:dyDescent="0.2">
      <c r="A97" s="1"/>
      <c r="B97" s="1"/>
      <c r="C97" s="11"/>
      <c r="D97" s="1"/>
      <c r="E97" s="1"/>
      <c r="F97" s="12"/>
      <c r="G97" s="12"/>
      <c r="H97" s="106"/>
    </row>
    <row r="98" spans="1:15" ht="14.1" customHeight="1" x14ac:dyDescent="0.2">
      <c r="A98" s="1"/>
      <c r="B98" s="1"/>
      <c r="C98" s="2" t="s">
        <v>152</v>
      </c>
      <c r="D98" s="1"/>
      <c r="E98" s="1"/>
      <c r="F98" s="1"/>
      <c r="G98" s="1"/>
      <c r="H98" s="106"/>
    </row>
    <row r="99" spans="1:15" ht="14.1" customHeight="1" x14ac:dyDescent="0.2">
      <c r="A99" s="1"/>
      <c r="B99" s="1"/>
      <c r="C99" s="2" t="s">
        <v>153</v>
      </c>
      <c r="D99" s="1"/>
      <c r="E99" s="1"/>
      <c r="F99" s="1"/>
      <c r="G99" s="1"/>
      <c r="H99" s="106"/>
    </row>
    <row r="100" spans="1:15" ht="14.1" customHeight="1" x14ac:dyDescent="0.2">
      <c r="A100" s="1"/>
      <c r="B100" s="1"/>
      <c r="C100" s="2" t="s">
        <v>130</v>
      </c>
      <c r="D100" s="1"/>
      <c r="E100" s="1" t="s">
        <v>131</v>
      </c>
      <c r="F100" s="13">
        <v>0</v>
      </c>
      <c r="G100" s="14">
        <v>0</v>
      </c>
      <c r="H100" s="106"/>
    </row>
    <row r="101" spans="1:15" ht="14.1" customHeight="1" x14ac:dyDescent="0.2">
      <c r="A101" s="1"/>
      <c r="B101" s="1"/>
      <c r="C101" s="11"/>
      <c r="D101" s="1"/>
      <c r="E101" s="1"/>
      <c r="F101" s="12"/>
      <c r="G101" s="12"/>
      <c r="H101" s="106"/>
    </row>
    <row r="102" spans="1:15" ht="14.1" customHeight="1" x14ac:dyDescent="0.2">
      <c r="A102" s="1"/>
      <c r="B102" s="1"/>
      <c r="C102" s="11"/>
      <c r="D102" s="1"/>
      <c r="E102" s="1"/>
      <c r="F102" s="12"/>
      <c r="G102" s="12"/>
      <c r="H102" s="106"/>
    </row>
    <row r="103" spans="1:15" ht="24" customHeight="1" x14ac:dyDescent="0.2">
      <c r="A103" s="1"/>
      <c r="B103" s="1"/>
      <c r="C103" s="2" t="s">
        <v>154</v>
      </c>
      <c r="D103" s="1"/>
      <c r="E103" s="1"/>
      <c r="F103" s="12"/>
      <c r="G103" s="12"/>
      <c r="H103" s="106"/>
    </row>
    <row r="104" spans="1:15" ht="14.1" customHeight="1" x14ac:dyDescent="0.2">
      <c r="A104" s="1"/>
      <c r="B104" s="1"/>
      <c r="C104" s="2" t="s">
        <v>130</v>
      </c>
      <c r="D104" s="1"/>
      <c r="E104" s="1" t="s">
        <v>131</v>
      </c>
      <c r="F104" s="13">
        <v>0</v>
      </c>
      <c r="G104" s="14">
        <v>0</v>
      </c>
      <c r="H104" s="106"/>
    </row>
    <row r="105" spans="1:15" ht="14.1" customHeight="1" x14ac:dyDescent="0.2">
      <c r="A105" s="1"/>
      <c r="B105" s="1"/>
      <c r="C105" s="11"/>
      <c r="D105" s="1"/>
      <c r="E105" s="1"/>
      <c r="F105" s="12"/>
      <c r="G105" s="12"/>
      <c r="H105" s="106"/>
    </row>
    <row r="106" spans="1:15" ht="18" customHeight="1" x14ac:dyDescent="0.2">
      <c r="A106" s="8"/>
      <c r="B106" s="4"/>
      <c r="C106" s="4" t="s">
        <v>575</v>
      </c>
      <c r="D106" s="4"/>
      <c r="E106" s="8"/>
      <c r="F106" s="6">
        <v>4.8818599999999996</v>
      </c>
      <c r="G106" s="7">
        <v>8.684504394659196E-4</v>
      </c>
      <c r="H106" s="106"/>
    </row>
    <row r="107" spans="1:15" ht="18" customHeight="1" x14ac:dyDescent="0.2">
      <c r="A107" s="8"/>
      <c r="B107" s="4"/>
      <c r="C107" s="102" t="s">
        <v>835</v>
      </c>
      <c r="D107" s="4"/>
      <c r="E107" s="8"/>
      <c r="F107" s="6">
        <v>-44.581048901000003</v>
      </c>
      <c r="G107" s="7">
        <v>-7.9306722253249997E-3</v>
      </c>
      <c r="H107" s="106"/>
    </row>
    <row r="108" spans="1:15" ht="14.1" customHeight="1" x14ac:dyDescent="0.2">
      <c r="A108" s="11"/>
      <c r="B108" s="11"/>
      <c r="C108" s="2" t="s">
        <v>156</v>
      </c>
      <c r="D108" s="15"/>
      <c r="E108" s="15"/>
      <c r="F108" s="9">
        <v>5621.3455346999999</v>
      </c>
      <c r="G108" s="14">
        <v>1.000000001214141</v>
      </c>
      <c r="H108" s="106"/>
    </row>
    <row r="109" spans="1:15" ht="14.1" customHeight="1" x14ac:dyDescent="0.2">
      <c r="A109" s="16"/>
      <c r="B109" s="16"/>
      <c r="C109" s="16"/>
      <c r="D109" s="17"/>
      <c r="E109" s="17"/>
      <c r="F109" s="17"/>
      <c r="G109" s="17"/>
    </row>
    <row r="110" spans="1:15" ht="17.100000000000001" customHeight="1" x14ac:dyDescent="0.2">
      <c r="A110" s="108"/>
      <c r="B110" s="289" t="s">
        <v>837</v>
      </c>
      <c r="C110" s="289"/>
      <c r="D110" s="289"/>
      <c r="E110" s="289"/>
      <c r="F110" s="289"/>
      <c r="G110" s="109"/>
    </row>
    <row r="111" spans="1:15" ht="14.1" customHeight="1" x14ac:dyDescent="0.2">
      <c r="A111" s="108"/>
      <c r="B111" s="289" t="s">
        <v>986</v>
      </c>
      <c r="C111" s="289"/>
      <c r="D111" s="289"/>
      <c r="E111" s="289"/>
      <c r="F111" s="289"/>
      <c r="G111" s="109"/>
    </row>
    <row r="112" spans="1:15" s="107" customFormat="1" x14ac:dyDescent="0.2">
      <c r="A112" s="153"/>
      <c r="B112" s="304" t="s">
        <v>1054</v>
      </c>
      <c r="C112" s="304"/>
      <c r="D112" s="304"/>
      <c r="E112" s="304"/>
      <c r="F112" s="304"/>
      <c r="G112" s="154"/>
      <c r="H112"/>
      <c r="I112"/>
      <c r="J112"/>
      <c r="K112"/>
      <c r="L112"/>
      <c r="M112"/>
      <c r="N112"/>
      <c r="O112"/>
    </row>
    <row r="113" spans="1:14" ht="14.1" customHeight="1" x14ac:dyDescent="0.2">
      <c r="A113" s="18"/>
      <c r="B113" s="18"/>
      <c r="C113" s="18"/>
      <c r="D113" s="20"/>
      <c r="E113" s="20"/>
      <c r="F113" s="20"/>
      <c r="G113" s="20"/>
    </row>
    <row r="114" spans="1:14" ht="14.1" customHeight="1" x14ac:dyDescent="0.2">
      <c r="A114" s="18"/>
      <c r="B114" s="279" t="s">
        <v>158</v>
      </c>
      <c r="C114" s="280"/>
      <c r="D114" s="12" t="s">
        <v>131</v>
      </c>
      <c r="E114" s="21"/>
      <c r="F114" s="20"/>
      <c r="G114" s="20"/>
    </row>
    <row r="115" spans="1:14" ht="29.1" customHeight="1" x14ac:dyDescent="0.2">
      <c r="A115" s="18"/>
      <c r="B115" s="274" t="s">
        <v>159</v>
      </c>
      <c r="C115" s="275"/>
      <c r="D115" s="62" t="s">
        <v>1035</v>
      </c>
      <c r="E115" s="21"/>
      <c r="F115" s="20"/>
      <c r="G115" s="20"/>
    </row>
    <row r="116" spans="1:14" ht="17.100000000000001" customHeight="1" x14ac:dyDescent="0.2">
      <c r="A116" s="18"/>
      <c r="B116" s="274" t="s">
        <v>161</v>
      </c>
      <c r="C116" s="275"/>
      <c r="D116" s="2" t="s">
        <v>160</v>
      </c>
      <c r="E116" s="21"/>
      <c r="F116" s="20"/>
      <c r="G116" s="20"/>
      <c r="J116" s="107"/>
      <c r="K116" s="107"/>
      <c r="L116" s="107"/>
      <c r="M116" s="107"/>
      <c r="N116" s="107"/>
    </row>
    <row r="117" spans="1:14" ht="17.100000000000001" customHeight="1" x14ac:dyDescent="0.2">
      <c r="A117" s="18"/>
      <c r="B117" s="274" t="s">
        <v>162</v>
      </c>
      <c r="C117" s="275"/>
      <c r="D117" s="12" t="s">
        <v>131</v>
      </c>
      <c r="E117" s="21"/>
      <c r="F117" s="20"/>
      <c r="G117" s="20"/>
      <c r="J117" s="168"/>
      <c r="K117" s="168"/>
      <c r="L117" s="168"/>
      <c r="M117" s="168"/>
      <c r="N117" s="168"/>
    </row>
    <row r="118" spans="1:14" ht="24" customHeight="1" x14ac:dyDescent="0.2">
      <c r="A118" s="22"/>
      <c r="B118" s="23" t="s">
        <v>131</v>
      </c>
      <c r="C118" s="23" t="s">
        <v>163</v>
      </c>
      <c r="D118" s="23" t="s">
        <v>164</v>
      </c>
      <c r="E118" s="22"/>
      <c r="F118" s="22"/>
      <c r="G118" s="22"/>
    </row>
    <row r="119" spans="1:14" ht="18" customHeight="1" x14ac:dyDescent="0.2">
      <c r="A119" s="22"/>
      <c r="B119" s="23" t="s">
        <v>165</v>
      </c>
      <c r="C119" s="23" t="s">
        <v>166</v>
      </c>
      <c r="D119" s="23" t="s">
        <v>167</v>
      </c>
      <c r="E119" s="22"/>
      <c r="F119" s="22"/>
      <c r="G119" s="22"/>
    </row>
    <row r="120" spans="1:14" ht="17.100000000000001" customHeight="1" x14ac:dyDescent="0.2">
      <c r="A120" s="22"/>
      <c r="B120" s="4" t="s">
        <v>168</v>
      </c>
      <c r="C120" s="24">
        <v>12.493399999999999</v>
      </c>
      <c r="D120" s="24">
        <v>12.5375</v>
      </c>
      <c r="E120" s="22"/>
      <c r="F120" s="19"/>
      <c r="G120" s="25"/>
    </row>
    <row r="121" spans="1:14" ht="25.5" customHeight="1" x14ac:dyDescent="0.2">
      <c r="A121" s="22"/>
      <c r="B121" s="4" t="s">
        <v>1063</v>
      </c>
      <c r="C121" s="24">
        <v>10.803599999999999</v>
      </c>
      <c r="D121" s="24">
        <v>10.841699999999999</v>
      </c>
      <c r="E121" s="22"/>
      <c r="F121" s="19"/>
      <c r="G121" s="25"/>
    </row>
    <row r="122" spans="1:14" ht="17.100000000000001" customHeight="1" x14ac:dyDescent="0.2">
      <c r="A122" s="22"/>
      <c r="B122" s="4" t="s">
        <v>169</v>
      </c>
      <c r="C122" s="24">
        <v>12.061199999999999</v>
      </c>
      <c r="D122" s="24">
        <v>12.0962</v>
      </c>
      <c r="E122" s="22"/>
      <c r="F122" s="19"/>
      <c r="G122" s="25"/>
      <c r="I122" s="107"/>
    </row>
    <row r="123" spans="1:14" ht="24" customHeight="1" x14ac:dyDescent="0.2">
      <c r="A123" s="22"/>
      <c r="B123" s="4" t="s">
        <v>1065</v>
      </c>
      <c r="C123" s="24">
        <v>10.6045</v>
      </c>
      <c r="D123" s="24">
        <v>10.635300000000001</v>
      </c>
      <c r="E123" s="22"/>
      <c r="F123" s="19"/>
      <c r="G123" s="25"/>
      <c r="I123" s="168"/>
    </row>
    <row r="124" spans="1:14" ht="14.1" customHeight="1" x14ac:dyDescent="0.2">
      <c r="A124" s="22"/>
      <c r="B124" s="22"/>
      <c r="C124" s="22"/>
      <c r="D124" s="22"/>
      <c r="E124" s="22"/>
      <c r="F124" s="22"/>
      <c r="G124" s="22"/>
      <c r="I124" s="107"/>
    </row>
    <row r="125" spans="1:14" ht="17.100000000000001" customHeight="1" x14ac:dyDescent="0.2">
      <c r="A125" s="22"/>
      <c r="B125" s="274" t="s">
        <v>1060</v>
      </c>
      <c r="C125" s="275"/>
      <c r="D125" s="2" t="s">
        <v>160</v>
      </c>
      <c r="E125" s="22"/>
      <c r="F125" s="22"/>
      <c r="G125" s="22"/>
    </row>
    <row r="126" spans="1:14" ht="18" customHeight="1" x14ac:dyDescent="0.2">
      <c r="A126" s="22"/>
      <c r="B126" s="26" t="s">
        <v>170</v>
      </c>
      <c r="C126" s="26" t="s">
        <v>170</v>
      </c>
      <c r="D126" s="26"/>
      <c r="E126" s="22"/>
      <c r="F126" s="22"/>
      <c r="G126" s="22"/>
    </row>
    <row r="127" spans="1:14" ht="29.1" customHeight="1" x14ac:dyDescent="0.2">
      <c r="A127" s="22"/>
      <c r="B127" s="276" t="s">
        <v>171</v>
      </c>
      <c r="C127" s="277"/>
      <c r="D127" s="62" t="s">
        <v>1036</v>
      </c>
      <c r="E127" s="22"/>
      <c r="F127" s="22"/>
      <c r="G127" s="22"/>
    </row>
    <row r="128" spans="1:14" ht="29.1" customHeight="1" x14ac:dyDescent="0.2">
      <c r="A128" s="22"/>
      <c r="B128" s="276" t="s">
        <v>172</v>
      </c>
      <c r="C128" s="277"/>
      <c r="D128" s="2" t="s">
        <v>160</v>
      </c>
      <c r="E128" s="22"/>
      <c r="F128" s="22"/>
      <c r="G128" s="22"/>
    </row>
    <row r="129" spans="1:15" ht="17.100000000000001" customHeight="1" x14ac:dyDescent="0.2">
      <c r="A129" s="149"/>
      <c r="B129" s="302" t="s">
        <v>1044</v>
      </c>
      <c r="C129" s="303"/>
      <c r="D129" s="150">
        <v>7.6300799720580653E-2</v>
      </c>
      <c r="E129" s="149"/>
      <c r="F129" s="148"/>
      <c r="G129" s="151"/>
    </row>
    <row r="130" spans="1:15" ht="17.100000000000001" customHeight="1" x14ac:dyDescent="0.2">
      <c r="A130" s="149"/>
      <c r="B130" s="302" t="s">
        <v>1045</v>
      </c>
      <c r="C130" s="303"/>
      <c r="D130" s="150">
        <v>7.6300799720580653E-2</v>
      </c>
      <c r="E130" s="149"/>
      <c r="F130" s="149"/>
      <c r="G130" s="149"/>
    </row>
    <row r="131" spans="1:15" ht="17.100000000000001" customHeight="1" x14ac:dyDescent="0.2">
      <c r="A131" s="22"/>
      <c r="B131" s="276" t="s">
        <v>1046</v>
      </c>
      <c r="C131" s="277"/>
      <c r="D131" s="27">
        <v>10.51277289614954</v>
      </c>
      <c r="E131" s="22"/>
      <c r="F131" s="19"/>
      <c r="G131" s="25"/>
    </row>
    <row r="132" spans="1:15" ht="17.100000000000001" customHeight="1" x14ac:dyDescent="0.2">
      <c r="A132" s="22"/>
      <c r="B132" s="276" t="s">
        <v>1047</v>
      </c>
      <c r="C132" s="277"/>
      <c r="D132" s="2" t="s">
        <v>160</v>
      </c>
      <c r="E132" s="22"/>
      <c r="F132" s="22"/>
      <c r="G132" s="22"/>
    </row>
    <row r="134" spans="1:15" x14ac:dyDescent="0.2">
      <c r="B134" s="133" t="s">
        <v>1034</v>
      </c>
      <c r="C134" s="133"/>
      <c r="D134" s="133"/>
      <c r="E134" s="134"/>
      <c r="F134" s="135"/>
    </row>
    <row r="135" spans="1:15" ht="38.25" x14ac:dyDescent="0.2">
      <c r="B135" s="117" t="s">
        <v>1014</v>
      </c>
      <c r="C135" s="117" t="s">
        <v>1015</v>
      </c>
      <c r="D135" s="117" t="s">
        <v>1016</v>
      </c>
      <c r="E135" s="117" t="s">
        <v>1017</v>
      </c>
      <c r="F135" s="117" t="s">
        <v>1018</v>
      </c>
    </row>
    <row r="136" spans="1:15" s="115" customFormat="1" ht="25.5" x14ac:dyDescent="0.2">
      <c r="B136" s="118" t="s">
        <v>1019</v>
      </c>
      <c r="C136" s="119" t="s">
        <v>1020</v>
      </c>
      <c r="D136" s="120">
        <v>0</v>
      </c>
      <c r="E136" s="121">
        <v>0</v>
      </c>
      <c r="F136" s="122">
        <v>50</v>
      </c>
      <c r="I136"/>
      <c r="J136"/>
      <c r="K136"/>
      <c r="L136"/>
      <c r="M136"/>
      <c r="N136"/>
      <c r="O136"/>
    </row>
    <row r="140" spans="1:15" x14ac:dyDescent="0.2">
      <c r="J140" s="115"/>
      <c r="K140" s="115"/>
      <c r="L140" s="115"/>
      <c r="M140" s="115"/>
      <c r="N140" s="115"/>
    </row>
    <row r="148" spans="9:9" x14ac:dyDescent="0.2">
      <c r="I148" s="115"/>
    </row>
  </sheetData>
  <mergeCells count="18">
    <mergeCell ref="J2:N2"/>
    <mergeCell ref="B114:C114"/>
    <mergeCell ref="B111:F111"/>
    <mergeCell ref="B110:F110"/>
    <mergeCell ref="B112:F112"/>
    <mergeCell ref="A1:H1"/>
    <mergeCell ref="A2:H2"/>
    <mergeCell ref="A3:H3"/>
    <mergeCell ref="B131:C131"/>
    <mergeCell ref="B132:C132"/>
    <mergeCell ref="B115:C115"/>
    <mergeCell ref="B116:C116"/>
    <mergeCell ref="B117:C117"/>
    <mergeCell ref="B125:C125"/>
    <mergeCell ref="B127:C127"/>
    <mergeCell ref="B128:C128"/>
    <mergeCell ref="B129:C129"/>
    <mergeCell ref="B130:C130"/>
  </mergeCells>
  <hyperlinks>
    <hyperlink ref="I1" location="Index!B24" display="Index" xr:uid="{3EF5F72C-F86B-437E-B7CF-A8966B7E6C2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9C448-66D7-447F-AE08-868B9D448DC2}">
  <sheetPr>
    <outlinePr summaryBelow="0" summaryRight="0"/>
  </sheetPr>
  <dimension ref="A1:O21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c r="J1" s="107"/>
      <c r="K1" s="107"/>
      <c r="L1" s="107"/>
      <c r="M1" s="107"/>
      <c r="N1" s="107"/>
    </row>
    <row r="2" spans="1:14" ht="17.100000000000001" customHeight="1" x14ac:dyDescent="0.2">
      <c r="A2" s="283" t="s">
        <v>1072</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c r="J3" s="107"/>
      <c r="K3" s="107"/>
      <c r="L3" s="107"/>
      <c r="M3" s="107"/>
      <c r="N3" s="107"/>
    </row>
    <row r="4" spans="1:14" s="159" customFormat="1" ht="30" x14ac:dyDescent="0.2">
      <c r="A4" s="157" t="s">
        <v>2</v>
      </c>
      <c r="B4" s="157" t="s">
        <v>3</v>
      </c>
      <c r="C4" s="157" t="s">
        <v>4</v>
      </c>
      <c r="D4" s="157" t="s">
        <v>5</v>
      </c>
      <c r="E4" s="157" t="s">
        <v>6</v>
      </c>
      <c r="F4" s="157" t="s">
        <v>7</v>
      </c>
      <c r="G4" s="157" t="s">
        <v>8</v>
      </c>
      <c r="H4" s="155" t="s">
        <v>920</v>
      </c>
      <c r="J4" s="164"/>
      <c r="K4" s="164"/>
      <c r="L4" s="164"/>
      <c r="M4" s="164"/>
      <c r="N4" s="164"/>
    </row>
    <row r="5" spans="1:14" ht="14.1" customHeight="1" x14ac:dyDescent="0.2">
      <c r="A5" s="1"/>
      <c r="B5" s="1"/>
      <c r="C5" s="2" t="s">
        <v>9</v>
      </c>
      <c r="D5" s="1"/>
      <c r="E5" s="1"/>
      <c r="F5" s="1"/>
      <c r="G5" s="1"/>
      <c r="H5" s="106"/>
      <c r="J5" s="107"/>
      <c r="K5" s="107"/>
      <c r="L5" s="107"/>
      <c r="M5" s="107"/>
      <c r="N5" s="107"/>
    </row>
    <row r="6" spans="1:14" ht="24" customHeight="1" x14ac:dyDescent="0.2">
      <c r="A6" s="1"/>
      <c r="B6" s="1"/>
      <c r="C6" s="2" t="s">
        <v>10</v>
      </c>
      <c r="D6" s="1"/>
      <c r="E6" s="1"/>
      <c r="F6" s="1"/>
      <c r="G6" s="1"/>
      <c r="H6" s="106"/>
      <c r="J6" s="107"/>
      <c r="K6" s="107"/>
      <c r="L6" s="107"/>
      <c r="M6" s="107"/>
      <c r="N6" s="107"/>
    </row>
    <row r="7" spans="1:14" ht="17.100000000000001" customHeight="1" x14ac:dyDescent="0.2">
      <c r="A7" s="3">
        <v>1</v>
      </c>
      <c r="B7" s="4" t="s">
        <v>264</v>
      </c>
      <c r="C7" s="4" t="s">
        <v>265</v>
      </c>
      <c r="D7" s="4" t="s">
        <v>16</v>
      </c>
      <c r="E7" s="5">
        <v>787500</v>
      </c>
      <c r="F7" s="6">
        <v>11786.512500000001</v>
      </c>
      <c r="G7" s="7">
        <v>7.3880839000000004E-2</v>
      </c>
      <c r="H7" s="106"/>
      <c r="J7" s="107"/>
      <c r="K7" s="107"/>
      <c r="L7" s="107"/>
      <c r="M7" s="107"/>
      <c r="N7" s="107"/>
    </row>
    <row r="8" spans="1:14" ht="17.100000000000001" customHeight="1" x14ac:dyDescent="0.2">
      <c r="A8" s="3">
        <v>2</v>
      </c>
      <c r="B8" s="4" t="s">
        <v>14</v>
      </c>
      <c r="C8" s="4" t="s">
        <v>15</v>
      </c>
      <c r="D8" s="4" t="s">
        <v>16</v>
      </c>
      <c r="E8" s="5">
        <v>1137500</v>
      </c>
      <c r="F8" s="6">
        <v>10336.4625</v>
      </c>
      <c r="G8" s="7">
        <v>6.4791558999999999E-2</v>
      </c>
      <c r="H8" s="106"/>
      <c r="J8" s="107"/>
      <c r="K8" s="107"/>
      <c r="L8" s="107"/>
      <c r="M8" s="107"/>
      <c r="N8" s="107"/>
    </row>
    <row r="9" spans="1:14" ht="17.100000000000001" customHeight="1" x14ac:dyDescent="0.2">
      <c r="A9" s="3">
        <v>3</v>
      </c>
      <c r="B9" s="4" t="s">
        <v>296</v>
      </c>
      <c r="C9" s="4" t="s">
        <v>297</v>
      </c>
      <c r="D9" s="4" t="s">
        <v>1114</v>
      </c>
      <c r="E9" s="5">
        <v>549963</v>
      </c>
      <c r="F9" s="6">
        <v>8456.5060694999993</v>
      </c>
      <c r="G9" s="7">
        <v>5.3007516999999997E-2</v>
      </c>
      <c r="H9" s="106"/>
      <c r="J9" s="107"/>
      <c r="K9" s="107"/>
      <c r="L9" s="107"/>
      <c r="M9" s="107"/>
      <c r="N9" s="107"/>
    </row>
    <row r="10" spans="1:14" ht="17.100000000000001" customHeight="1" x14ac:dyDescent="0.2">
      <c r="A10" s="3">
        <v>4</v>
      </c>
      <c r="B10" s="4" t="s">
        <v>20</v>
      </c>
      <c r="C10" s="4" t="s">
        <v>21</v>
      </c>
      <c r="D10" s="4" t="s">
        <v>22</v>
      </c>
      <c r="E10" s="5">
        <v>315000</v>
      </c>
      <c r="F10" s="6">
        <v>8031.24</v>
      </c>
      <c r="G10" s="7">
        <v>5.0341841999999998E-2</v>
      </c>
      <c r="H10" s="106"/>
      <c r="J10" s="107"/>
      <c r="K10" s="107"/>
      <c r="L10" s="107"/>
      <c r="M10" s="107"/>
      <c r="N10" s="107"/>
    </row>
    <row r="11" spans="1:14" ht="29.1" customHeight="1" x14ac:dyDescent="0.2">
      <c r="A11" s="3">
        <v>5</v>
      </c>
      <c r="B11" s="4" t="s">
        <v>298</v>
      </c>
      <c r="C11" s="4" t="s">
        <v>299</v>
      </c>
      <c r="D11" s="4" t="s">
        <v>99</v>
      </c>
      <c r="E11" s="5">
        <v>215100</v>
      </c>
      <c r="F11" s="6">
        <v>5312.5397999999996</v>
      </c>
      <c r="G11" s="7">
        <v>3.3300341999999997E-2</v>
      </c>
      <c r="H11" s="106"/>
      <c r="J11" s="165"/>
      <c r="K11" s="165"/>
      <c r="L11" s="165"/>
      <c r="M11" s="165"/>
      <c r="N11" s="165"/>
    </row>
    <row r="12" spans="1:14" ht="17.100000000000001" customHeight="1" x14ac:dyDescent="0.2">
      <c r="A12" s="3">
        <v>6</v>
      </c>
      <c r="B12" s="4" t="s">
        <v>42</v>
      </c>
      <c r="C12" s="4" t="s">
        <v>43</v>
      </c>
      <c r="D12" s="4" t="s">
        <v>16</v>
      </c>
      <c r="E12" s="5">
        <v>746000</v>
      </c>
      <c r="F12" s="6">
        <v>4280.5479999999998</v>
      </c>
      <c r="G12" s="7">
        <v>2.6831555999999999E-2</v>
      </c>
      <c r="H12" s="106"/>
      <c r="J12" s="161" t="s">
        <v>1096</v>
      </c>
      <c r="K12" s="107"/>
      <c r="L12" s="107"/>
      <c r="M12" s="107"/>
      <c r="N12" s="107"/>
    </row>
    <row r="13" spans="1:14" ht="29.1" customHeight="1" x14ac:dyDescent="0.2">
      <c r="A13" s="3">
        <v>7</v>
      </c>
      <c r="B13" s="91" t="s">
        <v>987</v>
      </c>
      <c r="C13" s="91" t="s">
        <v>988</v>
      </c>
      <c r="D13" s="91" t="s">
        <v>96</v>
      </c>
      <c r="E13" s="103">
        <v>1200000</v>
      </c>
      <c r="F13" s="104">
        <v>4132.5600000000004</v>
      </c>
      <c r="G13" s="105">
        <v>2.5903929999999999E-2</v>
      </c>
      <c r="H13" s="106"/>
      <c r="J13" s="107"/>
      <c r="K13" s="107"/>
      <c r="L13" s="107"/>
      <c r="M13" s="107"/>
      <c r="N13" s="107"/>
    </row>
    <row r="14" spans="1:14" ht="17.100000000000001" customHeight="1" x14ac:dyDescent="0.2">
      <c r="A14" s="3">
        <v>8</v>
      </c>
      <c r="B14" s="4" t="s">
        <v>178</v>
      </c>
      <c r="C14" s="4" t="s">
        <v>179</v>
      </c>
      <c r="D14" s="4" t="s">
        <v>16</v>
      </c>
      <c r="E14" s="5">
        <v>399800</v>
      </c>
      <c r="F14" s="6">
        <v>3622.1880000000001</v>
      </c>
      <c r="G14" s="7">
        <v>2.2704789999999999E-2</v>
      </c>
      <c r="H14" s="106"/>
      <c r="J14" s="107"/>
      <c r="K14" s="107"/>
      <c r="L14" s="107"/>
      <c r="M14" s="107"/>
      <c r="N14" s="107"/>
    </row>
    <row r="15" spans="1:14" ht="17.100000000000001" customHeight="1" x14ac:dyDescent="0.2">
      <c r="A15" s="3">
        <v>9</v>
      </c>
      <c r="B15" s="4" t="s">
        <v>300</v>
      </c>
      <c r="C15" s="4" t="s">
        <v>301</v>
      </c>
      <c r="D15" s="4" t="s">
        <v>245</v>
      </c>
      <c r="E15" s="5">
        <v>212870</v>
      </c>
      <c r="F15" s="6">
        <v>2694.827765</v>
      </c>
      <c r="G15" s="7">
        <v>1.6891861000000001E-2</v>
      </c>
      <c r="H15" s="106"/>
      <c r="J15" s="107"/>
      <c r="K15" s="107"/>
      <c r="L15" s="107"/>
      <c r="M15" s="107"/>
      <c r="N15" s="107"/>
    </row>
    <row r="16" spans="1:14" ht="17.100000000000001" customHeight="1" x14ac:dyDescent="0.2">
      <c r="A16" s="3">
        <v>10</v>
      </c>
      <c r="B16" s="4" t="s">
        <v>194</v>
      </c>
      <c r="C16" s="4" t="s">
        <v>195</v>
      </c>
      <c r="D16" s="4" t="s">
        <v>16</v>
      </c>
      <c r="E16" s="5">
        <v>1800000</v>
      </c>
      <c r="F16" s="6">
        <v>2658.6</v>
      </c>
      <c r="G16" s="7">
        <v>1.6664776999999999E-2</v>
      </c>
      <c r="H16" s="106"/>
      <c r="J16" s="165"/>
      <c r="K16" s="165"/>
      <c r="L16" s="165"/>
      <c r="M16" s="165"/>
      <c r="N16" s="165"/>
    </row>
    <row r="17" spans="1:14" ht="17.100000000000001" customHeight="1" x14ac:dyDescent="0.2">
      <c r="A17" s="3">
        <v>11</v>
      </c>
      <c r="B17" s="4" t="s">
        <v>87</v>
      </c>
      <c r="C17" s="4" t="s">
        <v>88</v>
      </c>
      <c r="D17" s="4" t="s">
        <v>89</v>
      </c>
      <c r="E17" s="5">
        <v>95000</v>
      </c>
      <c r="F17" s="6">
        <v>2616.87</v>
      </c>
      <c r="G17" s="7">
        <v>1.6403201999999999E-2</v>
      </c>
      <c r="H17" s="106"/>
      <c r="J17" s="107"/>
      <c r="K17" s="107"/>
      <c r="L17" s="107"/>
      <c r="M17" s="107"/>
      <c r="N17" s="107"/>
    </row>
    <row r="18" spans="1:14" ht="17.100000000000001" customHeight="1" x14ac:dyDescent="0.2">
      <c r="A18" s="3">
        <v>12</v>
      </c>
      <c r="B18" s="4" t="s">
        <v>198</v>
      </c>
      <c r="C18" s="4" t="s">
        <v>199</v>
      </c>
      <c r="D18" s="4" t="s">
        <v>89</v>
      </c>
      <c r="E18" s="5">
        <v>95000</v>
      </c>
      <c r="F18" s="6">
        <v>2606.0875000000001</v>
      </c>
      <c r="G18" s="7">
        <v>1.6335615000000001E-2</v>
      </c>
      <c r="H18" s="106"/>
      <c r="J18" s="107"/>
      <c r="K18" s="107"/>
      <c r="L18" s="107"/>
      <c r="M18" s="107"/>
      <c r="N18" s="107"/>
    </row>
    <row r="19" spans="1:14" ht="17.100000000000001" customHeight="1" x14ac:dyDescent="0.2">
      <c r="A19" s="3">
        <v>13</v>
      </c>
      <c r="B19" s="4" t="s">
        <v>32</v>
      </c>
      <c r="C19" s="4" t="s">
        <v>33</v>
      </c>
      <c r="D19" s="4" t="s">
        <v>31</v>
      </c>
      <c r="E19" s="5">
        <v>120000</v>
      </c>
      <c r="F19" s="6">
        <v>2523.6</v>
      </c>
      <c r="G19" s="7">
        <v>1.5818562000000001E-2</v>
      </c>
      <c r="H19" s="106"/>
      <c r="J19" s="107"/>
      <c r="K19" s="107"/>
      <c r="L19" s="107"/>
      <c r="M19" s="107"/>
      <c r="N19" s="107"/>
    </row>
    <row r="20" spans="1:14" ht="17.100000000000001" customHeight="1" x14ac:dyDescent="0.2">
      <c r="A20" s="3">
        <v>14</v>
      </c>
      <c r="B20" s="4" t="s">
        <v>183</v>
      </c>
      <c r="C20" s="4" t="s">
        <v>184</v>
      </c>
      <c r="D20" s="4" t="s">
        <v>185</v>
      </c>
      <c r="E20" s="5">
        <v>235000</v>
      </c>
      <c r="F20" s="6">
        <v>2465.2674999999999</v>
      </c>
      <c r="G20" s="7">
        <v>1.545292E-2</v>
      </c>
      <c r="H20" s="106"/>
      <c r="J20" s="107"/>
      <c r="K20" s="107"/>
      <c r="L20" s="107"/>
      <c r="M20" s="107"/>
      <c r="N20" s="107"/>
    </row>
    <row r="21" spans="1:14" ht="17.100000000000001" customHeight="1" x14ac:dyDescent="0.2">
      <c r="A21" s="3">
        <v>15</v>
      </c>
      <c r="B21" s="4" t="s">
        <v>113</v>
      </c>
      <c r="C21" s="4" t="s">
        <v>114</v>
      </c>
      <c r="D21" s="4" t="s">
        <v>115</v>
      </c>
      <c r="E21" s="5">
        <v>593450</v>
      </c>
      <c r="F21" s="6">
        <v>2407.329925</v>
      </c>
      <c r="G21" s="7">
        <v>1.5089752E-2</v>
      </c>
      <c r="H21" s="106"/>
      <c r="J21" s="107"/>
      <c r="K21" s="107"/>
      <c r="L21" s="107"/>
      <c r="M21" s="107"/>
      <c r="N21" s="107"/>
    </row>
    <row r="22" spans="1:14" ht="17.100000000000001" customHeight="1" x14ac:dyDescent="0.2">
      <c r="A22" s="3">
        <v>16</v>
      </c>
      <c r="B22" s="4" t="s">
        <v>258</v>
      </c>
      <c r="C22" s="4" t="s">
        <v>259</v>
      </c>
      <c r="D22" s="4" t="s">
        <v>99</v>
      </c>
      <c r="E22" s="5">
        <v>140000</v>
      </c>
      <c r="F22" s="6">
        <v>2362.5</v>
      </c>
      <c r="G22" s="7">
        <v>1.4808747000000001E-2</v>
      </c>
      <c r="H22" s="106"/>
    </row>
    <row r="23" spans="1:14" ht="17.100000000000001" customHeight="1" x14ac:dyDescent="0.2">
      <c r="A23" s="3">
        <v>17</v>
      </c>
      <c r="B23" s="4" t="s">
        <v>17</v>
      </c>
      <c r="C23" s="4" t="s">
        <v>18</v>
      </c>
      <c r="D23" s="4" t="s">
        <v>19</v>
      </c>
      <c r="E23" s="5">
        <v>275205</v>
      </c>
      <c r="F23" s="6">
        <v>2289.7055999999998</v>
      </c>
      <c r="G23" s="7">
        <v>1.4352452999999999E-2</v>
      </c>
      <c r="H23" s="106"/>
    </row>
    <row r="24" spans="1:14" ht="17.100000000000001" customHeight="1" x14ac:dyDescent="0.2">
      <c r="A24" s="3">
        <v>18</v>
      </c>
      <c r="B24" s="4" t="s">
        <v>306</v>
      </c>
      <c r="C24" s="4" t="s">
        <v>307</v>
      </c>
      <c r="D24" s="4" t="s">
        <v>1114</v>
      </c>
      <c r="E24" s="5">
        <v>68060</v>
      </c>
      <c r="F24" s="6">
        <v>2173.2578899999999</v>
      </c>
      <c r="G24" s="7">
        <v>1.3622530000000001E-2</v>
      </c>
      <c r="H24" s="106"/>
      <c r="J24" s="107"/>
      <c r="K24" s="107"/>
      <c r="L24" s="107"/>
      <c r="M24" s="107"/>
      <c r="N24" s="107"/>
    </row>
    <row r="25" spans="1:14" ht="17.100000000000001" customHeight="1" x14ac:dyDescent="0.2">
      <c r="A25" s="3">
        <v>19</v>
      </c>
      <c r="B25" s="4" t="s">
        <v>11</v>
      </c>
      <c r="C25" s="4" t="s">
        <v>12</v>
      </c>
      <c r="D25" s="4" t="s">
        <v>13</v>
      </c>
      <c r="E25" s="5">
        <v>106900</v>
      </c>
      <c r="F25" s="6">
        <v>2162.6939000000002</v>
      </c>
      <c r="G25" s="7">
        <v>1.3556311999999999E-2</v>
      </c>
      <c r="H25" s="106"/>
      <c r="J25" s="107"/>
      <c r="K25" s="107"/>
      <c r="L25" s="107"/>
      <c r="M25" s="107"/>
      <c r="N25" s="107"/>
    </row>
    <row r="26" spans="1:14" ht="29.1" customHeight="1" x14ac:dyDescent="0.2">
      <c r="A26" s="3">
        <v>20</v>
      </c>
      <c r="B26" s="4" t="s">
        <v>83</v>
      </c>
      <c r="C26" s="4" t="s">
        <v>84</v>
      </c>
      <c r="D26" s="4" t="s">
        <v>25</v>
      </c>
      <c r="E26" s="5">
        <v>376500</v>
      </c>
      <c r="F26" s="6">
        <v>2006.55675</v>
      </c>
      <c r="G26" s="7">
        <v>1.2577605E-2</v>
      </c>
      <c r="H26" s="106"/>
      <c r="J26" s="107"/>
      <c r="K26" s="107"/>
      <c r="L26" s="107"/>
      <c r="M26" s="107"/>
      <c r="N26" s="107"/>
    </row>
    <row r="27" spans="1:14" ht="24.75" customHeight="1" x14ac:dyDescent="0.2">
      <c r="A27" s="3">
        <v>21</v>
      </c>
      <c r="B27" s="91" t="s">
        <v>983</v>
      </c>
      <c r="C27" s="91" t="s">
        <v>984</v>
      </c>
      <c r="D27" s="91" t="s">
        <v>28</v>
      </c>
      <c r="E27" s="103">
        <v>1440000</v>
      </c>
      <c r="F27" s="104">
        <v>1989.2160000000001</v>
      </c>
      <c r="G27" s="105">
        <v>1.246891E-2</v>
      </c>
      <c r="H27" s="106"/>
      <c r="J27" s="107"/>
      <c r="K27" s="107"/>
      <c r="L27" s="107"/>
      <c r="M27" s="107"/>
      <c r="N27" s="107"/>
    </row>
    <row r="28" spans="1:14" ht="17.100000000000001" customHeight="1" x14ac:dyDescent="0.2">
      <c r="A28" s="3">
        <v>22</v>
      </c>
      <c r="B28" s="4" t="s">
        <v>605</v>
      </c>
      <c r="C28" s="4" t="s">
        <v>606</v>
      </c>
      <c r="D28" s="4" t="s">
        <v>185</v>
      </c>
      <c r="E28" s="5">
        <v>215000</v>
      </c>
      <c r="F28" s="6">
        <v>1927.1524999999999</v>
      </c>
      <c r="G28" s="7">
        <v>1.2079879E-2</v>
      </c>
      <c r="H28" s="106"/>
      <c r="J28" s="107"/>
      <c r="K28" s="107"/>
      <c r="L28" s="107"/>
      <c r="M28" s="107"/>
      <c r="N28" s="107"/>
    </row>
    <row r="29" spans="1:14" ht="17.100000000000001" customHeight="1" x14ac:dyDescent="0.2">
      <c r="A29" s="3">
        <v>23</v>
      </c>
      <c r="B29" s="4" t="s">
        <v>581</v>
      </c>
      <c r="C29" s="4" t="s">
        <v>582</v>
      </c>
      <c r="D29" s="4" t="s">
        <v>70</v>
      </c>
      <c r="E29" s="5">
        <v>46000</v>
      </c>
      <c r="F29" s="6">
        <v>1771.2070000000001</v>
      </c>
      <c r="G29" s="7">
        <v>1.1102373E-2</v>
      </c>
      <c r="H29" s="106"/>
      <c r="J29" s="107"/>
      <c r="K29" s="107"/>
      <c r="L29" s="107"/>
      <c r="M29" s="107"/>
      <c r="N29" s="107"/>
    </row>
    <row r="30" spans="1:14" ht="29.1" customHeight="1" x14ac:dyDescent="0.2">
      <c r="A30" s="3">
        <v>24</v>
      </c>
      <c r="B30" s="4" t="s">
        <v>491</v>
      </c>
      <c r="C30" s="4" t="s">
        <v>492</v>
      </c>
      <c r="D30" s="4" t="s">
        <v>204</v>
      </c>
      <c r="E30" s="5">
        <v>150000</v>
      </c>
      <c r="F30" s="6">
        <v>1751.1</v>
      </c>
      <c r="G30" s="7">
        <v>1.0976336999999999E-2</v>
      </c>
      <c r="H30" s="106"/>
      <c r="J30" s="107"/>
      <c r="K30" s="107"/>
      <c r="L30" s="107"/>
      <c r="M30" s="107"/>
      <c r="N30" s="107"/>
    </row>
    <row r="31" spans="1:14" ht="29.1" customHeight="1" x14ac:dyDescent="0.2">
      <c r="A31" s="3">
        <v>25</v>
      </c>
      <c r="B31" s="4" t="s">
        <v>302</v>
      </c>
      <c r="C31" s="4" t="s">
        <v>303</v>
      </c>
      <c r="D31" s="4" t="s">
        <v>204</v>
      </c>
      <c r="E31" s="5">
        <v>169100</v>
      </c>
      <c r="F31" s="6">
        <v>1719.5779</v>
      </c>
      <c r="G31" s="7">
        <v>1.0778749000000001E-2</v>
      </c>
      <c r="H31" s="106"/>
      <c r="J31" s="107"/>
      <c r="K31" s="107"/>
      <c r="L31" s="107"/>
      <c r="M31" s="107"/>
      <c r="N31" s="107"/>
    </row>
    <row r="32" spans="1:14" ht="17.100000000000001" customHeight="1" x14ac:dyDescent="0.2">
      <c r="A32" s="3">
        <v>26</v>
      </c>
      <c r="B32" s="4" t="s">
        <v>308</v>
      </c>
      <c r="C32" s="4" t="s">
        <v>309</v>
      </c>
      <c r="D32" s="4" t="s">
        <v>310</v>
      </c>
      <c r="E32" s="5">
        <v>60600</v>
      </c>
      <c r="F32" s="6">
        <v>1545.7242000000001</v>
      </c>
      <c r="G32" s="7">
        <v>9.6889899999999998E-3</v>
      </c>
      <c r="H32" s="106"/>
      <c r="J32" s="107"/>
      <c r="K32" s="107"/>
      <c r="L32" s="107"/>
      <c r="M32" s="107"/>
      <c r="N32" s="107"/>
    </row>
    <row r="33" spans="1:14" ht="17.100000000000001" customHeight="1" x14ac:dyDescent="0.2">
      <c r="A33" s="3">
        <v>27</v>
      </c>
      <c r="B33" s="4" t="s">
        <v>68</v>
      </c>
      <c r="C33" s="4" t="s">
        <v>69</v>
      </c>
      <c r="D33" s="4" t="s">
        <v>70</v>
      </c>
      <c r="E33" s="5">
        <v>16000</v>
      </c>
      <c r="F33" s="6">
        <v>1524.4159999999999</v>
      </c>
      <c r="G33" s="7">
        <v>9.5554249999999993E-3</v>
      </c>
      <c r="H33" s="106"/>
      <c r="J33" s="107"/>
      <c r="K33" s="107"/>
      <c r="L33" s="107"/>
      <c r="M33" s="107"/>
      <c r="N33" s="107"/>
    </row>
    <row r="34" spans="1:14" ht="29.1" customHeight="1" x14ac:dyDescent="0.2">
      <c r="A34" s="3">
        <v>28</v>
      </c>
      <c r="B34" s="4" t="s">
        <v>60</v>
      </c>
      <c r="C34" s="4" t="s">
        <v>61</v>
      </c>
      <c r="D34" s="4" t="s">
        <v>62</v>
      </c>
      <c r="E34" s="5">
        <v>181250</v>
      </c>
      <c r="F34" s="6">
        <v>1492.684375</v>
      </c>
      <c r="G34" s="7">
        <v>9.3565230000000003E-3</v>
      </c>
      <c r="H34" s="106"/>
      <c r="J34" s="107"/>
      <c r="K34" s="107"/>
      <c r="L34" s="107"/>
      <c r="M34" s="107"/>
      <c r="N34" s="107"/>
    </row>
    <row r="35" spans="1:14" ht="29.1" customHeight="1" x14ac:dyDescent="0.2">
      <c r="A35" s="3">
        <v>29</v>
      </c>
      <c r="B35" s="4" t="s">
        <v>23</v>
      </c>
      <c r="C35" s="4" t="s">
        <v>24</v>
      </c>
      <c r="D35" s="4" t="s">
        <v>25</v>
      </c>
      <c r="E35" s="5">
        <v>18100</v>
      </c>
      <c r="F35" s="6">
        <v>1215.4059500000001</v>
      </c>
      <c r="G35" s="7">
        <v>7.6184720000000003E-3</v>
      </c>
      <c r="H35" s="106"/>
    </row>
    <row r="36" spans="1:14" ht="17.100000000000001" customHeight="1" x14ac:dyDescent="0.2">
      <c r="A36" s="3">
        <v>30</v>
      </c>
      <c r="B36" s="4" t="s">
        <v>315</v>
      </c>
      <c r="C36" s="4" t="s">
        <v>316</v>
      </c>
      <c r="D36" s="4" t="s">
        <v>310</v>
      </c>
      <c r="E36" s="5">
        <v>345400</v>
      </c>
      <c r="F36" s="6">
        <v>1204.4097999999999</v>
      </c>
      <c r="G36" s="7">
        <v>7.5495450000000004E-3</v>
      </c>
      <c r="H36" s="106"/>
    </row>
    <row r="37" spans="1:14" ht="17.100000000000001" customHeight="1" x14ac:dyDescent="0.2">
      <c r="A37" s="3">
        <v>31</v>
      </c>
      <c r="B37" s="4" t="s">
        <v>191</v>
      </c>
      <c r="C37" s="4" t="s">
        <v>192</v>
      </c>
      <c r="D37" s="4" t="s">
        <v>193</v>
      </c>
      <c r="E37" s="5">
        <v>2400</v>
      </c>
      <c r="F37" s="6">
        <v>1194.4476</v>
      </c>
      <c r="G37" s="7">
        <v>7.4870989999999997E-3</v>
      </c>
      <c r="H37" s="106"/>
    </row>
    <row r="38" spans="1:14" ht="17.100000000000001" customHeight="1" x14ac:dyDescent="0.2">
      <c r="A38" s="3">
        <v>32</v>
      </c>
      <c r="B38" s="4" t="s">
        <v>331</v>
      </c>
      <c r="C38" s="4" t="s">
        <v>332</v>
      </c>
      <c r="D38" s="4" t="s">
        <v>1114</v>
      </c>
      <c r="E38" s="5">
        <v>110450</v>
      </c>
      <c r="F38" s="6">
        <v>1174.5253</v>
      </c>
      <c r="G38" s="7">
        <v>7.3622210000000004E-3</v>
      </c>
      <c r="H38" s="106"/>
    </row>
    <row r="39" spans="1:14" ht="17.100000000000001" customHeight="1" x14ac:dyDescent="0.2">
      <c r="A39" s="3">
        <v>33</v>
      </c>
      <c r="B39" s="4" t="s">
        <v>215</v>
      </c>
      <c r="C39" s="4" t="s">
        <v>216</v>
      </c>
      <c r="D39" s="4" t="s">
        <v>185</v>
      </c>
      <c r="E39" s="5">
        <v>70000</v>
      </c>
      <c r="F39" s="6">
        <v>1156.9949999999999</v>
      </c>
      <c r="G39" s="7">
        <v>7.2523370000000002E-3</v>
      </c>
      <c r="H39" s="106"/>
    </row>
    <row r="40" spans="1:14" ht="29.1" customHeight="1" x14ac:dyDescent="0.2">
      <c r="A40" s="3">
        <v>34</v>
      </c>
      <c r="B40" s="4" t="s">
        <v>224</v>
      </c>
      <c r="C40" s="4" t="s">
        <v>225</v>
      </c>
      <c r="D40" s="4" t="s">
        <v>209</v>
      </c>
      <c r="E40" s="5">
        <v>120000</v>
      </c>
      <c r="F40" s="6">
        <v>1154.82</v>
      </c>
      <c r="G40" s="7">
        <v>7.2387040000000003E-3</v>
      </c>
      <c r="H40" s="106"/>
    </row>
    <row r="41" spans="1:14" ht="17.100000000000001" customHeight="1" x14ac:dyDescent="0.2">
      <c r="A41" s="3">
        <v>35</v>
      </c>
      <c r="B41" s="4" t="s">
        <v>727</v>
      </c>
      <c r="C41" s="4" t="s">
        <v>728</v>
      </c>
      <c r="D41" s="4" t="s">
        <v>283</v>
      </c>
      <c r="E41" s="5">
        <v>135000</v>
      </c>
      <c r="F41" s="6">
        <v>1119.5550000000001</v>
      </c>
      <c r="G41" s="7">
        <v>7.0176539999999999E-3</v>
      </c>
      <c r="H41" s="106"/>
    </row>
    <row r="42" spans="1:14" ht="29.1" customHeight="1" x14ac:dyDescent="0.2">
      <c r="A42" s="3">
        <v>36</v>
      </c>
      <c r="B42" s="4" t="s">
        <v>189</v>
      </c>
      <c r="C42" s="4" t="s">
        <v>190</v>
      </c>
      <c r="D42" s="4" t="s">
        <v>110</v>
      </c>
      <c r="E42" s="5">
        <v>287123</v>
      </c>
      <c r="F42" s="6">
        <v>1040.246629</v>
      </c>
      <c r="G42" s="7">
        <v>6.5205289999999997E-3</v>
      </c>
      <c r="H42" s="106"/>
    </row>
    <row r="43" spans="1:14" ht="17.100000000000001" customHeight="1" x14ac:dyDescent="0.2">
      <c r="A43" s="3">
        <v>37</v>
      </c>
      <c r="B43" s="4" t="s">
        <v>226</v>
      </c>
      <c r="C43" s="4" t="s">
        <v>227</v>
      </c>
      <c r="D43" s="4" t="s">
        <v>110</v>
      </c>
      <c r="E43" s="5">
        <v>1000000</v>
      </c>
      <c r="F43" s="6">
        <v>1025</v>
      </c>
      <c r="G43" s="7">
        <v>6.4249590000000001E-3</v>
      </c>
      <c r="H43" s="106"/>
    </row>
    <row r="44" spans="1:14" ht="29.1" customHeight="1" x14ac:dyDescent="0.2">
      <c r="A44" s="3">
        <v>38</v>
      </c>
      <c r="B44" s="4" t="s">
        <v>196</v>
      </c>
      <c r="C44" s="4" t="s">
        <v>197</v>
      </c>
      <c r="D44" s="4" t="s">
        <v>188</v>
      </c>
      <c r="E44" s="5">
        <v>22500</v>
      </c>
      <c r="F44" s="6">
        <v>1024.14375</v>
      </c>
      <c r="G44" s="7">
        <v>6.419592E-3</v>
      </c>
      <c r="H44" s="106"/>
    </row>
    <row r="45" spans="1:14" ht="17.100000000000001" customHeight="1" x14ac:dyDescent="0.2">
      <c r="A45" s="3">
        <v>39</v>
      </c>
      <c r="B45" s="4" t="s">
        <v>562</v>
      </c>
      <c r="C45" s="4" t="s">
        <v>563</v>
      </c>
      <c r="D45" s="4" t="s">
        <v>110</v>
      </c>
      <c r="E45" s="5">
        <v>30600</v>
      </c>
      <c r="F45" s="6">
        <v>950.95619999999997</v>
      </c>
      <c r="G45" s="7">
        <v>5.9608339999999999E-3</v>
      </c>
      <c r="H45" s="106"/>
    </row>
    <row r="46" spans="1:14" ht="17.100000000000001" customHeight="1" x14ac:dyDescent="0.2">
      <c r="A46" s="3">
        <v>40</v>
      </c>
      <c r="B46" s="4" t="s">
        <v>335</v>
      </c>
      <c r="C46" s="4" t="s">
        <v>336</v>
      </c>
      <c r="D46" s="4" t="s">
        <v>16</v>
      </c>
      <c r="E46" s="5">
        <v>48500</v>
      </c>
      <c r="F46" s="6">
        <v>922.44574999999998</v>
      </c>
      <c r="G46" s="7">
        <v>5.7821230000000001E-3</v>
      </c>
      <c r="H46" s="106"/>
    </row>
    <row r="47" spans="1:14" ht="17.100000000000001" customHeight="1" x14ac:dyDescent="0.2">
      <c r="A47" s="3">
        <v>41</v>
      </c>
      <c r="B47" s="4" t="s">
        <v>235</v>
      </c>
      <c r="C47" s="4" t="s">
        <v>236</v>
      </c>
      <c r="D47" s="4" t="s">
        <v>237</v>
      </c>
      <c r="E47" s="5">
        <v>200000</v>
      </c>
      <c r="F47" s="6">
        <v>919.7</v>
      </c>
      <c r="G47" s="7">
        <v>5.7649119999999996E-3</v>
      </c>
      <c r="H47" s="106"/>
    </row>
    <row r="48" spans="1:14" ht="17.100000000000001" customHeight="1" x14ac:dyDescent="0.2">
      <c r="A48" s="3">
        <v>42</v>
      </c>
      <c r="B48" s="4" t="s">
        <v>311</v>
      </c>
      <c r="C48" s="4" t="s">
        <v>312</v>
      </c>
      <c r="D48" s="4" t="s">
        <v>70</v>
      </c>
      <c r="E48" s="5">
        <v>67300</v>
      </c>
      <c r="F48" s="6">
        <v>907.6078</v>
      </c>
      <c r="G48" s="7">
        <v>5.6891149999999998E-3</v>
      </c>
      <c r="H48" s="106"/>
    </row>
    <row r="49" spans="1:8" ht="17.100000000000001" customHeight="1" x14ac:dyDescent="0.2">
      <c r="A49" s="3">
        <v>43</v>
      </c>
      <c r="B49" s="4" t="s">
        <v>205</v>
      </c>
      <c r="C49" s="4" t="s">
        <v>206</v>
      </c>
      <c r="D49" s="4" t="s">
        <v>99</v>
      </c>
      <c r="E49" s="5">
        <v>72400</v>
      </c>
      <c r="F49" s="6">
        <v>889.90459999999996</v>
      </c>
      <c r="G49" s="7">
        <v>5.5781470000000003E-3</v>
      </c>
      <c r="H49" s="106"/>
    </row>
    <row r="50" spans="1:8" ht="29.1" customHeight="1" x14ac:dyDescent="0.2">
      <c r="A50" s="3">
        <v>44</v>
      </c>
      <c r="B50" s="4" t="s">
        <v>329</v>
      </c>
      <c r="C50" s="4" t="s">
        <v>330</v>
      </c>
      <c r="D50" s="4" t="s">
        <v>188</v>
      </c>
      <c r="E50" s="5">
        <v>230000</v>
      </c>
      <c r="F50" s="6">
        <v>862.96</v>
      </c>
      <c r="G50" s="7">
        <v>5.4092510000000003E-3</v>
      </c>
      <c r="H50" s="106"/>
    </row>
    <row r="51" spans="1:8" ht="17.100000000000001" customHeight="1" x14ac:dyDescent="0.2">
      <c r="A51" s="3">
        <v>45</v>
      </c>
      <c r="B51" s="4" t="s">
        <v>246</v>
      </c>
      <c r="C51" s="4" t="s">
        <v>247</v>
      </c>
      <c r="D51" s="4" t="s">
        <v>99</v>
      </c>
      <c r="E51" s="5">
        <v>137000</v>
      </c>
      <c r="F51" s="6">
        <v>860.70249999999999</v>
      </c>
      <c r="G51" s="7">
        <v>5.3951010000000002E-3</v>
      </c>
      <c r="H51" s="106"/>
    </row>
    <row r="52" spans="1:8" ht="17.100000000000001" customHeight="1" x14ac:dyDescent="0.2">
      <c r="A52" s="3">
        <v>46</v>
      </c>
      <c r="B52" s="4" t="s">
        <v>262</v>
      </c>
      <c r="C52" s="4" t="s">
        <v>263</v>
      </c>
      <c r="D52" s="4" t="s">
        <v>110</v>
      </c>
      <c r="E52" s="5">
        <v>95000</v>
      </c>
      <c r="F52" s="6">
        <v>823.27</v>
      </c>
      <c r="G52" s="7">
        <v>5.160464E-3</v>
      </c>
      <c r="H52" s="106"/>
    </row>
    <row r="53" spans="1:8" ht="29.1" customHeight="1" x14ac:dyDescent="0.2">
      <c r="A53" s="3">
        <v>47</v>
      </c>
      <c r="B53" s="4" t="s">
        <v>252</v>
      </c>
      <c r="C53" s="4" t="s">
        <v>253</v>
      </c>
      <c r="D53" s="4" t="s">
        <v>204</v>
      </c>
      <c r="E53" s="5">
        <v>42500</v>
      </c>
      <c r="F53" s="6">
        <v>758.34875</v>
      </c>
      <c r="G53" s="7">
        <v>4.7535219999999996E-3</v>
      </c>
      <c r="H53" s="106"/>
    </row>
    <row r="54" spans="1:8" ht="17.100000000000001" customHeight="1" x14ac:dyDescent="0.2">
      <c r="A54" s="3">
        <v>48</v>
      </c>
      <c r="B54" s="4" t="s">
        <v>337</v>
      </c>
      <c r="C54" s="4" t="s">
        <v>338</v>
      </c>
      <c r="D54" s="4" t="s">
        <v>96</v>
      </c>
      <c r="E54" s="5">
        <v>989100</v>
      </c>
      <c r="F54" s="6">
        <v>736.87950000000001</v>
      </c>
      <c r="G54" s="7">
        <v>4.618947E-3</v>
      </c>
      <c r="H54" s="106"/>
    </row>
    <row r="55" spans="1:8" ht="17.100000000000001" customHeight="1" x14ac:dyDescent="0.2">
      <c r="A55" s="3">
        <v>49</v>
      </c>
      <c r="B55" s="4" t="s">
        <v>616</v>
      </c>
      <c r="C55" s="4" t="s">
        <v>617</v>
      </c>
      <c r="D55" s="4" t="s">
        <v>245</v>
      </c>
      <c r="E55" s="5">
        <v>128700</v>
      </c>
      <c r="F55" s="6">
        <v>695.55915000000005</v>
      </c>
      <c r="G55" s="7">
        <v>4.359941E-3</v>
      </c>
      <c r="H55" s="106"/>
    </row>
    <row r="56" spans="1:8" ht="29.1" customHeight="1" x14ac:dyDescent="0.2">
      <c r="A56" s="3">
        <v>50</v>
      </c>
      <c r="B56" s="4" t="s">
        <v>364</v>
      </c>
      <c r="C56" s="4" t="s">
        <v>365</v>
      </c>
      <c r="D56" s="4" t="s">
        <v>366</v>
      </c>
      <c r="E56" s="5">
        <v>86000</v>
      </c>
      <c r="F56" s="6">
        <v>662.32899999999995</v>
      </c>
      <c r="G56" s="7">
        <v>4.1516460000000002E-3</v>
      </c>
      <c r="H56" s="106"/>
    </row>
    <row r="57" spans="1:8" ht="17.100000000000001" customHeight="1" x14ac:dyDescent="0.2">
      <c r="A57" s="3">
        <v>51</v>
      </c>
      <c r="B57" s="4" t="s">
        <v>250</v>
      </c>
      <c r="C57" s="4" t="s">
        <v>251</v>
      </c>
      <c r="D57" s="4" t="s">
        <v>99</v>
      </c>
      <c r="E57" s="5">
        <v>150000</v>
      </c>
      <c r="F57" s="6">
        <v>607.95000000000005</v>
      </c>
      <c r="G57" s="7">
        <v>3.8107839999999998E-3</v>
      </c>
      <c r="H57" s="106"/>
    </row>
    <row r="58" spans="1:8" ht="17.100000000000001" customHeight="1" x14ac:dyDescent="0.2">
      <c r="A58" s="3">
        <v>52</v>
      </c>
      <c r="B58" s="4" t="s">
        <v>266</v>
      </c>
      <c r="C58" s="4" t="s">
        <v>267</v>
      </c>
      <c r="D58" s="4" t="s">
        <v>268</v>
      </c>
      <c r="E58" s="5">
        <v>63000</v>
      </c>
      <c r="F58" s="6">
        <v>603.31949999999995</v>
      </c>
      <c r="G58" s="7">
        <v>3.781759E-3</v>
      </c>
      <c r="H58" s="106"/>
    </row>
    <row r="59" spans="1:8" ht="29.1" customHeight="1" x14ac:dyDescent="0.2">
      <c r="A59" s="3">
        <v>53</v>
      </c>
      <c r="B59" s="4" t="s">
        <v>207</v>
      </c>
      <c r="C59" s="4" t="s">
        <v>208</v>
      </c>
      <c r="D59" s="4" t="s">
        <v>209</v>
      </c>
      <c r="E59" s="5">
        <v>18000</v>
      </c>
      <c r="F59" s="6">
        <v>583.55100000000004</v>
      </c>
      <c r="G59" s="7">
        <v>3.6578449999999998E-3</v>
      </c>
      <c r="H59" s="106"/>
    </row>
    <row r="60" spans="1:8" ht="17.100000000000001" customHeight="1" x14ac:dyDescent="0.2">
      <c r="A60" s="3">
        <v>54</v>
      </c>
      <c r="B60" s="4" t="s">
        <v>275</v>
      </c>
      <c r="C60" s="4" t="s">
        <v>276</v>
      </c>
      <c r="D60" s="4" t="s">
        <v>99</v>
      </c>
      <c r="E60" s="5">
        <v>25000</v>
      </c>
      <c r="F60" s="6">
        <v>456.1</v>
      </c>
      <c r="G60" s="7">
        <v>2.8589499999999999E-3</v>
      </c>
      <c r="H60" s="106"/>
    </row>
    <row r="61" spans="1:8" ht="17.100000000000001" customHeight="1" x14ac:dyDescent="0.2">
      <c r="A61" s="3">
        <v>55</v>
      </c>
      <c r="B61" s="4" t="s">
        <v>841</v>
      </c>
      <c r="C61" s="4" t="s">
        <v>842</v>
      </c>
      <c r="D61" s="4" t="s">
        <v>99</v>
      </c>
      <c r="E61" s="5">
        <v>296000</v>
      </c>
      <c r="F61" s="6">
        <v>382.87599999999998</v>
      </c>
      <c r="G61" s="7">
        <v>2.3999640000000001E-3</v>
      </c>
      <c r="H61" s="106"/>
    </row>
    <row r="62" spans="1:8" ht="53.1" customHeight="1" x14ac:dyDescent="0.2">
      <c r="A62" s="3">
        <v>56</v>
      </c>
      <c r="B62" s="4" t="s">
        <v>46</v>
      </c>
      <c r="C62" s="4" t="s">
        <v>47</v>
      </c>
      <c r="D62" s="4" t="s">
        <v>48</v>
      </c>
      <c r="E62" s="5">
        <v>247500</v>
      </c>
      <c r="F62" s="6">
        <v>379.41750000000002</v>
      </c>
      <c r="G62" s="7">
        <v>2.3782849999999999E-3</v>
      </c>
      <c r="H62" s="106"/>
    </row>
    <row r="63" spans="1:8" ht="17.100000000000001" customHeight="1" x14ac:dyDescent="0.2">
      <c r="A63" s="3">
        <v>57</v>
      </c>
      <c r="B63" s="4" t="s">
        <v>238</v>
      </c>
      <c r="C63" s="4" t="s">
        <v>239</v>
      </c>
      <c r="D63" s="4" t="s">
        <v>240</v>
      </c>
      <c r="E63" s="5">
        <v>144000</v>
      </c>
      <c r="F63" s="6">
        <v>377.928</v>
      </c>
      <c r="G63" s="7">
        <v>2.3689480000000001E-3</v>
      </c>
      <c r="H63" s="106"/>
    </row>
    <row r="64" spans="1:8" ht="53.1" customHeight="1" x14ac:dyDescent="0.2">
      <c r="A64" s="3">
        <v>58</v>
      </c>
      <c r="B64" s="4" t="s">
        <v>90</v>
      </c>
      <c r="C64" s="4" t="s">
        <v>91</v>
      </c>
      <c r="D64" s="4" t="s">
        <v>48</v>
      </c>
      <c r="E64" s="5">
        <v>20670</v>
      </c>
      <c r="F64" s="6">
        <v>325.77987000000002</v>
      </c>
      <c r="G64" s="7">
        <v>2.0420709999999999E-3</v>
      </c>
      <c r="H64" s="106"/>
    </row>
    <row r="65" spans="1:8" ht="17.100000000000001" customHeight="1" x14ac:dyDescent="0.2">
      <c r="A65" s="3">
        <v>59</v>
      </c>
      <c r="B65" s="4" t="s">
        <v>358</v>
      </c>
      <c r="C65" s="4" t="s">
        <v>359</v>
      </c>
      <c r="D65" s="4" t="s">
        <v>70</v>
      </c>
      <c r="E65" s="5">
        <v>57000</v>
      </c>
      <c r="F65" s="6">
        <v>235.26750000000001</v>
      </c>
      <c r="G65" s="7">
        <v>1.474716E-3</v>
      </c>
      <c r="H65" s="106"/>
    </row>
    <row r="66" spans="1:8" ht="17.100000000000001" customHeight="1" x14ac:dyDescent="0.2">
      <c r="A66" s="3">
        <v>60</v>
      </c>
      <c r="B66" s="4" t="s">
        <v>217</v>
      </c>
      <c r="C66" s="4" t="s">
        <v>218</v>
      </c>
      <c r="D66" s="4" t="s">
        <v>219</v>
      </c>
      <c r="E66" s="5">
        <v>50000</v>
      </c>
      <c r="F66" s="6">
        <v>113.075</v>
      </c>
      <c r="G66" s="7">
        <v>7.0878300000000005E-4</v>
      </c>
      <c r="H66" s="106"/>
    </row>
    <row r="67" spans="1:8" ht="17.100000000000001" customHeight="1" x14ac:dyDescent="0.2">
      <c r="A67" s="3">
        <v>61</v>
      </c>
      <c r="B67" s="4" t="s">
        <v>52</v>
      </c>
      <c r="C67" s="4" t="s">
        <v>53</v>
      </c>
      <c r="D67" s="4" t="s">
        <v>28</v>
      </c>
      <c r="E67" s="5">
        <v>47250</v>
      </c>
      <c r="F67" s="6">
        <v>106.785</v>
      </c>
      <c r="G67" s="7">
        <v>6.6935499999999995E-4</v>
      </c>
      <c r="H67" s="106"/>
    </row>
    <row r="68" spans="1:8" ht="17.100000000000001" customHeight="1" x14ac:dyDescent="0.2">
      <c r="A68" s="3">
        <v>62</v>
      </c>
      <c r="B68" s="4" t="s">
        <v>611</v>
      </c>
      <c r="C68" s="4" t="s">
        <v>612</v>
      </c>
      <c r="D68" s="4" t="s">
        <v>613</v>
      </c>
      <c r="E68" s="5">
        <v>34100</v>
      </c>
      <c r="F68" s="6">
        <v>95.752799999999993</v>
      </c>
      <c r="G68" s="7">
        <v>6.00203E-4</v>
      </c>
      <c r="H68" s="106"/>
    </row>
    <row r="69" spans="1:8" ht="17.100000000000001" customHeight="1" x14ac:dyDescent="0.2">
      <c r="A69" s="3">
        <v>63</v>
      </c>
      <c r="B69" s="4" t="s">
        <v>348</v>
      </c>
      <c r="C69" s="4" t="s">
        <v>349</v>
      </c>
      <c r="D69" s="4" t="s">
        <v>99</v>
      </c>
      <c r="E69" s="5">
        <v>875</v>
      </c>
      <c r="F69" s="6">
        <v>62.510874999999999</v>
      </c>
      <c r="G69" s="7">
        <v>3.9183399999999998E-4</v>
      </c>
      <c r="H69" s="106"/>
    </row>
    <row r="70" spans="1:8" ht="17.100000000000001" customHeight="1" x14ac:dyDescent="0.2">
      <c r="A70" s="3">
        <v>64</v>
      </c>
      <c r="B70" s="4" t="s">
        <v>125</v>
      </c>
      <c r="C70" s="4" t="s">
        <v>126</v>
      </c>
      <c r="D70" s="4"/>
      <c r="E70" s="5">
        <v>20670</v>
      </c>
      <c r="F70" s="6">
        <v>62.371724999999998</v>
      </c>
      <c r="G70" s="7">
        <v>3.9096200000000002E-4</v>
      </c>
      <c r="H70" s="106"/>
    </row>
    <row r="71" spans="1:8" ht="17.100000000000001" customHeight="1" x14ac:dyDescent="0.2">
      <c r="A71" s="3">
        <v>65</v>
      </c>
      <c r="B71" s="4" t="s">
        <v>279</v>
      </c>
      <c r="C71" s="4" t="s">
        <v>280</v>
      </c>
      <c r="D71" s="4" t="s">
        <v>22</v>
      </c>
      <c r="E71" s="5">
        <v>21600</v>
      </c>
      <c r="F71" s="6">
        <v>46.191600000000001</v>
      </c>
      <c r="G71" s="7">
        <v>2.8954099999999998E-4</v>
      </c>
      <c r="H71" s="106"/>
    </row>
    <row r="72" spans="1:8" ht="17.100000000000001" customHeight="1" x14ac:dyDescent="0.2">
      <c r="A72" s="3">
        <v>66</v>
      </c>
      <c r="B72" s="4" t="s">
        <v>661</v>
      </c>
      <c r="C72" s="4" t="s">
        <v>662</v>
      </c>
      <c r="D72" s="4" t="s">
        <v>96</v>
      </c>
      <c r="E72" s="5">
        <v>11550</v>
      </c>
      <c r="F72" s="6">
        <v>44.52525</v>
      </c>
      <c r="G72" s="7">
        <v>2.79096E-4</v>
      </c>
      <c r="H72" s="106"/>
    </row>
    <row r="73" spans="1:8" ht="17.100000000000001" customHeight="1" x14ac:dyDescent="0.2">
      <c r="A73" s="3">
        <v>67</v>
      </c>
      <c r="B73" s="4" t="s">
        <v>176</v>
      </c>
      <c r="C73" s="4" t="s">
        <v>177</v>
      </c>
      <c r="D73" s="4" t="s">
        <v>16</v>
      </c>
      <c r="E73" s="5">
        <v>10000</v>
      </c>
      <c r="F73" s="6">
        <v>13.15</v>
      </c>
      <c r="G73" s="7">
        <v>8.2428000000000004E-5</v>
      </c>
      <c r="H73" s="106"/>
    </row>
    <row r="74" spans="1:8" ht="14.1" customHeight="1" x14ac:dyDescent="0.2">
      <c r="A74" s="1"/>
      <c r="B74" s="1"/>
      <c r="C74" s="2" t="s">
        <v>130</v>
      </c>
      <c r="D74" s="1"/>
      <c r="E74" s="1" t="s">
        <v>131</v>
      </c>
      <c r="F74" s="9">
        <v>124443.69557350001</v>
      </c>
      <c r="G74" s="10">
        <v>0.78004453600000001</v>
      </c>
      <c r="H74" s="106"/>
    </row>
    <row r="75" spans="1:8" ht="14.1" customHeight="1" x14ac:dyDescent="0.2">
      <c r="A75" s="1"/>
      <c r="B75" s="1"/>
      <c r="C75" s="11"/>
      <c r="D75" s="1"/>
      <c r="E75" s="1"/>
      <c r="F75" s="12"/>
      <c r="G75" s="12"/>
      <c r="H75" s="106"/>
    </row>
    <row r="76" spans="1:8" ht="14.1" customHeight="1" x14ac:dyDescent="0.2">
      <c r="A76" s="1"/>
      <c r="B76" s="1"/>
      <c r="C76" s="2" t="s">
        <v>132</v>
      </c>
      <c r="D76" s="1"/>
      <c r="E76" s="1"/>
      <c r="F76" s="1"/>
      <c r="G76" s="1"/>
      <c r="H76" s="106"/>
    </row>
    <row r="77" spans="1:8" ht="14.1" customHeight="1" x14ac:dyDescent="0.2">
      <c r="A77" s="1"/>
      <c r="B77" s="1"/>
      <c r="C77" s="2" t="s">
        <v>130</v>
      </c>
      <c r="D77" s="1"/>
      <c r="E77" s="1" t="s">
        <v>131</v>
      </c>
      <c r="F77" s="13">
        <v>0</v>
      </c>
      <c r="G77" s="14">
        <v>0</v>
      </c>
      <c r="H77" s="106"/>
    </row>
    <row r="78" spans="1:8" ht="14.1" customHeight="1" x14ac:dyDescent="0.2">
      <c r="A78" s="1"/>
      <c r="B78" s="1"/>
      <c r="C78" s="11"/>
      <c r="D78" s="1"/>
      <c r="E78" s="1"/>
      <c r="F78" s="12"/>
      <c r="G78" s="12"/>
      <c r="H78" s="106"/>
    </row>
    <row r="79" spans="1:8" ht="14.1" customHeight="1" x14ac:dyDescent="0.2">
      <c r="A79" s="1"/>
      <c r="B79" s="1"/>
      <c r="C79" s="2" t="s">
        <v>133</v>
      </c>
      <c r="D79" s="1"/>
      <c r="E79" s="1"/>
      <c r="F79" s="1"/>
      <c r="G79" s="1"/>
      <c r="H79" s="106"/>
    </row>
    <row r="80" spans="1:8" ht="14.1" customHeight="1" x14ac:dyDescent="0.2">
      <c r="A80" s="1"/>
      <c r="B80" s="1"/>
      <c r="C80" s="2" t="s">
        <v>130</v>
      </c>
      <c r="D80" s="1"/>
      <c r="E80" s="1" t="s">
        <v>131</v>
      </c>
      <c r="F80" s="13">
        <v>0</v>
      </c>
      <c r="G80" s="14">
        <v>0</v>
      </c>
      <c r="H80" s="106"/>
    </row>
    <row r="81" spans="1:8" ht="14.1" customHeight="1" x14ac:dyDescent="0.2">
      <c r="A81" s="1"/>
      <c r="B81" s="1"/>
      <c r="C81" s="11"/>
      <c r="D81" s="1"/>
      <c r="E81" s="1"/>
      <c r="F81" s="12"/>
      <c r="G81" s="12"/>
      <c r="H81" s="106"/>
    </row>
    <row r="82" spans="1:8" ht="14.1" customHeight="1" x14ac:dyDescent="0.2">
      <c r="A82" s="1"/>
      <c r="B82" s="1"/>
      <c r="C82" s="2" t="s">
        <v>134</v>
      </c>
      <c r="D82" s="1"/>
      <c r="E82" s="1"/>
      <c r="F82" s="1"/>
      <c r="G82" s="1"/>
      <c r="H82" s="106"/>
    </row>
    <row r="83" spans="1:8" ht="14.1" customHeight="1" x14ac:dyDescent="0.2">
      <c r="A83" s="1"/>
      <c r="B83" s="1"/>
      <c r="C83" s="2" t="s">
        <v>130</v>
      </c>
      <c r="D83" s="1"/>
      <c r="E83" s="1" t="s">
        <v>131</v>
      </c>
      <c r="F83" s="13">
        <v>0</v>
      </c>
      <c r="G83" s="14">
        <v>0</v>
      </c>
      <c r="H83" s="106"/>
    </row>
    <row r="84" spans="1:8" ht="14.1" customHeight="1" x14ac:dyDescent="0.2">
      <c r="A84" s="1"/>
      <c r="B84" s="1"/>
      <c r="C84" s="11"/>
      <c r="D84" s="1"/>
      <c r="E84" s="1"/>
      <c r="F84" s="12"/>
      <c r="G84" s="12"/>
      <c r="H84" s="106"/>
    </row>
    <row r="85" spans="1:8" ht="14.1" customHeight="1" x14ac:dyDescent="0.2">
      <c r="A85" s="1"/>
      <c r="B85" s="1"/>
      <c r="C85" s="2" t="s">
        <v>135</v>
      </c>
      <c r="D85" s="1"/>
      <c r="E85" s="1"/>
      <c r="F85" s="12"/>
      <c r="G85" s="12"/>
      <c r="H85" s="106"/>
    </row>
    <row r="86" spans="1:8" ht="14.1" customHeight="1" x14ac:dyDescent="0.2">
      <c r="A86" s="1"/>
      <c r="B86" s="1"/>
      <c r="C86" s="2" t="s">
        <v>130</v>
      </c>
      <c r="D86" s="1"/>
      <c r="E86" s="1" t="s">
        <v>131</v>
      </c>
      <c r="F86" s="13">
        <v>0</v>
      </c>
      <c r="G86" s="14">
        <v>0</v>
      </c>
      <c r="H86" s="106"/>
    </row>
    <row r="87" spans="1:8" ht="14.1" customHeight="1" x14ac:dyDescent="0.2">
      <c r="A87" s="1"/>
      <c r="B87" s="1"/>
      <c r="C87" s="11"/>
      <c r="D87" s="1"/>
      <c r="E87" s="1"/>
      <c r="F87" s="12"/>
      <c r="G87" s="12"/>
      <c r="H87" s="106"/>
    </row>
    <row r="88" spans="1:8" ht="14.1" customHeight="1" x14ac:dyDescent="0.2">
      <c r="A88" s="1"/>
      <c r="B88" s="1"/>
      <c r="C88" s="2" t="s">
        <v>136</v>
      </c>
      <c r="D88" s="1"/>
      <c r="E88" s="1"/>
      <c r="F88" s="12"/>
      <c r="G88" s="12"/>
      <c r="H88" s="106"/>
    </row>
    <row r="89" spans="1:8" x14ac:dyDescent="0.2">
      <c r="A89" s="3">
        <v>1</v>
      </c>
      <c r="B89" s="4"/>
      <c r="C89" s="4" t="s">
        <v>955</v>
      </c>
      <c r="D89" s="4" t="s">
        <v>570</v>
      </c>
      <c r="E89" s="5">
        <v>-6000</v>
      </c>
      <c r="F89" s="6">
        <v>-34.584000000000003</v>
      </c>
      <c r="G89" s="7">
        <v>-2.1678100000000001E-4</v>
      </c>
      <c r="H89" s="106"/>
    </row>
    <row r="90" spans="1:8" x14ac:dyDescent="0.2">
      <c r="A90" s="3">
        <v>2</v>
      </c>
      <c r="B90" s="4"/>
      <c r="C90" s="4" t="s">
        <v>956</v>
      </c>
      <c r="D90" s="4" t="s">
        <v>570</v>
      </c>
      <c r="E90" s="5">
        <v>-11550</v>
      </c>
      <c r="F90" s="6">
        <v>-44.80245</v>
      </c>
      <c r="G90" s="7">
        <v>-2.8083300000000003E-4</v>
      </c>
      <c r="H90" s="106"/>
    </row>
    <row r="91" spans="1:8" ht="25.5" x14ac:dyDescent="0.2">
      <c r="A91" s="3">
        <v>3</v>
      </c>
      <c r="B91" s="4"/>
      <c r="C91" s="4" t="s">
        <v>957</v>
      </c>
      <c r="D91" s="4" t="s">
        <v>570</v>
      </c>
      <c r="E91" s="5">
        <v>-21600</v>
      </c>
      <c r="F91" s="6">
        <v>-46.386000000000003</v>
      </c>
      <c r="G91" s="7">
        <v>-2.9075900000000003E-4</v>
      </c>
      <c r="H91" s="106"/>
    </row>
    <row r="92" spans="1:8" x14ac:dyDescent="0.2">
      <c r="A92" s="3">
        <v>4</v>
      </c>
      <c r="B92" s="4"/>
      <c r="C92" s="4" t="s">
        <v>952</v>
      </c>
      <c r="D92" s="4" t="s">
        <v>570</v>
      </c>
      <c r="E92" s="5">
        <v>-875</v>
      </c>
      <c r="F92" s="6">
        <v>-62.857374999999998</v>
      </c>
      <c r="G92" s="7">
        <v>-3.9400600000000002E-4</v>
      </c>
      <c r="H92" s="106"/>
    </row>
    <row r="93" spans="1:8" ht="25.5" x14ac:dyDescent="0.2">
      <c r="A93" s="3">
        <v>5</v>
      </c>
      <c r="B93" s="4"/>
      <c r="C93" s="4" t="s">
        <v>958</v>
      </c>
      <c r="D93" s="4" t="s">
        <v>570</v>
      </c>
      <c r="E93" s="5">
        <v>-5600</v>
      </c>
      <c r="F93" s="6">
        <v>-75.790400000000005</v>
      </c>
      <c r="G93" s="7">
        <v>-4.7507300000000001E-4</v>
      </c>
      <c r="H93" s="106"/>
    </row>
    <row r="94" spans="1:8" x14ac:dyDescent="0.2">
      <c r="A94" s="3">
        <v>6</v>
      </c>
      <c r="B94" s="4"/>
      <c r="C94" s="4" t="s">
        <v>959</v>
      </c>
      <c r="D94" s="4" t="s">
        <v>570</v>
      </c>
      <c r="E94" s="5">
        <v>-8400</v>
      </c>
      <c r="F94" s="6">
        <v>-88.641000000000005</v>
      </c>
      <c r="G94" s="7">
        <v>-5.5562400000000001E-4</v>
      </c>
      <c r="H94" s="106"/>
    </row>
    <row r="95" spans="1:8" x14ac:dyDescent="0.2">
      <c r="A95" s="3">
        <v>7</v>
      </c>
      <c r="B95" s="4"/>
      <c r="C95" s="4" t="s">
        <v>960</v>
      </c>
      <c r="D95" s="4" t="s">
        <v>570</v>
      </c>
      <c r="E95" s="5">
        <v>-34100</v>
      </c>
      <c r="F95" s="6">
        <v>-96.332499999999996</v>
      </c>
      <c r="G95" s="7">
        <v>-6.0383599999999996E-4</v>
      </c>
      <c r="H95" s="106"/>
    </row>
    <row r="96" spans="1:8" ht="25.5" x14ac:dyDescent="0.2">
      <c r="A96" s="3">
        <v>8</v>
      </c>
      <c r="B96" s="4"/>
      <c r="C96" s="4" t="s">
        <v>961</v>
      </c>
      <c r="D96" s="4" t="s">
        <v>570</v>
      </c>
      <c r="E96" s="5">
        <v>-47250</v>
      </c>
      <c r="F96" s="6">
        <v>-107.163</v>
      </c>
      <c r="G96" s="7">
        <v>-6.7172499999999997E-4</v>
      </c>
      <c r="H96" s="106"/>
    </row>
    <row r="97" spans="1:8" ht="25.5" x14ac:dyDescent="0.2">
      <c r="A97" s="3">
        <v>9</v>
      </c>
      <c r="B97" s="4"/>
      <c r="C97" s="4" t="s">
        <v>962</v>
      </c>
      <c r="D97" s="4" t="s">
        <v>570</v>
      </c>
      <c r="E97" s="5">
        <v>-31250</v>
      </c>
      <c r="F97" s="6">
        <v>-144.109375</v>
      </c>
      <c r="G97" s="7">
        <v>-9.03314E-4</v>
      </c>
      <c r="H97" s="106"/>
    </row>
    <row r="98" spans="1:8" ht="25.5" x14ac:dyDescent="0.2">
      <c r="A98" s="3">
        <v>10</v>
      </c>
      <c r="B98" s="4"/>
      <c r="C98" s="4" t="s">
        <v>944</v>
      </c>
      <c r="D98" s="4" t="s">
        <v>570</v>
      </c>
      <c r="E98" s="5">
        <v>-21000</v>
      </c>
      <c r="F98" s="6">
        <v>-214.72499999999999</v>
      </c>
      <c r="G98" s="7">
        <v>-1.345951E-3</v>
      </c>
      <c r="H98" s="106"/>
    </row>
    <row r="99" spans="1:8" x14ac:dyDescent="0.2">
      <c r="A99" s="3">
        <v>11</v>
      </c>
      <c r="B99" s="4"/>
      <c r="C99" s="4" t="s">
        <v>963</v>
      </c>
      <c r="D99" s="4" t="s">
        <v>570</v>
      </c>
      <c r="E99" s="5">
        <v>-57000</v>
      </c>
      <c r="F99" s="6">
        <v>-236.4075</v>
      </c>
      <c r="G99" s="7">
        <v>-1.481862E-3</v>
      </c>
      <c r="H99" s="106"/>
    </row>
    <row r="100" spans="1:8" x14ac:dyDescent="0.2">
      <c r="A100" s="3">
        <v>12</v>
      </c>
      <c r="B100" s="4"/>
      <c r="C100" s="4" t="s">
        <v>950</v>
      </c>
      <c r="D100" s="4" t="s">
        <v>570</v>
      </c>
      <c r="E100" s="5">
        <v>-34800</v>
      </c>
      <c r="F100" s="6">
        <v>-316.41899999999998</v>
      </c>
      <c r="G100" s="7">
        <v>-1.9833939999999999E-3</v>
      </c>
      <c r="H100" s="106"/>
    </row>
    <row r="101" spans="1:8" ht="25.5" x14ac:dyDescent="0.2">
      <c r="A101" s="3">
        <v>13</v>
      </c>
      <c r="B101" s="4"/>
      <c r="C101" s="4" t="s">
        <v>953</v>
      </c>
      <c r="D101" s="4" t="s">
        <v>570</v>
      </c>
      <c r="E101" s="5">
        <v>-144000</v>
      </c>
      <c r="F101" s="6">
        <v>-380.16</v>
      </c>
      <c r="G101" s="7">
        <v>-2.3829390000000002E-3</v>
      </c>
      <c r="H101" s="106"/>
    </row>
    <row r="102" spans="1:8" ht="25.5" x14ac:dyDescent="0.2">
      <c r="A102" s="3">
        <v>14</v>
      </c>
      <c r="B102" s="4"/>
      <c r="C102" s="4" t="s">
        <v>964</v>
      </c>
      <c r="D102" s="4" t="s">
        <v>570</v>
      </c>
      <c r="E102" s="5">
        <v>-296000</v>
      </c>
      <c r="F102" s="6">
        <v>-385.24400000000003</v>
      </c>
      <c r="G102" s="7">
        <v>-2.4148070000000002E-3</v>
      </c>
      <c r="H102" s="106"/>
    </row>
    <row r="103" spans="1:8" ht="25.5" x14ac:dyDescent="0.2">
      <c r="A103" s="3">
        <v>15</v>
      </c>
      <c r="B103" s="4"/>
      <c r="C103" s="4" t="s">
        <v>965</v>
      </c>
      <c r="D103" s="4" t="s">
        <v>570</v>
      </c>
      <c r="E103" s="5">
        <v>-17100</v>
      </c>
      <c r="F103" s="6">
        <v>-435.6909</v>
      </c>
      <c r="G103" s="7">
        <v>-2.7310210000000001E-3</v>
      </c>
      <c r="H103" s="106"/>
    </row>
    <row r="104" spans="1:8" ht="25.5" x14ac:dyDescent="0.2">
      <c r="A104" s="3">
        <v>16</v>
      </c>
      <c r="B104" s="4"/>
      <c r="C104" s="4" t="s">
        <v>966</v>
      </c>
      <c r="D104" s="4" t="s">
        <v>570</v>
      </c>
      <c r="E104" s="5">
        <v>-7100</v>
      </c>
      <c r="F104" s="6">
        <v>-478.30214999999998</v>
      </c>
      <c r="G104" s="7">
        <v>-2.998119E-3</v>
      </c>
      <c r="H104" s="106"/>
    </row>
    <row r="105" spans="1:8" ht="25.5" x14ac:dyDescent="0.2">
      <c r="A105" s="3">
        <v>17</v>
      </c>
      <c r="B105" s="4"/>
      <c r="C105" s="4" t="s">
        <v>967</v>
      </c>
      <c r="D105" s="4" t="s">
        <v>570</v>
      </c>
      <c r="E105" s="5">
        <v>-150000</v>
      </c>
      <c r="F105" s="6">
        <v>-609.6</v>
      </c>
      <c r="G105" s="7">
        <v>-3.8211270000000001E-3</v>
      </c>
      <c r="H105" s="106"/>
    </row>
    <row r="106" spans="1:8" ht="25.5" x14ac:dyDescent="0.2">
      <c r="A106" s="3">
        <v>18</v>
      </c>
      <c r="B106" s="4"/>
      <c r="C106" s="4" t="s">
        <v>968</v>
      </c>
      <c r="D106" s="4" t="s">
        <v>570</v>
      </c>
      <c r="E106" s="5">
        <v>-128700</v>
      </c>
      <c r="F106" s="6">
        <v>-698.32619999999997</v>
      </c>
      <c r="G106" s="7">
        <v>-4.3772849999999999E-3</v>
      </c>
      <c r="H106" s="106"/>
    </row>
    <row r="107" spans="1:8" x14ac:dyDescent="0.2">
      <c r="A107" s="3">
        <v>19</v>
      </c>
      <c r="B107" s="4"/>
      <c r="C107" s="4" t="s">
        <v>969</v>
      </c>
      <c r="D107" s="4" t="s">
        <v>570</v>
      </c>
      <c r="E107" s="5">
        <v>-100000</v>
      </c>
      <c r="F107" s="6">
        <v>-900.4</v>
      </c>
      <c r="G107" s="7">
        <v>-5.6439350000000001E-3</v>
      </c>
      <c r="H107" s="106"/>
    </row>
    <row r="108" spans="1:8" x14ac:dyDescent="0.2">
      <c r="A108" s="3">
        <v>20</v>
      </c>
      <c r="B108" s="4"/>
      <c r="C108" s="4" t="s">
        <v>946</v>
      </c>
      <c r="D108" s="4" t="s">
        <v>570</v>
      </c>
      <c r="E108" s="5">
        <v>-30600</v>
      </c>
      <c r="F108" s="6">
        <v>-954.41399999999999</v>
      </c>
      <c r="G108" s="7">
        <v>-5.9825080000000001E-3</v>
      </c>
      <c r="H108" s="106"/>
    </row>
    <row r="109" spans="1:8" ht="25.5" x14ac:dyDescent="0.2">
      <c r="A109" s="3">
        <v>21</v>
      </c>
      <c r="B109" s="4"/>
      <c r="C109" s="4" t="s">
        <v>970</v>
      </c>
      <c r="D109" s="4" t="s">
        <v>570</v>
      </c>
      <c r="E109" s="5">
        <v>-22500</v>
      </c>
      <c r="F109" s="6">
        <v>-1025.6400000000001</v>
      </c>
      <c r="G109" s="7">
        <v>-6.4289710000000003E-3</v>
      </c>
      <c r="H109" s="106"/>
    </row>
    <row r="110" spans="1:8" ht="25.5" x14ac:dyDescent="0.2">
      <c r="A110" s="3">
        <v>22</v>
      </c>
      <c r="B110" s="4"/>
      <c r="C110" s="4" t="s">
        <v>951</v>
      </c>
      <c r="D110" s="4" t="s">
        <v>570</v>
      </c>
      <c r="E110" s="5">
        <v>-150000</v>
      </c>
      <c r="F110" s="6">
        <v>-1241.0999999999999</v>
      </c>
      <c r="G110" s="7">
        <v>-7.779528E-3</v>
      </c>
      <c r="H110" s="106"/>
    </row>
    <row r="111" spans="1:8" x14ac:dyDescent="0.2">
      <c r="A111" s="3">
        <v>23</v>
      </c>
      <c r="B111" s="4"/>
      <c r="C111" s="4" t="s">
        <v>947</v>
      </c>
      <c r="D111" s="4" t="s">
        <v>570</v>
      </c>
      <c r="E111" s="5">
        <v>-137500</v>
      </c>
      <c r="F111" s="6">
        <v>-1256.26875</v>
      </c>
      <c r="G111" s="7">
        <v>-7.8746100000000006E-3</v>
      </c>
      <c r="H111" s="106"/>
    </row>
    <row r="112" spans="1:8" ht="25.5" x14ac:dyDescent="0.2">
      <c r="A112" s="3">
        <v>24</v>
      </c>
      <c r="B112" s="4"/>
      <c r="C112" s="4" t="s">
        <v>971</v>
      </c>
      <c r="D112" s="4" t="s">
        <v>570</v>
      </c>
      <c r="E112" s="5">
        <v>-393450</v>
      </c>
      <c r="F112" s="6">
        <v>-1599.3742500000001</v>
      </c>
      <c r="G112" s="7">
        <v>-1.0025282E-2</v>
      </c>
      <c r="H112" s="106"/>
    </row>
    <row r="113" spans="1:8" ht="25.5" x14ac:dyDescent="0.2">
      <c r="A113" s="3">
        <v>25</v>
      </c>
      <c r="B113" s="4"/>
      <c r="C113" s="4" t="s">
        <v>972</v>
      </c>
      <c r="D113" s="4" t="s">
        <v>570</v>
      </c>
      <c r="E113" s="5">
        <v>-65100</v>
      </c>
      <c r="F113" s="6">
        <v>-1613.9917499999999</v>
      </c>
      <c r="G113" s="7">
        <v>-1.0116908000000001E-2</v>
      </c>
      <c r="H113" s="106"/>
    </row>
    <row r="114" spans="1:8" x14ac:dyDescent="0.2">
      <c r="A114" s="3">
        <v>26</v>
      </c>
      <c r="B114" s="4"/>
      <c r="C114" s="4" t="s">
        <v>973</v>
      </c>
      <c r="D114" s="4" t="s">
        <v>570</v>
      </c>
      <c r="E114" s="5">
        <v>-213600</v>
      </c>
      <c r="F114" s="6">
        <v>-3300.2267999999999</v>
      </c>
      <c r="G114" s="7">
        <v>-2.0686655000000002E-2</v>
      </c>
      <c r="H114" s="106"/>
    </row>
    <row r="115" spans="1:8" x14ac:dyDescent="0.2">
      <c r="A115" s="3">
        <v>27</v>
      </c>
      <c r="B115" s="4"/>
      <c r="C115" s="4" t="s">
        <v>954</v>
      </c>
      <c r="D115" s="4" t="s">
        <v>570</v>
      </c>
      <c r="E115" s="5">
        <v>-237600</v>
      </c>
      <c r="F115" s="6">
        <v>-3571.7220000000002</v>
      </c>
      <c r="G115" s="7">
        <v>-2.2388456000000001E-2</v>
      </c>
      <c r="H115" s="106"/>
    </row>
    <row r="116" spans="1:8" x14ac:dyDescent="0.2">
      <c r="A116" s="3">
        <v>28</v>
      </c>
      <c r="B116" s="4"/>
      <c r="C116" s="4" t="s">
        <v>974</v>
      </c>
      <c r="D116" s="4" t="s">
        <v>843</v>
      </c>
      <c r="E116" s="5">
        <v>-47500</v>
      </c>
      <c r="F116" s="6">
        <v>-8574.2487500000007</v>
      </c>
      <c r="G116" s="7">
        <v>-5.3745557999999999E-2</v>
      </c>
      <c r="H116" s="106"/>
    </row>
    <row r="117" spans="1:8" ht="14.1" customHeight="1" x14ac:dyDescent="0.2">
      <c r="A117" s="1"/>
      <c r="B117" s="1"/>
      <c r="C117" s="2" t="s">
        <v>130</v>
      </c>
      <c r="D117" s="1"/>
      <c r="E117" s="1" t="s">
        <v>131</v>
      </c>
      <c r="F117" s="9">
        <v>-28492.92715</v>
      </c>
      <c r="G117" s="10">
        <v>-0.178600867</v>
      </c>
      <c r="H117" s="106"/>
    </row>
    <row r="118" spans="1:8" ht="14.1" customHeight="1" x14ac:dyDescent="0.2">
      <c r="A118" s="1"/>
      <c r="B118" s="1"/>
      <c r="C118" s="11"/>
      <c r="D118" s="1"/>
      <c r="E118" s="1"/>
      <c r="F118" s="12"/>
      <c r="G118" s="12"/>
      <c r="H118" s="106"/>
    </row>
    <row r="119" spans="1:8" ht="18" customHeight="1" x14ac:dyDescent="0.2">
      <c r="A119" s="1"/>
      <c r="B119" s="1"/>
      <c r="C119" s="2" t="s">
        <v>137</v>
      </c>
      <c r="D119" s="1"/>
      <c r="E119" s="1"/>
      <c r="F119" s="9">
        <v>124443.69557350001</v>
      </c>
      <c r="G119" s="10">
        <v>0.78004453600000001</v>
      </c>
      <c r="H119" s="106"/>
    </row>
    <row r="120" spans="1:8" ht="14.1" customHeight="1" x14ac:dyDescent="0.2">
      <c r="A120" s="1"/>
      <c r="B120" s="1"/>
      <c r="C120" s="11"/>
      <c r="D120" s="1"/>
      <c r="E120" s="1"/>
      <c r="F120" s="12"/>
      <c r="G120" s="12"/>
      <c r="H120" s="106"/>
    </row>
    <row r="121" spans="1:8" ht="14.1" customHeight="1" x14ac:dyDescent="0.2">
      <c r="A121" s="1"/>
      <c r="B121" s="1"/>
      <c r="C121" s="2" t="s">
        <v>138</v>
      </c>
      <c r="D121" s="1"/>
      <c r="E121" s="1"/>
      <c r="F121" s="12"/>
      <c r="G121" s="12"/>
      <c r="H121" s="106"/>
    </row>
    <row r="122" spans="1:8" ht="24" customHeight="1" x14ac:dyDescent="0.2">
      <c r="A122" s="1"/>
      <c r="B122" s="1"/>
      <c r="C122" s="2" t="s">
        <v>10</v>
      </c>
      <c r="D122" s="1"/>
      <c r="E122" s="1"/>
      <c r="F122" s="12"/>
      <c r="G122" s="12"/>
      <c r="H122" s="106"/>
    </row>
    <row r="123" spans="1:8" ht="29.1" customHeight="1" x14ac:dyDescent="0.2">
      <c r="A123" s="3">
        <v>1</v>
      </c>
      <c r="B123" s="4" t="s">
        <v>844</v>
      </c>
      <c r="C123" s="4" t="s">
        <v>845</v>
      </c>
      <c r="D123" s="4" t="s">
        <v>600</v>
      </c>
      <c r="E123" s="5">
        <v>250</v>
      </c>
      <c r="F123" s="6">
        <v>2439.1125000000002</v>
      </c>
      <c r="G123" s="7">
        <v>1.5288973000000001E-2</v>
      </c>
      <c r="H123" s="106">
        <v>7.46</v>
      </c>
    </row>
    <row r="124" spans="1:8" ht="29.1" customHeight="1" x14ac:dyDescent="0.2">
      <c r="A124" s="3">
        <v>2</v>
      </c>
      <c r="B124" s="4" t="s">
        <v>629</v>
      </c>
      <c r="C124" s="4" t="s">
        <v>630</v>
      </c>
      <c r="D124" s="4" t="s">
        <v>631</v>
      </c>
      <c r="E124" s="5">
        <v>150</v>
      </c>
      <c r="F124" s="6">
        <v>1487.4870000000001</v>
      </c>
      <c r="G124" s="7">
        <v>9.3239440000000007E-3</v>
      </c>
      <c r="H124" s="106">
        <v>7.46</v>
      </c>
    </row>
    <row r="125" spans="1:8" ht="29.1" customHeight="1" x14ac:dyDescent="0.2">
      <c r="A125" s="3">
        <v>3</v>
      </c>
      <c r="B125" s="4" t="s">
        <v>846</v>
      </c>
      <c r="C125" s="4" t="s">
        <v>847</v>
      </c>
      <c r="D125" s="4" t="s">
        <v>600</v>
      </c>
      <c r="E125" s="5">
        <v>100</v>
      </c>
      <c r="F125" s="6">
        <v>1000.247</v>
      </c>
      <c r="G125" s="7">
        <v>6.2698010000000002E-3</v>
      </c>
      <c r="H125" s="106">
        <v>6.69</v>
      </c>
    </row>
    <row r="126" spans="1:8" ht="29.1" customHeight="1" x14ac:dyDescent="0.2">
      <c r="A126" s="3">
        <v>4</v>
      </c>
      <c r="B126" s="4" t="s">
        <v>848</v>
      </c>
      <c r="C126" s="4" t="s">
        <v>849</v>
      </c>
      <c r="D126" s="4" t="s">
        <v>600</v>
      </c>
      <c r="E126" s="5">
        <v>100</v>
      </c>
      <c r="F126" s="6">
        <v>998.26300000000003</v>
      </c>
      <c r="G126" s="7">
        <v>6.257365E-3</v>
      </c>
      <c r="H126" s="106">
        <v>7.25</v>
      </c>
    </row>
    <row r="127" spans="1:8" ht="17.100000000000001" customHeight="1" x14ac:dyDescent="0.2">
      <c r="A127" s="3">
        <v>5</v>
      </c>
      <c r="B127" s="4" t="s">
        <v>850</v>
      </c>
      <c r="C127" s="4" t="s">
        <v>851</v>
      </c>
      <c r="D127" s="4" t="s">
        <v>600</v>
      </c>
      <c r="E127" s="5">
        <v>100</v>
      </c>
      <c r="F127" s="6">
        <v>996.58600000000001</v>
      </c>
      <c r="G127" s="7">
        <v>6.2468530000000001E-3</v>
      </c>
      <c r="H127" s="106">
        <v>7.3449999999999998</v>
      </c>
    </row>
    <row r="128" spans="1:8" ht="29.1" customHeight="1" x14ac:dyDescent="0.2">
      <c r="A128" s="3">
        <v>6</v>
      </c>
      <c r="B128" s="4" t="s">
        <v>852</v>
      </c>
      <c r="C128" s="4" t="s">
        <v>853</v>
      </c>
      <c r="D128" s="4" t="s">
        <v>631</v>
      </c>
      <c r="E128" s="5">
        <v>100</v>
      </c>
      <c r="F128" s="6">
        <v>996.346</v>
      </c>
      <c r="G128" s="7">
        <v>6.2453480000000004E-3</v>
      </c>
      <c r="H128" s="106">
        <v>7.29</v>
      </c>
    </row>
    <row r="129" spans="1:8" ht="17.100000000000001" customHeight="1" x14ac:dyDescent="0.2">
      <c r="A129" s="3">
        <v>7</v>
      </c>
      <c r="B129" s="4" t="s">
        <v>854</v>
      </c>
      <c r="C129" s="4" t="s">
        <v>855</v>
      </c>
      <c r="D129" s="4" t="s">
        <v>600</v>
      </c>
      <c r="E129" s="5">
        <v>100</v>
      </c>
      <c r="F129" s="6">
        <v>984.22500000000002</v>
      </c>
      <c r="G129" s="7">
        <v>6.1693709999999999E-3</v>
      </c>
      <c r="H129" s="106">
        <v>7.5</v>
      </c>
    </row>
    <row r="130" spans="1:8" ht="29.1" customHeight="1" x14ac:dyDescent="0.2">
      <c r="A130" s="3">
        <v>8</v>
      </c>
      <c r="B130" s="4" t="s">
        <v>618</v>
      </c>
      <c r="C130" s="4" t="s">
        <v>619</v>
      </c>
      <c r="D130" s="4" t="s">
        <v>620</v>
      </c>
      <c r="E130" s="5">
        <v>100</v>
      </c>
      <c r="F130" s="6">
        <v>982.85799999999995</v>
      </c>
      <c r="G130" s="7">
        <v>6.1608019999999999E-3</v>
      </c>
      <c r="H130" s="106">
        <v>7.61</v>
      </c>
    </row>
    <row r="131" spans="1:8" ht="29.1" customHeight="1" x14ac:dyDescent="0.2">
      <c r="A131" s="3">
        <v>9</v>
      </c>
      <c r="B131" s="4" t="s">
        <v>856</v>
      </c>
      <c r="C131" s="4" t="s">
        <v>857</v>
      </c>
      <c r="D131" s="4" t="s">
        <v>600</v>
      </c>
      <c r="E131" s="5">
        <v>50</v>
      </c>
      <c r="F131" s="6">
        <v>499.39550000000003</v>
      </c>
      <c r="G131" s="7">
        <v>3.130337E-3</v>
      </c>
      <c r="H131" s="106">
        <v>7.3449999999999998</v>
      </c>
    </row>
    <row r="132" spans="1:8" ht="29.1" customHeight="1" x14ac:dyDescent="0.2">
      <c r="A132" s="3">
        <v>10</v>
      </c>
      <c r="B132" s="4" t="s">
        <v>858</v>
      </c>
      <c r="C132" s="4" t="s">
        <v>859</v>
      </c>
      <c r="D132" s="4" t="s">
        <v>600</v>
      </c>
      <c r="E132" s="5">
        <v>50</v>
      </c>
      <c r="F132" s="6">
        <v>498.39600000000002</v>
      </c>
      <c r="G132" s="7">
        <v>3.1240719999999999E-3</v>
      </c>
      <c r="H132" s="106">
        <v>7.3049999999999997</v>
      </c>
    </row>
    <row r="133" spans="1:8" ht="29.1" customHeight="1" x14ac:dyDescent="0.2">
      <c r="A133" s="3">
        <v>11</v>
      </c>
      <c r="B133" s="4" t="s">
        <v>788</v>
      </c>
      <c r="C133" s="4" t="s">
        <v>789</v>
      </c>
      <c r="D133" s="4" t="s">
        <v>600</v>
      </c>
      <c r="E133" s="5">
        <v>30</v>
      </c>
      <c r="F133" s="6">
        <v>289.34280000000001</v>
      </c>
      <c r="G133" s="7">
        <v>1.8136739999999999E-3</v>
      </c>
      <c r="H133" s="106">
        <v>7.52</v>
      </c>
    </row>
    <row r="134" spans="1:8" ht="29.1" customHeight="1" x14ac:dyDescent="0.2">
      <c r="A134" s="3">
        <v>12</v>
      </c>
      <c r="B134" s="4" t="s">
        <v>623</v>
      </c>
      <c r="C134" s="4" t="s">
        <v>624</v>
      </c>
      <c r="D134" s="4" t="s">
        <v>600</v>
      </c>
      <c r="E134" s="5">
        <v>10</v>
      </c>
      <c r="F134" s="6">
        <v>101.0748</v>
      </c>
      <c r="G134" s="7">
        <v>6.3356199999999995E-4</v>
      </c>
      <c r="H134" s="106">
        <v>7.41</v>
      </c>
    </row>
    <row r="135" spans="1:8" ht="17.100000000000001" customHeight="1" x14ac:dyDescent="0.2">
      <c r="A135" s="3">
        <v>13</v>
      </c>
      <c r="B135" s="4" t="s">
        <v>625</v>
      </c>
      <c r="C135" s="4" t="s">
        <v>626</v>
      </c>
      <c r="D135" s="4" t="s">
        <v>600</v>
      </c>
      <c r="E135" s="5">
        <v>10</v>
      </c>
      <c r="F135" s="6">
        <v>100.4944</v>
      </c>
      <c r="G135" s="7">
        <v>6.2992400000000002E-4</v>
      </c>
      <c r="H135" s="106">
        <v>7.2249999999999996</v>
      </c>
    </row>
    <row r="136" spans="1:8" ht="29.1" customHeight="1" x14ac:dyDescent="0.2">
      <c r="A136" s="3">
        <v>14</v>
      </c>
      <c r="B136" s="4" t="s">
        <v>860</v>
      </c>
      <c r="C136" s="4" t="s">
        <v>861</v>
      </c>
      <c r="D136" s="4" t="s">
        <v>600</v>
      </c>
      <c r="E136" s="5">
        <v>10</v>
      </c>
      <c r="F136" s="6">
        <v>99.891099999999994</v>
      </c>
      <c r="G136" s="7">
        <v>6.2614300000000001E-4</v>
      </c>
      <c r="H136" s="106">
        <v>6.57</v>
      </c>
    </row>
    <row r="137" spans="1:8" ht="14.1" customHeight="1" x14ac:dyDescent="0.2">
      <c r="A137" s="1"/>
      <c r="B137" s="1"/>
      <c r="C137" s="2" t="s">
        <v>130</v>
      </c>
      <c r="D137" s="1"/>
      <c r="E137" s="1" t="s">
        <v>131</v>
      </c>
      <c r="F137" s="9">
        <v>11473.7191</v>
      </c>
      <c r="G137" s="10">
        <v>7.1920169000000006E-2</v>
      </c>
      <c r="H137" s="106"/>
    </row>
    <row r="138" spans="1:8" ht="14.1" customHeight="1" x14ac:dyDescent="0.2">
      <c r="A138" s="1"/>
      <c r="B138" s="1"/>
      <c r="C138" s="11"/>
      <c r="D138" s="1"/>
      <c r="E138" s="1"/>
      <c r="F138" s="12"/>
      <c r="G138" s="12"/>
      <c r="H138" s="106"/>
    </row>
    <row r="139" spans="1:8" ht="14.1" customHeight="1" x14ac:dyDescent="0.2">
      <c r="A139" s="1"/>
      <c r="B139" s="1"/>
      <c r="C139" s="2" t="s">
        <v>139</v>
      </c>
      <c r="D139" s="1"/>
      <c r="E139" s="1"/>
      <c r="F139" s="1"/>
      <c r="G139" s="1"/>
      <c r="H139" s="106"/>
    </row>
    <row r="140" spans="1:8" ht="14.1" customHeight="1" x14ac:dyDescent="0.2">
      <c r="A140" s="1"/>
      <c r="B140" s="1"/>
      <c r="C140" s="2" t="s">
        <v>130</v>
      </c>
      <c r="D140" s="1"/>
      <c r="E140" s="1" t="s">
        <v>131</v>
      </c>
      <c r="F140" s="13">
        <v>0</v>
      </c>
      <c r="G140" s="14">
        <v>0</v>
      </c>
      <c r="H140" s="106"/>
    </row>
    <row r="141" spans="1:8" ht="14.1" customHeight="1" x14ac:dyDescent="0.2">
      <c r="A141" s="1"/>
      <c r="B141" s="1"/>
      <c r="C141" s="11"/>
      <c r="D141" s="1"/>
      <c r="E141" s="1"/>
      <c r="F141" s="12"/>
      <c r="G141" s="12"/>
      <c r="H141" s="106"/>
    </row>
    <row r="142" spans="1:8" ht="14.1" customHeight="1" x14ac:dyDescent="0.2">
      <c r="A142" s="1"/>
      <c r="B142" s="1"/>
      <c r="C142" s="2" t="s">
        <v>140</v>
      </c>
      <c r="D142" s="1"/>
      <c r="E142" s="1"/>
      <c r="F142" s="1"/>
      <c r="G142" s="1"/>
      <c r="H142" s="106"/>
    </row>
    <row r="143" spans="1:8" ht="29.1" customHeight="1" x14ac:dyDescent="0.2">
      <c r="A143" s="3">
        <v>1</v>
      </c>
      <c r="B143" s="4" t="s">
        <v>792</v>
      </c>
      <c r="C143" s="4" t="s">
        <v>793</v>
      </c>
      <c r="D143" s="4" t="s">
        <v>572</v>
      </c>
      <c r="E143" s="5">
        <v>2000000</v>
      </c>
      <c r="F143" s="6">
        <v>1990.152</v>
      </c>
      <c r="G143" s="7">
        <v>1.2474776E-2</v>
      </c>
      <c r="H143" s="106">
        <v>7.0022000000000002</v>
      </c>
    </row>
    <row r="144" spans="1:8" ht="29.1" customHeight="1" x14ac:dyDescent="0.2">
      <c r="A144" s="3">
        <v>2</v>
      </c>
      <c r="B144" s="4" t="s">
        <v>632</v>
      </c>
      <c r="C144" s="4" t="s">
        <v>633</v>
      </c>
      <c r="D144" s="4" t="s">
        <v>572</v>
      </c>
      <c r="E144" s="5">
        <v>1500000</v>
      </c>
      <c r="F144" s="6">
        <v>1430.4929999999999</v>
      </c>
      <c r="G144" s="7">
        <v>8.9666920000000001E-3</v>
      </c>
      <c r="H144" s="106">
        <v>7.1867000000000001</v>
      </c>
    </row>
    <row r="145" spans="1:8" ht="29.1" customHeight="1" x14ac:dyDescent="0.2">
      <c r="A145" s="3">
        <v>3</v>
      </c>
      <c r="B145" s="4" t="s">
        <v>796</v>
      </c>
      <c r="C145" s="4" t="s">
        <v>797</v>
      </c>
      <c r="D145" s="4" t="s">
        <v>572</v>
      </c>
      <c r="E145" s="5">
        <v>1000000</v>
      </c>
      <c r="F145" s="6">
        <v>945.85799999999995</v>
      </c>
      <c r="G145" s="7">
        <v>5.9288769999999999E-3</v>
      </c>
      <c r="H145" s="106">
        <v>7.3113000000000001</v>
      </c>
    </row>
    <row r="146" spans="1:8" ht="29.1" customHeight="1" x14ac:dyDescent="0.2">
      <c r="A146" s="3">
        <v>4</v>
      </c>
      <c r="B146" s="4" t="s">
        <v>803</v>
      </c>
      <c r="C146" s="4" t="s">
        <v>804</v>
      </c>
      <c r="D146" s="4" t="s">
        <v>572</v>
      </c>
      <c r="E146" s="5">
        <v>500000</v>
      </c>
      <c r="F146" s="6">
        <v>499.97050000000002</v>
      </c>
      <c r="G146" s="7">
        <v>3.1339409999999999E-3</v>
      </c>
      <c r="H146" s="106">
        <v>7.3780999999999999</v>
      </c>
    </row>
    <row r="147" spans="1:8" ht="29.1" customHeight="1" x14ac:dyDescent="0.2">
      <c r="A147" s="3">
        <v>5</v>
      </c>
      <c r="B147" s="4" t="s">
        <v>862</v>
      </c>
      <c r="C147" s="4" t="s">
        <v>863</v>
      </c>
      <c r="D147" s="4" t="s">
        <v>572</v>
      </c>
      <c r="E147" s="5">
        <v>500000</v>
      </c>
      <c r="F147" s="6">
        <v>493.32499999999999</v>
      </c>
      <c r="G147" s="7">
        <v>3.0922860000000001E-3</v>
      </c>
      <c r="H147" s="106">
        <v>6.7935999999999996</v>
      </c>
    </row>
    <row r="148" spans="1:8" ht="39.75" customHeight="1" x14ac:dyDescent="0.2">
      <c r="A148" s="3">
        <v>6</v>
      </c>
      <c r="B148" s="4" t="s">
        <v>798</v>
      </c>
      <c r="C148" s="4" t="s">
        <v>936</v>
      </c>
      <c r="D148" s="4" t="s">
        <v>572</v>
      </c>
      <c r="E148" s="5">
        <v>500000</v>
      </c>
      <c r="F148" s="6">
        <v>491.85700000000003</v>
      </c>
      <c r="G148" s="7">
        <v>3.0830839999999998E-3</v>
      </c>
      <c r="H148" s="106">
        <v>7.0881719038415154</v>
      </c>
    </row>
    <row r="149" spans="1:8" ht="29.1" customHeight="1" x14ac:dyDescent="0.2">
      <c r="A149" s="3">
        <v>7</v>
      </c>
      <c r="B149" s="4" t="s">
        <v>805</v>
      </c>
      <c r="C149" s="4" t="s">
        <v>806</v>
      </c>
      <c r="D149" s="4" t="s">
        <v>572</v>
      </c>
      <c r="E149" s="5">
        <v>200000</v>
      </c>
      <c r="F149" s="6">
        <v>200.13900000000001</v>
      </c>
      <c r="G149" s="7">
        <v>1.2545220000000001E-3</v>
      </c>
      <c r="H149" s="106">
        <v>6.2458</v>
      </c>
    </row>
    <row r="150" spans="1:8" ht="29.1" customHeight="1" x14ac:dyDescent="0.2">
      <c r="A150" s="3">
        <v>8</v>
      </c>
      <c r="B150" s="4" t="s">
        <v>807</v>
      </c>
      <c r="C150" s="4" t="s">
        <v>808</v>
      </c>
      <c r="D150" s="4" t="s">
        <v>572</v>
      </c>
      <c r="E150" s="5">
        <v>100000</v>
      </c>
      <c r="F150" s="6">
        <v>101.8747</v>
      </c>
      <c r="G150" s="7">
        <v>6.3857599999999997E-4</v>
      </c>
      <c r="H150" s="106">
        <v>7.4405999999999999</v>
      </c>
    </row>
    <row r="151" spans="1:8" ht="29.1" customHeight="1" x14ac:dyDescent="0.2">
      <c r="A151" s="3">
        <v>9</v>
      </c>
      <c r="B151" s="4" t="s">
        <v>809</v>
      </c>
      <c r="C151" s="4" t="s">
        <v>810</v>
      </c>
      <c r="D151" s="4" t="s">
        <v>572</v>
      </c>
      <c r="E151" s="5">
        <v>100000</v>
      </c>
      <c r="F151" s="6">
        <v>101.4136</v>
      </c>
      <c r="G151" s="7">
        <v>6.35686E-4</v>
      </c>
      <c r="H151" s="106">
        <v>7.4096000000000002</v>
      </c>
    </row>
    <row r="152" spans="1:8" ht="29.1" customHeight="1" x14ac:dyDescent="0.2">
      <c r="A152" s="3">
        <v>10</v>
      </c>
      <c r="B152" s="4" t="s">
        <v>811</v>
      </c>
      <c r="C152" s="4" t="s">
        <v>812</v>
      </c>
      <c r="D152" s="4" t="s">
        <v>572</v>
      </c>
      <c r="E152" s="5">
        <v>100000</v>
      </c>
      <c r="F152" s="6">
        <v>101.33199999999999</v>
      </c>
      <c r="G152" s="7">
        <v>6.3517499999999998E-4</v>
      </c>
      <c r="H152" s="106">
        <v>7.4050000000000002</v>
      </c>
    </row>
    <row r="153" spans="1:8" ht="14.1" customHeight="1" x14ac:dyDescent="0.2">
      <c r="A153" s="1"/>
      <c r="B153" s="1"/>
      <c r="C153" s="2" t="s">
        <v>130</v>
      </c>
      <c r="D153" s="1"/>
      <c r="E153" s="1" t="s">
        <v>131</v>
      </c>
      <c r="F153" s="9">
        <v>6356.4147999999996</v>
      </c>
      <c r="G153" s="10">
        <v>3.9843614999999999E-2</v>
      </c>
      <c r="H153" s="106"/>
    </row>
    <row r="154" spans="1:8" ht="14.1" customHeight="1" x14ac:dyDescent="0.2">
      <c r="A154" s="1"/>
      <c r="B154" s="1"/>
      <c r="C154" s="11"/>
      <c r="D154" s="1"/>
      <c r="E154" s="1"/>
      <c r="F154" s="12"/>
      <c r="G154" s="12"/>
      <c r="H154" s="106"/>
    </row>
    <row r="155" spans="1:8" ht="14.1" customHeight="1" x14ac:dyDescent="0.2">
      <c r="A155" s="1"/>
      <c r="B155" s="1"/>
      <c r="C155" s="2" t="s">
        <v>141</v>
      </c>
      <c r="D155" s="1"/>
      <c r="E155" s="1"/>
      <c r="F155" s="12"/>
      <c r="G155" s="12"/>
      <c r="H155" s="106"/>
    </row>
    <row r="156" spans="1:8" ht="14.1" customHeight="1" x14ac:dyDescent="0.2">
      <c r="A156" s="1"/>
      <c r="B156" s="1"/>
      <c r="C156" s="2" t="s">
        <v>130</v>
      </c>
      <c r="D156" s="1"/>
      <c r="E156" s="1" t="s">
        <v>131</v>
      </c>
      <c r="F156" s="13">
        <v>0</v>
      </c>
      <c r="G156" s="14">
        <v>0</v>
      </c>
      <c r="H156" s="106"/>
    </row>
    <row r="157" spans="1:8" ht="14.1" customHeight="1" x14ac:dyDescent="0.2">
      <c r="A157" s="1"/>
      <c r="B157" s="1"/>
      <c r="C157" s="11"/>
      <c r="D157" s="1"/>
      <c r="E157" s="1"/>
      <c r="F157" s="12"/>
      <c r="G157" s="12"/>
      <c r="H157" s="106"/>
    </row>
    <row r="158" spans="1:8" ht="14.1" customHeight="1" x14ac:dyDescent="0.2">
      <c r="A158" s="1"/>
      <c r="B158" s="1"/>
      <c r="C158" s="2" t="s">
        <v>142</v>
      </c>
      <c r="D158" s="1"/>
      <c r="E158" s="1"/>
      <c r="F158" s="9">
        <v>17830.133900000001</v>
      </c>
      <c r="G158" s="10">
        <v>0.111763784</v>
      </c>
      <c r="H158" s="106"/>
    </row>
    <row r="159" spans="1:8" ht="14.1" customHeight="1" x14ac:dyDescent="0.2">
      <c r="A159" s="1"/>
      <c r="B159" s="1"/>
      <c r="C159" s="11"/>
      <c r="D159" s="1"/>
      <c r="E159" s="1"/>
      <c r="F159" s="12"/>
      <c r="G159" s="12"/>
      <c r="H159" s="106"/>
    </row>
    <row r="160" spans="1:8" ht="14.1" customHeight="1" x14ac:dyDescent="0.2">
      <c r="A160" s="1"/>
      <c r="B160" s="1"/>
      <c r="C160" s="2" t="s">
        <v>143</v>
      </c>
      <c r="D160" s="1"/>
      <c r="E160" s="1"/>
      <c r="F160" s="12"/>
      <c r="G160" s="12"/>
      <c r="H160" s="106"/>
    </row>
    <row r="161" spans="1:8" ht="14.1" customHeight="1" x14ac:dyDescent="0.2">
      <c r="A161" s="1"/>
      <c r="B161" s="1"/>
      <c r="C161" s="2" t="s">
        <v>144</v>
      </c>
      <c r="D161" s="1"/>
      <c r="E161" s="1"/>
      <c r="F161" s="12"/>
      <c r="G161" s="12"/>
      <c r="H161" s="106"/>
    </row>
    <row r="162" spans="1:8" ht="17.100000000000001" customHeight="1" x14ac:dyDescent="0.2">
      <c r="A162" s="3">
        <v>1</v>
      </c>
      <c r="B162" s="4" t="s">
        <v>864</v>
      </c>
      <c r="C162" s="4" t="s">
        <v>865</v>
      </c>
      <c r="D162" s="4" t="s">
        <v>815</v>
      </c>
      <c r="E162" s="5">
        <v>500</v>
      </c>
      <c r="F162" s="6">
        <v>2421.125</v>
      </c>
      <c r="G162" s="7">
        <v>1.5176223000000001E-2</v>
      </c>
      <c r="H162" s="106">
        <v>7.2949999999999999</v>
      </c>
    </row>
    <row r="163" spans="1:8" ht="14.1" customHeight="1" x14ac:dyDescent="0.2">
      <c r="A163" s="1"/>
      <c r="B163" s="1"/>
      <c r="C163" s="2" t="s">
        <v>130</v>
      </c>
      <c r="D163" s="1"/>
      <c r="E163" s="1" t="s">
        <v>131</v>
      </c>
      <c r="F163" s="9">
        <v>2421.125</v>
      </c>
      <c r="G163" s="10">
        <v>1.5176223000000001E-2</v>
      </c>
      <c r="H163" s="106"/>
    </row>
    <row r="164" spans="1:8" ht="14.1" customHeight="1" x14ac:dyDescent="0.2">
      <c r="A164" s="1"/>
      <c r="B164" s="1"/>
      <c r="C164" s="11"/>
      <c r="D164" s="1"/>
      <c r="E164" s="1"/>
      <c r="F164" s="12"/>
      <c r="G164" s="12"/>
      <c r="H164" s="106"/>
    </row>
    <row r="165" spans="1:8" ht="14.1" customHeight="1" x14ac:dyDescent="0.2">
      <c r="A165" s="1"/>
      <c r="B165" s="1"/>
      <c r="C165" s="2" t="s">
        <v>145</v>
      </c>
      <c r="D165" s="1"/>
      <c r="E165" s="1"/>
      <c r="F165" s="12"/>
      <c r="G165" s="12"/>
      <c r="H165" s="106"/>
    </row>
    <row r="166" spans="1:8" ht="14.1" customHeight="1" x14ac:dyDescent="0.2">
      <c r="A166" s="1"/>
      <c r="B166" s="1"/>
      <c r="C166" s="2" t="s">
        <v>130</v>
      </c>
      <c r="D166" s="1"/>
      <c r="E166" s="1" t="s">
        <v>131</v>
      </c>
      <c r="F166" s="13">
        <v>0</v>
      </c>
      <c r="G166" s="14">
        <v>0</v>
      </c>
      <c r="H166" s="106"/>
    </row>
    <row r="167" spans="1:8" ht="14.1" customHeight="1" x14ac:dyDescent="0.2">
      <c r="A167" s="1"/>
      <c r="B167" s="1"/>
      <c r="C167" s="11"/>
      <c r="D167" s="1"/>
      <c r="E167" s="1"/>
      <c r="F167" s="12"/>
      <c r="G167" s="12"/>
      <c r="H167" s="106"/>
    </row>
    <row r="168" spans="1:8" ht="14.1" customHeight="1" x14ac:dyDescent="0.2">
      <c r="A168" s="1"/>
      <c r="B168" s="1"/>
      <c r="C168" s="2" t="s">
        <v>146</v>
      </c>
      <c r="D168" s="1"/>
      <c r="E168" s="1"/>
      <c r="F168" s="12"/>
      <c r="G168" s="12"/>
      <c r="H168" s="106"/>
    </row>
    <row r="169" spans="1:8" ht="17.100000000000001" customHeight="1" x14ac:dyDescent="0.2">
      <c r="A169" s="3">
        <v>1</v>
      </c>
      <c r="B169" s="4" t="s">
        <v>831</v>
      </c>
      <c r="C169" s="4" t="s">
        <v>1055</v>
      </c>
      <c r="D169" s="4" t="s">
        <v>572</v>
      </c>
      <c r="E169" s="5">
        <v>5000000</v>
      </c>
      <c r="F169" s="6">
        <v>4944.09</v>
      </c>
      <c r="G169" s="7">
        <v>3.0990805E-2</v>
      </c>
      <c r="H169" s="106">
        <v>6.35</v>
      </c>
    </row>
    <row r="170" spans="1:8" ht="14.1" customHeight="1" x14ac:dyDescent="0.2">
      <c r="A170" s="1"/>
      <c r="B170" s="1"/>
      <c r="C170" s="2" t="s">
        <v>130</v>
      </c>
      <c r="D170" s="1"/>
      <c r="E170" s="1" t="s">
        <v>131</v>
      </c>
      <c r="F170" s="9">
        <v>4944.09</v>
      </c>
      <c r="G170" s="10">
        <v>3.0990805E-2</v>
      </c>
      <c r="H170" s="106"/>
    </row>
    <row r="171" spans="1:8" ht="14.1" customHeight="1" x14ac:dyDescent="0.2">
      <c r="A171" s="1"/>
      <c r="B171" s="1"/>
      <c r="C171" s="11"/>
      <c r="D171" s="1"/>
      <c r="E171" s="1"/>
      <c r="F171" s="12"/>
      <c r="G171" s="12"/>
      <c r="H171" s="106"/>
    </row>
    <row r="172" spans="1:8" ht="14.1" customHeight="1" x14ac:dyDescent="0.2">
      <c r="A172" s="1"/>
      <c r="B172" s="1"/>
      <c r="C172" s="2" t="s">
        <v>147</v>
      </c>
      <c r="D172" s="1"/>
      <c r="E172" s="1"/>
      <c r="F172" s="12"/>
      <c r="G172" s="12"/>
      <c r="H172" s="106"/>
    </row>
    <row r="173" spans="1:8" ht="17.100000000000001" customHeight="1" x14ac:dyDescent="0.2">
      <c r="A173" s="3">
        <v>1</v>
      </c>
      <c r="B173" s="4"/>
      <c r="C173" s="4" t="s">
        <v>148</v>
      </c>
      <c r="D173" s="4"/>
      <c r="E173" s="8"/>
      <c r="F173" s="6">
        <v>6571.6814305999997</v>
      </c>
      <c r="G173" s="7">
        <v>4.1192960000000001E-2</v>
      </c>
      <c r="H173" s="106">
        <v>6.1171451766917002</v>
      </c>
    </row>
    <row r="174" spans="1:8" ht="14.1" customHeight="1" x14ac:dyDescent="0.2">
      <c r="A174" s="1"/>
      <c r="B174" s="1"/>
      <c r="C174" s="2" t="s">
        <v>130</v>
      </c>
      <c r="D174" s="1"/>
      <c r="E174" s="1" t="s">
        <v>131</v>
      </c>
      <c r="F174" s="9">
        <v>6571.6814305999997</v>
      </c>
      <c r="G174" s="10">
        <v>4.1192960000000001E-2</v>
      </c>
      <c r="H174" s="106"/>
    </row>
    <row r="175" spans="1:8" ht="14.1" customHeight="1" x14ac:dyDescent="0.2">
      <c r="A175" s="1"/>
      <c r="B175" s="1"/>
      <c r="C175" s="11"/>
      <c r="D175" s="1"/>
      <c r="E175" s="1"/>
      <c r="F175" s="12"/>
      <c r="G175" s="12"/>
      <c r="H175" s="106"/>
    </row>
    <row r="176" spans="1:8" ht="14.1" customHeight="1" x14ac:dyDescent="0.2">
      <c r="A176" s="1"/>
      <c r="B176" s="1"/>
      <c r="C176" s="2" t="s">
        <v>149</v>
      </c>
      <c r="D176" s="1"/>
      <c r="E176" s="1"/>
      <c r="F176" s="9">
        <v>13936.8964306</v>
      </c>
      <c r="G176" s="10">
        <v>8.7359988E-2</v>
      </c>
      <c r="H176" s="106"/>
    </row>
    <row r="177" spans="1:8" ht="14.1" customHeight="1" x14ac:dyDescent="0.2">
      <c r="A177" s="1"/>
      <c r="B177" s="1"/>
      <c r="C177" s="12"/>
      <c r="D177" s="1"/>
      <c r="E177" s="1"/>
      <c r="F177" s="1"/>
      <c r="G177" s="1"/>
      <c r="H177" s="106"/>
    </row>
    <row r="178" spans="1:8" ht="14.1" customHeight="1" x14ac:dyDescent="0.2">
      <c r="A178" s="1"/>
      <c r="B178" s="1"/>
      <c r="C178" s="2" t="s">
        <v>150</v>
      </c>
      <c r="D178" s="1"/>
      <c r="E178" s="1"/>
      <c r="F178" s="1"/>
      <c r="G178" s="1"/>
      <c r="H178" s="106"/>
    </row>
    <row r="179" spans="1:8" ht="14.1" customHeight="1" x14ac:dyDescent="0.2">
      <c r="A179" s="1"/>
      <c r="B179" s="1"/>
      <c r="C179" s="2" t="s">
        <v>151</v>
      </c>
      <c r="D179" s="1"/>
      <c r="E179" s="1"/>
      <c r="F179" s="1"/>
      <c r="G179" s="1"/>
      <c r="H179" s="106"/>
    </row>
    <row r="180" spans="1:8" ht="14.1" customHeight="1" x14ac:dyDescent="0.2">
      <c r="A180" s="1"/>
      <c r="B180" s="1"/>
      <c r="C180" s="2" t="s">
        <v>130</v>
      </c>
      <c r="D180" s="1"/>
      <c r="E180" s="1" t="s">
        <v>131</v>
      </c>
      <c r="F180" s="13">
        <v>0</v>
      </c>
      <c r="G180" s="14">
        <v>0</v>
      </c>
      <c r="H180" s="106"/>
    </row>
    <row r="181" spans="1:8" ht="14.1" customHeight="1" x14ac:dyDescent="0.2">
      <c r="A181" s="1"/>
      <c r="B181" s="1"/>
      <c r="C181" s="11"/>
      <c r="D181" s="1"/>
      <c r="E181" s="1"/>
      <c r="F181" s="12"/>
      <c r="G181" s="12"/>
      <c r="H181" s="106"/>
    </row>
    <row r="182" spans="1:8" ht="14.1" customHeight="1" x14ac:dyDescent="0.2">
      <c r="A182" s="1"/>
      <c r="B182" s="1"/>
      <c r="C182" s="2" t="s">
        <v>152</v>
      </c>
      <c r="D182" s="1"/>
      <c r="E182" s="1"/>
      <c r="F182" s="1"/>
      <c r="G182" s="1"/>
      <c r="H182" s="106"/>
    </row>
    <row r="183" spans="1:8" ht="14.1" customHeight="1" x14ac:dyDescent="0.2">
      <c r="A183" s="1"/>
      <c r="B183" s="1"/>
      <c r="C183" s="2" t="s">
        <v>153</v>
      </c>
      <c r="D183" s="1"/>
      <c r="E183" s="1"/>
      <c r="F183" s="1"/>
      <c r="G183" s="1"/>
      <c r="H183" s="106"/>
    </row>
    <row r="184" spans="1:8" ht="14.1" customHeight="1" x14ac:dyDescent="0.2">
      <c r="A184" s="1"/>
      <c r="B184" s="1"/>
      <c r="C184" s="2" t="s">
        <v>130</v>
      </c>
      <c r="D184" s="1"/>
      <c r="E184" s="1" t="s">
        <v>131</v>
      </c>
      <c r="F184" s="13">
        <v>0</v>
      </c>
      <c r="G184" s="14">
        <v>0</v>
      </c>
      <c r="H184" s="106"/>
    </row>
    <row r="185" spans="1:8" ht="14.1" customHeight="1" x14ac:dyDescent="0.2">
      <c r="A185" s="1"/>
      <c r="B185" s="1"/>
      <c r="C185" s="11"/>
      <c r="D185" s="1"/>
      <c r="E185" s="1"/>
      <c r="F185" s="12"/>
      <c r="G185" s="12"/>
      <c r="H185" s="106"/>
    </row>
    <row r="186" spans="1:8" ht="24" customHeight="1" x14ac:dyDescent="0.2">
      <c r="A186" s="1"/>
      <c r="B186" s="1"/>
      <c r="C186" s="2" t="s">
        <v>154</v>
      </c>
      <c r="D186" s="1"/>
      <c r="E186" s="1"/>
      <c r="F186" s="12"/>
      <c r="G186" s="12"/>
      <c r="H186" s="106"/>
    </row>
    <row r="187" spans="1:8" ht="14.1" customHeight="1" x14ac:dyDescent="0.2">
      <c r="A187" s="1"/>
      <c r="B187" s="1"/>
      <c r="C187" s="2" t="s">
        <v>130</v>
      </c>
      <c r="D187" s="1"/>
      <c r="E187" s="1" t="s">
        <v>131</v>
      </c>
      <c r="F187" s="13">
        <v>0</v>
      </c>
      <c r="G187" s="14">
        <v>0</v>
      </c>
      <c r="H187" s="106"/>
    </row>
    <row r="188" spans="1:8" ht="14.1" customHeight="1" x14ac:dyDescent="0.2">
      <c r="A188" s="1"/>
      <c r="B188" s="1"/>
      <c r="C188" s="11"/>
      <c r="D188" s="1"/>
      <c r="E188" s="1"/>
      <c r="F188" s="12"/>
      <c r="G188" s="12"/>
      <c r="H188" s="106"/>
    </row>
    <row r="189" spans="1:8" ht="18" customHeight="1" x14ac:dyDescent="0.2">
      <c r="A189" s="8"/>
      <c r="B189" s="4"/>
      <c r="C189" s="4" t="s">
        <v>575</v>
      </c>
      <c r="D189" s="4"/>
      <c r="E189" s="8"/>
      <c r="F189" s="6">
        <v>4823.9418500000002</v>
      </c>
      <c r="G189" s="7">
        <v>3.0237686434331088E-2</v>
      </c>
      <c r="H189" s="106"/>
    </row>
    <row r="190" spans="1:8" ht="18" customHeight="1" x14ac:dyDescent="0.2">
      <c r="A190" s="8"/>
      <c r="B190" s="4"/>
      <c r="C190" s="4" t="s">
        <v>835</v>
      </c>
      <c r="D190" s="4"/>
      <c r="E190" s="8"/>
      <c r="F190" s="6">
        <v>-1500.5757369600501</v>
      </c>
      <c r="G190" s="7">
        <v>-9.4059878862684226E-3</v>
      </c>
      <c r="H190" s="106"/>
    </row>
    <row r="191" spans="1:8" ht="14.1" customHeight="1" x14ac:dyDescent="0.2">
      <c r="A191" s="11"/>
      <c r="B191" s="11"/>
      <c r="C191" s="2" t="s">
        <v>156</v>
      </c>
      <c r="D191" s="12"/>
      <c r="E191" s="12"/>
      <c r="F191" s="9">
        <v>159534.09201713995</v>
      </c>
      <c r="G191" s="14">
        <v>1.0000000065480625</v>
      </c>
      <c r="H191" s="106"/>
    </row>
    <row r="192" spans="1:8" ht="14.1" customHeight="1" x14ac:dyDescent="0.2">
      <c r="A192" s="16"/>
      <c r="B192" s="16"/>
      <c r="C192" s="16"/>
      <c r="D192" s="17"/>
      <c r="E192" s="17"/>
      <c r="F192" s="17"/>
      <c r="G192" s="114"/>
    </row>
    <row r="193" spans="1:15" ht="17.100000000000001" customHeight="1" x14ac:dyDescent="0.2">
      <c r="A193" s="18"/>
      <c r="B193" s="281" t="s">
        <v>836</v>
      </c>
      <c r="C193" s="281"/>
      <c r="D193" s="281"/>
      <c r="E193" s="281"/>
      <c r="F193" s="281"/>
      <c r="G193" s="20"/>
    </row>
    <row r="194" spans="1:15" ht="17.100000000000001" customHeight="1" x14ac:dyDescent="0.2">
      <c r="A194" s="18"/>
      <c r="B194" s="281" t="s">
        <v>837</v>
      </c>
      <c r="C194" s="281"/>
      <c r="D194" s="281"/>
      <c r="E194" s="281"/>
      <c r="F194" s="281"/>
      <c r="G194" s="20"/>
    </row>
    <row r="195" spans="1:15" s="107" customFormat="1" x14ac:dyDescent="0.2">
      <c r="A195" s="153"/>
      <c r="B195" s="304" t="s">
        <v>1054</v>
      </c>
      <c r="C195" s="304"/>
      <c r="D195" s="304"/>
      <c r="E195" s="304"/>
      <c r="F195" s="304"/>
      <c r="G195" s="154"/>
      <c r="H195"/>
      <c r="I195"/>
      <c r="J195"/>
      <c r="K195"/>
      <c r="L195"/>
      <c r="M195"/>
      <c r="N195"/>
      <c r="O195"/>
    </row>
    <row r="196" spans="1:15" s="101" customFormat="1" ht="69.75" customHeight="1" x14ac:dyDescent="0.25">
      <c r="A196" s="99"/>
      <c r="B196" s="289" t="s">
        <v>937</v>
      </c>
      <c r="C196" s="289"/>
      <c r="D196" s="289"/>
      <c r="E196" s="289"/>
      <c r="F196" s="289"/>
      <c r="G196" s="100"/>
      <c r="H196"/>
      <c r="I196"/>
      <c r="J196"/>
      <c r="K196"/>
      <c r="L196"/>
      <c r="M196"/>
      <c r="N196"/>
      <c r="O196"/>
    </row>
    <row r="197" spans="1:15" ht="14.1" customHeight="1" x14ac:dyDescent="0.2">
      <c r="A197" s="18"/>
      <c r="B197" s="18"/>
      <c r="C197" s="18"/>
      <c r="D197" s="20"/>
      <c r="E197" s="20"/>
      <c r="F197" s="20"/>
      <c r="G197" s="20"/>
    </row>
    <row r="198" spans="1:15" ht="14.1" customHeight="1" x14ac:dyDescent="0.2">
      <c r="A198" s="18"/>
      <c r="B198" s="279" t="s">
        <v>158</v>
      </c>
      <c r="C198" s="290"/>
      <c r="D198" s="280"/>
      <c r="E198" s="21"/>
      <c r="F198" s="20"/>
      <c r="G198" s="20"/>
    </row>
    <row r="199" spans="1:15" ht="29.1" customHeight="1" x14ac:dyDescent="0.2">
      <c r="A199" s="18"/>
      <c r="B199" s="274" t="s">
        <v>159</v>
      </c>
      <c r="C199" s="275"/>
      <c r="D199" s="2" t="s">
        <v>160</v>
      </c>
      <c r="E199" s="21"/>
      <c r="F199" s="20"/>
      <c r="G199" s="20"/>
    </row>
    <row r="200" spans="1:15" ht="17.100000000000001" customHeight="1" x14ac:dyDescent="0.2">
      <c r="A200" s="18"/>
      <c r="B200" s="274" t="s">
        <v>161</v>
      </c>
      <c r="C200" s="275"/>
      <c r="D200" s="2" t="s">
        <v>160</v>
      </c>
      <c r="E200" s="21"/>
      <c r="F200" s="20"/>
      <c r="G200" s="20"/>
    </row>
    <row r="201" spans="1:15" ht="17.100000000000001" customHeight="1" x14ac:dyDescent="0.2">
      <c r="A201" s="18"/>
      <c r="B201" s="274" t="s">
        <v>162</v>
      </c>
      <c r="C201" s="275"/>
      <c r="D201" s="12" t="s">
        <v>131</v>
      </c>
      <c r="E201" s="21"/>
      <c r="F201" s="20"/>
      <c r="G201" s="20"/>
    </row>
    <row r="202" spans="1:15" ht="24" customHeight="1" x14ac:dyDescent="0.2">
      <c r="A202" s="22"/>
      <c r="B202" s="23" t="s">
        <v>131</v>
      </c>
      <c r="C202" s="23" t="s">
        <v>163</v>
      </c>
      <c r="D202" s="23" t="s">
        <v>164</v>
      </c>
      <c r="E202" s="22"/>
      <c r="F202" s="22"/>
      <c r="G202" s="22"/>
    </row>
    <row r="203" spans="1:15" ht="18" customHeight="1" x14ac:dyDescent="0.2">
      <c r="A203" s="22"/>
      <c r="B203" s="28" t="s">
        <v>165</v>
      </c>
      <c r="C203" s="23" t="s">
        <v>166</v>
      </c>
      <c r="D203" s="23" t="s">
        <v>167</v>
      </c>
      <c r="E203" s="22"/>
      <c r="F203" s="22"/>
      <c r="G203" s="22"/>
    </row>
    <row r="204" spans="1:15" ht="17.100000000000001" customHeight="1" x14ac:dyDescent="0.2">
      <c r="A204" s="22"/>
      <c r="B204" s="4" t="s">
        <v>168</v>
      </c>
      <c r="C204" s="29">
        <v>29.109100000000002</v>
      </c>
      <c r="D204" s="29">
        <v>29.731200000000001</v>
      </c>
      <c r="E204" s="22"/>
      <c r="F204" s="19"/>
      <c r="G204" s="25"/>
    </row>
    <row r="205" spans="1:15" ht="29.1" customHeight="1" x14ac:dyDescent="0.2">
      <c r="A205" s="22"/>
      <c r="B205" s="4" t="s">
        <v>1063</v>
      </c>
      <c r="C205" s="29">
        <v>16.524899999999999</v>
      </c>
      <c r="D205" s="29">
        <v>16.877800000000001</v>
      </c>
      <c r="E205" s="22"/>
      <c r="F205" s="19"/>
      <c r="G205" s="25"/>
    </row>
    <row r="206" spans="1:15" ht="17.100000000000001" customHeight="1" x14ac:dyDescent="0.2">
      <c r="A206" s="22"/>
      <c r="B206" s="4" t="s">
        <v>169</v>
      </c>
      <c r="C206" s="29">
        <v>25.8507</v>
      </c>
      <c r="D206" s="29">
        <v>26.367799999999999</v>
      </c>
      <c r="E206" s="22"/>
      <c r="F206" s="19"/>
      <c r="G206" s="25"/>
      <c r="I206" s="107"/>
    </row>
    <row r="207" spans="1:15" ht="29.1" customHeight="1" x14ac:dyDescent="0.2">
      <c r="A207" s="22"/>
      <c r="B207" s="4" t="s">
        <v>1065</v>
      </c>
      <c r="C207" s="29">
        <v>14.0801</v>
      </c>
      <c r="D207" s="29">
        <v>14.361599999999999</v>
      </c>
      <c r="E207" s="22"/>
      <c r="F207" s="19"/>
      <c r="G207" s="25"/>
    </row>
    <row r="208" spans="1:15" ht="14.1" customHeight="1" x14ac:dyDescent="0.2">
      <c r="A208" s="22"/>
      <c r="B208" s="22"/>
      <c r="C208" s="22"/>
      <c r="D208" s="22"/>
      <c r="E208" s="22"/>
      <c r="F208" s="22"/>
      <c r="G208" s="22"/>
    </row>
    <row r="209" spans="1:7" ht="17.100000000000001" customHeight="1" x14ac:dyDescent="0.2">
      <c r="A209" s="22"/>
      <c r="B209" s="274" t="s">
        <v>1060</v>
      </c>
      <c r="C209" s="275"/>
      <c r="D209" s="2" t="s">
        <v>160</v>
      </c>
      <c r="E209" s="22"/>
      <c r="F209" s="22"/>
      <c r="G209" s="22"/>
    </row>
    <row r="210" spans="1:7" ht="18" customHeight="1" x14ac:dyDescent="0.2">
      <c r="A210" s="22"/>
      <c r="B210" s="37"/>
      <c r="C210" s="37"/>
      <c r="D210" s="37"/>
      <c r="E210" s="22"/>
      <c r="F210" s="22"/>
      <c r="G210" s="22"/>
    </row>
    <row r="211" spans="1:7" ht="29.1" customHeight="1" x14ac:dyDescent="0.2">
      <c r="A211" s="22"/>
      <c r="B211" s="305" t="s">
        <v>171</v>
      </c>
      <c r="C211" s="306"/>
      <c r="D211" s="62" t="s">
        <v>1036</v>
      </c>
      <c r="E211" s="35"/>
      <c r="F211" s="22"/>
      <c r="G211" s="22"/>
    </row>
    <row r="212" spans="1:7" ht="29.1" customHeight="1" x14ac:dyDescent="0.2">
      <c r="A212" s="22"/>
      <c r="B212" s="305" t="s">
        <v>172</v>
      </c>
      <c r="C212" s="306"/>
      <c r="D212" s="2" t="s">
        <v>160</v>
      </c>
      <c r="E212" s="35"/>
      <c r="F212" s="22"/>
      <c r="G212" s="22"/>
    </row>
    <row r="213" spans="1:7" ht="17.100000000000001" customHeight="1" x14ac:dyDescent="0.2">
      <c r="A213" s="22"/>
      <c r="B213" s="302" t="s">
        <v>1044</v>
      </c>
      <c r="C213" s="303"/>
      <c r="D213" s="36">
        <v>0.71316516797150631</v>
      </c>
      <c r="E213" s="35"/>
      <c r="F213" s="22"/>
      <c r="G213" s="22"/>
    </row>
    <row r="214" spans="1:7" ht="17.100000000000001" customHeight="1" x14ac:dyDescent="0.2">
      <c r="A214" s="22"/>
      <c r="B214" s="302" t="s">
        <v>1045</v>
      </c>
      <c r="C214" s="303"/>
      <c r="D214" s="36">
        <v>0.59790087656768609</v>
      </c>
      <c r="E214" s="35"/>
      <c r="F214" s="22"/>
      <c r="G214" s="22"/>
    </row>
    <row r="215" spans="1:7" ht="17.100000000000001" customHeight="1" x14ac:dyDescent="0.2">
      <c r="A215" s="22"/>
      <c r="B215" s="305" t="s">
        <v>1046</v>
      </c>
      <c r="C215" s="306"/>
      <c r="D215" s="27">
        <v>3.1295615413906868</v>
      </c>
      <c r="E215" s="22"/>
      <c r="F215" s="19"/>
      <c r="G215" s="25"/>
    </row>
    <row r="216" spans="1:7" ht="17.100000000000001" customHeight="1" x14ac:dyDescent="0.2">
      <c r="A216" s="22"/>
      <c r="B216" s="305" t="s">
        <v>1047</v>
      </c>
      <c r="C216" s="306"/>
      <c r="D216" s="2" t="s">
        <v>160</v>
      </c>
      <c r="E216" s="35"/>
      <c r="F216" s="22"/>
      <c r="G216" s="22"/>
    </row>
    <row r="217" spans="1:7" ht="11.1" customHeight="1" x14ac:dyDescent="0.2">
      <c r="A217" s="37"/>
      <c r="B217" s="37"/>
      <c r="C217" s="37"/>
      <c r="D217" s="37"/>
      <c r="E217" s="37"/>
      <c r="F217" s="37"/>
      <c r="G217" s="37"/>
    </row>
  </sheetData>
  <mergeCells count="19">
    <mergeCell ref="A1:H1"/>
    <mergeCell ref="A2:H2"/>
    <mergeCell ref="A3:H3"/>
    <mergeCell ref="B212:C212"/>
    <mergeCell ref="B200:C200"/>
    <mergeCell ref="B201:C201"/>
    <mergeCell ref="B209:C209"/>
    <mergeCell ref="B195:F195"/>
    <mergeCell ref="B199:C199"/>
    <mergeCell ref="J2:N2"/>
    <mergeCell ref="B193:F193"/>
    <mergeCell ref="B194:F194"/>
    <mergeCell ref="B196:F196"/>
    <mergeCell ref="B198:D198"/>
    <mergeCell ref="B214:C214"/>
    <mergeCell ref="B216:C216"/>
    <mergeCell ref="B215:C215"/>
    <mergeCell ref="B213:C213"/>
    <mergeCell ref="B211:C211"/>
  </mergeCells>
  <hyperlinks>
    <hyperlink ref="I1" location="Index!B25" display="Index" xr:uid="{69F621DF-5EDD-486A-B874-4FB5CADBB5F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1073</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296</v>
      </c>
      <c r="C7" s="4" t="s">
        <v>297</v>
      </c>
      <c r="D7" s="4" t="s">
        <v>1114</v>
      </c>
      <c r="E7" s="5">
        <v>142161</v>
      </c>
      <c r="F7" s="6">
        <v>2185.9386165000001</v>
      </c>
      <c r="G7" s="7">
        <v>6.3456302000000006E-2</v>
      </c>
      <c r="H7" s="106"/>
    </row>
    <row r="8" spans="1:14" ht="17.100000000000001" customHeight="1" x14ac:dyDescent="0.2">
      <c r="A8" s="3">
        <v>2</v>
      </c>
      <c r="B8" s="4" t="s">
        <v>264</v>
      </c>
      <c r="C8" s="4" t="s">
        <v>265</v>
      </c>
      <c r="D8" s="4" t="s">
        <v>16</v>
      </c>
      <c r="E8" s="5">
        <v>119350</v>
      </c>
      <c r="F8" s="6">
        <v>1786.3114499999999</v>
      </c>
      <c r="G8" s="7">
        <v>5.1855399000000003E-2</v>
      </c>
      <c r="H8" s="106"/>
    </row>
    <row r="9" spans="1:14" ht="17.100000000000001" customHeight="1" x14ac:dyDescent="0.2">
      <c r="A9" s="3">
        <v>3</v>
      </c>
      <c r="B9" s="4" t="s">
        <v>14</v>
      </c>
      <c r="C9" s="4" t="s">
        <v>15</v>
      </c>
      <c r="D9" s="4" t="s">
        <v>16</v>
      </c>
      <c r="E9" s="5">
        <v>188000</v>
      </c>
      <c r="F9" s="6">
        <v>1708.356</v>
      </c>
      <c r="G9" s="7">
        <v>4.9592405999999999E-2</v>
      </c>
      <c r="H9" s="106"/>
    </row>
    <row r="10" spans="1:14" ht="17.100000000000001" customHeight="1" x14ac:dyDescent="0.2">
      <c r="A10" s="3">
        <v>4</v>
      </c>
      <c r="B10" s="4" t="s">
        <v>26</v>
      </c>
      <c r="C10" s="4" t="s">
        <v>27</v>
      </c>
      <c r="D10" s="4" t="s">
        <v>28</v>
      </c>
      <c r="E10" s="5">
        <v>972000</v>
      </c>
      <c r="F10" s="6">
        <v>1682.5319999999999</v>
      </c>
      <c r="G10" s="7">
        <v>4.8842753000000003E-2</v>
      </c>
      <c r="H10" s="106"/>
    </row>
    <row r="11" spans="1:14" ht="17.100000000000001" customHeight="1" x14ac:dyDescent="0.2">
      <c r="A11" s="3">
        <v>5</v>
      </c>
      <c r="B11" s="4" t="s">
        <v>308</v>
      </c>
      <c r="C11" s="4" t="s">
        <v>309</v>
      </c>
      <c r="D11" s="4" t="s">
        <v>310</v>
      </c>
      <c r="E11" s="5">
        <v>58279</v>
      </c>
      <c r="F11" s="6">
        <v>1486.522453</v>
      </c>
      <c r="G11" s="7">
        <v>4.315273E-2</v>
      </c>
      <c r="H11" s="106"/>
    </row>
    <row r="12" spans="1:14" ht="17.100000000000001" customHeight="1" x14ac:dyDescent="0.2">
      <c r="A12" s="3">
        <v>6</v>
      </c>
      <c r="B12" s="4" t="s">
        <v>315</v>
      </c>
      <c r="C12" s="4" t="s">
        <v>316</v>
      </c>
      <c r="D12" s="4" t="s">
        <v>310</v>
      </c>
      <c r="E12" s="5">
        <v>397734</v>
      </c>
      <c r="F12" s="6">
        <v>1386.8984579999999</v>
      </c>
      <c r="G12" s="7">
        <v>4.0260712999999997E-2</v>
      </c>
      <c r="H12" s="106"/>
    </row>
    <row r="13" spans="1:14" ht="17.100000000000001" customHeight="1" x14ac:dyDescent="0.2">
      <c r="A13" s="3">
        <v>7</v>
      </c>
      <c r="B13" s="4" t="s">
        <v>306</v>
      </c>
      <c r="C13" s="4" t="s">
        <v>307</v>
      </c>
      <c r="D13" s="4" t="s">
        <v>1114</v>
      </c>
      <c r="E13" s="5">
        <v>38621</v>
      </c>
      <c r="F13" s="6">
        <v>1233.2264614999999</v>
      </c>
      <c r="G13" s="7">
        <v>3.579972E-2</v>
      </c>
      <c r="H13" s="106"/>
    </row>
    <row r="14" spans="1:14" ht="17.100000000000001" customHeight="1" x14ac:dyDescent="0.2">
      <c r="A14" s="3">
        <v>8</v>
      </c>
      <c r="B14" s="4" t="s">
        <v>20</v>
      </c>
      <c r="C14" s="4" t="s">
        <v>21</v>
      </c>
      <c r="D14" s="4" t="s">
        <v>22</v>
      </c>
      <c r="E14" s="5">
        <v>45754</v>
      </c>
      <c r="F14" s="6">
        <v>1166.5439839999999</v>
      </c>
      <c r="G14" s="7">
        <v>3.3863973999999998E-2</v>
      </c>
      <c r="H14" s="106"/>
      <c r="J14" s="169" t="s">
        <v>1097</v>
      </c>
    </row>
    <row r="15" spans="1:14" ht="17.100000000000001" customHeight="1" x14ac:dyDescent="0.2">
      <c r="A15" s="3">
        <v>9</v>
      </c>
      <c r="B15" s="4" t="s">
        <v>313</v>
      </c>
      <c r="C15" s="4" t="s">
        <v>314</v>
      </c>
      <c r="D15" s="4" t="s">
        <v>1114</v>
      </c>
      <c r="E15" s="5">
        <v>107029</v>
      </c>
      <c r="F15" s="6">
        <v>1114.3324335</v>
      </c>
      <c r="G15" s="7">
        <v>3.2348307999999999E-2</v>
      </c>
      <c r="H15" s="106"/>
    </row>
    <row r="16" spans="1:14" ht="17.100000000000001" customHeight="1" x14ac:dyDescent="0.2">
      <c r="A16" s="3">
        <v>10</v>
      </c>
      <c r="B16" s="4" t="s">
        <v>42</v>
      </c>
      <c r="C16" s="4" t="s">
        <v>43</v>
      </c>
      <c r="D16" s="4" t="s">
        <v>16</v>
      </c>
      <c r="E16" s="5">
        <v>175968</v>
      </c>
      <c r="F16" s="6">
        <v>1009.704384</v>
      </c>
      <c r="G16" s="7">
        <v>2.9311027E-2</v>
      </c>
      <c r="H16" s="106"/>
    </row>
    <row r="17" spans="1:10" ht="29.1" customHeight="1" x14ac:dyDescent="0.2">
      <c r="A17" s="3">
        <v>11</v>
      </c>
      <c r="B17" s="4" t="s">
        <v>23</v>
      </c>
      <c r="C17" s="4" t="s">
        <v>24</v>
      </c>
      <c r="D17" s="4" t="s">
        <v>25</v>
      </c>
      <c r="E17" s="5">
        <v>12700</v>
      </c>
      <c r="F17" s="6">
        <v>852.79864999999995</v>
      </c>
      <c r="G17" s="7">
        <v>2.4756160999999999E-2</v>
      </c>
      <c r="H17" s="106"/>
    </row>
    <row r="18" spans="1:10" ht="17.100000000000001" customHeight="1" x14ac:dyDescent="0.2">
      <c r="A18" s="3">
        <v>12</v>
      </c>
      <c r="B18" s="4" t="s">
        <v>11</v>
      </c>
      <c r="C18" s="4" t="s">
        <v>12</v>
      </c>
      <c r="D18" s="4" t="s">
        <v>13</v>
      </c>
      <c r="E18" s="5">
        <v>36880</v>
      </c>
      <c r="F18" s="6">
        <v>746.11928</v>
      </c>
      <c r="G18" s="7">
        <v>2.1659332E-2</v>
      </c>
      <c r="H18" s="106"/>
    </row>
    <row r="19" spans="1:10" ht="17.100000000000001" customHeight="1" x14ac:dyDescent="0.2">
      <c r="A19" s="3">
        <v>13</v>
      </c>
      <c r="B19" s="4" t="s">
        <v>17</v>
      </c>
      <c r="C19" s="4" t="s">
        <v>18</v>
      </c>
      <c r="D19" s="4" t="s">
        <v>19</v>
      </c>
      <c r="E19" s="5">
        <v>83692</v>
      </c>
      <c r="F19" s="6">
        <v>696.31744000000003</v>
      </c>
      <c r="G19" s="7">
        <v>2.0213618999999999E-2</v>
      </c>
      <c r="H19" s="106"/>
    </row>
    <row r="20" spans="1:10" ht="29.1" customHeight="1" x14ac:dyDescent="0.2">
      <c r="A20" s="3">
        <v>14</v>
      </c>
      <c r="B20" s="4" t="s">
        <v>65</v>
      </c>
      <c r="C20" s="4" t="s">
        <v>66</v>
      </c>
      <c r="D20" s="4" t="s">
        <v>67</v>
      </c>
      <c r="E20" s="5">
        <v>646646</v>
      </c>
      <c r="F20" s="6">
        <v>690.94125099999997</v>
      </c>
      <c r="G20" s="7">
        <v>2.0057551999999999E-2</v>
      </c>
      <c r="H20" s="106"/>
    </row>
    <row r="21" spans="1:10" ht="17.100000000000001" customHeight="1" x14ac:dyDescent="0.2">
      <c r="A21" s="3">
        <v>15</v>
      </c>
      <c r="B21" s="4" t="s">
        <v>346</v>
      </c>
      <c r="C21" s="4" t="s">
        <v>347</v>
      </c>
      <c r="D21" s="4" t="s">
        <v>16</v>
      </c>
      <c r="E21" s="5">
        <v>235822</v>
      </c>
      <c r="F21" s="6">
        <v>684.827088</v>
      </c>
      <c r="G21" s="7">
        <v>1.9880062E-2</v>
      </c>
      <c r="H21" s="106"/>
    </row>
    <row r="22" spans="1:10" ht="53.1" customHeight="1" x14ac:dyDescent="0.2">
      <c r="A22" s="3">
        <v>16</v>
      </c>
      <c r="B22" s="4" t="s">
        <v>46</v>
      </c>
      <c r="C22" s="4" t="s">
        <v>47</v>
      </c>
      <c r="D22" s="4" t="s">
        <v>48</v>
      </c>
      <c r="E22" s="5">
        <v>438939</v>
      </c>
      <c r="F22" s="6">
        <v>672.89348700000005</v>
      </c>
      <c r="G22" s="7">
        <v>1.9533637E-2</v>
      </c>
      <c r="H22" s="106"/>
      <c r="J22" s="161" t="s">
        <v>1098</v>
      </c>
    </row>
    <row r="23" spans="1:10" ht="17.100000000000001" customHeight="1" x14ac:dyDescent="0.2">
      <c r="A23" s="3">
        <v>17</v>
      </c>
      <c r="B23" s="4" t="s">
        <v>300</v>
      </c>
      <c r="C23" s="4" t="s">
        <v>301</v>
      </c>
      <c r="D23" s="4" t="s">
        <v>245</v>
      </c>
      <c r="E23" s="5">
        <v>51000</v>
      </c>
      <c r="F23" s="6">
        <v>645.6345</v>
      </c>
      <c r="G23" s="7">
        <v>1.8742327999999999E-2</v>
      </c>
      <c r="H23" s="106"/>
    </row>
    <row r="24" spans="1:10" ht="17.100000000000001" customHeight="1" x14ac:dyDescent="0.2">
      <c r="A24" s="3">
        <v>18</v>
      </c>
      <c r="B24" s="4" t="s">
        <v>68</v>
      </c>
      <c r="C24" s="4" t="s">
        <v>69</v>
      </c>
      <c r="D24" s="4" t="s">
        <v>70</v>
      </c>
      <c r="E24" s="5">
        <v>6650</v>
      </c>
      <c r="F24" s="6">
        <v>633.58540000000005</v>
      </c>
      <c r="G24" s="7">
        <v>1.8392551E-2</v>
      </c>
      <c r="H24" s="106"/>
    </row>
    <row r="25" spans="1:10" ht="17.100000000000001" customHeight="1" x14ac:dyDescent="0.2">
      <c r="A25" s="3">
        <v>19</v>
      </c>
      <c r="B25" s="4" t="s">
        <v>54</v>
      </c>
      <c r="C25" s="4" t="s">
        <v>55</v>
      </c>
      <c r="D25" s="4" t="s">
        <v>28</v>
      </c>
      <c r="E25" s="5">
        <v>271748</v>
      </c>
      <c r="F25" s="6">
        <v>619.99306200000001</v>
      </c>
      <c r="G25" s="7">
        <v>1.7997974E-2</v>
      </c>
      <c r="H25" s="106"/>
    </row>
    <row r="26" spans="1:10" ht="17.100000000000001" customHeight="1" x14ac:dyDescent="0.2">
      <c r="A26" s="3">
        <v>20</v>
      </c>
      <c r="B26" s="4" t="s">
        <v>530</v>
      </c>
      <c r="C26" s="4" t="s">
        <v>531</v>
      </c>
      <c r="D26" s="4" t="s">
        <v>110</v>
      </c>
      <c r="E26" s="5">
        <v>36483</v>
      </c>
      <c r="F26" s="6">
        <v>603.64771800000005</v>
      </c>
      <c r="G26" s="7">
        <v>1.7523480000000001E-2</v>
      </c>
      <c r="H26" s="106"/>
    </row>
    <row r="27" spans="1:10" ht="17.100000000000001" customHeight="1" x14ac:dyDescent="0.2">
      <c r="A27" s="3">
        <v>21</v>
      </c>
      <c r="B27" s="4" t="s">
        <v>577</v>
      </c>
      <c r="C27" s="4" t="s">
        <v>578</v>
      </c>
      <c r="D27" s="4" t="s">
        <v>31</v>
      </c>
      <c r="E27" s="5">
        <v>21900</v>
      </c>
      <c r="F27" s="6">
        <v>587.30325000000005</v>
      </c>
      <c r="G27" s="7">
        <v>1.7049010999999999E-2</v>
      </c>
      <c r="H27" s="106"/>
    </row>
    <row r="28" spans="1:10" ht="29.1" customHeight="1" x14ac:dyDescent="0.2">
      <c r="A28" s="3">
        <v>22</v>
      </c>
      <c r="B28" s="4" t="s">
        <v>196</v>
      </c>
      <c r="C28" s="4" t="s">
        <v>197</v>
      </c>
      <c r="D28" s="4" t="s">
        <v>188</v>
      </c>
      <c r="E28" s="5">
        <v>12675</v>
      </c>
      <c r="F28" s="6">
        <v>576.93431250000003</v>
      </c>
      <c r="G28" s="7">
        <v>1.6748008000000002E-2</v>
      </c>
      <c r="H28" s="106"/>
    </row>
    <row r="29" spans="1:10" ht="17.100000000000001" customHeight="1" x14ac:dyDescent="0.2">
      <c r="A29" s="3">
        <v>23</v>
      </c>
      <c r="B29" s="4" t="s">
        <v>341</v>
      </c>
      <c r="C29" s="4" t="s">
        <v>342</v>
      </c>
      <c r="D29" s="4" t="s">
        <v>237</v>
      </c>
      <c r="E29" s="5">
        <v>526970</v>
      </c>
      <c r="F29" s="6">
        <v>535.13803499999995</v>
      </c>
      <c r="G29" s="7">
        <v>1.5534691E-2</v>
      </c>
      <c r="H29" s="106"/>
    </row>
    <row r="30" spans="1:10" ht="17.100000000000001" customHeight="1" x14ac:dyDescent="0.2">
      <c r="A30" s="3">
        <v>24</v>
      </c>
      <c r="B30" s="4" t="s">
        <v>92</v>
      </c>
      <c r="C30" s="4" t="s">
        <v>93</v>
      </c>
      <c r="D30" s="4" t="s">
        <v>31</v>
      </c>
      <c r="E30" s="5">
        <v>39500</v>
      </c>
      <c r="F30" s="6">
        <v>532.42049999999995</v>
      </c>
      <c r="G30" s="7">
        <v>1.5455803000000001E-2</v>
      </c>
      <c r="H30" s="106"/>
    </row>
    <row r="31" spans="1:10" ht="29.1" customHeight="1" x14ac:dyDescent="0.2">
      <c r="A31" s="3">
        <v>25</v>
      </c>
      <c r="B31" s="4" t="s">
        <v>189</v>
      </c>
      <c r="C31" s="4" t="s">
        <v>190</v>
      </c>
      <c r="D31" s="4" t="s">
        <v>110</v>
      </c>
      <c r="E31" s="5">
        <v>145445</v>
      </c>
      <c r="F31" s="6">
        <v>526.94723499999998</v>
      </c>
      <c r="G31" s="7">
        <v>1.5296918E-2</v>
      </c>
      <c r="H31" s="106"/>
    </row>
    <row r="32" spans="1:10" ht="17.100000000000001" customHeight="1" x14ac:dyDescent="0.2">
      <c r="A32" s="3">
        <v>26</v>
      </c>
      <c r="B32" s="4" t="s">
        <v>441</v>
      </c>
      <c r="C32" s="4" t="s">
        <v>442</v>
      </c>
      <c r="D32" s="4" t="s">
        <v>324</v>
      </c>
      <c r="E32" s="5">
        <v>33957</v>
      </c>
      <c r="F32" s="6">
        <v>521.69836950000001</v>
      </c>
      <c r="G32" s="7">
        <v>1.5144547E-2</v>
      </c>
      <c r="H32" s="106"/>
    </row>
    <row r="33" spans="1:8" ht="17.100000000000001" customHeight="1" x14ac:dyDescent="0.2">
      <c r="A33" s="3">
        <v>27</v>
      </c>
      <c r="B33" s="4" t="s">
        <v>331</v>
      </c>
      <c r="C33" s="4" t="s">
        <v>332</v>
      </c>
      <c r="D33" s="4" t="s">
        <v>1114</v>
      </c>
      <c r="E33" s="5">
        <v>47842</v>
      </c>
      <c r="F33" s="6">
        <v>508.75182799999999</v>
      </c>
      <c r="G33" s="7">
        <v>1.4768717000000001E-2</v>
      </c>
      <c r="H33" s="106"/>
    </row>
    <row r="34" spans="1:8" ht="17.100000000000001" customHeight="1" x14ac:dyDescent="0.2">
      <c r="A34" s="3">
        <v>28</v>
      </c>
      <c r="B34" s="4" t="s">
        <v>258</v>
      </c>
      <c r="C34" s="4" t="s">
        <v>259</v>
      </c>
      <c r="D34" s="4" t="s">
        <v>99</v>
      </c>
      <c r="E34" s="5">
        <v>30000</v>
      </c>
      <c r="F34" s="6">
        <v>506.25</v>
      </c>
      <c r="G34" s="7">
        <v>1.4696091E-2</v>
      </c>
      <c r="H34" s="106"/>
    </row>
    <row r="35" spans="1:8" ht="17.100000000000001" customHeight="1" x14ac:dyDescent="0.2">
      <c r="A35" s="3">
        <v>29</v>
      </c>
      <c r="B35" s="4" t="s">
        <v>39</v>
      </c>
      <c r="C35" s="4" t="s">
        <v>40</v>
      </c>
      <c r="D35" s="4" t="s">
        <v>41</v>
      </c>
      <c r="E35" s="5">
        <v>62282</v>
      </c>
      <c r="F35" s="6">
        <v>497.01035999999999</v>
      </c>
      <c r="G35" s="7">
        <v>1.4427871E-2</v>
      </c>
      <c r="H35" s="106"/>
    </row>
    <row r="36" spans="1:8" ht="29.1" customHeight="1" x14ac:dyDescent="0.2">
      <c r="A36" s="3">
        <v>30</v>
      </c>
      <c r="B36" s="4" t="s">
        <v>186</v>
      </c>
      <c r="C36" s="4" t="s">
        <v>187</v>
      </c>
      <c r="D36" s="4" t="s">
        <v>188</v>
      </c>
      <c r="E36" s="5">
        <v>19372</v>
      </c>
      <c r="F36" s="6">
        <v>495.66167799999999</v>
      </c>
      <c r="G36" s="7">
        <v>1.4388718999999999E-2</v>
      </c>
      <c r="H36" s="106"/>
    </row>
    <row r="37" spans="1:8" ht="17.100000000000001" customHeight="1" x14ac:dyDescent="0.2">
      <c r="A37" s="3">
        <v>31</v>
      </c>
      <c r="B37" s="4" t="s">
        <v>579</v>
      </c>
      <c r="C37" s="4" t="s">
        <v>580</v>
      </c>
      <c r="D37" s="4" t="s">
        <v>70</v>
      </c>
      <c r="E37" s="5">
        <v>12160</v>
      </c>
      <c r="F37" s="6">
        <v>446.49696</v>
      </c>
      <c r="G37" s="7">
        <v>1.2961501E-2</v>
      </c>
      <c r="H37" s="106"/>
    </row>
    <row r="38" spans="1:8" ht="29.1" customHeight="1" x14ac:dyDescent="0.2">
      <c r="A38" s="3">
        <v>32</v>
      </c>
      <c r="B38" s="4" t="s">
        <v>302</v>
      </c>
      <c r="C38" s="4" t="s">
        <v>303</v>
      </c>
      <c r="D38" s="4" t="s">
        <v>204</v>
      </c>
      <c r="E38" s="5">
        <v>40000</v>
      </c>
      <c r="F38" s="6">
        <v>406.76</v>
      </c>
      <c r="G38" s="7">
        <v>1.1807964000000001E-2</v>
      </c>
      <c r="H38" s="106"/>
    </row>
    <row r="39" spans="1:8" ht="17.100000000000001" customHeight="1" x14ac:dyDescent="0.2">
      <c r="A39" s="3">
        <v>33</v>
      </c>
      <c r="B39" s="4" t="s">
        <v>581</v>
      </c>
      <c r="C39" s="4" t="s">
        <v>582</v>
      </c>
      <c r="D39" s="4" t="s">
        <v>70</v>
      </c>
      <c r="E39" s="5">
        <v>10029</v>
      </c>
      <c r="F39" s="6">
        <v>386.1616305</v>
      </c>
      <c r="G39" s="7">
        <v>1.1210008E-2</v>
      </c>
      <c r="H39" s="106"/>
    </row>
    <row r="40" spans="1:8" ht="29.1" customHeight="1" x14ac:dyDescent="0.2">
      <c r="A40" s="3">
        <v>34</v>
      </c>
      <c r="B40" s="4" t="s">
        <v>583</v>
      </c>
      <c r="C40" s="4" t="s">
        <v>584</v>
      </c>
      <c r="D40" s="4" t="s">
        <v>585</v>
      </c>
      <c r="E40" s="5">
        <v>10800</v>
      </c>
      <c r="F40" s="6">
        <v>378.16739999999999</v>
      </c>
      <c r="G40" s="7">
        <v>1.0977941E-2</v>
      </c>
      <c r="H40" s="106"/>
    </row>
    <row r="41" spans="1:8" ht="17.100000000000001" customHeight="1" x14ac:dyDescent="0.2">
      <c r="A41" s="3">
        <v>35</v>
      </c>
      <c r="B41" s="4" t="s">
        <v>586</v>
      </c>
      <c r="C41" s="4" t="s">
        <v>587</v>
      </c>
      <c r="D41" s="4" t="s">
        <v>110</v>
      </c>
      <c r="E41" s="5">
        <v>13500</v>
      </c>
      <c r="F41" s="6">
        <v>374.9085</v>
      </c>
      <c r="G41" s="7">
        <v>1.0883337E-2</v>
      </c>
      <c r="H41" s="106"/>
    </row>
    <row r="42" spans="1:8" ht="17.100000000000001" customHeight="1" x14ac:dyDescent="0.2">
      <c r="A42" s="3">
        <v>36</v>
      </c>
      <c r="B42" s="4" t="s">
        <v>588</v>
      </c>
      <c r="C42" s="4" t="s">
        <v>589</v>
      </c>
      <c r="D42" s="4" t="s">
        <v>268</v>
      </c>
      <c r="E42" s="5">
        <v>9850</v>
      </c>
      <c r="F42" s="6">
        <v>371.00517500000001</v>
      </c>
      <c r="G42" s="7">
        <v>1.0770026E-2</v>
      </c>
      <c r="H42" s="106"/>
    </row>
    <row r="43" spans="1:8" ht="17.100000000000001" customHeight="1" x14ac:dyDescent="0.2">
      <c r="A43" s="3">
        <v>37</v>
      </c>
      <c r="B43" s="4" t="s">
        <v>213</v>
      </c>
      <c r="C43" s="4" t="s">
        <v>214</v>
      </c>
      <c r="D43" s="4" t="s">
        <v>1114</v>
      </c>
      <c r="E43" s="5">
        <v>9100</v>
      </c>
      <c r="F43" s="6">
        <v>336.06754999999998</v>
      </c>
      <c r="G43" s="7">
        <v>9.7558109999999996E-3</v>
      </c>
      <c r="H43" s="106"/>
    </row>
    <row r="44" spans="1:8" ht="17.100000000000001" customHeight="1" x14ac:dyDescent="0.2">
      <c r="A44" s="3">
        <v>38</v>
      </c>
      <c r="B44" s="4" t="s">
        <v>590</v>
      </c>
      <c r="C44" s="4" t="s">
        <v>591</v>
      </c>
      <c r="D44" s="4" t="s">
        <v>115</v>
      </c>
      <c r="E44" s="5">
        <v>111500</v>
      </c>
      <c r="F44" s="6">
        <v>316.32549999999998</v>
      </c>
      <c r="G44" s="7">
        <v>9.1827130000000003E-3</v>
      </c>
      <c r="H44" s="106"/>
    </row>
    <row r="45" spans="1:8" ht="29.1" customHeight="1" x14ac:dyDescent="0.2">
      <c r="A45" s="3">
        <v>39</v>
      </c>
      <c r="B45" s="4" t="s">
        <v>476</v>
      </c>
      <c r="C45" s="4" t="s">
        <v>477</v>
      </c>
      <c r="D45" s="4" t="s">
        <v>204</v>
      </c>
      <c r="E45" s="5">
        <v>5548</v>
      </c>
      <c r="F45" s="6">
        <v>311.39537000000001</v>
      </c>
      <c r="G45" s="7">
        <v>9.0395949999999992E-3</v>
      </c>
      <c r="H45" s="106"/>
    </row>
    <row r="46" spans="1:8" ht="17.100000000000001" customHeight="1" x14ac:dyDescent="0.2">
      <c r="A46" s="3">
        <v>40</v>
      </c>
      <c r="B46" s="4" t="s">
        <v>118</v>
      </c>
      <c r="C46" s="4" t="s">
        <v>119</v>
      </c>
      <c r="D46" s="4" t="s">
        <v>120</v>
      </c>
      <c r="E46" s="5">
        <v>228490</v>
      </c>
      <c r="F46" s="6">
        <v>306.29084499999999</v>
      </c>
      <c r="G46" s="7">
        <v>8.8914140000000003E-3</v>
      </c>
      <c r="H46" s="106"/>
    </row>
    <row r="47" spans="1:8" ht="17.100000000000001" customHeight="1" x14ac:dyDescent="0.2">
      <c r="A47" s="3">
        <v>41</v>
      </c>
      <c r="B47" s="4" t="s">
        <v>233</v>
      </c>
      <c r="C47" s="4" t="s">
        <v>234</v>
      </c>
      <c r="D47" s="4" t="s">
        <v>110</v>
      </c>
      <c r="E47" s="5">
        <v>34000</v>
      </c>
      <c r="F47" s="6">
        <v>297.90800000000002</v>
      </c>
      <c r="G47" s="7">
        <v>8.6480649999999999E-3</v>
      </c>
      <c r="H47" s="106"/>
    </row>
    <row r="48" spans="1:8" ht="17.100000000000001" customHeight="1" x14ac:dyDescent="0.2">
      <c r="A48" s="3">
        <v>42</v>
      </c>
      <c r="B48" s="4" t="s">
        <v>279</v>
      </c>
      <c r="C48" s="4" t="s">
        <v>280</v>
      </c>
      <c r="D48" s="4" t="s">
        <v>22</v>
      </c>
      <c r="E48" s="5">
        <v>136848</v>
      </c>
      <c r="F48" s="6">
        <v>292.64944800000001</v>
      </c>
      <c r="G48" s="7">
        <v>8.4954130000000003E-3</v>
      </c>
      <c r="H48" s="106"/>
    </row>
    <row r="49" spans="1:8" ht="17.100000000000001" customHeight="1" x14ac:dyDescent="0.2">
      <c r="A49" s="3">
        <v>43</v>
      </c>
      <c r="B49" s="4" t="s">
        <v>231</v>
      </c>
      <c r="C49" s="4" t="s">
        <v>232</v>
      </c>
      <c r="D49" s="4" t="s">
        <v>89</v>
      </c>
      <c r="E49" s="5">
        <v>4242</v>
      </c>
      <c r="F49" s="6">
        <v>203.38056900000001</v>
      </c>
      <c r="G49" s="7">
        <v>5.9039990000000001E-3</v>
      </c>
      <c r="H49" s="106"/>
    </row>
    <row r="50" spans="1:8" ht="17.100000000000001" customHeight="1" x14ac:dyDescent="0.2">
      <c r="A50" s="3">
        <v>44</v>
      </c>
      <c r="B50" s="4" t="s">
        <v>327</v>
      </c>
      <c r="C50" s="4" t="s">
        <v>328</v>
      </c>
      <c r="D50" s="4" t="s">
        <v>324</v>
      </c>
      <c r="E50" s="5">
        <v>30973</v>
      </c>
      <c r="F50" s="6">
        <v>159.92908550000001</v>
      </c>
      <c r="G50" s="7">
        <v>4.6426319999999998E-3</v>
      </c>
      <c r="H50" s="106"/>
    </row>
    <row r="51" spans="1:8" ht="17.100000000000001" customHeight="1" x14ac:dyDescent="0.2">
      <c r="A51" s="3">
        <v>45</v>
      </c>
      <c r="B51" s="4" t="s">
        <v>396</v>
      </c>
      <c r="C51" s="4" t="s">
        <v>397</v>
      </c>
      <c r="D51" s="4" t="s">
        <v>288</v>
      </c>
      <c r="E51" s="5">
        <v>20239</v>
      </c>
      <c r="F51" s="6">
        <v>151.65082699999999</v>
      </c>
      <c r="G51" s="7">
        <v>4.4023200000000004E-3</v>
      </c>
      <c r="H51" s="106"/>
    </row>
    <row r="52" spans="1:8" ht="17.100000000000001" customHeight="1" x14ac:dyDescent="0.2">
      <c r="A52" s="3">
        <v>46</v>
      </c>
      <c r="B52" s="4" t="s">
        <v>358</v>
      </c>
      <c r="C52" s="4" t="s">
        <v>359</v>
      </c>
      <c r="D52" s="4" t="s">
        <v>70</v>
      </c>
      <c r="E52" s="5">
        <v>35292</v>
      </c>
      <c r="F52" s="6">
        <v>145.66773000000001</v>
      </c>
      <c r="G52" s="7">
        <v>4.2286349999999997E-3</v>
      </c>
      <c r="H52" s="106"/>
    </row>
    <row r="53" spans="1:8" ht="17.100000000000001" customHeight="1" x14ac:dyDescent="0.2">
      <c r="A53" s="3">
        <v>47</v>
      </c>
      <c r="B53" s="4" t="s">
        <v>592</v>
      </c>
      <c r="C53" s="4" t="s">
        <v>593</v>
      </c>
      <c r="D53" s="4" t="s">
        <v>89</v>
      </c>
      <c r="E53" s="5">
        <v>7625</v>
      </c>
      <c r="F53" s="6">
        <v>117.57368750000001</v>
      </c>
      <c r="G53" s="7">
        <v>3.4130839999999998E-3</v>
      </c>
      <c r="H53" s="106"/>
    </row>
    <row r="54" spans="1:8" ht="29.1" customHeight="1" x14ac:dyDescent="0.2">
      <c r="A54" s="3">
        <v>48</v>
      </c>
      <c r="B54" s="4" t="s">
        <v>463</v>
      </c>
      <c r="C54" s="4" t="s">
        <v>464</v>
      </c>
      <c r="D54" s="4" t="s">
        <v>366</v>
      </c>
      <c r="E54" s="5">
        <v>17324</v>
      </c>
      <c r="F54" s="6">
        <v>107.304856</v>
      </c>
      <c r="G54" s="7">
        <v>3.1149870000000001E-3</v>
      </c>
      <c r="H54" s="106"/>
    </row>
    <row r="55" spans="1:8" ht="14.1" customHeight="1" x14ac:dyDescent="0.2">
      <c r="A55" s="1"/>
      <c r="B55" s="1"/>
      <c r="C55" s="2" t="s">
        <v>130</v>
      </c>
      <c r="D55" s="1"/>
      <c r="E55" s="1" t="s">
        <v>131</v>
      </c>
      <c r="F55" s="9">
        <v>32004.882818000005</v>
      </c>
      <c r="G55" s="10">
        <v>0.9290798490000004</v>
      </c>
      <c r="H55" s="106"/>
    </row>
    <row r="56" spans="1:8" ht="14.1" customHeight="1" x14ac:dyDescent="0.2">
      <c r="A56" s="1"/>
      <c r="B56" s="1"/>
      <c r="C56" s="11"/>
      <c r="D56" s="1"/>
      <c r="E56" s="1"/>
      <c r="F56" s="12"/>
      <c r="G56" s="12"/>
      <c r="H56" s="106"/>
    </row>
    <row r="57" spans="1:8" ht="14.1" customHeight="1" x14ac:dyDescent="0.2">
      <c r="A57" s="1"/>
      <c r="B57" s="1"/>
      <c r="C57" s="2" t="s">
        <v>132</v>
      </c>
      <c r="D57" s="1"/>
      <c r="E57" s="1"/>
      <c r="F57" s="1"/>
      <c r="G57" s="1"/>
      <c r="H57" s="106"/>
    </row>
    <row r="58" spans="1:8" ht="14.1" customHeight="1" x14ac:dyDescent="0.2">
      <c r="A58" s="1"/>
      <c r="B58" s="1"/>
      <c r="C58" s="2" t="s">
        <v>130</v>
      </c>
      <c r="D58" s="1"/>
      <c r="E58" s="1" t="s">
        <v>131</v>
      </c>
      <c r="F58" s="13">
        <v>0</v>
      </c>
      <c r="G58" s="14">
        <v>0</v>
      </c>
      <c r="H58" s="106"/>
    </row>
    <row r="59" spans="1:8" ht="14.1" customHeight="1" x14ac:dyDescent="0.2">
      <c r="A59" s="1"/>
      <c r="B59" s="1"/>
      <c r="C59" s="11"/>
      <c r="D59" s="1"/>
      <c r="E59" s="1"/>
      <c r="F59" s="12"/>
      <c r="G59" s="12"/>
      <c r="H59" s="106"/>
    </row>
    <row r="60" spans="1:8" ht="14.1" customHeight="1" x14ac:dyDescent="0.2">
      <c r="A60" s="1"/>
      <c r="B60" s="1"/>
      <c r="C60" s="2" t="s">
        <v>133</v>
      </c>
      <c r="D60" s="1"/>
      <c r="E60" s="1"/>
      <c r="F60" s="1"/>
      <c r="G60" s="1"/>
      <c r="H60" s="106"/>
    </row>
    <row r="61" spans="1:8" ht="17.100000000000001" customHeight="1" x14ac:dyDescent="0.2">
      <c r="A61" s="3">
        <v>1</v>
      </c>
      <c r="B61" s="4" t="s">
        <v>594</v>
      </c>
      <c r="C61" s="4" t="s">
        <v>995</v>
      </c>
      <c r="D61" s="4"/>
      <c r="E61" s="5">
        <v>50000</v>
      </c>
      <c r="F61" s="6">
        <v>5.46</v>
      </c>
      <c r="G61" s="7">
        <v>1.585E-4</v>
      </c>
      <c r="H61" s="106"/>
    </row>
    <row r="62" spans="1:8" ht="17.100000000000001" customHeight="1" x14ac:dyDescent="0.2">
      <c r="A62" s="3">
        <v>2</v>
      </c>
      <c r="B62" s="4" t="s">
        <v>595</v>
      </c>
      <c r="C62" s="4" t="s">
        <v>996</v>
      </c>
      <c r="D62" s="4"/>
      <c r="E62" s="5">
        <v>50000</v>
      </c>
      <c r="F62" s="6">
        <v>4.9999999999999998E-7</v>
      </c>
      <c r="G62" s="8" t="s">
        <v>129</v>
      </c>
      <c r="H62" s="106"/>
    </row>
    <row r="63" spans="1:8" ht="17.100000000000001" customHeight="1" x14ac:dyDescent="0.2">
      <c r="A63" s="3">
        <v>3</v>
      </c>
      <c r="B63" s="4" t="s">
        <v>596</v>
      </c>
      <c r="C63" s="4" t="s">
        <v>997</v>
      </c>
      <c r="D63" s="4"/>
      <c r="E63" s="5">
        <v>200000</v>
      </c>
      <c r="F63" s="6">
        <v>1.9999999999999999E-6</v>
      </c>
      <c r="G63" s="8" t="s">
        <v>129</v>
      </c>
      <c r="H63" s="106"/>
    </row>
    <row r="64" spans="1:8" ht="17.100000000000001" customHeight="1" x14ac:dyDescent="0.2">
      <c r="A64" s="3">
        <v>4</v>
      </c>
      <c r="B64" s="4" t="s">
        <v>597</v>
      </c>
      <c r="C64" s="4" t="s">
        <v>998</v>
      </c>
      <c r="D64" s="4"/>
      <c r="E64" s="5">
        <v>20</v>
      </c>
      <c r="F64" s="6">
        <v>0</v>
      </c>
      <c r="G64" s="8" t="s">
        <v>129</v>
      </c>
      <c r="H64" s="106"/>
    </row>
    <row r="65" spans="1:8" ht="14.1" customHeight="1" x14ac:dyDescent="0.2">
      <c r="A65" s="1"/>
      <c r="B65" s="1"/>
      <c r="C65" s="2" t="s">
        <v>130</v>
      </c>
      <c r="D65" s="1"/>
      <c r="E65" s="1" t="s">
        <v>131</v>
      </c>
      <c r="F65" s="13">
        <v>5.4600024999999999</v>
      </c>
      <c r="G65" s="14">
        <v>1.585E-4</v>
      </c>
      <c r="H65" s="106"/>
    </row>
    <row r="66" spans="1:8" ht="14.1" customHeight="1" x14ac:dyDescent="0.2">
      <c r="A66" s="1"/>
      <c r="B66" s="1"/>
      <c r="C66" s="11"/>
      <c r="D66" s="1"/>
      <c r="E66" s="1"/>
      <c r="F66" s="12"/>
      <c r="G66" s="12"/>
      <c r="H66" s="106"/>
    </row>
    <row r="67" spans="1:8" ht="14.1" customHeight="1" x14ac:dyDescent="0.2">
      <c r="A67" s="1"/>
      <c r="B67" s="1"/>
      <c r="C67" s="2" t="s">
        <v>134</v>
      </c>
      <c r="D67" s="1"/>
      <c r="E67" s="1"/>
      <c r="F67" s="1"/>
      <c r="G67" s="1"/>
      <c r="H67" s="106"/>
    </row>
    <row r="68" spans="1:8" ht="14.1" customHeight="1" x14ac:dyDescent="0.2">
      <c r="A68" s="1"/>
      <c r="B68" s="1"/>
      <c r="C68" s="2" t="s">
        <v>130</v>
      </c>
      <c r="D68" s="1"/>
      <c r="E68" s="1" t="s">
        <v>131</v>
      </c>
      <c r="F68" s="13">
        <v>0</v>
      </c>
      <c r="G68" s="14">
        <v>0</v>
      </c>
      <c r="H68" s="106"/>
    </row>
    <row r="69" spans="1:8" ht="14.1" customHeight="1" x14ac:dyDescent="0.2">
      <c r="A69" s="1"/>
      <c r="B69" s="1"/>
      <c r="C69" s="11"/>
      <c r="D69" s="1"/>
      <c r="E69" s="1"/>
      <c r="F69" s="12"/>
      <c r="G69" s="12"/>
      <c r="H69" s="106"/>
    </row>
    <row r="70" spans="1:8" ht="14.1" customHeight="1" x14ac:dyDescent="0.2">
      <c r="A70" s="1"/>
      <c r="B70" s="1"/>
      <c r="C70" s="2" t="s">
        <v>135</v>
      </c>
      <c r="D70" s="1"/>
      <c r="E70" s="1"/>
      <c r="F70" s="12"/>
      <c r="G70" s="12"/>
      <c r="H70" s="106"/>
    </row>
    <row r="71" spans="1:8" ht="14.1" customHeight="1" x14ac:dyDescent="0.2">
      <c r="A71" s="1"/>
      <c r="B71" s="1"/>
      <c r="C71" s="2" t="s">
        <v>130</v>
      </c>
      <c r="D71" s="1"/>
      <c r="E71" s="1" t="s">
        <v>131</v>
      </c>
      <c r="F71" s="13">
        <v>0</v>
      </c>
      <c r="G71" s="14">
        <v>0</v>
      </c>
      <c r="H71" s="106"/>
    </row>
    <row r="72" spans="1:8" ht="14.1" customHeight="1" x14ac:dyDescent="0.2">
      <c r="A72" s="1"/>
      <c r="B72" s="1"/>
      <c r="C72" s="11"/>
      <c r="D72" s="1"/>
      <c r="E72" s="1"/>
      <c r="F72" s="12"/>
      <c r="G72" s="12"/>
      <c r="H72" s="106"/>
    </row>
    <row r="73" spans="1:8" ht="14.1" customHeight="1" x14ac:dyDescent="0.2">
      <c r="A73" s="1"/>
      <c r="B73" s="1"/>
      <c r="C73" s="2" t="s">
        <v>136</v>
      </c>
      <c r="D73" s="1"/>
      <c r="E73" s="1"/>
      <c r="F73" s="12"/>
      <c r="G73" s="12"/>
      <c r="H73" s="106"/>
    </row>
    <row r="74" spans="1:8" ht="14.1" customHeight="1" x14ac:dyDescent="0.2">
      <c r="A74" s="1"/>
      <c r="B74" s="1"/>
      <c r="C74" s="2" t="s">
        <v>130</v>
      </c>
      <c r="D74" s="1"/>
      <c r="E74" s="1" t="s">
        <v>131</v>
      </c>
      <c r="F74" s="13">
        <v>0</v>
      </c>
      <c r="G74" s="14">
        <v>0</v>
      </c>
      <c r="H74" s="106"/>
    </row>
    <row r="75" spans="1:8" ht="14.1" customHeight="1" x14ac:dyDescent="0.2">
      <c r="A75" s="1"/>
      <c r="B75" s="1"/>
      <c r="C75" s="11"/>
      <c r="D75" s="1"/>
      <c r="E75" s="1"/>
      <c r="F75" s="12"/>
      <c r="G75" s="12"/>
      <c r="H75" s="106"/>
    </row>
    <row r="76" spans="1:8" ht="18" customHeight="1" x14ac:dyDescent="0.2">
      <c r="A76" s="1"/>
      <c r="B76" s="1"/>
      <c r="C76" s="2" t="s">
        <v>137</v>
      </c>
      <c r="D76" s="1"/>
      <c r="E76" s="1"/>
      <c r="F76" s="9">
        <v>32010.342820499998</v>
      </c>
      <c r="G76" s="10">
        <v>0.92923834900000002</v>
      </c>
      <c r="H76" s="106"/>
    </row>
    <row r="77" spans="1:8" ht="14.1" customHeight="1" x14ac:dyDescent="0.2">
      <c r="A77" s="1"/>
      <c r="B77" s="1"/>
      <c r="C77" s="11"/>
      <c r="D77" s="1"/>
      <c r="E77" s="1"/>
      <c r="F77" s="12"/>
      <c r="G77" s="12"/>
      <c r="H77" s="106"/>
    </row>
    <row r="78" spans="1:8" ht="14.1" customHeight="1" x14ac:dyDescent="0.2">
      <c r="A78" s="1"/>
      <c r="B78" s="1"/>
      <c r="C78" s="2" t="s">
        <v>138</v>
      </c>
      <c r="D78" s="1"/>
      <c r="E78" s="1"/>
      <c r="F78" s="12"/>
      <c r="G78" s="12"/>
      <c r="H78" s="106"/>
    </row>
    <row r="79" spans="1:8" ht="24" customHeight="1" x14ac:dyDescent="0.2">
      <c r="A79" s="1"/>
      <c r="B79" s="1"/>
      <c r="C79" s="2" t="s">
        <v>10</v>
      </c>
      <c r="D79" s="1"/>
      <c r="E79" s="1"/>
      <c r="F79" s="12"/>
      <c r="G79" s="12"/>
      <c r="H79" s="106"/>
    </row>
    <row r="80" spans="1:8" ht="29.1" customHeight="1" x14ac:dyDescent="0.2">
      <c r="A80" s="3">
        <v>1</v>
      </c>
      <c r="B80" s="4" t="s">
        <v>598</v>
      </c>
      <c r="C80" s="4" t="s">
        <v>599</v>
      </c>
      <c r="D80" s="4" t="s">
        <v>600</v>
      </c>
      <c r="E80" s="5">
        <v>4200</v>
      </c>
      <c r="F80" s="6">
        <v>1.179969</v>
      </c>
      <c r="G80" s="8" t="s">
        <v>129</v>
      </c>
      <c r="H80" s="106">
        <v>7.63</v>
      </c>
    </row>
    <row r="81" spans="1:8" ht="14.1" customHeight="1" x14ac:dyDescent="0.2">
      <c r="A81" s="1"/>
      <c r="B81" s="1"/>
      <c r="C81" s="2" t="s">
        <v>130</v>
      </c>
      <c r="D81" s="1"/>
      <c r="E81" s="1" t="s">
        <v>131</v>
      </c>
      <c r="F81" s="9">
        <v>1.179969</v>
      </c>
      <c r="G81" s="10">
        <v>3.4254000000000001E-5</v>
      </c>
      <c r="H81" s="106"/>
    </row>
    <row r="82" spans="1:8" ht="14.1" customHeight="1" x14ac:dyDescent="0.2">
      <c r="A82" s="1"/>
      <c r="B82" s="1"/>
      <c r="C82" s="11"/>
      <c r="D82" s="1"/>
      <c r="E82" s="1"/>
      <c r="F82" s="12"/>
      <c r="G82" s="12"/>
      <c r="H82" s="106"/>
    </row>
    <row r="83" spans="1:8" ht="14.1" customHeight="1" x14ac:dyDescent="0.2">
      <c r="A83" s="1"/>
      <c r="B83" s="1"/>
      <c r="C83" s="2" t="s">
        <v>139</v>
      </c>
      <c r="D83" s="1"/>
      <c r="E83" s="1"/>
      <c r="F83" s="1"/>
      <c r="G83" s="1"/>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140</v>
      </c>
      <c r="D86" s="1"/>
      <c r="E86" s="1"/>
      <c r="F86" s="1"/>
      <c r="G86" s="1"/>
      <c r="H86" s="106"/>
    </row>
    <row r="87" spans="1:8" ht="14.1" customHeight="1" x14ac:dyDescent="0.2">
      <c r="A87" s="1"/>
      <c r="B87" s="1"/>
      <c r="C87" s="2" t="s">
        <v>130</v>
      </c>
      <c r="D87" s="1"/>
      <c r="E87" s="1" t="s">
        <v>131</v>
      </c>
      <c r="F87" s="13">
        <v>0</v>
      </c>
      <c r="G87" s="14">
        <v>0</v>
      </c>
      <c r="H87" s="106"/>
    </row>
    <row r="88" spans="1:8" ht="14.1" customHeight="1" x14ac:dyDescent="0.2">
      <c r="A88" s="1"/>
      <c r="B88" s="1"/>
      <c r="C88" s="11"/>
      <c r="D88" s="1"/>
      <c r="E88" s="1"/>
      <c r="F88" s="12"/>
      <c r="G88" s="12"/>
      <c r="H88" s="106"/>
    </row>
    <row r="89" spans="1:8" ht="14.1" customHeight="1" x14ac:dyDescent="0.2">
      <c r="A89" s="1"/>
      <c r="B89" s="1"/>
      <c r="C89" s="2" t="s">
        <v>141</v>
      </c>
      <c r="D89" s="1"/>
      <c r="E89" s="1"/>
      <c r="F89" s="12"/>
      <c r="G89" s="12"/>
      <c r="H89" s="106"/>
    </row>
    <row r="90" spans="1:8" ht="14.1" customHeight="1" x14ac:dyDescent="0.2">
      <c r="A90" s="1"/>
      <c r="B90" s="1"/>
      <c r="C90" s="2" t="s">
        <v>130</v>
      </c>
      <c r="D90" s="1"/>
      <c r="E90" s="1" t="s">
        <v>131</v>
      </c>
      <c r="F90" s="13">
        <v>0</v>
      </c>
      <c r="G90" s="14">
        <v>0</v>
      </c>
      <c r="H90" s="106"/>
    </row>
    <row r="91" spans="1:8" ht="14.1" customHeight="1" x14ac:dyDescent="0.2">
      <c r="A91" s="1"/>
      <c r="B91" s="1"/>
      <c r="C91" s="11"/>
      <c r="D91" s="1"/>
      <c r="E91" s="1"/>
      <c r="F91" s="12"/>
      <c r="G91" s="12"/>
      <c r="H91" s="106"/>
    </row>
    <row r="92" spans="1:8" ht="14.1" customHeight="1" x14ac:dyDescent="0.2">
      <c r="A92" s="1"/>
      <c r="B92" s="1"/>
      <c r="C92" s="2" t="s">
        <v>142</v>
      </c>
      <c r="D92" s="1"/>
      <c r="E92" s="1"/>
      <c r="F92" s="9">
        <v>1.179969</v>
      </c>
      <c r="G92" s="10">
        <v>3.4254000000000001E-5</v>
      </c>
      <c r="H92" s="106"/>
    </row>
    <row r="93" spans="1:8" ht="14.1" customHeight="1" x14ac:dyDescent="0.2">
      <c r="A93" s="1"/>
      <c r="B93" s="1"/>
      <c r="C93" s="11"/>
      <c r="D93" s="1"/>
      <c r="E93" s="1"/>
      <c r="F93" s="12"/>
      <c r="G93" s="12"/>
      <c r="H93" s="106"/>
    </row>
    <row r="94" spans="1:8" ht="14.1" customHeight="1" x14ac:dyDescent="0.2">
      <c r="A94" s="1"/>
      <c r="B94" s="1"/>
      <c r="C94" s="2" t="s">
        <v>143</v>
      </c>
      <c r="D94" s="1"/>
      <c r="E94" s="1"/>
      <c r="F94" s="12"/>
      <c r="G94" s="12"/>
      <c r="H94" s="106"/>
    </row>
    <row r="95" spans="1:8" ht="14.1" customHeight="1" x14ac:dyDescent="0.2">
      <c r="A95" s="1"/>
      <c r="B95" s="1"/>
      <c r="C95" s="2" t="s">
        <v>144</v>
      </c>
      <c r="D95" s="1"/>
      <c r="E95" s="1"/>
      <c r="F95" s="12"/>
      <c r="G95" s="12"/>
      <c r="H95" s="106"/>
    </row>
    <row r="96" spans="1:8" ht="14.1" customHeight="1" x14ac:dyDescent="0.2">
      <c r="A96" s="1"/>
      <c r="B96" s="1"/>
      <c r="C96" s="2" t="s">
        <v>130</v>
      </c>
      <c r="D96" s="1"/>
      <c r="E96" s="1" t="s">
        <v>131</v>
      </c>
      <c r="F96" s="13">
        <v>0</v>
      </c>
      <c r="G96" s="14">
        <v>0</v>
      </c>
      <c r="H96" s="106"/>
    </row>
    <row r="97" spans="1:8" ht="14.1" customHeight="1" x14ac:dyDescent="0.2">
      <c r="A97" s="1"/>
      <c r="B97" s="1"/>
      <c r="C97" s="11"/>
      <c r="D97" s="1"/>
      <c r="E97" s="1"/>
      <c r="F97" s="12"/>
      <c r="G97" s="12"/>
      <c r="H97" s="106"/>
    </row>
    <row r="98" spans="1:8" ht="14.1" customHeight="1" x14ac:dyDescent="0.2">
      <c r="A98" s="1"/>
      <c r="B98" s="1"/>
      <c r="C98" s="2" t="s">
        <v>145</v>
      </c>
      <c r="D98" s="1"/>
      <c r="E98" s="1"/>
      <c r="F98" s="12"/>
      <c r="G98" s="12"/>
      <c r="H98" s="106"/>
    </row>
    <row r="99" spans="1:8" ht="14.1" customHeight="1" x14ac:dyDescent="0.2">
      <c r="A99" s="1"/>
      <c r="B99" s="1"/>
      <c r="C99" s="2" t="s">
        <v>130</v>
      </c>
      <c r="D99" s="1"/>
      <c r="E99" s="1" t="s">
        <v>131</v>
      </c>
      <c r="F99" s="13">
        <v>0</v>
      </c>
      <c r="G99" s="14">
        <v>0</v>
      </c>
      <c r="H99" s="106"/>
    </row>
    <row r="100" spans="1:8" ht="14.1" customHeight="1" x14ac:dyDescent="0.2">
      <c r="A100" s="1"/>
      <c r="B100" s="1"/>
      <c r="C100" s="11"/>
      <c r="D100" s="1"/>
      <c r="E100" s="1"/>
      <c r="F100" s="12"/>
      <c r="G100" s="12"/>
      <c r="H100" s="106"/>
    </row>
    <row r="101" spans="1:8" ht="14.1" customHeight="1" x14ac:dyDescent="0.2">
      <c r="A101" s="1"/>
      <c r="B101" s="1"/>
      <c r="C101" s="2" t="s">
        <v>146</v>
      </c>
      <c r="D101" s="1"/>
      <c r="E101" s="1"/>
      <c r="F101" s="12"/>
      <c r="G101" s="12"/>
      <c r="H101" s="106"/>
    </row>
    <row r="102" spans="1:8" ht="14.1" customHeight="1" x14ac:dyDescent="0.2">
      <c r="A102" s="1"/>
      <c r="B102" s="1"/>
      <c r="C102" s="2" t="s">
        <v>130</v>
      </c>
      <c r="D102" s="1"/>
      <c r="E102" s="1" t="s">
        <v>131</v>
      </c>
      <c r="F102" s="13">
        <v>0</v>
      </c>
      <c r="G102" s="14">
        <v>0</v>
      </c>
      <c r="H102" s="106"/>
    </row>
    <row r="103" spans="1:8" ht="14.1" customHeight="1" x14ac:dyDescent="0.2">
      <c r="A103" s="1"/>
      <c r="B103" s="1"/>
      <c r="C103" s="11"/>
      <c r="D103" s="1"/>
      <c r="E103" s="1"/>
      <c r="F103" s="12"/>
      <c r="G103" s="12"/>
      <c r="H103" s="106"/>
    </row>
    <row r="104" spans="1:8" ht="14.1" customHeight="1" x14ac:dyDescent="0.2">
      <c r="A104" s="1"/>
      <c r="B104" s="1"/>
      <c r="C104" s="2" t="s">
        <v>147</v>
      </c>
      <c r="D104" s="1"/>
      <c r="E104" s="1"/>
      <c r="F104" s="12"/>
      <c r="G104" s="12"/>
      <c r="H104" s="106"/>
    </row>
    <row r="105" spans="1:8" ht="17.100000000000001" customHeight="1" x14ac:dyDescent="0.2">
      <c r="A105" s="3">
        <v>1</v>
      </c>
      <c r="B105" s="4"/>
      <c r="C105" s="4" t="s">
        <v>148</v>
      </c>
      <c r="D105" s="4"/>
      <c r="E105" s="8"/>
      <c r="F105" s="6">
        <v>2476.3619785999999</v>
      </c>
      <c r="G105" s="7">
        <v>7.1887093999999999E-2</v>
      </c>
      <c r="H105" s="106">
        <v>6.1171451766917002</v>
      </c>
    </row>
    <row r="106" spans="1:8" ht="14.1" customHeight="1" x14ac:dyDescent="0.2">
      <c r="A106" s="1"/>
      <c r="B106" s="1"/>
      <c r="C106" s="2" t="s">
        <v>130</v>
      </c>
      <c r="D106" s="1"/>
      <c r="E106" s="1" t="s">
        <v>131</v>
      </c>
      <c r="F106" s="9">
        <v>2476.3619785999999</v>
      </c>
      <c r="G106" s="10">
        <v>7.1887093999999999E-2</v>
      </c>
      <c r="H106" s="106"/>
    </row>
    <row r="107" spans="1:8" ht="14.1" customHeight="1" x14ac:dyDescent="0.2">
      <c r="A107" s="1"/>
      <c r="B107" s="1"/>
      <c r="C107" s="11"/>
      <c r="D107" s="1"/>
      <c r="E107" s="1"/>
      <c r="F107" s="12"/>
      <c r="G107" s="12"/>
      <c r="H107" s="106"/>
    </row>
    <row r="108" spans="1:8" ht="14.1" customHeight="1" x14ac:dyDescent="0.2">
      <c r="A108" s="1"/>
      <c r="B108" s="1"/>
      <c r="C108" s="2" t="s">
        <v>149</v>
      </c>
      <c r="D108" s="1"/>
      <c r="E108" s="1"/>
      <c r="F108" s="9">
        <v>2476.3619785999999</v>
      </c>
      <c r="G108" s="10">
        <v>7.1887093999999999E-2</v>
      </c>
      <c r="H108" s="106"/>
    </row>
    <row r="109" spans="1:8" ht="14.1" customHeight="1" x14ac:dyDescent="0.2">
      <c r="A109" s="1"/>
      <c r="B109" s="1"/>
      <c r="C109" s="12"/>
      <c r="D109" s="1"/>
      <c r="E109" s="1"/>
      <c r="F109" s="1"/>
      <c r="G109" s="1"/>
      <c r="H109" s="106"/>
    </row>
    <row r="110" spans="1:8" ht="14.1" customHeight="1" x14ac:dyDescent="0.2">
      <c r="A110" s="1"/>
      <c r="B110" s="1"/>
      <c r="C110" s="2" t="s">
        <v>150</v>
      </c>
      <c r="D110" s="1"/>
      <c r="E110" s="1"/>
      <c r="F110" s="1"/>
      <c r="G110" s="1"/>
      <c r="H110" s="106"/>
    </row>
    <row r="111" spans="1:8" ht="14.1" customHeight="1" x14ac:dyDescent="0.2">
      <c r="A111" s="1"/>
      <c r="B111" s="1"/>
      <c r="C111" s="2" t="s">
        <v>151</v>
      </c>
      <c r="D111" s="1"/>
      <c r="E111" s="1"/>
      <c r="F111" s="1"/>
      <c r="G111" s="1"/>
      <c r="H111" s="106"/>
    </row>
    <row r="112" spans="1:8" ht="14.1" customHeight="1" x14ac:dyDescent="0.2">
      <c r="A112" s="1"/>
      <c r="B112" s="1"/>
      <c r="C112" s="2" t="s">
        <v>130</v>
      </c>
      <c r="D112" s="1"/>
      <c r="E112" s="1" t="s">
        <v>131</v>
      </c>
      <c r="F112" s="13">
        <v>0</v>
      </c>
      <c r="G112" s="14">
        <v>0</v>
      </c>
      <c r="H112" s="106"/>
    </row>
    <row r="113" spans="1:14" ht="14.1" customHeight="1" x14ac:dyDescent="0.2">
      <c r="A113" s="1"/>
      <c r="B113" s="1"/>
      <c r="C113" s="11"/>
      <c r="D113" s="1"/>
      <c r="E113" s="1"/>
      <c r="F113" s="12"/>
      <c r="G113" s="12"/>
      <c r="H113" s="106"/>
    </row>
    <row r="114" spans="1:14" ht="14.1" customHeight="1" x14ac:dyDescent="0.2">
      <c r="A114" s="1"/>
      <c r="B114" s="1"/>
      <c r="C114" s="2" t="s">
        <v>152</v>
      </c>
      <c r="D114" s="1"/>
      <c r="E114" s="1"/>
      <c r="F114" s="1"/>
      <c r="G114" s="1"/>
      <c r="H114" s="106"/>
    </row>
    <row r="115" spans="1:14" ht="14.1" customHeight="1" x14ac:dyDescent="0.2">
      <c r="A115" s="1"/>
      <c r="B115" s="1"/>
      <c r="C115" s="2" t="s">
        <v>153</v>
      </c>
      <c r="D115" s="1"/>
      <c r="E115" s="1"/>
      <c r="F115" s="1"/>
      <c r="G115" s="1"/>
      <c r="H115" s="106"/>
    </row>
    <row r="116" spans="1:14" ht="14.1" customHeight="1" x14ac:dyDescent="0.2">
      <c r="A116" s="1"/>
      <c r="B116" s="1"/>
      <c r="C116" s="2" t="s">
        <v>130</v>
      </c>
      <c r="D116" s="1"/>
      <c r="E116" s="1" t="s">
        <v>131</v>
      </c>
      <c r="F116" s="13">
        <v>0</v>
      </c>
      <c r="G116" s="14">
        <v>0</v>
      </c>
      <c r="H116" s="106"/>
    </row>
    <row r="117" spans="1:14" ht="14.1" customHeight="1" x14ac:dyDescent="0.2">
      <c r="A117" s="1"/>
      <c r="B117" s="1"/>
      <c r="C117" s="11"/>
      <c r="D117" s="1"/>
      <c r="E117" s="1"/>
      <c r="F117" s="12"/>
      <c r="G117" s="12"/>
      <c r="H117" s="106"/>
    </row>
    <row r="118" spans="1:14" ht="14.1" customHeight="1" x14ac:dyDescent="0.2">
      <c r="A118" s="1"/>
      <c r="B118" s="1"/>
      <c r="C118" s="11"/>
      <c r="D118" s="1"/>
      <c r="E118" s="1"/>
      <c r="F118" s="12"/>
      <c r="G118" s="12"/>
      <c r="H118" s="106"/>
    </row>
    <row r="119" spans="1:14" ht="24" customHeight="1" x14ac:dyDescent="0.2">
      <c r="A119" s="1"/>
      <c r="B119" s="1"/>
      <c r="C119" s="2" t="s">
        <v>154</v>
      </c>
      <c r="D119" s="1"/>
      <c r="E119" s="1"/>
      <c r="F119" s="12"/>
      <c r="G119" s="12"/>
      <c r="H119" s="106"/>
    </row>
    <row r="120" spans="1:14" ht="14.1" customHeight="1" x14ac:dyDescent="0.2">
      <c r="A120" s="1"/>
      <c r="B120" s="1"/>
      <c r="C120" s="2" t="s">
        <v>130</v>
      </c>
      <c r="D120" s="1"/>
      <c r="E120" s="1" t="s">
        <v>131</v>
      </c>
      <c r="F120" s="13">
        <v>0</v>
      </c>
      <c r="G120" s="14">
        <v>0</v>
      </c>
      <c r="H120" s="106"/>
    </row>
    <row r="121" spans="1:14" ht="14.1" customHeight="1" x14ac:dyDescent="0.2">
      <c r="A121" s="1"/>
      <c r="B121" s="1"/>
      <c r="C121" s="11"/>
      <c r="D121" s="1"/>
      <c r="E121" s="1"/>
      <c r="F121" s="12"/>
      <c r="G121" s="12"/>
      <c r="H121" s="106"/>
      <c r="J121" s="107"/>
      <c r="K121" s="107"/>
      <c r="L121" s="107"/>
      <c r="M121" s="107"/>
      <c r="N121" s="107"/>
    </row>
    <row r="122" spans="1:14" ht="14.1" customHeight="1" x14ac:dyDescent="0.2">
      <c r="A122" s="1"/>
      <c r="B122" s="4"/>
      <c r="C122" s="4"/>
      <c r="D122" s="2"/>
      <c r="E122" s="1"/>
      <c r="F122" s="4"/>
      <c r="G122" s="8"/>
      <c r="H122" s="106"/>
    </row>
    <row r="123" spans="1:14" ht="18" customHeight="1" x14ac:dyDescent="0.2">
      <c r="A123" s="8"/>
      <c r="B123" s="4"/>
      <c r="C123" s="102" t="s">
        <v>835</v>
      </c>
      <c r="D123" s="4"/>
      <c r="E123" s="8"/>
      <c r="F123" s="6">
        <v>-39.949079300000001</v>
      </c>
      <c r="G123" s="7">
        <v>-1.159694E-3</v>
      </c>
      <c r="H123" s="106"/>
    </row>
    <row r="124" spans="1:14" ht="14.1" customHeight="1" x14ac:dyDescent="0.2">
      <c r="A124" s="11"/>
      <c r="B124" s="11"/>
      <c r="C124" s="2" t="s">
        <v>156</v>
      </c>
      <c r="D124" s="15"/>
      <c r="E124" s="15"/>
      <c r="F124" s="9">
        <v>34447.935688799997</v>
      </c>
      <c r="G124" s="10">
        <v>1.000000003</v>
      </c>
      <c r="H124" s="106"/>
    </row>
    <row r="125" spans="1:14" ht="14.1" customHeight="1" x14ac:dyDescent="0.2">
      <c r="A125" s="16"/>
      <c r="B125" s="16"/>
      <c r="C125" s="16"/>
      <c r="D125" s="17"/>
      <c r="E125" s="17"/>
      <c r="F125" s="17"/>
      <c r="G125" s="17"/>
    </row>
    <row r="126" spans="1:14" ht="17.100000000000001" customHeight="1" x14ac:dyDescent="0.2">
      <c r="A126" s="18"/>
      <c r="B126" s="281" t="s">
        <v>601</v>
      </c>
      <c r="C126" s="281"/>
      <c r="D126" s="281"/>
      <c r="E126" s="281"/>
      <c r="F126" s="281"/>
      <c r="G126" s="20"/>
      <c r="I126" s="107"/>
    </row>
    <row r="127" spans="1:14" ht="17.100000000000001" customHeight="1" x14ac:dyDescent="0.2">
      <c r="A127" s="108"/>
      <c r="B127" s="289" t="s">
        <v>837</v>
      </c>
      <c r="C127" s="289"/>
      <c r="D127" s="289"/>
      <c r="E127" s="289"/>
      <c r="F127" s="289"/>
      <c r="G127" s="109"/>
    </row>
    <row r="128" spans="1:14" ht="17.100000000000001" customHeight="1" x14ac:dyDescent="0.2">
      <c r="A128" s="18"/>
      <c r="B128" s="281" t="s">
        <v>157</v>
      </c>
      <c r="C128" s="281"/>
      <c r="D128" s="281"/>
      <c r="E128" s="281"/>
      <c r="F128" s="281"/>
      <c r="G128" s="20"/>
    </row>
    <row r="129" spans="1:7" ht="14.1" customHeight="1" x14ac:dyDescent="0.2">
      <c r="A129" s="18"/>
      <c r="B129" s="18"/>
      <c r="C129" s="18"/>
      <c r="D129" s="20"/>
      <c r="E129" s="20"/>
      <c r="F129" s="20"/>
      <c r="G129" s="20"/>
    </row>
    <row r="130" spans="1:7" ht="14.1" customHeight="1" x14ac:dyDescent="0.2">
      <c r="A130" s="18"/>
      <c r="B130" s="279" t="s">
        <v>158</v>
      </c>
      <c r="C130" s="280"/>
      <c r="D130" s="12" t="s">
        <v>131</v>
      </c>
      <c r="E130" s="21"/>
      <c r="F130" s="20"/>
      <c r="G130" s="20"/>
    </row>
    <row r="131" spans="1:7" ht="29.1" customHeight="1" x14ac:dyDescent="0.2">
      <c r="A131" s="18"/>
      <c r="B131" s="274" t="s">
        <v>159</v>
      </c>
      <c r="C131" s="275"/>
      <c r="D131" s="62" t="s">
        <v>1041</v>
      </c>
      <c r="E131" s="21"/>
      <c r="F131" s="20"/>
      <c r="G131" s="20"/>
    </row>
    <row r="132" spans="1:7" ht="17.100000000000001" customHeight="1" x14ac:dyDescent="0.2">
      <c r="A132" s="18"/>
      <c r="B132" s="276" t="s">
        <v>1001</v>
      </c>
      <c r="C132" s="277"/>
      <c r="D132" s="62" t="s">
        <v>1005</v>
      </c>
      <c r="E132" s="21"/>
      <c r="F132" s="20"/>
      <c r="G132" s="20"/>
    </row>
    <row r="133" spans="1:7" ht="17.100000000000001" customHeight="1" x14ac:dyDescent="0.2">
      <c r="A133" s="18"/>
      <c r="B133" s="274" t="s">
        <v>162</v>
      </c>
      <c r="C133" s="275"/>
      <c r="D133" s="12" t="s">
        <v>131</v>
      </c>
      <c r="E133" s="21"/>
      <c r="F133" s="20"/>
      <c r="G133" s="20"/>
    </row>
    <row r="134" spans="1:7" ht="24" customHeight="1" x14ac:dyDescent="0.2">
      <c r="A134" s="22"/>
      <c r="B134" s="23" t="s">
        <v>131</v>
      </c>
      <c r="C134" s="23" t="s">
        <v>163</v>
      </c>
      <c r="D134" s="23" t="s">
        <v>164</v>
      </c>
      <c r="E134" s="22"/>
      <c r="F134" s="22"/>
      <c r="G134" s="22"/>
    </row>
    <row r="135" spans="1:7" ht="18" customHeight="1" x14ac:dyDescent="0.2">
      <c r="A135" s="22"/>
      <c r="B135" s="23" t="s">
        <v>165</v>
      </c>
      <c r="C135" s="23" t="s">
        <v>166</v>
      </c>
      <c r="D135" s="23" t="s">
        <v>167</v>
      </c>
      <c r="E135" s="22"/>
      <c r="F135" s="22"/>
      <c r="G135" s="22"/>
    </row>
    <row r="136" spans="1:7" ht="17.100000000000001" customHeight="1" x14ac:dyDescent="0.2">
      <c r="A136" s="22"/>
      <c r="B136" s="4" t="s">
        <v>168</v>
      </c>
      <c r="C136" s="24">
        <v>88.421199999999999</v>
      </c>
      <c r="D136" s="24">
        <v>92.637699999999995</v>
      </c>
      <c r="E136" s="22"/>
      <c r="F136" s="19"/>
      <c r="G136" s="25"/>
    </row>
    <row r="137" spans="1:7" ht="29.1" customHeight="1" x14ac:dyDescent="0.2">
      <c r="A137" s="22"/>
      <c r="B137" s="4" t="s">
        <v>1061</v>
      </c>
      <c r="C137" s="24">
        <v>47.222200000000001</v>
      </c>
      <c r="D137" s="24">
        <v>49.466900000000003</v>
      </c>
      <c r="E137" s="22"/>
      <c r="F137" s="19"/>
      <c r="G137" s="25"/>
    </row>
    <row r="138" spans="1:7" ht="17.100000000000001" customHeight="1" x14ac:dyDescent="0.2">
      <c r="A138" s="22"/>
      <c r="B138" s="4" t="s">
        <v>169</v>
      </c>
      <c r="C138" s="24">
        <v>83.889099999999999</v>
      </c>
      <c r="D138" s="24">
        <v>87.830699999999993</v>
      </c>
      <c r="E138" s="22"/>
      <c r="F138" s="19"/>
      <c r="G138" s="25"/>
    </row>
    <row r="139" spans="1:7" ht="29.1" customHeight="1" x14ac:dyDescent="0.2">
      <c r="A139" s="22"/>
      <c r="B139" s="4" t="s">
        <v>1062</v>
      </c>
      <c r="C139" s="24">
        <v>29.203199999999999</v>
      </c>
      <c r="D139" s="24">
        <v>30.575399999999998</v>
      </c>
      <c r="E139" s="22"/>
      <c r="F139" s="19"/>
      <c r="G139" s="25"/>
    </row>
    <row r="140" spans="1:7" ht="14.1" customHeight="1" x14ac:dyDescent="0.2">
      <c r="A140" s="22"/>
      <c r="B140" s="22"/>
      <c r="C140" s="22"/>
      <c r="D140" s="22"/>
      <c r="E140" s="22"/>
      <c r="F140" s="22"/>
      <c r="G140" s="22"/>
    </row>
    <row r="141" spans="1:7" ht="17.100000000000001" customHeight="1" x14ac:dyDescent="0.2">
      <c r="A141" s="22"/>
      <c r="B141" s="274" t="s">
        <v>1060</v>
      </c>
      <c r="C141" s="275"/>
      <c r="D141" s="2" t="s">
        <v>160</v>
      </c>
      <c r="E141" s="22"/>
      <c r="F141" s="22"/>
      <c r="G141" s="22"/>
    </row>
    <row r="142" spans="1:7" ht="18" customHeight="1" x14ac:dyDescent="0.2">
      <c r="A142" s="22"/>
      <c r="B142" s="26" t="s">
        <v>170</v>
      </c>
      <c r="C142" s="26" t="s">
        <v>170</v>
      </c>
      <c r="D142" s="26"/>
      <c r="E142" s="22"/>
      <c r="F142" s="22"/>
      <c r="G142" s="22"/>
    </row>
    <row r="143" spans="1:7" ht="29.1" customHeight="1" x14ac:dyDescent="0.2">
      <c r="A143" s="22"/>
      <c r="B143" s="274" t="s">
        <v>171</v>
      </c>
      <c r="C143" s="275"/>
      <c r="D143" s="2" t="s">
        <v>160</v>
      </c>
      <c r="E143" s="22"/>
      <c r="F143" s="22"/>
      <c r="G143" s="22"/>
    </row>
    <row r="144" spans="1:7" ht="29.1" customHeight="1" x14ac:dyDescent="0.2">
      <c r="A144" s="22"/>
      <c r="B144" s="274" t="s">
        <v>172</v>
      </c>
      <c r="C144" s="275"/>
      <c r="D144" s="2" t="s">
        <v>160</v>
      </c>
      <c r="E144" s="22"/>
      <c r="F144" s="22"/>
      <c r="G144" s="22"/>
    </row>
    <row r="145" spans="1:7" ht="17.100000000000001" customHeight="1" x14ac:dyDescent="0.2">
      <c r="A145" s="22"/>
      <c r="B145" s="274" t="s">
        <v>173</v>
      </c>
      <c r="C145" s="275"/>
      <c r="D145" s="27">
        <v>0.31035161973214243</v>
      </c>
      <c r="E145" s="22"/>
      <c r="F145" s="19"/>
      <c r="G145" s="25"/>
    </row>
    <row r="146" spans="1:7" ht="17.100000000000001" customHeight="1" x14ac:dyDescent="0.2">
      <c r="A146" s="22"/>
      <c r="B146" s="274" t="s">
        <v>174</v>
      </c>
      <c r="C146" s="275"/>
      <c r="D146" s="2" t="s">
        <v>160</v>
      </c>
      <c r="E146" s="22"/>
      <c r="F146" s="22"/>
      <c r="G146" s="22"/>
    </row>
    <row r="148" spans="1:7" x14ac:dyDescent="0.2">
      <c r="B148" s="133" t="s">
        <v>1040</v>
      </c>
      <c r="C148" s="133"/>
      <c r="D148" s="133"/>
      <c r="E148" s="134"/>
      <c r="F148" s="135"/>
    </row>
    <row r="149" spans="1:7" ht="38.25" x14ac:dyDescent="0.2">
      <c r="B149" s="136" t="s">
        <v>1014</v>
      </c>
      <c r="C149" s="137" t="s">
        <v>1015</v>
      </c>
      <c r="D149" s="137" t="s">
        <v>1016</v>
      </c>
      <c r="E149" s="137" t="s">
        <v>1017</v>
      </c>
      <c r="F149" s="137" t="s">
        <v>1018</v>
      </c>
    </row>
    <row r="150" spans="1:7" ht="25.5" x14ac:dyDescent="0.2">
      <c r="B150" s="138" t="s">
        <v>1037</v>
      </c>
      <c r="C150" s="139" t="s">
        <v>1038</v>
      </c>
      <c r="D150" s="140">
        <v>0</v>
      </c>
      <c r="E150" s="141">
        <v>0</v>
      </c>
      <c r="F150" s="142">
        <v>241.97234</v>
      </c>
    </row>
    <row r="151" spans="1:7" ht="25.5" x14ac:dyDescent="0.2">
      <c r="B151" s="138" t="s">
        <v>1039</v>
      </c>
      <c r="C151" s="139" t="s">
        <v>1038</v>
      </c>
      <c r="D151" s="140">
        <v>0</v>
      </c>
      <c r="E151" s="141">
        <v>0</v>
      </c>
      <c r="F151" s="142">
        <v>23.186299999999999</v>
      </c>
    </row>
  </sheetData>
  <mergeCells count="16">
    <mergeCell ref="J2:N2"/>
    <mergeCell ref="B130:C130"/>
    <mergeCell ref="B126:F126"/>
    <mergeCell ref="B128:F128"/>
    <mergeCell ref="B127:F127"/>
    <mergeCell ref="A1:H1"/>
    <mergeCell ref="A2:H2"/>
    <mergeCell ref="A3:H3"/>
    <mergeCell ref="B145:C145"/>
    <mergeCell ref="B146:C146"/>
    <mergeCell ref="B131:C131"/>
    <mergeCell ref="B132:C132"/>
    <mergeCell ref="B133:C133"/>
    <mergeCell ref="B141:C141"/>
    <mergeCell ref="B143:C143"/>
    <mergeCell ref="B144:C144"/>
  </mergeCells>
  <hyperlinks>
    <hyperlink ref="I1" location="Index!B26" display="Index" xr:uid="{41FA26B1-86D2-4B17-A554-EDEF75CEFB8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O19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1074</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264</v>
      </c>
      <c r="C7" s="4" t="s">
        <v>265</v>
      </c>
      <c r="D7" s="4" t="s">
        <v>16</v>
      </c>
      <c r="E7" s="5">
        <v>208423</v>
      </c>
      <c r="F7" s="6">
        <v>3119.4670409999999</v>
      </c>
      <c r="G7" s="7">
        <v>7.6672765000000004E-2</v>
      </c>
      <c r="H7" s="106"/>
    </row>
    <row r="8" spans="1:14" ht="17.100000000000001" customHeight="1" x14ac:dyDescent="0.2">
      <c r="A8" s="3">
        <v>2</v>
      </c>
      <c r="B8" s="4" t="s">
        <v>14</v>
      </c>
      <c r="C8" s="4" t="s">
        <v>15</v>
      </c>
      <c r="D8" s="4" t="s">
        <v>16</v>
      </c>
      <c r="E8" s="5">
        <v>325433</v>
      </c>
      <c r="F8" s="6">
        <v>2957.2096710000001</v>
      </c>
      <c r="G8" s="7">
        <v>7.2684673000000005E-2</v>
      </c>
      <c r="H8" s="106"/>
    </row>
    <row r="9" spans="1:14" ht="17.100000000000001" customHeight="1" x14ac:dyDescent="0.2">
      <c r="A9" s="3">
        <v>3</v>
      </c>
      <c r="B9" s="4" t="s">
        <v>296</v>
      </c>
      <c r="C9" s="4" t="s">
        <v>297</v>
      </c>
      <c r="D9" s="4" t="s">
        <v>1114</v>
      </c>
      <c r="E9" s="5">
        <v>116000</v>
      </c>
      <c r="F9" s="6">
        <v>1783.674</v>
      </c>
      <c r="G9" s="7">
        <v>4.3840571000000002E-2</v>
      </c>
      <c r="H9" s="106"/>
    </row>
    <row r="10" spans="1:14" ht="17.100000000000001" customHeight="1" x14ac:dyDescent="0.2">
      <c r="A10" s="3">
        <v>4</v>
      </c>
      <c r="B10" s="4" t="s">
        <v>331</v>
      </c>
      <c r="C10" s="4" t="s">
        <v>332</v>
      </c>
      <c r="D10" s="4" t="s">
        <v>1114</v>
      </c>
      <c r="E10" s="5">
        <v>132600</v>
      </c>
      <c r="F10" s="6">
        <v>1410.0684000000001</v>
      </c>
      <c r="G10" s="7">
        <v>3.4657792999999999E-2</v>
      </c>
      <c r="H10" s="106"/>
    </row>
    <row r="11" spans="1:14" ht="53.1" customHeight="1" x14ac:dyDescent="0.2">
      <c r="A11" s="3">
        <v>5</v>
      </c>
      <c r="B11" s="4" t="s">
        <v>46</v>
      </c>
      <c r="C11" s="4" t="s">
        <v>47</v>
      </c>
      <c r="D11" s="4" t="s">
        <v>48</v>
      </c>
      <c r="E11" s="5">
        <v>918500</v>
      </c>
      <c r="F11" s="6">
        <v>1408.0605</v>
      </c>
      <c r="G11" s="7">
        <v>3.4608440999999997E-2</v>
      </c>
      <c r="H11" s="106"/>
      <c r="J11" s="161" t="s">
        <v>1099</v>
      </c>
      <c r="K11" s="170"/>
      <c r="L11" s="170"/>
      <c r="M11" s="170"/>
      <c r="N11" s="170"/>
    </row>
    <row r="12" spans="1:14" ht="17.100000000000001" customHeight="1" x14ac:dyDescent="0.2">
      <c r="A12" s="3">
        <v>6</v>
      </c>
      <c r="B12" s="4" t="s">
        <v>308</v>
      </c>
      <c r="C12" s="4" t="s">
        <v>309</v>
      </c>
      <c r="D12" s="4" t="s">
        <v>310</v>
      </c>
      <c r="E12" s="5">
        <v>48458</v>
      </c>
      <c r="F12" s="6">
        <v>1236.018206</v>
      </c>
      <c r="G12" s="7">
        <v>3.0379848000000001E-2</v>
      </c>
      <c r="H12" s="106"/>
    </row>
    <row r="13" spans="1:14" ht="29.1" customHeight="1" x14ac:dyDescent="0.2">
      <c r="A13" s="3">
        <v>7</v>
      </c>
      <c r="B13" s="4" t="s">
        <v>298</v>
      </c>
      <c r="C13" s="4" t="s">
        <v>299</v>
      </c>
      <c r="D13" s="4" t="s">
        <v>99</v>
      </c>
      <c r="E13" s="5">
        <v>47100</v>
      </c>
      <c r="F13" s="6">
        <v>1163.2757999999999</v>
      </c>
      <c r="G13" s="7">
        <v>2.8591926E-2</v>
      </c>
      <c r="H13" s="106"/>
    </row>
    <row r="14" spans="1:14" ht="17.100000000000001" customHeight="1" x14ac:dyDescent="0.2">
      <c r="A14" s="3">
        <v>8</v>
      </c>
      <c r="B14" s="4" t="s">
        <v>178</v>
      </c>
      <c r="C14" s="4" t="s">
        <v>179</v>
      </c>
      <c r="D14" s="4" t="s">
        <v>16</v>
      </c>
      <c r="E14" s="5">
        <v>121365</v>
      </c>
      <c r="F14" s="6">
        <v>1099.5669</v>
      </c>
      <c r="G14" s="7">
        <v>2.7026037999999999E-2</v>
      </c>
      <c r="H14" s="106"/>
    </row>
    <row r="15" spans="1:14" ht="17.100000000000001" customHeight="1" x14ac:dyDescent="0.2">
      <c r="A15" s="3">
        <v>9</v>
      </c>
      <c r="B15" s="4" t="s">
        <v>42</v>
      </c>
      <c r="C15" s="4" t="s">
        <v>43</v>
      </c>
      <c r="D15" s="4" t="s">
        <v>16</v>
      </c>
      <c r="E15" s="5">
        <v>186812</v>
      </c>
      <c r="F15" s="6">
        <v>1071.9272559999999</v>
      </c>
      <c r="G15" s="7">
        <v>2.6346689E-2</v>
      </c>
      <c r="H15" s="106"/>
    </row>
    <row r="16" spans="1:14" ht="17.100000000000001" customHeight="1" x14ac:dyDescent="0.2">
      <c r="A16" s="3">
        <v>10</v>
      </c>
      <c r="B16" s="4" t="s">
        <v>68</v>
      </c>
      <c r="C16" s="4" t="s">
        <v>69</v>
      </c>
      <c r="D16" s="4" t="s">
        <v>70</v>
      </c>
      <c r="E16" s="5">
        <v>10000</v>
      </c>
      <c r="F16" s="6">
        <v>952.76</v>
      </c>
      <c r="G16" s="7">
        <v>2.34177E-2</v>
      </c>
      <c r="H16" s="106"/>
    </row>
    <row r="17" spans="1:14" ht="17.100000000000001" customHeight="1" x14ac:dyDescent="0.2">
      <c r="A17" s="3">
        <v>11</v>
      </c>
      <c r="B17" s="4" t="s">
        <v>348</v>
      </c>
      <c r="C17" s="4" t="s">
        <v>349</v>
      </c>
      <c r="D17" s="4" t="s">
        <v>99</v>
      </c>
      <c r="E17" s="5">
        <v>13125</v>
      </c>
      <c r="F17" s="6">
        <v>937.66312500000004</v>
      </c>
      <c r="G17" s="7">
        <v>2.3046636999999998E-2</v>
      </c>
      <c r="H17" s="106"/>
    </row>
    <row r="18" spans="1:14" ht="17.100000000000001" customHeight="1" x14ac:dyDescent="0.2">
      <c r="A18" s="3">
        <v>12</v>
      </c>
      <c r="B18" s="4" t="s">
        <v>603</v>
      </c>
      <c r="C18" s="4" t="s">
        <v>604</v>
      </c>
      <c r="D18" s="4" t="s">
        <v>182</v>
      </c>
      <c r="E18" s="5">
        <v>880552</v>
      </c>
      <c r="F18" s="6">
        <v>792.05652399999997</v>
      </c>
      <c r="G18" s="7">
        <v>1.9467801E-2</v>
      </c>
      <c r="H18" s="106"/>
    </row>
    <row r="19" spans="1:14" ht="17.100000000000001" customHeight="1" x14ac:dyDescent="0.2">
      <c r="A19" s="3">
        <v>13</v>
      </c>
      <c r="B19" s="4" t="s">
        <v>511</v>
      </c>
      <c r="C19" s="4" t="s">
        <v>512</v>
      </c>
      <c r="D19" s="4" t="s">
        <v>324</v>
      </c>
      <c r="E19" s="5">
        <v>15000</v>
      </c>
      <c r="F19" s="6">
        <v>622.41</v>
      </c>
      <c r="G19" s="7">
        <v>1.5298093E-2</v>
      </c>
      <c r="H19" s="106"/>
    </row>
    <row r="20" spans="1:14" ht="17.100000000000001" customHeight="1" x14ac:dyDescent="0.2">
      <c r="A20" s="3">
        <v>14</v>
      </c>
      <c r="B20" s="4" t="s">
        <v>75</v>
      </c>
      <c r="C20" s="4" t="s">
        <v>76</v>
      </c>
      <c r="D20" s="4" t="s">
        <v>36</v>
      </c>
      <c r="E20" s="5">
        <v>220555</v>
      </c>
      <c r="F20" s="6">
        <v>617.11288999999999</v>
      </c>
      <c r="G20" s="7">
        <v>1.5167896E-2</v>
      </c>
      <c r="H20" s="106"/>
    </row>
    <row r="21" spans="1:14" ht="17.100000000000001" customHeight="1" x14ac:dyDescent="0.2">
      <c r="A21" s="3">
        <v>15</v>
      </c>
      <c r="B21" s="4" t="s">
        <v>521</v>
      </c>
      <c r="C21" s="102" t="s">
        <v>1050</v>
      </c>
      <c r="D21" s="4" t="s">
        <v>70</v>
      </c>
      <c r="E21" s="5">
        <v>260000</v>
      </c>
      <c r="F21" s="6">
        <v>611.52</v>
      </c>
      <c r="G21" s="7">
        <v>1.5030429E-2</v>
      </c>
      <c r="H21" s="106"/>
    </row>
    <row r="22" spans="1:14" ht="17.100000000000001" customHeight="1" x14ac:dyDescent="0.2">
      <c r="A22" s="3">
        <v>16</v>
      </c>
      <c r="B22" s="4" t="s">
        <v>37</v>
      </c>
      <c r="C22" s="4" t="s">
        <v>38</v>
      </c>
      <c r="D22" s="4" t="s">
        <v>31</v>
      </c>
      <c r="E22" s="5">
        <v>22000</v>
      </c>
      <c r="F22" s="6">
        <v>611.03899999999999</v>
      </c>
      <c r="G22" s="7">
        <v>1.5018607E-2</v>
      </c>
      <c r="H22" s="106"/>
    </row>
    <row r="23" spans="1:14" ht="17.100000000000001" customHeight="1" x14ac:dyDescent="0.2">
      <c r="A23" s="3">
        <v>17</v>
      </c>
      <c r="B23" s="4" t="s">
        <v>346</v>
      </c>
      <c r="C23" s="4" t="s">
        <v>347</v>
      </c>
      <c r="D23" s="4" t="s">
        <v>16</v>
      </c>
      <c r="E23" s="5">
        <v>209000</v>
      </c>
      <c r="F23" s="6">
        <v>606.93600000000004</v>
      </c>
      <c r="G23" s="7">
        <v>1.491776E-2</v>
      </c>
      <c r="H23" s="106"/>
    </row>
    <row r="24" spans="1:14" ht="17.100000000000001" customHeight="1" x14ac:dyDescent="0.2">
      <c r="A24" s="3">
        <v>18</v>
      </c>
      <c r="B24" s="4" t="s">
        <v>176</v>
      </c>
      <c r="C24" s="4" t="s">
        <v>177</v>
      </c>
      <c r="D24" s="4" t="s">
        <v>16</v>
      </c>
      <c r="E24" s="5">
        <v>400000</v>
      </c>
      <c r="F24" s="6">
        <v>526</v>
      </c>
      <c r="G24" s="7">
        <v>1.2928449999999999E-2</v>
      </c>
      <c r="H24" s="106"/>
    </row>
    <row r="25" spans="1:14" ht="17.100000000000001" customHeight="1" x14ac:dyDescent="0.2">
      <c r="A25" s="3">
        <v>19</v>
      </c>
      <c r="B25" s="4" t="s">
        <v>20</v>
      </c>
      <c r="C25" s="4" t="s">
        <v>21</v>
      </c>
      <c r="D25" s="4" t="s">
        <v>22</v>
      </c>
      <c r="E25" s="5">
        <v>19000</v>
      </c>
      <c r="F25" s="6">
        <v>484.42399999999998</v>
      </c>
      <c r="G25" s="7">
        <v>1.1906562000000001E-2</v>
      </c>
      <c r="H25" s="106"/>
    </row>
    <row r="26" spans="1:14" ht="29.1" customHeight="1" x14ac:dyDescent="0.2">
      <c r="A26" s="3">
        <v>20</v>
      </c>
      <c r="B26" s="4" t="s">
        <v>97</v>
      </c>
      <c r="C26" s="4" t="s">
        <v>98</v>
      </c>
      <c r="D26" s="4" t="s">
        <v>99</v>
      </c>
      <c r="E26" s="5">
        <v>67000</v>
      </c>
      <c r="F26" s="6">
        <v>475.2645</v>
      </c>
      <c r="G26" s="7">
        <v>1.1681432E-2</v>
      </c>
      <c r="H26" s="106"/>
    </row>
    <row r="27" spans="1:14" ht="17.100000000000001" customHeight="1" x14ac:dyDescent="0.2">
      <c r="A27" s="3">
        <v>21</v>
      </c>
      <c r="B27" s="4" t="s">
        <v>306</v>
      </c>
      <c r="C27" s="4" t="s">
        <v>307</v>
      </c>
      <c r="D27" s="4" t="s">
        <v>1114</v>
      </c>
      <c r="E27" s="5">
        <v>13950</v>
      </c>
      <c r="F27" s="6">
        <v>445.44442500000002</v>
      </c>
      <c r="G27" s="7">
        <v>1.0948490999999999E-2</v>
      </c>
      <c r="H27" s="106"/>
    </row>
    <row r="28" spans="1:14" ht="53.1" customHeight="1" x14ac:dyDescent="0.2">
      <c r="A28" s="3">
        <v>22</v>
      </c>
      <c r="B28" s="4" t="s">
        <v>90</v>
      </c>
      <c r="C28" s="4" t="s">
        <v>91</v>
      </c>
      <c r="D28" s="4" t="s">
        <v>48</v>
      </c>
      <c r="E28" s="5">
        <v>26000</v>
      </c>
      <c r="F28" s="6">
        <v>409.786</v>
      </c>
      <c r="G28" s="7">
        <v>1.0072049E-2</v>
      </c>
      <c r="H28" s="106"/>
    </row>
    <row r="29" spans="1:14" ht="17.100000000000001" customHeight="1" x14ac:dyDescent="0.2">
      <c r="A29" s="3">
        <v>23</v>
      </c>
      <c r="B29" s="4" t="s">
        <v>341</v>
      </c>
      <c r="C29" s="4" t="s">
        <v>342</v>
      </c>
      <c r="D29" s="4" t="s">
        <v>237</v>
      </c>
      <c r="E29" s="5">
        <v>399500</v>
      </c>
      <c r="F29" s="6">
        <v>405.69225</v>
      </c>
      <c r="G29" s="7">
        <v>9.9714299999999999E-3</v>
      </c>
      <c r="H29" s="106"/>
    </row>
    <row r="30" spans="1:14" ht="17.100000000000001" customHeight="1" x14ac:dyDescent="0.2">
      <c r="A30" s="3">
        <v>24</v>
      </c>
      <c r="B30" s="4" t="s">
        <v>100</v>
      </c>
      <c r="C30" s="4" t="s">
        <v>101</v>
      </c>
      <c r="D30" s="4" t="s">
        <v>96</v>
      </c>
      <c r="E30" s="5">
        <v>42000</v>
      </c>
      <c r="F30" s="6">
        <v>388.35300000000001</v>
      </c>
      <c r="G30" s="7">
        <v>9.5452520000000006E-3</v>
      </c>
      <c r="H30" s="106"/>
    </row>
    <row r="31" spans="1:14" ht="17.100000000000001" customHeight="1" x14ac:dyDescent="0.2">
      <c r="A31" s="3">
        <v>25</v>
      </c>
      <c r="B31" s="4" t="s">
        <v>243</v>
      </c>
      <c r="C31" s="4" t="s">
        <v>244</v>
      </c>
      <c r="D31" s="4" t="s">
        <v>245</v>
      </c>
      <c r="E31" s="5">
        <v>53000</v>
      </c>
      <c r="F31" s="6">
        <v>375.26650000000001</v>
      </c>
      <c r="G31" s="7">
        <v>9.2236009999999997E-3</v>
      </c>
      <c r="H31" s="106"/>
      <c r="J31" s="170"/>
      <c r="K31" s="170"/>
      <c r="L31" s="170"/>
      <c r="M31" s="170"/>
      <c r="N31" s="170"/>
    </row>
    <row r="32" spans="1:14" ht="17.100000000000001" customHeight="1" x14ac:dyDescent="0.2">
      <c r="A32" s="3">
        <v>26</v>
      </c>
      <c r="B32" s="4" t="s">
        <v>605</v>
      </c>
      <c r="C32" s="4" t="s">
        <v>606</v>
      </c>
      <c r="D32" s="4" t="s">
        <v>185</v>
      </c>
      <c r="E32" s="5">
        <v>40000</v>
      </c>
      <c r="F32" s="6">
        <v>358.54</v>
      </c>
      <c r="G32" s="7">
        <v>8.8124840000000006E-3</v>
      </c>
      <c r="H32" s="106"/>
    </row>
    <row r="33" spans="1:8" ht="17.100000000000001" customHeight="1" x14ac:dyDescent="0.2">
      <c r="A33" s="3">
        <v>27</v>
      </c>
      <c r="B33" s="4" t="s">
        <v>228</v>
      </c>
      <c r="C33" s="4" t="s">
        <v>229</v>
      </c>
      <c r="D33" s="4" t="s">
        <v>230</v>
      </c>
      <c r="E33" s="5">
        <v>55785</v>
      </c>
      <c r="F33" s="6">
        <v>340.26060749999999</v>
      </c>
      <c r="G33" s="7">
        <v>8.3631980000000005E-3</v>
      </c>
      <c r="H33" s="106"/>
    </row>
    <row r="34" spans="1:8" ht="29.1" customHeight="1" x14ac:dyDescent="0.2">
      <c r="A34" s="3">
        <v>28</v>
      </c>
      <c r="B34" s="4" t="s">
        <v>189</v>
      </c>
      <c r="C34" s="4" t="s">
        <v>190</v>
      </c>
      <c r="D34" s="4" t="s">
        <v>110</v>
      </c>
      <c r="E34" s="5">
        <v>93000</v>
      </c>
      <c r="F34" s="6">
        <v>336.93900000000002</v>
      </c>
      <c r="G34" s="7">
        <v>8.2815570000000002E-3</v>
      </c>
      <c r="H34" s="106"/>
    </row>
    <row r="35" spans="1:8" ht="29.1" customHeight="1" x14ac:dyDescent="0.2">
      <c r="A35" s="3">
        <v>29</v>
      </c>
      <c r="B35" s="4" t="s">
        <v>23</v>
      </c>
      <c r="C35" s="4" t="s">
        <v>24</v>
      </c>
      <c r="D35" s="4" t="s">
        <v>25</v>
      </c>
      <c r="E35" s="5">
        <v>5000</v>
      </c>
      <c r="F35" s="6">
        <v>335.7475</v>
      </c>
      <c r="G35" s="7">
        <v>8.2522719999999997E-3</v>
      </c>
      <c r="H35" s="106"/>
    </row>
    <row r="36" spans="1:8" ht="17.100000000000001" customHeight="1" x14ac:dyDescent="0.2">
      <c r="A36" s="3">
        <v>30</v>
      </c>
      <c r="B36" s="4" t="s">
        <v>256</v>
      </c>
      <c r="C36" s="4" t="s">
        <v>257</v>
      </c>
      <c r="D36" s="4" t="s">
        <v>212</v>
      </c>
      <c r="E36" s="5">
        <v>120000</v>
      </c>
      <c r="F36" s="6">
        <v>332.94</v>
      </c>
      <c r="G36" s="7">
        <v>8.1832669999999993E-3</v>
      </c>
      <c r="H36" s="106"/>
    </row>
    <row r="37" spans="1:8" ht="17.100000000000001" customHeight="1" x14ac:dyDescent="0.2">
      <c r="A37" s="3">
        <v>31</v>
      </c>
      <c r="B37" s="4" t="s">
        <v>106</v>
      </c>
      <c r="C37" s="4" t="s">
        <v>107</v>
      </c>
      <c r="D37" s="4" t="s">
        <v>89</v>
      </c>
      <c r="E37" s="5">
        <v>69539</v>
      </c>
      <c r="F37" s="6">
        <v>323.63450599999999</v>
      </c>
      <c r="G37" s="7">
        <v>7.954549E-3</v>
      </c>
      <c r="H37" s="106"/>
    </row>
    <row r="38" spans="1:8" ht="29.1" customHeight="1" x14ac:dyDescent="0.2">
      <c r="A38" s="3">
        <v>32</v>
      </c>
      <c r="B38" s="4" t="s">
        <v>607</v>
      </c>
      <c r="C38" s="4" t="s">
        <v>608</v>
      </c>
      <c r="D38" s="4" t="s">
        <v>188</v>
      </c>
      <c r="E38" s="5">
        <v>20000</v>
      </c>
      <c r="F38" s="6">
        <v>314.44</v>
      </c>
      <c r="G38" s="7">
        <v>7.7285590000000003E-3</v>
      </c>
      <c r="H38" s="106"/>
    </row>
    <row r="39" spans="1:8" ht="17.100000000000001" customHeight="1" x14ac:dyDescent="0.2">
      <c r="A39" s="3">
        <v>33</v>
      </c>
      <c r="B39" s="4" t="s">
        <v>519</v>
      </c>
      <c r="C39" s="4" t="s">
        <v>520</v>
      </c>
      <c r="D39" s="4" t="s">
        <v>1114</v>
      </c>
      <c r="E39" s="5">
        <v>24014</v>
      </c>
      <c r="F39" s="6">
        <v>314.16315500000002</v>
      </c>
      <c r="G39" s="7">
        <v>7.7217539999999999E-3</v>
      </c>
      <c r="H39" s="106"/>
    </row>
    <row r="40" spans="1:8" ht="17.100000000000001" customHeight="1" x14ac:dyDescent="0.2">
      <c r="A40" s="3">
        <v>34</v>
      </c>
      <c r="B40" s="4" t="s">
        <v>11</v>
      </c>
      <c r="C40" s="4" t="s">
        <v>12</v>
      </c>
      <c r="D40" s="4" t="s">
        <v>13</v>
      </c>
      <c r="E40" s="5">
        <v>13950</v>
      </c>
      <c r="F40" s="6">
        <v>282.22244999999998</v>
      </c>
      <c r="G40" s="7">
        <v>6.9366899999999997E-3</v>
      </c>
      <c r="H40" s="106"/>
    </row>
    <row r="41" spans="1:8" ht="17.100000000000001" customHeight="1" x14ac:dyDescent="0.2">
      <c r="A41" s="3">
        <v>35</v>
      </c>
      <c r="B41" s="4" t="s">
        <v>609</v>
      </c>
      <c r="C41" s="4" t="s">
        <v>610</v>
      </c>
      <c r="D41" s="4" t="s">
        <v>41</v>
      </c>
      <c r="E41" s="5">
        <v>15000</v>
      </c>
      <c r="F41" s="6">
        <v>267.255</v>
      </c>
      <c r="G41" s="7">
        <v>6.5688079999999998E-3</v>
      </c>
      <c r="H41" s="106"/>
    </row>
    <row r="42" spans="1:8" ht="17.100000000000001" customHeight="1" x14ac:dyDescent="0.2">
      <c r="A42" s="3">
        <v>36</v>
      </c>
      <c r="B42" s="4" t="s">
        <v>611</v>
      </c>
      <c r="C42" s="4" t="s">
        <v>612</v>
      </c>
      <c r="D42" s="4" t="s">
        <v>613</v>
      </c>
      <c r="E42" s="5">
        <v>94550</v>
      </c>
      <c r="F42" s="6">
        <v>265.49639999999999</v>
      </c>
      <c r="G42" s="7">
        <v>6.5255840000000001E-3</v>
      </c>
      <c r="H42" s="106"/>
    </row>
    <row r="43" spans="1:8" ht="29.1" customHeight="1" x14ac:dyDescent="0.2">
      <c r="A43" s="3">
        <v>37</v>
      </c>
      <c r="B43" s="4" t="s">
        <v>302</v>
      </c>
      <c r="C43" s="4" t="s">
        <v>303</v>
      </c>
      <c r="D43" s="4" t="s">
        <v>204</v>
      </c>
      <c r="E43" s="5">
        <v>23742</v>
      </c>
      <c r="F43" s="6">
        <v>241.43239800000001</v>
      </c>
      <c r="G43" s="7">
        <v>5.9341189999999999E-3</v>
      </c>
      <c r="H43" s="106"/>
    </row>
    <row r="44" spans="1:8" ht="17.100000000000001" customHeight="1" x14ac:dyDescent="0.2">
      <c r="A44" s="3">
        <v>38</v>
      </c>
      <c r="B44" s="4" t="s">
        <v>532</v>
      </c>
      <c r="C44" s="4" t="s">
        <v>533</v>
      </c>
      <c r="D44" s="4" t="s">
        <v>268</v>
      </c>
      <c r="E44" s="5">
        <v>12505</v>
      </c>
      <c r="F44" s="6">
        <v>219.88792000000001</v>
      </c>
      <c r="G44" s="7">
        <v>5.4045819999999998E-3</v>
      </c>
      <c r="H44" s="106"/>
    </row>
    <row r="45" spans="1:8" ht="17.100000000000001" customHeight="1" x14ac:dyDescent="0.2">
      <c r="A45" s="3">
        <v>39</v>
      </c>
      <c r="B45" s="4" t="s">
        <v>258</v>
      </c>
      <c r="C45" s="4" t="s">
        <v>259</v>
      </c>
      <c r="D45" s="4" t="s">
        <v>99</v>
      </c>
      <c r="E45" s="5">
        <v>13000</v>
      </c>
      <c r="F45" s="6">
        <v>219.375</v>
      </c>
      <c r="G45" s="7">
        <v>5.3919750000000002E-3</v>
      </c>
      <c r="H45" s="106"/>
    </row>
    <row r="46" spans="1:8" ht="17.100000000000001" customHeight="1" x14ac:dyDescent="0.2">
      <c r="A46" s="3">
        <v>40</v>
      </c>
      <c r="B46" s="4" t="s">
        <v>562</v>
      </c>
      <c r="C46" s="4" t="s">
        <v>563</v>
      </c>
      <c r="D46" s="4" t="s">
        <v>110</v>
      </c>
      <c r="E46" s="5">
        <v>6600</v>
      </c>
      <c r="F46" s="6">
        <v>205.10820000000001</v>
      </c>
      <c r="G46" s="7">
        <v>5.0413139999999999E-3</v>
      </c>
      <c r="H46" s="106"/>
    </row>
    <row r="47" spans="1:8" ht="17.100000000000001" customHeight="1" x14ac:dyDescent="0.2">
      <c r="A47" s="3">
        <v>41</v>
      </c>
      <c r="B47" s="4" t="s">
        <v>528</v>
      </c>
      <c r="C47" s="4" t="s">
        <v>529</v>
      </c>
      <c r="D47" s="4" t="s">
        <v>70</v>
      </c>
      <c r="E47" s="5">
        <v>14930</v>
      </c>
      <c r="F47" s="6">
        <v>203.13011499999999</v>
      </c>
      <c r="G47" s="7">
        <v>4.9926950000000001E-3</v>
      </c>
      <c r="H47" s="106"/>
    </row>
    <row r="48" spans="1:8" ht="17.100000000000001" customHeight="1" x14ac:dyDescent="0.2">
      <c r="A48" s="3">
        <v>42</v>
      </c>
      <c r="B48" s="4" t="s">
        <v>371</v>
      </c>
      <c r="C48" s="4" t="s">
        <v>372</v>
      </c>
      <c r="D48" s="4" t="s">
        <v>110</v>
      </c>
      <c r="E48" s="5">
        <v>7125</v>
      </c>
      <c r="F48" s="6">
        <v>196.75687500000001</v>
      </c>
      <c r="G48" s="7">
        <v>4.8360479999999999E-3</v>
      </c>
      <c r="H48" s="106"/>
    </row>
    <row r="49" spans="1:8" ht="17.100000000000001" customHeight="1" x14ac:dyDescent="0.2">
      <c r="A49" s="3">
        <v>43</v>
      </c>
      <c r="B49" s="4" t="s">
        <v>194</v>
      </c>
      <c r="C49" s="4" t="s">
        <v>195</v>
      </c>
      <c r="D49" s="4" t="s">
        <v>16</v>
      </c>
      <c r="E49" s="5">
        <v>128700</v>
      </c>
      <c r="F49" s="6">
        <v>190.0899</v>
      </c>
      <c r="G49" s="7">
        <v>4.6721820000000004E-3</v>
      </c>
      <c r="H49" s="106"/>
    </row>
    <row r="50" spans="1:8" ht="17.100000000000001" customHeight="1" x14ac:dyDescent="0.2">
      <c r="A50" s="3">
        <v>44</v>
      </c>
      <c r="B50" s="4" t="s">
        <v>262</v>
      </c>
      <c r="C50" s="4" t="s">
        <v>263</v>
      </c>
      <c r="D50" s="4" t="s">
        <v>110</v>
      </c>
      <c r="E50" s="5">
        <v>21793</v>
      </c>
      <c r="F50" s="6">
        <v>188.858138</v>
      </c>
      <c r="G50" s="7">
        <v>4.6419069999999998E-3</v>
      </c>
      <c r="H50" s="106"/>
    </row>
    <row r="51" spans="1:8" ht="17.100000000000001" customHeight="1" x14ac:dyDescent="0.2">
      <c r="A51" s="3">
        <v>45</v>
      </c>
      <c r="B51" s="4" t="s">
        <v>34</v>
      </c>
      <c r="C51" s="4" t="s">
        <v>35</v>
      </c>
      <c r="D51" s="4" t="s">
        <v>36</v>
      </c>
      <c r="E51" s="5">
        <v>5785</v>
      </c>
      <c r="F51" s="6">
        <v>176.42803749999999</v>
      </c>
      <c r="G51" s="7">
        <v>4.3363899999999999E-3</v>
      </c>
      <c r="H51" s="106"/>
    </row>
    <row r="52" spans="1:8" ht="29.1" customHeight="1" x14ac:dyDescent="0.2">
      <c r="A52" s="3">
        <v>46</v>
      </c>
      <c r="B52" s="4" t="s">
        <v>614</v>
      </c>
      <c r="C52" s="4" t="s">
        <v>615</v>
      </c>
      <c r="D52" s="4" t="s">
        <v>245</v>
      </c>
      <c r="E52" s="5">
        <v>15000</v>
      </c>
      <c r="F52" s="6">
        <v>175.49250000000001</v>
      </c>
      <c r="G52" s="7">
        <v>4.3133959999999997E-3</v>
      </c>
      <c r="H52" s="106"/>
    </row>
    <row r="53" spans="1:8" ht="17.100000000000001" customHeight="1" x14ac:dyDescent="0.2">
      <c r="A53" s="3">
        <v>47</v>
      </c>
      <c r="B53" s="4" t="s">
        <v>339</v>
      </c>
      <c r="C53" s="4" t="s">
        <v>340</v>
      </c>
      <c r="D53" s="4" t="s">
        <v>16</v>
      </c>
      <c r="E53" s="5">
        <v>15000</v>
      </c>
      <c r="F53" s="6">
        <v>171.39750000000001</v>
      </c>
      <c r="G53" s="7">
        <v>4.2127450000000004E-3</v>
      </c>
      <c r="H53" s="106"/>
    </row>
    <row r="54" spans="1:8" ht="29.1" customHeight="1" x14ac:dyDescent="0.2">
      <c r="A54" s="3">
        <v>48</v>
      </c>
      <c r="B54" s="4" t="s">
        <v>364</v>
      </c>
      <c r="C54" s="4" t="s">
        <v>365</v>
      </c>
      <c r="D54" s="4" t="s">
        <v>366</v>
      </c>
      <c r="E54" s="5">
        <v>21600</v>
      </c>
      <c r="F54" s="6">
        <v>166.35239999999999</v>
      </c>
      <c r="G54" s="7">
        <v>4.0887429999999997E-3</v>
      </c>
      <c r="H54" s="106"/>
    </row>
    <row r="55" spans="1:8" ht="17.100000000000001" customHeight="1" x14ac:dyDescent="0.2">
      <c r="A55" s="3">
        <v>49</v>
      </c>
      <c r="B55" s="4" t="s">
        <v>191</v>
      </c>
      <c r="C55" s="4" t="s">
        <v>192</v>
      </c>
      <c r="D55" s="4" t="s">
        <v>193</v>
      </c>
      <c r="E55" s="5">
        <v>325</v>
      </c>
      <c r="F55" s="6">
        <v>161.74811249999999</v>
      </c>
      <c r="G55" s="7">
        <v>3.9755750000000003E-3</v>
      </c>
      <c r="H55" s="106"/>
    </row>
    <row r="56" spans="1:8" ht="29.1" customHeight="1" x14ac:dyDescent="0.2">
      <c r="A56" s="3">
        <v>50</v>
      </c>
      <c r="B56" s="4" t="s">
        <v>252</v>
      </c>
      <c r="C56" s="4" t="s">
        <v>253</v>
      </c>
      <c r="D56" s="4" t="s">
        <v>204</v>
      </c>
      <c r="E56" s="5">
        <v>9000</v>
      </c>
      <c r="F56" s="6">
        <v>160.5915</v>
      </c>
      <c r="G56" s="7">
        <v>3.9471469999999998E-3</v>
      </c>
      <c r="H56" s="106"/>
    </row>
    <row r="57" spans="1:8" ht="17.100000000000001" customHeight="1" x14ac:dyDescent="0.2">
      <c r="A57" s="3">
        <v>51</v>
      </c>
      <c r="B57" s="4" t="s">
        <v>616</v>
      </c>
      <c r="C57" s="4" t="s">
        <v>617</v>
      </c>
      <c r="D57" s="4" t="s">
        <v>245</v>
      </c>
      <c r="E57" s="5">
        <v>26400</v>
      </c>
      <c r="F57" s="6">
        <v>142.6788</v>
      </c>
      <c r="G57" s="7">
        <v>3.5068740000000001E-3</v>
      </c>
      <c r="H57" s="106"/>
    </row>
    <row r="58" spans="1:8" ht="17.100000000000001" customHeight="1" x14ac:dyDescent="0.2">
      <c r="A58" s="3">
        <v>52</v>
      </c>
      <c r="B58" s="4" t="s">
        <v>538</v>
      </c>
      <c r="C58" s="4" t="s">
        <v>539</v>
      </c>
      <c r="D58" s="4" t="s">
        <v>89</v>
      </c>
      <c r="E58" s="5">
        <v>41932</v>
      </c>
      <c r="F58" s="6">
        <v>138.27077</v>
      </c>
      <c r="G58" s="7">
        <v>3.3985299999999999E-3</v>
      </c>
      <c r="H58" s="106"/>
    </row>
    <row r="59" spans="1:8" ht="17.100000000000001" customHeight="1" x14ac:dyDescent="0.2">
      <c r="A59" s="3">
        <v>53</v>
      </c>
      <c r="B59" s="4" t="s">
        <v>558</v>
      </c>
      <c r="C59" s="4" t="s">
        <v>559</v>
      </c>
      <c r="D59" s="4" t="s">
        <v>182</v>
      </c>
      <c r="E59" s="5">
        <v>9417</v>
      </c>
      <c r="F59" s="6">
        <v>136.45703850000001</v>
      </c>
      <c r="G59" s="7">
        <v>3.353951E-3</v>
      </c>
      <c r="H59" s="106"/>
    </row>
    <row r="60" spans="1:8" ht="17.100000000000001" customHeight="1" x14ac:dyDescent="0.2">
      <c r="A60" s="3">
        <v>54</v>
      </c>
      <c r="B60" s="4" t="s">
        <v>269</v>
      </c>
      <c r="C60" s="4" t="s">
        <v>270</v>
      </c>
      <c r="D60" s="4" t="s">
        <v>89</v>
      </c>
      <c r="E60" s="5">
        <v>21946</v>
      </c>
      <c r="F60" s="6">
        <v>117.784182</v>
      </c>
      <c r="G60" s="7">
        <v>2.8949940000000001E-3</v>
      </c>
      <c r="H60" s="106"/>
    </row>
    <row r="61" spans="1:8" ht="17.100000000000001" customHeight="1" x14ac:dyDescent="0.2">
      <c r="A61" s="3">
        <v>55</v>
      </c>
      <c r="B61" s="4" t="s">
        <v>311</v>
      </c>
      <c r="C61" s="4" t="s">
        <v>312</v>
      </c>
      <c r="D61" s="4" t="s">
        <v>70</v>
      </c>
      <c r="E61" s="5">
        <v>8400</v>
      </c>
      <c r="F61" s="6">
        <v>113.2824</v>
      </c>
      <c r="G61" s="7">
        <v>2.784346E-3</v>
      </c>
      <c r="H61" s="106"/>
    </row>
    <row r="62" spans="1:8" ht="17.100000000000001" customHeight="1" x14ac:dyDescent="0.2">
      <c r="A62" s="3">
        <v>56</v>
      </c>
      <c r="B62" s="4" t="s">
        <v>125</v>
      </c>
      <c r="C62" s="4" t="s">
        <v>126</v>
      </c>
      <c r="D62" s="4"/>
      <c r="E62" s="5">
        <v>26000</v>
      </c>
      <c r="F62" s="6">
        <v>78.454999999999998</v>
      </c>
      <c r="G62" s="7">
        <v>1.92833E-3</v>
      </c>
      <c r="H62" s="106"/>
    </row>
    <row r="63" spans="1:8" ht="29.1" customHeight="1" x14ac:dyDescent="0.2">
      <c r="A63" s="3">
        <v>57</v>
      </c>
      <c r="B63" s="4" t="s">
        <v>352</v>
      </c>
      <c r="C63" s="4" t="s">
        <v>353</v>
      </c>
      <c r="D63" s="4" t="s">
        <v>204</v>
      </c>
      <c r="E63" s="5">
        <v>1650</v>
      </c>
      <c r="F63" s="6">
        <v>59.546849999999999</v>
      </c>
      <c r="G63" s="7">
        <v>1.4635900000000001E-3</v>
      </c>
      <c r="H63" s="106"/>
    </row>
    <row r="64" spans="1:8" ht="29.1" customHeight="1" x14ac:dyDescent="0.2">
      <c r="A64" s="3">
        <v>58</v>
      </c>
      <c r="B64" s="4" t="s">
        <v>83</v>
      </c>
      <c r="C64" s="4" t="s">
        <v>84</v>
      </c>
      <c r="D64" s="4" t="s">
        <v>25</v>
      </c>
      <c r="E64" s="5">
        <v>9000</v>
      </c>
      <c r="F64" s="6">
        <v>47.965499999999999</v>
      </c>
      <c r="G64" s="7">
        <v>1.1789350000000001E-3</v>
      </c>
      <c r="H64" s="106"/>
    </row>
    <row r="65" spans="1:8" ht="17.100000000000001" customHeight="1" x14ac:dyDescent="0.2">
      <c r="A65" s="3">
        <v>59</v>
      </c>
      <c r="B65" s="4" t="s">
        <v>279</v>
      </c>
      <c r="C65" s="4" t="s">
        <v>280</v>
      </c>
      <c r="D65" s="4" t="s">
        <v>22</v>
      </c>
      <c r="E65" s="5">
        <v>10800</v>
      </c>
      <c r="F65" s="6">
        <v>23.095800000000001</v>
      </c>
      <c r="G65" s="7">
        <v>5.67667E-4</v>
      </c>
      <c r="H65" s="106"/>
    </row>
    <row r="66" spans="1:8" ht="14.1" customHeight="1" x14ac:dyDescent="0.2">
      <c r="A66" s="1"/>
      <c r="B66" s="1"/>
      <c r="C66" s="2" t="s">
        <v>130</v>
      </c>
      <c r="D66" s="1"/>
      <c r="E66" s="1" t="s">
        <v>131</v>
      </c>
      <c r="F66" s="9">
        <v>31516.819543000001</v>
      </c>
      <c r="G66" s="10">
        <v>0.77464569100000003</v>
      </c>
      <c r="H66" s="106"/>
    </row>
    <row r="67" spans="1:8" ht="14.1" customHeight="1" x14ac:dyDescent="0.2">
      <c r="A67" s="1"/>
      <c r="B67" s="1"/>
      <c r="C67" s="11"/>
      <c r="D67" s="1"/>
      <c r="E67" s="1"/>
      <c r="F67" s="12"/>
      <c r="G67" s="12"/>
      <c r="H67" s="106"/>
    </row>
    <row r="68" spans="1:8" ht="14.1" customHeight="1" x14ac:dyDescent="0.2">
      <c r="A68" s="1"/>
      <c r="B68" s="1"/>
      <c r="C68" s="2" t="s">
        <v>132</v>
      </c>
      <c r="D68" s="1"/>
      <c r="E68" s="1"/>
      <c r="F68" s="1"/>
      <c r="G68" s="1"/>
      <c r="H68" s="106"/>
    </row>
    <row r="69" spans="1:8" ht="14.1" customHeight="1" x14ac:dyDescent="0.2">
      <c r="A69" s="1"/>
      <c r="B69" s="1"/>
      <c r="C69" s="2" t="s">
        <v>130</v>
      </c>
      <c r="D69" s="1"/>
      <c r="E69" s="1" t="s">
        <v>131</v>
      </c>
      <c r="F69" s="13">
        <v>0</v>
      </c>
      <c r="G69" s="14">
        <v>0</v>
      </c>
      <c r="H69" s="106"/>
    </row>
    <row r="70" spans="1:8" ht="14.1" customHeight="1" x14ac:dyDescent="0.2">
      <c r="A70" s="1"/>
      <c r="B70" s="1"/>
      <c r="C70" s="11"/>
      <c r="D70" s="1"/>
      <c r="E70" s="1"/>
      <c r="F70" s="12"/>
      <c r="G70" s="12"/>
      <c r="H70" s="106"/>
    </row>
    <row r="71" spans="1:8" ht="14.1" customHeight="1" x14ac:dyDescent="0.2">
      <c r="A71" s="1"/>
      <c r="B71" s="1"/>
      <c r="C71" s="2" t="s">
        <v>133</v>
      </c>
      <c r="D71" s="1"/>
      <c r="E71" s="1"/>
      <c r="F71" s="1"/>
      <c r="G71" s="1"/>
      <c r="H71" s="106"/>
    </row>
    <row r="72" spans="1:8" ht="14.1" customHeight="1" x14ac:dyDescent="0.2">
      <c r="A72" s="1"/>
      <c r="B72" s="1"/>
      <c r="C72" s="2" t="s">
        <v>130</v>
      </c>
      <c r="D72" s="1"/>
      <c r="E72" s="1" t="s">
        <v>131</v>
      </c>
      <c r="F72" s="13">
        <v>0</v>
      </c>
      <c r="G72" s="14">
        <v>0</v>
      </c>
      <c r="H72" s="106"/>
    </row>
    <row r="73" spans="1:8" ht="14.1" customHeight="1" x14ac:dyDescent="0.2">
      <c r="A73" s="1"/>
      <c r="B73" s="1"/>
      <c r="C73" s="11"/>
      <c r="D73" s="1"/>
      <c r="E73" s="1"/>
      <c r="F73" s="12"/>
      <c r="G73" s="12"/>
      <c r="H73" s="106"/>
    </row>
    <row r="74" spans="1:8" ht="14.1" customHeight="1" x14ac:dyDescent="0.2">
      <c r="A74" s="1"/>
      <c r="B74" s="1"/>
      <c r="C74" s="2" t="s">
        <v>134</v>
      </c>
      <c r="D74" s="1"/>
      <c r="E74" s="1"/>
      <c r="F74" s="1"/>
      <c r="G74" s="1"/>
      <c r="H74" s="106"/>
    </row>
    <row r="75" spans="1:8" ht="14.1" customHeight="1" x14ac:dyDescent="0.2">
      <c r="A75" s="1"/>
      <c r="B75" s="1"/>
      <c r="C75" s="2" t="s">
        <v>130</v>
      </c>
      <c r="D75" s="1"/>
      <c r="E75" s="1" t="s">
        <v>131</v>
      </c>
      <c r="F75" s="13">
        <v>0</v>
      </c>
      <c r="G75" s="14">
        <v>0</v>
      </c>
      <c r="H75" s="106"/>
    </row>
    <row r="76" spans="1:8" ht="14.1" customHeight="1" x14ac:dyDescent="0.2">
      <c r="A76" s="1"/>
      <c r="B76" s="1"/>
      <c r="C76" s="11"/>
      <c r="D76" s="1"/>
      <c r="E76" s="1"/>
      <c r="F76" s="12"/>
      <c r="G76" s="12"/>
      <c r="H76" s="106"/>
    </row>
    <row r="77" spans="1:8" ht="14.1" customHeight="1" x14ac:dyDescent="0.2">
      <c r="A77" s="1"/>
      <c r="B77" s="1"/>
      <c r="C77" s="2" t="s">
        <v>135</v>
      </c>
      <c r="D77" s="1"/>
      <c r="E77" s="1"/>
      <c r="F77" s="12"/>
      <c r="G77" s="12"/>
      <c r="H77" s="106"/>
    </row>
    <row r="78" spans="1:8" ht="14.1" customHeight="1" x14ac:dyDescent="0.2">
      <c r="A78" s="1"/>
      <c r="B78" s="1"/>
      <c r="C78" s="2" t="s">
        <v>130</v>
      </c>
      <c r="D78" s="1"/>
      <c r="E78" s="1" t="s">
        <v>131</v>
      </c>
      <c r="F78" s="13">
        <v>0</v>
      </c>
      <c r="G78" s="14">
        <v>0</v>
      </c>
      <c r="H78" s="106"/>
    </row>
    <row r="79" spans="1:8" ht="14.1" customHeight="1" x14ac:dyDescent="0.2">
      <c r="A79" s="1"/>
      <c r="B79" s="1"/>
      <c r="C79" s="11"/>
      <c r="D79" s="1"/>
      <c r="E79" s="1"/>
      <c r="F79" s="12"/>
      <c r="G79" s="12"/>
      <c r="H79" s="106"/>
    </row>
    <row r="80" spans="1:8" ht="14.1" customHeight="1" x14ac:dyDescent="0.2">
      <c r="A80" s="1"/>
      <c r="B80" s="1"/>
      <c r="C80" s="2" t="s">
        <v>136</v>
      </c>
      <c r="D80" s="1"/>
      <c r="E80" s="1"/>
      <c r="F80" s="12"/>
      <c r="G80" s="12"/>
      <c r="H80" s="106"/>
    </row>
    <row r="81" spans="1:8" ht="25.5" x14ac:dyDescent="0.2">
      <c r="A81" s="3">
        <v>1</v>
      </c>
      <c r="B81" s="4"/>
      <c r="C81" s="4" t="s">
        <v>957</v>
      </c>
      <c r="D81" s="4" t="s">
        <v>570</v>
      </c>
      <c r="E81" s="5">
        <v>-10800</v>
      </c>
      <c r="F81" s="6">
        <v>-23.193000000000001</v>
      </c>
      <c r="G81" s="7">
        <v>-5.7006000000000005E-4</v>
      </c>
      <c r="H81" s="106"/>
    </row>
    <row r="82" spans="1:8" x14ac:dyDescent="0.2">
      <c r="A82" s="3">
        <v>2</v>
      </c>
      <c r="B82" s="4"/>
      <c r="C82" s="4" t="s">
        <v>940</v>
      </c>
      <c r="D82" s="4" t="s">
        <v>570</v>
      </c>
      <c r="E82" s="5">
        <v>-9000</v>
      </c>
      <c r="F82" s="6">
        <v>-48.235500000000002</v>
      </c>
      <c r="G82" s="7">
        <v>-1.1855699999999999E-3</v>
      </c>
      <c r="H82" s="106"/>
    </row>
    <row r="83" spans="1:8" ht="25.5" x14ac:dyDescent="0.2">
      <c r="A83" s="3">
        <v>3</v>
      </c>
      <c r="B83" s="4"/>
      <c r="C83" s="4" t="s">
        <v>975</v>
      </c>
      <c r="D83" s="4" t="s">
        <v>570</v>
      </c>
      <c r="E83" s="5">
        <v>-1650</v>
      </c>
      <c r="F83" s="6">
        <v>-59.846325</v>
      </c>
      <c r="G83" s="7">
        <v>-1.4709499999999999E-3</v>
      </c>
      <c r="H83" s="106"/>
    </row>
    <row r="84" spans="1:8" ht="25.5" x14ac:dyDescent="0.2">
      <c r="A84" s="3">
        <v>4</v>
      </c>
      <c r="B84" s="4"/>
      <c r="C84" s="4" t="s">
        <v>958</v>
      </c>
      <c r="D84" s="4" t="s">
        <v>570</v>
      </c>
      <c r="E84" s="5">
        <v>-8400</v>
      </c>
      <c r="F84" s="6">
        <v>-113.68559999999999</v>
      </c>
      <c r="G84" s="7">
        <v>-2.7942600000000002E-3</v>
      </c>
      <c r="H84" s="106"/>
    </row>
    <row r="85" spans="1:8" ht="25.5" x14ac:dyDescent="0.2">
      <c r="A85" s="3">
        <v>5</v>
      </c>
      <c r="B85" s="4"/>
      <c r="C85" s="4" t="s">
        <v>968</v>
      </c>
      <c r="D85" s="4" t="s">
        <v>570</v>
      </c>
      <c r="E85" s="5">
        <v>-26400</v>
      </c>
      <c r="F85" s="6">
        <v>-143.24639999999999</v>
      </c>
      <c r="G85" s="7">
        <v>-3.52083E-3</v>
      </c>
      <c r="H85" s="106"/>
    </row>
    <row r="86" spans="1:8" ht="25.5" x14ac:dyDescent="0.2">
      <c r="A86" s="3">
        <v>6</v>
      </c>
      <c r="B86" s="4"/>
      <c r="C86" s="4" t="s">
        <v>976</v>
      </c>
      <c r="D86" s="4" t="s">
        <v>570</v>
      </c>
      <c r="E86" s="5">
        <v>-21600</v>
      </c>
      <c r="F86" s="6">
        <v>-167.292</v>
      </c>
      <c r="G86" s="7">
        <v>-4.1118400000000003E-3</v>
      </c>
      <c r="H86" s="106"/>
    </row>
    <row r="87" spans="1:8" x14ac:dyDescent="0.2">
      <c r="A87" s="3">
        <v>7</v>
      </c>
      <c r="B87" s="4"/>
      <c r="C87" s="4" t="s">
        <v>977</v>
      </c>
      <c r="D87" s="4" t="s">
        <v>570</v>
      </c>
      <c r="E87" s="5">
        <v>-128700</v>
      </c>
      <c r="F87" s="6">
        <v>-191.18385000000001</v>
      </c>
      <c r="G87" s="7">
        <v>-4.6990700000000005E-3</v>
      </c>
      <c r="H87" s="106"/>
    </row>
    <row r="88" spans="1:8" x14ac:dyDescent="0.2">
      <c r="A88" s="3">
        <v>8</v>
      </c>
      <c r="B88" s="4"/>
      <c r="C88" s="4" t="s">
        <v>978</v>
      </c>
      <c r="D88" s="4" t="s">
        <v>570</v>
      </c>
      <c r="E88" s="5">
        <v>-7125</v>
      </c>
      <c r="F88" s="6">
        <v>-197.72943749999999</v>
      </c>
      <c r="G88" s="7">
        <v>-4.85995E-3</v>
      </c>
      <c r="H88" s="106"/>
    </row>
    <row r="89" spans="1:8" x14ac:dyDescent="0.2">
      <c r="A89" s="3">
        <v>9</v>
      </c>
      <c r="B89" s="4"/>
      <c r="C89" s="4" t="s">
        <v>946</v>
      </c>
      <c r="D89" s="4" t="s">
        <v>570</v>
      </c>
      <c r="E89" s="5">
        <v>-6600</v>
      </c>
      <c r="F89" s="6">
        <v>-205.85400000000001</v>
      </c>
      <c r="G89" s="7">
        <v>-5.0596399999999998E-3</v>
      </c>
      <c r="H89" s="106"/>
    </row>
    <row r="90" spans="1:8" x14ac:dyDescent="0.2">
      <c r="A90" s="3">
        <v>10</v>
      </c>
      <c r="B90" s="4"/>
      <c r="C90" s="4" t="s">
        <v>955</v>
      </c>
      <c r="D90" s="4" t="s">
        <v>570</v>
      </c>
      <c r="E90" s="5">
        <v>-37500</v>
      </c>
      <c r="F90" s="6">
        <v>-216.15</v>
      </c>
      <c r="G90" s="7">
        <v>-5.3127100000000009E-3</v>
      </c>
      <c r="H90" s="106"/>
    </row>
    <row r="91" spans="1:8" ht="25.5" x14ac:dyDescent="0.2">
      <c r="A91" s="3">
        <v>11</v>
      </c>
      <c r="B91" s="4"/>
      <c r="C91" s="4" t="s">
        <v>979</v>
      </c>
      <c r="D91" s="4" t="s">
        <v>570</v>
      </c>
      <c r="E91" s="5">
        <v>-7950</v>
      </c>
      <c r="F91" s="6">
        <v>-254.75774999999999</v>
      </c>
      <c r="G91" s="7">
        <v>-6.2616400000000006E-3</v>
      </c>
      <c r="H91" s="106"/>
    </row>
    <row r="92" spans="1:8" x14ac:dyDescent="0.2">
      <c r="A92" s="3">
        <v>12</v>
      </c>
      <c r="B92" s="4"/>
      <c r="C92" s="4" t="s">
        <v>960</v>
      </c>
      <c r="D92" s="4" t="s">
        <v>570</v>
      </c>
      <c r="E92" s="5">
        <v>-94550</v>
      </c>
      <c r="F92" s="6">
        <v>-267.10374999999999</v>
      </c>
      <c r="G92" s="7">
        <v>-6.56509E-3</v>
      </c>
      <c r="H92" s="106"/>
    </row>
    <row r="93" spans="1:8" x14ac:dyDescent="0.2">
      <c r="A93" s="3">
        <v>13</v>
      </c>
      <c r="B93" s="4"/>
      <c r="C93" s="4" t="s">
        <v>950</v>
      </c>
      <c r="D93" s="4" t="s">
        <v>570</v>
      </c>
      <c r="E93" s="5">
        <v>-34800</v>
      </c>
      <c r="F93" s="6">
        <v>-316.41899999999998</v>
      </c>
      <c r="G93" s="7">
        <v>-7.7771999999999997E-3</v>
      </c>
      <c r="H93" s="106"/>
    </row>
    <row r="94" spans="1:8" x14ac:dyDescent="0.2">
      <c r="A94" s="3">
        <v>14</v>
      </c>
      <c r="B94" s="4"/>
      <c r="C94" s="4" t="s">
        <v>980</v>
      </c>
      <c r="D94" s="4" t="s">
        <v>570</v>
      </c>
      <c r="E94" s="5">
        <v>-220000</v>
      </c>
      <c r="F94" s="6">
        <v>-338.47</v>
      </c>
      <c r="G94" s="7">
        <v>-8.3191899999999989E-3</v>
      </c>
      <c r="H94" s="106"/>
    </row>
    <row r="95" spans="1:8" ht="25.5" x14ac:dyDescent="0.2">
      <c r="A95" s="3">
        <v>15</v>
      </c>
      <c r="B95" s="4"/>
      <c r="C95" s="4" t="s">
        <v>972</v>
      </c>
      <c r="D95" s="4" t="s">
        <v>570</v>
      </c>
      <c r="E95" s="5">
        <v>-14100</v>
      </c>
      <c r="F95" s="6">
        <v>-349.57425000000001</v>
      </c>
      <c r="G95" s="7">
        <v>-8.59212E-3</v>
      </c>
      <c r="H95" s="106"/>
    </row>
    <row r="96" spans="1:8" x14ac:dyDescent="0.2">
      <c r="A96" s="3">
        <v>16</v>
      </c>
      <c r="B96" s="4"/>
      <c r="C96" s="4" t="s">
        <v>969</v>
      </c>
      <c r="D96" s="4" t="s">
        <v>570</v>
      </c>
      <c r="E96" s="5">
        <v>-40000</v>
      </c>
      <c r="F96" s="6">
        <v>-360.16</v>
      </c>
      <c r="G96" s="7">
        <v>-8.8523000000000004E-3</v>
      </c>
      <c r="H96" s="106"/>
    </row>
    <row r="97" spans="1:8" x14ac:dyDescent="0.2">
      <c r="A97" s="3">
        <v>17</v>
      </c>
      <c r="B97" s="4"/>
      <c r="C97" s="4" t="s">
        <v>981</v>
      </c>
      <c r="D97" s="4" t="s">
        <v>570</v>
      </c>
      <c r="E97" s="5">
        <v>-399500</v>
      </c>
      <c r="F97" s="6">
        <v>-406.29149999999998</v>
      </c>
      <c r="G97" s="7">
        <v>-9.9861599999999991E-3</v>
      </c>
      <c r="H97" s="106"/>
    </row>
    <row r="98" spans="1:8" x14ac:dyDescent="0.2">
      <c r="A98" s="3">
        <v>18</v>
      </c>
      <c r="B98" s="4"/>
      <c r="C98" s="4" t="s">
        <v>952</v>
      </c>
      <c r="D98" s="4" t="s">
        <v>570</v>
      </c>
      <c r="E98" s="5">
        <v>-13125</v>
      </c>
      <c r="F98" s="6">
        <v>-942.86062500000003</v>
      </c>
      <c r="G98" s="7">
        <v>-2.3174380000000001E-2</v>
      </c>
      <c r="H98" s="106"/>
    </row>
    <row r="99" spans="1:8" x14ac:dyDescent="0.2">
      <c r="A99" s="3">
        <v>19</v>
      </c>
      <c r="B99" s="4"/>
      <c r="C99" s="4" t="s">
        <v>973</v>
      </c>
      <c r="D99" s="4" t="s">
        <v>570</v>
      </c>
      <c r="E99" s="5">
        <v>-65100</v>
      </c>
      <c r="F99" s="6">
        <v>-1005.82755</v>
      </c>
      <c r="G99" s="7">
        <v>-2.4722040000000001E-2</v>
      </c>
      <c r="H99" s="106"/>
    </row>
    <row r="100" spans="1:8" ht="25.5" x14ac:dyDescent="0.2">
      <c r="A100" s="3">
        <v>20</v>
      </c>
      <c r="B100" s="4"/>
      <c r="C100" s="4" t="s">
        <v>965</v>
      </c>
      <c r="D100" s="4" t="s">
        <v>570</v>
      </c>
      <c r="E100" s="5">
        <v>-42600</v>
      </c>
      <c r="F100" s="6">
        <v>-1085.4054000000001</v>
      </c>
      <c r="G100" s="7">
        <v>-2.6677970000000002E-2</v>
      </c>
      <c r="H100" s="106"/>
    </row>
    <row r="101" spans="1:8" x14ac:dyDescent="0.2">
      <c r="A101" s="3">
        <v>21</v>
      </c>
      <c r="B101" s="4"/>
      <c r="C101" s="4" t="s">
        <v>959</v>
      </c>
      <c r="D101" s="4" t="s">
        <v>570</v>
      </c>
      <c r="E101" s="5">
        <v>-132600</v>
      </c>
      <c r="F101" s="6">
        <v>-1399.2615000000001</v>
      </c>
      <c r="G101" s="7">
        <v>-3.439217E-2</v>
      </c>
      <c r="H101" s="106"/>
    </row>
    <row r="102" spans="1:8" x14ac:dyDescent="0.2">
      <c r="A102" s="3">
        <v>22</v>
      </c>
      <c r="B102" s="4"/>
      <c r="C102" s="4" t="s">
        <v>947</v>
      </c>
      <c r="D102" s="4" t="s">
        <v>570</v>
      </c>
      <c r="E102" s="5">
        <v>-196625</v>
      </c>
      <c r="F102" s="6">
        <v>-1796.4643125</v>
      </c>
      <c r="G102" s="7">
        <v>-4.4154939999999997E-2</v>
      </c>
      <c r="H102" s="106"/>
    </row>
    <row r="103" spans="1:8" x14ac:dyDescent="0.2">
      <c r="A103" s="3">
        <v>23</v>
      </c>
      <c r="B103" s="4"/>
      <c r="C103" s="4" t="s">
        <v>954</v>
      </c>
      <c r="D103" s="4" t="s">
        <v>570</v>
      </c>
      <c r="E103" s="5">
        <v>-156200</v>
      </c>
      <c r="F103" s="6">
        <v>-2348.0765000000001</v>
      </c>
      <c r="G103" s="7">
        <v>-5.7712909999999999E-2</v>
      </c>
      <c r="H103" s="106"/>
    </row>
    <row r="104" spans="1:8" ht="14.1" customHeight="1" x14ac:dyDescent="0.2">
      <c r="A104" s="1"/>
      <c r="B104" s="1"/>
      <c r="C104" s="2" t="s">
        <v>130</v>
      </c>
      <c r="D104" s="1"/>
      <c r="E104" s="1" t="s">
        <v>131</v>
      </c>
      <c r="F104" s="9">
        <v>-12237.088250000001</v>
      </c>
      <c r="G104" s="10">
        <v>-0.300772977</v>
      </c>
      <c r="H104" s="106"/>
    </row>
    <row r="105" spans="1:8" ht="14.1" customHeight="1" x14ac:dyDescent="0.2">
      <c r="A105" s="1"/>
      <c r="B105" s="1"/>
      <c r="C105" s="11"/>
      <c r="D105" s="1"/>
      <c r="E105" s="1"/>
      <c r="F105" s="12"/>
      <c r="G105" s="12"/>
      <c r="H105" s="106"/>
    </row>
    <row r="106" spans="1:8" ht="18" customHeight="1" x14ac:dyDescent="0.2">
      <c r="A106" s="1"/>
      <c r="B106" s="1"/>
      <c r="C106" s="2" t="s">
        <v>137</v>
      </c>
      <c r="D106" s="1"/>
      <c r="E106" s="1"/>
      <c r="F106" s="9">
        <v>31516.819543000001</v>
      </c>
      <c r="G106" s="10">
        <v>0.77464569100000003</v>
      </c>
      <c r="H106" s="106"/>
    </row>
    <row r="107" spans="1:8" ht="14.1" customHeight="1" x14ac:dyDescent="0.2">
      <c r="A107" s="1"/>
      <c r="B107" s="1"/>
      <c r="C107" s="11"/>
      <c r="D107" s="1"/>
      <c r="E107" s="1"/>
      <c r="F107" s="12"/>
      <c r="G107" s="12"/>
      <c r="H107" s="106"/>
    </row>
    <row r="108" spans="1:8" ht="14.1" customHeight="1" x14ac:dyDescent="0.2">
      <c r="A108" s="1"/>
      <c r="B108" s="1"/>
      <c r="C108" s="2" t="s">
        <v>138</v>
      </c>
      <c r="D108" s="1"/>
      <c r="E108" s="1"/>
      <c r="F108" s="12"/>
      <c r="G108" s="12"/>
      <c r="H108" s="106"/>
    </row>
    <row r="109" spans="1:8" ht="24" customHeight="1" x14ac:dyDescent="0.2">
      <c r="A109" s="1"/>
      <c r="B109" s="1"/>
      <c r="C109" s="2" t="s">
        <v>10</v>
      </c>
      <c r="D109" s="1"/>
      <c r="E109" s="1"/>
      <c r="F109" s="12"/>
      <c r="G109" s="12"/>
      <c r="H109" s="106"/>
    </row>
    <row r="110" spans="1:8" ht="29.1" customHeight="1" x14ac:dyDescent="0.2">
      <c r="A110" s="3">
        <v>1</v>
      </c>
      <c r="B110" s="4" t="s">
        <v>618</v>
      </c>
      <c r="C110" s="4" t="s">
        <v>619</v>
      </c>
      <c r="D110" s="4" t="s">
        <v>620</v>
      </c>
      <c r="E110" s="5">
        <v>50</v>
      </c>
      <c r="F110" s="6">
        <v>491.42899999999997</v>
      </c>
      <c r="G110" s="7">
        <v>1.2078736E-2</v>
      </c>
      <c r="H110" s="106">
        <v>7.61</v>
      </c>
    </row>
    <row r="111" spans="1:8" ht="17.100000000000001" customHeight="1" x14ac:dyDescent="0.2">
      <c r="A111" s="3">
        <v>2</v>
      </c>
      <c r="B111" s="4" t="s">
        <v>621</v>
      </c>
      <c r="C111" s="4" t="s">
        <v>622</v>
      </c>
      <c r="D111" s="4" t="s">
        <v>600</v>
      </c>
      <c r="E111" s="5">
        <v>20</v>
      </c>
      <c r="F111" s="6">
        <v>200.3184</v>
      </c>
      <c r="G111" s="7">
        <v>4.9235859999999998E-3</v>
      </c>
      <c r="H111" s="106">
        <v>7.08</v>
      </c>
    </row>
    <row r="112" spans="1:8" ht="29.1" customHeight="1" x14ac:dyDescent="0.2">
      <c r="A112" s="3">
        <v>3</v>
      </c>
      <c r="B112" s="4" t="s">
        <v>623</v>
      </c>
      <c r="C112" s="4" t="s">
        <v>624</v>
      </c>
      <c r="D112" s="4" t="s">
        <v>600</v>
      </c>
      <c r="E112" s="5">
        <v>5</v>
      </c>
      <c r="F112" s="6">
        <v>50.537399999999998</v>
      </c>
      <c r="G112" s="7">
        <v>1.2421489999999999E-3</v>
      </c>
      <c r="H112" s="106">
        <v>7.41</v>
      </c>
    </row>
    <row r="113" spans="1:8" ht="17.100000000000001" customHeight="1" x14ac:dyDescent="0.2">
      <c r="A113" s="3">
        <v>4</v>
      </c>
      <c r="B113" s="4" t="s">
        <v>625</v>
      </c>
      <c r="C113" s="4" t="s">
        <v>626</v>
      </c>
      <c r="D113" s="4" t="s">
        <v>600</v>
      </c>
      <c r="E113" s="5">
        <v>5</v>
      </c>
      <c r="F113" s="6">
        <v>50.247199999999999</v>
      </c>
      <c r="G113" s="7">
        <v>1.235016E-3</v>
      </c>
      <c r="H113" s="106">
        <v>7.2249999999999996</v>
      </c>
    </row>
    <row r="114" spans="1:8" ht="17.100000000000001" customHeight="1" x14ac:dyDescent="0.2">
      <c r="A114" s="3">
        <v>5</v>
      </c>
      <c r="B114" s="4" t="s">
        <v>627</v>
      </c>
      <c r="C114" s="4" t="s">
        <v>628</v>
      </c>
      <c r="D114" s="4" t="s">
        <v>600</v>
      </c>
      <c r="E114" s="5">
        <v>5</v>
      </c>
      <c r="F114" s="6">
        <v>50.00535</v>
      </c>
      <c r="G114" s="7">
        <v>1.2290720000000001E-3</v>
      </c>
      <c r="H114" s="106">
        <v>6.7649999999999997</v>
      </c>
    </row>
    <row r="115" spans="1:8" ht="29.1" customHeight="1" x14ac:dyDescent="0.2">
      <c r="A115" s="3">
        <v>6</v>
      </c>
      <c r="B115" s="4" t="s">
        <v>629</v>
      </c>
      <c r="C115" s="4" t="s">
        <v>630</v>
      </c>
      <c r="D115" s="4" t="s">
        <v>631</v>
      </c>
      <c r="E115" s="5">
        <v>5</v>
      </c>
      <c r="F115" s="6">
        <v>49.582900000000002</v>
      </c>
      <c r="G115" s="7">
        <v>1.2186880000000001E-3</v>
      </c>
      <c r="H115" s="106">
        <v>7.46</v>
      </c>
    </row>
    <row r="116" spans="1:8" ht="29.1" customHeight="1" x14ac:dyDescent="0.2">
      <c r="A116" s="3">
        <v>7</v>
      </c>
      <c r="B116" s="4" t="s">
        <v>598</v>
      </c>
      <c r="C116" s="4" t="s">
        <v>599</v>
      </c>
      <c r="D116" s="4" t="s">
        <v>600</v>
      </c>
      <c r="E116" s="5">
        <v>1640</v>
      </c>
      <c r="F116" s="6">
        <v>0.46074979999999999</v>
      </c>
      <c r="G116" s="8" t="s">
        <v>129</v>
      </c>
      <c r="H116" s="106">
        <v>7.63</v>
      </c>
    </row>
    <row r="117" spans="1:8" ht="14.1" customHeight="1" x14ac:dyDescent="0.2">
      <c r="A117" s="1"/>
      <c r="B117" s="1"/>
      <c r="C117" s="2" t="s">
        <v>130</v>
      </c>
      <c r="D117" s="1"/>
      <c r="E117" s="1" t="s">
        <v>131</v>
      </c>
      <c r="F117" s="9">
        <v>892.58099979999997</v>
      </c>
      <c r="G117" s="10">
        <v>2.1938572E-2</v>
      </c>
      <c r="H117" s="106"/>
    </row>
    <row r="118" spans="1:8" ht="14.1" customHeight="1" x14ac:dyDescent="0.2">
      <c r="A118" s="1"/>
      <c r="B118" s="1"/>
      <c r="C118" s="11"/>
      <c r="D118" s="1"/>
      <c r="E118" s="1"/>
      <c r="F118" s="12"/>
      <c r="G118" s="12"/>
      <c r="H118" s="106"/>
    </row>
    <row r="119" spans="1:8" ht="14.1" customHeight="1" x14ac:dyDescent="0.2">
      <c r="A119" s="1"/>
      <c r="B119" s="1"/>
      <c r="C119" s="2" t="s">
        <v>139</v>
      </c>
      <c r="D119" s="1"/>
      <c r="E119" s="1"/>
      <c r="F119" s="1"/>
      <c r="G119" s="1"/>
      <c r="H119" s="106"/>
    </row>
    <row r="120" spans="1:8" ht="14.1" customHeight="1" x14ac:dyDescent="0.2">
      <c r="A120" s="1"/>
      <c r="B120" s="1"/>
      <c r="C120" s="2" t="s">
        <v>130</v>
      </c>
      <c r="D120" s="1"/>
      <c r="E120" s="1" t="s">
        <v>131</v>
      </c>
      <c r="F120" s="13">
        <v>0</v>
      </c>
      <c r="G120" s="14">
        <v>0</v>
      </c>
      <c r="H120" s="106"/>
    </row>
    <row r="121" spans="1:8" ht="14.1" customHeight="1" x14ac:dyDescent="0.2">
      <c r="A121" s="1"/>
      <c r="B121" s="1"/>
      <c r="C121" s="11"/>
      <c r="D121" s="1"/>
      <c r="E121" s="1"/>
      <c r="F121" s="12"/>
      <c r="G121" s="12"/>
      <c r="H121" s="106"/>
    </row>
    <row r="122" spans="1:8" ht="14.1" customHeight="1" x14ac:dyDescent="0.2">
      <c r="A122" s="1"/>
      <c r="B122" s="1"/>
      <c r="C122" s="2" t="s">
        <v>140</v>
      </c>
      <c r="D122" s="1"/>
      <c r="E122" s="1"/>
      <c r="F122" s="1"/>
      <c r="G122" s="1"/>
      <c r="H122" s="106"/>
    </row>
    <row r="123" spans="1:8" ht="29.1" customHeight="1" x14ac:dyDescent="0.2">
      <c r="A123" s="3">
        <v>1</v>
      </c>
      <c r="B123" s="4" t="s">
        <v>632</v>
      </c>
      <c r="C123" s="4" t="s">
        <v>633</v>
      </c>
      <c r="D123" s="4" t="s">
        <v>572</v>
      </c>
      <c r="E123" s="5">
        <v>1500000</v>
      </c>
      <c r="F123" s="6">
        <v>1430.4929999999999</v>
      </c>
      <c r="G123" s="7">
        <v>3.5159805000000002E-2</v>
      </c>
      <c r="H123" s="106">
        <v>7.1867000000000001</v>
      </c>
    </row>
    <row r="124" spans="1:8" ht="29.1" customHeight="1" x14ac:dyDescent="0.2">
      <c r="A124" s="3">
        <v>2</v>
      </c>
      <c r="B124" s="4" t="s">
        <v>634</v>
      </c>
      <c r="C124" s="4" t="s">
        <v>635</v>
      </c>
      <c r="D124" s="4" t="s">
        <v>572</v>
      </c>
      <c r="E124" s="5">
        <v>500000</v>
      </c>
      <c r="F124" s="6">
        <v>472.00049999999999</v>
      </c>
      <c r="G124" s="7">
        <v>1.1601207000000001E-2</v>
      </c>
      <c r="H124" s="106">
        <v>7.2457000000000003</v>
      </c>
    </row>
    <row r="125" spans="1:8" ht="29.1" customHeight="1" x14ac:dyDescent="0.2">
      <c r="A125" s="3">
        <v>3</v>
      </c>
      <c r="B125" s="4" t="s">
        <v>636</v>
      </c>
      <c r="C125" s="4" t="s">
        <v>637</v>
      </c>
      <c r="D125" s="4" t="s">
        <v>572</v>
      </c>
      <c r="E125" s="5">
        <v>100000</v>
      </c>
      <c r="F125" s="6">
        <v>101.60120000000001</v>
      </c>
      <c r="G125" s="7">
        <v>2.4972359999999999E-3</v>
      </c>
      <c r="H125" s="106">
        <v>7.4405999999999999</v>
      </c>
    </row>
    <row r="126" spans="1:8" ht="29.1" customHeight="1" x14ac:dyDescent="0.2">
      <c r="A126" s="3">
        <v>4</v>
      </c>
      <c r="B126" s="4" t="s">
        <v>638</v>
      </c>
      <c r="C126" s="4" t="s">
        <v>639</v>
      </c>
      <c r="D126" s="4" t="s">
        <v>572</v>
      </c>
      <c r="E126" s="5">
        <v>50000</v>
      </c>
      <c r="F126" s="6">
        <v>49.146850000000001</v>
      </c>
      <c r="G126" s="7">
        <v>1.207971E-3</v>
      </c>
      <c r="H126" s="106">
        <v>7.1062000000000003</v>
      </c>
    </row>
    <row r="127" spans="1:8" ht="14.1" customHeight="1" x14ac:dyDescent="0.2">
      <c r="A127" s="1"/>
      <c r="B127" s="1"/>
      <c r="C127" s="2" t="s">
        <v>130</v>
      </c>
      <c r="D127" s="1"/>
      <c r="E127" s="1" t="s">
        <v>131</v>
      </c>
      <c r="F127" s="9">
        <v>2053.2415500000002</v>
      </c>
      <c r="G127" s="10">
        <v>5.0466219E-2</v>
      </c>
      <c r="H127" s="106"/>
    </row>
    <row r="128" spans="1:8" ht="14.1" customHeight="1" x14ac:dyDescent="0.2">
      <c r="A128" s="1"/>
      <c r="B128" s="1"/>
      <c r="C128" s="11"/>
      <c r="D128" s="1"/>
      <c r="E128" s="1"/>
      <c r="F128" s="12"/>
      <c r="G128" s="12"/>
      <c r="H128" s="106"/>
    </row>
    <row r="129" spans="1:8" ht="14.1" customHeight="1" x14ac:dyDescent="0.2">
      <c r="A129" s="1"/>
      <c r="B129" s="1"/>
      <c r="C129" s="2" t="s">
        <v>141</v>
      </c>
      <c r="D129" s="1"/>
      <c r="E129" s="1"/>
      <c r="F129" s="12"/>
      <c r="G129" s="12"/>
      <c r="H129" s="106"/>
    </row>
    <row r="130" spans="1:8" ht="14.1" customHeight="1" x14ac:dyDescent="0.2">
      <c r="A130" s="1"/>
      <c r="B130" s="1"/>
      <c r="C130" s="2" t="s">
        <v>130</v>
      </c>
      <c r="D130" s="1"/>
      <c r="E130" s="1" t="s">
        <v>131</v>
      </c>
      <c r="F130" s="13">
        <v>0</v>
      </c>
      <c r="G130" s="14">
        <v>0</v>
      </c>
      <c r="H130" s="106"/>
    </row>
    <row r="131" spans="1:8" ht="14.1" customHeight="1" x14ac:dyDescent="0.2">
      <c r="A131" s="1"/>
      <c r="B131" s="1"/>
      <c r="C131" s="11"/>
      <c r="D131" s="1"/>
      <c r="E131" s="1"/>
      <c r="F131" s="12"/>
      <c r="G131" s="12"/>
      <c r="H131" s="106"/>
    </row>
    <row r="132" spans="1:8" ht="14.1" customHeight="1" x14ac:dyDescent="0.2">
      <c r="A132" s="1"/>
      <c r="B132" s="1"/>
      <c r="C132" s="2" t="s">
        <v>142</v>
      </c>
      <c r="D132" s="1"/>
      <c r="E132" s="1"/>
      <c r="F132" s="9">
        <v>2945.8225498000002</v>
      </c>
      <c r="G132" s="10">
        <v>7.2404790999999996E-2</v>
      </c>
      <c r="H132" s="106"/>
    </row>
    <row r="133" spans="1:8" ht="14.1" customHeight="1" x14ac:dyDescent="0.2">
      <c r="A133" s="1"/>
      <c r="B133" s="1"/>
      <c r="C133" s="11"/>
      <c r="D133" s="1"/>
      <c r="E133" s="1"/>
      <c r="F133" s="12"/>
      <c r="G133" s="12"/>
      <c r="H133" s="106"/>
    </row>
    <row r="134" spans="1:8" ht="14.1" customHeight="1" x14ac:dyDescent="0.2">
      <c r="A134" s="1"/>
      <c r="B134" s="1"/>
      <c r="C134" s="2" t="s">
        <v>143</v>
      </c>
      <c r="D134" s="1"/>
      <c r="E134" s="1"/>
      <c r="F134" s="12"/>
      <c r="G134" s="12"/>
      <c r="H134" s="106"/>
    </row>
    <row r="135" spans="1:8" ht="14.1" customHeight="1" x14ac:dyDescent="0.2">
      <c r="A135" s="1"/>
      <c r="B135" s="1"/>
      <c r="C135" s="2" t="s">
        <v>144</v>
      </c>
      <c r="D135" s="1"/>
      <c r="E135" s="1"/>
      <c r="F135" s="12"/>
      <c r="G135" s="12"/>
      <c r="H135" s="106"/>
    </row>
    <row r="136" spans="1:8" ht="14.1" customHeight="1" x14ac:dyDescent="0.2">
      <c r="A136" s="1"/>
      <c r="B136" s="1"/>
      <c r="C136" s="2" t="s">
        <v>130</v>
      </c>
      <c r="D136" s="1"/>
      <c r="E136" s="1" t="s">
        <v>131</v>
      </c>
      <c r="F136" s="13">
        <v>0</v>
      </c>
      <c r="G136" s="14">
        <v>0</v>
      </c>
      <c r="H136" s="106"/>
    </row>
    <row r="137" spans="1:8" ht="14.1" customHeight="1" x14ac:dyDescent="0.2">
      <c r="A137" s="1"/>
      <c r="B137" s="1"/>
      <c r="C137" s="11"/>
      <c r="D137" s="1"/>
      <c r="E137" s="1"/>
      <c r="F137" s="12"/>
      <c r="G137" s="12"/>
      <c r="H137" s="106"/>
    </row>
    <row r="138" spans="1:8" ht="14.1" customHeight="1" x14ac:dyDescent="0.2">
      <c r="A138" s="1"/>
      <c r="B138" s="1"/>
      <c r="C138" s="2" t="s">
        <v>145</v>
      </c>
      <c r="D138" s="1"/>
      <c r="E138" s="1"/>
      <c r="F138" s="12"/>
      <c r="G138" s="12"/>
      <c r="H138" s="106"/>
    </row>
    <row r="139" spans="1:8" ht="14.1" customHeight="1" x14ac:dyDescent="0.2">
      <c r="A139" s="1"/>
      <c r="B139" s="1"/>
      <c r="C139" s="2" t="s">
        <v>130</v>
      </c>
      <c r="D139" s="1"/>
      <c r="E139" s="1" t="s">
        <v>131</v>
      </c>
      <c r="F139" s="13">
        <v>0</v>
      </c>
      <c r="G139" s="14">
        <v>0</v>
      </c>
      <c r="H139" s="106"/>
    </row>
    <row r="140" spans="1:8" ht="14.1" customHeight="1" x14ac:dyDescent="0.2">
      <c r="A140" s="1"/>
      <c r="B140" s="1"/>
      <c r="C140" s="11"/>
      <c r="D140" s="1"/>
      <c r="E140" s="1"/>
      <c r="F140" s="12"/>
      <c r="G140" s="12"/>
      <c r="H140" s="106"/>
    </row>
    <row r="141" spans="1:8" ht="14.1" customHeight="1" x14ac:dyDescent="0.2">
      <c r="A141" s="1"/>
      <c r="B141" s="1"/>
      <c r="C141" s="2" t="s">
        <v>146</v>
      </c>
      <c r="D141" s="1"/>
      <c r="E141" s="1"/>
      <c r="F141" s="12"/>
      <c r="G141" s="12"/>
      <c r="H141" s="106"/>
    </row>
    <row r="142" spans="1:8" ht="17.100000000000001" customHeight="1" x14ac:dyDescent="0.2">
      <c r="A142" s="3">
        <v>1</v>
      </c>
      <c r="B142" s="4" t="s">
        <v>640</v>
      </c>
      <c r="C142" s="102" t="s">
        <v>1057</v>
      </c>
      <c r="D142" s="4" t="s">
        <v>572</v>
      </c>
      <c r="E142" s="5">
        <v>2000000</v>
      </c>
      <c r="F142" s="6">
        <v>1972.57</v>
      </c>
      <c r="G142" s="7">
        <v>4.8483408999999998E-2</v>
      </c>
      <c r="H142" s="106">
        <v>6.4246999999999996</v>
      </c>
    </row>
    <row r="143" spans="1:8" ht="17.100000000000001" customHeight="1" x14ac:dyDescent="0.2">
      <c r="A143" s="3">
        <v>2</v>
      </c>
      <c r="B143" s="4" t="s">
        <v>641</v>
      </c>
      <c r="C143" s="4" t="s">
        <v>1056</v>
      </c>
      <c r="D143" s="4" t="s">
        <v>572</v>
      </c>
      <c r="E143" s="5">
        <v>1000000</v>
      </c>
      <c r="F143" s="6">
        <v>992.64099999999996</v>
      </c>
      <c r="G143" s="7">
        <v>2.4397927E-2</v>
      </c>
      <c r="H143" s="106">
        <v>6.15</v>
      </c>
    </row>
    <row r="144" spans="1:8" ht="14.1" customHeight="1" x14ac:dyDescent="0.2">
      <c r="A144" s="1"/>
      <c r="B144" s="1"/>
      <c r="C144" s="2" t="s">
        <v>130</v>
      </c>
      <c r="D144" s="1"/>
      <c r="E144" s="1" t="s">
        <v>131</v>
      </c>
      <c r="F144" s="9">
        <v>2965.2109999999998</v>
      </c>
      <c r="G144" s="10">
        <v>7.2881336000000005E-2</v>
      </c>
      <c r="H144" s="106"/>
    </row>
    <row r="145" spans="1:8" ht="14.1" customHeight="1" x14ac:dyDescent="0.2">
      <c r="A145" s="1"/>
      <c r="B145" s="1"/>
      <c r="C145" s="11"/>
      <c r="D145" s="1"/>
      <c r="E145" s="1"/>
      <c r="F145" s="12"/>
      <c r="G145" s="12"/>
      <c r="H145" s="106"/>
    </row>
    <row r="146" spans="1:8" ht="14.1" customHeight="1" x14ac:dyDescent="0.2">
      <c r="A146" s="1"/>
      <c r="B146" s="1"/>
      <c r="C146" s="2" t="s">
        <v>147</v>
      </c>
      <c r="D146" s="1"/>
      <c r="E146" s="1"/>
      <c r="F146" s="12"/>
      <c r="G146" s="12"/>
      <c r="H146" s="106"/>
    </row>
    <row r="147" spans="1:8" ht="17.100000000000001" customHeight="1" x14ac:dyDescent="0.2">
      <c r="A147" s="3">
        <v>1</v>
      </c>
      <c r="B147" s="4"/>
      <c r="C147" s="4" t="s">
        <v>148</v>
      </c>
      <c r="D147" s="4"/>
      <c r="E147" s="8"/>
      <c r="F147" s="6">
        <v>1981.9405403000001</v>
      </c>
      <c r="G147" s="7">
        <v>4.8713725999999999E-2</v>
      </c>
      <c r="H147" s="106">
        <v>6.1171451766917002</v>
      </c>
    </row>
    <row r="148" spans="1:8" ht="14.1" customHeight="1" x14ac:dyDescent="0.2">
      <c r="A148" s="1"/>
      <c r="B148" s="1"/>
      <c r="C148" s="2" t="s">
        <v>130</v>
      </c>
      <c r="D148" s="1"/>
      <c r="E148" s="1" t="s">
        <v>131</v>
      </c>
      <c r="F148" s="9">
        <v>1981.9405403000001</v>
      </c>
      <c r="G148" s="10">
        <v>4.8713725999999999E-2</v>
      </c>
      <c r="H148" s="106"/>
    </row>
    <row r="149" spans="1:8" ht="14.1" customHeight="1" x14ac:dyDescent="0.2">
      <c r="A149" s="1"/>
      <c r="B149" s="1"/>
      <c r="C149" s="11"/>
      <c r="D149" s="1"/>
      <c r="E149" s="1"/>
      <c r="F149" s="12"/>
      <c r="G149" s="12"/>
      <c r="H149" s="106"/>
    </row>
    <row r="150" spans="1:8" ht="14.1" customHeight="1" x14ac:dyDescent="0.2">
      <c r="A150" s="1"/>
      <c r="B150" s="1"/>
      <c r="C150" s="2" t="s">
        <v>149</v>
      </c>
      <c r="D150" s="1"/>
      <c r="E150" s="1"/>
      <c r="F150" s="9">
        <v>4947.1515403000003</v>
      </c>
      <c r="G150" s="10">
        <v>0.121595062</v>
      </c>
      <c r="H150" s="106"/>
    </row>
    <row r="151" spans="1:8" ht="14.1" customHeight="1" x14ac:dyDescent="0.2">
      <c r="A151" s="1"/>
      <c r="B151" s="1"/>
      <c r="C151" s="12"/>
      <c r="D151" s="1"/>
      <c r="E151" s="1"/>
      <c r="F151" s="1"/>
      <c r="G151" s="1"/>
      <c r="H151" s="106"/>
    </row>
    <row r="152" spans="1:8" ht="14.1" customHeight="1" x14ac:dyDescent="0.2">
      <c r="A152" s="1"/>
      <c r="B152" s="1"/>
      <c r="C152" s="2" t="s">
        <v>150</v>
      </c>
      <c r="D152" s="1"/>
      <c r="E152" s="1"/>
      <c r="F152" s="1"/>
      <c r="G152" s="1"/>
      <c r="H152" s="106"/>
    </row>
    <row r="153" spans="1:8" ht="14.1" customHeight="1" x14ac:dyDescent="0.2">
      <c r="A153" s="1"/>
      <c r="B153" s="1"/>
      <c r="C153" s="2" t="s">
        <v>151</v>
      </c>
      <c r="D153" s="1"/>
      <c r="E153" s="1"/>
      <c r="F153" s="1"/>
      <c r="G153" s="1"/>
      <c r="H153" s="106"/>
    </row>
    <row r="154" spans="1:8" ht="14.1" customHeight="1" x14ac:dyDescent="0.2">
      <c r="A154" s="1"/>
      <c r="B154" s="1"/>
      <c r="C154" s="2" t="s">
        <v>130</v>
      </c>
      <c r="D154" s="1"/>
      <c r="E154" s="1" t="s">
        <v>131</v>
      </c>
      <c r="F154" s="13">
        <v>0</v>
      </c>
      <c r="G154" s="14">
        <v>0</v>
      </c>
      <c r="H154" s="106"/>
    </row>
    <row r="155" spans="1:8" ht="14.1" customHeight="1" x14ac:dyDescent="0.2">
      <c r="A155" s="1"/>
      <c r="B155" s="1"/>
      <c r="C155" s="11"/>
      <c r="D155" s="1"/>
      <c r="E155" s="1"/>
      <c r="F155" s="12"/>
      <c r="G155" s="12"/>
      <c r="H155" s="106"/>
    </row>
    <row r="156" spans="1:8" ht="14.1" customHeight="1" x14ac:dyDescent="0.2">
      <c r="A156" s="1"/>
      <c r="B156" s="1"/>
      <c r="C156" s="2" t="s">
        <v>152</v>
      </c>
      <c r="D156" s="1"/>
      <c r="E156" s="1"/>
      <c r="F156" s="1"/>
      <c r="G156" s="1"/>
      <c r="H156" s="106"/>
    </row>
    <row r="157" spans="1:8" ht="14.1" customHeight="1" x14ac:dyDescent="0.2">
      <c r="A157" s="1"/>
      <c r="B157" s="1"/>
      <c r="C157" s="2" t="s">
        <v>153</v>
      </c>
      <c r="D157" s="1"/>
      <c r="E157" s="1"/>
      <c r="F157" s="1"/>
      <c r="G157" s="1"/>
      <c r="H157" s="106"/>
    </row>
    <row r="158" spans="1:8" ht="14.1" customHeight="1" x14ac:dyDescent="0.2">
      <c r="A158" s="1"/>
      <c r="B158" s="1"/>
      <c r="C158" s="2" t="s">
        <v>130</v>
      </c>
      <c r="D158" s="1"/>
      <c r="E158" s="1" t="s">
        <v>131</v>
      </c>
      <c r="F158" s="13">
        <v>0</v>
      </c>
      <c r="G158" s="14">
        <v>0</v>
      </c>
      <c r="H158" s="106"/>
    </row>
    <row r="159" spans="1:8" ht="14.1" customHeight="1" x14ac:dyDescent="0.2">
      <c r="A159" s="1"/>
      <c r="B159" s="1"/>
      <c r="C159" s="11"/>
      <c r="D159" s="1"/>
      <c r="E159" s="1"/>
      <c r="F159" s="12"/>
      <c r="G159" s="12"/>
      <c r="H159" s="106"/>
    </row>
    <row r="160" spans="1:8" ht="14.1" customHeight="1" x14ac:dyDescent="0.2">
      <c r="A160" s="1"/>
      <c r="B160" s="1"/>
      <c r="C160" s="11"/>
      <c r="D160" s="1"/>
      <c r="E160" s="1"/>
      <c r="F160" s="12"/>
      <c r="G160" s="12"/>
      <c r="H160" s="106"/>
    </row>
    <row r="161" spans="1:15" ht="24" customHeight="1" x14ac:dyDescent="0.2">
      <c r="A161" s="1"/>
      <c r="B161" s="1"/>
      <c r="C161" s="2" t="s">
        <v>154</v>
      </c>
      <c r="D161" s="1"/>
      <c r="E161" s="1"/>
      <c r="F161" s="12"/>
      <c r="G161" s="12"/>
      <c r="H161" s="106"/>
    </row>
    <row r="162" spans="1:15" ht="14.1" customHeight="1" x14ac:dyDescent="0.2">
      <c r="A162" s="1"/>
      <c r="B162" s="1"/>
      <c r="C162" s="2" t="s">
        <v>130</v>
      </c>
      <c r="D162" s="1"/>
      <c r="E162" s="1" t="s">
        <v>131</v>
      </c>
      <c r="F162" s="13">
        <v>0</v>
      </c>
      <c r="G162" s="14">
        <v>0</v>
      </c>
      <c r="H162" s="106"/>
    </row>
    <row r="163" spans="1:15" ht="14.1" customHeight="1" x14ac:dyDescent="0.2">
      <c r="A163" s="1"/>
      <c r="B163" s="1"/>
      <c r="C163" s="11"/>
      <c r="D163" s="1"/>
      <c r="E163" s="1"/>
      <c r="F163" s="12"/>
      <c r="G163" s="12"/>
      <c r="H163" s="106"/>
    </row>
    <row r="164" spans="1:15" ht="18" customHeight="1" x14ac:dyDescent="0.2">
      <c r="A164" s="8"/>
      <c r="B164" s="4"/>
      <c r="C164" s="4" t="s">
        <v>575</v>
      </c>
      <c r="D164" s="4"/>
      <c r="E164" s="8"/>
      <c r="F164" s="6">
        <v>1318.10725</v>
      </c>
      <c r="G164" s="7">
        <v>3.2397498135802505E-2</v>
      </c>
      <c r="H164" s="106"/>
    </row>
    <row r="165" spans="1:15" ht="18" customHeight="1" x14ac:dyDescent="0.2">
      <c r="A165" s="8"/>
      <c r="B165" s="4"/>
      <c r="C165" s="102" t="s">
        <v>835</v>
      </c>
      <c r="D165" s="4"/>
      <c r="E165" s="8"/>
      <c r="F165" s="6">
        <v>-42.436700810001597</v>
      </c>
      <c r="G165" s="7">
        <v>-1.043043299687211E-3</v>
      </c>
      <c r="H165" s="106"/>
    </row>
    <row r="166" spans="1:15" ht="14.1" customHeight="1" x14ac:dyDescent="0.2">
      <c r="A166" s="11"/>
      <c r="B166" s="11"/>
      <c r="C166" s="2" t="s">
        <v>156</v>
      </c>
      <c r="D166" s="15"/>
      <c r="E166" s="15"/>
      <c r="F166" s="9">
        <v>40685.464182290001</v>
      </c>
      <c r="G166" s="14">
        <v>0.99999999883611534</v>
      </c>
      <c r="H166" s="106"/>
    </row>
    <row r="167" spans="1:15" ht="14.1" customHeight="1" x14ac:dyDescent="0.2">
      <c r="A167" s="16"/>
      <c r="B167" s="16"/>
      <c r="C167" s="16"/>
      <c r="D167" s="17"/>
      <c r="E167" s="17"/>
      <c r="F167" s="17"/>
      <c r="G167" s="114"/>
    </row>
    <row r="168" spans="1:15" ht="17.100000000000001" customHeight="1" x14ac:dyDescent="0.2">
      <c r="A168" s="18"/>
      <c r="B168" s="281" t="s">
        <v>601</v>
      </c>
      <c r="C168" s="281"/>
      <c r="D168" s="281"/>
      <c r="E168" s="281"/>
      <c r="F168" s="281"/>
      <c r="G168" s="20"/>
    </row>
    <row r="169" spans="1:15" ht="17.100000000000001" customHeight="1" x14ac:dyDescent="0.2">
      <c r="A169" s="108"/>
      <c r="B169" s="289" t="s">
        <v>837</v>
      </c>
      <c r="C169" s="289"/>
      <c r="D169" s="289"/>
      <c r="E169" s="289"/>
      <c r="F169" s="289"/>
      <c r="G169" s="109"/>
    </row>
    <row r="170" spans="1:15" ht="17.100000000000001" customHeight="1" x14ac:dyDescent="0.2">
      <c r="A170" s="18"/>
      <c r="B170" s="281" t="s">
        <v>157</v>
      </c>
      <c r="C170" s="281"/>
      <c r="D170" s="281"/>
      <c r="E170" s="281"/>
      <c r="F170" s="281"/>
      <c r="G170" s="20"/>
    </row>
    <row r="171" spans="1:15" s="107" customFormat="1" x14ac:dyDescent="0.2">
      <c r="A171" s="153"/>
      <c r="B171" s="304" t="s">
        <v>1054</v>
      </c>
      <c r="C171" s="304"/>
      <c r="D171" s="304"/>
      <c r="E171" s="304"/>
      <c r="F171" s="304"/>
      <c r="G171" s="154"/>
      <c r="H171"/>
      <c r="I171"/>
      <c r="J171"/>
      <c r="K171"/>
      <c r="L171"/>
      <c r="M171"/>
      <c r="N171"/>
      <c r="O171"/>
    </row>
    <row r="172" spans="1:15" ht="14.1" customHeight="1" x14ac:dyDescent="0.2">
      <c r="A172" s="18"/>
      <c r="B172" s="18"/>
      <c r="C172" s="18"/>
      <c r="D172" s="20"/>
      <c r="E172" s="20"/>
      <c r="F172" s="20"/>
      <c r="G172" s="20"/>
    </row>
    <row r="173" spans="1:15" ht="14.1" customHeight="1" x14ac:dyDescent="0.2">
      <c r="A173" s="18"/>
      <c r="B173" s="279" t="s">
        <v>158</v>
      </c>
      <c r="C173" s="280"/>
      <c r="D173" s="12" t="s">
        <v>131</v>
      </c>
      <c r="E173" s="21"/>
      <c r="F173" s="20"/>
      <c r="G173" s="20"/>
    </row>
    <row r="174" spans="1:15" ht="29.1" customHeight="1" x14ac:dyDescent="0.2">
      <c r="A174" s="18"/>
      <c r="B174" s="274" t="s">
        <v>159</v>
      </c>
      <c r="C174" s="275"/>
      <c r="D174" s="2" t="s">
        <v>160</v>
      </c>
      <c r="E174" s="21"/>
      <c r="F174" s="20"/>
      <c r="G174" s="20"/>
      <c r="O174" s="107"/>
    </row>
    <row r="175" spans="1:15" ht="17.100000000000001" customHeight="1" x14ac:dyDescent="0.2">
      <c r="A175" s="18"/>
      <c r="B175" s="274" t="s">
        <v>161</v>
      </c>
      <c r="C175" s="275"/>
      <c r="D175" s="2" t="s">
        <v>160</v>
      </c>
      <c r="E175" s="21"/>
      <c r="F175" s="20"/>
      <c r="G175" s="20"/>
    </row>
    <row r="176" spans="1:15" ht="17.100000000000001" customHeight="1" x14ac:dyDescent="0.2">
      <c r="A176" s="18"/>
      <c r="B176" s="274" t="s">
        <v>162</v>
      </c>
      <c r="C176" s="275"/>
      <c r="D176" s="12" t="s">
        <v>131</v>
      </c>
      <c r="E176" s="21"/>
      <c r="F176" s="20"/>
      <c r="G176" s="20"/>
      <c r="I176" s="107"/>
    </row>
    <row r="177" spans="1:14" ht="24" customHeight="1" x14ac:dyDescent="0.2">
      <c r="A177" s="22"/>
      <c r="B177" s="23" t="s">
        <v>131</v>
      </c>
      <c r="C177" s="23" t="s">
        <v>163</v>
      </c>
      <c r="D177" s="23" t="s">
        <v>164</v>
      </c>
      <c r="E177" s="22"/>
      <c r="F177" s="22"/>
      <c r="G177" s="22"/>
    </row>
    <row r="178" spans="1:14" ht="18" customHeight="1" x14ac:dyDescent="0.2">
      <c r="A178" s="22"/>
      <c r="B178" s="23" t="s">
        <v>165</v>
      </c>
      <c r="C178" s="23" t="s">
        <v>166</v>
      </c>
      <c r="D178" s="23" t="s">
        <v>167</v>
      </c>
      <c r="E178" s="22"/>
      <c r="F178" s="22"/>
      <c r="G178" s="22"/>
      <c r="I178" s="107"/>
      <c r="J178" s="107"/>
      <c r="K178" s="107"/>
      <c r="L178" s="107"/>
      <c r="M178" s="107"/>
      <c r="N178" s="107"/>
    </row>
    <row r="179" spans="1:14" ht="17.100000000000001" customHeight="1" x14ac:dyDescent="0.2">
      <c r="A179" s="22"/>
      <c r="B179" s="4" t="s">
        <v>168</v>
      </c>
      <c r="C179" s="24">
        <v>56.518799999999999</v>
      </c>
      <c r="D179" s="24">
        <v>58.225000000000001</v>
      </c>
      <c r="E179" s="22"/>
      <c r="F179" s="19"/>
      <c r="G179" s="25"/>
    </row>
    <row r="180" spans="1:14" ht="29.1" customHeight="1" x14ac:dyDescent="0.2">
      <c r="A180" s="22"/>
      <c r="B180" s="4" t="s">
        <v>1061</v>
      </c>
      <c r="C180" s="24">
        <v>13.944000000000001</v>
      </c>
      <c r="D180" s="24">
        <v>14.364800000000001</v>
      </c>
      <c r="E180" s="22"/>
      <c r="F180" s="19"/>
      <c r="G180" s="25"/>
    </row>
    <row r="181" spans="1:14" ht="29.1" customHeight="1" x14ac:dyDescent="0.2">
      <c r="A181" s="22"/>
      <c r="B181" s="4" t="s">
        <v>1064</v>
      </c>
      <c r="C181" s="24">
        <v>20.691400000000002</v>
      </c>
      <c r="D181" s="24">
        <v>21.315799999999999</v>
      </c>
      <c r="E181" s="22"/>
      <c r="F181" s="19"/>
      <c r="G181" s="25"/>
    </row>
    <row r="182" spans="1:14" ht="17.100000000000001" customHeight="1" x14ac:dyDescent="0.2">
      <c r="A182" s="22"/>
      <c r="B182" s="4" t="s">
        <v>169</v>
      </c>
      <c r="C182" s="24">
        <v>50.9801</v>
      </c>
      <c r="D182" s="24">
        <v>52.442599999999999</v>
      </c>
      <c r="E182" s="22"/>
      <c r="F182" s="19"/>
      <c r="G182" s="25"/>
    </row>
    <row r="183" spans="1:14" ht="29.1" customHeight="1" x14ac:dyDescent="0.2">
      <c r="A183" s="22"/>
      <c r="B183" s="4" t="s">
        <v>1062</v>
      </c>
      <c r="C183" s="24">
        <v>13.6112</v>
      </c>
      <c r="D183" s="24">
        <v>14.0016</v>
      </c>
      <c r="E183" s="22"/>
      <c r="F183" s="19"/>
      <c r="G183" s="25"/>
    </row>
    <row r="184" spans="1:14" ht="29.1" customHeight="1" x14ac:dyDescent="0.2">
      <c r="A184" s="22"/>
      <c r="B184" s="4" t="s">
        <v>1066</v>
      </c>
      <c r="C184" s="24">
        <v>14.920400000000001</v>
      </c>
      <c r="D184" s="24">
        <v>15.3484</v>
      </c>
      <c r="E184" s="22"/>
      <c r="F184" s="19"/>
      <c r="G184" s="25"/>
    </row>
    <row r="185" spans="1:14" ht="14.1" customHeight="1" x14ac:dyDescent="0.2">
      <c r="A185" s="22"/>
      <c r="B185" s="22"/>
      <c r="C185" s="22"/>
      <c r="D185" s="22"/>
      <c r="E185" s="22"/>
      <c r="F185" s="22"/>
      <c r="G185" s="22"/>
    </row>
    <row r="186" spans="1:14" ht="17.100000000000001" customHeight="1" x14ac:dyDescent="0.2">
      <c r="A186" s="22"/>
      <c r="B186" s="274" t="s">
        <v>1060</v>
      </c>
      <c r="C186" s="275"/>
      <c r="D186" s="2" t="s">
        <v>160</v>
      </c>
      <c r="E186" s="22"/>
      <c r="F186" s="22"/>
      <c r="G186" s="22"/>
    </row>
    <row r="187" spans="1:14" ht="18" customHeight="1" x14ac:dyDescent="0.2">
      <c r="A187" s="22"/>
      <c r="B187" s="26" t="s">
        <v>170</v>
      </c>
      <c r="C187" s="26" t="s">
        <v>170</v>
      </c>
      <c r="D187" s="26"/>
      <c r="E187" s="22"/>
      <c r="F187" s="22"/>
      <c r="G187" s="22"/>
    </row>
    <row r="188" spans="1:14" ht="29.1" customHeight="1" x14ac:dyDescent="0.2">
      <c r="A188" s="22"/>
      <c r="B188" s="276" t="s">
        <v>171</v>
      </c>
      <c r="C188" s="277"/>
      <c r="D188" s="62" t="s">
        <v>1036</v>
      </c>
      <c r="E188" s="22"/>
      <c r="F188" s="22"/>
      <c r="G188" s="22"/>
    </row>
    <row r="189" spans="1:14" ht="29.1" customHeight="1" x14ac:dyDescent="0.2">
      <c r="A189" s="22"/>
      <c r="B189" s="276" t="s">
        <v>172</v>
      </c>
      <c r="C189" s="277"/>
      <c r="D189" s="2" t="s">
        <v>160</v>
      </c>
      <c r="E189" s="22"/>
      <c r="F189" s="22"/>
      <c r="G189" s="22"/>
    </row>
    <row r="190" spans="1:14" ht="17.100000000000001" customHeight="1" x14ac:dyDescent="0.2">
      <c r="A190" s="149"/>
      <c r="B190" s="302" t="s">
        <v>1044</v>
      </c>
      <c r="C190" s="303"/>
      <c r="D190" s="150">
        <v>0.74490557902595655</v>
      </c>
      <c r="E190" s="152"/>
      <c r="F190" s="149"/>
      <c r="G190" s="149"/>
    </row>
    <row r="191" spans="1:14" ht="17.100000000000001" customHeight="1" x14ac:dyDescent="0.2">
      <c r="A191" s="149"/>
      <c r="B191" s="302" t="s">
        <v>1045</v>
      </c>
      <c r="C191" s="303"/>
      <c r="D191" s="150">
        <v>0.69546459885774614</v>
      </c>
      <c r="E191" s="152"/>
      <c r="F191" s="149"/>
      <c r="G191" s="149"/>
    </row>
    <row r="192" spans="1:14" ht="17.100000000000001" customHeight="1" x14ac:dyDescent="0.2">
      <c r="A192" s="22"/>
      <c r="B192" s="276" t="s">
        <v>1046</v>
      </c>
      <c r="C192" s="277"/>
      <c r="D192" s="27">
        <v>4.2868843242435881</v>
      </c>
      <c r="E192" s="22"/>
      <c r="F192" s="19"/>
      <c r="G192" s="25"/>
    </row>
    <row r="193" spans="1:7" ht="17.100000000000001" customHeight="1" x14ac:dyDescent="0.2">
      <c r="A193" s="22"/>
      <c r="B193" s="276" t="s">
        <v>1047</v>
      </c>
      <c r="C193" s="277"/>
      <c r="D193" s="2" t="s">
        <v>160</v>
      </c>
      <c r="E193" s="22"/>
      <c r="F193" s="22"/>
      <c r="G193" s="22"/>
    </row>
  </sheetData>
  <mergeCells count="19">
    <mergeCell ref="J2:N2"/>
    <mergeCell ref="A1:H1"/>
    <mergeCell ref="A2:H2"/>
    <mergeCell ref="A3:H3"/>
    <mergeCell ref="B173:C173"/>
    <mergeCell ref="B168:F168"/>
    <mergeCell ref="B170:F170"/>
    <mergeCell ref="B169:F169"/>
    <mergeCell ref="B171:F171"/>
    <mergeCell ref="B192:C192"/>
    <mergeCell ref="B193:C193"/>
    <mergeCell ref="B174:C174"/>
    <mergeCell ref="B175:C175"/>
    <mergeCell ref="B176:C176"/>
    <mergeCell ref="B186:C186"/>
    <mergeCell ref="B188:C188"/>
    <mergeCell ref="B189:C189"/>
    <mergeCell ref="B190:C190"/>
    <mergeCell ref="B191:C191"/>
  </mergeCells>
  <hyperlinks>
    <hyperlink ref="I1" location="Index!B27" display="Index" xr:uid="{43ED4A39-362F-446C-9D9A-58942F725CD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2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1075</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713000</v>
      </c>
      <c r="F7" s="6">
        <v>6479.0309999999999</v>
      </c>
      <c r="G7" s="7">
        <v>8.2348739000000004E-2</v>
      </c>
      <c r="H7" s="106"/>
    </row>
    <row r="8" spans="1:14" ht="17.100000000000001" customHeight="1" x14ac:dyDescent="0.2">
      <c r="A8" s="3">
        <v>2</v>
      </c>
      <c r="B8" s="4" t="s">
        <v>20</v>
      </c>
      <c r="C8" s="4" t="s">
        <v>21</v>
      </c>
      <c r="D8" s="4" t="s">
        <v>22</v>
      </c>
      <c r="E8" s="5">
        <v>215000</v>
      </c>
      <c r="F8" s="6">
        <v>5481.64</v>
      </c>
      <c r="G8" s="7">
        <v>6.9671860000000002E-2</v>
      </c>
      <c r="H8" s="106"/>
    </row>
    <row r="9" spans="1:14" ht="29.1" customHeight="1" x14ac:dyDescent="0.2">
      <c r="A9" s="3">
        <v>3</v>
      </c>
      <c r="B9" s="4" t="s">
        <v>298</v>
      </c>
      <c r="C9" s="4" t="s">
        <v>299</v>
      </c>
      <c r="D9" s="4" t="s">
        <v>99</v>
      </c>
      <c r="E9" s="5">
        <v>206000</v>
      </c>
      <c r="F9" s="6">
        <v>5087.7879999999996</v>
      </c>
      <c r="G9" s="7">
        <v>6.4665984999999995E-2</v>
      </c>
      <c r="H9" s="106"/>
    </row>
    <row r="10" spans="1:14" ht="17.100000000000001" customHeight="1" x14ac:dyDescent="0.2">
      <c r="A10" s="3">
        <v>4</v>
      </c>
      <c r="B10" s="4" t="s">
        <v>296</v>
      </c>
      <c r="C10" s="4" t="s">
        <v>297</v>
      </c>
      <c r="D10" s="4" t="s">
        <v>1114</v>
      </c>
      <c r="E10" s="5">
        <v>288000</v>
      </c>
      <c r="F10" s="6">
        <v>4428.4319999999998</v>
      </c>
      <c r="G10" s="7">
        <v>5.6285544999999999E-2</v>
      </c>
      <c r="H10" s="106"/>
    </row>
    <row r="11" spans="1:14" ht="17.100000000000001" customHeight="1" x14ac:dyDescent="0.2">
      <c r="A11" s="3">
        <v>5</v>
      </c>
      <c r="B11" s="4" t="s">
        <v>346</v>
      </c>
      <c r="C11" s="4" t="s">
        <v>347</v>
      </c>
      <c r="D11" s="4" t="s">
        <v>16</v>
      </c>
      <c r="E11" s="5">
        <v>1248000</v>
      </c>
      <c r="F11" s="6">
        <v>3624.192</v>
      </c>
      <c r="G11" s="7">
        <v>4.6063622999999998E-2</v>
      </c>
      <c r="H11" s="106"/>
    </row>
    <row r="12" spans="1:14" ht="17.100000000000001" customHeight="1" x14ac:dyDescent="0.2">
      <c r="A12" s="3">
        <v>6</v>
      </c>
      <c r="B12" s="4" t="s">
        <v>11</v>
      </c>
      <c r="C12" s="4" t="s">
        <v>12</v>
      </c>
      <c r="D12" s="4" t="s">
        <v>13</v>
      </c>
      <c r="E12" s="5">
        <v>156000</v>
      </c>
      <c r="F12" s="6">
        <v>3156.0360000000001</v>
      </c>
      <c r="G12" s="7">
        <v>4.0113342000000003E-2</v>
      </c>
      <c r="H12" s="106"/>
    </row>
    <row r="13" spans="1:14" ht="17.100000000000001" customHeight="1" x14ac:dyDescent="0.2">
      <c r="A13" s="3">
        <v>7</v>
      </c>
      <c r="B13" s="4" t="s">
        <v>42</v>
      </c>
      <c r="C13" s="4" t="s">
        <v>43</v>
      </c>
      <c r="D13" s="4" t="s">
        <v>16</v>
      </c>
      <c r="E13" s="5">
        <v>525000</v>
      </c>
      <c r="F13" s="6">
        <v>3012.45</v>
      </c>
      <c r="G13" s="7">
        <v>3.8288358000000002E-2</v>
      </c>
      <c r="H13" s="106"/>
    </row>
    <row r="14" spans="1:14" ht="17.100000000000001" customHeight="1" x14ac:dyDescent="0.2">
      <c r="A14" s="3">
        <v>8</v>
      </c>
      <c r="B14" s="4" t="s">
        <v>354</v>
      </c>
      <c r="C14" s="4" t="s">
        <v>355</v>
      </c>
      <c r="D14" s="4" t="s">
        <v>182</v>
      </c>
      <c r="E14" s="5">
        <v>64955</v>
      </c>
      <c r="F14" s="6">
        <v>2806.6405949999998</v>
      </c>
      <c r="G14" s="7">
        <v>3.5672512000000003E-2</v>
      </c>
      <c r="H14" s="106"/>
      <c r="J14" s="161" t="s">
        <v>1100</v>
      </c>
    </row>
    <row r="15" spans="1:14" ht="17.100000000000001" customHeight="1" x14ac:dyDescent="0.2">
      <c r="A15" s="3">
        <v>9</v>
      </c>
      <c r="B15" s="4" t="s">
        <v>343</v>
      </c>
      <c r="C15" s="102" t="s">
        <v>1013</v>
      </c>
      <c r="D15" s="4" t="s">
        <v>19</v>
      </c>
      <c r="E15" s="5">
        <v>581000</v>
      </c>
      <c r="F15" s="6">
        <v>2555.819</v>
      </c>
      <c r="G15" s="7">
        <v>3.2484560000000003E-2</v>
      </c>
      <c r="H15" s="106"/>
    </row>
    <row r="16" spans="1:14" ht="17.100000000000001" customHeight="1" x14ac:dyDescent="0.2">
      <c r="A16" s="3">
        <v>10</v>
      </c>
      <c r="B16" s="4" t="s">
        <v>258</v>
      </c>
      <c r="C16" s="4" t="s">
        <v>259</v>
      </c>
      <c r="D16" s="4" t="s">
        <v>99</v>
      </c>
      <c r="E16" s="5">
        <v>149000</v>
      </c>
      <c r="F16" s="6">
        <v>2514.375</v>
      </c>
      <c r="G16" s="7">
        <v>3.1957804999999999E-2</v>
      </c>
      <c r="H16" s="106"/>
    </row>
    <row r="17" spans="1:10" ht="53.1" customHeight="1" x14ac:dyDescent="0.2">
      <c r="A17" s="3">
        <v>11</v>
      </c>
      <c r="B17" s="4" t="s">
        <v>46</v>
      </c>
      <c r="C17" s="4" t="s">
        <v>47</v>
      </c>
      <c r="D17" s="4" t="s">
        <v>48</v>
      </c>
      <c r="E17" s="5">
        <v>1625000</v>
      </c>
      <c r="F17" s="6">
        <v>2491.125</v>
      </c>
      <c r="G17" s="7">
        <v>3.1662296999999999E-2</v>
      </c>
      <c r="H17" s="106"/>
    </row>
    <row r="18" spans="1:10" ht="17.100000000000001" customHeight="1" x14ac:dyDescent="0.2">
      <c r="A18" s="3">
        <v>12</v>
      </c>
      <c r="B18" s="4" t="s">
        <v>68</v>
      </c>
      <c r="C18" s="4" t="s">
        <v>69</v>
      </c>
      <c r="D18" s="4" t="s">
        <v>70</v>
      </c>
      <c r="E18" s="5">
        <v>26000</v>
      </c>
      <c r="F18" s="6">
        <v>2477.1759999999999</v>
      </c>
      <c r="G18" s="7">
        <v>3.1485003999999997E-2</v>
      </c>
      <c r="H18" s="106"/>
    </row>
    <row r="19" spans="1:10" ht="53.1" customHeight="1" x14ac:dyDescent="0.2">
      <c r="A19" s="3">
        <v>13</v>
      </c>
      <c r="B19" s="4" t="s">
        <v>90</v>
      </c>
      <c r="C19" s="4" t="s">
        <v>91</v>
      </c>
      <c r="D19" s="4" t="s">
        <v>48</v>
      </c>
      <c r="E19" s="5">
        <v>143000</v>
      </c>
      <c r="F19" s="6">
        <v>2253.8229999999999</v>
      </c>
      <c r="G19" s="7">
        <v>2.8646179000000001E-2</v>
      </c>
      <c r="H19" s="106"/>
    </row>
    <row r="20" spans="1:10" ht="29.1" customHeight="1" x14ac:dyDescent="0.2">
      <c r="A20" s="3">
        <v>14</v>
      </c>
      <c r="B20" s="4" t="s">
        <v>65</v>
      </c>
      <c r="C20" s="4" t="s">
        <v>66</v>
      </c>
      <c r="D20" s="4" t="s">
        <v>67</v>
      </c>
      <c r="E20" s="5">
        <v>2100000</v>
      </c>
      <c r="F20" s="6">
        <v>2243.85</v>
      </c>
      <c r="G20" s="7">
        <v>2.8519421999999999E-2</v>
      </c>
      <c r="H20" s="106"/>
    </row>
    <row r="21" spans="1:10" ht="29.1" customHeight="1" x14ac:dyDescent="0.2">
      <c r="A21" s="3">
        <v>15</v>
      </c>
      <c r="B21" s="4" t="s">
        <v>97</v>
      </c>
      <c r="C21" s="4" t="s">
        <v>98</v>
      </c>
      <c r="D21" s="4" t="s">
        <v>99</v>
      </c>
      <c r="E21" s="5">
        <v>273000</v>
      </c>
      <c r="F21" s="6">
        <v>1936.5255</v>
      </c>
      <c r="G21" s="7">
        <v>2.4613315E-2</v>
      </c>
      <c r="H21" s="106"/>
      <c r="J21" s="161" t="s">
        <v>1101</v>
      </c>
    </row>
    <row r="22" spans="1:10" ht="17.100000000000001" customHeight="1" x14ac:dyDescent="0.2">
      <c r="A22" s="3">
        <v>16</v>
      </c>
      <c r="B22" s="4" t="s">
        <v>511</v>
      </c>
      <c r="C22" s="4" t="s">
        <v>512</v>
      </c>
      <c r="D22" s="4" t="s">
        <v>324</v>
      </c>
      <c r="E22" s="5">
        <v>45000</v>
      </c>
      <c r="F22" s="6">
        <v>1867.23</v>
      </c>
      <c r="G22" s="7">
        <v>2.3732567E-2</v>
      </c>
      <c r="H22" s="106"/>
    </row>
    <row r="23" spans="1:10" ht="17.100000000000001" customHeight="1" x14ac:dyDescent="0.2">
      <c r="A23" s="3">
        <v>17</v>
      </c>
      <c r="B23" s="4" t="s">
        <v>75</v>
      </c>
      <c r="C23" s="4" t="s">
        <v>76</v>
      </c>
      <c r="D23" s="4" t="s">
        <v>36</v>
      </c>
      <c r="E23" s="5">
        <v>661667</v>
      </c>
      <c r="F23" s="6">
        <v>1851.3442660000001</v>
      </c>
      <c r="G23" s="7">
        <v>2.3530657999999999E-2</v>
      </c>
      <c r="H23" s="106"/>
    </row>
    <row r="24" spans="1:10" ht="29.1" customHeight="1" x14ac:dyDescent="0.2">
      <c r="A24" s="3">
        <v>18</v>
      </c>
      <c r="B24" s="4" t="s">
        <v>196</v>
      </c>
      <c r="C24" s="4" t="s">
        <v>197</v>
      </c>
      <c r="D24" s="4" t="s">
        <v>188</v>
      </c>
      <c r="E24" s="5">
        <v>40584</v>
      </c>
      <c r="F24" s="6">
        <v>1847.2822200000001</v>
      </c>
      <c r="G24" s="7">
        <v>2.3479030000000001E-2</v>
      </c>
      <c r="H24" s="106"/>
    </row>
    <row r="25" spans="1:10" ht="29.1" customHeight="1" x14ac:dyDescent="0.2">
      <c r="A25" s="3">
        <v>19</v>
      </c>
      <c r="B25" s="4" t="s">
        <v>85</v>
      </c>
      <c r="C25" s="4" t="s">
        <v>86</v>
      </c>
      <c r="D25" s="4" t="s">
        <v>25</v>
      </c>
      <c r="E25" s="5">
        <v>8000</v>
      </c>
      <c r="F25" s="6">
        <v>1819.24</v>
      </c>
      <c r="G25" s="7">
        <v>2.3122612000000001E-2</v>
      </c>
      <c r="H25" s="106"/>
    </row>
    <row r="26" spans="1:10" ht="17.100000000000001" customHeight="1" x14ac:dyDescent="0.2">
      <c r="A26" s="3">
        <v>20</v>
      </c>
      <c r="B26" s="4" t="s">
        <v>100</v>
      </c>
      <c r="C26" s="4" t="s">
        <v>101</v>
      </c>
      <c r="D26" s="4" t="s">
        <v>96</v>
      </c>
      <c r="E26" s="5">
        <v>193000</v>
      </c>
      <c r="F26" s="6">
        <v>1784.5744999999999</v>
      </c>
      <c r="G26" s="7">
        <v>2.2682012000000001E-2</v>
      </c>
      <c r="H26" s="106"/>
    </row>
    <row r="27" spans="1:10" ht="17.100000000000001" customHeight="1" x14ac:dyDescent="0.2">
      <c r="A27" s="3">
        <v>21</v>
      </c>
      <c r="B27" s="4" t="s">
        <v>215</v>
      </c>
      <c r="C27" s="4" t="s">
        <v>216</v>
      </c>
      <c r="D27" s="4" t="s">
        <v>185</v>
      </c>
      <c r="E27" s="5">
        <v>96000</v>
      </c>
      <c r="F27" s="6">
        <v>1586.7360000000001</v>
      </c>
      <c r="G27" s="7">
        <v>2.0167477E-2</v>
      </c>
      <c r="H27" s="106"/>
    </row>
    <row r="28" spans="1:10" ht="17.100000000000001" customHeight="1" x14ac:dyDescent="0.2">
      <c r="A28" s="3">
        <v>22</v>
      </c>
      <c r="B28" s="4" t="s">
        <v>256</v>
      </c>
      <c r="C28" s="4" t="s">
        <v>257</v>
      </c>
      <c r="D28" s="4" t="s">
        <v>212</v>
      </c>
      <c r="E28" s="5">
        <v>549355</v>
      </c>
      <c r="F28" s="6">
        <v>1524.1854475</v>
      </c>
      <c r="G28" s="7">
        <v>1.9372456999999999E-2</v>
      </c>
      <c r="H28" s="106"/>
    </row>
    <row r="29" spans="1:10" ht="17.100000000000001" customHeight="1" x14ac:dyDescent="0.2">
      <c r="A29" s="3">
        <v>23</v>
      </c>
      <c r="B29" s="4" t="s">
        <v>358</v>
      </c>
      <c r="C29" s="4" t="s">
        <v>359</v>
      </c>
      <c r="D29" s="4" t="s">
        <v>70</v>
      </c>
      <c r="E29" s="5">
        <v>362330</v>
      </c>
      <c r="F29" s="6">
        <v>1495.517075</v>
      </c>
      <c r="G29" s="7">
        <v>1.9008081E-2</v>
      </c>
      <c r="H29" s="106"/>
    </row>
    <row r="30" spans="1:10" ht="17.100000000000001" customHeight="1" x14ac:dyDescent="0.2">
      <c r="A30" s="3">
        <v>24</v>
      </c>
      <c r="B30" s="4" t="s">
        <v>52</v>
      </c>
      <c r="C30" s="4" t="s">
        <v>53</v>
      </c>
      <c r="D30" s="4" t="s">
        <v>28</v>
      </c>
      <c r="E30" s="5">
        <v>657694</v>
      </c>
      <c r="F30" s="6">
        <v>1486.3884399999999</v>
      </c>
      <c r="G30" s="7">
        <v>1.8892055000000001E-2</v>
      </c>
      <c r="H30" s="106"/>
    </row>
    <row r="31" spans="1:10" ht="17.100000000000001" customHeight="1" x14ac:dyDescent="0.2">
      <c r="A31" s="3">
        <v>25</v>
      </c>
      <c r="B31" s="4" t="s">
        <v>293</v>
      </c>
      <c r="C31" s="4" t="s">
        <v>294</v>
      </c>
      <c r="D31" s="4" t="s">
        <v>110</v>
      </c>
      <c r="E31" s="5">
        <v>32217</v>
      </c>
      <c r="F31" s="6">
        <v>1455.113022</v>
      </c>
      <c r="G31" s="7">
        <v>1.8494544000000002E-2</v>
      </c>
      <c r="H31" s="106"/>
    </row>
    <row r="32" spans="1:10" ht="17.100000000000001" customHeight="1" x14ac:dyDescent="0.2">
      <c r="A32" s="3">
        <v>26</v>
      </c>
      <c r="B32" s="4" t="s">
        <v>106</v>
      </c>
      <c r="C32" s="4" t="s">
        <v>107</v>
      </c>
      <c r="D32" s="4" t="s">
        <v>89</v>
      </c>
      <c r="E32" s="5">
        <v>271788</v>
      </c>
      <c r="F32" s="6">
        <v>1264.9013520000001</v>
      </c>
      <c r="G32" s="7">
        <v>1.6076946000000002E-2</v>
      </c>
      <c r="H32" s="106"/>
    </row>
    <row r="33" spans="1:8" ht="17.100000000000001" customHeight="1" x14ac:dyDescent="0.2">
      <c r="A33" s="3">
        <v>27</v>
      </c>
      <c r="B33" s="4" t="s">
        <v>34</v>
      </c>
      <c r="C33" s="4" t="s">
        <v>35</v>
      </c>
      <c r="D33" s="4" t="s">
        <v>36</v>
      </c>
      <c r="E33" s="5">
        <v>41000</v>
      </c>
      <c r="F33" s="6">
        <v>1250.3975</v>
      </c>
      <c r="G33" s="7">
        <v>1.5892600999999999E-2</v>
      </c>
      <c r="H33" s="106"/>
    </row>
    <row r="34" spans="1:8" ht="17.100000000000001" customHeight="1" x14ac:dyDescent="0.2">
      <c r="A34" s="3">
        <v>28</v>
      </c>
      <c r="B34" s="4" t="s">
        <v>367</v>
      </c>
      <c r="C34" s="4" t="s">
        <v>368</v>
      </c>
      <c r="D34" s="4" t="s">
        <v>110</v>
      </c>
      <c r="E34" s="5">
        <v>86708</v>
      </c>
      <c r="F34" s="6">
        <v>838.76983800000005</v>
      </c>
      <c r="G34" s="7">
        <v>1.0660798000000001E-2</v>
      </c>
      <c r="H34" s="106"/>
    </row>
    <row r="35" spans="1:8" ht="17.100000000000001" customHeight="1" x14ac:dyDescent="0.2">
      <c r="A35" s="3">
        <v>29</v>
      </c>
      <c r="B35" s="4" t="s">
        <v>519</v>
      </c>
      <c r="C35" s="4" t="s">
        <v>520</v>
      </c>
      <c r="D35" s="4" t="s">
        <v>1114</v>
      </c>
      <c r="E35" s="5">
        <v>46000</v>
      </c>
      <c r="F35" s="6">
        <v>601.79499999999996</v>
      </c>
      <c r="G35" s="7">
        <v>7.6488379999999998E-3</v>
      </c>
      <c r="H35" s="106"/>
    </row>
    <row r="36" spans="1:8" ht="17.100000000000001" customHeight="1" x14ac:dyDescent="0.2">
      <c r="A36" s="3">
        <v>30</v>
      </c>
      <c r="B36" s="4" t="s">
        <v>125</v>
      </c>
      <c r="C36" s="4" t="s">
        <v>126</v>
      </c>
      <c r="D36" s="4"/>
      <c r="E36" s="5">
        <v>143000</v>
      </c>
      <c r="F36" s="6">
        <v>431.5025</v>
      </c>
      <c r="G36" s="7">
        <v>5.484414E-3</v>
      </c>
      <c r="H36" s="106"/>
    </row>
    <row r="37" spans="1:8" ht="14.1" customHeight="1" x14ac:dyDescent="0.2">
      <c r="A37" s="1"/>
      <c r="B37" s="1"/>
      <c r="C37" s="2" t="s">
        <v>130</v>
      </c>
      <c r="D37" s="1"/>
      <c r="E37" s="1" t="s">
        <v>131</v>
      </c>
      <c r="F37" s="9">
        <v>71653.880255500015</v>
      </c>
      <c r="G37" s="10">
        <v>0.91072363599999984</v>
      </c>
      <c r="H37" s="106"/>
    </row>
    <row r="38" spans="1:8" ht="14.1" customHeight="1" x14ac:dyDescent="0.2">
      <c r="A38" s="1"/>
      <c r="B38" s="1"/>
      <c r="C38" s="11"/>
      <c r="D38" s="1"/>
      <c r="E38" s="1"/>
      <c r="F38" s="12"/>
      <c r="G38" s="12"/>
      <c r="H38" s="106"/>
    </row>
    <row r="39" spans="1:8" ht="14.1" customHeight="1" x14ac:dyDescent="0.2">
      <c r="A39" s="1"/>
      <c r="B39" s="1"/>
      <c r="C39" s="2" t="s">
        <v>132</v>
      </c>
      <c r="D39" s="1"/>
      <c r="E39" s="1"/>
      <c r="F39" s="1"/>
      <c r="G39" s="1"/>
      <c r="H39" s="106"/>
    </row>
    <row r="40" spans="1:8" ht="14.1" customHeight="1" x14ac:dyDescent="0.2">
      <c r="A40" s="1"/>
      <c r="B40" s="1"/>
      <c r="C40" s="2" t="s">
        <v>130</v>
      </c>
      <c r="D40" s="1"/>
      <c r="E40" s="1" t="s">
        <v>131</v>
      </c>
      <c r="F40" s="13">
        <v>0</v>
      </c>
      <c r="G40" s="14">
        <v>0</v>
      </c>
      <c r="H40" s="106"/>
    </row>
    <row r="41" spans="1:8" ht="14.1" customHeight="1" x14ac:dyDescent="0.2">
      <c r="A41" s="1"/>
      <c r="B41" s="1"/>
      <c r="C41" s="11"/>
      <c r="D41" s="1"/>
      <c r="E41" s="1"/>
      <c r="F41" s="12"/>
      <c r="G41" s="12"/>
      <c r="H41" s="106"/>
    </row>
    <row r="42" spans="1:8" ht="14.1" customHeight="1" x14ac:dyDescent="0.2">
      <c r="A42" s="1"/>
      <c r="B42" s="1"/>
      <c r="C42" s="2" t="s">
        <v>133</v>
      </c>
      <c r="D42" s="1"/>
      <c r="E42" s="1"/>
      <c r="F42" s="1"/>
      <c r="G42" s="1"/>
      <c r="H42" s="106"/>
    </row>
    <row r="43" spans="1:8" ht="14.1" customHeight="1" x14ac:dyDescent="0.2">
      <c r="A43" s="1"/>
      <c r="B43" s="1"/>
      <c r="C43" s="2" t="s">
        <v>130</v>
      </c>
      <c r="D43" s="1"/>
      <c r="E43" s="1" t="s">
        <v>131</v>
      </c>
      <c r="F43" s="13">
        <v>0</v>
      </c>
      <c r="G43" s="14">
        <v>0</v>
      </c>
      <c r="H43" s="106"/>
    </row>
    <row r="44" spans="1:8" ht="14.1" customHeight="1" x14ac:dyDescent="0.2">
      <c r="A44" s="1"/>
      <c r="B44" s="1"/>
      <c r="C44" s="11"/>
      <c r="D44" s="1"/>
      <c r="E44" s="1"/>
      <c r="F44" s="12"/>
      <c r="G44" s="12"/>
      <c r="H44" s="106"/>
    </row>
    <row r="45" spans="1:8" ht="14.1" customHeight="1" x14ac:dyDescent="0.2">
      <c r="A45" s="1"/>
      <c r="B45" s="1"/>
      <c r="C45" s="2" t="s">
        <v>134</v>
      </c>
      <c r="D45" s="1"/>
      <c r="E45" s="1"/>
      <c r="F45" s="1"/>
      <c r="G45" s="1"/>
      <c r="H45" s="106"/>
    </row>
    <row r="46" spans="1:8" ht="14.1" customHeight="1" x14ac:dyDescent="0.2">
      <c r="A46" s="1"/>
      <c r="B46" s="1"/>
      <c r="C46" s="2" t="s">
        <v>130</v>
      </c>
      <c r="D46" s="1"/>
      <c r="E46" s="1" t="s">
        <v>131</v>
      </c>
      <c r="F46" s="9">
        <v>0</v>
      </c>
      <c r="G46" s="10">
        <v>0</v>
      </c>
      <c r="H46" s="106"/>
    </row>
    <row r="47" spans="1:8" ht="14.1" customHeight="1" x14ac:dyDescent="0.2">
      <c r="A47" s="1"/>
      <c r="B47" s="1"/>
      <c r="C47" s="11"/>
      <c r="D47" s="1"/>
      <c r="E47" s="1"/>
      <c r="F47" s="12"/>
      <c r="G47" s="12"/>
      <c r="H47" s="106"/>
    </row>
    <row r="48" spans="1:8" ht="14.1" customHeight="1" x14ac:dyDescent="0.2">
      <c r="A48" s="1"/>
      <c r="B48" s="1"/>
      <c r="C48" s="2" t="s">
        <v>135</v>
      </c>
      <c r="D48" s="1"/>
      <c r="E48" s="1"/>
      <c r="F48" s="12"/>
      <c r="G48" s="12"/>
      <c r="H48" s="106"/>
    </row>
    <row r="49" spans="1:8" ht="14.1" customHeight="1" x14ac:dyDescent="0.2">
      <c r="A49" s="1"/>
      <c r="B49" s="1"/>
      <c r="C49" s="2" t="s">
        <v>130</v>
      </c>
      <c r="D49" s="1"/>
      <c r="E49" s="1" t="s">
        <v>131</v>
      </c>
      <c r="F49" s="13">
        <v>0</v>
      </c>
      <c r="G49" s="14">
        <v>0</v>
      </c>
      <c r="H49" s="106"/>
    </row>
    <row r="50" spans="1:8" ht="14.1" customHeight="1" x14ac:dyDescent="0.2">
      <c r="A50" s="1"/>
      <c r="B50" s="1"/>
      <c r="C50" s="11"/>
      <c r="D50" s="1"/>
      <c r="E50" s="1"/>
      <c r="F50" s="12"/>
      <c r="G50" s="12"/>
      <c r="H50" s="106"/>
    </row>
    <row r="51" spans="1:8" ht="14.1" customHeight="1" x14ac:dyDescent="0.2">
      <c r="A51" s="1"/>
      <c r="B51" s="1"/>
      <c r="C51" s="2" t="s">
        <v>136</v>
      </c>
      <c r="D51" s="1"/>
      <c r="E51" s="1"/>
      <c r="F51" s="12"/>
      <c r="G51" s="12"/>
      <c r="H51" s="106"/>
    </row>
    <row r="52" spans="1:8" ht="14.1" customHeight="1" x14ac:dyDescent="0.2">
      <c r="A52" s="1"/>
      <c r="B52" s="1"/>
      <c r="C52" s="2" t="s">
        <v>130</v>
      </c>
      <c r="D52" s="1"/>
      <c r="E52" s="1" t="s">
        <v>131</v>
      </c>
      <c r="F52" s="13">
        <v>0</v>
      </c>
      <c r="G52" s="14">
        <v>0</v>
      </c>
      <c r="H52" s="106"/>
    </row>
    <row r="53" spans="1:8" ht="14.1" customHeight="1" x14ac:dyDescent="0.2">
      <c r="A53" s="1"/>
      <c r="B53" s="1"/>
      <c r="C53" s="11"/>
      <c r="D53" s="1"/>
      <c r="E53" s="1"/>
      <c r="F53" s="12"/>
      <c r="G53" s="12"/>
      <c r="H53" s="106"/>
    </row>
    <row r="54" spans="1:8" ht="18" customHeight="1" x14ac:dyDescent="0.2">
      <c r="A54" s="1"/>
      <c r="B54" s="1"/>
      <c r="C54" s="2" t="s">
        <v>137</v>
      </c>
      <c r="D54" s="1"/>
      <c r="E54" s="1"/>
      <c r="F54" s="9">
        <v>71653.8802555</v>
      </c>
      <c r="G54" s="10">
        <v>0.91072363599999995</v>
      </c>
      <c r="H54" s="106"/>
    </row>
    <row r="55" spans="1:8" ht="14.1" customHeight="1" x14ac:dyDescent="0.2">
      <c r="A55" s="1"/>
      <c r="B55" s="1"/>
      <c r="C55" s="11"/>
      <c r="D55" s="1"/>
      <c r="E55" s="1"/>
      <c r="F55" s="12"/>
      <c r="G55" s="12"/>
      <c r="H55" s="106"/>
    </row>
    <row r="56" spans="1:8" ht="14.1" customHeight="1" x14ac:dyDescent="0.2">
      <c r="A56" s="1"/>
      <c r="B56" s="1"/>
      <c r="C56" s="2" t="s">
        <v>138</v>
      </c>
      <c r="D56" s="1"/>
      <c r="E56" s="1"/>
      <c r="F56" s="12"/>
      <c r="G56" s="12"/>
      <c r="H56" s="106"/>
    </row>
    <row r="57" spans="1:8" ht="24" customHeight="1" x14ac:dyDescent="0.2">
      <c r="A57" s="1"/>
      <c r="B57" s="1"/>
      <c r="C57" s="2" t="s">
        <v>10</v>
      </c>
      <c r="D57" s="1"/>
      <c r="E57" s="1"/>
      <c r="F57" s="12"/>
      <c r="G57" s="12"/>
      <c r="H57" s="106"/>
    </row>
    <row r="58" spans="1:8" ht="14.1" customHeight="1" x14ac:dyDescent="0.2">
      <c r="A58" s="1"/>
      <c r="B58" s="1"/>
      <c r="C58" s="2" t="s">
        <v>130</v>
      </c>
      <c r="D58" s="1"/>
      <c r="E58" s="1" t="s">
        <v>131</v>
      </c>
      <c r="F58" s="13">
        <v>0</v>
      </c>
      <c r="G58" s="14">
        <v>0</v>
      </c>
      <c r="H58" s="106"/>
    </row>
    <row r="59" spans="1:8" ht="14.1" customHeight="1" x14ac:dyDescent="0.2">
      <c r="A59" s="1"/>
      <c r="B59" s="1"/>
      <c r="C59" s="11"/>
      <c r="D59" s="1"/>
      <c r="E59" s="1"/>
      <c r="F59" s="12"/>
      <c r="G59" s="12"/>
      <c r="H59" s="106"/>
    </row>
    <row r="60" spans="1:8" ht="14.1" customHeight="1" x14ac:dyDescent="0.2">
      <c r="A60" s="1"/>
      <c r="B60" s="1"/>
      <c r="C60" s="2" t="s">
        <v>139</v>
      </c>
      <c r="D60" s="1"/>
      <c r="E60" s="1"/>
      <c r="F60" s="1"/>
      <c r="G60" s="1"/>
      <c r="H60" s="106"/>
    </row>
    <row r="61" spans="1:8" ht="14.1" customHeight="1" x14ac:dyDescent="0.2">
      <c r="A61" s="1"/>
      <c r="B61" s="1"/>
      <c r="C61" s="2" t="s">
        <v>130</v>
      </c>
      <c r="D61" s="1"/>
      <c r="E61" s="1" t="s">
        <v>131</v>
      </c>
      <c r="F61" s="13">
        <v>0</v>
      </c>
      <c r="G61" s="14">
        <v>0</v>
      </c>
      <c r="H61" s="106"/>
    </row>
    <row r="62" spans="1:8" ht="14.1" customHeight="1" x14ac:dyDescent="0.2">
      <c r="A62" s="1"/>
      <c r="B62" s="1"/>
      <c r="C62" s="11"/>
      <c r="D62" s="1"/>
      <c r="E62" s="1"/>
      <c r="F62" s="12"/>
      <c r="G62" s="12"/>
      <c r="H62" s="106"/>
    </row>
    <row r="63" spans="1:8" ht="14.1" customHeight="1" x14ac:dyDescent="0.2">
      <c r="A63" s="1"/>
      <c r="B63" s="1"/>
      <c r="C63" s="2" t="s">
        <v>140</v>
      </c>
      <c r="D63" s="1"/>
      <c r="E63" s="1"/>
      <c r="F63" s="1"/>
      <c r="G63" s="1"/>
      <c r="H63" s="106"/>
    </row>
    <row r="64" spans="1:8" ht="14.1" customHeight="1" x14ac:dyDescent="0.2">
      <c r="A64" s="1"/>
      <c r="B64" s="1"/>
      <c r="C64" s="2" t="s">
        <v>130</v>
      </c>
      <c r="D64" s="1"/>
      <c r="E64" s="1" t="s">
        <v>131</v>
      </c>
      <c r="F64" s="13">
        <v>0</v>
      </c>
      <c r="G64" s="14">
        <v>0</v>
      </c>
      <c r="H64" s="106"/>
    </row>
    <row r="65" spans="1:8" ht="14.1" customHeight="1" x14ac:dyDescent="0.2">
      <c r="A65" s="1"/>
      <c r="B65" s="1"/>
      <c r="C65" s="11"/>
      <c r="D65" s="1"/>
      <c r="E65" s="1"/>
      <c r="F65" s="12"/>
      <c r="G65" s="12"/>
      <c r="H65" s="106"/>
    </row>
    <row r="66" spans="1:8" ht="14.1" customHeight="1" x14ac:dyDescent="0.2">
      <c r="A66" s="1"/>
      <c r="B66" s="1"/>
      <c r="C66" s="2" t="s">
        <v>141</v>
      </c>
      <c r="D66" s="1"/>
      <c r="E66" s="1"/>
      <c r="F66" s="12"/>
      <c r="G66" s="12"/>
      <c r="H66" s="106"/>
    </row>
    <row r="67" spans="1:8" ht="14.1" customHeight="1" x14ac:dyDescent="0.2">
      <c r="A67" s="1"/>
      <c r="B67" s="1"/>
      <c r="C67" s="2" t="s">
        <v>130</v>
      </c>
      <c r="D67" s="1"/>
      <c r="E67" s="1" t="s">
        <v>131</v>
      </c>
      <c r="F67" s="13">
        <v>0</v>
      </c>
      <c r="G67" s="14">
        <v>0</v>
      </c>
      <c r="H67" s="106"/>
    </row>
    <row r="68" spans="1:8" ht="14.1" customHeight="1" x14ac:dyDescent="0.2">
      <c r="A68" s="1"/>
      <c r="B68" s="1"/>
      <c r="C68" s="11"/>
      <c r="D68" s="1"/>
      <c r="E68" s="1"/>
      <c r="F68" s="12"/>
      <c r="G68" s="12"/>
      <c r="H68" s="106"/>
    </row>
    <row r="69" spans="1:8" ht="14.1" customHeight="1" x14ac:dyDescent="0.2">
      <c r="A69" s="1"/>
      <c r="B69" s="1"/>
      <c r="C69" s="2" t="s">
        <v>142</v>
      </c>
      <c r="D69" s="1"/>
      <c r="E69" s="1"/>
      <c r="F69" s="9">
        <v>0</v>
      </c>
      <c r="G69" s="10">
        <v>0</v>
      </c>
      <c r="H69" s="106"/>
    </row>
    <row r="70" spans="1:8" ht="14.1" customHeight="1" x14ac:dyDescent="0.2">
      <c r="A70" s="1"/>
      <c r="B70" s="1"/>
      <c r="C70" s="11"/>
      <c r="D70" s="1"/>
      <c r="E70" s="1"/>
      <c r="F70" s="12"/>
      <c r="G70" s="12"/>
      <c r="H70" s="106"/>
    </row>
    <row r="71" spans="1:8" ht="14.1" customHeight="1" x14ac:dyDescent="0.2">
      <c r="A71" s="1"/>
      <c r="B71" s="1"/>
      <c r="C71" s="2" t="s">
        <v>143</v>
      </c>
      <c r="D71" s="1"/>
      <c r="E71" s="1"/>
      <c r="F71" s="12"/>
      <c r="G71" s="12"/>
      <c r="H71" s="106"/>
    </row>
    <row r="72" spans="1:8" ht="14.1" customHeight="1" x14ac:dyDescent="0.2">
      <c r="A72" s="1"/>
      <c r="B72" s="1"/>
      <c r="C72" s="2" t="s">
        <v>144</v>
      </c>
      <c r="D72" s="1"/>
      <c r="E72" s="1"/>
      <c r="F72" s="12"/>
      <c r="G72" s="12"/>
      <c r="H72" s="106"/>
    </row>
    <row r="73" spans="1:8" ht="14.1" customHeight="1" x14ac:dyDescent="0.2">
      <c r="A73" s="1"/>
      <c r="B73" s="1"/>
      <c r="C73" s="2" t="s">
        <v>130</v>
      </c>
      <c r="D73" s="1"/>
      <c r="E73" s="1" t="s">
        <v>131</v>
      </c>
      <c r="F73" s="13">
        <v>0</v>
      </c>
      <c r="G73" s="14">
        <v>0</v>
      </c>
      <c r="H73" s="106"/>
    </row>
    <row r="74" spans="1:8" ht="14.1" customHeight="1" x14ac:dyDescent="0.2">
      <c r="A74" s="1"/>
      <c r="B74" s="1"/>
      <c r="C74" s="11"/>
      <c r="D74" s="1"/>
      <c r="E74" s="1"/>
      <c r="F74" s="12"/>
      <c r="G74" s="12"/>
      <c r="H74" s="106"/>
    </row>
    <row r="75" spans="1:8" ht="14.1" customHeight="1" x14ac:dyDescent="0.2">
      <c r="A75" s="1"/>
      <c r="B75" s="1"/>
      <c r="C75" s="2" t="s">
        <v>145</v>
      </c>
      <c r="D75" s="1"/>
      <c r="E75" s="1"/>
      <c r="F75" s="12"/>
      <c r="G75" s="12"/>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4.1" customHeight="1" x14ac:dyDescent="0.2">
      <c r="A78" s="1"/>
      <c r="B78" s="1"/>
      <c r="C78" s="2" t="s">
        <v>146</v>
      </c>
      <c r="D78" s="1"/>
      <c r="E78" s="1"/>
      <c r="F78" s="12"/>
      <c r="G78" s="12"/>
      <c r="H78" s="106"/>
    </row>
    <row r="79" spans="1:8" ht="14.1" customHeight="1" x14ac:dyDescent="0.2">
      <c r="A79" s="1"/>
      <c r="B79" s="1"/>
      <c r="C79" s="2" t="s">
        <v>130</v>
      </c>
      <c r="D79" s="1"/>
      <c r="E79" s="1" t="s">
        <v>131</v>
      </c>
      <c r="F79" s="13">
        <v>0</v>
      </c>
      <c r="G79" s="14">
        <v>0</v>
      </c>
      <c r="H79" s="106"/>
    </row>
    <row r="80" spans="1:8" ht="14.1" customHeight="1" x14ac:dyDescent="0.2">
      <c r="A80" s="1"/>
      <c r="B80" s="1"/>
      <c r="C80" s="11"/>
      <c r="D80" s="1"/>
      <c r="E80" s="1"/>
      <c r="F80" s="12"/>
      <c r="G80" s="12"/>
      <c r="H80" s="106"/>
    </row>
    <row r="81" spans="1:8" ht="14.1" customHeight="1" x14ac:dyDescent="0.2">
      <c r="A81" s="1"/>
      <c r="B81" s="1"/>
      <c r="C81" s="2" t="s">
        <v>147</v>
      </c>
      <c r="D81" s="1"/>
      <c r="E81" s="1"/>
      <c r="F81" s="12"/>
      <c r="G81" s="12"/>
      <c r="H81" s="106"/>
    </row>
    <row r="82" spans="1:8" ht="17.100000000000001" customHeight="1" x14ac:dyDescent="0.2">
      <c r="A82" s="3">
        <v>1</v>
      </c>
      <c r="B82" s="4"/>
      <c r="C82" s="4" t="s">
        <v>148</v>
      </c>
      <c r="D82" s="4"/>
      <c r="E82" s="8"/>
      <c r="F82" s="6">
        <v>7198.0864492999999</v>
      </c>
      <c r="G82" s="7">
        <v>9.1487962000000006E-2</v>
      </c>
      <c r="H82" s="106">
        <v>6.1171451766917002</v>
      </c>
    </row>
    <row r="83" spans="1:8" ht="14.1" customHeight="1" x14ac:dyDescent="0.2">
      <c r="A83" s="1"/>
      <c r="B83" s="1"/>
      <c r="C83" s="2" t="s">
        <v>130</v>
      </c>
      <c r="D83" s="1"/>
      <c r="E83" s="1" t="s">
        <v>131</v>
      </c>
      <c r="F83" s="9">
        <v>7198.0864492999999</v>
      </c>
      <c r="G83" s="10">
        <v>9.1487962000000006E-2</v>
      </c>
      <c r="H83" s="106"/>
    </row>
    <row r="84" spans="1:8" ht="14.1" customHeight="1" x14ac:dyDescent="0.2">
      <c r="A84" s="1"/>
      <c r="B84" s="1"/>
      <c r="C84" s="11"/>
      <c r="D84" s="1"/>
      <c r="E84" s="1"/>
      <c r="F84" s="12"/>
      <c r="G84" s="12"/>
      <c r="H84" s="106"/>
    </row>
    <row r="85" spans="1:8" ht="14.1" customHeight="1" x14ac:dyDescent="0.2">
      <c r="A85" s="1"/>
      <c r="B85" s="1"/>
      <c r="C85" s="2" t="s">
        <v>149</v>
      </c>
      <c r="D85" s="1"/>
      <c r="E85" s="1"/>
      <c r="F85" s="9">
        <v>7198.0864492999999</v>
      </c>
      <c r="G85" s="10">
        <v>9.1487962000000006E-2</v>
      </c>
      <c r="H85" s="106"/>
    </row>
    <row r="86" spans="1:8" ht="14.1" customHeight="1" x14ac:dyDescent="0.2">
      <c r="A86" s="1"/>
      <c r="B86" s="1"/>
      <c r="C86" s="12"/>
      <c r="D86" s="1"/>
      <c r="E86" s="1"/>
      <c r="F86" s="1"/>
      <c r="G86" s="1"/>
      <c r="H86" s="106"/>
    </row>
    <row r="87" spans="1:8" ht="14.1" customHeight="1" x14ac:dyDescent="0.2">
      <c r="A87" s="1"/>
      <c r="B87" s="1"/>
      <c r="C87" s="2" t="s">
        <v>150</v>
      </c>
      <c r="D87" s="1"/>
      <c r="E87" s="1"/>
      <c r="F87" s="1"/>
      <c r="G87" s="1"/>
      <c r="H87" s="106"/>
    </row>
    <row r="88" spans="1:8" ht="14.1" customHeight="1" x14ac:dyDescent="0.2">
      <c r="A88" s="1"/>
      <c r="B88" s="1"/>
      <c r="C88" s="2" t="s">
        <v>151</v>
      </c>
      <c r="D88" s="1"/>
      <c r="E88" s="1"/>
      <c r="F88" s="1"/>
      <c r="G88" s="1"/>
      <c r="H88" s="106"/>
    </row>
    <row r="89" spans="1:8" ht="14.1" customHeight="1" x14ac:dyDescent="0.2">
      <c r="A89" s="1"/>
      <c r="B89" s="1"/>
      <c r="C89" s="2" t="s">
        <v>130</v>
      </c>
      <c r="D89" s="1"/>
      <c r="E89" s="1" t="s">
        <v>131</v>
      </c>
      <c r="F89" s="13">
        <v>0</v>
      </c>
      <c r="G89" s="14">
        <v>0</v>
      </c>
      <c r="H89" s="106"/>
    </row>
    <row r="90" spans="1:8" ht="14.1" customHeight="1" x14ac:dyDescent="0.2">
      <c r="A90" s="1"/>
      <c r="B90" s="1"/>
      <c r="C90" s="11"/>
      <c r="D90" s="1"/>
      <c r="E90" s="1"/>
      <c r="F90" s="12"/>
      <c r="G90" s="12"/>
      <c r="H90" s="106"/>
    </row>
    <row r="91" spans="1:8" ht="14.1" customHeight="1" x14ac:dyDescent="0.2">
      <c r="A91" s="1"/>
      <c r="B91" s="1"/>
      <c r="C91" s="2" t="s">
        <v>152</v>
      </c>
      <c r="D91" s="1"/>
      <c r="E91" s="1"/>
      <c r="F91" s="1"/>
      <c r="G91" s="1"/>
      <c r="H91" s="106"/>
    </row>
    <row r="92" spans="1:8" ht="14.1" customHeight="1" x14ac:dyDescent="0.2">
      <c r="A92" s="1"/>
      <c r="B92" s="1"/>
      <c r="C92" s="2" t="s">
        <v>153</v>
      </c>
      <c r="D92" s="1"/>
      <c r="E92" s="1"/>
      <c r="F92" s="1"/>
      <c r="G92" s="1"/>
      <c r="H92" s="106"/>
    </row>
    <row r="93" spans="1:8" ht="14.1" customHeight="1" x14ac:dyDescent="0.2">
      <c r="A93" s="1"/>
      <c r="B93" s="1"/>
      <c r="C93" s="2" t="s">
        <v>130</v>
      </c>
      <c r="D93" s="1"/>
      <c r="E93" s="1" t="s">
        <v>131</v>
      </c>
      <c r="F93" s="13">
        <v>0</v>
      </c>
      <c r="G93" s="14">
        <v>0</v>
      </c>
      <c r="H93" s="106"/>
    </row>
    <row r="94" spans="1:8" ht="14.1" customHeight="1" x14ac:dyDescent="0.2">
      <c r="A94" s="1"/>
      <c r="B94" s="1"/>
      <c r="C94" s="11"/>
      <c r="D94" s="1"/>
      <c r="E94" s="1"/>
      <c r="F94" s="12"/>
      <c r="G94" s="12"/>
      <c r="H94" s="106"/>
    </row>
    <row r="95" spans="1:8" ht="14.1" customHeight="1" x14ac:dyDescent="0.2">
      <c r="A95" s="1"/>
      <c r="B95" s="1"/>
      <c r="C95" s="11"/>
      <c r="D95" s="1"/>
      <c r="E95" s="1"/>
      <c r="F95" s="12"/>
      <c r="G95" s="12"/>
      <c r="H95" s="106"/>
    </row>
    <row r="96" spans="1:8" ht="24" customHeight="1" x14ac:dyDescent="0.2">
      <c r="A96" s="1"/>
      <c r="B96" s="1"/>
      <c r="C96" s="2" t="s">
        <v>154</v>
      </c>
      <c r="D96" s="1"/>
      <c r="E96" s="1"/>
      <c r="F96" s="12"/>
      <c r="G96" s="12"/>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4"/>
      <c r="C99" s="4"/>
      <c r="D99" s="2"/>
      <c r="E99" s="1"/>
      <c r="F99" s="4"/>
      <c r="G99" s="8"/>
      <c r="H99" s="106"/>
    </row>
    <row r="100" spans="1:8" ht="18" customHeight="1" x14ac:dyDescent="0.2">
      <c r="A100" s="8"/>
      <c r="B100" s="4"/>
      <c r="C100" s="4" t="s">
        <v>155</v>
      </c>
      <c r="D100" s="4"/>
      <c r="E100" s="8"/>
      <c r="F100" s="6">
        <v>-174.00375387</v>
      </c>
      <c r="G100" s="7">
        <v>-2.2115949999999998E-3</v>
      </c>
      <c r="H100" s="106"/>
    </row>
    <row r="101" spans="1:8" ht="14.1" customHeight="1" x14ac:dyDescent="0.2">
      <c r="A101" s="11"/>
      <c r="B101" s="11"/>
      <c r="C101" s="2" t="s">
        <v>156</v>
      </c>
      <c r="D101" s="15"/>
      <c r="E101" s="15"/>
      <c r="F101" s="9">
        <v>78677.962950929999</v>
      </c>
      <c r="G101" s="10">
        <v>1.000000003</v>
      </c>
      <c r="H101" s="106"/>
    </row>
    <row r="102" spans="1:8" ht="14.1" customHeight="1" x14ac:dyDescent="0.2">
      <c r="A102" s="16"/>
      <c r="B102" s="16"/>
      <c r="C102" s="16"/>
      <c r="D102" s="17"/>
      <c r="E102" s="17"/>
      <c r="F102" s="17"/>
      <c r="G102" s="17"/>
    </row>
    <row r="103" spans="1:8" ht="14.1" customHeight="1" x14ac:dyDescent="0.2">
      <c r="A103" s="18"/>
      <c r="B103" s="18"/>
      <c r="C103" s="18"/>
      <c r="D103" s="20"/>
      <c r="E103" s="20"/>
      <c r="F103" s="20"/>
      <c r="G103" s="20"/>
    </row>
    <row r="104" spans="1:8" ht="14.1" customHeight="1" x14ac:dyDescent="0.2">
      <c r="A104" s="18"/>
      <c r="B104" s="279" t="s">
        <v>158</v>
      </c>
      <c r="C104" s="280"/>
      <c r="D104" s="12" t="s">
        <v>131</v>
      </c>
      <c r="E104" s="21"/>
      <c r="F104" s="20"/>
      <c r="G104" s="20"/>
    </row>
    <row r="105" spans="1:8" ht="29.1" customHeight="1" x14ac:dyDescent="0.2">
      <c r="A105" s="18"/>
      <c r="B105" s="274" t="s">
        <v>159</v>
      </c>
      <c r="C105" s="275"/>
      <c r="D105" s="2" t="s">
        <v>160</v>
      </c>
      <c r="E105" s="21"/>
      <c r="F105" s="20"/>
      <c r="G105" s="20"/>
    </row>
    <row r="106" spans="1:8" ht="17.100000000000001" customHeight="1" x14ac:dyDescent="0.2">
      <c r="A106" s="18"/>
      <c r="B106" s="274" t="s">
        <v>161</v>
      </c>
      <c r="C106" s="275"/>
      <c r="D106" s="2" t="s">
        <v>160</v>
      </c>
      <c r="E106" s="21"/>
      <c r="F106" s="20"/>
      <c r="G106" s="20"/>
    </row>
    <row r="107" spans="1:8" ht="17.100000000000001" customHeight="1" x14ac:dyDescent="0.2">
      <c r="A107" s="18"/>
      <c r="B107" s="274" t="s">
        <v>162</v>
      </c>
      <c r="C107" s="275"/>
      <c r="D107" s="12" t="s">
        <v>131</v>
      </c>
      <c r="E107" s="21"/>
      <c r="F107" s="20"/>
      <c r="G107" s="20"/>
    </row>
    <row r="108" spans="1:8" ht="24" customHeight="1" x14ac:dyDescent="0.2">
      <c r="A108" s="22"/>
      <c r="B108" s="23" t="s">
        <v>131</v>
      </c>
      <c r="C108" s="23" t="s">
        <v>163</v>
      </c>
      <c r="D108" s="23" t="s">
        <v>164</v>
      </c>
      <c r="E108" s="22"/>
      <c r="F108" s="22"/>
      <c r="G108" s="22"/>
    </row>
    <row r="109" spans="1:8" ht="18" customHeight="1" x14ac:dyDescent="0.2">
      <c r="A109" s="22"/>
      <c r="B109" s="23" t="s">
        <v>165</v>
      </c>
      <c r="C109" s="23" t="s">
        <v>166</v>
      </c>
      <c r="D109" s="23" t="s">
        <v>167</v>
      </c>
      <c r="E109" s="22"/>
      <c r="F109" s="22"/>
      <c r="G109" s="22"/>
    </row>
    <row r="110" spans="1:8" ht="17.100000000000001" customHeight="1" x14ac:dyDescent="0.2">
      <c r="A110" s="22"/>
      <c r="B110" s="4" t="s">
        <v>168</v>
      </c>
      <c r="C110" s="24">
        <v>114.4731</v>
      </c>
      <c r="D110" s="24">
        <v>120.4799</v>
      </c>
      <c r="E110" s="22"/>
      <c r="F110" s="19"/>
      <c r="G110" s="25"/>
    </row>
    <row r="111" spans="1:8" ht="29.1" customHeight="1" x14ac:dyDescent="0.2">
      <c r="A111" s="22"/>
      <c r="B111" s="4" t="s">
        <v>1061</v>
      </c>
      <c r="C111" s="24">
        <v>34.923999999999999</v>
      </c>
      <c r="D111" s="24">
        <v>36.756</v>
      </c>
      <c r="E111" s="22"/>
      <c r="F111" s="19"/>
      <c r="G111" s="25"/>
    </row>
    <row r="112" spans="1:8" ht="17.100000000000001" customHeight="1" x14ac:dyDescent="0.2">
      <c r="A112" s="22"/>
      <c r="B112" s="4" t="s">
        <v>169</v>
      </c>
      <c r="C112" s="24">
        <v>106.4156</v>
      </c>
      <c r="D112" s="24">
        <v>111.90300000000001</v>
      </c>
      <c r="E112" s="22"/>
      <c r="F112" s="19"/>
      <c r="G112" s="25"/>
    </row>
    <row r="113" spans="1:7" ht="29.1" customHeight="1" x14ac:dyDescent="0.2">
      <c r="A113" s="22"/>
      <c r="B113" s="4" t="s">
        <v>1062</v>
      </c>
      <c r="C113" s="24">
        <v>33.066899999999997</v>
      </c>
      <c r="D113" s="24">
        <v>34.771799999999999</v>
      </c>
      <c r="E113" s="22"/>
      <c r="F113" s="19"/>
      <c r="G113" s="25"/>
    </row>
    <row r="114" spans="1:7" ht="14.1" customHeight="1" x14ac:dyDescent="0.2">
      <c r="A114" s="22"/>
      <c r="B114" s="22"/>
      <c r="C114" s="22"/>
      <c r="D114" s="22"/>
      <c r="E114" s="22"/>
      <c r="F114" s="22"/>
      <c r="G114" s="22"/>
    </row>
    <row r="115" spans="1:7" ht="17.100000000000001" customHeight="1" x14ac:dyDescent="0.2">
      <c r="A115" s="22"/>
      <c r="B115" s="274" t="s">
        <v>1060</v>
      </c>
      <c r="C115" s="275"/>
      <c r="D115" s="2" t="s">
        <v>160</v>
      </c>
      <c r="E115" s="22"/>
      <c r="F115" s="22"/>
      <c r="G115" s="22"/>
    </row>
    <row r="116" spans="1:7" ht="18" customHeight="1" x14ac:dyDescent="0.2">
      <c r="A116" s="22"/>
      <c r="B116" s="26" t="s">
        <v>170</v>
      </c>
      <c r="C116" s="26" t="s">
        <v>170</v>
      </c>
      <c r="D116" s="26"/>
      <c r="E116" s="22"/>
      <c r="F116" s="22"/>
      <c r="G116" s="22"/>
    </row>
    <row r="117" spans="1:7" ht="29.1" customHeight="1" x14ac:dyDescent="0.2">
      <c r="A117" s="22"/>
      <c r="B117" s="274" t="s">
        <v>171</v>
      </c>
      <c r="C117" s="275"/>
      <c r="D117" s="2" t="s">
        <v>160</v>
      </c>
      <c r="E117" s="22"/>
      <c r="F117" s="22"/>
      <c r="G117" s="22"/>
    </row>
    <row r="118" spans="1:7" ht="29.1" customHeight="1" x14ac:dyDescent="0.2">
      <c r="A118" s="22"/>
      <c r="B118" s="274" t="s">
        <v>172</v>
      </c>
      <c r="C118" s="275"/>
      <c r="D118" s="2" t="s">
        <v>160</v>
      </c>
      <c r="E118" s="22"/>
      <c r="F118" s="22"/>
      <c r="G118" s="22"/>
    </row>
    <row r="119" spans="1:7" ht="17.100000000000001" customHeight="1" x14ac:dyDescent="0.2">
      <c r="A119" s="22"/>
      <c r="B119" s="274" t="s">
        <v>173</v>
      </c>
      <c r="C119" s="275"/>
      <c r="D119" s="27">
        <v>0.28982358487544529</v>
      </c>
      <c r="E119" s="22"/>
      <c r="F119" s="19"/>
      <c r="G119" s="25"/>
    </row>
    <row r="120" spans="1:7" ht="17.100000000000001" customHeight="1" x14ac:dyDescent="0.2">
      <c r="A120" s="22"/>
      <c r="B120" s="274" t="s">
        <v>174</v>
      </c>
      <c r="C120" s="275"/>
      <c r="D120" s="2" t="s">
        <v>160</v>
      </c>
      <c r="E120" s="22"/>
      <c r="F120" s="22"/>
      <c r="G120" s="22"/>
    </row>
  </sheetData>
  <mergeCells count="13">
    <mergeCell ref="J2:N2"/>
    <mergeCell ref="B104:C104"/>
    <mergeCell ref="B119:C119"/>
    <mergeCell ref="A1:H1"/>
    <mergeCell ref="A2:H2"/>
    <mergeCell ref="A3:H3"/>
    <mergeCell ref="B120:C120"/>
    <mergeCell ref="B105:C105"/>
    <mergeCell ref="B106:C106"/>
    <mergeCell ref="B107:C107"/>
    <mergeCell ref="B115:C115"/>
    <mergeCell ref="B117:C117"/>
    <mergeCell ref="B118:C118"/>
  </mergeCells>
  <hyperlinks>
    <hyperlink ref="I1" location="Index!B28" display="Index" xr:uid="{373D7B25-2241-4170-9836-96CE60342F1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16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1076</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20</v>
      </c>
      <c r="C7" s="4" t="s">
        <v>21</v>
      </c>
      <c r="D7" s="4" t="s">
        <v>22</v>
      </c>
      <c r="E7" s="5">
        <v>428238</v>
      </c>
      <c r="F7" s="6">
        <v>10918.356048</v>
      </c>
      <c r="G7" s="7">
        <v>5.7496370999999998E-2</v>
      </c>
      <c r="H7" s="106"/>
    </row>
    <row r="8" spans="1:14" ht="17.100000000000001" customHeight="1" x14ac:dyDescent="0.2">
      <c r="A8" s="3">
        <v>2</v>
      </c>
      <c r="B8" s="4" t="s">
        <v>14</v>
      </c>
      <c r="C8" s="4" t="s">
        <v>15</v>
      </c>
      <c r="D8" s="4" t="s">
        <v>16</v>
      </c>
      <c r="E8" s="5">
        <v>1012161</v>
      </c>
      <c r="F8" s="6">
        <v>9197.5070070000002</v>
      </c>
      <c r="G8" s="7">
        <v>4.8434330999999997E-2</v>
      </c>
      <c r="H8" s="106"/>
    </row>
    <row r="9" spans="1:14" ht="17.100000000000001" customHeight="1" x14ac:dyDescent="0.2">
      <c r="A9" s="3">
        <v>3</v>
      </c>
      <c r="B9" s="4" t="s">
        <v>42</v>
      </c>
      <c r="C9" s="4" t="s">
        <v>43</v>
      </c>
      <c r="D9" s="4" t="s">
        <v>16</v>
      </c>
      <c r="E9" s="5">
        <v>1564122</v>
      </c>
      <c r="F9" s="6">
        <v>8974.9320360000002</v>
      </c>
      <c r="G9" s="7">
        <v>4.7262245000000001E-2</v>
      </c>
      <c r="H9" s="106"/>
    </row>
    <row r="10" spans="1:14" ht="17.100000000000001" customHeight="1" x14ac:dyDescent="0.2">
      <c r="A10" s="3">
        <v>4</v>
      </c>
      <c r="B10" s="4" t="s">
        <v>264</v>
      </c>
      <c r="C10" s="4" t="s">
        <v>265</v>
      </c>
      <c r="D10" s="4" t="s">
        <v>16</v>
      </c>
      <c r="E10" s="5">
        <v>530246</v>
      </c>
      <c r="F10" s="6">
        <v>7936.1918820000001</v>
      </c>
      <c r="G10" s="7">
        <v>4.1792210000000003E-2</v>
      </c>
      <c r="H10" s="106"/>
    </row>
    <row r="11" spans="1:14" ht="17.100000000000001" customHeight="1" x14ac:dyDescent="0.2">
      <c r="A11" s="3">
        <v>5</v>
      </c>
      <c r="B11" s="4" t="s">
        <v>178</v>
      </c>
      <c r="C11" s="4" t="s">
        <v>179</v>
      </c>
      <c r="D11" s="4" t="s">
        <v>16</v>
      </c>
      <c r="E11" s="5">
        <v>801235</v>
      </c>
      <c r="F11" s="6">
        <v>7259.1890999999996</v>
      </c>
      <c r="G11" s="7">
        <v>3.8227094000000003E-2</v>
      </c>
      <c r="H11" s="106"/>
    </row>
    <row r="12" spans="1:14" ht="17.100000000000001" customHeight="1" x14ac:dyDescent="0.2">
      <c r="A12" s="3">
        <v>6</v>
      </c>
      <c r="B12" s="4" t="s">
        <v>296</v>
      </c>
      <c r="C12" s="4" t="s">
        <v>297</v>
      </c>
      <c r="D12" s="4" t="s">
        <v>1114</v>
      </c>
      <c r="E12" s="5">
        <v>462087</v>
      </c>
      <c r="F12" s="6">
        <v>7105.2807554999999</v>
      </c>
      <c r="G12" s="7">
        <v>3.7416609000000003E-2</v>
      </c>
      <c r="H12" s="106"/>
    </row>
    <row r="13" spans="1:14" ht="17.100000000000001" customHeight="1" x14ac:dyDescent="0.2">
      <c r="A13" s="3">
        <v>7</v>
      </c>
      <c r="B13" s="4" t="s">
        <v>308</v>
      </c>
      <c r="C13" s="4" t="s">
        <v>309</v>
      </c>
      <c r="D13" s="4" t="s">
        <v>310</v>
      </c>
      <c r="E13" s="5">
        <v>228570</v>
      </c>
      <c r="F13" s="6">
        <v>5830.1349899999996</v>
      </c>
      <c r="G13" s="7">
        <v>3.0701655000000001E-2</v>
      </c>
      <c r="H13" s="106"/>
    </row>
    <row r="14" spans="1:14" ht="53.1" customHeight="1" x14ac:dyDescent="0.2">
      <c r="A14" s="3">
        <v>8</v>
      </c>
      <c r="B14" s="4" t="s">
        <v>46</v>
      </c>
      <c r="C14" s="4" t="s">
        <v>47</v>
      </c>
      <c r="D14" s="4" t="s">
        <v>48</v>
      </c>
      <c r="E14" s="5">
        <v>3314257</v>
      </c>
      <c r="F14" s="6">
        <v>5080.7559810000002</v>
      </c>
      <c r="G14" s="7">
        <v>2.6755404E-2</v>
      </c>
      <c r="H14" s="106"/>
      <c r="J14" s="161" t="s">
        <v>1102</v>
      </c>
    </row>
    <row r="15" spans="1:14" ht="17.100000000000001" customHeight="1" x14ac:dyDescent="0.2">
      <c r="A15" s="3">
        <v>9</v>
      </c>
      <c r="B15" s="4" t="s">
        <v>643</v>
      </c>
      <c r="C15" s="4" t="s">
        <v>644</v>
      </c>
      <c r="D15" s="4" t="s">
        <v>645</v>
      </c>
      <c r="E15" s="5">
        <v>20262</v>
      </c>
      <c r="F15" s="6">
        <v>4718.675346</v>
      </c>
      <c r="G15" s="7">
        <v>2.4848677E-2</v>
      </c>
      <c r="H15" s="106"/>
    </row>
    <row r="16" spans="1:14" ht="29.1" customHeight="1" x14ac:dyDescent="0.2">
      <c r="A16" s="3">
        <v>10</v>
      </c>
      <c r="B16" s="4" t="s">
        <v>189</v>
      </c>
      <c r="C16" s="4" t="s">
        <v>190</v>
      </c>
      <c r="D16" s="4" t="s">
        <v>110</v>
      </c>
      <c r="E16" s="5">
        <v>1234611</v>
      </c>
      <c r="F16" s="6">
        <v>4472.9956529999999</v>
      </c>
      <c r="G16" s="7">
        <v>2.3554920999999999E-2</v>
      </c>
      <c r="H16" s="106"/>
    </row>
    <row r="17" spans="1:10" ht="29.1" customHeight="1" x14ac:dyDescent="0.2">
      <c r="A17" s="3">
        <v>11</v>
      </c>
      <c r="B17" s="4" t="s">
        <v>186</v>
      </c>
      <c r="C17" s="4" t="s">
        <v>187</v>
      </c>
      <c r="D17" s="4" t="s">
        <v>188</v>
      </c>
      <c r="E17" s="5">
        <v>172468</v>
      </c>
      <c r="F17" s="6">
        <v>4412.8524820000002</v>
      </c>
      <c r="G17" s="7">
        <v>2.3238205000000001E-2</v>
      </c>
      <c r="H17" s="106"/>
    </row>
    <row r="18" spans="1:10" ht="17.100000000000001" customHeight="1" x14ac:dyDescent="0.2">
      <c r="A18" s="3">
        <v>12</v>
      </c>
      <c r="B18" s="4" t="s">
        <v>511</v>
      </c>
      <c r="C18" s="4" t="s">
        <v>512</v>
      </c>
      <c r="D18" s="4" t="s">
        <v>324</v>
      </c>
      <c r="E18" s="5">
        <v>102643</v>
      </c>
      <c r="F18" s="6">
        <v>4259.0686420000002</v>
      </c>
      <c r="G18" s="7">
        <v>2.2428375E-2</v>
      </c>
      <c r="H18" s="106"/>
    </row>
    <row r="19" spans="1:10" ht="17.100000000000001" customHeight="1" x14ac:dyDescent="0.2">
      <c r="A19" s="3">
        <v>13</v>
      </c>
      <c r="B19" s="4" t="s">
        <v>17</v>
      </c>
      <c r="C19" s="4" t="s">
        <v>18</v>
      </c>
      <c r="D19" s="4" t="s">
        <v>19</v>
      </c>
      <c r="E19" s="5">
        <v>503797</v>
      </c>
      <c r="F19" s="6">
        <v>4191.5910400000002</v>
      </c>
      <c r="G19" s="7">
        <v>2.2073037E-2</v>
      </c>
      <c r="H19" s="106"/>
    </row>
    <row r="20" spans="1:10" ht="29.1" customHeight="1" x14ac:dyDescent="0.2">
      <c r="A20" s="3">
        <v>14</v>
      </c>
      <c r="B20" s="4" t="s">
        <v>207</v>
      </c>
      <c r="C20" s="4" t="s">
        <v>208</v>
      </c>
      <c r="D20" s="4" t="s">
        <v>209</v>
      </c>
      <c r="E20" s="5">
        <v>124507</v>
      </c>
      <c r="F20" s="6">
        <v>4036.4546865000002</v>
      </c>
      <c r="G20" s="7">
        <v>2.1256084000000001E-2</v>
      </c>
      <c r="H20" s="106"/>
    </row>
    <row r="21" spans="1:10" ht="17.100000000000001" customHeight="1" x14ac:dyDescent="0.2">
      <c r="A21" s="3">
        <v>15</v>
      </c>
      <c r="B21" s="4" t="s">
        <v>388</v>
      </c>
      <c r="C21" s="4" t="s">
        <v>389</v>
      </c>
      <c r="D21" s="4" t="s">
        <v>99</v>
      </c>
      <c r="E21" s="5">
        <v>747589</v>
      </c>
      <c r="F21" s="6">
        <v>3919.9829215</v>
      </c>
      <c r="G21" s="7">
        <v>2.0642740999999999E-2</v>
      </c>
      <c r="H21" s="106"/>
    </row>
    <row r="22" spans="1:10" ht="17.100000000000001" customHeight="1" x14ac:dyDescent="0.2">
      <c r="A22" s="3">
        <v>16</v>
      </c>
      <c r="B22" s="4" t="s">
        <v>191</v>
      </c>
      <c r="C22" s="4" t="s">
        <v>192</v>
      </c>
      <c r="D22" s="4" t="s">
        <v>193</v>
      </c>
      <c r="E22" s="5">
        <v>7223</v>
      </c>
      <c r="F22" s="6">
        <v>3594.7895895000001</v>
      </c>
      <c r="G22" s="7">
        <v>1.8930262999999999E-2</v>
      </c>
      <c r="H22" s="106"/>
    </row>
    <row r="23" spans="1:10" ht="17.100000000000001" customHeight="1" x14ac:dyDescent="0.2">
      <c r="A23" s="3">
        <v>17</v>
      </c>
      <c r="B23" s="4" t="s">
        <v>68</v>
      </c>
      <c r="C23" s="4" t="s">
        <v>69</v>
      </c>
      <c r="D23" s="4" t="s">
        <v>70</v>
      </c>
      <c r="E23" s="5">
        <v>37000</v>
      </c>
      <c r="F23" s="6">
        <v>3525.212</v>
      </c>
      <c r="G23" s="7">
        <v>1.8563865999999998E-2</v>
      </c>
      <c r="H23" s="106"/>
    </row>
    <row r="24" spans="1:10" ht="29.1" customHeight="1" x14ac:dyDescent="0.2">
      <c r="A24" s="3">
        <v>18</v>
      </c>
      <c r="B24" s="4" t="s">
        <v>526</v>
      </c>
      <c r="C24" s="4" t="s">
        <v>527</v>
      </c>
      <c r="D24" s="4" t="s">
        <v>204</v>
      </c>
      <c r="E24" s="5">
        <v>878213</v>
      </c>
      <c r="F24" s="6">
        <v>3498.3614855000001</v>
      </c>
      <c r="G24" s="7">
        <v>1.842247E-2</v>
      </c>
      <c r="H24" s="106"/>
      <c r="J24" s="161" t="s">
        <v>1103</v>
      </c>
    </row>
    <row r="25" spans="1:10" ht="17.100000000000001" customHeight="1" x14ac:dyDescent="0.2">
      <c r="A25" s="3">
        <v>19</v>
      </c>
      <c r="B25" s="4" t="s">
        <v>94</v>
      </c>
      <c r="C25" s="4" t="s">
        <v>95</v>
      </c>
      <c r="D25" s="4" t="s">
        <v>96</v>
      </c>
      <c r="E25" s="5">
        <v>684527</v>
      </c>
      <c r="F25" s="6">
        <v>3419.5546285</v>
      </c>
      <c r="G25" s="7">
        <v>1.8007471000000001E-2</v>
      </c>
      <c r="H25" s="106"/>
    </row>
    <row r="26" spans="1:10" ht="17.100000000000001" customHeight="1" x14ac:dyDescent="0.2">
      <c r="A26" s="3">
        <v>20</v>
      </c>
      <c r="B26" s="4" t="s">
        <v>77</v>
      </c>
      <c r="C26" s="4" t="s">
        <v>78</v>
      </c>
      <c r="D26" s="4" t="s">
        <v>31</v>
      </c>
      <c r="E26" s="5">
        <v>205288</v>
      </c>
      <c r="F26" s="6">
        <v>3315.811776</v>
      </c>
      <c r="G26" s="7">
        <v>1.7461158000000001E-2</v>
      </c>
      <c r="H26" s="106"/>
    </row>
    <row r="27" spans="1:10" ht="17.100000000000001" customHeight="1" x14ac:dyDescent="0.2">
      <c r="A27" s="3">
        <v>21</v>
      </c>
      <c r="B27" s="4" t="s">
        <v>29</v>
      </c>
      <c r="C27" s="4" t="s">
        <v>30</v>
      </c>
      <c r="D27" s="4" t="s">
        <v>31</v>
      </c>
      <c r="E27" s="5">
        <v>155756</v>
      </c>
      <c r="F27" s="6">
        <v>3241.8275060000001</v>
      </c>
      <c r="G27" s="7">
        <v>1.7071554999999999E-2</v>
      </c>
      <c r="H27" s="106"/>
    </row>
    <row r="28" spans="1:10" ht="17.100000000000001" customHeight="1" x14ac:dyDescent="0.2">
      <c r="A28" s="3">
        <v>22</v>
      </c>
      <c r="B28" s="4" t="s">
        <v>346</v>
      </c>
      <c r="C28" s="4" t="s">
        <v>347</v>
      </c>
      <c r="D28" s="4" t="s">
        <v>16</v>
      </c>
      <c r="E28" s="5">
        <v>1113121</v>
      </c>
      <c r="F28" s="6">
        <v>3232.5033840000001</v>
      </c>
      <c r="G28" s="7">
        <v>1.7022453999999999E-2</v>
      </c>
      <c r="H28" s="106"/>
    </row>
    <row r="29" spans="1:10" ht="17.100000000000001" customHeight="1" x14ac:dyDescent="0.2">
      <c r="A29" s="3">
        <v>23</v>
      </c>
      <c r="B29" s="4" t="s">
        <v>100</v>
      </c>
      <c r="C29" s="4" t="s">
        <v>101</v>
      </c>
      <c r="D29" s="4" t="s">
        <v>96</v>
      </c>
      <c r="E29" s="5">
        <v>332706</v>
      </c>
      <c r="F29" s="6">
        <v>3076.3660289999998</v>
      </c>
      <c r="G29" s="7">
        <v>1.6200229999999999E-2</v>
      </c>
      <c r="H29" s="106"/>
    </row>
    <row r="30" spans="1:10" ht="17.100000000000001" customHeight="1" x14ac:dyDescent="0.2">
      <c r="A30" s="3">
        <v>24</v>
      </c>
      <c r="B30" s="4" t="s">
        <v>37</v>
      </c>
      <c r="C30" s="4" t="s">
        <v>38</v>
      </c>
      <c r="D30" s="4" t="s">
        <v>31</v>
      </c>
      <c r="E30" s="5">
        <v>107282</v>
      </c>
      <c r="F30" s="6">
        <v>2979.7039089999998</v>
      </c>
      <c r="G30" s="7">
        <v>1.5691205E-2</v>
      </c>
      <c r="H30" s="106"/>
    </row>
    <row r="31" spans="1:10" ht="17.100000000000001" customHeight="1" x14ac:dyDescent="0.2">
      <c r="A31" s="3">
        <v>25</v>
      </c>
      <c r="B31" s="4" t="s">
        <v>306</v>
      </c>
      <c r="C31" s="4" t="s">
        <v>307</v>
      </c>
      <c r="D31" s="4" t="s">
        <v>1114</v>
      </c>
      <c r="E31" s="5">
        <v>92000</v>
      </c>
      <c r="F31" s="6">
        <v>2937.6979999999999</v>
      </c>
      <c r="G31" s="7">
        <v>1.5469999999999999E-2</v>
      </c>
      <c r="H31" s="106"/>
    </row>
    <row r="32" spans="1:10" ht="17.100000000000001" customHeight="1" x14ac:dyDescent="0.2">
      <c r="A32" s="3">
        <v>26</v>
      </c>
      <c r="B32" s="4" t="s">
        <v>215</v>
      </c>
      <c r="C32" s="4" t="s">
        <v>216</v>
      </c>
      <c r="D32" s="4" t="s">
        <v>185</v>
      </c>
      <c r="E32" s="5">
        <v>168859</v>
      </c>
      <c r="F32" s="6">
        <v>2790.9859815</v>
      </c>
      <c r="G32" s="7">
        <v>1.4697411000000001E-2</v>
      </c>
      <c r="H32" s="106"/>
    </row>
    <row r="33" spans="1:8" ht="17.100000000000001" customHeight="1" x14ac:dyDescent="0.2">
      <c r="A33" s="3">
        <v>27</v>
      </c>
      <c r="B33" s="4" t="s">
        <v>258</v>
      </c>
      <c r="C33" s="4" t="s">
        <v>259</v>
      </c>
      <c r="D33" s="4" t="s">
        <v>99</v>
      </c>
      <c r="E33" s="5">
        <v>164719</v>
      </c>
      <c r="F33" s="6">
        <v>2779.6331249999998</v>
      </c>
      <c r="G33" s="7">
        <v>1.4637626000000001E-2</v>
      </c>
      <c r="H33" s="106"/>
    </row>
    <row r="34" spans="1:8" ht="17.100000000000001" customHeight="1" x14ac:dyDescent="0.2">
      <c r="A34" s="3">
        <v>28</v>
      </c>
      <c r="B34" s="4" t="s">
        <v>507</v>
      </c>
      <c r="C34" s="4" t="s">
        <v>508</v>
      </c>
      <c r="D34" s="4" t="s">
        <v>324</v>
      </c>
      <c r="E34" s="5">
        <v>108144</v>
      </c>
      <c r="F34" s="6">
        <v>2756.7527759999998</v>
      </c>
      <c r="G34" s="7">
        <v>1.4517138000000001E-2</v>
      </c>
      <c r="H34" s="106"/>
    </row>
    <row r="35" spans="1:8" ht="29.1" customHeight="1" x14ac:dyDescent="0.2">
      <c r="A35" s="3">
        <v>29</v>
      </c>
      <c r="B35" s="4" t="s">
        <v>97</v>
      </c>
      <c r="C35" s="4" t="s">
        <v>98</v>
      </c>
      <c r="D35" s="4" t="s">
        <v>99</v>
      </c>
      <c r="E35" s="5">
        <v>388492</v>
      </c>
      <c r="F35" s="6">
        <v>2755.7680019999998</v>
      </c>
      <c r="G35" s="7">
        <v>1.4511952E-2</v>
      </c>
      <c r="H35" s="106"/>
    </row>
    <row r="36" spans="1:8" ht="17.100000000000001" customHeight="1" x14ac:dyDescent="0.2">
      <c r="A36" s="3">
        <v>30</v>
      </c>
      <c r="B36" s="4" t="s">
        <v>87</v>
      </c>
      <c r="C36" s="4" t="s">
        <v>88</v>
      </c>
      <c r="D36" s="4" t="s">
        <v>89</v>
      </c>
      <c r="E36" s="5">
        <v>99095</v>
      </c>
      <c r="F36" s="6">
        <v>2729.6708699999999</v>
      </c>
      <c r="G36" s="7">
        <v>1.4374524E-2</v>
      </c>
      <c r="H36" s="106"/>
    </row>
    <row r="37" spans="1:8" ht="17.100000000000001" customHeight="1" x14ac:dyDescent="0.2">
      <c r="A37" s="3">
        <v>31</v>
      </c>
      <c r="B37" s="4" t="s">
        <v>262</v>
      </c>
      <c r="C37" s="4" t="s">
        <v>263</v>
      </c>
      <c r="D37" s="4" t="s">
        <v>110</v>
      </c>
      <c r="E37" s="5">
        <v>314277</v>
      </c>
      <c r="F37" s="6">
        <v>2723.5244819999998</v>
      </c>
      <c r="G37" s="7">
        <v>1.4342156999999999E-2</v>
      </c>
      <c r="H37" s="106"/>
    </row>
    <row r="38" spans="1:8" ht="29.1" customHeight="1" x14ac:dyDescent="0.2">
      <c r="A38" s="3">
        <v>32</v>
      </c>
      <c r="B38" s="4" t="s">
        <v>252</v>
      </c>
      <c r="C38" s="4" t="s">
        <v>253</v>
      </c>
      <c r="D38" s="4" t="s">
        <v>204</v>
      </c>
      <c r="E38" s="5">
        <v>148360</v>
      </c>
      <c r="F38" s="6">
        <v>2647.2616600000001</v>
      </c>
      <c r="G38" s="7">
        <v>1.3940554000000001E-2</v>
      </c>
      <c r="H38" s="106"/>
    </row>
    <row r="39" spans="1:8" ht="53.1" customHeight="1" x14ac:dyDescent="0.2">
      <c r="A39" s="3">
        <v>33</v>
      </c>
      <c r="B39" s="4" t="s">
        <v>90</v>
      </c>
      <c r="C39" s="4" t="s">
        <v>91</v>
      </c>
      <c r="D39" s="4" t="s">
        <v>48</v>
      </c>
      <c r="E39" s="5">
        <v>160000</v>
      </c>
      <c r="F39" s="6">
        <v>2521.7600000000002</v>
      </c>
      <c r="G39" s="7">
        <v>1.3279658999999999E-2</v>
      </c>
      <c r="H39" s="106"/>
    </row>
    <row r="40" spans="1:8" ht="17.100000000000001" customHeight="1" x14ac:dyDescent="0.2">
      <c r="A40" s="3">
        <v>34</v>
      </c>
      <c r="B40" s="4" t="s">
        <v>348</v>
      </c>
      <c r="C40" s="4" t="s">
        <v>349</v>
      </c>
      <c r="D40" s="4" t="s">
        <v>99</v>
      </c>
      <c r="E40" s="5">
        <v>34308</v>
      </c>
      <c r="F40" s="6">
        <v>2450.997828</v>
      </c>
      <c r="G40" s="7">
        <v>1.2907024E-2</v>
      </c>
      <c r="H40" s="106"/>
    </row>
    <row r="41" spans="1:8" ht="17.100000000000001" customHeight="1" x14ac:dyDescent="0.2">
      <c r="A41" s="3">
        <v>35</v>
      </c>
      <c r="B41" s="4" t="s">
        <v>356</v>
      </c>
      <c r="C41" s="4" t="s">
        <v>357</v>
      </c>
      <c r="D41" s="4" t="s">
        <v>41</v>
      </c>
      <c r="E41" s="5">
        <v>128376</v>
      </c>
      <c r="F41" s="6">
        <v>2430.1576799999998</v>
      </c>
      <c r="G41" s="7">
        <v>1.2797279E-2</v>
      </c>
      <c r="H41" s="106"/>
    </row>
    <row r="42" spans="1:8" ht="17.100000000000001" customHeight="1" x14ac:dyDescent="0.2">
      <c r="A42" s="3">
        <v>36</v>
      </c>
      <c r="B42" s="4" t="s">
        <v>56</v>
      </c>
      <c r="C42" s="4" t="s">
        <v>57</v>
      </c>
      <c r="D42" s="4" t="s">
        <v>13</v>
      </c>
      <c r="E42" s="5">
        <v>880580</v>
      </c>
      <c r="F42" s="6">
        <v>2271.8964000000001</v>
      </c>
      <c r="G42" s="7">
        <v>1.196387E-2</v>
      </c>
      <c r="H42" s="106"/>
    </row>
    <row r="43" spans="1:8" ht="17.100000000000001" customHeight="1" x14ac:dyDescent="0.2">
      <c r="A43" s="3">
        <v>37</v>
      </c>
      <c r="B43" s="4" t="s">
        <v>106</v>
      </c>
      <c r="C43" s="4" t="s">
        <v>107</v>
      </c>
      <c r="D43" s="4" t="s">
        <v>89</v>
      </c>
      <c r="E43" s="5">
        <v>464467</v>
      </c>
      <c r="F43" s="6">
        <v>2161.629418</v>
      </c>
      <c r="G43" s="7">
        <v>1.1383201000000001E-2</v>
      </c>
      <c r="H43" s="106"/>
    </row>
    <row r="44" spans="1:8" ht="17.100000000000001" customHeight="1" x14ac:dyDescent="0.2">
      <c r="A44" s="3">
        <v>38</v>
      </c>
      <c r="B44" s="4" t="s">
        <v>32</v>
      </c>
      <c r="C44" s="4" t="s">
        <v>33</v>
      </c>
      <c r="D44" s="4" t="s">
        <v>31</v>
      </c>
      <c r="E44" s="5">
        <v>100996</v>
      </c>
      <c r="F44" s="6">
        <v>2123.9458800000002</v>
      </c>
      <c r="G44" s="7">
        <v>1.1184759000000001E-2</v>
      </c>
      <c r="H44" s="106"/>
    </row>
    <row r="45" spans="1:8" ht="17.100000000000001" customHeight="1" x14ac:dyDescent="0.2">
      <c r="A45" s="3">
        <v>39</v>
      </c>
      <c r="B45" s="4" t="s">
        <v>256</v>
      </c>
      <c r="C45" s="4" t="s">
        <v>257</v>
      </c>
      <c r="D45" s="4" t="s">
        <v>212</v>
      </c>
      <c r="E45" s="5">
        <v>734154</v>
      </c>
      <c r="F45" s="6">
        <v>2036.910273</v>
      </c>
      <c r="G45" s="7">
        <v>1.0726427E-2</v>
      </c>
      <c r="H45" s="106"/>
    </row>
    <row r="46" spans="1:8" ht="17.100000000000001" customHeight="1" x14ac:dyDescent="0.2">
      <c r="A46" s="3">
        <v>40</v>
      </c>
      <c r="B46" s="4" t="s">
        <v>108</v>
      </c>
      <c r="C46" s="4" t="s">
        <v>109</v>
      </c>
      <c r="D46" s="4" t="s">
        <v>110</v>
      </c>
      <c r="E46" s="5">
        <v>536275</v>
      </c>
      <c r="F46" s="6">
        <v>1995.4792749999999</v>
      </c>
      <c r="G46" s="7">
        <v>1.050825E-2</v>
      </c>
      <c r="H46" s="106"/>
    </row>
    <row r="47" spans="1:8" ht="29.1" customHeight="1" x14ac:dyDescent="0.2">
      <c r="A47" s="3">
        <v>41</v>
      </c>
      <c r="B47" s="4" t="s">
        <v>196</v>
      </c>
      <c r="C47" s="4" t="s">
        <v>197</v>
      </c>
      <c r="D47" s="4" t="s">
        <v>188</v>
      </c>
      <c r="E47" s="5">
        <v>43799</v>
      </c>
      <c r="F47" s="6">
        <v>1993.6209825000001</v>
      </c>
      <c r="G47" s="7">
        <v>1.0498464000000001E-2</v>
      </c>
      <c r="H47" s="106"/>
    </row>
    <row r="48" spans="1:8" ht="29.1" customHeight="1" x14ac:dyDescent="0.2">
      <c r="A48" s="3">
        <v>42</v>
      </c>
      <c r="B48" s="4" t="s">
        <v>254</v>
      </c>
      <c r="C48" s="4" t="s">
        <v>255</v>
      </c>
      <c r="D48" s="4" t="s">
        <v>89</v>
      </c>
      <c r="E48" s="5">
        <v>19364</v>
      </c>
      <c r="F48" s="6">
        <v>1980.6854679999999</v>
      </c>
      <c r="G48" s="7">
        <v>1.0430345000000001E-2</v>
      </c>
      <c r="H48" s="106"/>
    </row>
    <row r="49" spans="1:8" ht="17.100000000000001" customHeight="1" x14ac:dyDescent="0.2">
      <c r="A49" s="3">
        <v>43</v>
      </c>
      <c r="B49" s="4" t="s">
        <v>354</v>
      </c>
      <c r="C49" s="4" t="s">
        <v>355</v>
      </c>
      <c r="D49" s="4" t="s">
        <v>182</v>
      </c>
      <c r="E49" s="5">
        <v>45000</v>
      </c>
      <c r="F49" s="6">
        <v>1944.405</v>
      </c>
      <c r="G49" s="7">
        <v>1.0239292000000001E-2</v>
      </c>
      <c r="H49" s="106"/>
    </row>
    <row r="50" spans="1:8" ht="17.100000000000001" customHeight="1" x14ac:dyDescent="0.2">
      <c r="A50" s="3">
        <v>44</v>
      </c>
      <c r="B50" s="4" t="s">
        <v>414</v>
      </c>
      <c r="C50" s="4" t="s">
        <v>415</v>
      </c>
      <c r="D50" s="4" t="s">
        <v>110</v>
      </c>
      <c r="E50" s="5">
        <v>156000</v>
      </c>
      <c r="F50" s="6">
        <v>1928.394</v>
      </c>
      <c r="G50" s="7">
        <v>1.0154977000000001E-2</v>
      </c>
      <c r="H50" s="106"/>
    </row>
    <row r="51" spans="1:8" ht="17.100000000000001" customHeight="1" x14ac:dyDescent="0.2">
      <c r="A51" s="3">
        <v>45</v>
      </c>
      <c r="B51" s="4" t="s">
        <v>277</v>
      </c>
      <c r="C51" s="4" t="s">
        <v>278</v>
      </c>
      <c r="D51" s="4" t="s">
        <v>110</v>
      </c>
      <c r="E51" s="5">
        <v>167824</v>
      </c>
      <c r="F51" s="6">
        <v>1814.597</v>
      </c>
      <c r="G51" s="7">
        <v>9.5557190000000007E-3</v>
      </c>
      <c r="H51" s="106"/>
    </row>
    <row r="52" spans="1:8" ht="17.100000000000001" customHeight="1" x14ac:dyDescent="0.2">
      <c r="A52" s="3">
        <v>46</v>
      </c>
      <c r="B52" s="4" t="s">
        <v>246</v>
      </c>
      <c r="C52" s="4" t="s">
        <v>247</v>
      </c>
      <c r="D52" s="4" t="s">
        <v>99</v>
      </c>
      <c r="E52" s="5">
        <v>265000</v>
      </c>
      <c r="F52" s="6">
        <v>1664.8625</v>
      </c>
      <c r="G52" s="7">
        <v>8.7672129999999994E-3</v>
      </c>
      <c r="H52" s="106"/>
    </row>
    <row r="53" spans="1:8" ht="17.100000000000001" customHeight="1" x14ac:dyDescent="0.2">
      <c r="A53" s="3">
        <v>47</v>
      </c>
      <c r="B53" s="4" t="s">
        <v>123</v>
      </c>
      <c r="C53" s="4" t="s">
        <v>124</v>
      </c>
      <c r="D53" s="4" t="s">
        <v>110</v>
      </c>
      <c r="E53" s="5">
        <v>70984</v>
      </c>
      <c r="F53" s="6">
        <v>1465.855092</v>
      </c>
      <c r="G53" s="7">
        <v>7.7192340000000002E-3</v>
      </c>
      <c r="H53" s="106"/>
    </row>
    <row r="54" spans="1:8" ht="29.1" customHeight="1" x14ac:dyDescent="0.2">
      <c r="A54" s="3">
        <v>48</v>
      </c>
      <c r="B54" s="4" t="s">
        <v>291</v>
      </c>
      <c r="C54" s="4" t="s">
        <v>292</v>
      </c>
      <c r="D54" s="4" t="s">
        <v>188</v>
      </c>
      <c r="E54" s="5">
        <v>188267</v>
      </c>
      <c r="F54" s="6">
        <v>1430.7350664999999</v>
      </c>
      <c r="G54" s="7">
        <v>7.5342910000000003E-3</v>
      </c>
      <c r="H54" s="106"/>
    </row>
    <row r="55" spans="1:8" ht="17.100000000000001" customHeight="1" x14ac:dyDescent="0.2">
      <c r="A55" s="3">
        <v>49</v>
      </c>
      <c r="B55" s="4" t="s">
        <v>213</v>
      </c>
      <c r="C55" s="4" t="s">
        <v>214</v>
      </c>
      <c r="D55" s="4" t="s">
        <v>1114</v>
      </c>
      <c r="E55" s="5">
        <v>36036</v>
      </c>
      <c r="F55" s="6">
        <v>1330.8274980000001</v>
      </c>
      <c r="G55" s="7">
        <v>7.0081750000000002E-3</v>
      </c>
      <c r="H55" s="106"/>
    </row>
    <row r="56" spans="1:8" ht="29.1" customHeight="1" x14ac:dyDescent="0.2">
      <c r="A56" s="3">
        <v>50</v>
      </c>
      <c r="B56" s="4" t="s">
        <v>63</v>
      </c>
      <c r="C56" s="4" t="s">
        <v>64</v>
      </c>
      <c r="D56" s="4" t="s">
        <v>25</v>
      </c>
      <c r="E56" s="5">
        <v>46179</v>
      </c>
      <c r="F56" s="6">
        <v>1252.6746435</v>
      </c>
      <c r="G56" s="7">
        <v>6.5966200000000001E-3</v>
      </c>
      <c r="H56" s="106"/>
    </row>
    <row r="57" spans="1:8" ht="17.100000000000001" customHeight="1" x14ac:dyDescent="0.2">
      <c r="A57" s="3">
        <v>51</v>
      </c>
      <c r="B57" s="4" t="s">
        <v>266</v>
      </c>
      <c r="C57" s="4" t="s">
        <v>267</v>
      </c>
      <c r="D57" s="4" t="s">
        <v>268</v>
      </c>
      <c r="E57" s="5">
        <v>103000</v>
      </c>
      <c r="F57" s="6">
        <v>986.37950000000001</v>
      </c>
      <c r="G57" s="7">
        <v>5.1943019999999996E-3</v>
      </c>
      <c r="H57" s="106"/>
    </row>
    <row r="58" spans="1:8" ht="17.100000000000001" customHeight="1" x14ac:dyDescent="0.2">
      <c r="A58" s="3">
        <v>52</v>
      </c>
      <c r="B58" s="4" t="s">
        <v>79</v>
      </c>
      <c r="C58" s="4" t="s">
        <v>80</v>
      </c>
      <c r="D58" s="4" t="s">
        <v>31</v>
      </c>
      <c r="E58" s="5">
        <v>85238</v>
      </c>
      <c r="F58" s="6">
        <v>919.67540099999997</v>
      </c>
      <c r="G58" s="7">
        <v>4.8430369999999997E-3</v>
      </c>
      <c r="H58" s="106"/>
    </row>
    <row r="59" spans="1:8" ht="29.1" customHeight="1" x14ac:dyDescent="0.2">
      <c r="A59" s="3">
        <v>53</v>
      </c>
      <c r="B59" s="4" t="s">
        <v>443</v>
      </c>
      <c r="C59" s="4" t="s">
        <v>444</v>
      </c>
      <c r="D59" s="4" t="s">
        <v>204</v>
      </c>
      <c r="E59" s="5">
        <v>43985</v>
      </c>
      <c r="F59" s="6">
        <v>868.04397500000005</v>
      </c>
      <c r="G59" s="7">
        <v>4.5711440000000001E-3</v>
      </c>
      <c r="H59" s="106"/>
    </row>
    <row r="60" spans="1:8" ht="17.100000000000001" customHeight="1" x14ac:dyDescent="0.2">
      <c r="A60" s="3">
        <v>54</v>
      </c>
      <c r="B60" s="4" t="s">
        <v>519</v>
      </c>
      <c r="C60" s="4" t="s">
        <v>520</v>
      </c>
      <c r="D60" s="4" t="s">
        <v>1114</v>
      </c>
      <c r="E60" s="5">
        <v>55715</v>
      </c>
      <c r="F60" s="6">
        <v>728.89148750000004</v>
      </c>
      <c r="G60" s="7">
        <v>3.838363E-3</v>
      </c>
      <c r="H60" s="106"/>
    </row>
    <row r="61" spans="1:8" ht="17.100000000000001" customHeight="1" x14ac:dyDescent="0.2">
      <c r="A61" s="3">
        <v>55</v>
      </c>
      <c r="B61" s="4" t="s">
        <v>524</v>
      </c>
      <c r="C61" s="4" t="s">
        <v>525</v>
      </c>
      <c r="D61" s="4" t="s">
        <v>110</v>
      </c>
      <c r="E61" s="5">
        <v>249484</v>
      </c>
      <c r="F61" s="6">
        <v>670.61299199999996</v>
      </c>
      <c r="G61" s="7">
        <v>3.5314669999999999E-3</v>
      </c>
      <c r="H61" s="106"/>
    </row>
    <row r="62" spans="1:8" ht="17.100000000000001" customHeight="1" x14ac:dyDescent="0.2">
      <c r="A62" s="3">
        <v>56</v>
      </c>
      <c r="B62" s="4" t="s">
        <v>300</v>
      </c>
      <c r="C62" s="4" t="s">
        <v>301</v>
      </c>
      <c r="D62" s="4" t="s">
        <v>245</v>
      </c>
      <c r="E62" s="5">
        <v>50000</v>
      </c>
      <c r="F62" s="6">
        <v>632.97500000000002</v>
      </c>
      <c r="G62" s="7">
        <v>3.3332639999999998E-3</v>
      </c>
      <c r="H62" s="106"/>
    </row>
    <row r="63" spans="1:8" ht="17.100000000000001" customHeight="1" x14ac:dyDescent="0.2">
      <c r="A63" s="3">
        <v>57</v>
      </c>
      <c r="B63" s="4" t="s">
        <v>384</v>
      </c>
      <c r="C63" s="4" t="s">
        <v>385</v>
      </c>
      <c r="D63" s="4" t="s">
        <v>288</v>
      </c>
      <c r="E63" s="5">
        <v>50981</v>
      </c>
      <c r="F63" s="6">
        <v>588.57564500000001</v>
      </c>
      <c r="G63" s="7">
        <v>3.099456E-3</v>
      </c>
      <c r="H63" s="106"/>
    </row>
    <row r="64" spans="1:8" ht="17.100000000000001" customHeight="1" x14ac:dyDescent="0.2">
      <c r="A64" s="3">
        <v>58</v>
      </c>
      <c r="B64" s="4" t="s">
        <v>125</v>
      </c>
      <c r="C64" s="4" t="s">
        <v>126</v>
      </c>
      <c r="D64" s="4"/>
      <c r="E64" s="5">
        <v>177729</v>
      </c>
      <c r="F64" s="6">
        <v>536.2972575</v>
      </c>
      <c r="G64" s="7">
        <v>2.824156E-3</v>
      </c>
      <c r="H64" s="106"/>
    </row>
    <row r="65" spans="1:9" ht="29.1" customHeight="1" x14ac:dyDescent="0.2">
      <c r="A65" s="3">
        <v>59</v>
      </c>
      <c r="B65" s="4" t="s">
        <v>509</v>
      </c>
      <c r="C65" s="4" t="s">
        <v>510</v>
      </c>
      <c r="D65" s="4" t="s">
        <v>188</v>
      </c>
      <c r="E65" s="5">
        <v>30432</v>
      </c>
      <c r="F65" s="6">
        <v>454.94318399999997</v>
      </c>
      <c r="G65" s="7">
        <v>2.395744E-3</v>
      </c>
      <c r="H65" s="106"/>
    </row>
    <row r="66" spans="1:9" ht="17.100000000000001" customHeight="1" x14ac:dyDescent="0.2">
      <c r="A66" s="3">
        <v>60</v>
      </c>
      <c r="B66" s="4" t="s">
        <v>241</v>
      </c>
      <c r="C66" s="4" t="s">
        <v>242</v>
      </c>
      <c r="D66" s="4" t="s">
        <v>31</v>
      </c>
      <c r="E66" s="5">
        <v>15955</v>
      </c>
      <c r="F66" s="6">
        <v>324.06998249999998</v>
      </c>
      <c r="G66" s="7">
        <v>1.706562E-3</v>
      </c>
      <c r="H66" s="106"/>
    </row>
    <row r="67" spans="1:9" ht="14.1" customHeight="1" x14ac:dyDescent="0.2">
      <c r="A67" s="1"/>
      <c r="B67" s="1"/>
      <c r="C67" s="2" t="s">
        <v>130</v>
      </c>
      <c r="D67" s="1"/>
      <c r="E67" s="1" t="s">
        <v>131</v>
      </c>
      <c r="F67" s="9">
        <v>185829.29220350002</v>
      </c>
      <c r="G67" s="10">
        <v>0.97858228699999983</v>
      </c>
      <c r="H67" s="106"/>
    </row>
    <row r="68" spans="1:9" ht="14.1" customHeight="1" x14ac:dyDescent="0.2">
      <c r="A68" s="1"/>
      <c r="B68" s="1"/>
      <c r="C68" s="11"/>
      <c r="D68" s="1"/>
      <c r="E68" s="1"/>
      <c r="F68" s="12"/>
      <c r="G68" s="12"/>
      <c r="H68" s="106"/>
    </row>
    <row r="69" spans="1:9" ht="14.1" customHeight="1" x14ac:dyDescent="0.2">
      <c r="A69" s="1"/>
      <c r="B69" s="1"/>
      <c r="C69" s="2" t="s">
        <v>132</v>
      </c>
      <c r="D69" s="1"/>
      <c r="E69" s="1"/>
      <c r="F69" s="1"/>
      <c r="G69" s="1"/>
      <c r="H69" s="106"/>
    </row>
    <row r="70" spans="1:9" ht="14.1" customHeight="1" x14ac:dyDescent="0.2">
      <c r="A70" s="1"/>
      <c r="B70" s="1"/>
      <c r="C70" s="2" t="s">
        <v>130</v>
      </c>
      <c r="D70" s="1"/>
      <c r="E70" s="1" t="s">
        <v>131</v>
      </c>
      <c r="F70" s="13">
        <v>0</v>
      </c>
      <c r="G70" s="14">
        <v>0</v>
      </c>
      <c r="H70" s="106"/>
    </row>
    <row r="71" spans="1:9" ht="14.1" customHeight="1" x14ac:dyDescent="0.2">
      <c r="A71" s="1"/>
      <c r="B71" s="1"/>
      <c r="C71" s="11"/>
      <c r="D71" s="1"/>
      <c r="E71" s="1"/>
      <c r="F71" s="12"/>
      <c r="G71" s="12"/>
      <c r="H71" s="106"/>
    </row>
    <row r="72" spans="1:9" ht="14.1" customHeight="1" x14ac:dyDescent="0.2">
      <c r="A72" s="1"/>
      <c r="B72" s="1"/>
      <c r="C72" s="2" t="s">
        <v>133</v>
      </c>
      <c r="D72" s="1"/>
      <c r="E72" s="1"/>
      <c r="F72" s="1"/>
      <c r="G72" s="1"/>
      <c r="H72" s="106"/>
    </row>
    <row r="73" spans="1:9" ht="29.1" customHeight="1" x14ac:dyDescent="0.2">
      <c r="A73" s="3">
        <v>1</v>
      </c>
      <c r="B73" s="102" t="s">
        <v>646</v>
      </c>
      <c r="C73" s="102" t="s">
        <v>999</v>
      </c>
      <c r="D73" s="4" t="s">
        <v>647</v>
      </c>
      <c r="E73" s="5">
        <v>511578</v>
      </c>
      <c r="F73" s="6">
        <v>26.602056000000001</v>
      </c>
      <c r="G73" s="7">
        <v>1.40087E-4</v>
      </c>
      <c r="H73" s="106"/>
    </row>
    <row r="74" spans="1:9" ht="17.100000000000001" customHeight="1" x14ac:dyDescent="0.2">
      <c r="A74" s="3">
        <v>2</v>
      </c>
      <c r="B74" s="4" t="s">
        <v>648</v>
      </c>
      <c r="C74" s="102" t="s">
        <v>1006</v>
      </c>
      <c r="D74" s="4" t="s">
        <v>324</v>
      </c>
      <c r="E74" s="5">
        <v>39500</v>
      </c>
      <c r="F74" s="6">
        <v>26.1569</v>
      </c>
      <c r="G74" s="7">
        <v>1.3774300000000001E-4</v>
      </c>
      <c r="H74" s="106"/>
    </row>
    <row r="75" spans="1:9" ht="17.100000000000001" customHeight="1" x14ac:dyDescent="0.2">
      <c r="A75" s="3">
        <v>3</v>
      </c>
      <c r="B75" s="4" t="s">
        <v>649</v>
      </c>
      <c r="C75" s="102" t="s">
        <v>1007</v>
      </c>
      <c r="D75" s="4"/>
      <c r="E75" s="5">
        <v>200</v>
      </c>
      <c r="F75" s="6">
        <v>2.0000000000000001E-9</v>
      </c>
      <c r="G75" s="8" t="s">
        <v>129</v>
      </c>
      <c r="H75" s="106"/>
    </row>
    <row r="76" spans="1:9" ht="17.100000000000001" customHeight="1" x14ac:dyDescent="0.2">
      <c r="A76" s="3">
        <v>4</v>
      </c>
      <c r="B76" s="4" t="s">
        <v>650</v>
      </c>
      <c r="C76" s="102" t="s">
        <v>1008</v>
      </c>
      <c r="D76" s="4"/>
      <c r="E76" s="5">
        <v>93200</v>
      </c>
      <c r="F76" s="6">
        <v>9.3200000000000003E-7</v>
      </c>
      <c r="G76" s="8" t="s">
        <v>129</v>
      </c>
      <c r="H76" s="106"/>
      <c r="I76" s="165"/>
    </row>
    <row r="77" spans="1:9" ht="29.1" customHeight="1" x14ac:dyDescent="0.2">
      <c r="A77" s="3">
        <v>5</v>
      </c>
      <c r="B77" s="4" t="s">
        <v>651</v>
      </c>
      <c r="C77" s="102" t="s">
        <v>1009</v>
      </c>
      <c r="D77" s="4" t="s">
        <v>41</v>
      </c>
      <c r="E77" s="5">
        <v>54000</v>
      </c>
      <c r="F77" s="6">
        <v>5.4000000000000002E-7</v>
      </c>
      <c r="G77" s="8" t="s">
        <v>129</v>
      </c>
      <c r="H77" s="106"/>
      <c r="I77" s="165"/>
    </row>
    <row r="78" spans="1:9" ht="29.1" customHeight="1" x14ac:dyDescent="0.2">
      <c r="A78" s="3">
        <v>6</v>
      </c>
      <c r="B78" s="4" t="s">
        <v>652</v>
      </c>
      <c r="C78" s="102" t="s">
        <v>1010</v>
      </c>
      <c r="D78" s="4" t="s">
        <v>475</v>
      </c>
      <c r="E78" s="5">
        <v>50800</v>
      </c>
      <c r="F78" s="6">
        <v>5.0800000000000005E-7</v>
      </c>
      <c r="G78" s="8" t="s">
        <v>129</v>
      </c>
      <c r="H78" s="106"/>
      <c r="I78" s="165"/>
    </row>
    <row r="79" spans="1:9" ht="41.1" customHeight="1" x14ac:dyDescent="0.2">
      <c r="A79" s="3">
        <v>7</v>
      </c>
      <c r="B79" s="4" t="s">
        <v>653</v>
      </c>
      <c r="C79" s="102" t="s">
        <v>1011</v>
      </c>
      <c r="D79" s="4" t="s">
        <v>654</v>
      </c>
      <c r="E79" s="5">
        <v>200000</v>
      </c>
      <c r="F79" s="6">
        <v>1.9999999999999999E-6</v>
      </c>
      <c r="G79" s="8" t="s">
        <v>129</v>
      </c>
      <c r="H79" s="106"/>
      <c r="I79" s="165"/>
    </row>
    <row r="80" spans="1:9" ht="17.100000000000001" customHeight="1" x14ac:dyDescent="0.2">
      <c r="A80" s="3">
        <v>8</v>
      </c>
      <c r="B80" s="4" t="s">
        <v>655</v>
      </c>
      <c r="C80" s="102" t="s">
        <v>1000</v>
      </c>
      <c r="D80" s="4"/>
      <c r="E80" s="5">
        <v>176305</v>
      </c>
      <c r="F80" s="6">
        <v>1.7630000000000001E-6</v>
      </c>
      <c r="G80" s="8" t="s">
        <v>129</v>
      </c>
      <c r="H80" s="106"/>
      <c r="I80" s="165"/>
    </row>
    <row r="81" spans="1:9" ht="14.1" customHeight="1" x14ac:dyDescent="0.2">
      <c r="A81" s="1"/>
      <c r="B81" s="1"/>
      <c r="C81" s="2" t="s">
        <v>130</v>
      </c>
      <c r="D81" s="1"/>
      <c r="E81" s="1" t="s">
        <v>131</v>
      </c>
      <c r="F81" s="13">
        <v>52.758961745000001</v>
      </c>
      <c r="G81" s="14">
        <v>2.7783000000000001E-4</v>
      </c>
      <c r="H81" s="106"/>
      <c r="I81" s="165"/>
    </row>
    <row r="82" spans="1:9" ht="14.1" customHeight="1" x14ac:dyDescent="0.2">
      <c r="A82" s="1"/>
      <c r="B82" s="1"/>
      <c r="C82" s="11"/>
      <c r="D82" s="1"/>
      <c r="E82" s="1"/>
      <c r="F82" s="12"/>
      <c r="G82" s="12"/>
      <c r="H82" s="106"/>
      <c r="I82" s="165"/>
    </row>
    <row r="83" spans="1:9" ht="14.1" customHeight="1" x14ac:dyDescent="0.2">
      <c r="A83" s="1"/>
      <c r="B83" s="1"/>
      <c r="C83" s="2" t="s">
        <v>134</v>
      </c>
      <c r="D83" s="1"/>
      <c r="E83" s="1"/>
      <c r="F83" s="1"/>
      <c r="G83" s="1"/>
      <c r="H83" s="106"/>
      <c r="I83" s="165"/>
    </row>
    <row r="84" spans="1:9" ht="14.1" customHeight="1" x14ac:dyDescent="0.2">
      <c r="A84" s="1"/>
      <c r="B84" s="1"/>
      <c r="C84" s="2" t="s">
        <v>130</v>
      </c>
      <c r="D84" s="1"/>
      <c r="E84" s="1" t="s">
        <v>131</v>
      </c>
      <c r="F84" s="13">
        <v>0</v>
      </c>
      <c r="G84" s="14">
        <v>0</v>
      </c>
      <c r="H84" s="106"/>
    </row>
    <row r="85" spans="1:9" ht="14.1" customHeight="1" x14ac:dyDescent="0.2">
      <c r="A85" s="1"/>
      <c r="B85" s="1"/>
      <c r="C85" s="11"/>
      <c r="D85" s="1"/>
      <c r="E85" s="1"/>
      <c r="F85" s="12"/>
      <c r="G85" s="12"/>
      <c r="H85" s="106"/>
    </row>
    <row r="86" spans="1:9" ht="14.1" customHeight="1" x14ac:dyDescent="0.2">
      <c r="A86" s="1"/>
      <c r="B86" s="1"/>
      <c r="C86" s="2" t="s">
        <v>135</v>
      </c>
      <c r="D86" s="1"/>
      <c r="E86" s="1"/>
      <c r="F86" s="12"/>
      <c r="G86" s="12"/>
      <c r="H86" s="106"/>
    </row>
    <row r="87" spans="1:9" ht="25.5" x14ac:dyDescent="0.2">
      <c r="A87" s="110">
        <v>1</v>
      </c>
      <c r="B87" s="102" t="s">
        <v>989</v>
      </c>
      <c r="C87" s="102" t="s">
        <v>990</v>
      </c>
      <c r="D87" s="102" t="s">
        <v>99</v>
      </c>
      <c r="E87" s="111">
        <v>162000</v>
      </c>
      <c r="F87" s="106">
        <v>617.22</v>
      </c>
      <c r="G87" s="112">
        <v>3.2502999999999998E-3</v>
      </c>
      <c r="H87" s="106"/>
    </row>
    <row r="88" spans="1:9" ht="14.1" customHeight="1" x14ac:dyDescent="0.2">
      <c r="A88" s="1"/>
      <c r="B88" s="1"/>
      <c r="C88" s="2" t="s">
        <v>130</v>
      </c>
      <c r="D88" s="1"/>
      <c r="E88" s="1" t="s">
        <v>131</v>
      </c>
      <c r="F88" s="13">
        <v>617.22</v>
      </c>
      <c r="G88" s="14">
        <v>3.2502999999999998E-3</v>
      </c>
      <c r="H88" s="106"/>
    </row>
    <row r="89" spans="1:9" ht="14.1" customHeight="1" x14ac:dyDescent="0.2">
      <c r="A89" s="1"/>
      <c r="B89" s="1"/>
      <c r="C89" s="11"/>
      <c r="D89" s="1"/>
      <c r="E89" s="1"/>
      <c r="F89" s="12"/>
      <c r="G89" s="12"/>
      <c r="H89" s="106"/>
    </row>
    <row r="90" spans="1:9" ht="14.1" customHeight="1" x14ac:dyDescent="0.2">
      <c r="A90" s="1"/>
      <c r="B90" s="1"/>
      <c r="C90" s="2" t="s">
        <v>136</v>
      </c>
      <c r="D90" s="1"/>
      <c r="E90" s="1"/>
      <c r="F90" s="12"/>
      <c r="G90" s="12"/>
      <c r="H90" s="106"/>
    </row>
    <row r="91" spans="1:9" ht="14.1" customHeight="1" x14ac:dyDescent="0.2">
      <c r="A91" s="1"/>
      <c r="B91" s="1"/>
      <c r="C91" s="2" t="s">
        <v>130</v>
      </c>
      <c r="D91" s="1"/>
      <c r="E91" s="1" t="s">
        <v>131</v>
      </c>
      <c r="F91" s="13">
        <v>0</v>
      </c>
      <c r="G91" s="14">
        <v>0</v>
      </c>
      <c r="H91" s="106"/>
    </row>
    <row r="92" spans="1:9" ht="14.1" customHeight="1" x14ac:dyDescent="0.2">
      <c r="A92" s="1"/>
      <c r="B92" s="1"/>
      <c r="C92" s="11"/>
      <c r="D92" s="1"/>
      <c r="E92" s="1"/>
      <c r="F92" s="12"/>
      <c r="G92" s="12"/>
      <c r="H92" s="106"/>
    </row>
    <row r="93" spans="1:9" ht="18" customHeight="1" x14ac:dyDescent="0.2">
      <c r="A93" s="1"/>
      <c r="B93" s="1"/>
      <c r="C93" s="2" t="s">
        <v>137</v>
      </c>
      <c r="D93" s="1"/>
      <c r="E93" s="1"/>
      <c r="F93" s="9">
        <v>186499.27116524501</v>
      </c>
      <c r="G93" s="14">
        <v>0.98211041699999979</v>
      </c>
      <c r="H93" s="106"/>
    </row>
    <row r="94" spans="1:9" ht="14.1" customHeight="1" x14ac:dyDescent="0.2">
      <c r="A94" s="1"/>
      <c r="B94" s="1"/>
      <c r="C94" s="11"/>
      <c r="D94" s="1"/>
      <c r="E94" s="1"/>
      <c r="F94" s="12"/>
      <c r="G94" s="12"/>
      <c r="H94" s="106"/>
    </row>
    <row r="95" spans="1:9" ht="14.1" customHeight="1" x14ac:dyDescent="0.2">
      <c r="A95" s="1"/>
      <c r="B95" s="1"/>
      <c r="C95" s="2" t="s">
        <v>138</v>
      </c>
      <c r="D95" s="1"/>
      <c r="E95" s="1"/>
      <c r="F95" s="12"/>
      <c r="G95" s="12"/>
      <c r="H95" s="106"/>
    </row>
    <row r="96" spans="1:9" ht="24" customHeight="1" x14ac:dyDescent="0.2">
      <c r="A96" s="1"/>
      <c r="B96" s="1"/>
      <c r="C96" s="2" t="s">
        <v>10</v>
      </c>
      <c r="D96" s="1"/>
      <c r="E96" s="1"/>
      <c r="F96" s="12"/>
      <c r="G96" s="12"/>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139</v>
      </c>
      <c r="D99" s="1"/>
      <c r="E99" s="1"/>
      <c r="F99" s="1"/>
      <c r="G99" s="1"/>
      <c r="H99" s="106"/>
    </row>
    <row r="100" spans="1:8" ht="14.1" customHeight="1" x14ac:dyDescent="0.2">
      <c r="A100" s="1"/>
      <c r="B100" s="1"/>
      <c r="C100" s="2" t="s">
        <v>130</v>
      </c>
      <c r="D100" s="1"/>
      <c r="E100" s="1" t="s">
        <v>131</v>
      </c>
      <c r="F100" s="13">
        <v>0</v>
      </c>
      <c r="G100" s="14">
        <v>0</v>
      </c>
      <c r="H100" s="106"/>
    </row>
    <row r="101" spans="1:8" ht="14.1" customHeight="1" x14ac:dyDescent="0.2">
      <c r="A101" s="1"/>
      <c r="B101" s="1"/>
      <c r="C101" s="11"/>
      <c r="D101" s="1"/>
      <c r="E101" s="1"/>
      <c r="F101" s="12"/>
      <c r="G101" s="12"/>
      <c r="H101" s="106"/>
    </row>
    <row r="102" spans="1:8" ht="14.1" customHeight="1" x14ac:dyDescent="0.2">
      <c r="A102" s="1"/>
      <c r="B102" s="1"/>
      <c r="C102" s="2" t="s">
        <v>140</v>
      </c>
      <c r="D102" s="1"/>
      <c r="E102" s="1"/>
      <c r="F102" s="1"/>
      <c r="G102" s="1"/>
      <c r="H102" s="106"/>
    </row>
    <row r="103" spans="1:8" ht="14.1" customHeight="1" x14ac:dyDescent="0.2">
      <c r="A103" s="1"/>
      <c r="B103" s="1"/>
      <c r="C103" s="2" t="s">
        <v>130</v>
      </c>
      <c r="D103" s="1"/>
      <c r="E103" s="1" t="s">
        <v>131</v>
      </c>
      <c r="F103" s="13">
        <v>0</v>
      </c>
      <c r="G103" s="14">
        <v>0</v>
      </c>
      <c r="H103" s="106"/>
    </row>
    <row r="104" spans="1:8" ht="14.1" customHeight="1" x14ac:dyDescent="0.2">
      <c r="A104" s="1"/>
      <c r="B104" s="1"/>
      <c r="C104" s="11"/>
      <c r="D104" s="1"/>
      <c r="E104" s="1"/>
      <c r="F104" s="12"/>
      <c r="G104" s="12"/>
      <c r="H104" s="106"/>
    </row>
    <row r="105" spans="1:8" ht="14.1" customHeight="1" x14ac:dyDescent="0.2">
      <c r="A105" s="1"/>
      <c r="B105" s="1"/>
      <c r="C105" s="2" t="s">
        <v>141</v>
      </c>
      <c r="D105" s="1"/>
      <c r="E105" s="1"/>
      <c r="F105" s="12"/>
      <c r="G105" s="12"/>
      <c r="H105" s="106"/>
    </row>
    <row r="106" spans="1:8" ht="14.1" customHeight="1" x14ac:dyDescent="0.2">
      <c r="A106" s="1"/>
      <c r="B106" s="1"/>
      <c r="C106" s="2" t="s">
        <v>130</v>
      </c>
      <c r="D106" s="1"/>
      <c r="E106" s="1" t="s">
        <v>131</v>
      </c>
      <c r="F106" s="13">
        <v>0</v>
      </c>
      <c r="G106" s="14">
        <v>0</v>
      </c>
      <c r="H106" s="106"/>
    </row>
    <row r="107" spans="1:8" ht="14.1" customHeight="1" x14ac:dyDescent="0.2">
      <c r="A107" s="1"/>
      <c r="B107" s="1"/>
      <c r="C107" s="11"/>
      <c r="D107" s="1"/>
      <c r="E107" s="1"/>
      <c r="F107" s="12"/>
      <c r="G107" s="12"/>
      <c r="H107" s="106"/>
    </row>
    <row r="108" spans="1:8" ht="14.1" customHeight="1" x14ac:dyDescent="0.2">
      <c r="A108" s="1"/>
      <c r="B108" s="1"/>
      <c r="C108" s="2" t="s">
        <v>142</v>
      </c>
      <c r="D108" s="1"/>
      <c r="E108" s="1"/>
      <c r="F108" s="9">
        <v>0</v>
      </c>
      <c r="G108" s="10">
        <v>0</v>
      </c>
      <c r="H108" s="106"/>
    </row>
    <row r="109" spans="1:8" ht="14.1" customHeight="1" x14ac:dyDescent="0.2">
      <c r="A109" s="1"/>
      <c r="B109" s="1"/>
      <c r="C109" s="11"/>
      <c r="D109" s="1"/>
      <c r="E109" s="1"/>
      <c r="F109" s="12"/>
      <c r="G109" s="12"/>
      <c r="H109" s="106"/>
    </row>
    <row r="110" spans="1:8" ht="14.1" customHeight="1" x14ac:dyDescent="0.2">
      <c r="A110" s="1"/>
      <c r="B110" s="1"/>
      <c r="C110" s="2" t="s">
        <v>143</v>
      </c>
      <c r="D110" s="1"/>
      <c r="E110" s="1"/>
      <c r="F110" s="12"/>
      <c r="G110" s="12"/>
      <c r="H110" s="106"/>
    </row>
    <row r="111" spans="1:8" ht="14.1" customHeight="1" x14ac:dyDescent="0.2">
      <c r="A111" s="1"/>
      <c r="B111" s="1"/>
      <c r="C111" s="2" t="s">
        <v>144</v>
      </c>
      <c r="D111" s="1"/>
      <c r="E111" s="1"/>
      <c r="F111" s="12"/>
      <c r="G111" s="12"/>
      <c r="H111" s="106"/>
    </row>
    <row r="112" spans="1:8" ht="14.1" customHeight="1" x14ac:dyDescent="0.2">
      <c r="A112" s="1"/>
      <c r="B112" s="1"/>
      <c r="C112" s="2" t="s">
        <v>130</v>
      </c>
      <c r="D112" s="1"/>
      <c r="E112" s="1" t="s">
        <v>131</v>
      </c>
      <c r="F112" s="13">
        <v>0</v>
      </c>
      <c r="G112" s="14">
        <v>0</v>
      </c>
      <c r="H112" s="106"/>
    </row>
    <row r="113" spans="1:8" ht="14.1" customHeight="1" x14ac:dyDescent="0.2">
      <c r="A113" s="1"/>
      <c r="B113" s="1"/>
      <c r="C113" s="11"/>
      <c r="D113" s="1"/>
      <c r="E113" s="1"/>
      <c r="F113" s="12"/>
      <c r="G113" s="12"/>
      <c r="H113" s="106"/>
    </row>
    <row r="114" spans="1:8" ht="14.1" customHeight="1" x14ac:dyDescent="0.2">
      <c r="A114" s="1"/>
      <c r="B114" s="1"/>
      <c r="C114" s="2" t="s">
        <v>145</v>
      </c>
      <c r="D114" s="1"/>
      <c r="E114" s="1"/>
      <c r="F114" s="12"/>
      <c r="G114" s="12"/>
      <c r="H114" s="106"/>
    </row>
    <row r="115" spans="1:8" ht="14.1" customHeight="1" x14ac:dyDescent="0.2">
      <c r="A115" s="1"/>
      <c r="B115" s="1"/>
      <c r="C115" s="2" t="s">
        <v>130</v>
      </c>
      <c r="D115" s="1"/>
      <c r="E115" s="1" t="s">
        <v>131</v>
      </c>
      <c r="F115" s="13">
        <v>0</v>
      </c>
      <c r="G115" s="14">
        <v>0</v>
      </c>
      <c r="H115" s="106"/>
    </row>
    <row r="116" spans="1:8" ht="14.1" customHeight="1" x14ac:dyDescent="0.2">
      <c r="A116" s="1"/>
      <c r="B116" s="1"/>
      <c r="C116" s="11"/>
      <c r="D116" s="1"/>
      <c r="E116" s="1"/>
      <c r="F116" s="12"/>
      <c r="G116" s="12"/>
      <c r="H116" s="106"/>
    </row>
    <row r="117" spans="1:8" ht="14.1" customHeight="1" x14ac:dyDescent="0.2">
      <c r="A117" s="1"/>
      <c r="B117" s="1"/>
      <c r="C117" s="2" t="s">
        <v>146</v>
      </c>
      <c r="D117" s="1"/>
      <c r="E117" s="1"/>
      <c r="F117" s="12"/>
      <c r="G117" s="12"/>
      <c r="H117" s="106"/>
    </row>
    <row r="118" spans="1:8" ht="14.1" customHeight="1" x14ac:dyDescent="0.2">
      <c r="A118" s="1"/>
      <c r="B118" s="1"/>
      <c r="C118" s="2" t="s">
        <v>130</v>
      </c>
      <c r="D118" s="1"/>
      <c r="E118" s="1" t="s">
        <v>131</v>
      </c>
      <c r="F118" s="13">
        <v>0</v>
      </c>
      <c r="G118" s="14">
        <v>0</v>
      </c>
      <c r="H118" s="106"/>
    </row>
    <row r="119" spans="1:8" ht="14.1" customHeight="1" x14ac:dyDescent="0.2">
      <c r="A119" s="1"/>
      <c r="B119" s="1"/>
      <c r="C119" s="11"/>
      <c r="D119" s="1"/>
      <c r="E119" s="1"/>
      <c r="F119" s="12"/>
      <c r="G119" s="12"/>
      <c r="H119" s="106"/>
    </row>
    <row r="120" spans="1:8" ht="14.1" customHeight="1" x14ac:dyDescent="0.2">
      <c r="A120" s="1"/>
      <c r="B120" s="1"/>
      <c r="C120" s="2" t="s">
        <v>147</v>
      </c>
      <c r="D120" s="1"/>
      <c r="E120" s="1"/>
      <c r="F120" s="12"/>
      <c r="G120" s="12"/>
      <c r="H120" s="106"/>
    </row>
    <row r="121" spans="1:8" ht="17.100000000000001" customHeight="1" x14ac:dyDescent="0.2">
      <c r="A121" s="3">
        <v>1</v>
      </c>
      <c r="B121" s="4"/>
      <c r="C121" s="4" t="s">
        <v>148</v>
      </c>
      <c r="D121" s="4"/>
      <c r="E121" s="8"/>
      <c r="F121" s="6">
        <v>3052.5582119999999</v>
      </c>
      <c r="G121" s="7">
        <v>1.6074858000000001E-2</v>
      </c>
      <c r="H121" s="106">
        <v>6.1171451766917002</v>
      </c>
    </row>
    <row r="122" spans="1:8" ht="14.1" customHeight="1" x14ac:dyDescent="0.2">
      <c r="A122" s="1"/>
      <c r="B122" s="1"/>
      <c r="C122" s="2" t="s">
        <v>130</v>
      </c>
      <c r="D122" s="1"/>
      <c r="E122" s="1" t="s">
        <v>131</v>
      </c>
      <c r="F122" s="9">
        <v>3052.5582119999999</v>
      </c>
      <c r="G122" s="10">
        <v>1.6074858000000001E-2</v>
      </c>
      <c r="H122" s="106"/>
    </row>
    <row r="123" spans="1:8" ht="14.1" customHeight="1" x14ac:dyDescent="0.2">
      <c r="A123" s="1"/>
      <c r="B123" s="1"/>
      <c r="C123" s="11"/>
      <c r="D123" s="1"/>
      <c r="E123" s="1"/>
      <c r="F123" s="12"/>
      <c r="G123" s="12"/>
      <c r="H123" s="106"/>
    </row>
    <row r="124" spans="1:8" ht="14.1" customHeight="1" x14ac:dyDescent="0.2">
      <c r="A124" s="1"/>
      <c r="B124" s="1"/>
      <c r="C124" s="2" t="s">
        <v>149</v>
      </c>
      <c r="D124" s="1"/>
      <c r="E124" s="1"/>
      <c r="F124" s="9">
        <v>3052.5582119999999</v>
      </c>
      <c r="G124" s="10">
        <v>1.6074858000000001E-2</v>
      </c>
      <c r="H124" s="106"/>
    </row>
    <row r="125" spans="1:8" ht="14.1" customHeight="1" x14ac:dyDescent="0.2">
      <c r="A125" s="1"/>
      <c r="B125" s="1"/>
      <c r="C125" s="12"/>
      <c r="D125" s="1"/>
      <c r="E125" s="1"/>
      <c r="F125" s="1"/>
      <c r="G125" s="1"/>
      <c r="H125" s="106"/>
    </row>
    <row r="126" spans="1:8" ht="14.1" customHeight="1" x14ac:dyDescent="0.2">
      <c r="A126" s="1"/>
      <c r="B126" s="1"/>
      <c r="C126" s="2" t="s">
        <v>150</v>
      </c>
      <c r="D126" s="1"/>
      <c r="E126" s="1"/>
      <c r="F126" s="1"/>
      <c r="G126" s="1"/>
      <c r="H126" s="106"/>
    </row>
    <row r="127" spans="1:8" ht="14.1" customHeight="1" x14ac:dyDescent="0.2">
      <c r="A127" s="1"/>
      <c r="B127" s="1"/>
      <c r="C127" s="2" t="s">
        <v>151</v>
      </c>
      <c r="D127" s="1"/>
      <c r="E127" s="1"/>
      <c r="F127" s="1"/>
      <c r="G127" s="1"/>
      <c r="H127" s="106"/>
    </row>
    <row r="128" spans="1:8" ht="14.1" customHeight="1" x14ac:dyDescent="0.2">
      <c r="A128" s="1"/>
      <c r="B128" s="1"/>
      <c r="C128" s="2" t="s">
        <v>130</v>
      </c>
      <c r="D128" s="1"/>
      <c r="E128" s="1" t="s">
        <v>131</v>
      </c>
      <c r="F128" s="13">
        <v>0</v>
      </c>
      <c r="G128" s="14">
        <v>0</v>
      </c>
      <c r="H128" s="106"/>
    </row>
    <row r="129" spans="1:8" ht="14.1" customHeight="1" x14ac:dyDescent="0.2">
      <c r="A129" s="1"/>
      <c r="B129" s="1"/>
      <c r="C129" s="11"/>
      <c r="D129" s="1"/>
      <c r="E129" s="1"/>
      <c r="F129" s="12"/>
      <c r="G129" s="12"/>
      <c r="H129" s="106"/>
    </row>
    <row r="130" spans="1:8" ht="14.1" customHeight="1" x14ac:dyDescent="0.2">
      <c r="A130" s="1"/>
      <c r="B130" s="1"/>
      <c r="C130" s="2" t="s">
        <v>152</v>
      </c>
      <c r="D130" s="1"/>
      <c r="E130" s="1"/>
      <c r="F130" s="1"/>
      <c r="G130" s="1"/>
      <c r="H130" s="106"/>
    </row>
    <row r="131" spans="1:8" ht="14.1" customHeight="1" x14ac:dyDescent="0.2">
      <c r="A131" s="1"/>
      <c r="B131" s="1"/>
      <c r="C131" s="2" t="s">
        <v>153</v>
      </c>
      <c r="D131" s="1"/>
      <c r="E131" s="1"/>
      <c r="F131" s="1"/>
      <c r="G131" s="1"/>
      <c r="H131" s="106"/>
    </row>
    <row r="132" spans="1:8" ht="14.1" customHeight="1" x14ac:dyDescent="0.2">
      <c r="A132" s="1"/>
      <c r="B132" s="1"/>
      <c r="C132" s="2" t="s">
        <v>130</v>
      </c>
      <c r="D132" s="1"/>
      <c r="E132" s="1" t="s">
        <v>131</v>
      </c>
      <c r="F132" s="13">
        <v>0</v>
      </c>
      <c r="G132" s="14">
        <v>0</v>
      </c>
      <c r="H132" s="106"/>
    </row>
    <row r="133" spans="1:8" ht="14.1" customHeight="1" x14ac:dyDescent="0.2">
      <c r="A133" s="1"/>
      <c r="B133" s="1"/>
      <c r="C133" s="11"/>
      <c r="D133" s="1"/>
      <c r="E133" s="1"/>
      <c r="F133" s="12"/>
      <c r="G133" s="12"/>
      <c r="H133" s="106"/>
    </row>
    <row r="134" spans="1:8" ht="14.1" customHeight="1" x14ac:dyDescent="0.2">
      <c r="A134" s="1"/>
      <c r="B134" s="1"/>
      <c r="C134" s="11"/>
      <c r="D134" s="1"/>
      <c r="E134" s="1"/>
      <c r="F134" s="12"/>
      <c r="G134" s="12"/>
      <c r="H134" s="106"/>
    </row>
    <row r="135" spans="1:8" ht="24" customHeight="1" x14ac:dyDescent="0.2">
      <c r="A135" s="1"/>
      <c r="B135" s="1"/>
      <c r="C135" s="2" t="s">
        <v>154</v>
      </c>
      <c r="D135" s="1"/>
      <c r="E135" s="1"/>
      <c r="F135" s="12"/>
      <c r="G135" s="12"/>
      <c r="H135" s="106"/>
    </row>
    <row r="136" spans="1:8" ht="14.1" customHeight="1" x14ac:dyDescent="0.2">
      <c r="A136" s="1"/>
      <c r="B136" s="1"/>
      <c r="C136" s="2" t="s">
        <v>130</v>
      </c>
      <c r="D136" s="1"/>
      <c r="E136" s="1" t="s">
        <v>131</v>
      </c>
      <c r="F136" s="13">
        <v>0</v>
      </c>
      <c r="G136" s="14">
        <v>0</v>
      </c>
      <c r="H136" s="106"/>
    </row>
    <row r="137" spans="1:8" ht="14.1" customHeight="1" x14ac:dyDescent="0.2">
      <c r="A137" s="1"/>
      <c r="B137" s="1"/>
      <c r="C137" s="11"/>
      <c r="D137" s="1"/>
      <c r="E137" s="1"/>
      <c r="F137" s="12"/>
      <c r="G137" s="12"/>
      <c r="H137" s="106"/>
    </row>
    <row r="138" spans="1:8" ht="14.1" customHeight="1" x14ac:dyDescent="0.2">
      <c r="A138" s="1"/>
      <c r="B138" s="4"/>
      <c r="C138" s="4"/>
      <c r="D138" s="2"/>
      <c r="E138" s="1"/>
      <c r="F138" s="4"/>
      <c r="G138" s="8"/>
      <c r="H138" s="106"/>
    </row>
    <row r="139" spans="1:8" ht="18" customHeight="1" x14ac:dyDescent="0.2">
      <c r="A139" s="8"/>
      <c r="B139" s="4"/>
      <c r="C139" s="4" t="s">
        <v>155</v>
      </c>
      <c r="D139" s="4"/>
      <c r="E139" s="8"/>
      <c r="F139" s="6">
        <v>344.61004192000001</v>
      </c>
      <c r="G139" s="7">
        <v>1.814726E-3</v>
      </c>
      <c r="H139" s="106"/>
    </row>
    <row r="140" spans="1:8" ht="14.1" customHeight="1" x14ac:dyDescent="0.2">
      <c r="A140" s="11"/>
      <c r="B140" s="11"/>
      <c r="C140" s="2" t="s">
        <v>156</v>
      </c>
      <c r="D140" s="15"/>
      <c r="E140" s="15"/>
      <c r="F140" s="9">
        <v>189896.43941916502</v>
      </c>
      <c r="G140" s="14">
        <v>1.0000000009999999</v>
      </c>
      <c r="H140" s="106"/>
    </row>
    <row r="141" spans="1:8" ht="14.1" customHeight="1" x14ac:dyDescent="0.2">
      <c r="A141" s="16"/>
      <c r="B141" s="16"/>
      <c r="C141" s="16"/>
      <c r="D141" s="17"/>
      <c r="E141" s="17"/>
      <c r="F141" s="17"/>
      <c r="G141" s="17"/>
    </row>
    <row r="142" spans="1:8" ht="17.100000000000001" customHeight="1" x14ac:dyDescent="0.2">
      <c r="A142" s="18"/>
      <c r="B142" s="281" t="s">
        <v>157</v>
      </c>
      <c r="C142" s="281"/>
      <c r="D142" s="281"/>
      <c r="E142" s="281"/>
      <c r="F142" s="281"/>
      <c r="G142" s="20"/>
    </row>
    <row r="143" spans="1:8" ht="14.1" customHeight="1" x14ac:dyDescent="0.2">
      <c r="A143" s="18"/>
      <c r="B143" s="18"/>
      <c r="C143" s="18"/>
      <c r="D143" s="20"/>
      <c r="E143" s="20"/>
      <c r="F143" s="20"/>
      <c r="G143" s="20"/>
    </row>
    <row r="144" spans="1:8" ht="14.1" customHeight="1" x14ac:dyDescent="0.2">
      <c r="A144" s="18"/>
      <c r="B144" s="279" t="s">
        <v>158</v>
      </c>
      <c r="C144" s="280"/>
      <c r="D144" s="12" t="s">
        <v>131</v>
      </c>
      <c r="E144" s="21"/>
      <c r="F144" s="20"/>
      <c r="G144" s="20"/>
    </row>
    <row r="145" spans="1:7" ht="29.1" customHeight="1" x14ac:dyDescent="0.2">
      <c r="A145" s="18"/>
      <c r="B145" s="274" t="s">
        <v>159</v>
      </c>
      <c r="C145" s="275"/>
      <c r="D145" s="62" t="s">
        <v>1041</v>
      </c>
      <c r="E145" s="21"/>
      <c r="F145" s="20"/>
      <c r="G145" s="20"/>
    </row>
    <row r="146" spans="1:7" ht="17.100000000000001" customHeight="1" x14ac:dyDescent="0.2">
      <c r="A146" s="18"/>
      <c r="B146" s="276" t="s">
        <v>1001</v>
      </c>
      <c r="C146" s="277"/>
      <c r="D146" s="62" t="s">
        <v>1012</v>
      </c>
      <c r="E146" s="21"/>
      <c r="F146" s="20"/>
      <c r="G146" s="20"/>
    </row>
    <row r="147" spans="1:7" ht="17.100000000000001" customHeight="1" x14ac:dyDescent="0.2">
      <c r="A147" s="18"/>
      <c r="B147" s="274" t="s">
        <v>162</v>
      </c>
      <c r="C147" s="275"/>
      <c r="D147" s="12" t="s">
        <v>131</v>
      </c>
      <c r="E147" s="21"/>
      <c r="F147" s="20"/>
      <c r="G147" s="20"/>
    </row>
    <row r="148" spans="1:7" ht="24" customHeight="1" x14ac:dyDescent="0.2">
      <c r="A148" s="22"/>
      <c r="B148" s="23" t="s">
        <v>131</v>
      </c>
      <c r="C148" s="23" t="s">
        <v>163</v>
      </c>
      <c r="D148" s="23" t="s">
        <v>164</v>
      </c>
      <c r="E148" s="22"/>
      <c r="F148" s="22"/>
      <c r="G148" s="22"/>
    </row>
    <row r="149" spans="1:7" ht="18" customHeight="1" x14ac:dyDescent="0.2">
      <c r="A149" s="22"/>
      <c r="B149" s="23" t="s">
        <v>165</v>
      </c>
      <c r="C149" s="23" t="s">
        <v>166</v>
      </c>
      <c r="D149" s="23" t="s">
        <v>167</v>
      </c>
      <c r="E149" s="22"/>
      <c r="F149" s="22"/>
      <c r="G149" s="22"/>
    </row>
    <row r="150" spans="1:7" ht="17.100000000000001" customHeight="1" x14ac:dyDescent="0.2">
      <c r="A150" s="22"/>
      <c r="B150" s="4" t="s">
        <v>168</v>
      </c>
      <c r="C150" s="24">
        <v>256.71539999999999</v>
      </c>
      <c r="D150" s="24">
        <v>262.42599999999999</v>
      </c>
      <c r="E150" s="22"/>
      <c r="F150" s="19"/>
      <c r="G150" s="25"/>
    </row>
    <row r="151" spans="1:7" ht="29.1" customHeight="1" x14ac:dyDescent="0.2">
      <c r="A151" s="22"/>
      <c r="B151" s="4" t="s">
        <v>1061</v>
      </c>
      <c r="C151" s="24">
        <v>65.756399999999999</v>
      </c>
      <c r="D151" s="24">
        <v>67.218800000000002</v>
      </c>
      <c r="E151" s="22"/>
      <c r="F151" s="19"/>
      <c r="G151" s="25"/>
    </row>
    <row r="152" spans="1:7" ht="17.100000000000001" customHeight="1" x14ac:dyDescent="0.2">
      <c r="A152" s="22"/>
      <c r="B152" s="4" t="s">
        <v>169</v>
      </c>
      <c r="C152" s="24">
        <v>237.83090000000001</v>
      </c>
      <c r="D152" s="24">
        <v>242.88300000000001</v>
      </c>
      <c r="E152" s="22"/>
      <c r="F152" s="19"/>
      <c r="G152" s="25"/>
    </row>
    <row r="153" spans="1:7" ht="29.1" customHeight="1" x14ac:dyDescent="0.2">
      <c r="A153" s="22"/>
      <c r="B153" s="4" t="s">
        <v>1062</v>
      </c>
      <c r="C153" s="24">
        <v>50.294699999999999</v>
      </c>
      <c r="D153" s="24">
        <v>51.3628</v>
      </c>
      <c r="E153" s="22"/>
      <c r="F153" s="19"/>
      <c r="G153" s="25"/>
    </row>
    <row r="154" spans="1:7" ht="14.1" customHeight="1" x14ac:dyDescent="0.2">
      <c r="A154" s="22"/>
      <c r="B154" s="22"/>
      <c r="C154" s="22"/>
      <c r="D154" s="22"/>
      <c r="E154" s="22"/>
      <c r="F154" s="22"/>
      <c r="G154" s="22"/>
    </row>
    <row r="155" spans="1:7" ht="17.100000000000001" customHeight="1" x14ac:dyDescent="0.2">
      <c r="A155" s="22"/>
      <c r="B155" s="274" t="s">
        <v>1060</v>
      </c>
      <c r="C155" s="275"/>
      <c r="D155" s="2" t="s">
        <v>160</v>
      </c>
      <c r="E155" s="22"/>
      <c r="F155" s="22"/>
      <c r="G155" s="22"/>
    </row>
    <row r="156" spans="1:7" ht="18" customHeight="1" x14ac:dyDescent="0.2">
      <c r="A156" s="22"/>
      <c r="B156" s="26" t="s">
        <v>170</v>
      </c>
      <c r="C156" s="26" t="s">
        <v>170</v>
      </c>
      <c r="D156" s="26"/>
      <c r="E156" s="22"/>
      <c r="F156" s="22"/>
      <c r="G156" s="22"/>
    </row>
    <row r="157" spans="1:7" ht="29.1" customHeight="1" x14ac:dyDescent="0.2">
      <c r="A157" s="22"/>
      <c r="B157" s="274" t="s">
        <v>171</v>
      </c>
      <c r="C157" s="275"/>
      <c r="D157" s="2" t="s">
        <v>160</v>
      </c>
      <c r="E157" s="22"/>
      <c r="F157" s="22"/>
      <c r="G157" s="22"/>
    </row>
    <row r="158" spans="1:7" ht="29.1" customHeight="1" x14ac:dyDescent="0.2">
      <c r="A158" s="22"/>
      <c r="B158" s="274" t="s">
        <v>172</v>
      </c>
      <c r="C158" s="275"/>
      <c r="D158" s="2" t="s">
        <v>160</v>
      </c>
      <c r="E158" s="22"/>
      <c r="F158" s="22"/>
      <c r="G158" s="22"/>
    </row>
    <row r="159" spans="1:7" ht="17.100000000000001" customHeight="1" x14ac:dyDescent="0.2">
      <c r="A159" s="22"/>
      <c r="B159" s="274" t="s">
        <v>173</v>
      </c>
      <c r="C159" s="275"/>
      <c r="D159" s="27">
        <v>0.72449346725562169</v>
      </c>
      <c r="E159" s="22"/>
      <c r="F159" s="19"/>
      <c r="G159" s="25"/>
    </row>
    <row r="160" spans="1:7" ht="17.100000000000001" customHeight="1" x14ac:dyDescent="0.2">
      <c r="A160" s="22"/>
      <c r="B160" s="274" t="s">
        <v>174</v>
      </c>
      <c r="C160" s="275"/>
      <c r="D160" s="2" t="s">
        <v>160</v>
      </c>
      <c r="E160" s="22"/>
      <c r="F160" s="22"/>
      <c r="G160" s="22"/>
    </row>
    <row r="162" spans="2:6" x14ac:dyDescent="0.2">
      <c r="B162" s="143" t="s">
        <v>1040</v>
      </c>
    </row>
    <row r="163" spans="2:6" ht="38.25" x14ac:dyDescent="0.2">
      <c r="B163" s="117" t="s">
        <v>1014</v>
      </c>
      <c r="C163" s="117" t="s">
        <v>1015</v>
      </c>
      <c r="D163" s="117" t="s">
        <v>1016</v>
      </c>
      <c r="E163" s="117" t="s">
        <v>1017</v>
      </c>
      <c r="F163" s="117" t="s">
        <v>1018</v>
      </c>
    </row>
    <row r="164" spans="2:6" x14ac:dyDescent="0.2">
      <c r="B164" s="144" t="s">
        <v>1042</v>
      </c>
      <c r="C164" s="139" t="s">
        <v>1038</v>
      </c>
      <c r="D164" s="140">
        <v>0</v>
      </c>
      <c r="E164" s="141">
        <v>0</v>
      </c>
      <c r="F164" s="142">
        <v>29.407129999999999</v>
      </c>
    </row>
  </sheetData>
  <mergeCells count="14">
    <mergeCell ref="J2:N2"/>
    <mergeCell ref="B144:C144"/>
    <mergeCell ref="B142:F142"/>
    <mergeCell ref="A1:H1"/>
    <mergeCell ref="A2:H2"/>
    <mergeCell ref="A3:H3"/>
    <mergeCell ref="B159:C159"/>
    <mergeCell ref="B160:C160"/>
    <mergeCell ref="B145:C145"/>
    <mergeCell ref="B146:C146"/>
    <mergeCell ref="B147:C147"/>
    <mergeCell ref="B155:C155"/>
    <mergeCell ref="B157:C157"/>
    <mergeCell ref="B158:C158"/>
  </mergeCells>
  <hyperlinks>
    <hyperlink ref="I1" location="Index!B29" display="Index" xr:uid="{3AF39B03-E13D-4551-B293-0B092A31E9E6}"/>
  </hyperlinks>
  <pageMargins left="5.000000074505806E-2" right="5.000000074505806E-2" top="0.30000001192092896" bottom="0.20000000298023224" header="0" footer="0"/>
  <pageSetup paperSize="9"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9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1077</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178</v>
      </c>
      <c r="C7" s="4" t="s">
        <v>179</v>
      </c>
      <c r="D7" s="4" t="s">
        <v>16</v>
      </c>
      <c r="E7" s="5">
        <v>7236</v>
      </c>
      <c r="F7" s="6">
        <v>65.558160000000001</v>
      </c>
      <c r="G7" s="7">
        <v>1.1538958E-2</v>
      </c>
      <c r="H7" s="106"/>
    </row>
    <row r="8" spans="1:14" ht="17.100000000000001" customHeight="1" x14ac:dyDescent="0.2">
      <c r="A8" s="3">
        <v>2</v>
      </c>
      <c r="B8" s="4" t="s">
        <v>194</v>
      </c>
      <c r="C8" s="4" t="s">
        <v>195</v>
      </c>
      <c r="D8" s="4" t="s">
        <v>16</v>
      </c>
      <c r="E8" s="5">
        <v>42119</v>
      </c>
      <c r="F8" s="6">
        <v>62.209763000000002</v>
      </c>
      <c r="G8" s="7">
        <v>1.0949604E-2</v>
      </c>
      <c r="H8" s="106"/>
    </row>
    <row r="9" spans="1:14" ht="17.100000000000001" customHeight="1" x14ac:dyDescent="0.2">
      <c r="A9" s="3">
        <v>3</v>
      </c>
      <c r="B9" s="4" t="s">
        <v>656</v>
      </c>
      <c r="C9" s="4" t="s">
        <v>657</v>
      </c>
      <c r="D9" s="4" t="s">
        <v>658</v>
      </c>
      <c r="E9" s="5">
        <v>25111</v>
      </c>
      <c r="F9" s="6">
        <v>61.760504500000003</v>
      </c>
      <c r="G9" s="7">
        <v>1.0870529E-2</v>
      </c>
      <c r="H9" s="106"/>
    </row>
    <row r="10" spans="1:14" ht="29.1" customHeight="1" x14ac:dyDescent="0.2">
      <c r="A10" s="3">
        <v>4</v>
      </c>
      <c r="B10" s="4" t="s">
        <v>302</v>
      </c>
      <c r="C10" s="4" t="s">
        <v>303</v>
      </c>
      <c r="D10" s="4" t="s">
        <v>204</v>
      </c>
      <c r="E10" s="5">
        <v>5996</v>
      </c>
      <c r="F10" s="6">
        <v>60.973323999999998</v>
      </c>
      <c r="G10" s="7">
        <v>1.0731977E-2</v>
      </c>
      <c r="H10" s="106"/>
    </row>
    <row r="11" spans="1:14" ht="17.100000000000001" customHeight="1" x14ac:dyDescent="0.2">
      <c r="A11" s="3">
        <v>5</v>
      </c>
      <c r="B11" s="4" t="s">
        <v>313</v>
      </c>
      <c r="C11" s="4" t="s">
        <v>314</v>
      </c>
      <c r="D11" s="4" t="s">
        <v>1114</v>
      </c>
      <c r="E11" s="5">
        <v>5821</v>
      </c>
      <c r="F11" s="6">
        <v>60.605341500000002</v>
      </c>
      <c r="G11" s="7">
        <v>1.0667207999999999E-2</v>
      </c>
      <c r="H11" s="106"/>
    </row>
    <row r="12" spans="1:14" ht="17.100000000000001" customHeight="1" x14ac:dyDescent="0.2">
      <c r="A12" s="3">
        <v>6</v>
      </c>
      <c r="B12" s="4" t="s">
        <v>659</v>
      </c>
      <c r="C12" s="4" t="s">
        <v>660</v>
      </c>
      <c r="D12" s="4" t="s">
        <v>324</v>
      </c>
      <c r="E12" s="5">
        <v>2882</v>
      </c>
      <c r="F12" s="6">
        <v>59.789971999999999</v>
      </c>
      <c r="G12" s="7">
        <v>1.0523694E-2</v>
      </c>
      <c r="H12" s="106"/>
    </row>
    <row r="13" spans="1:14" ht="17.100000000000001" customHeight="1" x14ac:dyDescent="0.2">
      <c r="A13" s="3">
        <v>7</v>
      </c>
      <c r="B13" s="4" t="s">
        <v>54</v>
      </c>
      <c r="C13" s="4" t="s">
        <v>55</v>
      </c>
      <c r="D13" s="4" t="s">
        <v>28</v>
      </c>
      <c r="E13" s="5">
        <v>26124</v>
      </c>
      <c r="F13" s="6">
        <v>59.601906</v>
      </c>
      <c r="G13" s="7">
        <v>1.0490592E-2</v>
      </c>
      <c r="H13" s="106"/>
      <c r="J13" s="161" t="s">
        <v>1104</v>
      </c>
    </row>
    <row r="14" spans="1:14" ht="17.100000000000001" customHeight="1" x14ac:dyDescent="0.2">
      <c r="A14" s="3">
        <v>8</v>
      </c>
      <c r="B14" s="4" t="s">
        <v>661</v>
      </c>
      <c r="C14" s="4" t="s">
        <v>662</v>
      </c>
      <c r="D14" s="4" t="s">
        <v>96</v>
      </c>
      <c r="E14" s="5">
        <v>15374</v>
      </c>
      <c r="F14" s="6">
        <v>59.266770000000001</v>
      </c>
      <c r="G14" s="7">
        <v>1.0431604000000001E-2</v>
      </c>
      <c r="H14" s="106"/>
    </row>
    <row r="15" spans="1:14" ht="29.1" customHeight="1" x14ac:dyDescent="0.2">
      <c r="A15" s="3">
        <v>9</v>
      </c>
      <c r="B15" s="4" t="s">
        <v>663</v>
      </c>
      <c r="C15" s="4" t="s">
        <v>664</v>
      </c>
      <c r="D15" s="4" t="s">
        <v>67</v>
      </c>
      <c r="E15" s="5">
        <v>2342</v>
      </c>
      <c r="F15" s="6">
        <v>59.253771</v>
      </c>
      <c r="G15" s="7">
        <v>1.0429315999999999E-2</v>
      </c>
      <c r="H15" s="106"/>
    </row>
    <row r="16" spans="1:14" ht="17.100000000000001" customHeight="1" x14ac:dyDescent="0.2">
      <c r="A16" s="3">
        <v>10</v>
      </c>
      <c r="B16" s="4" t="s">
        <v>296</v>
      </c>
      <c r="C16" s="4" t="s">
        <v>297</v>
      </c>
      <c r="D16" s="4" t="s">
        <v>1114</v>
      </c>
      <c r="E16" s="5">
        <v>3853</v>
      </c>
      <c r="F16" s="6">
        <v>59.245654500000001</v>
      </c>
      <c r="G16" s="7">
        <v>1.0427888E-2</v>
      </c>
      <c r="H16" s="106"/>
    </row>
    <row r="17" spans="1:8" ht="17.100000000000001" customHeight="1" x14ac:dyDescent="0.2">
      <c r="A17" s="3">
        <v>11</v>
      </c>
      <c r="B17" s="4" t="s">
        <v>311</v>
      </c>
      <c r="C17" s="4" t="s">
        <v>312</v>
      </c>
      <c r="D17" s="4" t="s">
        <v>70</v>
      </c>
      <c r="E17" s="5">
        <v>4379</v>
      </c>
      <c r="F17" s="6">
        <v>59.055194</v>
      </c>
      <c r="G17" s="7">
        <v>1.0394364999999999E-2</v>
      </c>
      <c r="H17" s="106"/>
    </row>
    <row r="18" spans="1:8" ht="17.100000000000001" customHeight="1" x14ac:dyDescent="0.2">
      <c r="A18" s="3">
        <v>12</v>
      </c>
      <c r="B18" s="4" t="s">
        <v>11</v>
      </c>
      <c r="C18" s="4" t="s">
        <v>12</v>
      </c>
      <c r="D18" s="4" t="s">
        <v>13</v>
      </c>
      <c r="E18" s="5">
        <v>2916</v>
      </c>
      <c r="F18" s="6">
        <v>58.993595999999997</v>
      </c>
      <c r="G18" s="7">
        <v>1.0383523E-2</v>
      </c>
      <c r="H18" s="106"/>
    </row>
    <row r="19" spans="1:8" ht="17.100000000000001" customHeight="1" x14ac:dyDescent="0.2">
      <c r="A19" s="3">
        <v>13</v>
      </c>
      <c r="B19" s="4" t="s">
        <v>17</v>
      </c>
      <c r="C19" s="4" t="s">
        <v>18</v>
      </c>
      <c r="D19" s="4" t="s">
        <v>19</v>
      </c>
      <c r="E19" s="5">
        <v>7070</v>
      </c>
      <c r="F19" s="6">
        <v>58.822400000000002</v>
      </c>
      <c r="G19" s="7">
        <v>1.0353390000000001E-2</v>
      </c>
      <c r="H19" s="106"/>
    </row>
    <row r="20" spans="1:8" ht="17.100000000000001" customHeight="1" x14ac:dyDescent="0.2">
      <c r="A20" s="3">
        <v>14</v>
      </c>
      <c r="B20" s="4" t="s">
        <v>665</v>
      </c>
      <c r="C20" s="4" t="s">
        <v>666</v>
      </c>
      <c r="D20" s="4" t="s">
        <v>268</v>
      </c>
      <c r="E20" s="5">
        <v>288</v>
      </c>
      <c r="F20" s="6">
        <v>58.646591999999998</v>
      </c>
      <c r="G20" s="7">
        <v>1.0322446000000001E-2</v>
      </c>
      <c r="H20" s="106"/>
    </row>
    <row r="21" spans="1:8" ht="29.1" customHeight="1" x14ac:dyDescent="0.2">
      <c r="A21" s="3">
        <v>15</v>
      </c>
      <c r="B21" s="4" t="s">
        <v>83</v>
      </c>
      <c r="C21" s="4" t="s">
        <v>84</v>
      </c>
      <c r="D21" s="4" t="s">
        <v>25</v>
      </c>
      <c r="E21" s="5">
        <v>11002</v>
      </c>
      <c r="F21" s="6">
        <v>58.635159000000002</v>
      </c>
      <c r="G21" s="7">
        <v>1.0320434E-2</v>
      </c>
      <c r="H21" s="106"/>
    </row>
    <row r="22" spans="1:8" ht="29.1" customHeight="1" x14ac:dyDescent="0.2">
      <c r="A22" s="3">
        <v>16</v>
      </c>
      <c r="B22" s="4" t="s">
        <v>23</v>
      </c>
      <c r="C22" s="4" t="s">
        <v>24</v>
      </c>
      <c r="D22" s="4" t="s">
        <v>25</v>
      </c>
      <c r="E22" s="5">
        <v>872</v>
      </c>
      <c r="F22" s="6">
        <v>58.554364</v>
      </c>
      <c r="G22" s="7">
        <v>1.0306213E-2</v>
      </c>
      <c r="H22" s="106"/>
    </row>
    <row r="23" spans="1:8" ht="29.1" customHeight="1" x14ac:dyDescent="0.2">
      <c r="A23" s="3">
        <v>17</v>
      </c>
      <c r="B23" s="4" t="s">
        <v>667</v>
      </c>
      <c r="C23" s="4" t="s">
        <v>668</v>
      </c>
      <c r="D23" s="4" t="s">
        <v>230</v>
      </c>
      <c r="E23" s="5">
        <v>7897</v>
      </c>
      <c r="F23" s="6">
        <v>58.532564000000001</v>
      </c>
      <c r="G23" s="7">
        <v>1.0302376E-2</v>
      </c>
      <c r="H23" s="106"/>
    </row>
    <row r="24" spans="1:8" ht="17.100000000000001" customHeight="1" x14ac:dyDescent="0.2">
      <c r="A24" s="3">
        <v>18</v>
      </c>
      <c r="B24" s="4" t="s">
        <v>26</v>
      </c>
      <c r="C24" s="4" t="s">
        <v>27</v>
      </c>
      <c r="D24" s="4" t="s">
        <v>28</v>
      </c>
      <c r="E24" s="5">
        <v>33797</v>
      </c>
      <c r="F24" s="6">
        <v>58.502606999999998</v>
      </c>
      <c r="G24" s="7">
        <v>1.0297103E-2</v>
      </c>
      <c r="H24" s="106"/>
    </row>
    <row r="25" spans="1:8" ht="17.100000000000001" customHeight="1" x14ac:dyDescent="0.2">
      <c r="A25" s="3">
        <v>19</v>
      </c>
      <c r="B25" s="4" t="s">
        <v>68</v>
      </c>
      <c r="C25" s="4" t="s">
        <v>69</v>
      </c>
      <c r="D25" s="4" t="s">
        <v>70</v>
      </c>
      <c r="E25" s="5">
        <v>614</v>
      </c>
      <c r="F25" s="6">
        <v>58.499464000000003</v>
      </c>
      <c r="G25" s="7">
        <v>1.029655E-2</v>
      </c>
      <c r="H25" s="106"/>
    </row>
    <row r="26" spans="1:8" ht="17.100000000000001" customHeight="1" x14ac:dyDescent="0.2">
      <c r="A26" s="3">
        <v>20</v>
      </c>
      <c r="B26" s="4" t="s">
        <v>113</v>
      </c>
      <c r="C26" s="4" t="s">
        <v>114</v>
      </c>
      <c r="D26" s="4" t="s">
        <v>115</v>
      </c>
      <c r="E26" s="5">
        <v>14400</v>
      </c>
      <c r="F26" s="6">
        <v>58.413600000000002</v>
      </c>
      <c r="G26" s="7">
        <v>1.0281436999999999E-2</v>
      </c>
      <c r="H26" s="106"/>
    </row>
    <row r="27" spans="1:8" ht="29.1" customHeight="1" x14ac:dyDescent="0.2">
      <c r="A27" s="3">
        <v>21</v>
      </c>
      <c r="B27" s="4" t="s">
        <v>669</v>
      </c>
      <c r="C27" s="4" t="s">
        <v>670</v>
      </c>
      <c r="D27" s="4" t="s">
        <v>209</v>
      </c>
      <c r="E27" s="5">
        <v>7932</v>
      </c>
      <c r="F27" s="6">
        <v>57.919463999999998</v>
      </c>
      <c r="G27" s="7">
        <v>1.0194464E-2</v>
      </c>
      <c r="H27" s="106"/>
    </row>
    <row r="28" spans="1:8" ht="17.100000000000001" customHeight="1" x14ac:dyDescent="0.2">
      <c r="A28" s="3">
        <v>22</v>
      </c>
      <c r="B28" s="4" t="s">
        <v>581</v>
      </c>
      <c r="C28" s="4" t="s">
        <v>582</v>
      </c>
      <c r="D28" s="4" t="s">
        <v>70</v>
      </c>
      <c r="E28" s="5">
        <v>1504</v>
      </c>
      <c r="F28" s="6">
        <v>57.910767999999997</v>
      </c>
      <c r="G28" s="7">
        <v>1.0192933E-2</v>
      </c>
      <c r="H28" s="106"/>
    </row>
    <row r="29" spans="1:8" ht="29.1" customHeight="1" x14ac:dyDescent="0.2">
      <c r="A29" s="3">
        <v>23</v>
      </c>
      <c r="B29" s="4" t="s">
        <v>207</v>
      </c>
      <c r="C29" s="4" t="s">
        <v>208</v>
      </c>
      <c r="D29" s="4" t="s">
        <v>209</v>
      </c>
      <c r="E29" s="5">
        <v>1782</v>
      </c>
      <c r="F29" s="6">
        <v>57.771549</v>
      </c>
      <c r="G29" s="7">
        <v>1.0168429E-2</v>
      </c>
      <c r="H29" s="106"/>
    </row>
    <row r="30" spans="1:8" ht="29.1" customHeight="1" x14ac:dyDescent="0.2">
      <c r="A30" s="3">
        <v>24</v>
      </c>
      <c r="B30" s="4" t="s">
        <v>298</v>
      </c>
      <c r="C30" s="4" t="s">
        <v>299</v>
      </c>
      <c r="D30" s="4" t="s">
        <v>99</v>
      </c>
      <c r="E30" s="5">
        <v>2339</v>
      </c>
      <c r="F30" s="6">
        <v>57.768622000000001</v>
      </c>
      <c r="G30" s="7">
        <v>1.0167914E-2</v>
      </c>
      <c r="H30" s="106"/>
    </row>
    <row r="31" spans="1:8" ht="29.1" customHeight="1" x14ac:dyDescent="0.2">
      <c r="A31" s="3">
        <v>25</v>
      </c>
      <c r="B31" s="4" t="s">
        <v>85</v>
      </c>
      <c r="C31" s="4" t="s">
        <v>86</v>
      </c>
      <c r="D31" s="4" t="s">
        <v>25</v>
      </c>
      <c r="E31" s="5">
        <v>254</v>
      </c>
      <c r="F31" s="6">
        <v>57.760869999999997</v>
      </c>
      <c r="G31" s="7">
        <v>1.0166549E-2</v>
      </c>
      <c r="H31" s="106"/>
    </row>
    <row r="32" spans="1:8" ht="17.100000000000001" customHeight="1" x14ac:dyDescent="0.2">
      <c r="A32" s="3">
        <v>26</v>
      </c>
      <c r="B32" s="4" t="s">
        <v>73</v>
      </c>
      <c r="C32" s="4" t="s">
        <v>74</v>
      </c>
      <c r="D32" s="4" t="s">
        <v>36</v>
      </c>
      <c r="E32" s="5">
        <v>1974</v>
      </c>
      <c r="F32" s="6">
        <v>57.751344000000003</v>
      </c>
      <c r="G32" s="7">
        <v>1.0164873E-2</v>
      </c>
      <c r="H32" s="106"/>
    </row>
    <row r="33" spans="1:8" ht="29.1" customHeight="1" x14ac:dyDescent="0.2">
      <c r="A33" s="3">
        <v>27</v>
      </c>
      <c r="B33" s="4" t="s">
        <v>671</v>
      </c>
      <c r="C33" s="4" t="s">
        <v>672</v>
      </c>
      <c r="D33" s="4" t="s">
        <v>204</v>
      </c>
      <c r="E33" s="5">
        <v>3494</v>
      </c>
      <c r="F33" s="6">
        <v>57.651000000000003</v>
      </c>
      <c r="G33" s="7">
        <v>1.0147211E-2</v>
      </c>
      <c r="H33" s="106"/>
    </row>
    <row r="34" spans="1:8" ht="17.100000000000001" customHeight="1" x14ac:dyDescent="0.2">
      <c r="A34" s="3">
        <v>28</v>
      </c>
      <c r="B34" s="4" t="s">
        <v>673</v>
      </c>
      <c r="C34" s="4" t="s">
        <v>674</v>
      </c>
      <c r="D34" s="4" t="s">
        <v>182</v>
      </c>
      <c r="E34" s="5">
        <v>91240</v>
      </c>
      <c r="F34" s="6">
        <v>57.57244</v>
      </c>
      <c r="G34" s="7">
        <v>1.0133384E-2</v>
      </c>
      <c r="H34" s="106"/>
    </row>
    <row r="35" spans="1:8" ht="17.100000000000001" customHeight="1" x14ac:dyDescent="0.2">
      <c r="A35" s="3">
        <v>29</v>
      </c>
      <c r="B35" s="4" t="s">
        <v>611</v>
      </c>
      <c r="C35" s="4" t="s">
        <v>612</v>
      </c>
      <c r="D35" s="4" t="s">
        <v>613</v>
      </c>
      <c r="E35" s="5">
        <v>20492</v>
      </c>
      <c r="F35" s="6">
        <v>57.541536000000001</v>
      </c>
      <c r="G35" s="7">
        <v>1.0127944E-2</v>
      </c>
      <c r="H35" s="106"/>
    </row>
    <row r="36" spans="1:8" ht="17.100000000000001" customHeight="1" x14ac:dyDescent="0.2">
      <c r="A36" s="3">
        <v>30</v>
      </c>
      <c r="B36" s="4" t="s">
        <v>118</v>
      </c>
      <c r="C36" s="4" t="s">
        <v>119</v>
      </c>
      <c r="D36" s="4" t="s">
        <v>120</v>
      </c>
      <c r="E36" s="5">
        <v>42842</v>
      </c>
      <c r="F36" s="6">
        <v>57.429701000000001</v>
      </c>
      <c r="G36" s="7">
        <v>1.0108260000000001E-2</v>
      </c>
      <c r="H36" s="106"/>
    </row>
    <row r="37" spans="1:8" ht="17.100000000000001" customHeight="1" x14ac:dyDescent="0.2">
      <c r="A37" s="3">
        <v>31</v>
      </c>
      <c r="B37" s="4" t="s">
        <v>42</v>
      </c>
      <c r="C37" s="4" t="s">
        <v>43</v>
      </c>
      <c r="D37" s="4" t="s">
        <v>16</v>
      </c>
      <c r="E37" s="5">
        <v>10007</v>
      </c>
      <c r="F37" s="6">
        <v>57.420166000000002</v>
      </c>
      <c r="G37" s="7">
        <v>1.0106581999999999E-2</v>
      </c>
      <c r="H37" s="106"/>
    </row>
    <row r="38" spans="1:8" ht="17.100000000000001" customHeight="1" x14ac:dyDescent="0.2">
      <c r="A38" s="3">
        <v>32</v>
      </c>
      <c r="B38" s="4" t="s">
        <v>371</v>
      </c>
      <c r="C38" s="4" t="s">
        <v>372</v>
      </c>
      <c r="D38" s="4" t="s">
        <v>110</v>
      </c>
      <c r="E38" s="5">
        <v>2074</v>
      </c>
      <c r="F38" s="6">
        <v>57.273510000000002</v>
      </c>
      <c r="G38" s="7">
        <v>1.0080769E-2</v>
      </c>
      <c r="H38" s="106"/>
    </row>
    <row r="39" spans="1:8" ht="29.1" customHeight="1" x14ac:dyDescent="0.2">
      <c r="A39" s="3">
        <v>33</v>
      </c>
      <c r="B39" s="4" t="s">
        <v>65</v>
      </c>
      <c r="C39" s="4" t="s">
        <v>66</v>
      </c>
      <c r="D39" s="4" t="s">
        <v>67</v>
      </c>
      <c r="E39" s="5">
        <v>53572</v>
      </c>
      <c r="F39" s="6">
        <v>57.241681999999997</v>
      </c>
      <c r="G39" s="7">
        <v>1.0075166999999999E-2</v>
      </c>
      <c r="H39" s="106"/>
    </row>
    <row r="40" spans="1:8" ht="17.100000000000001" customHeight="1" x14ac:dyDescent="0.2">
      <c r="A40" s="3">
        <v>34</v>
      </c>
      <c r="B40" s="4" t="s">
        <v>210</v>
      </c>
      <c r="C40" s="4" t="s">
        <v>211</v>
      </c>
      <c r="D40" s="4" t="s">
        <v>212</v>
      </c>
      <c r="E40" s="5">
        <v>1265</v>
      </c>
      <c r="F40" s="6">
        <v>57.146374999999999</v>
      </c>
      <c r="G40" s="7">
        <v>1.0058391999999999E-2</v>
      </c>
      <c r="H40" s="106"/>
    </row>
    <row r="41" spans="1:8" ht="17.100000000000001" customHeight="1" x14ac:dyDescent="0.2">
      <c r="A41" s="3">
        <v>35</v>
      </c>
      <c r="B41" s="4" t="s">
        <v>20</v>
      </c>
      <c r="C41" s="4" t="s">
        <v>21</v>
      </c>
      <c r="D41" s="4" t="s">
        <v>22</v>
      </c>
      <c r="E41" s="5">
        <v>2240</v>
      </c>
      <c r="F41" s="6">
        <v>57.111040000000003</v>
      </c>
      <c r="G41" s="7">
        <v>1.0052172E-2</v>
      </c>
      <c r="H41" s="106"/>
    </row>
    <row r="42" spans="1:8" ht="17.100000000000001" customHeight="1" x14ac:dyDescent="0.2">
      <c r="A42" s="3">
        <v>36</v>
      </c>
      <c r="B42" s="4" t="s">
        <v>675</v>
      </c>
      <c r="C42" s="4" t="s">
        <v>676</v>
      </c>
      <c r="D42" s="4" t="s">
        <v>219</v>
      </c>
      <c r="E42" s="5">
        <v>1582</v>
      </c>
      <c r="F42" s="6">
        <v>56.997087000000001</v>
      </c>
      <c r="G42" s="7">
        <v>1.0032114999999999E-2</v>
      </c>
      <c r="H42" s="106"/>
    </row>
    <row r="43" spans="1:8" ht="29.1" customHeight="1" x14ac:dyDescent="0.2">
      <c r="A43" s="3">
        <v>37</v>
      </c>
      <c r="B43" s="4" t="s">
        <v>491</v>
      </c>
      <c r="C43" s="4" t="s">
        <v>492</v>
      </c>
      <c r="D43" s="4" t="s">
        <v>204</v>
      </c>
      <c r="E43" s="5">
        <v>4882</v>
      </c>
      <c r="F43" s="6">
        <v>56.992468000000002</v>
      </c>
      <c r="G43" s="7">
        <v>1.0031302000000001E-2</v>
      </c>
      <c r="H43" s="106"/>
    </row>
    <row r="44" spans="1:8" ht="17.100000000000001" customHeight="1" x14ac:dyDescent="0.2">
      <c r="A44" s="3">
        <v>38</v>
      </c>
      <c r="B44" s="4" t="s">
        <v>14</v>
      </c>
      <c r="C44" s="4" t="s">
        <v>15</v>
      </c>
      <c r="D44" s="4" t="s">
        <v>16</v>
      </c>
      <c r="E44" s="5">
        <v>6263</v>
      </c>
      <c r="F44" s="6">
        <v>56.911881000000001</v>
      </c>
      <c r="G44" s="7">
        <v>1.0017118E-2</v>
      </c>
      <c r="H44" s="106"/>
    </row>
    <row r="45" spans="1:8" ht="17.100000000000001" customHeight="1" x14ac:dyDescent="0.2">
      <c r="A45" s="3">
        <v>39</v>
      </c>
      <c r="B45" s="4" t="s">
        <v>306</v>
      </c>
      <c r="C45" s="4" t="s">
        <v>307</v>
      </c>
      <c r="D45" s="4" t="s">
        <v>1114</v>
      </c>
      <c r="E45" s="5">
        <v>1782</v>
      </c>
      <c r="F45" s="6">
        <v>56.901933</v>
      </c>
      <c r="G45" s="7">
        <v>1.0015367000000001E-2</v>
      </c>
      <c r="H45" s="106"/>
    </row>
    <row r="46" spans="1:8" ht="17.100000000000001" customHeight="1" x14ac:dyDescent="0.2">
      <c r="A46" s="3">
        <v>40</v>
      </c>
      <c r="B46" s="4" t="s">
        <v>677</v>
      </c>
      <c r="C46" s="4" t="s">
        <v>678</v>
      </c>
      <c r="D46" s="4" t="s">
        <v>237</v>
      </c>
      <c r="E46" s="5">
        <v>8431</v>
      </c>
      <c r="F46" s="6">
        <v>56.820724499999997</v>
      </c>
      <c r="G46" s="7">
        <v>1.0001072999999999E-2</v>
      </c>
      <c r="H46" s="106"/>
    </row>
    <row r="47" spans="1:8" ht="29.1" customHeight="1" x14ac:dyDescent="0.2">
      <c r="A47" s="3">
        <v>41</v>
      </c>
      <c r="B47" s="4" t="s">
        <v>679</v>
      </c>
      <c r="C47" s="4" t="s">
        <v>680</v>
      </c>
      <c r="D47" s="4" t="s">
        <v>204</v>
      </c>
      <c r="E47" s="5">
        <v>1280</v>
      </c>
      <c r="F47" s="6">
        <v>56.751359999999998</v>
      </c>
      <c r="G47" s="7">
        <v>9.9888649999999995E-3</v>
      </c>
      <c r="H47" s="106"/>
    </row>
    <row r="48" spans="1:8" ht="17.100000000000001" customHeight="1" x14ac:dyDescent="0.2">
      <c r="A48" s="3">
        <v>42</v>
      </c>
      <c r="B48" s="4" t="s">
        <v>264</v>
      </c>
      <c r="C48" s="4" t="s">
        <v>265</v>
      </c>
      <c r="D48" s="4" t="s">
        <v>16</v>
      </c>
      <c r="E48" s="5">
        <v>3783</v>
      </c>
      <c r="F48" s="6">
        <v>56.620161000000003</v>
      </c>
      <c r="G48" s="7">
        <v>9.9657719999999995E-3</v>
      </c>
      <c r="H48" s="106"/>
    </row>
    <row r="49" spans="1:8" ht="17.100000000000001" customHeight="1" x14ac:dyDescent="0.2">
      <c r="A49" s="3">
        <v>43</v>
      </c>
      <c r="B49" s="4" t="s">
        <v>681</v>
      </c>
      <c r="C49" s="4" t="s">
        <v>682</v>
      </c>
      <c r="D49" s="4" t="s">
        <v>1114</v>
      </c>
      <c r="E49" s="5">
        <v>1194</v>
      </c>
      <c r="F49" s="6">
        <v>56.593809</v>
      </c>
      <c r="G49" s="7">
        <v>9.961134E-3</v>
      </c>
      <c r="H49" s="106"/>
    </row>
    <row r="50" spans="1:8" ht="17.100000000000001" customHeight="1" x14ac:dyDescent="0.2">
      <c r="A50" s="3">
        <v>44</v>
      </c>
      <c r="B50" s="4" t="s">
        <v>683</v>
      </c>
      <c r="C50" s="4" t="s">
        <v>684</v>
      </c>
      <c r="D50" s="4" t="s">
        <v>219</v>
      </c>
      <c r="E50" s="5">
        <v>61957</v>
      </c>
      <c r="F50" s="6">
        <v>56.566741</v>
      </c>
      <c r="G50" s="7">
        <v>9.9563700000000008E-3</v>
      </c>
      <c r="H50" s="106"/>
    </row>
    <row r="51" spans="1:8" ht="17.100000000000001" customHeight="1" x14ac:dyDescent="0.2">
      <c r="A51" s="3">
        <v>45</v>
      </c>
      <c r="B51" s="4" t="s">
        <v>335</v>
      </c>
      <c r="C51" s="4" t="s">
        <v>336</v>
      </c>
      <c r="D51" s="4" t="s">
        <v>16</v>
      </c>
      <c r="E51" s="5">
        <v>2973</v>
      </c>
      <c r="F51" s="6">
        <v>56.544973499999998</v>
      </c>
      <c r="G51" s="7">
        <v>9.9525380000000004E-3</v>
      </c>
      <c r="H51" s="106"/>
    </row>
    <row r="52" spans="1:8" ht="17.100000000000001" customHeight="1" x14ac:dyDescent="0.2">
      <c r="A52" s="3">
        <v>46</v>
      </c>
      <c r="B52" s="4" t="s">
        <v>685</v>
      </c>
      <c r="C52" s="4" t="s">
        <v>686</v>
      </c>
      <c r="D52" s="4" t="s">
        <v>89</v>
      </c>
      <c r="E52" s="5">
        <v>341</v>
      </c>
      <c r="F52" s="6">
        <v>56.226126000000001</v>
      </c>
      <c r="G52" s="7">
        <v>9.8964180000000006E-3</v>
      </c>
      <c r="H52" s="106"/>
    </row>
    <row r="53" spans="1:8" ht="17.100000000000001" customHeight="1" x14ac:dyDescent="0.2">
      <c r="A53" s="3">
        <v>47</v>
      </c>
      <c r="B53" s="4" t="s">
        <v>315</v>
      </c>
      <c r="C53" s="4" t="s">
        <v>316</v>
      </c>
      <c r="D53" s="4" t="s">
        <v>310</v>
      </c>
      <c r="E53" s="5">
        <v>16115</v>
      </c>
      <c r="F53" s="6">
        <v>56.193004999999999</v>
      </c>
      <c r="G53" s="7">
        <v>9.8905880000000005E-3</v>
      </c>
      <c r="H53" s="106"/>
    </row>
    <row r="54" spans="1:8" ht="17.100000000000001" customHeight="1" x14ac:dyDescent="0.2">
      <c r="A54" s="3">
        <v>48</v>
      </c>
      <c r="B54" s="4" t="s">
        <v>605</v>
      </c>
      <c r="C54" s="4" t="s">
        <v>606</v>
      </c>
      <c r="D54" s="4" t="s">
        <v>185</v>
      </c>
      <c r="E54" s="5">
        <v>6253</v>
      </c>
      <c r="F54" s="6">
        <v>56.048765500000002</v>
      </c>
      <c r="G54" s="7">
        <v>9.8651999999999993E-3</v>
      </c>
      <c r="H54" s="106"/>
    </row>
    <row r="55" spans="1:8" ht="17.100000000000001" customHeight="1" x14ac:dyDescent="0.2">
      <c r="A55" s="3">
        <v>49</v>
      </c>
      <c r="B55" s="4" t="s">
        <v>341</v>
      </c>
      <c r="C55" s="4" t="s">
        <v>342</v>
      </c>
      <c r="D55" s="4" t="s">
        <v>237</v>
      </c>
      <c r="E55" s="5">
        <v>55031</v>
      </c>
      <c r="F55" s="6">
        <v>55.8839805</v>
      </c>
      <c r="G55" s="7">
        <v>9.8361960000000002E-3</v>
      </c>
      <c r="H55" s="106"/>
    </row>
    <row r="56" spans="1:8" ht="17.100000000000001" customHeight="1" x14ac:dyDescent="0.2">
      <c r="A56" s="3">
        <v>50</v>
      </c>
      <c r="B56" s="4" t="s">
        <v>331</v>
      </c>
      <c r="C56" s="4" t="s">
        <v>332</v>
      </c>
      <c r="D56" s="4" t="s">
        <v>1114</v>
      </c>
      <c r="E56" s="5">
        <v>5251</v>
      </c>
      <c r="F56" s="6">
        <v>55.839134000000001</v>
      </c>
      <c r="G56" s="7">
        <v>9.828303E-3</v>
      </c>
      <c r="H56" s="106"/>
    </row>
    <row r="57" spans="1:8" ht="17.100000000000001" customHeight="1" x14ac:dyDescent="0.2">
      <c r="A57" s="3">
        <v>51</v>
      </c>
      <c r="B57" s="4" t="s">
        <v>358</v>
      </c>
      <c r="C57" s="4" t="s">
        <v>359</v>
      </c>
      <c r="D57" s="4" t="s">
        <v>70</v>
      </c>
      <c r="E57" s="5">
        <v>13469</v>
      </c>
      <c r="F57" s="6">
        <v>55.593297499999998</v>
      </c>
      <c r="G57" s="7">
        <v>9.7850330000000003E-3</v>
      </c>
      <c r="H57" s="106"/>
    </row>
    <row r="58" spans="1:8" ht="17.100000000000001" customHeight="1" x14ac:dyDescent="0.2">
      <c r="A58" s="3">
        <v>52</v>
      </c>
      <c r="B58" s="4" t="s">
        <v>687</v>
      </c>
      <c r="C58" s="4" t="s">
        <v>688</v>
      </c>
      <c r="D58" s="4" t="s">
        <v>283</v>
      </c>
      <c r="E58" s="5">
        <v>3405</v>
      </c>
      <c r="F58" s="6">
        <v>55.561087499999999</v>
      </c>
      <c r="G58" s="7">
        <v>9.7793629999999993E-3</v>
      </c>
      <c r="H58" s="106"/>
    </row>
    <row r="59" spans="1:8" ht="29.1" customHeight="1" x14ac:dyDescent="0.2">
      <c r="A59" s="3">
        <v>53</v>
      </c>
      <c r="B59" s="4" t="s">
        <v>186</v>
      </c>
      <c r="C59" s="4" t="s">
        <v>187</v>
      </c>
      <c r="D59" s="4" t="s">
        <v>188</v>
      </c>
      <c r="E59" s="5">
        <v>2171</v>
      </c>
      <c r="F59" s="6">
        <v>55.548291499999998</v>
      </c>
      <c r="G59" s="7">
        <v>9.7771109999999998E-3</v>
      </c>
      <c r="H59" s="106"/>
    </row>
    <row r="60" spans="1:8" ht="17.100000000000001" customHeight="1" x14ac:dyDescent="0.2">
      <c r="A60" s="3">
        <v>54</v>
      </c>
      <c r="B60" s="4" t="s">
        <v>616</v>
      </c>
      <c r="C60" s="4" t="s">
        <v>617</v>
      </c>
      <c r="D60" s="4" t="s">
        <v>245</v>
      </c>
      <c r="E60" s="5">
        <v>10276</v>
      </c>
      <c r="F60" s="6">
        <v>55.536642000000001</v>
      </c>
      <c r="G60" s="7">
        <v>9.7750609999999998E-3</v>
      </c>
      <c r="H60" s="106"/>
    </row>
    <row r="61" spans="1:8" ht="17.100000000000001" customHeight="1" x14ac:dyDescent="0.2">
      <c r="A61" s="3">
        <v>55</v>
      </c>
      <c r="B61" s="4" t="s">
        <v>52</v>
      </c>
      <c r="C61" s="4" t="s">
        <v>53</v>
      </c>
      <c r="D61" s="4" t="s">
        <v>28</v>
      </c>
      <c r="E61" s="5">
        <v>24569</v>
      </c>
      <c r="F61" s="6">
        <v>55.525939999999999</v>
      </c>
      <c r="G61" s="7">
        <v>9.7731769999999992E-3</v>
      </c>
      <c r="H61" s="106"/>
    </row>
    <row r="62" spans="1:8" ht="17.100000000000001" customHeight="1" x14ac:dyDescent="0.2">
      <c r="A62" s="3">
        <v>56</v>
      </c>
      <c r="B62" s="4" t="s">
        <v>579</v>
      </c>
      <c r="C62" s="4" t="s">
        <v>580</v>
      </c>
      <c r="D62" s="4" t="s">
        <v>70</v>
      </c>
      <c r="E62" s="5">
        <v>1509</v>
      </c>
      <c r="F62" s="6">
        <v>55.408216500000002</v>
      </c>
      <c r="G62" s="7">
        <v>9.7524559999999996E-3</v>
      </c>
      <c r="H62" s="106"/>
    </row>
    <row r="63" spans="1:8" ht="29.1" customHeight="1" x14ac:dyDescent="0.2">
      <c r="A63" s="3">
        <v>57</v>
      </c>
      <c r="B63" s="4" t="s">
        <v>689</v>
      </c>
      <c r="C63" s="4" t="s">
        <v>690</v>
      </c>
      <c r="D63" s="4" t="s">
        <v>25</v>
      </c>
      <c r="E63" s="5">
        <v>3212</v>
      </c>
      <c r="F63" s="6">
        <v>55.301003999999999</v>
      </c>
      <c r="G63" s="7">
        <v>9.7335860000000007E-3</v>
      </c>
      <c r="H63" s="106"/>
    </row>
    <row r="64" spans="1:8" ht="29.1" customHeight="1" x14ac:dyDescent="0.2">
      <c r="A64" s="3">
        <v>58</v>
      </c>
      <c r="B64" s="4" t="s">
        <v>691</v>
      </c>
      <c r="C64" s="4" t="s">
        <v>692</v>
      </c>
      <c r="D64" s="4" t="s">
        <v>25</v>
      </c>
      <c r="E64" s="5">
        <v>2303</v>
      </c>
      <c r="F64" s="6">
        <v>55.048608999999999</v>
      </c>
      <c r="G64" s="7">
        <v>9.6891619999999994E-3</v>
      </c>
      <c r="H64" s="106"/>
    </row>
    <row r="65" spans="1:8" ht="17.100000000000001" customHeight="1" x14ac:dyDescent="0.2">
      <c r="A65" s="3">
        <v>59</v>
      </c>
      <c r="B65" s="4" t="s">
        <v>693</v>
      </c>
      <c r="C65" s="4" t="s">
        <v>694</v>
      </c>
      <c r="D65" s="4" t="s">
        <v>99</v>
      </c>
      <c r="E65" s="5">
        <v>5268</v>
      </c>
      <c r="F65" s="6">
        <v>54.968946000000003</v>
      </c>
      <c r="G65" s="7">
        <v>9.6751400000000005E-3</v>
      </c>
      <c r="H65" s="106"/>
    </row>
    <row r="66" spans="1:8" ht="17.100000000000001" customHeight="1" x14ac:dyDescent="0.2">
      <c r="A66" s="3">
        <v>60</v>
      </c>
      <c r="B66" s="4" t="s">
        <v>695</v>
      </c>
      <c r="C66" s="4" t="s">
        <v>696</v>
      </c>
      <c r="D66" s="4" t="s">
        <v>22</v>
      </c>
      <c r="E66" s="5">
        <v>80414</v>
      </c>
      <c r="F66" s="6">
        <v>54.882555000000004</v>
      </c>
      <c r="G66" s="7">
        <v>9.6599340000000002E-3</v>
      </c>
      <c r="H66" s="106"/>
    </row>
    <row r="67" spans="1:8" ht="17.100000000000001" customHeight="1" x14ac:dyDescent="0.2">
      <c r="A67" s="3">
        <v>61</v>
      </c>
      <c r="B67" s="4" t="s">
        <v>300</v>
      </c>
      <c r="C67" s="4" t="s">
        <v>301</v>
      </c>
      <c r="D67" s="4" t="s">
        <v>245</v>
      </c>
      <c r="E67" s="5">
        <v>4328</v>
      </c>
      <c r="F67" s="6">
        <v>54.790315999999997</v>
      </c>
      <c r="G67" s="7">
        <v>9.6436990000000004E-3</v>
      </c>
      <c r="H67" s="106"/>
    </row>
    <row r="68" spans="1:8" ht="17.100000000000001" customHeight="1" x14ac:dyDescent="0.2">
      <c r="A68" s="3">
        <v>62</v>
      </c>
      <c r="B68" s="4" t="s">
        <v>697</v>
      </c>
      <c r="C68" s="4" t="s">
        <v>698</v>
      </c>
      <c r="D68" s="4" t="s">
        <v>70</v>
      </c>
      <c r="E68" s="5">
        <v>2045</v>
      </c>
      <c r="F68" s="6">
        <v>54.7415825</v>
      </c>
      <c r="G68" s="7">
        <v>9.6351219999999994E-3</v>
      </c>
      <c r="H68" s="106"/>
    </row>
    <row r="69" spans="1:8" ht="29.1" customHeight="1" x14ac:dyDescent="0.2">
      <c r="A69" s="3">
        <v>63</v>
      </c>
      <c r="B69" s="4" t="s">
        <v>614</v>
      </c>
      <c r="C69" s="4" t="s">
        <v>615</v>
      </c>
      <c r="D69" s="4" t="s">
        <v>245</v>
      </c>
      <c r="E69" s="5">
        <v>4648</v>
      </c>
      <c r="F69" s="6">
        <v>54.379275999999997</v>
      </c>
      <c r="G69" s="7">
        <v>9.571352E-3</v>
      </c>
      <c r="H69" s="106"/>
    </row>
    <row r="70" spans="1:8" ht="17.100000000000001" customHeight="1" x14ac:dyDescent="0.2">
      <c r="A70" s="3">
        <v>64</v>
      </c>
      <c r="B70" s="4" t="s">
        <v>699</v>
      </c>
      <c r="C70" s="4" t="s">
        <v>700</v>
      </c>
      <c r="D70" s="4" t="s">
        <v>182</v>
      </c>
      <c r="E70" s="5">
        <v>1385</v>
      </c>
      <c r="F70" s="6">
        <v>54.315545</v>
      </c>
      <c r="G70" s="7">
        <v>9.5601339999999996E-3</v>
      </c>
      <c r="H70" s="106"/>
    </row>
    <row r="71" spans="1:8" ht="17.100000000000001" customHeight="1" x14ac:dyDescent="0.2">
      <c r="A71" s="3">
        <v>65</v>
      </c>
      <c r="B71" s="4" t="s">
        <v>258</v>
      </c>
      <c r="C71" s="4" t="s">
        <v>259</v>
      </c>
      <c r="D71" s="4" t="s">
        <v>99</v>
      </c>
      <c r="E71" s="5">
        <v>3208</v>
      </c>
      <c r="F71" s="6">
        <v>54.134999999999998</v>
      </c>
      <c r="G71" s="7">
        <v>9.528356E-3</v>
      </c>
      <c r="H71" s="106"/>
    </row>
    <row r="72" spans="1:8" ht="17.100000000000001" customHeight="1" x14ac:dyDescent="0.2">
      <c r="A72" s="3">
        <v>66</v>
      </c>
      <c r="B72" s="4" t="s">
        <v>354</v>
      </c>
      <c r="C72" s="4" t="s">
        <v>355</v>
      </c>
      <c r="D72" s="4" t="s">
        <v>182</v>
      </c>
      <c r="E72" s="5">
        <v>1245</v>
      </c>
      <c r="F72" s="6">
        <v>53.795205000000003</v>
      </c>
      <c r="G72" s="7">
        <v>9.4685489999999997E-3</v>
      </c>
      <c r="H72" s="106"/>
    </row>
    <row r="73" spans="1:8" ht="17.100000000000001" customHeight="1" x14ac:dyDescent="0.2">
      <c r="A73" s="3">
        <v>67</v>
      </c>
      <c r="B73" s="4" t="s">
        <v>701</v>
      </c>
      <c r="C73" s="4" t="s">
        <v>702</v>
      </c>
      <c r="D73" s="4" t="s">
        <v>28</v>
      </c>
      <c r="E73" s="5">
        <v>2554</v>
      </c>
      <c r="F73" s="6">
        <v>53.708066000000002</v>
      </c>
      <c r="G73" s="7">
        <v>9.4532109999999996E-3</v>
      </c>
      <c r="H73" s="106"/>
    </row>
    <row r="74" spans="1:8" ht="17.100000000000001" customHeight="1" x14ac:dyDescent="0.2">
      <c r="A74" s="3">
        <v>68</v>
      </c>
      <c r="B74" s="4" t="s">
        <v>703</v>
      </c>
      <c r="C74" s="4" t="s">
        <v>704</v>
      </c>
      <c r="D74" s="4" t="s">
        <v>99</v>
      </c>
      <c r="E74" s="5">
        <v>805</v>
      </c>
      <c r="F74" s="6">
        <v>53.617829999999998</v>
      </c>
      <c r="G74" s="7">
        <v>9.4373289999999995E-3</v>
      </c>
      <c r="H74" s="106"/>
    </row>
    <row r="75" spans="1:8" ht="29.1" customHeight="1" x14ac:dyDescent="0.2">
      <c r="A75" s="3">
        <v>69</v>
      </c>
      <c r="B75" s="4" t="s">
        <v>60</v>
      </c>
      <c r="C75" s="4" t="s">
        <v>61</v>
      </c>
      <c r="D75" s="4" t="s">
        <v>62</v>
      </c>
      <c r="E75" s="5">
        <v>6474</v>
      </c>
      <c r="F75" s="6">
        <v>53.316626999999997</v>
      </c>
      <c r="G75" s="7">
        <v>9.3843139999999995E-3</v>
      </c>
      <c r="H75" s="106"/>
    </row>
    <row r="76" spans="1:8" ht="17.100000000000001" customHeight="1" x14ac:dyDescent="0.2">
      <c r="A76" s="3">
        <v>70</v>
      </c>
      <c r="B76" s="4" t="s">
        <v>705</v>
      </c>
      <c r="C76" s="4" t="s">
        <v>706</v>
      </c>
      <c r="D76" s="4" t="s">
        <v>283</v>
      </c>
      <c r="E76" s="5">
        <v>9606</v>
      </c>
      <c r="F76" s="6">
        <v>53.284481999999997</v>
      </c>
      <c r="G76" s="7">
        <v>9.3786560000000008E-3</v>
      </c>
      <c r="H76" s="106"/>
    </row>
    <row r="77" spans="1:8" ht="17.100000000000001" customHeight="1" x14ac:dyDescent="0.2">
      <c r="A77" s="3">
        <v>71</v>
      </c>
      <c r="B77" s="4" t="s">
        <v>348</v>
      </c>
      <c r="C77" s="4" t="s">
        <v>349</v>
      </c>
      <c r="D77" s="4" t="s">
        <v>99</v>
      </c>
      <c r="E77" s="5">
        <v>745</v>
      </c>
      <c r="F77" s="6">
        <v>53.223545000000001</v>
      </c>
      <c r="G77" s="7">
        <v>9.36793E-3</v>
      </c>
      <c r="H77" s="106"/>
    </row>
    <row r="78" spans="1:8" ht="29.1" customHeight="1" x14ac:dyDescent="0.2">
      <c r="A78" s="3">
        <v>72</v>
      </c>
      <c r="B78" s="4" t="s">
        <v>97</v>
      </c>
      <c r="C78" s="4" t="s">
        <v>98</v>
      </c>
      <c r="D78" s="4" t="s">
        <v>99</v>
      </c>
      <c r="E78" s="5">
        <v>7486</v>
      </c>
      <c r="F78" s="6">
        <v>53.101940999999997</v>
      </c>
      <c r="G78" s="7">
        <v>9.3465270000000003E-3</v>
      </c>
      <c r="H78" s="106"/>
    </row>
    <row r="79" spans="1:8" ht="29.1" customHeight="1" x14ac:dyDescent="0.2">
      <c r="A79" s="3">
        <v>73</v>
      </c>
      <c r="B79" s="4" t="s">
        <v>352</v>
      </c>
      <c r="C79" s="4" t="s">
        <v>353</v>
      </c>
      <c r="D79" s="4" t="s">
        <v>204</v>
      </c>
      <c r="E79" s="5">
        <v>1463</v>
      </c>
      <c r="F79" s="6">
        <v>52.798206999999998</v>
      </c>
      <c r="G79" s="7">
        <v>9.2930659999999991E-3</v>
      </c>
      <c r="H79" s="106"/>
    </row>
    <row r="80" spans="1:8" ht="17.100000000000001" customHeight="1" x14ac:dyDescent="0.2">
      <c r="A80" s="3">
        <v>74</v>
      </c>
      <c r="B80" s="4" t="s">
        <v>588</v>
      </c>
      <c r="C80" s="4" t="s">
        <v>589</v>
      </c>
      <c r="D80" s="4" t="s">
        <v>268</v>
      </c>
      <c r="E80" s="5">
        <v>1401</v>
      </c>
      <c r="F80" s="6">
        <v>52.769365499999999</v>
      </c>
      <c r="G80" s="7">
        <v>9.2879899999999994E-3</v>
      </c>
      <c r="H80" s="106"/>
    </row>
    <row r="81" spans="1:8" ht="17.100000000000001" customHeight="1" x14ac:dyDescent="0.2">
      <c r="A81" s="3">
        <v>75</v>
      </c>
      <c r="B81" s="4" t="s">
        <v>339</v>
      </c>
      <c r="C81" s="4" t="s">
        <v>340</v>
      </c>
      <c r="D81" s="4" t="s">
        <v>16</v>
      </c>
      <c r="E81" s="5">
        <v>4602</v>
      </c>
      <c r="F81" s="6">
        <v>52.584752999999999</v>
      </c>
      <c r="G81" s="7">
        <v>9.2554960000000002E-3</v>
      </c>
      <c r="H81" s="106"/>
    </row>
    <row r="82" spans="1:8" ht="17.100000000000001" customHeight="1" x14ac:dyDescent="0.2">
      <c r="A82" s="3">
        <v>76</v>
      </c>
      <c r="B82" s="4" t="s">
        <v>707</v>
      </c>
      <c r="C82" s="4" t="s">
        <v>708</v>
      </c>
      <c r="D82" s="4" t="s">
        <v>19</v>
      </c>
      <c r="E82" s="5">
        <v>28316</v>
      </c>
      <c r="F82" s="6">
        <v>52.526179999999997</v>
      </c>
      <c r="G82" s="7">
        <v>9.2451860000000007E-3</v>
      </c>
      <c r="H82" s="106"/>
    </row>
    <row r="83" spans="1:8" ht="29.1" customHeight="1" x14ac:dyDescent="0.2">
      <c r="A83" s="3">
        <v>77</v>
      </c>
      <c r="B83" s="4" t="s">
        <v>709</v>
      </c>
      <c r="C83" s="4" t="s">
        <v>710</v>
      </c>
      <c r="D83" s="4" t="s">
        <v>283</v>
      </c>
      <c r="E83" s="5">
        <v>372</v>
      </c>
      <c r="F83" s="6">
        <v>52.403267999999997</v>
      </c>
      <c r="G83" s="7">
        <v>9.2235519999999994E-3</v>
      </c>
      <c r="H83" s="106"/>
    </row>
    <row r="84" spans="1:8" ht="17.100000000000001" customHeight="1" x14ac:dyDescent="0.2">
      <c r="A84" s="3">
        <v>78</v>
      </c>
      <c r="B84" s="4" t="s">
        <v>711</v>
      </c>
      <c r="C84" s="4" t="s">
        <v>712</v>
      </c>
      <c r="D84" s="4" t="s">
        <v>283</v>
      </c>
      <c r="E84" s="5">
        <v>9967</v>
      </c>
      <c r="F84" s="6">
        <v>52.281898499999997</v>
      </c>
      <c r="G84" s="7">
        <v>9.2021900000000007E-3</v>
      </c>
      <c r="H84" s="106"/>
    </row>
    <row r="85" spans="1:8" ht="17.100000000000001" customHeight="1" x14ac:dyDescent="0.2">
      <c r="A85" s="3">
        <v>79</v>
      </c>
      <c r="B85" s="4" t="s">
        <v>104</v>
      </c>
      <c r="C85" s="4" t="s">
        <v>105</v>
      </c>
      <c r="D85" s="4" t="s">
        <v>22</v>
      </c>
      <c r="E85" s="5">
        <v>17208</v>
      </c>
      <c r="F85" s="6">
        <v>52.252091999999998</v>
      </c>
      <c r="G85" s="7">
        <v>9.1969440000000003E-3</v>
      </c>
      <c r="H85" s="106"/>
    </row>
    <row r="86" spans="1:8" ht="17.100000000000001" customHeight="1" x14ac:dyDescent="0.2">
      <c r="A86" s="3">
        <v>80</v>
      </c>
      <c r="B86" s="4" t="s">
        <v>325</v>
      </c>
      <c r="C86" s="4" t="s">
        <v>326</v>
      </c>
      <c r="D86" s="4" t="s">
        <v>1114</v>
      </c>
      <c r="E86" s="5">
        <v>13487</v>
      </c>
      <c r="F86" s="6">
        <v>52.133998499999997</v>
      </c>
      <c r="G86" s="7">
        <v>9.1761580000000002E-3</v>
      </c>
      <c r="H86" s="106"/>
    </row>
    <row r="87" spans="1:8" ht="29.1" customHeight="1" x14ac:dyDescent="0.2">
      <c r="A87" s="3">
        <v>81</v>
      </c>
      <c r="B87" s="4" t="s">
        <v>713</v>
      </c>
      <c r="C87" s="4" t="s">
        <v>714</v>
      </c>
      <c r="D87" s="4" t="s">
        <v>715</v>
      </c>
      <c r="E87" s="5">
        <v>1555</v>
      </c>
      <c r="F87" s="6">
        <v>52.052847499999999</v>
      </c>
      <c r="G87" s="7">
        <v>9.1618749999999999E-3</v>
      </c>
      <c r="H87" s="106"/>
    </row>
    <row r="88" spans="1:8" ht="17.100000000000001" customHeight="1" x14ac:dyDescent="0.2">
      <c r="A88" s="3">
        <v>82</v>
      </c>
      <c r="B88" s="4" t="s">
        <v>609</v>
      </c>
      <c r="C88" s="4" t="s">
        <v>610</v>
      </c>
      <c r="D88" s="4" t="s">
        <v>41</v>
      </c>
      <c r="E88" s="5">
        <v>2915</v>
      </c>
      <c r="F88" s="6">
        <v>51.936554999999998</v>
      </c>
      <c r="G88" s="7">
        <v>9.1414059999999995E-3</v>
      </c>
      <c r="H88" s="106"/>
    </row>
    <row r="89" spans="1:8" ht="29.1" customHeight="1" x14ac:dyDescent="0.2">
      <c r="A89" s="3">
        <v>83</v>
      </c>
      <c r="B89" s="4" t="s">
        <v>364</v>
      </c>
      <c r="C89" s="4" t="s">
        <v>365</v>
      </c>
      <c r="D89" s="4" t="s">
        <v>366</v>
      </c>
      <c r="E89" s="5">
        <v>6743</v>
      </c>
      <c r="F89" s="6">
        <v>51.931214500000003</v>
      </c>
      <c r="G89" s="7">
        <v>9.1404659999999999E-3</v>
      </c>
      <c r="H89" s="106"/>
    </row>
    <row r="90" spans="1:8" ht="29.1" customHeight="1" x14ac:dyDescent="0.2">
      <c r="A90" s="3">
        <v>84</v>
      </c>
      <c r="B90" s="4" t="s">
        <v>716</v>
      </c>
      <c r="C90" s="4" t="s">
        <v>717</v>
      </c>
      <c r="D90" s="4" t="s">
        <v>718</v>
      </c>
      <c r="E90" s="5">
        <v>8117</v>
      </c>
      <c r="F90" s="6">
        <v>51.818928</v>
      </c>
      <c r="G90" s="7">
        <v>9.1207019999999996E-3</v>
      </c>
      <c r="H90" s="106"/>
    </row>
    <row r="91" spans="1:8" ht="17.100000000000001" customHeight="1" x14ac:dyDescent="0.2">
      <c r="A91" s="3">
        <v>85</v>
      </c>
      <c r="B91" s="4" t="s">
        <v>719</v>
      </c>
      <c r="C91" s="4" t="s">
        <v>720</v>
      </c>
      <c r="D91" s="4" t="s">
        <v>28</v>
      </c>
      <c r="E91" s="5">
        <v>1544</v>
      </c>
      <c r="F91" s="6">
        <v>51.703927999999998</v>
      </c>
      <c r="G91" s="7">
        <v>9.1004610000000007E-3</v>
      </c>
      <c r="H91" s="106"/>
    </row>
    <row r="92" spans="1:8" ht="29.1" customHeight="1" x14ac:dyDescent="0.2">
      <c r="A92" s="3">
        <v>86</v>
      </c>
      <c r="B92" s="4" t="s">
        <v>721</v>
      </c>
      <c r="C92" s="4" t="s">
        <v>722</v>
      </c>
      <c r="D92" s="4" t="s">
        <v>204</v>
      </c>
      <c r="E92" s="5">
        <v>19088</v>
      </c>
      <c r="F92" s="6">
        <v>51.508968000000003</v>
      </c>
      <c r="G92" s="7">
        <v>9.0661460000000006E-3</v>
      </c>
      <c r="H92" s="106"/>
    </row>
    <row r="93" spans="1:8" ht="17.100000000000001" customHeight="1" x14ac:dyDescent="0.2">
      <c r="A93" s="3">
        <v>87</v>
      </c>
      <c r="B93" s="4" t="s">
        <v>273</v>
      </c>
      <c r="C93" s="4" t="s">
        <v>274</v>
      </c>
      <c r="D93" s="4" t="s">
        <v>1114</v>
      </c>
      <c r="E93" s="5">
        <v>2603</v>
      </c>
      <c r="F93" s="6">
        <v>51.500354999999999</v>
      </c>
      <c r="G93" s="7">
        <v>9.0646300000000006E-3</v>
      </c>
      <c r="H93" s="106"/>
    </row>
    <row r="94" spans="1:8" ht="17.100000000000001" customHeight="1" x14ac:dyDescent="0.2">
      <c r="A94" s="3">
        <v>88</v>
      </c>
      <c r="B94" s="4" t="s">
        <v>723</v>
      </c>
      <c r="C94" s="4" t="s">
        <v>724</v>
      </c>
      <c r="D94" s="4" t="s">
        <v>245</v>
      </c>
      <c r="E94" s="5">
        <v>8498</v>
      </c>
      <c r="F94" s="6">
        <v>51.323670999999997</v>
      </c>
      <c r="G94" s="7">
        <v>9.0335309999999992E-3</v>
      </c>
      <c r="H94" s="106"/>
    </row>
    <row r="95" spans="1:8" ht="29.1" customHeight="1" x14ac:dyDescent="0.2">
      <c r="A95" s="3">
        <v>89</v>
      </c>
      <c r="B95" s="4" t="s">
        <v>725</v>
      </c>
      <c r="C95" s="4" t="s">
        <v>726</v>
      </c>
      <c r="D95" s="4" t="s">
        <v>245</v>
      </c>
      <c r="E95" s="5">
        <v>10090</v>
      </c>
      <c r="F95" s="6">
        <v>51.211795000000002</v>
      </c>
      <c r="G95" s="7">
        <v>9.0138400000000004E-3</v>
      </c>
      <c r="H95" s="106"/>
    </row>
    <row r="96" spans="1:8" ht="17.100000000000001" customHeight="1" x14ac:dyDescent="0.2">
      <c r="A96" s="3">
        <v>90</v>
      </c>
      <c r="B96" s="4" t="s">
        <v>308</v>
      </c>
      <c r="C96" s="4" t="s">
        <v>309</v>
      </c>
      <c r="D96" s="4" t="s">
        <v>310</v>
      </c>
      <c r="E96" s="5">
        <v>2005</v>
      </c>
      <c r="F96" s="6">
        <v>51.141534999999998</v>
      </c>
      <c r="G96" s="7">
        <v>9.0014740000000006E-3</v>
      </c>
      <c r="H96" s="106"/>
    </row>
    <row r="97" spans="1:8" ht="17.100000000000001" customHeight="1" x14ac:dyDescent="0.2">
      <c r="A97" s="3">
        <v>91</v>
      </c>
      <c r="B97" s="4" t="s">
        <v>727</v>
      </c>
      <c r="C97" s="4" t="s">
        <v>728</v>
      </c>
      <c r="D97" s="4" t="s">
        <v>283</v>
      </c>
      <c r="E97" s="5">
        <v>6116</v>
      </c>
      <c r="F97" s="6">
        <v>50.719988000000001</v>
      </c>
      <c r="G97" s="7">
        <v>8.9272770000000008E-3</v>
      </c>
      <c r="H97" s="106"/>
    </row>
    <row r="98" spans="1:8" ht="17.100000000000001" customHeight="1" x14ac:dyDescent="0.2">
      <c r="A98" s="3">
        <v>92</v>
      </c>
      <c r="B98" s="4" t="s">
        <v>729</v>
      </c>
      <c r="C98" s="4" t="s">
        <v>730</v>
      </c>
      <c r="D98" s="4" t="s">
        <v>110</v>
      </c>
      <c r="E98" s="5">
        <v>8581</v>
      </c>
      <c r="F98" s="6">
        <v>50.267498000000003</v>
      </c>
      <c r="G98" s="7">
        <v>8.8476330000000006E-3</v>
      </c>
      <c r="H98" s="106"/>
    </row>
    <row r="99" spans="1:8" ht="17.100000000000001" customHeight="1" x14ac:dyDescent="0.2">
      <c r="A99" s="3">
        <v>93</v>
      </c>
      <c r="B99" s="4" t="s">
        <v>731</v>
      </c>
      <c r="C99" s="4" t="s">
        <v>732</v>
      </c>
      <c r="D99" s="4" t="s">
        <v>110</v>
      </c>
      <c r="E99" s="5">
        <v>4104</v>
      </c>
      <c r="F99" s="6">
        <v>49.916952000000002</v>
      </c>
      <c r="G99" s="7">
        <v>8.7859329999999992E-3</v>
      </c>
      <c r="H99" s="106"/>
    </row>
    <row r="100" spans="1:8" ht="29.1" customHeight="1" x14ac:dyDescent="0.2">
      <c r="A100" s="3">
        <v>94</v>
      </c>
      <c r="B100" s="4" t="s">
        <v>733</v>
      </c>
      <c r="C100" s="4" t="s">
        <v>734</v>
      </c>
      <c r="D100" s="4" t="s">
        <v>188</v>
      </c>
      <c r="E100" s="5">
        <v>1920</v>
      </c>
      <c r="F100" s="6">
        <v>49.620480000000001</v>
      </c>
      <c r="G100" s="7">
        <v>8.7337509999999997E-3</v>
      </c>
      <c r="H100" s="106"/>
    </row>
    <row r="101" spans="1:8" ht="17.100000000000001" customHeight="1" x14ac:dyDescent="0.2">
      <c r="A101" s="3">
        <v>95</v>
      </c>
      <c r="B101" s="4" t="s">
        <v>735</v>
      </c>
      <c r="C101" s="4" t="s">
        <v>736</v>
      </c>
      <c r="D101" s="4" t="s">
        <v>99</v>
      </c>
      <c r="E101" s="5">
        <v>5947</v>
      </c>
      <c r="F101" s="6">
        <v>49.160875500000003</v>
      </c>
      <c r="G101" s="7">
        <v>8.6528560000000004E-3</v>
      </c>
      <c r="H101" s="106"/>
    </row>
    <row r="102" spans="1:8" ht="17.100000000000001" customHeight="1" x14ac:dyDescent="0.2">
      <c r="A102" s="3">
        <v>96</v>
      </c>
      <c r="B102" s="4" t="s">
        <v>373</v>
      </c>
      <c r="C102" s="4" t="s">
        <v>374</v>
      </c>
      <c r="D102" s="4" t="s">
        <v>182</v>
      </c>
      <c r="E102" s="5">
        <v>4243</v>
      </c>
      <c r="F102" s="6">
        <v>48.911182500000002</v>
      </c>
      <c r="G102" s="7">
        <v>8.6089070000000007E-3</v>
      </c>
      <c r="H102" s="106"/>
    </row>
    <row r="103" spans="1:8" ht="17.100000000000001" customHeight="1" x14ac:dyDescent="0.2">
      <c r="A103" s="3">
        <v>97</v>
      </c>
      <c r="B103" s="4" t="s">
        <v>737</v>
      </c>
      <c r="C103" s="4" t="s">
        <v>738</v>
      </c>
      <c r="D103" s="4" t="s">
        <v>16</v>
      </c>
      <c r="E103" s="5">
        <v>20461</v>
      </c>
      <c r="F103" s="6">
        <v>48.809715500000003</v>
      </c>
      <c r="G103" s="7">
        <v>8.5910480000000004E-3</v>
      </c>
      <c r="H103" s="106"/>
    </row>
    <row r="104" spans="1:8" ht="17.100000000000001" customHeight="1" x14ac:dyDescent="0.2">
      <c r="A104" s="3">
        <v>98</v>
      </c>
      <c r="B104" s="4" t="s">
        <v>562</v>
      </c>
      <c r="C104" s="4" t="s">
        <v>563</v>
      </c>
      <c r="D104" s="4" t="s">
        <v>110</v>
      </c>
      <c r="E104" s="5">
        <v>1549</v>
      </c>
      <c r="F104" s="6">
        <v>48.138272999999998</v>
      </c>
      <c r="G104" s="7">
        <v>8.4728660000000008E-3</v>
      </c>
      <c r="H104" s="106"/>
    </row>
    <row r="105" spans="1:8" ht="29.1" customHeight="1" x14ac:dyDescent="0.2">
      <c r="A105" s="3">
        <v>99</v>
      </c>
      <c r="B105" s="4" t="s">
        <v>252</v>
      </c>
      <c r="C105" s="4" t="s">
        <v>253</v>
      </c>
      <c r="D105" s="4" t="s">
        <v>204</v>
      </c>
      <c r="E105" s="5">
        <v>2605</v>
      </c>
      <c r="F105" s="6">
        <v>46.482317500000001</v>
      </c>
      <c r="G105" s="7">
        <v>8.1814000000000001E-3</v>
      </c>
      <c r="H105" s="106"/>
    </row>
    <row r="106" spans="1:8" ht="17.100000000000001" customHeight="1" x14ac:dyDescent="0.2">
      <c r="A106" s="3">
        <v>100</v>
      </c>
      <c r="B106" s="4" t="s">
        <v>375</v>
      </c>
      <c r="C106" s="4" t="s">
        <v>376</v>
      </c>
      <c r="D106" s="4" t="s">
        <v>89</v>
      </c>
      <c r="E106" s="5">
        <v>71761</v>
      </c>
      <c r="F106" s="6">
        <v>46.285845000000002</v>
      </c>
      <c r="G106" s="7">
        <v>8.1468189999999996E-3</v>
      </c>
      <c r="H106" s="106"/>
    </row>
    <row r="107" spans="1:8" ht="14.1" customHeight="1" x14ac:dyDescent="0.2">
      <c r="A107" s="1"/>
      <c r="B107" s="1"/>
      <c r="C107" s="2" t="s">
        <v>130</v>
      </c>
      <c r="D107" s="1"/>
      <c r="E107" s="1" t="s">
        <v>131</v>
      </c>
      <c r="F107" s="9">
        <v>5530.0596134999996</v>
      </c>
      <c r="G107" s="10">
        <v>0.97335141400000003</v>
      </c>
      <c r="H107" s="106"/>
    </row>
    <row r="108" spans="1:8" ht="14.1" customHeight="1" x14ac:dyDescent="0.2">
      <c r="A108" s="1"/>
      <c r="B108" s="1"/>
      <c r="C108" s="11"/>
      <c r="D108" s="1"/>
      <c r="E108" s="1"/>
      <c r="F108" s="12"/>
      <c r="G108" s="12"/>
      <c r="H108" s="106"/>
    </row>
    <row r="109" spans="1:8" ht="14.1" customHeight="1" x14ac:dyDescent="0.2">
      <c r="A109" s="1"/>
      <c r="B109" s="1"/>
      <c r="C109" s="2" t="s">
        <v>132</v>
      </c>
      <c r="D109" s="1"/>
      <c r="E109" s="1"/>
      <c r="F109" s="1"/>
      <c r="G109" s="1"/>
      <c r="H109" s="106"/>
    </row>
    <row r="110" spans="1:8" ht="14.1" customHeight="1" x14ac:dyDescent="0.2">
      <c r="A110" s="1"/>
      <c r="B110" s="1"/>
      <c r="C110" s="2" t="s">
        <v>130</v>
      </c>
      <c r="D110" s="1"/>
      <c r="E110" s="1" t="s">
        <v>131</v>
      </c>
      <c r="F110" s="13">
        <v>0</v>
      </c>
      <c r="G110" s="14">
        <v>0</v>
      </c>
      <c r="H110" s="106"/>
    </row>
    <row r="111" spans="1:8" ht="14.1" customHeight="1" x14ac:dyDescent="0.2">
      <c r="A111" s="1"/>
      <c r="B111" s="1"/>
      <c r="C111" s="11"/>
      <c r="D111" s="1"/>
      <c r="E111" s="1"/>
      <c r="F111" s="12"/>
      <c r="G111" s="12"/>
      <c r="H111" s="106"/>
    </row>
    <row r="112" spans="1:8" ht="14.1" customHeight="1" x14ac:dyDescent="0.2">
      <c r="A112" s="1"/>
      <c r="B112" s="1"/>
      <c r="C112" s="2" t="s">
        <v>133</v>
      </c>
      <c r="D112" s="1"/>
      <c r="E112" s="1"/>
      <c r="F112" s="1"/>
      <c r="G112" s="1"/>
      <c r="H112" s="106"/>
    </row>
    <row r="113" spans="1:8" ht="17.100000000000001" customHeight="1" x14ac:dyDescent="0.2">
      <c r="A113" s="3">
        <v>1</v>
      </c>
      <c r="B113" s="4" t="s">
        <v>739</v>
      </c>
      <c r="C113" s="91" t="s">
        <v>992</v>
      </c>
      <c r="D113" s="4"/>
      <c r="E113" s="5">
        <v>26586</v>
      </c>
      <c r="F113" s="6">
        <v>2.6600000000000003E-7</v>
      </c>
      <c r="G113" s="8" t="s">
        <v>129</v>
      </c>
      <c r="H113" s="106"/>
    </row>
    <row r="114" spans="1:8" ht="14.1" customHeight="1" x14ac:dyDescent="0.2">
      <c r="A114" s="1"/>
      <c r="B114" s="1"/>
      <c r="C114" s="2" t="s">
        <v>130</v>
      </c>
      <c r="D114" s="1"/>
      <c r="E114" s="1" t="s">
        <v>131</v>
      </c>
      <c r="F114" s="9">
        <v>2.6600000000000003E-7</v>
      </c>
      <c r="G114" s="10">
        <v>0</v>
      </c>
      <c r="H114" s="106"/>
    </row>
    <row r="115" spans="1:8" ht="14.1" customHeight="1" x14ac:dyDescent="0.2">
      <c r="A115" s="1"/>
      <c r="B115" s="1"/>
      <c r="C115" s="11"/>
      <c r="D115" s="1"/>
      <c r="E115" s="1"/>
      <c r="F115" s="12"/>
      <c r="G115" s="12"/>
      <c r="H115" s="106"/>
    </row>
    <row r="116" spans="1:8" ht="14.1" customHeight="1" x14ac:dyDescent="0.2">
      <c r="A116" s="1"/>
      <c r="B116" s="1"/>
      <c r="C116" s="2" t="s">
        <v>134</v>
      </c>
      <c r="D116" s="1"/>
      <c r="E116" s="1"/>
      <c r="F116" s="1"/>
      <c r="G116" s="1"/>
      <c r="H116" s="106"/>
    </row>
    <row r="117" spans="1:8" ht="14.1" customHeight="1" x14ac:dyDescent="0.2">
      <c r="A117" s="1"/>
      <c r="B117" s="1"/>
      <c r="C117" s="2" t="s">
        <v>130</v>
      </c>
      <c r="D117" s="1"/>
      <c r="E117" s="1" t="s">
        <v>131</v>
      </c>
      <c r="F117" s="13">
        <v>0</v>
      </c>
      <c r="G117" s="14">
        <v>0</v>
      </c>
      <c r="H117" s="106"/>
    </row>
    <row r="118" spans="1:8" ht="14.1" customHeight="1" x14ac:dyDescent="0.2">
      <c r="A118" s="1"/>
      <c r="B118" s="1"/>
      <c r="C118" s="11"/>
      <c r="D118" s="1"/>
      <c r="E118" s="1"/>
      <c r="F118" s="12"/>
      <c r="G118" s="12"/>
      <c r="H118" s="106"/>
    </row>
    <row r="119" spans="1:8" ht="14.1" customHeight="1" x14ac:dyDescent="0.2">
      <c r="A119" s="1"/>
      <c r="B119" s="1"/>
      <c r="C119" s="2" t="s">
        <v>135</v>
      </c>
      <c r="D119" s="1"/>
      <c r="E119" s="1"/>
      <c r="F119" s="12"/>
      <c r="G119" s="12"/>
      <c r="H119" s="106"/>
    </row>
    <row r="120" spans="1:8" ht="14.1" customHeight="1" x14ac:dyDescent="0.2">
      <c r="A120" s="1"/>
      <c r="B120" s="1"/>
      <c r="C120" s="2" t="s">
        <v>130</v>
      </c>
      <c r="D120" s="1"/>
      <c r="E120" s="1" t="s">
        <v>131</v>
      </c>
      <c r="F120" s="13">
        <v>0</v>
      </c>
      <c r="G120" s="14">
        <v>0</v>
      </c>
      <c r="H120" s="106"/>
    </row>
    <row r="121" spans="1:8" ht="14.1" customHeight="1" x14ac:dyDescent="0.2">
      <c r="A121" s="1"/>
      <c r="B121" s="1"/>
      <c r="C121" s="11"/>
      <c r="D121" s="1"/>
      <c r="E121" s="1"/>
      <c r="F121" s="12"/>
      <c r="G121" s="12"/>
      <c r="H121" s="106"/>
    </row>
    <row r="122" spans="1:8" ht="14.1" customHeight="1" x14ac:dyDescent="0.2">
      <c r="A122" s="1"/>
      <c r="B122" s="1"/>
      <c r="C122" s="2" t="s">
        <v>136</v>
      </c>
      <c r="D122" s="1"/>
      <c r="E122" s="1"/>
      <c r="F122" s="12"/>
      <c r="G122" s="12"/>
      <c r="H122" s="106"/>
    </row>
    <row r="123" spans="1:8" ht="14.1" customHeight="1" x14ac:dyDescent="0.2">
      <c r="A123" s="1"/>
      <c r="B123" s="1"/>
      <c r="C123" s="2" t="s">
        <v>130</v>
      </c>
      <c r="D123" s="1"/>
      <c r="E123" s="1" t="s">
        <v>131</v>
      </c>
      <c r="F123" s="13">
        <v>0</v>
      </c>
      <c r="G123" s="14">
        <v>0</v>
      </c>
      <c r="H123" s="106"/>
    </row>
    <row r="124" spans="1:8" ht="14.1" customHeight="1" x14ac:dyDescent="0.2">
      <c r="A124" s="1"/>
      <c r="B124" s="1"/>
      <c r="C124" s="11"/>
      <c r="D124" s="1"/>
      <c r="E124" s="1"/>
      <c r="F124" s="12"/>
      <c r="G124" s="12"/>
      <c r="H124" s="106"/>
    </row>
    <row r="125" spans="1:8" ht="18" customHeight="1" x14ac:dyDescent="0.2">
      <c r="A125" s="1"/>
      <c r="B125" s="1"/>
      <c r="C125" s="2" t="s">
        <v>137</v>
      </c>
      <c r="D125" s="1"/>
      <c r="E125" s="1"/>
      <c r="F125" s="9">
        <v>5530.0596137660004</v>
      </c>
      <c r="G125" s="10">
        <v>0.97335141400000003</v>
      </c>
      <c r="H125" s="106"/>
    </row>
    <row r="126" spans="1:8" ht="14.1" customHeight="1" x14ac:dyDescent="0.2">
      <c r="A126" s="1"/>
      <c r="B126" s="1"/>
      <c r="C126" s="11"/>
      <c r="D126" s="1"/>
      <c r="E126" s="1"/>
      <c r="F126" s="12"/>
      <c r="G126" s="12"/>
      <c r="H126" s="106"/>
    </row>
    <row r="127" spans="1:8" ht="14.1" customHeight="1" x14ac:dyDescent="0.2">
      <c r="A127" s="1"/>
      <c r="B127" s="1"/>
      <c r="C127" s="2" t="s">
        <v>138</v>
      </c>
      <c r="D127" s="1"/>
      <c r="E127" s="1"/>
      <c r="F127" s="12"/>
      <c r="G127" s="12"/>
      <c r="H127" s="106"/>
    </row>
    <row r="128" spans="1:8" ht="24" customHeight="1" x14ac:dyDescent="0.2">
      <c r="A128" s="1"/>
      <c r="B128" s="1"/>
      <c r="C128" s="2" t="s">
        <v>10</v>
      </c>
      <c r="D128" s="1"/>
      <c r="E128" s="1"/>
      <c r="F128" s="12"/>
      <c r="G128" s="12"/>
      <c r="H128" s="106"/>
    </row>
    <row r="129" spans="1:8" ht="29.1" customHeight="1" x14ac:dyDescent="0.2">
      <c r="A129" s="3">
        <v>1</v>
      </c>
      <c r="B129" s="4" t="s">
        <v>598</v>
      </c>
      <c r="C129" s="4" t="s">
        <v>599</v>
      </c>
      <c r="D129" s="4" t="s">
        <v>600</v>
      </c>
      <c r="E129" s="5">
        <v>828</v>
      </c>
      <c r="F129" s="6">
        <v>0.23262246</v>
      </c>
      <c r="G129" s="8" t="s">
        <v>129</v>
      </c>
      <c r="H129" s="106">
        <v>7.63</v>
      </c>
    </row>
    <row r="130" spans="1:8" ht="14.1" customHeight="1" x14ac:dyDescent="0.2">
      <c r="A130" s="1"/>
      <c r="B130" s="1"/>
      <c r="C130" s="2" t="s">
        <v>130</v>
      </c>
      <c r="D130" s="1"/>
      <c r="E130" s="1" t="s">
        <v>131</v>
      </c>
      <c r="F130" s="9">
        <v>0.23262246</v>
      </c>
      <c r="G130" s="10">
        <v>4.0944E-5</v>
      </c>
      <c r="H130" s="106"/>
    </row>
    <row r="131" spans="1:8" ht="14.1" customHeight="1" x14ac:dyDescent="0.2">
      <c r="A131" s="1"/>
      <c r="B131" s="1"/>
      <c r="C131" s="11"/>
      <c r="D131" s="1"/>
      <c r="E131" s="1"/>
      <c r="F131" s="12"/>
      <c r="G131" s="12"/>
      <c r="H131" s="106"/>
    </row>
    <row r="132" spans="1:8" ht="14.1" customHeight="1" x14ac:dyDescent="0.2">
      <c r="A132" s="1"/>
      <c r="B132" s="1"/>
      <c r="C132" s="2" t="s">
        <v>139</v>
      </c>
      <c r="D132" s="1"/>
      <c r="E132" s="1"/>
      <c r="F132" s="1"/>
      <c r="G132" s="1"/>
      <c r="H132" s="106"/>
    </row>
    <row r="133" spans="1:8" ht="14.1" customHeight="1" x14ac:dyDescent="0.2">
      <c r="A133" s="1"/>
      <c r="B133" s="1"/>
      <c r="C133" s="2" t="s">
        <v>130</v>
      </c>
      <c r="D133" s="1"/>
      <c r="E133" s="1" t="s">
        <v>131</v>
      </c>
      <c r="F133" s="13">
        <v>0</v>
      </c>
      <c r="G133" s="14">
        <v>0</v>
      </c>
      <c r="H133" s="106"/>
    </row>
    <row r="134" spans="1:8" ht="14.1" customHeight="1" x14ac:dyDescent="0.2">
      <c r="A134" s="1"/>
      <c r="B134" s="1"/>
      <c r="C134" s="11"/>
      <c r="D134" s="1"/>
      <c r="E134" s="1"/>
      <c r="F134" s="12"/>
      <c r="G134" s="12"/>
      <c r="H134" s="106"/>
    </row>
    <row r="135" spans="1:8" ht="14.1" customHeight="1" x14ac:dyDescent="0.2">
      <c r="A135" s="1"/>
      <c r="B135" s="1"/>
      <c r="C135" s="2" t="s">
        <v>140</v>
      </c>
      <c r="D135" s="1"/>
      <c r="E135" s="1"/>
      <c r="F135" s="1"/>
      <c r="G135" s="1"/>
      <c r="H135" s="106"/>
    </row>
    <row r="136" spans="1:8" ht="14.1" customHeight="1" x14ac:dyDescent="0.2">
      <c r="A136" s="1"/>
      <c r="B136" s="1"/>
      <c r="C136" s="2" t="s">
        <v>130</v>
      </c>
      <c r="D136" s="1"/>
      <c r="E136" s="1" t="s">
        <v>131</v>
      </c>
      <c r="F136" s="13">
        <v>0</v>
      </c>
      <c r="G136" s="14">
        <v>0</v>
      </c>
      <c r="H136" s="106"/>
    </row>
    <row r="137" spans="1:8" ht="14.1" customHeight="1" x14ac:dyDescent="0.2">
      <c r="A137" s="1"/>
      <c r="B137" s="1"/>
      <c r="C137" s="11"/>
      <c r="D137" s="1"/>
      <c r="E137" s="1"/>
      <c r="F137" s="12"/>
      <c r="G137" s="12"/>
      <c r="H137" s="106"/>
    </row>
    <row r="138" spans="1:8" ht="14.1" customHeight="1" x14ac:dyDescent="0.2">
      <c r="A138" s="1"/>
      <c r="B138" s="1"/>
      <c r="C138" s="2" t="s">
        <v>141</v>
      </c>
      <c r="D138" s="1"/>
      <c r="E138" s="1"/>
      <c r="F138" s="12"/>
      <c r="G138" s="12"/>
      <c r="H138" s="106"/>
    </row>
    <row r="139" spans="1:8" ht="14.1" customHeight="1" x14ac:dyDescent="0.2">
      <c r="A139" s="1"/>
      <c r="B139" s="1"/>
      <c r="C139" s="2" t="s">
        <v>130</v>
      </c>
      <c r="D139" s="1"/>
      <c r="E139" s="1" t="s">
        <v>131</v>
      </c>
      <c r="F139" s="13">
        <v>0</v>
      </c>
      <c r="G139" s="14">
        <v>0</v>
      </c>
      <c r="H139" s="106"/>
    </row>
    <row r="140" spans="1:8" ht="14.1" customHeight="1" x14ac:dyDescent="0.2">
      <c r="A140" s="1"/>
      <c r="B140" s="1"/>
      <c r="C140" s="11"/>
      <c r="D140" s="1"/>
      <c r="E140" s="1"/>
      <c r="F140" s="12"/>
      <c r="G140" s="12"/>
      <c r="H140" s="106"/>
    </row>
    <row r="141" spans="1:8" ht="14.1" customHeight="1" x14ac:dyDescent="0.2">
      <c r="A141" s="1"/>
      <c r="B141" s="1"/>
      <c r="C141" s="2" t="s">
        <v>142</v>
      </c>
      <c r="D141" s="1"/>
      <c r="E141" s="1"/>
      <c r="F141" s="9">
        <v>0.23262246</v>
      </c>
      <c r="G141" s="10">
        <v>4.0944E-5</v>
      </c>
      <c r="H141" s="106"/>
    </row>
    <row r="142" spans="1:8" ht="14.1" customHeight="1" x14ac:dyDescent="0.2">
      <c r="A142" s="1"/>
      <c r="B142" s="1"/>
      <c r="C142" s="11"/>
      <c r="D142" s="1"/>
      <c r="E142" s="1"/>
      <c r="F142" s="12"/>
      <c r="G142" s="12"/>
      <c r="H142" s="106"/>
    </row>
    <row r="143" spans="1:8" ht="14.1" customHeight="1" x14ac:dyDescent="0.2">
      <c r="A143" s="1"/>
      <c r="B143" s="1"/>
      <c r="C143" s="2" t="s">
        <v>143</v>
      </c>
      <c r="D143" s="1"/>
      <c r="E143" s="1"/>
      <c r="F143" s="12"/>
      <c r="G143" s="12"/>
      <c r="H143" s="106"/>
    </row>
    <row r="144" spans="1:8" ht="14.1" customHeight="1" x14ac:dyDescent="0.2">
      <c r="A144" s="1"/>
      <c r="B144" s="1"/>
      <c r="C144" s="2" t="s">
        <v>144</v>
      </c>
      <c r="D144" s="1"/>
      <c r="E144" s="1"/>
      <c r="F144" s="12"/>
      <c r="G144" s="12"/>
      <c r="H144" s="106"/>
    </row>
    <row r="145" spans="1:8" ht="14.1" customHeight="1" x14ac:dyDescent="0.2">
      <c r="A145" s="1"/>
      <c r="B145" s="1"/>
      <c r="C145" s="2" t="s">
        <v>130</v>
      </c>
      <c r="D145" s="1"/>
      <c r="E145" s="1" t="s">
        <v>131</v>
      </c>
      <c r="F145" s="13">
        <v>0</v>
      </c>
      <c r="G145" s="14">
        <v>0</v>
      </c>
      <c r="H145" s="106"/>
    </row>
    <row r="146" spans="1:8" ht="14.1" customHeight="1" x14ac:dyDescent="0.2">
      <c r="A146" s="1"/>
      <c r="B146" s="1"/>
      <c r="C146" s="11"/>
      <c r="D146" s="1"/>
      <c r="E146" s="1"/>
      <c r="F146" s="12"/>
      <c r="G146" s="12"/>
      <c r="H146" s="106"/>
    </row>
    <row r="147" spans="1:8" ht="14.1" customHeight="1" x14ac:dyDescent="0.2">
      <c r="A147" s="1"/>
      <c r="B147" s="1"/>
      <c r="C147" s="2" t="s">
        <v>145</v>
      </c>
      <c r="D147" s="1"/>
      <c r="E147" s="1"/>
      <c r="F147" s="12"/>
      <c r="G147" s="12"/>
      <c r="H147" s="106"/>
    </row>
    <row r="148" spans="1:8" ht="14.1" customHeight="1" x14ac:dyDescent="0.2">
      <c r="A148" s="1"/>
      <c r="B148" s="1"/>
      <c r="C148" s="2" t="s">
        <v>130</v>
      </c>
      <c r="D148" s="1"/>
      <c r="E148" s="1" t="s">
        <v>131</v>
      </c>
      <c r="F148" s="13">
        <v>0</v>
      </c>
      <c r="G148" s="14">
        <v>0</v>
      </c>
      <c r="H148" s="106"/>
    </row>
    <row r="149" spans="1:8" ht="14.1" customHeight="1" x14ac:dyDescent="0.2">
      <c r="A149" s="1"/>
      <c r="B149" s="1"/>
      <c r="C149" s="11"/>
      <c r="D149" s="1"/>
      <c r="E149" s="1"/>
      <c r="F149" s="12"/>
      <c r="G149" s="12"/>
      <c r="H149" s="106"/>
    </row>
    <row r="150" spans="1:8" ht="14.1" customHeight="1" x14ac:dyDescent="0.2">
      <c r="A150" s="1"/>
      <c r="B150" s="1"/>
      <c r="C150" s="2" t="s">
        <v>146</v>
      </c>
      <c r="D150" s="1"/>
      <c r="E150" s="1"/>
      <c r="F150" s="12"/>
      <c r="G150" s="12"/>
      <c r="H150" s="106"/>
    </row>
    <row r="151" spans="1:8" ht="14.1" customHeight="1" x14ac:dyDescent="0.2">
      <c r="A151" s="1"/>
      <c r="B151" s="1"/>
      <c r="C151" s="2" t="s">
        <v>130</v>
      </c>
      <c r="D151" s="1"/>
      <c r="E151" s="1" t="s">
        <v>131</v>
      </c>
      <c r="F151" s="13">
        <v>0</v>
      </c>
      <c r="G151" s="14">
        <v>0</v>
      </c>
      <c r="H151" s="106"/>
    </row>
    <row r="152" spans="1:8" ht="14.1" customHeight="1" x14ac:dyDescent="0.2">
      <c r="A152" s="1"/>
      <c r="B152" s="1"/>
      <c r="C152" s="11"/>
      <c r="D152" s="1"/>
      <c r="E152" s="1"/>
      <c r="F152" s="12"/>
      <c r="G152" s="12"/>
      <c r="H152" s="106"/>
    </row>
    <row r="153" spans="1:8" ht="14.1" customHeight="1" x14ac:dyDescent="0.2">
      <c r="A153" s="1"/>
      <c r="B153" s="1"/>
      <c r="C153" s="2" t="s">
        <v>147</v>
      </c>
      <c r="D153" s="1"/>
      <c r="E153" s="1"/>
      <c r="F153" s="12"/>
      <c r="G153" s="12"/>
      <c r="H153" s="106"/>
    </row>
    <row r="154" spans="1:8" ht="17.100000000000001" customHeight="1" x14ac:dyDescent="0.2">
      <c r="A154" s="3">
        <v>1</v>
      </c>
      <c r="B154" s="4"/>
      <c r="C154" s="4" t="s">
        <v>148</v>
      </c>
      <c r="D154" s="4"/>
      <c r="E154" s="8"/>
      <c r="F154" s="6">
        <v>162.14552549999999</v>
      </c>
      <c r="G154" s="7">
        <v>2.8539399E-2</v>
      </c>
      <c r="H154" s="106">
        <v>6.1171451766917002</v>
      </c>
    </row>
    <row r="155" spans="1:8" ht="14.1" customHeight="1" x14ac:dyDescent="0.2">
      <c r="A155" s="1"/>
      <c r="B155" s="1"/>
      <c r="C155" s="2" t="s">
        <v>130</v>
      </c>
      <c r="D155" s="1"/>
      <c r="E155" s="1" t="s">
        <v>131</v>
      </c>
      <c r="F155" s="9">
        <v>162.14552549999999</v>
      </c>
      <c r="G155" s="10">
        <v>2.8539399E-2</v>
      </c>
      <c r="H155" s="106"/>
    </row>
    <row r="156" spans="1:8" ht="14.1" customHeight="1" x14ac:dyDescent="0.2">
      <c r="A156" s="1"/>
      <c r="B156" s="1"/>
      <c r="C156" s="11"/>
      <c r="D156" s="1"/>
      <c r="E156" s="1"/>
      <c r="F156" s="12"/>
      <c r="G156" s="12"/>
      <c r="H156" s="106"/>
    </row>
    <row r="157" spans="1:8" ht="14.1" customHeight="1" x14ac:dyDescent="0.2">
      <c r="A157" s="1"/>
      <c r="B157" s="1"/>
      <c r="C157" s="2" t="s">
        <v>149</v>
      </c>
      <c r="D157" s="1"/>
      <c r="E157" s="1"/>
      <c r="F157" s="9">
        <v>162.14552549999999</v>
      </c>
      <c r="G157" s="10">
        <v>2.8539399E-2</v>
      </c>
      <c r="H157" s="106"/>
    </row>
    <row r="158" spans="1:8" ht="14.1" customHeight="1" x14ac:dyDescent="0.2">
      <c r="A158" s="1"/>
      <c r="B158" s="1"/>
      <c r="C158" s="12"/>
      <c r="D158" s="1"/>
      <c r="E158" s="1"/>
      <c r="F158" s="1"/>
      <c r="G158" s="1"/>
      <c r="H158" s="106"/>
    </row>
    <row r="159" spans="1:8" ht="14.1" customHeight="1" x14ac:dyDescent="0.2">
      <c r="A159" s="1"/>
      <c r="B159" s="1"/>
      <c r="C159" s="2" t="s">
        <v>150</v>
      </c>
      <c r="D159" s="1"/>
      <c r="E159" s="1"/>
      <c r="F159" s="1"/>
      <c r="G159" s="1"/>
      <c r="H159" s="106"/>
    </row>
    <row r="160" spans="1:8" ht="14.1" customHeight="1" x14ac:dyDescent="0.2">
      <c r="A160" s="1"/>
      <c r="B160" s="1"/>
      <c r="C160" s="2" t="s">
        <v>151</v>
      </c>
      <c r="D160" s="1"/>
      <c r="E160" s="1"/>
      <c r="F160" s="1"/>
      <c r="G160" s="1"/>
      <c r="H160" s="106"/>
    </row>
    <row r="161" spans="1:14" ht="14.1" customHeight="1" x14ac:dyDescent="0.2">
      <c r="A161" s="1"/>
      <c r="B161" s="1"/>
      <c r="C161" s="2" t="s">
        <v>130</v>
      </c>
      <c r="D161" s="1"/>
      <c r="E161" s="1" t="s">
        <v>131</v>
      </c>
      <c r="F161" s="13">
        <v>0</v>
      </c>
      <c r="G161" s="14">
        <v>0</v>
      </c>
      <c r="H161" s="106"/>
    </row>
    <row r="162" spans="1:14" ht="14.1" customHeight="1" x14ac:dyDescent="0.2">
      <c r="A162" s="1"/>
      <c r="B162" s="1"/>
      <c r="C162" s="11"/>
      <c r="D162" s="1"/>
      <c r="E162" s="1"/>
      <c r="F162" s="12"/>
      <c r="G162" s="12"/>
      <c r="H162" s="106"/>
    </row>
    <row r="163" spans="1:14" ht="14.1" customHeight="1" x14ac:dyDescent="0.2">
      <c r="A163" s="1"/>
      <c r="B163" s="1"/>
      <c r="C163" s="2" t="s">
        <v>152</v>
      </c>
      <c r="D163" s="1"/>
      <c r="E163" s="1"/>
      <c r="F163" s="1"/>
      <c r="G163" s="1"/>
      <c r="H163" s="106"/>
    </row>
    <row r="164" spans="1:14" ht="14.1" customHeight="1" x14ac:dyDescent="0.2">
      <c r="A164" s="1"/>
      <c r="B164" s="1"/>
      <c r="C164" s="2" t="s">
        <v>153</v>
      </c>
      <c r="D164" s="1"/>
      <c r="E164" s="1"/>
      <c r="F164" s="1"/>
      <c r="G164" s="1"/>
      <c r="H164" s="106"/>
    </row>
    <row r="165" spans="1:14" ht="14.1" customHeight="1" x14ac:dyDescent="0.2">
      <c r="A165" s="1"/>
      <c r="B165" s="1"/>
      <c r="C165" s="2" t="s">
        <v>130</v>
      </c>
      <c r="D165" s="1"/>
      <c r="E165" s="1" t="s">
        <v>131</v>
      </c>
      <c r="F165" s="13">
        <v>0</v>
      </c>
      <c r="G165" s="14">
        <v>0</v>
      </c>
      <c r="H165" s="106"/>
    </row>
    <row r="166" spans="1:14" ht="14.1" customHeight="1" x14ac:dyDescent="0.2">
      <c r="A166" s="1"/>
      <c r="B166" s="1"/>
      <c r="C166" s="11"/>
      <c r="D166" s="1"/>
      <c r="E166" s="1"/>
      <c r="F166" s="12"/>
      <c r="G166" s="12"/>
      <c r="H166" s="106"/>
    </row>
    <row r="167" spans="1:14" ht="14.1" customHeight="1" x14ac:dyDescent="0.2">
      <c r="A167" s="1"/>
      <c r="B167" s="1"/>
      <c r="C167" s="11"/>
      <c r="D167" s="1"/>
      <c r="E167" s="1"/>
      <c r="F167" s="12"/>
      <c r="G167" s="12"/>
      <c r="H167" s="106"/>
    </row>
    <row r="168" spans="1:14" ht="24" customHeight="1" x14ac:dyDescent="0.2">
      <c r="A168" s="1"/>
      <c r="B168" s="1"/>
      <c r="C168" s="2" t="s">
        <v>154</v>
      </c>
      <c r="D168" s="1"/>
      <c r="E168" s="1"/>
      <c r="F168" s="12"/>
      <c r="G168" s="12"/>
      <c r="H168" s="106"/>
    </row>
    <row r="169" spans="1:14" ht="14.1" customHeight="1" x14ac:dyDescent="0.2">
      <c r="A169" s="1"/>
      <c r="B169" s="1"/>
      <c r="C169" s="2" t="s">
        <v>130</v>
      </c>
      <c r="D169" s="1"/>
      <c r="E169" s="1" t="s">
        <v>131</v>
      </c>
      <c r="F169" s="13">
        <v>0</v>
      </c>
      <c r="G169" s="14">
        <v>0</v>
      </c>
      <c r="H169" s="106"/>
    </row>
    <row r="170" spans="1:14" ht="14.1" customHeight="1" x14ac:dyDescent="0.2">
      <c r="A170" s="1"/>
      <c r="B170" s="1"/>
      <c r="C170" s="11"/>
      <c r="D170" s="1"/>
      <c r="E170" s="1"/>
      <c r="F170" s="12"/>
      <c r="G170" s="12"/>
      <c r="H170" s="106"/>
    </row>
    <row r="171" spans="1:14" ht="14.1" customHeight="1" x14ac:dyDescent="0.2">
      <c r="A171" s="1"/>
      <c r="B171" s="4"/>
      <c r="C171" s="4"/>
      <c r="D171" s="2"/>
      <c r="E171" s="1"/>
      <c r="F171" s="4"/>
      <c r="G171" s="8"/>
      <c r="H171" s="106"/>
    </row>
    <row r="172" spans="1:14" ht="18" customHeight="1" x14ac:dyDescent="0.2">
      <c r="A172" s="8"/>
      <c r="B172" s="4"/>
      <c r="C172" s="102" t="s">
        <v>835</v>
      </c>
      <c r="D172" s="4"/>
      <c r="E172" s="8"/>
      <c r="F172" s="6">
        <v>-10.975184410000001</v>
      </c>
      <c r="G172" s="7">
        <v>-1.931753E-3</v>
      </c>
      <c r="H172" s="106"/>
    </row>
    <row r="173" spans="1:14" ht="14.1" customHeight="1" x14ac:dyDescent="0.2">
      <c r="A173" s="11"/>
      <c r="B173" s="11"/>
      <c r="C173" s="2" t="s">
        <v>156</v>
      </c>
      <c r="D173" s="15"/>
      <c r="E173" s="15"/>
      <c r="F173" s="9">
        <v>5681.4625773159996</v>
      </c>
      <c r="G173" s="10">
        <v>1.0000000040000001</v>
      </c>
      <c r="H173" s="106"/>
    </row>
    <row r="174" spans="1:14" ht="14.1" customHeight="1" x14ac:dyDescent="0.2">
      <c r="A174" s="16"/>
      <c r="B174" s="16"/>
      <c r="C174" s="16"/>
      <c r="D174" s="17"/>
      <c r="E174" s="17"/>
      <c r="F174" s="17"/>
      <c r="G174" s="17"/>
    </row>
    <row r="175" spans="1:14" ht="17.100000000000001" customHeight="1" x14ac:dyDescent="0.2">
      <c r="A175" s="18"/>
      <c r="B175" s="281" t="s">
        <v>601</v>
      </c>
      <c r="C175" s="281"/>
      <c r="D175" s="281"/>
      <c r="E175" s="281"/>
      <c r="F175" s="281"/>
      <c r="G175" s="20"/>
    </row>
    <row r="176" spans="1:14" ht="17.100000000000001" customHeight="1" x14ac:dyDescent="0.2">
      <c r="A176" s="108"/>
      <c r="B176" s="289" t="s">
        <v>837</v>
      </c>
      <c r="C176" s="289"/>
      <c r="D176" s="289"/>
      <c r="E176" s="289"/>
      <c r="F176" s="289"/>
      <c r="G176" s="109"/>
      <c r="I176" s="107"/>
      <c r="J176" s="107"/>
      <c r="K176" s="107"/>
      <c r="L176" s="107"/>
      <c r="M176" s="107"/>
      <c r="N176" s="107"/>
    </row>
    <row r="177" spans="1:7" ht="17.100000000000001" customHeight="1" x14ac:dyDescent="0.2">
      <c r="A177" s="18"/>
      <c r="B177" s="281" t="s">
        <v>157</v>
      </c>
      <c r="C177" s="281"/>
      <c r="D177" s="281"/>
      <c r="E177" s="281"/>
      <c r="F177" s="281"/>
      <c r="G177" s="20"/>
    </row>
    <row r="178" spans="1:7" ht="14.1" customHeight="1" x14ac:dyDescent="0.2">
      <c r="A178" s="108"/>
      <c r="B178" s="113" t="s">
        <v>993</v>
      </c>
      <c r="C178" s="108"/>
      <c r="D178" s="109"/>
      <c r="E178" s="109"/>
      <c r="F178" s="109"/>
      <c r="G178" s="109"/>
    </row>
    <row r="179" spans="1:7" ht="14.1" customHeight="1" x14ac:dyDescent="0.2">
      <c r="A179" s="18"/>
      <c r="B179" s="18"/>
      <c r="C179" s="18"/>
      <c r="D179" s="20"/>
      <c r="E179" s="20"/>
      <c r="F179" s="20"/>
      <c r="G179" s="20"/>
    </row>
    <row r="180" spans="1:7" ht="14.1" customHeight="1" x14ac:dyDescent="0.2">
      <c r="A180" s="18"/>
      <c r="B180" s="279" t="s">
        <v>158</v>
      </c>
      <c r="C180" s="280"/>
      <c r="D180" s="12" t="s">
        <v>131</v>
      </c>
      <c r="E180" s="21"/>
      <c r="F180" s="20"/>
      <c r="G180" s="20"/>
    </row>
    <row r="181" spans="1:7" ht="29.1" customHeight="1" x14ac:dyDescent="0.2">
      <c r="A181" s="18"/>
      <c r="B181" s="274" t="s">
        <v>159</v>
      </c>
      <c r="C181" s="275"/>
      <c r="D181" s="2" t="s">
        <v>160</v>
      </c>
      <c r="E181" s="21"/>
      <c r="F181" s="20"/>
      <c r="G181" s="20"/>
    </row>
    <row r="182" spans="1:7" ht="17.100000000000001" customHeight="1" x14ac:dyDescent="0.2">
      <c r="A182" s="18"/>
      <c r="B182" s="274" t="s">
        <v>161</v>
      </c>
      <c r="C182" s="275"/>
      <c r="D182" s="2" t="s">
        <v>160</v>
      </c>
      <c r="E182" s="21"/>
      <c r="F182" s="20"/>
      <c r="G182" s="20"/>
    </row>
    <row r="183" spans="1:7" ht="17.100000000000001" customHeight="1" x14ac:dyDescent="0.2">
      <c r="A183" s="18"/>
      <c r="B183" s="274" t="s">
        <v>162</v>
      </c>
      <c r="C183" s="275"/>
      <c r="D183" s="12" t="s">
        <v>131</v>
      </c>
      <c r="E183" s="21"/>
      <c r="F183" s="20"/>
      <c r="G183" s="20"/>
    </row>
    <row r="184" spans="1:7" ht="24" customHeight="1" x14ac:dyDescent="0.2">
      <c r="A184" s="22"/>
      <c r="B184" s="23" t="s">
        <v>131</v>
      </c>
      <c r="C184" s="23" t="s">
        <v>163</v>
      </c>
      <c r="D184" s="23" t="s">
        <v>164</v>
      </c>
      <c r="E184" s="22"/>
      <c r="F184" s="22"/>
      <c r="G184" s="22"/>
    </row>
    <row r="185" spans="1:7" ht="18" customHeight="1" x14ac:dyDescent="0.2">
      <c r="A185" s="22"/>
      <c r="B185" s="23" t="s">
        <v>165</v>
      </c>
      <c r="C185" s="23" t="s">
        <v>166</v>
      </c>
      <c r="D185" s="23" t="s">
        <v>167</v>
      </c>
      <c r="E185" s="22"/>
      <c r="F185" s="22"/>
      <c r="G185" s="22"/>
    </row>
    <row r="186" spans="1:7" ht="17.100000000000001" customHeight="1" x14ac:dyDescent="0.2">
      <c r="A186" s="22"/>
      <c r="B186" s="4" t="s">
        <v>168</v>
      </c>
      <c r="C186" s="24">
        <v>113.8231</v>
      </c>
      <c r="D186" s="24">
        <v>115.8304</v>
      </c>
      <c r="E186" s="22"/>
      <c r="F186" s="19"/>
      <c r="G186" s="25"/>
    </row>
    <row r="187" spans="1:7" ht="17.100000000000001" customHeight="1" x14ac:dyDescent="0.2">
      <c r="A187" s="22"/>
      <c r="B187" s="4" t="s">
        <v>1048</v>
      </c>
      <c r="C187" s="24">
        <v>66.892200000000003</v>
      </c>
      <c r="D187" s="24">
        <v>68.071799999999996</v>
      </c>
      <c r="E187" s="22"/>
      <c r="F187" s="19"/>
      <c r="G187" s="25"/>
    </row>
    <row r="188" spans="1:7" ht="17.100000000000001" customHeight="1" x14ac:dyDescent="0.2">
      <c r="A188" s="22"/>
      <c r="B188" s="4" t="s">
        <v>169</v>
      </c>
      <c r="C188" s="24">
        <v>109.5107</v>
      </c>
      <c r="D188" s="24">
        <v>111.40219999999999</v>
      </c>
      <c r="E188" s="22"/>
      <c r="F188" s="19"/>
      <c r="G188" s="25"/>
    </row>
    <row r="189" spans="1:7" ht="17.100000000000001" customHeight="1" x14ac:dyDescent="0.2">
      <c r="A189" s="22"/>
      <c r="B189" s="4" t="s">
        <v>1049</v>
      </c>
      <c r="C189" s="24">
        <v>64.361599999999996</v>
      </c>
      <c r="D189" s="24">
        <v>65.473299999999995</v>
      </c>
      <c r="E189" s="22"/>
      <c r="F189" s="19"/>
      <c r="G189" s="25"/>
    </row>
    <row r="190" spans="1:7" ht="14.1" customHeight="1" x14ac:dyDescent="0.2">
      <c r="A190" s="22"/>
      <c r="B190" s="22"/>
      <c r="C190" s="22"/>
      <c r="D190" s="22"/>
      <c r="E190" s="22"/>
      <c r="F190" s="22"/>
      <c r="G190" s="22"/>
    </row>
    <row r="191" spans="1:7" ht="17.100000000000001" customHeight="1" x14ac:dyDescent="0.2">
      <c r="A191" s="22"/>
      <c r="B191" s="274" t="s">
        <v>1060</v>
      </c>
      <c r="C191" s="275"/>
      <c r="D191" s="2" t="s">
        <v>160</v>
      </c>
      <c r="E191" s="22"/>
      <c r="F191" s="22"/>
      <c r="G191" s="22"/>
    </row>
    <row r="192" spans="1:7" ht="18" customHeight="1" x14ac:dyDescent="0.2">
      <c r="A192" s="22"/>
      <c r="B192" s="26" t="s">
        <v>170</v>
      </c>
      <c r="C192" s="26" t="s">
        <v>170</v>
      </c>
      <c r="D192" s="26"/>
      <c r="E192" s="22"/>
      <c r="F192" s="22"/>
      <c r="G192" s="22"/>
    </row>
    <row r="193" spans="1:7" ht="29.1" customHeight="1" x14ac:dyDescent="0.2">
      <c r="A193" s="22"/>
      <c r="B193" s="274" t="s">
        <v>171</v>
      </c>
      <c r="C193" s="275"/>
      <c r="D193" s="2" t="s">
        <v>160</v>
      </c>
      <c r="E193" s="22"/>
      <c r="F193" s="22"/>
      <c r="G193" s="22"/>
    </row>
    <row r="194" spans="1:7" ht="29.1" customHeight="1" x14ac:dyDescent="0.2">
      <c r="A194" s="22"/>
      <c r="B194" s="274" t="s">
        <v>172</v>
      </c>
      <c r="C194" s="275"/>
      <c r="D194" s="2" t="s">
        <v>160</v>
      </c>
      <c r="E194" s="22"/>
      <c r="F194" s="22"/>
      <c r="G194" s="22"/>
    </row>
    <row r="195" spans="1:7" ht="17.100000000000001" customHeight="1" x14ac:dyDescent="0.2">
      <c r="A195" s="22"/>
      <c r="B195" s="274" t="s">
        <v>173</v>
      </c>
      <c r="C195" s="275"/>
      <c r="D195" s="27">
        <v>0.49947990013675919</v>
      </c>
      <c r="E195" s="22"/>
      <c r="F195" s="19"/>
      <c r="G195" s="25"/>
    </row>
    <row r="196" spans="1:7" ht="17.100000000000001" customHeight="1" x14ac:dyDescent="0.2">
      <c r="A196" s="22"/>
      <c r="B196" s="274" t="s">
        <v>174</v>
      </c>
      <c r="C196" s="275"/>
      <c r="D196" s="2" t="s">
        <v>160</v>
      </c>
      <c r="E196" s="22"/>
      <c r="F196" s="22"/>
      <c r="G196" s="22"/>
    </row>
  </sheetData>
  <mergeCells count="16">
    <mergeCell ref="J2:N2"/>
    <mergeCell ref="B180:C180"/>
    <mergeCell ref="B175:F175"/>
    <mergeCell ref="B177:F177"/>
    <mergeCell ref="B176:F176"/>
    <mergeCell ref="A1:H1"/>
    <mergeCell ref="A2:H2"/>
    <mergeCell ref="A3:H3"/>
    <mergeCell ref="B195:C195"/>
    <mergeCell ref="B196:C196"/>
    <mergeCell ref="B181:C181"/>
    <mergeCell ref="B182:C182"/>
    <mergeCell ref="B183:C183"/>
    <mergeCell ref="B191:C191"/>
    <mergeCell ref="B193:C193"/>
    <mergeCell ref="B194:C194"/>
  </mergeCells>
  <hyperlinks>
    <hyperlink ref="I1" location="Index!B30" display="Index" xr:uid="{C535C0DE-4BFE-450B-8B97-7364E592885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1078</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968000</v>
      </c>
      <c r="F7" s="6">
        <v>8796.2160000000003</v>
      </c>
      <c r="G7" s="7">
        <v>8.9353012999999995E-2</v>
      </c>
      <c r="H7" s="106"/>
    </row>
    <row r="8" spans="1:14" ht="17.100000000000001" customHeight="1" x14ac:dyDescent="0.2">
      <c r="A8" s="3">
        <v>2</v>
      </c>
      <c r="B8" s="4" t="s">
        <v>264</v>
      </c>
      <c r="C8" s="4" t="s">
        <v>265</v>
      </c>
      <c r="D8" s="4" t="s">
        <v>16</v>
      </c>
      <c r="E8" s="5">
        <v>335117</v>
      </c>
      <c r="F8" s="6">
        <v>5015.6961389999997</v>
      </c>
      <c r="G8" s="7">
        <v>5.0950040000000002E-2</v>
      </c>
      <c r="H8" s="106"/>
    </row>
    <row r="9" spans="1:14" ht="17.100000000000001" customHeight="1" x14ac:dyDescent="0.2">
      <c r="A9" s="3">
        <v>3</v>
      </c>
      <c r="B9" s="4" t="s">
        <v>20</v>
      </c>
      <c r="C9" s="4" t="s">
        <v>21</v>
      </c>
      <c r="D9" s="4" t="s">
        <v>22</v>
      </c>
      <c r="E9" s="5">
        <v>175000</v>
      </c>
      <c r="F9" s="6">
        <v>4461.8</v>
      </c>
      <c r="G9" s="7">
        <v>4.5323496999999997E-2</v>
      </c>
      <c r="H9" s="106"/>
    </row>
    <row r="10" spans="1:14" ht="17.100000000000001" customHeight="1" x14ac:dyDescent="0.2">
      <c r="A10" s="3">
        <v>4</v>
      </c>
      <c r="B10" s="4" t="s">
        <v>296</v>
      </c>
      <c r="C10" s="4" t="s">
        <v>297</v>
      </c>
      <c r="D10" s="4" t="s">
        <v>1114</v>
      </c>
      <c r="E10" s="5">
        <v>288000</v>
      </c>
      <c r="F10" s="6">
        <v>4428.4319999999998</v>
      </c>
      <c r="G10" s="7">
        <v>4.4984541000000003E-2</v>
      </c>
      <c r="H10" s="106"/>
    </row>
    <row r="11" spans="1:14" ht="17.100000000000001" customHeight="1" x14ac:dyDescent="0.2">
      <c r="A11" s="3">
        <v>5</v>
      </c>
      <c r="B11" s="4" t="s">
        <v>42</v>
      </c>
      <c r="C11" s="4" t="s">
        <v>43</v>
      </c>
      <c r="D11" s="4" t="s">
        <v>16</v>
      </c>
      <c r="E11" s="5">
        <v>770000</v>
      </c>
      <c r="F11" s="6">
        <v>4418.26</v>
      </c>
      <c r="G11" s="7">
        <v>4.4881213000000003E-2</v>
      </c>
      <c r="H11" s="106"/>
    </row>
    <row r="12" spans="1:14" ht="29.1" customHeight="1" x14ac:dyDescent="0.2">
      <c r="A12" s="3">
        <v>6</v>
      </c>
      <c r="B12" s="4" t="s">
        <v>298</v>
      </c>
      <c r="C12" s="4" t="s">
        <v>299</v>
      </c>
      <c r="D12" s="4" t="s">
        <v>99</v>
      </c>
      <c r="E12" s="5">
        <v>157000</v>
      </c>
      <c r="F12" s="6">
        <v>3877.5859999999998</v>
      </c>
      <c r="G12" s="7">
        <v>3.9388982000000003E-2</v>
      </c>
      <c r="H12" s="106"/>
    </row>
    <row r="13" spans="1:14" ht="17.100000000000001" customHeight="1" x14ac:dyDescent="0.2">
      <c r="A13" s="3">
        <v>7</v>
      </c>
      <c r="B13" s="4" t="s">
        <v>178</v>
      </c>
      <c r="C13" s="4" t="s">
        <v>179</v>
      </c>
      <c r="D13" s="4" t="s">
        <v>16</v>
      </c>
      <c r="E13" s="5">
        <v>410005</v>
      </c>
      <c r="F13" s="6">
        <v>3714.6453000000001</v>
      </c>
      <c r="G13" s="7">
        <v>3.7733810999999999E-2</v>
      </c>
      <c r="H13" s="106"/>
      <c r="J13" s="161" t="s">
        <v>1097</v>
      </c>
    </row>
    <row r="14" spans="1:14" ht="53.1" customHeight="1" x14ac:dyDescent="0.2">
      <c r="A14" s="3">
        <v>8</v>
      </c>
      <c r="B14" s="4" t="s">
        <v>46</v>
      </c>
      <c r="C14" s="4" t="s">
        <v>47</v>
      </c>
      <c r="D14" s="4" t="s">
        <v>48</v>
      </c>
      <c r="E14" s="5">
        <v>2405310</v>
      </c>
      <c r="F14" s="6">
        <v>3687.3402299999998</v>
      </c>
      <c r="G14" s="7">
        <v>3.7456442E-2</v>
      </c>
      <c r="H14" s="106"/>
    </row>
    <row r="15" spans="1:14" ht="17.100000000000001" customHeight="1" x14ac:dyDescent="0.2">
      <c r="A15" s="3">
        <v>9</v>
      </c>
      <c r="B15" s="4" t="s">
        <v>37</v>
      </c>
      <c r="C15" s="4" t="s">
        <v>38</v>
      </c>
      <c r="D15" s="4" t="s">
        <v>31</v>
      </c>
      <c r="E15" s="5">
        <v>125297</v>
      </c>
      <c r="F15" s="6">
        <v>3480.0615265000001</v>
      </c>
      <c r="G15" s="7">
        <v>3.5350881000000001E-2</v>
      </c>
      <c r="H15" s="106"/>
    </row>
    <row r="16" spans="1:14" ht="17.100000000000001" customHeight="1" x14ac:dyDescent="0.2">
      <c r="A16" s="3">
        <v>10</v>
      </c>
      <c r="B16" s="4" t="s">
        <v>68</v>
      </c>
      <c r="C16" s="4" t="s">
        <v>69</v>
      </c>
      <c r="D16" s="4" t="s">
        <v>70</v>
      </c>
      <c r="E16" s="5">
        <v>33000</v>
      </c>
      <c r="F16" s="6">
        <v>3144.1080000000002</v>
      </c>
      <c r="G16" s="7">
        <v>3.1938225000000001E-2</v>
      </c>
      <c r="H16" s="106"/>
    </row>
    <row r="17" spans="1:10" ht="17.100000000000001" customHeight="1" x14ac:dyDescent="0.2">
      <c r="A17" s="3">
        <v>11</v>
      </c>
      <c r="B17" s="4" t="s">
        <v>306</v>
      </c>
      <c r="C17" s="4" t="s">
        <v>307</v>
      </c>
      <c r="D17" s="4" t="s">
        <v>1114</v>
      </c>
      <c r="E17" s="5">
        <v>78000</v>
      </c>
      <c r="F17" s="6">
        <v>2490.6570000000002</v>
      </c>
      <c r="G17" s="7">
        <v>2.5300390999999998E-2</v>
      </c>
      <c r="H17" s="106"/>
    </row>
    <row r="18" spans="1:10" ht="17.100000000000001" customHeight="1" x14ac:dyDescent="0.2">
      <c r="A18" s="3">
        <v>12</v>
      </c>
      <c r="B18" s="4" t="s">
        <v>228</v>
      </c>
      <c r="C18" s="4" t="s">
        <v>229</v>
      </c>
      <c r="D18" s="4" t="s">
        <v>230</v>
      </c>
      <c r="E18" s="5">
        <v>361925</v>
      </c>
      <c r="F18" s="6">
        <v>2207.5615375000002</v>
      </c>
      <c r="G18" s="7">
        <v>2.2424673999999999E-2</v>
      </c>
      <c r="H18" s="106"/>
    </row>
    <row r="19" spans="1:10" ht="17.100000000000001" customHeight="1" x14ac:dyDescent="0.2">
      <c r="A19" s="3">
        <v>13</v>
      </c>
      <c r="B19" s="4" t="s">
        <v>343</v>
      </c>
      <c r="C19" s="102" t="s">
        <v>1013</v>
      </c>
      <c r="D19" s="4" t="s">
        <v>19</v>
      </c>
      <c r="E19" s="5">
        <v>443000</v>
      </c>
      <c r="F19" s="6">
        <v>1948.7570000000001</v>
      </c>
      <c r="G19" s="7">
        <v>1.9795706E-2</v>
      </c>
      <c r="H19" s="106"/>
    </row>
    <row r="20" spans="1:10" ht="29.1" customHeight="1" x14ac:dyDescent="0.2">
      <c r="A20" s="3">
        <v>14</v>
      </c>
      <c r="B20" s="4" t="s">
        <v>302</v>
      </c>
      <c r="C20" s="4" t="s">
        <v>303</v>
      </c>
      <c r="D20" s="4" t="s">
        <v>204</v>
      </c>
      <c r="E20" s="5">
        <v>185514</v>
      </c>
      <c r="F20" s="6">
        <v>1886.4918660000001</v>
      </c>
      <c r="G20" s="7">
        <v>1.916321E-2</v>
      </c>
      <c r="H20" s="106"/>
    </row>
    <row r="21" spans="1:10" ht="17.100000000000001" customHeight="1" x14ac:dyDescent="0.2">
      <c r="A21" s="3">
        <v>15</v>
      </c>
      <c r="B21" s="4" t="s">
        <v>34</v>
      </c>
      <c r="C21" s="4" t="s">
        <v>35</v>
      </c>
      <c r="D21" s="4" t="s">
        <v>36</v>
      </c>
      <c r="E21" s="5">
        <v>60212</v>
      </c>
      <c r="F21" s="6">
        <v>1836.31547</v>
      </c>
      <c r="G21" s="7">
        <v>1.8653512000000001E-2</v>
      </c>
      <c r="H21" s="106"/>
    </row>
    <row r="22" spans="1:10" ht="17.100000000000001" customHeight="1" x14ac:dyDescent="0.2">
      <c r="A22" s="3">
        <v>16</v>
      </c>
      <c r="B22" s="4" t="s">
        <v>308</v>
      </c>
      <c r="C22" s="4" t="s">
        <v>309</v>
      </c>
      <c r="D22" s="4" t="s">
        <v>310</v>
      </c>
      <c r="E22" s="5">
        <v>68396</v>
      </c>
      <c r="F22" s="6">
        <v>1744.5767719999999</v>
      </c>
      <c r="G22" s="7">
        <v>1.7721619000000001E-2</v>
      </c>
      <c r="H22" s="106"/>
      <c r="J22" s="161" t="s">
        <v>1105</v>
      </c>
    </row>
    <row r="23" spans="1:10" ht="17.100000000000001" customHeight="1" x14ac:dyDescent="0.2">
      <c r="A23" s="3">
        <v>17</v>
      </c>
      <c r="B23" s="4" t="s">
        <v>176</v>
      </c>
      <c r="C23" s="4" t="s">
        <v>177</v>
      </c>
      <c r="D23" s="4" t="s">
        <v>16</v>
      </c>
      <c r="E23" s="5">
        <v>1292000</v>
      </c>
      <c r="F23" s="6">
        <v>1698.98</v>
      </c>
      <c r="G23" s="7">
        <v>1.7258441999999999E-2</v>
      </c>
      <c r="H23" s="106"/>
    </row>
    <row r="24" spans="1:10" ht="17.100000000000001" customHeight="1" x14ac:dyDescent="0.2">
      <c r="A24" s="3">
        <v>18</v>
      </c>
      <c r="B24" s="4" t="s">
        <v>358</v>
      </c>
      <c r="C24" s="4" t="s">
        <v>359</v>
      </c>
      <c r="D24" s="4" t="s">
        <v>70</v>
      </c>
      <c r="E24" s="5">
        <v>403269</v>
      </c>
      <c r="F24" s="6">
        <v>1664.4927975000001</v>
      </c>
      <c r="G24" s="7">
        <v>1.6908117E-2</v>
      </c>
      <c r="H24" s="106"/>
    </row>
    <row r="25" spans="1:10" ht="17.100000000000001" customHeight="1" x14ac:dyDescent="0.2">
      <c r="A25" s="3">
        <v>19</v>
      </c>
      <c r="B25" s="4" t="s">
        <v>194</v>
      </c>
      <c r="C25" s="4" t="s">
        <v>195</v>
      </c>
      <c r="D25" s="4" t="s">
        <v>16</v>
      </c>
      <c r="E25" s="5">
        <v>1077030</v>
      </c>
      <c r="F25" s="6">
        <v>1590.77331</v>
      </c>
      <c r="G25" s="7">
        <v>1.6159264999999999E-2</v>
      </c>
      <c r="H25" s="106"/>
    </row>
    <row r="26" spans="1:10" ht="53.1" customHeight="1" x14ac:dyDescent="0.2">
      <c r="A26" s="3">
        <v>20</v>
      </c>
      <c r="B26" s="4" t="s">
        <v>90</v>
      </c>
      <c r="C26" s="4" t="s">
        <v>91</v>
      </c>
      <c r="D26" s="4" t="s">
        <v>48</v>
      </c>
      <c r="E26" s="5">
        <v>98510</v>
      </c>
      <c r="F26" s="6">
        <v>1552.6161099999999</v>
      </c>
      <c r="G26" s="7">
        <v>1.577166E-2</v>
      </c>
      <c r="H26" s="106"/>
    </row>
    <row r="27" spans="1:10" ht="17.100000000000001" customHeight="1" x14ac:dyDescent="0.2">
      <c r="A27" s="3">
        <v>21</v>
      </c>
      <c r="B27" s="4" t="s">
        <v>346</v>
      </c>
      <c r="C27" s="4" t="s">
        <v>347</v>
      </c>
      <c r="D27" s="4" t="s">
        <v>16</v>
      </c>
      <c r="E27" s="5">
        <v>522654</v>
      </c>
      <c r="F27" s="6">
        <v>1517.7872159999999</v>
      </c>
      <c r="G27" s="7">
        <v>1.5417864E-2</v>
      </c>
      <c r="H27" s="106"/>
    </row>
    <row r="28" spans="1:10" ht="17.100000000000001" customHeight="1" x14ac:dyDescent="0.2">
      <c r="A28" s="3">
        <v>22</v>
      </c>
      <c r="B28" s="4" t="s">
        <v>11</v>
      </c>
      <c r="C28" s="4" t="s">
        <v>12</v>
      </c>
      <c r="D28" s="4" t="s">
        <v>13</v>
      </c>
      <c r="E28" s="5">
        <v>70588</v>
      </c>
      <c r="F28" s="6">
        <v>1428.065828</v>
      </c>
      <c r="G28" s="7">
        <v>1.4506463000000001E-2</v>
      </c>
      <c r="H28" s="106"/>
    </row>
    <row r="29" spans="1:10" ht="29.1" customHeight="1" x14ac:dyDescent="0.2">
      <c r="A29" s="3">
        <v>23</v>
      </c>
      <c r="B29" s="4" t="s">
        <v>189</v>
      </c>
      <c r="C29" s="4" t="s">
        <v>190</v>
      </c>
      <c r="D29" s="4" t="s">
        <v>110</v>
      </c>
      <c r="E29" s="5">
        <v>394000</v>
      </c>
      <c r="F29" s="6">
        <v>1427.462</v>
      </c>
      <c r="G29" s="7">
        <v>1.4500328999999999E-2</v>
      </c>
      <c r="H29" s="106"/>
    </row>
    <row r="30" spans="1:10" ht="29.1" customHeight="1" x14ac:dyDescent="0.2">
      <c r="A30" s="3">
        <v>24</v>
      </c>
      <c r="B30" s="4" t="s">
        <v>97</v>
      </c>
      <c r="C30" s="4" t="s">
        <v>98</v>
      </c>
      <c r="D30" s="4" t="s">
        <v>99</v>
      </c>
      <c r="E30" s="5">
        <v>197572</v>
      </c>
      <c r="F30" s="6">
        <v>1401.4769819999999</v>
      </c>
      <c r="G30" s="7">
        <v>1.4236370999999999E-2</v>
      </c>
      <c r="H30" s="106"/>
    </row>
    <row r="31" spans="1:10" ht="17.100000000000001" customHeight="1" x14ac:dyDescent="0.2">
      <c r="A31" s="3">
        <v>25</v>
      </c>
      <c r="B31" s="4" t="s">
        <v>511</v>
      </c>
      <c r="C31" s="4" t="s">
        <v>512</v>
      </c>
      <c r="D31" s="4" t="s">
        <v>324</v>
      </c>
      <c r="E31" s="5">
        <v>33000</v>
      </c>
      <c r="F31" s="6">
        <v>1369.3019999999999</v>
      </c>
      <c r="G31" s="7">
        <v>1.3909533E-2</v>
      </c>
      <c r="H31" s="106"/>
    </row>
    <row r="32" spans="1:10" ht="17.100000000000001" customHeight="1" x14ac:dyDescent="0.2">
      <c r="A32" s="3">
        <v>26</v>
      </c>
      <c r="B32" s="4" t="s">
        <v>258</v>
      </c>
      <c r="C32" s="4" t="s">
        <v>259</v>
      </c>
      <c r="D32" s="4" t="s">
        <v>99</v>
      </c>
      <c r="E32" s="5">
        <v>80000</v>
      </c>
      <c r="F32" s="6">
        <v>1350</v>
      </c>
      <c r="G32" s="7">
        <v>1.3713461E-2</v>
      </c>
      <c r="H32" s="106"/>
    </row>
    <row r="33" spans="1:8" ht="17.100000000000001" customHeight="1" x14ac:dyDescent="0.2">
      <c r="A33" s="3">
        <v>27</v>
      </c>
      <c r="B33" s="4" t="s">
        <v>243</v>
      </c>
      <c r="C33" s="4" t="s">
        <v>244</v>
      </c>
      <c r="D33" s="4" t="s">
        <v>245</v>
      </c>
      <c r="E33" s="5">
        <v>175000</v>
      </c>
      <c r="F33" s="6">
        <v>1239.0875000000001</v>
      </c>
      <c r="G33" s="7">
        <v>1.2586798999999999E-2</v>
      </c>
      <c r="H33" s="106"/>
    </row>
    <row r="34" spans="1:8" ht="17.100000000000001" customHeight="1" x14ac:dyDescent="0.2">
      <c r="A34" s="3">
        <v>28</v>
      </c>
      <c r="B34" s="4" t="s">
        <v>546</v>
      </c>
      <c r="C34" s="4" t="s">
        <v>547</v>
      </c>
      <c r="D34" s="4" t="s">
        <v>110</v>
      </c>
      <c r="E34" s="5">
        <v>165000</v>
      </c>
      <c r="F34" s="6">
        <v>1232.7149999999999</v>
      </c>
      <c r="G34" s="7">
        <v>1.2522066E-2</v>
      </c>
      <c r="H34" s="106"/>
    </row>
    <row r="35" spans="1:8" ht="29.1" customHeight="1" x14ac:dyDescent="0.2">
      <c r="A35" s="3">
        <v>29</v>
      </c>
      <c r="B35" s="4" t="s">
        <v>196</v>
      </c>
      <c r="C35" s="4" t="s">
        <v>197</v>
      </c>
      <c r="D35" s="4" t="s">
        <v>188</v>
      </c>
      <c r="E35" s="5">
        <v>26290</v>
      </c>
      <c r="F35" s="6">
        <v>1196.6550749999999</v>
      </c>
      <c r="G35" s="7">
        <v>1.2155765000000001E-2</v>
      </c>
      <c r="H35" s="106"/>
    </row>
    <row r="36" spans="1:8" ht="17.100000000000001" customHeight="1" x14ac:dyDescent="0.2">
      <c r="A36" s="3">
        <v>30</v>
      </c>
      <c r="B36" s="4" t="s">
        <v>354</v>
      </c>
      <c r="C36" s="4" t="s">
        <v>355</v>
      </c>
      <c r="D36" s="4" t="s">
        <v>182</v>
      </c>
      <c r="E36" s="5">
        <v>26000</v>
      </c>
      <c r="F36" s="6">
        <v>1123.434</v>
      </c>
      <c r="G36" s="7">
        <v>1.1411977E-2</v>
      </c>
      <c r="H36" s="106"/>
    </row>
    <row r="37" spans="1:8" ht="29.1" customHeight="1" x14ac:dyDescent="0.2">
      <c r="A37" s="3">
        <v>31</v>
      </c>
      <c r="B37" s="4" t="s">
        <v>23</v>
      </c>
      <c r="C37" s="4" t="s">
        <v>24</v>
      </c>
      <c r="D37" s="4" t="s">
        <v>25</v>
      </c>
      <c r="E37" s="5">
        <v>16000</v>
      </c>
      <c r="F37" s="6">
        <v>1074.3920000000001</v>
      </c>
      <c r="G37" s="7">
        <v>1.0913802E-2</v>
      </c>
      <c r="H37" s="106"/>
    </row>
    <row r="38" spans="1:8" ht="17.100000000000001" customHeight="1" x14ac:dyDescent="0.2">
      <c r="A38" s="3">
        <v>32</v>
      </c>
      <c r="B38" s="4" t="s">
        <v>106</v>
      </c>
      <c r="C38" s="4" t="s">
        <v>107</v>
      </c>
      <c r="D38" s="4" t="s">
        <v>89</v>
      </c>
      <c r="E38" s="5">
        <v>223346</v>
      </c>
      <c r="F38" s="6">
        <v>1039.452284</v>
      </c>
      <c r="G38" s="7">
        <v>1.055888E-2</v>
      </c>
      <c r="H38" s="106"/>
    </row>
    <row r="39" spans="1:8" ht="17.100000000000001" customHeight="1" x14ac:dyDescent="0.2">
      <c r="A39" s="3">
        <v>33</v>
      </c>
      <c r="B39" s="4" t="s">
        <v>532</v>
      </c>
      <c r="C39" s="4" t="s">
        <v>533</v>
      </c>
      <c r="D39" s="4" t="s">
        <v>268</v>
      </c>
      <c r="E39" s="5">
        <v>56776</v>
      </c>
      <c r="F39" s="6">
        <v>998.34918400000004</v>
      </c>
      <c r="G39" s="7">
        <v>1.014135E-2</v>
      </c>
      <c r="H39" s="106"/>
    </row>
    <row r="40" spans="1:8" ht="17.100000000000001" customHeight="1" x14ac:dyDescent="0.2">
      <c r="A40" s="3">
        <v>34</v>
      </c>
      <c r="B40" s="4" t="s">
        <v>191</v>
      </c>
      <c r="C40" s="4" t="s">
        <v>192</v>
      </c>
      <c r="D40" s="4" t="s">
        <v>193</v>
      </c>
      <c r="E40" s="5">
        <v>2000</v>
      </c>
      <c r="F40" s="6">
        <v>995.37300000000005</v>
      </c>
      <c r="G40" s="7">
        <v>1.0111118000000001E-2</v>
      </c>
      <c r="H40" s="106"/>
    </row>
    <row r="41" spans="1:8" ht="17.100000000000001" customHeight="1" x14ac:dyDescent="0.2">
      <c r="A41" s="3">
        <v>35</v>
      </c>
      <c r="B41" s="4" t="s">
        <v>100</v>
      </c>
      <c r="C41" s="4" t="s">
        <v>101</v>
      </c>
      <c r="D41" s="4" t="s">
        <v>96</v>
      </c>
      <c r="E41" s="5">
        <v>105000</v>
      </c>
      <c r="F41" s="6">
        <v>970.88250000000005</v>
      </c>
      <c r="G41" s="7">
        <v>9.8623400000000007E-3</v>
      </c>
      <c r="H41" s="106"/>
    </row>
    <row r="42" spans="1:8" ht="17.100000000000001" customHeight="1" x14ac:dyDescent="0.2">
      <c r="A42" s="3">
        <v>36</v>
      </c>
      <c r="B42" s="4" t="s">
        <v>528</v>
      </c>
      <c r="C42" s="4" t="s">
        <v>529</v>
      </c>
      <c r="D42" s="4" t="s">
        <v>70</v>
      </c>
      <c r="E42" s="5">
        <v>68000</v>
      </c>
      <c r="F42" s="6">
        <v>925.17399999999998</v>
      </c>
      <c r="G42" s="7">
        <v>9.3980279999999992E-3</v>
      </c>
      <c r="H42" s="106"/>
    </row>
    <row r="43" spans="1:8" ht="17.100000000000001" customHeight="1" x14ac:dyDescent="0.2">
      <c r="A43" s="3">
        <v>37</v>
      </c>
      <c r="B43" s="4" t="s">
        <v>538</v>
      </c>
      <c r="C43" s="4" t="s">
        <v>539</v>
      </c>
      <c r="D43" s="4" t="s">
        <v>89</v>
      </c>
      <c r="E43" s="5">
        <v>278622</v>
      </c>
      <c r="F43" s="6">
        <v>918.75604499999997</v>
      </c>
      <c r="G43" s="7">
        <v>9.3328339999999999E-3</v>
      </c>
      <c r="H43" s="106"/>
    </row>
    <row r="44" spans="1:8" ht="17.100000000000001" customHeight="1" x14ac:dyDescent="0.2">
      <c r="A44" s="3">
        <v>38</v>
      </c>
      <c r="B44" s="4" t="s">
        <v>507</v>
      </c>
      <c r="C44" s="4" t="s">
        <v>508</v>
      </c>
      <c r="D44" s="4" t="s">
        <v>324</v>
      </c>
      <c r="E44" s="5">
        <v>36000</v>
      </c>
      <c r="F44" s="6">
        <v>917.69399999999996</v>
      </c>
      <c r="G44" s="7">
        <v>9.3220449999999993E-3</v>
      </c>
      <c r="H44" s="106"/>
    </row>
    <row r="45" spans="1:8" ht="29.1" customHeight="1" x14ac:dyDescent="0.2">
      <c r="A45" s="3">
        <v>39</v>
      </c>
      <c r="B45" s="4" t="s">
        <v>607</v>
      </c>
      <c r="C45" s="4" t="s">
        <v>608</v>
      </c>
      <c r="D45" s="4" t="s">
        <v>188</v>
      </c>
      <c r="E45" s="5">
        <v>50000</v>
      </c>
      <c r="F45" s="6">
        <v>786.1</v>
      </c>
      <c r="G45" s="7">
        <v>7.985298E-3</v>
      </c>
      <c r="H45" s="106"/>
    </row>
    <row r="46" spans="1:8" ht="29.1" customHeight="1" x14ac:dyDescent="0.2">
      <c r="A46" s="3">
        <v>40</v>
      </c>
      <c r="B46" s="4" t="s">
        <v>252</v>
      </c>
      <c r="C46" s="4" t="s">
        <v>253</v>
      </c>
      <c r="D46" s="4" t="s">
        <v>204</v>
      </c>
      <c r="E46" s="5">
        <v>44000</v>
      </c>
      <c r="F46" s="6">
        <v>785.11400000000003</v>
      </c>
      <c r="G46" s="7">
        <v>7.9752820000000002E-3</v>
      </c>
      <c r="H46" s="106"/>
    </row>
    <row r="47" spans="1:8" ht="17.100000000000001" customHeight="1" x14ac:dyDescent="0.2">
      <c r="A47" s="3">
        <v>41</v>
      </c>
      <c r="B47" s="4" t="s">
        <v>87</v>
      </c>
      <c r="C47" s="4" t="s">
        <v>88</v>
      </c>
      <c r="D47" s="4" t="s">
        <v>89</v>
      </c>
      <c r="E47" s="5">
        <v>27000</v>
      </c>
      <c r="F47" s="6">
        <v>743.74199999999996</v>
      </c>
      <c r="G47" s="7">
        <v>7.55502E-3</v>
      </c>
      <c r="H47" s="106"/>
    </row>
    <row r="48" spans="1:8" ht="17.100000000000001" customHeight="1" x14ac:dyDescent="0.2">
      <c r="A48" s="3">
        <v>42</v>
      </c>
      <c r="B48" s="4" t="s">
        <v>300</v>
      </c>
      <c r="C48" s="4" t="s">
        <v>301</v>
      </c>
      <c r="D48" s="4" t="s">
        <v>245</v>
      </c>
      <c r="E48" s="5">
        <v>58000</v>
      </c>
      <c r="F48" s="6">
        <v>734.25099999999998</v>
      </c>
      <c r="G48" s="7">
        <v>7.4586089999999997E-3</v>
      </c>
      <c r="H48" s="106"/>
    </row>
    <row r="49" spans="1:8" ht="29.1" customHeight="1" x14ac:dyDescent="0.2">
      <c r="A49" s="3">
        <v>43</v>
      </c>
      <c r="B49" s="4" t="s">
        <v>222</v>
      </c>
      <c r="C49" s="4" t="s">
        <v>223</v>
      </c>
      <c r="D49" s="4" t="s">
        <v>204</v>
      </c>
      <c r="E49" s="5">
        <v>79880</v>
      </c>
      <c r="F49" s="6">
        <v>722.99387999999999</v>
      </c>
      <c r="G49" s="7">
        <v>7.3442580000000002E-3</v>
      </c>
      <c r="H49" s="106"/>
    </row>
    <row r="50" spans="1:8" ht="29.1" customHeight="1" x14ac:dyDescent="0.2">
      <c r="A50" s="3">
        <v>44</v>
      </c>
      <c r="B50" s="4" t="s">
        <v>614</v>
      </c>
      <c r="C50" s="4" t="s">
        <v>615</v>
      </c>
      <c r="D50" s="4" t="s">
        <v>245</v>
      </c>
      <c r="E50" s="5">
        <v>61375</v>
      </c>
      <c r="F50" s="6">
        <v>718.05681249999998</v>
      </c>
      <c r="G50" s="7">
        <v>7.2941070000000002E-3</v>
      </c>
      <c r="H50" s="106"/>
    </row>
    <row r="51" spans="1:8" ht="17.100000000000001" customHeight="1" x14ac:dyDescent="0.2">
      <c r="A51" s="3">
        <v>45</v>
      </c>
      <c r="B51" s="4" t="s">
        <v>519</v>
      </c>
      <c r="C51" s="4" t="s">
        <v>520</v>
      </c>
      <c r="D51" s="4" t="s">
        <v>1114</v>
      </c>
      <c r="E51" s="5">
        <v>50504</v>
      </c>
      <c r="F51" s="6">
        <v>660.71857999999997</v>
      </c>
      <c r="G51" s="7">
        <v>6.7116579999999997E-3</v>
      </c>
      <c r="H51" s="106"/>
    </row>
    <row r="52" spans="1:8" ht="17.100000000000001" customHeight="1" x14ac:dyDescent="0.2">
      <c r="A52" s="3">
        <v>46</v>
      </c>
      <c r="B52" s="4" t="s">
        <v>740</v>
      </c>
      <c r="C52" s="4" t="s">
        <v>741</v>
      </c>
      <c r="D52" s="4" t="s">
        <v>1114</v>
      </c>
      <c r="E52" s="5">
        <v>17000</v>
      </c>
      <c r="F52" s="6">
        <v>647.63199999999995</v>
      </c>
      <c r="G52" s="7">
        <v>6.5787229999999999E-3</v>
      </c>
      <c r="H52" s="106"/>
    </row>
    <row r="53" spans="1:8" ht="17.100000000000001" customHeight="1" x14ac:dyDescent="0.2">
      <c r="A53" s="3">
        <v>47</v>
      </c>
      <c r="B53" s="4" t="s">
        <v>256</v>
      </c>
      <c r="C53" s="4" t="s">
        <v>257</v>
      </c>
      <c r="D53" s="4" t="s">
        <v>212</v>
      </c>
      <c r="E53" s="5">
        <v>200000</v>
      </c>
      <c r="F53" s="6">
        <v>554.9</v>
      </c>
      <c r="G53" s="7">
        <v>5.6367400000000003E-3</v>
      </c>
      <c r="H53" s="106"/>
    </row>
    <row r="54" spans="1:8" ht="29.1" customHeight="1" x14ac:dyDescent="0.2">
      <c r="A54" s="3">
        <v>48</v>
      </c>
      <c r="B54" s="4" t="s">
        <v>491</v>
      </c>
      <c r="C54" s="4" t="s">
        <v>492</v>
      </c>
      <c r="D54" s="4" t="s">
        <v>204</v>
      </c>
      <c r="E54" s="5">
        <v>46000</v>
      </c>
      <c r="F54" s="6">
        <v>537.00400000000002</v>
      </c>
      <c r="G54" s="7">
        <v>5.4549510000000004E-3</v>
      </c>
      <c r="H54" s="106"/>
    </row>
    <row r="55" spans="1:8" ht="29.1" customHeight="1" x14ac:dyDescent="0.2">
      <c r="A55" s="3">
        <v>49</v>
      </c>
      <c r="B55" s="4" t="s">
        <v>352</v>
      </c>
      <c r="C55" s="4" t="s">
        <v>353</v>
      </c>
      <c r="D55" s="4" t="s">
        <v>204</v>
      </c>
      <c r="E55" s="5">
        <v>14839</v>
      </c>
      <c r="F55" s="6">
        <v>535.52467100000001</v>
      </c>
      <c r="G55" s="7">
        <v>5.4399239999999996E-3</v>
      </c>
      <c r="H55" s="106"/>
    </row>
    <row r="56" spans="1:8" ht="17.100000000000001" customHeight="1" x14ac:dyDescent="0.2">
      <c r="A56" s="3">
        <v>50</v>
      </c>
      <c r="B56" s="4" t="s">
        <v>605</v>
      </c>
      <c r="C56" s="4" t="s">
        <v>606</v>
      </c>
      <c r="D56" s="4" t="s">
        <v>185</v>
      </c>
      <c r="E56" s="5">
        <v>55000</v>
      </c>
      <c r="F56" s="6">
        <v>492.99250000000001</v>
      </c>
      <c r="G56" s="7">
        <v>5.007877E-3</v>
      </c>
      <c r="H56" s="106"/>
    </row>
    <row r="57" spans="1:8" ht="17.100000000000001" customHeight="1" x14ac:dyDescent="0.2">
      <c r="A57" s="3">
        <v>51</v>
      </c>
      <c r="B57" s="4" t="s">
        <v>341</v>
      </c>
      <c r="C57" s="4" t="s">
        <v>342</v>
      </c>
      <c r="D57" s="4" t="s">
        <v>237</v>
      </c>
      <c r="E57" s="5">
        <v>427730</v>
      </c>
      <c r="F57" s="6">
        <v>434.35981500000003</v>
      </c>
      <c r="G57" s="7">
        <v>4.4122789999999999E-3</v>
      </c>
      <c r="H57" s="106"/>
    </row>
    <row r="58" spans="1:8" ht="17.100000000000001" customHeight="1" x14ac:dyDescent="0.2">
      <c r="A58" s="3">
        <v>52</v>
      </c>
      <c r="B58" s="4" t="s">
        <v>269</v>
      </c>
      <c r="C58" s="4" t="s">
        <v>270</v>
      </c>
      <c r="D58" s="4" t="s">
        <v>89</v>
      </c>
      <c r="E58" s="5">
        <v>80000</v>
      </c>
      <c r="F58" s="6">
        <v>429.36</v>
      </c>
      <c r="G58" s="7">
        <v>4.36149E-3</v>
      </c>
      <c r="H58" s="106"/>
    </row>
    <row r="59" spans="1:8" ht="17.100000000000001" customHeight="1" x14ac:dyDescent="0.2">
      <c r="A59" s="3">
        <v>53</v>
      </c>
      <c r="B59" s="4" t="s">
        <v>233</v>
      </c>
      <c r="C59" s="4" t="s">
        <v>234</v>
      </c>
      <c r="D59" s="4" t="s">
        <v>110</v>
      </c>
      <c r="E59" s="5">
        <v>44000</v>
      </c>
      <c r="F59" s="6">
        <v>385.52800000000002</v>
      </c>
      <c r="G59" s="7">
        <v>3.9162390000000002E-3</v>
      </c>
      <c r="H59" s="106"/>
    </row>
    <row r="60" spans="1:8" ht="17.100000000000001" customHeight="1" x14ac:dyDescent="0.2">
      <c r="A60" s="3">
        <v>54</v>
      </c>
      <c r="B60" s="4" t="s">
        <v>325</v>
      </c>
      <c r="C60" s="4" t="s">
        <v>326</v>
      </c>
      <c r="D60" s="4" t="s">
        <v>1114</v>
      </c>
      <c r="E60" s="5">
        <v>91000</v>
      </c>
      <c r="F60" s="6">
        <v>351.76049999999998</v>
      </c>
      <c r="G60" s="7">
        <v>3.5732250000000002E-3</v>
      </c>
      <c r="H60" s="106"/>
    </row>
    <row r="61" spans="1:8" ht="17.100000000000001" customHeight="1" x14ac:dyDescent="0.2">
      <c r="A61" s="3">
        <v>55</v>
      </c>
      <c r="B61" s="4" t="s">
        <v>125</v>
      </c>
      <c r="C61" s="4" t="s">
        <v>126</v>
      </c>
      <c r="D61" s="4"/>
      <c r="E61" s="5">
        <v>98510</v>
      </c>
      <c r="F61" s="6">
        <v>297.25392499999998</v>
      </c>
      <c r="G61" s="7">
        <v>3.0195410000000002E-3</v>
      </c>
      <c r="H61" s="106"/>
    </row>
    <row r="62" spans="1:8" ht="17.100000000000001" customHeight="1" x14ac:dyDescent="0.2">
      <c r="A62" s="3">
        <v>56</v>
      </c>
      <c r="B62" s="4" t="s">
        <v>673</v>
      </c>
      <c r="C62" s="4" t="s">
        <v>674</v>
      </c>
      <c r="D62" s="4" t="s">
        <v>182</v>
      </c>
      <c r="E62" s="5">
        <v>370890</v>
      </c>
      <c r="F62" s="6">
        <v>234.03158999999999</v>
      </c>
      <c r="G62" s="7">
        <v>2.3773209999999999E-3</v>
      </c>
      <c r="H62" s="106"/>
    </row>
    <row r="63" spans="1:8" ht="17.100000000000001" customHeight="1" x14ac:dyDescent="0.2">
      <c r="A63" s="3">
        <v>57</v>
      </c>
      <c r="B63" s="4" t="s">
        <v>388</v>
      </c>
      <c r="C63" s="4" t="s">
        <v>389</v>
      </c>
      <c r="D63" s="4" t="s">
        <v>99</v>
      </c>
      <c r="E63" s="5">
        <v>40000</v>
      </c>
      <c r="F63" s="6">
        <v>209.74</v>
      </c>
      <c r="G63" s="7">
        <v>2.1305640000000002E-3</v>
      </c>
      <c r="H63" s="106"/>
    </row>
    <row r="64" spans="1:8" ht="17.100000000000001" customHeight="1" x14ac:dyDescent="0.2">
      <c r="A64" s="3">
        <v>58</v>
      </c>
      <c r="B64" s="4" t="s">
        <v>609</v>
      </c>
      <c r="C64" s="4" t="s">
        <v>610</v>
      </c>
      <c r="D64" s="4" t="s">
        <v>41</v>
      </c>
      <c r="E64" s="5">
        <v>9153</v>
      </c>
      <c r="F64" s="6">
        <v>163.07900100000001</v>
      </c>
      <c r="G64" s="7">
        <v>1.6565760000000001E-3</v>
      </c>
      <c r="H64" s="106"/>
    </row>
    <row r="65" spans="1:8" ht="17.100000000000001" customHeight="1" x14ac:dyDescent="0.2">
      <c r="A65" s="3">
        <v>59</v>
      </c>
      <c r="B65" s="4" t="s">
        <v>558</v>
      </c>
      <c r="C65" s="4" t="s">
        <v>559</v>
      </c>
      <c r="D65" s="4" t="s">
        <v>182</v>
      </c>
      <c r="E65" s="5">
        <v>8126</v>
      </c>
      <c r="F65" s="6">
        <v>117.749803</v>
      </c>
      <c r="G65" s="7">
        <v>1.196117E-3</v>
      </c>
      <c r="H65" s="106"/>
    </row>
    <row r="66" spans="1:8" ht="17.100000000000001" customHeight="1" x14ac:dyDescent="0.2">
      <c r="A66" s="3">
        <v>60</v>
      </c>
      <c r="B66" s="4" t="s">
        <v>320</v>
      </c>
      <c r="C66" s="4" t="s">
        <v>321</v>
      </c>
      <c r="D66" s="4" t="s">
        <v>230</v>
      </c>
      <c r="E66" s="5">
        <v>7645</v>
      </c>
      <c r="F66" s="6">
        <v>110.6346175</v>
      </c>
      <c r="G66" s="7">
        <v>1.1238400000000001E-3</v>
      </c>
      <c r="H66" s="106"/>
    </row>
    <row r="67" spans="1:8" ht="14.1" customHeight="1" x14ac:dyDescent="0.2">
      <c r="A67" s="1"/>
      <c r="B67" s="1"/>
      <c r="C67" s="2" t="s">
        <v>130</v>
      </c>
      <c r="D67" s="1"/>
      <c r="E67" s="1" t="s">
        <v>131</v>
      </c>
      <c r="F67" s="9">
        <v>95423.952367500024</v>
      </c>
      <c r="G67" s="10">
        <v>0.9693279050000001</v>
      </c>
      <c r="H67" s="106"/>
    </row>
    <row r="68" spans="1:8" ht="14.1" customHeight="1" x14ac:dyDescent="0.2">
      <c r="A68" s="1"/>
      <c r="B68" s="1"/>
      <c r="C68" s="11"/>
      <c r="D68" s="1"/>
      <c r="E68" s="1"/>
      <c r="F68" s="12"/>
      <c r="G68" s="12"/>
      <c r="H68" s="106"/>
    </row>
    <row r="69" spans="1:8" ht="14.1" customHeight="1" x14ac:dyDescent="0.2">
      <c r="A69" s="1"/>
      <c r="B69" s="1"/>
      <c r="C69" s="2" t="s">
        <v>132</v>
      </c>
      <c r="D69" s="1"/>
      <c r="E69" s="1"/>
      <c r="F69" s="1"/>
      <c r="G69" s="1"/>
      <c r="H69" s="106"/>
    </row>
    <row r="70" spans="1:8" ht="14.1" customHeight="1" x14ac:dyDescent="0.2">
      <c r="A70" s="1"/>
      <c r="B70" s="1"/>
      <c r="C70" s="2" t="s">
        <v>130</v>
      </c>
      <c r="D70" s="1"/>
      <c r="E70" s="1" t="s">
        <v>131</v>
      </c>
      <c r="F70" s="13">
        <v>0</v>
      </c>
      <c r="G70" s="14">
        <v>0</v>
      </c>
      <c r="H70" s="106"/>
    </row>
    <row r="71" spans="1:8" ht="14.1" customHeight="1" x14ac:dyDescent="0.2">
      <c r="A71" s="1"/>
      <c r="B71" s="1"/>
      <c r="C71" s="11"/>
      <c r="D71" s="1"/>
      <c r="E71" s="1"/>
      <c r="F71" s="12"/>
      <c r="G71" s="12"/>
      <c r="H71" s="106"/>
    </row>
    <row r="72" spans="1:8" ht="14.1" customHeight="1" x14ac:dyDescent="0.2">
      <c r="A72" s="1"/>
      <c r="B72" s="1"/>
      <c r="C72" s="2" t="s">
        <v>133</v>
      </c>
      <c r="D72" s="1"/>
      <c r="E72" s="1"/>
      <c r="F72" s="1"/>
      <c r="G72" s="1"/>
      <c r="H72" s="106"/>
    </row>
    <row r="73" spans="1:8" ht="29.1" customHeight="1" x14ac:dyDescent="0.2">
      <c r="A73" s="3">
        <v>1</v>
      </c>
      <c r="B73" s="4" t="s">
        <v>646</v>
      </c>
      <c r="C73" s="4" t="s">
        <v>999</v>
      </c>
      <c r="D73" s="4" t="s">
        <v>647</v>
      </c>
      <c r="E73" s="5">
        <v>374002</v>
      </c>
      <c r="F73" s="6">
        <v>19.448104000000001</v>
      </c>
      <c r="G73" s="7">
        <v>1.9755599999999999E-4</v>
      </c>
      <c r="H73" s="106"/>
    </row>
    <row r="74" spans="1:8" ht="17.100000000000001" customHeight="1" x14ac:dyDescent="0.2">
      <c r="A74" s="3">
        <v>2</v>
      </c>
      <c r="B74" s="4" t="s">
        <v>655</v>
      </c>
      <c r="C74" s="4" t="s">
        <v>1000</v>
      </c>
      <c r="D74" s="4"/>
      <c r="E74" s="5">
        <v>200000</v>
      </c>
      <c r="F74" s="6">
        <v>1.9999999999999999E-6</v>
      </c>
      <c r="G74" s="8" t="s">
        <v>129</v>
      </c>
      <c r="H74" s="106"/>
    </row>
    <row r="75" spans="1:8" ht="14.1" customHeight="1" x14ac:dyDescent="0.2">
      <c r="A75" s="1"/>
      <c r="B75" s="1"/>
      <c r="C75" s="2" t="s">
        <v>130</v>
      </c>
      <c r="D75" s="1"/>
      <c r="E75" s="1" t="s">
        <v>131</v>
      </c>
      <c r="F75" s="13">
        <v>19.448105999999999</v>
      </c>
      <c r="G75" s="14">
        <v>1.9755599999999999E-4</v>
      </c>
      <c r="H75" s="106"/>
    </row>
    <row r="76" spans="1:8" ht="14.1" customHeight="1" x14ac:dyDescent="0.2">
      <c r="A76" s="1"/>
      <c r="B76" s="1"/>
      <c r="C76" s="11"/>
      <c r="D76" s="1"/>
      <c r="E76" s="1"/>
      <c r="F76" s="12"/>
      <c r="G76" s="12"/>
      <c r="H76" s="106"/>
    </row>
    <row r="77" spans="1:8" ht="14.1" customHeight="1" x14ac:dyDescent="0.2">
      <c r="A77" s="1"/>
      <c r="B77" s="1"/>
      <c r="C77" s="2" t="s">
        <v>134</v>
      </c>
      <c r="D77" s="1"/>
      <c r="E77" s="1"/>
      <c r="F77" s="1"/>
      <c r="G77" s="1"/>
      <c r="H77" s="106"/>
    </row>
    <row r="78" spans="1:8" ht="14.1" customHeight="1" x14ac:dyDescent="0.2">
      <c r="A78" s="1"/>
      <c r="B78" s="1"/>
      <c r="C78" s="2" t="s">
        <v>130</v>
      </c>
      <c r="D78" s="1"/>
      <c r="E78" s="1" t="s">
        <v>131</v>
      </c>
      <c r="F78" s="9">
        <v>0</v>
      </c>
      <c r="G78" s="10">
        <v>0</v>
      </c>
      <c r="H78" s="106"/>
    </row>
    <row r="79" spans="1:8" ht="14.1" customHeight="1" x14ac:dyDescent="0.2">
      <c r="A79" s="1"/>
      <c r="B79" s="1"/>
      <c r="C79" s="11"/>
      <c r="D79" s="1"/>
      <c r="E79" s="1"/>
      <c r="F79" s="12"/>
      <c r="G79" s="12"/>
      <c r="H79" s="106"/>
    </row>
    <row r="80" spans="1:8" ht="14.1" customHeight="1" x14ac:dyDescent="0.2">
      <c r="A80" s="1"/>
      <c r="B80" s="1"/>
      <c r="C80" s="2" t="s">
        <v>135</v>
      </c>
      <c r="D80" s="1"/>
      <c r="E80" s="1"/>
      <c r="F80" s="12"/>
      <c r="G80" s="12"/>
      <c r="H80" s="106"/>
    </row>
    <row r="81" spans="1:8" ht="14.1" customHeight="1" x14ac:dyDescent="0.2">
      <c r="A81" s="1"/>
      <c r="B81" s="1"/>
      <c r="C81" s="2" t="s">
        <v>130</v>
      </c>
      <c r="D81" s="1"/>
      <c r="E81" s="1" t="s">
        <v>131</v>
      </c>
      <c r="F81" s="13">
        <v>0</v>
      </c>
      <c r="G81" s="14">
        <v>0</v>
      </c>
      <c r="H81" s="106"/>
    </row>
    <row r="82" spans="1:8" ht="14.1" customHeight="1" x14ac:dyDescent="0.2">
      <c r="A82" s="1"/>
      <c r="B82" s="1"/>
      <c r="C82" s="11"/>
      <c r="D82" s="1"/>
      <c r="E82" s="1"/>
      <c r="F82" s="12"/>
      <c r="G82" s="12"/>
      <c r="H82" s="106"/>
    </row>
    <row r="83" spans="1:8" ht="14.1" customHeight="1" x14ac:dyDescent="0.2">
      <c r="A83" s="1"/>
      <c r="B83" s="1"/>
      <c r="C83" s="2" t="s">
        <v>136</v>
      </c>
      <c r="D83" s="1"/>
      <c r="E83" s="1"/>
      <c r="F83" s="12"/>
      <c r="G83" s="12"/>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8" customHeight="1" x14ac:dyDescent="0.2">
      <c r="A86" s="1"/>
      <c r="B86" s="1"/>
      <c r="C86" s="2" t="s">
        <v>137</v>
      </c>
      <c r="D86" s="1"/>
      <c r="E86" s="1"/>
      <c r="F86" s="9">
        <v>95443.400473500005</v>
      </c>
      <c r="G86" s="10">
        <v>0.96952546100000003</v>
      </c>
      <c r="H86" s="106"/>
    </row>
    <row r="87" spans="1:8" ht="14.1" customHeight="1" x14ac:dyDescent="0.2">
      <c r="A87" s="1"/>
      <c r="B87" s="1"/>
      <c r="C87" s="11"/>
      <c r="D87" s="1"/>
      <c r="E87" s="1"/>
      <c r="F87" s="12"/>
      <c r="G87" s="12"/>
      <c r="H87" s="106"/>
    </row>
    <row r="88" spans="1:8" ht="14.1" customHeight="1" x14ac:dyDescent="0.2">
      <c r="A88" s="1"/>
      <c r="B88" s="1"/>
      <c r="C88" s="2" t="s">
        <v>138</v>
      </c>
      <c r="D88" s="1"/>
      <c r="E88" s="1"/>
      <c r="F88" s="12"/>
      <c r="G88" s="12"/>
      <c r="H88" s="106"/>
    </row>
    <row r="89" spans="1:8" ht="24" customHeight="1" x14ac:dyDescent="0.2">
      <c r="A89" s="1"/>
      <c r="B89" s="1"/>
      <c r="C89" s="2" t="s">
        <v>10</v>
      </c>
      <c r="D89" s="1"/>
      <c r="E89" s="1"/>
      <c r="F89" s="12"/>
      <c r="G89" s="12"/>
      <c r="H89" s="106"/>
    </row>
    <row r="90" spans="1:8" ht="14.1" customHeight="1" x14ac:dyDescent="0.2">
      <c r="A90" s="1"/>
      <c r="B90" s="1"/>
      <c r="C90" s="2" t="s">
        <v>130</v>
      </c>
      <c r="D90" s="1"/>
      <c r="E90" s="1" t="s">
        <v>131</v>
      </c>
      <c r="F90" s="13">
        <v>0</v>
      </c>
      <c r="G90" s="14">
        <v>0</v>
      </c>
      <c r="H90" s="106"/>
    </row>
    <row r="91" spans="1:8" ht="14.1" customHeight="1" x14ac:dyDescent="0.2">
      <c r="A91" s="1"/>
      <c r="B91" s="1"/>
      <c r="C91" s="11"/>
      <c r="D91" s="1"/>
      <c r="E91" s="1"/>
      <c r="F91" s="12"/>
      <c r="G91" s="12"/>
      <c r="H91" s="106"/>
    </row>
    <row r="92" spans="1:8" ht="14.1" customHeight="1" x14ac:dyDescent="0.2">
      <c r="A92" s="1"/>
      <c r="B92" s="1"/>
      <c r="C92" s="2" t="s">
        <v>139</v>
      </c>
      <c r="D92" s="1"/>
      <c r="E92" s="1"/>
      <c r="F92" s="1"/>
      <c r="G92" s="1"/>
      <c r="H92" s="106"/>
    </row>
    <row r="93" spans="1:8" ht="14.1" customHeight="1" x14ac:dyDescent="0.2">
      <c r="A93" s="1"/>
      <c r="B93" s="1"/>
      <c r="C93" s="2" t="s">
        <v>130</v>
      </c>
      <c r="D93" s="1"/>
      <c r="E93" s="1" t="s">
        <v>131</v>
      </c>
      <c r="F93" s="13">
        <v>0</v>
      </c>
      <c r="G93" s="14">
        <v>0</v>
      </c>
      <c r="H93" s="106"/>
    </row>
    <row r="94" spans="1:8" ht="14.1" customHeight="1" x14ac:dyDescent="0.2">
      <c r="A94" s="1"/>
      <c r="B94" s="1"/>
      <c r="C94" s="11"/>
      <c r="D94" s="1"/>
      <c r="E94" s="1"/>
      <c r="F94" s="12"/>
      <c r="G94" s="12"/>
      <c r="H94" s="106"/>
    </row>
    <row r="95" spans="1:8" ht="14.1" customHeight="1" x14ac:dyDescent="0.2">
      <c r="A95" s="1"/>
      <c r="B95" s="1"/>
      <c r="C95" s="2" t="s">
        <v>140</v>
      </c>
      <c r="D95" s="1"/>
      <c r="E95" s="1"/>
      <c r="F95" s="1"/>
      <c r="G95" s="1"/>
      <c r="H95" s="106"/>
    </row>
    <row r="96" spans="1:8" ht="14.1" customHeight="1" x14ac:dyDescent="0.2">
      <c r="A96" s="1"/>
      <c r="B96" s="1"/>
      <c r="C96" s="2" t="s">
        <v>130</v>
      </c>
      <c r="D96" s="1"/>
      <c r="E96" s="1" t="s">
        <v>131</v>
      </c>
      <c r="F96" s="13">
        <v>0</v>
      </c>
      <c r="G96" s="14">
        <v>0</v>
      </c>
      <c r="H96" s="106"/>
    </row>
    <row r="97" spans="1:8" ht="14.1" customHeight="1" x14ac:dyDescent="0.2">
      <c r="A97" s="1"/>
      <c r="B97" s="1"/>
      <c r="C97" s="11"/>
      <c r="D97" s="1"/>
      <c r="E97" s="1"/>
      <c r="F97" s="12"/>
      <c r="G97" s="12"/>
      <c r="H97" s="106"/>
    </row>
    <row r="98" spans="1:8" ht="14.1" customHeight="1" x14ac:dyDescent="0.2">
      <c r="A98" s="1"/>
      <c r="B98" s="1"/>
      <c r="C98" s="2" t="s">
        <v>141</v>
      </c>
      <c r="D98" s="1"/>
      <c r="E98" s="1"/>
      <c r="F98" s="12"/>
      <c r="G98" s="12"/>
      <c r="H98" s="106"/>
    </row>
    <row r="99" spans="1:8" ht="14.1" customHeight="1" x14ac:dyDescent="0.2">
      <c r="A99" s="1"/>
      <c r="B99" s="1"/>
      <c r="C99" s="2" t="s">
        <v>130</v>
      </c>
      <c r="D99" s="1"/>
      <c r="E99" s="1" t="s">
        <v>131</v>
      </c>
      <c r="F99" s="13">
        <v>0</v>
      </c>
      <c r="G99" s="14">
        <v>0</v>
      </c>
      <c r="H99" s="106"/>
    </row>
    <row r="100" spans="1:8" ht="14.1" customHeight="1" x14ac:dyDescent="0.2">
      <c r="A100" s="1"/>
      <c r="B100" s="1"/>
      <c r="C100" s="11"/>
      <c r="D100" s="1"/>
      <c r="E100" s="1"/>
      <c r="F100" s="12"/>
      <c r="G100" s="12"/>
      <c r="H100" s="106"/>
    </row>
    <row r="101" spans="1:8" ht="14.1" customHeight="1" x14ac:dyDescent="0.2">
      <c r="A101" s="1"/>
      <c r="B101" s="1"/>
      <c r="C101" s="2" t="s">
        <v>142</v>
      </c>
      <c r="D101" s="1"/>
      <c r="E101" s="1"/>
      <c r="F101" s="9">
        <v>0</v>
      </c>
      <c r="G101" s="10">
        <v>0</v>
      </c>
      <c r="H101" s="106"/>
    </row>
    <row r="102" spans="1:8" ht="14.1" customHeight="1" x14ac:dyDescent="0.2">
      <c r="A102" s="1"/>
      <c r="B102" s="1"/>
      <c r="C102" s="11"/>
      <c r="D102" s="1"/>
      <c r="E102" s="1"/>
      <c r="F102" s="12"/>
      <c r="G102" s="12"/>
      <c r="H102" s="106"/>
    </row>
    <row r="103" spans="1:8" ht="14.1" customHeight="1" x14ac:dyDescent="0.2">
      <c r="A103" s="1"/>
      <c r="B103" s="1"/>
      <c r="C103" s="2" t="s">
        <v>143</v>
      </c>
      <c r="D103" s="1"/>
      <c r="E103" s="1"/>
      <c r="F103" s="12"/>
      <c r="G103" s="12"/>
      <c r="H103" s="106"/>
    </row>
    <row r="104" spans="1:8" ht="14.1" customHeight="1" x14ac:dyDescent="0.2">
      <c r="A104" s="1"/>
      <c r="B104" s="1"/>
      <c r="C104" s="2" t="s">
        <v>144</v>
      </c>
      <c r="D104" s="1"/>
      <c r="E104" s="1"/>
      <c r="F104" s="12"/>
      <c r="G104" s="12"/>
      <c r="H104" s="106"/>
    </row>
    <row r="105" spans="1:8" ht="14.1" customHeight="1" x14ac:dyDescent="0.2">
      <c r="A105" s="1"/>
      <c r="B105" s="1"/>
      <c r="C105" s="2" t="s">
        <v>130</v>
      </c>
      <c r="D105" s="1"/>
      <c r="E105" s="1" t="s">
        <v>131</v>
      </c>
      <c r="F105" s="13">
        <v>0</v>
      </c>
      <c r="G105" s="14">
        <v>0</v>
      </c>
      <c r="H105" s="106"/>
    </row>
    <row r="106" spans="1:8" ht="14.1" customHeight="1" x14ac:dyDescent="0.2">
      <c r="A106" s="1"/>
      <c r="B106" s="1"/>
      <c r="C106" s="11"/>
      <c r="D106" s="1"/>
      <c r="E106" s="1"/>
      <c r="F106" s="12"/>
      <c r="G106" s="12"/>
      <c r="H106" s="106"/>
    </row>
    <row r="107" spans="1:8" ht="14.1" customHeight="1" x14ac:dyDescent="0.2">
      <c r="A107" s="1"/>
      <c r="B107" s="1"/>
      <c r="C107" s="2" t="s">
        <v>145</v>
      </c>
      <c r="D107" s="1"/>
      <c r="E107" s="1"/>
      <c r="F107" s="12"/>
      <c r="G107" s="12"/>
      <c r="H107" s="106"/>
    </row>
    <row r="108" spans="1:8" ht="14.1" customHeight="1" x14ac:dyDescent="0.2">
      <c r="A108" s="1"/>
      <c r="B108" s="1"/>
      <c r="C108" s="2" t="s">
        <v>130</v>
      </c>
      <c r="D108" s="1"/>
      <c r="E108" s="1" t="s">
        <v>131</v>
      </c>
      <c r="F108" s="13">
        <v>0</v>
      </c>
      <c r="G108" s="14">
        <v>0</v>
      </c>
      <c r="H108" s="106"/>
    </row>
    <row r="109" spans="1:8" ht="14.1" customHeight="1" x14ac:dyDescent="0.2">
      <c r="A109" s="1"/>
      <c r="B109" s="1"/>
      <c r="C109" s="11"/>
      <c r="D109" s="1"/>
      <c r="E109" s="1"/>
      <c r="F109" s="12"/>
      <c r="G109" s="12"/>
      <c r="H109" s="106"/>
    </row>
    <row r="110" spans="1:8" ht="14.1" customHeight="1" x14ac:dyDescent="0.2">
      <c r="A110" s="1"/>
      <c r="B110" s="1"/>
      <c r="C110" s="2" t="s">
        <v>146</v>
      </c>
      <c r="D110" s="1"/>
      <c r="E110" s="1"/>
      <c r="F110" s="12"/>
      <c r="G110" s="12"/>
      <c r="H110" s="106"/>
    </row>
    <row r="111" spans="1:8" ht="14.1" customHeight="1" x14ac:dyDescent="0.2">
      <c r="A111" s="1"/>
      <c r="B111" s="1"/>
      <c r="C111" s="2" t="s">
        <v>130</v>
      </c>
      <c r="D111" s="1"/>
      <c r="E111" s="1" t="s">
        <v>131</v>
      </c>
      <c r="F111" s="13">
        <v>0</v>
      </c>
      <c r="G111" s="14">
        <v>0</v>
      </c>
      <c r="H111" s="106"/>
    </row>
    <row r="112" spans="1:8" ht="14.1" customHeight="1" x14ac:dyDescent="0.2">
      <c r="A112" s="1"/>
      <c r="B112" s="1"/>
      <c r="C112" s="11"/>
      <c r="D112" s="1"/>
      <c r="E112" s="1"/>
      <c r="F112" s="12"/>
      <c r="G112" s="12"/>
      <c r="H112" s="106"/>
    </row>
    <row r="113" spans="1:8" ht="14.1" customHeight="1" x14ac:dyDescent="0.2">
      <c r="A113" s="1"/>
      <c r="B113" s="1"/>
      <c r="C113" s="2" t="s">
        <v>147</v>
      </c>
      <c r="D113" s="1"/>
      <c r="E113" s="1"/>
      <c r="F113" s="12"/>
      <c r="G113" s="12"/>
      <c r="H113" s="106"/>
    </row>
    <row r="114" spans="1:8" ht="17.100000000000001" customHeight="1" x14ac:dyDescent="0.2">
      <c r="A114" s="3">
        <v>1</v>
      </c>
      <c r="B114" s="4"/>
      <c r="C114" s="4" t="s">
        <v>148</v>
      </c>
      <c r="D114" s="4"/>
      <c r="E114" s="8"/>
      <c r="F114" s="6">
        <v>3877.2760948999999</v>
      </c>
      <c r="G114" s="7">
        <v>3.9385834000000002E-2</v>
      </c>
      <c r="H114" s="106">
        <v>6.1171451766917002</v>
      </c>
    </row>
    <row r="115" spans="1:8" ht="14.1" customHeight="1" x14ac:dyDescent="0.2">
      <c r="A115" s="1"/>
      <c r="B115" s="1"/>
      <c r="C115" s="2" t="s">
        <v>130</v>
      </c>
      <c r="D115" s="1"/>
      <c r="E115" s="1" t="s">
        <v>131</v>
      </c>
      <c r="F115" s="9">
        <v>3877.2760948999999</v>
      </c>
      <c r="G115" s="10">
        <v>3.9385834000000002E-2</v>
      </c>
      <c r="H115" s="106"/>
    </row>
    <row r="116" spans="1:8" ht="14.1" customHeight="1" x14ac:dyDescent="0.2">
      <c r="A116" s="1"/>
      <c r="B116" s="1"/>
      <c r="C116" s="11"/>
      <c r="D116" s="1"/>
      <c r="E116" s="1"/>
      <c r="F116" s="12"/>
      <c r="G116" s="12"/>
      <c r="H116" s="106"/>
    </row>
    <row r="117" spans="1:8" ht="14.1" customHeight="1" x14ac:dyDescent="0.2">
      <c r="A117" s="1"/>
      <c r="B117" s="1"/>
      <c r="C117" s="2" t="s">
        <v>149</v>
      </c>
      <c r="D117" s="1"/>
      <c r="E117" s="1"/>
      <c r="F117" s="9">
        <v>3877.2760948999999</v>
      </c>
      <c r="G117" s="10">
        <v>3.9385834000000002E-2</v>
      </c>
      <c r="H117" s="106"/>
    </row>
    <row r="118" spans="1:8" ht="14.1" customHeight="1" x14ac:dyDescent="0.2">
      <c r="A118" s="1"/>
      <c r="B118" s="1"/>
      <c r="C118" s="12"/>
      <c r="D118" s="1"/>
      <c r="E118" s="1"/>
      <c r="F118" s="1"/>
      <c r="G118" s="1"/>
      <c r="H118" s="106"/>
    </row>
    <row r="119" spans="1:8" ht="14.1" customHeight="1" x14ac:dyDescent="0.2">
      <c r="A119" s="1"/>
      <c r="B119" s="1"/>
      <c r="C119" s="2" t="s">
        <v>150</v>
      </c>
      <c r="D119" s="1"/>
      <c r="E119" s="1"/>
      <c r="F119" s="1"/>
      <c r="G119" s="1"/>
      <c r="H119" s="106"/>
    </row>
    <row r="120" spans="1:8" ht="14.1" customHeight="1" x14ac:dyDescent="0.2">
      <c r="A120" s="1"/>
      <c r="B120" s="1"/>
      <c r="C120" s="2" t="s">
        <v>151</v>
      </c>
      <c r="D120" s="1"/>
      <c r="E120" s="1"/>
      <c r="F120" s="1"/>
      <c r="G120" s="1"/>
      <c r="H120" s="106"/>
    </row>
    <row r="121" spans="1:8" ht="14.1" customHeight="1" x14ac:dyDescent="0.2">
      <c r="A121" s="1"/>
      <c r="B121" s="1"/>
      <c r="C121" s="2" t="s">
        <v>130</v>
      </c>
      <c r="D121" s="1"/>
      <c r="E121" s="1" t="s">
        <v>131</v>
      </c>
      <c r="F121" s="13">
        <v>0</v>
      </c>
      <c r="G121" s="14">
        <v>0</v>
      </c>
      <c r="H121" s="106"/>
    </row>
    <row r="122" spans="1:8" ht="14.1" customHeight="1" x14ac:dyDescent="0.2">
      <c r="A122" s="1"/>
      <c r="B122" s="1"/>
      <c r="C122" s="11"/>
      <c r="D122" s="1"/>
      <c r="E122" s="1"/>
      <c r="F122" s="12"/>
      <c r="G122" s="12"/>
      <c r="H122" s="106"/>
    </row>
    <row r="123" spans="1:8" ht="14.1" customHeight="1" x14ac:dyDescent="0.2">
      <c r="A123" s="1"/>
      <c r="B123" s="1"/>
      <c r="C123" s="2" t="s">
        <v>152</v>
      </c>
      <c r="D123" s="1"/>
      <c r="E123" s="1"/>
      <c r="F123" s="1"/>
      <c r="G123" s="1"/>
      <c r="H123" s="106"/>
    </row>
    <row r="124" spans="1:8" ht="14.1" customHeight="1" x14ac:dyDescent="0.2">
      <c r="A124" s="1"/>
      <c r="B124" s="1"/>
      <c r="C124" s="2" t="s">
        <v>153</v>
      </c>
      <c r="D124" s="1"/>
      <c r="E124" s="1"/>
      <c r="F124" s="1"/>
      <c r="G124" s="1"/>
      <c r="H124" s="106"/>
    </row>
    <row r="125" spans="1:8" ht="14.1" customHeight="1" x14ac:dyDescent="0.2">
      <c r="A125" s="1"/>
      <c r="B125" s="1"/>
      <c r="C125" s="2" t="s">
        <v>130</v>
      </c>
      <c r="D125" s="1"/>
      <c r="E125" s="1" t="s">
        <v>131</v>
      </c>
      <c r="F125" s="13">
        <v>0</v>
      </c>
      <c r="G125" s="14">
        <v>0</v>
      </c>
      <c r="H125" s="106"/>
    </row>
    <row r="126" spans="1:8" ht="14.1" customHeight="1" x14ac:dyDescent="0.2">
      <c r="A126" s="1"/>
      <c r="B126" s="1"/>
      <c r="C126" s="11"/>
      <c r="D126" s="1"/>
      <c r="E126" s="1"/>
      <c r="F126" s="12"/>
      <c r="G126" s="12"/>
      <c r="H126" s="106"/>
    </row>
    <row r="127" spans="1:8" ht="14.1" customHeight="1" x14ac:dyDescent="0.2">
      <c r="A127" s="1"/>
      <c r="B127" s="1"/>
      <c r="C127" s="11"/>
      <c r="D127" s="1"/>
      <c r="E127" s="1"/>
      <c r="F127" s="12"/>
      <c r="G127" s="12"/>
      <c r="H127" s="106"/>
    </row>
    <row r="128" spans="1:8" ht="24" customHeight="1" x14ac:dyDescent="0.2">
      <c r="A128" s="1"/>
      <c r="B128" s="1"/>
      <c r="C128" s="2" t="s">
        <v>154</v>
      </c>
      <c r="D128" s="1"/>
      <c r="E128" s="1"/>
      <c r="F128" s="12"/>
      <c r="G128" s="12"/>
      <c r="H128" s="106"/>
    </row>
    <row r="129" spans="1:8" ht="14.1" customHeight="1" x14ac:dyDescent="0.2">
      <c r="A129" s="1"/>
      <c r="B129" s="1"/>
      <c r="C129" s="2" t="s">
        <v>130</v>
      </c>
      <c r="D129" s="1"/>
      <c r="E129" s="1" t="s">
        <v>131</v>
      </c>
      <c r="F129" s="13">
        <v>0</v>
      </c>
      <c r="G129" s="14">
        <v>0</v>
      </c>
      <c r="H129" s="106"/>
    </row>
    <row r="130" spans="1:8" ht="14.1" customHeight="1" x14ac:dyDescent="0.2">
      <c r="A130" s="1"/>
      <c r="B130" s="1"/>
      <c r="C130" s="11"/>
      <c r="D130" s="1"/>
      <c r="E130" s="1"/>
      <c r="F130" s="12"/>
      <c r="G130" s="12"/>
      <c r="H130" s="106"/>
    </row>
    <row r="131" spans="1:8" ht="14.1" customHeight="1" x14ac:dyDescent="0.2">
      <c r="A131" s="1"/>
      <c r="B131" s="4"/>
      <c r="C131" s="4"/>
      <c r="D131" s="2"/>
      <c r="E131" s="1"/>
      <c r="F131" s="4"/>
      <c r="G131" s="8"/>
      <c r="H131" s="106"/>
    </row>
    <row r="132" spans="1:8" ht="18" customHeight="1" x14ac:dyDescent="0.2">
      <c r="A132" s="8"/>
      <c r="B132" s="4"/>
      <c r="C132" s="4" t="s">
        <v>155</v>
      </c>
      <c r="D132" s="4"/>
      <c r="E132" s="8"/>
      <c r="F132" s="6">
        <v>-877.25836330000004</v>
      </c>
      <c r="G132" s="7">
        <v>-8.9112949999999996E-3</v>
      </c>
      <c r="H132" s="106"/>
    </row>
    <row r="133" spans="1:8" ht="14.1" customHeight="1" x14ac:dyDescent="0.2">
      <c r="A133" s="11"/>
      <c r="B133" s="11"/>
      <c r="C133" s="2" t="s">
        <v>156</v>
      </c>
      <c r="D133" s="15"/>
      <c r="E133" s="15"/>
      <c r="F133" s="9">
        <v>98443.418205099995</v>
      </c>
      <c r="G133" s="10">
        <v>1</v>
      </c>
      <c r="H133" s="106"/>
    </row>
    <row r="134" spans="1:8" ht="14.1" customHeight="1" x14ac:dyDescent="0.2">
      <c r="A134" s="16"/>
      <c r="B134" s="16"/>
      <c r="C134" s="16"/>
      <c r="D134" s="17"/>
      <c r="E134" s="17"/>
      <c r="F134" s="17"/>
      <c r="G134" s="17"/>
    </row>
    <row r="135" spans="1:8" ht="14.1" customHeight="1" x14ac:dyDescent="0.2">
      <c r="A135" s="18"/>
      <c r="B135" s="281" t="s">
        <v>131</v>
      </c>
      <c r="C135" s="281"/>
      <c r="D135" s="281"/>
      <c r="E135" s="281"/>
      <c r="F135" s="281"/>
      <c r="G135" s="20"/>
    </row>
    <row r="136" spans="1:8" ht="17.100000000000001" customHeight="1" x14ac:dyDescent="0.2">
      <c r="A136" s="18"/>
      <c r="B136" s="281" t="s">
        <v>157</v>
      </c>
      <c r="C136" s="281"/>
      <c r="D136" s="281"/>
      <c r="E136" s="281"/>
      <c r="F136" s="281"/>
      <c r="G136" s="20"/>
    </row>
    <row r="137" spans="1:8" ht="14.1" customHeight="1" x14ac:dyDescent="0.2">
      <c r="A137" s="18"/>
      <c r="B137" s="18"/>
      <c r="C137" s="18"/>
      <c r="D137" s="20"/>
      <c r="E137" s="20"/>
      <c r="F137" s="20"/>
      <c r="G137" s="20"/>
    </row>
    <row r="138" spans="1:8" ht="14.1" customHeight="1" x14ac:dyDescent="0.2">
      <c r="A138" s="18"/>
      <c r="B138" s="279" t="s">
        <v>158</v>
      </c>
      <c r="C138" s="280"/>
      <c r="D138" s="12" t="s">
        <v>131</v>
      </c>
      <c r="E138" s="21"/>
      <c r="F138" s="20"/>
      <c r="G138" s="20"/>
    </row>
    <row r="139" spans="1:8" ht="29.1" customHeight="1" x14ac:dyDescent="0.2">
      <c r="A139" s="18"/>
      <c r="B139" s="274" t="s">
        <v>159</v>
      </c>
      <c r="C139" s="275"/>
      <c r="D139" s="62" t="s">
        <v>1041</v>
      </c>
      <c r="E139" s="21"/>
      <c r="F139" s="20"/>
      <c r="G139" s="20"/>
    </row>
    <row r="140" spans="1:8" ht="17.100000000000001" customHeight="1" x14ac:dyDescent="0.2">
      <c r="A140" s="18"/>
      <c r="B140" s="276" t="s">
        <v>1001</v>
      </c>
      <c r="C140" s="277"/>
      <c r="D140" s="62" t="s">
        <v>1002</v>
      </c>
      <c r="E140" s="21"/>
      <c r="F140" s="20"/>
      <c r="G140" s="20"/>
    </row>
    <row r="141" spans="1:8" ht="17.100000000000001" customHeight="1" x14ac:dyDescent="0.2">
      <c r="A141" s="18"/>
      <c r="B141" s="274" t="s">
        <v>162</v>
      </c>
      <c r="C141" s="275"/>
      <c r="D141" s="12" t="s">
        <v>131</v>
      </c>
      <c r="E141" s="21"/>
      <c r="F141" s="20"/>
      <c r="G141" s="20"/>
    </row>
    <row r="142" spans="1:8" ht="24" customHeight="1" x14ac:dyDescent="0.2">
      <c r="A142" s="22"/>
      <c r="B142" s="23" t="s">
        <v>131</v>
      </c>
      <c r="C142" s="23" t="s">
        <v>163</v>
      </c>
      <c r="D142" s="23" t="s">
        <v>164</v>
      </c>
      <c r="E142" s="22"/>
      <c r="F142" s="22"/>
      <c r="G142" s="22"/>
    </row>
    <row r="143" spans="1:8" ht="18" customHeight="1" x14ac:dyDescent="0.2">
      <c r="A143" s="22"/>
      <c r="B143" s="23" t="s">
        <v>165</v>
      </c>
      <c r="C143" s="23" t="s">
        <v>166</v>
      </c>
      <c r="D143" s="23" t="s">
        <v>167</v>
      </c>
      <c r="E143" s="22"/>
      <c r="F143" s="22"/>
      <c r="G143" s="22"/>
    </row>
    <row r="144" spans="1:8" ht="17.100000000000001" customHeight="1" x14ac:dyDescent="0.2">
      <c r="A144" s="22"/>
      <c r="B144" s="4" t="s">
        <v>168</v>
      </c>
      <c r="C144" s="24">
        <v>349.48219999999998</v>
      </c>
      <c r="D144" s="24">
        <v>364.30900000000003</v>
      </c>
      <c r="E144" s="22"/>
      <c r="F144" s="19"/>
      <c r="G144" s="25"/>
    </row>
    <row r="145" spans="1:7" ht="29.1" customHeight="1" x14ac:dyDescent="0.2">
      <c r="A145" s="22"/>
      <c r="B145" s="4" t="s">
        <v>1061</v>
      </c>
      <c r="C145" s="24">
        <v>349.25880000000001</v>
      </c>
      <c r="D145" s="24">
        <v>364.05540000000002</v>
      </c>
      <c r="E145" s="22"/>
      <c r="F145" s="19"/>
      <c r="G145" s="25"/>
    </row>
    <row r="146" spans="1:7" ht="17.100000000000001" customHeight="1" x14ac:dyDescent="0.2">
      <c r="A146" s="22"/>
      <c r="B146" s="4" t="s">
        <v>169</v>
      </c>
      <c r="C146" s="24">
        <v>332.00139999999999</v>
      </c>
      <c r="D146" s="24">
        <v>345.9101</v>
      </c>
      <c r="E146" s="22"/>
      <c r="F146" s="19"/>
      <c r="G146" s="25"/>
    </row>
    <row r="147" spans="1:7" ht="29.1" customHeight="1" x14ac:dyDescent="0.2">
      <c r="A147" s="22"/>
      <c r="B147" s="4" t="s">
        <v>1062</v>
      </c>
      <c r="C147" s="24">
        <v>319.8109</v>
      </c>
      <c r="D147" s="24">
        <v>333.20569999999998</v>
      </c>
      <c r="E147" s="22"/>
      <c r="F147" s="19"/>
      <c r="G147" s="25"/>
    </row>
    <row r="148" spans="1:7" ht="14.1" customHeight="1" x14ac:dyDescent="0.2">
      <c r="A148" s="22"/>
      <c r="B148" s="22"/>
      <c r="C148" s="22"/>
      <c r="D148" s="22"/>
      <c r="E148" s="22"/>
      <c r="F148" s="22"/>
      <c r="G148" s="22"/>
    </row>
    <row r="149" spans="1:7" ht="17.100000000000001" customHeight="1" x14ac:dyDescent="0.2">
      <c r="A149" s="22"/>
      <c r="B149" s="274" t="s">
        <v>1060</v>
      </c>
      <c r="C149" s="275"/>
      <c r="D149" s="2" t="s">
        <v>160</v>
      </c>
      <c r="E149" s="22"/>
      <c r="F149" s="22"/>
      <c r="G149" s="22"/>
    </row>
    <row r="150" spans="1:7" ht="18" customHeight="1" x14ac:dyDescent="0.2">
      <c r="A150" s="22"/>
      <c r="B150" s="26" t="s">
        <v>170</v>
      </c>
      <c r="C150" s="26" t="s">
        <v>170</v>
      </c>
      <c r="D150" s="26"/>
      <c r="E150" s="22"/>
      <c r="F150" s="22"/>
      <c r="G150" s="22"/>
    </row>
    <row r="151" spans="1:7" ht="29.1" customHeight="1" x14ac:dyDescent="0.2">
      <c r="A151" s="22"/>
      <c r="B151" s="274" t="s">
        <v>171</v>
      </c>
      <c r="C151" s="275"/>
      <c r="D151" s="2" t="s">
        <v>160</v>
      </c>
      <c r="E151" s="22"/>
      <c r="F151" s="22"/>
      <c r="G151" s="22"/>
    </row>
    <row r="152" spans="1:7" ht="29.1" customHeight="1" x14ac:dyDescent="0.2">
      <c r="A152" s="22"/>
      <c r="B152" s="274" t="s">
        <v>172</v>
      </c>
      <c r="C152" s="275"/>
      <c r="D152" s="2" t="s">
        <v>160</v>
      </c>
      <c r="E152" s="22"/>
      <c r="F152" s="22"/>
      <c r="G152" s="22"/>
    </row>
    <row r="153" spans="1:7" ht="17.100000000000001" customHeight="1" x14ac:dyDescent="0.2">
      <c r="A153" s="22"/>
      <c r="B153" s="274" t="s">
        <v>173</v>
      </c>
      <c r="C153" s="275"/>
      <c r="D153" s="27">
        <v>0.30864556227768641</v>
      </c>
      <c r="E153" s="22"/>
      <c r="F153" s="19"/>
      <c r="G153" s="25"/>
    </row>
    <row r="154" spans="1:7" ht="17.100000000000001" customHeight="1" x14ac:dyDescent="0.2">
      <c r="A154" s="22"/>
      <c r="B154" s="274" t="s">
        <v>174</v>
      </c>
      <c r="C154" s="275"/>
      <c r="D154" s="2" t="s">
        <v>160</v>
      </c>
      <c r="E154" s="22"/>
      <c r="F154" s="22"/>
      <c r="G154" s="22"/>
    </row>
    <row r="156" spans="1:7" x14ac:dyDescent="0.2">
      <c r="B156" s="133" t="s">
        <v>1040</v>
      </c>
      <c r="C156" s="133"/>
      <c r="D156" s="133"/>
      <c r="E156" s="134"/>
      <c r="F156" s="135"/>
    </row>
    <row r="157" spans="1:7" ht="38.25" x14ac:dyDescent="0.2">
      <c r="B157" s="137" t="s">
        <v>1014</v>
      </c>
      <c r="C157" s="137" t="s">
        <v>1015</v>
      </c>
      <c r="D157" s="137" t="s">
        <v>1016</v>
      </c>
      <c r="E157" s="137" t="s">
        <v>1017</v>
      </c>
      <c r="F157" s="137" t="s">
        <v>1018</v>
      </c>
    </row>
    <row r="158" spans="1:7" x14ac:dyDescent="0.2">
      <c r="B158" s="144" t="s">
        <v>1043</v>
      </c>
      <c r="C158" s="139" t="s">
        <v>1038</v>
      </c>
      <c r="D158" s="145">
        <v>0</v>
      </c>
      <c r="E158" s="146">
        <v>0</v>
      </c>
      <c r="F158" s="147">
        <v>0.54925000000000002</v>
      </c>
    </row>
  </sheetData>
  <mergeCells count="15">
    <mergeCell ref="J2:N2"/>
    <mergeCell ref="B138:C138"/>
    <mergeCell ref="B135:F135"/>
    <mergeCell ref="B136:F136"/>
    <mergeCell ref="A1:H1"/>
    <mergeCell ref="A2:H2"/>
    <mergeCell ref="A3:H3"/>
    <mergeCell ref="B153:C153"/>
    <mergeCell ref="B154:C154"/>
    <mergeCell ref="B139:C139"/>
    <mergeCell ref="B140:C140"/>
    <mergeCell ref="B141:C141"/>
    <mergeCell ref="B149:C149"/>
    <mergeCell ref="B151:C151"/>
    <mergeCell ref="B152:C152"/>
  </mergeCells>
  <hyperlinks>
    <hyperlink ref="I1" location="Index!B31" display="Index" xr:uid="{307D8A12-DD0A-4B65-9A1A-71023E64E61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2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1069</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308</v>
      </c>
      <c r="C7" s="4" t="s">
        <v>309</v>
      </c>
      <c r="D7" s="4" t="s">
        <v>310</v>
      </c>
      <c r="E7" s="5">
        <v>469036</v>
      </c>
      <c r="F7" s="6">
        <v>11963.701252000001</v>
      </c>
      <c r="G7" s="7">
        <v>9.5657685000000006E-2</v>
      </c>
      <c r="H7" s="106"/>
    </row>
    <row r="8" spans="1:14" ht="17.100000000000001" customHeight="1" x14ac:dyDescent="0.2">
      <c r="A8" s="3">
        <v>2</v>
      </c>
      <c r="B8" s="4" t="s">
        <v>371</v>
      </c>
      <c r="C8" s="4" t="s">
        <v>372</v>
      </c>
      <c r="D8" s="4" t="s">
        <v>110</v>
      </c>
      <c r="E8" s="5">
        <v>293714</v>
      </c>
      <c r="F8" s="6">
        <v>8110.9121100000002</v>
      </c>
      <c r="G8" s="7">
        <v>6.4852093999999999E-2</v>
      </c>
      <c r="H8" s="106"/>
    </row>
    <row r="9" spans="1:14" ht="17.100000000000001" customHeight="1" x14ac:dyDescent="0.2">
      <c r="A9" s="3">
        <v>3</v>
      </c>
      <c r="B9" s="4" t="s">
        <v>68</v>
      </c>
      <c r="C9" s="4" t="s">
        <v>69</v>
      </c>
      <c r="D9" s="4" t="s">
        <v>70</v>
      </c>
      <c r="E9" s="5">
        <v>67791</v>
      </c>
      <c r="F9" s="6">
        <v>6458.8553160000001</v>
      </c>
      <c r="G9" s="7">
        <v>5.1642809999999997E-2</v>
      </c>
      <c r="H9" s="106"/>
    </row>
    <row r="10" spans="1:14" ht="17.100000000000001" customHeight="1" x14ac:dyDescent="0.2">
      <c r="A10" s="3">
        <v>4</v>
      </c>
      <c r="B10" s="4" t="s">
        <v>315</v>
      </c>
      <c r="C10" s="4" t="s">
        <v>316</v>
      </c>
      <c r="D10" s="4" t="s">
        <v>310</v>
      </c>
      <c r="E10" s="5">
        <v>1820266</v>
      </c>
      <c r="F10" s="6">
        <v>6347.2675419999996</v>
      </c>
      <c r="G10" s="7">
        <v>5.0750591999999997E-2</v>
      </c>
      <c r="H10" s="106"/>
    </row>
    <row r="11" spans="1:14" ht="29.1" customHeight="1" x14ac:dyDescent="0.2">
      <c r="A11" s="3">
        <v>5</v>
      </c>
      <c r="B11" s="4" t="s">
        <v>189</v>
      </c>
      <c r="C11" s="4" t="s">
        <v>190</v>
      </c>
      <c r="D11" s="4" t="s">
        <v>110</v>
      </c>
      <c r="E11" s="5">
        <v>1483667</v>
      </c>
      <c r="F11" s="6">
        <v>5375.3255410000002</v>
      </c>
      <c r="G11" s="7">
        <v>4.2979273999999998E-2</v>
      </c>
      <c r="H11" s="106"/>
    </row>
    <row r="12" spans="1:14" ht="17.100000000000001" customHeight="1" x14ac:dyDescent="0.2">
      <c r="A12" s="3">
        <v>6</v>
      </c>
      <c r="B12" s="4" t="s">
        <v>14</v>
      </c>
      <c r="C12" s="4" t="s">
        <v>15</v>
      </c>
      <c r="D12" s="4" t="s">
        <v>16</v>
      </c>
      <c r="E12" s="5">
        <v>572581</v>
      </c>
      <c r="F12" s="6">
        <v>5203.0435470000002</v>
      </c>
      <c r="G12" s="7">
        <v>4.1601765999999998E-2</v>
      </c>
      <c r="H12" s="106"/>
      <c r="J12" s="161"/>
    </row>
    <row r="13" spans="1:14" ht="17.100000000000001" customHeight="1" x14ac:dyDescent="0.2">
      <c r="A13" s="3">
        <v>7</v>
      </c>
      <c r="B13" s="4" t="s">
        <v>17</v>
      </c>
      <c r="C13" s="4" t="s">
        <v>18</v>
      </c>
      <c r="D13" s="4" t="s">
        <v>19</v>
      </c>
      <c r="E13" s="5">
        <v>616013</v>
      </c>
      <c r="F13" s="6">
        <v>5125.2281599999997</v>
      </c>
      <c r="G13" s="7">
        <v>4.0979581000000001E-2</v>
      </c>
      <c r="H13" s="106"/>
    </row>
    <row r="14" spans="1:14" ht="17.100000000000001" customHeight="1" x14ac:dyDescent="0.2">
      <c r="A14" s="3">
        <v>8</v>
      </c>
      <c r="B14" s="4" t="s">
        <v>183</v>
      </c>
      <c r="C14" s="4" t="s">
        <v>184</v>
      </c>
      <c r="D14" s="4" t="s">
        <v>185</v>
      </c>
      <c r="E14" s="5">
        <v>480012</v>
      </c>
      <c r="F14" s="6">
        <v>5035.5658860000003</v>
      </c>
      <c r="G14" s="7">
        <v>4.0262671999999999E-2</v>
      </c>
      <c r="H14" s="106"/>
      <c r="J14" s="161" t="s">
        <v>1106</v>
      </c>
    </row>
    <row r="15" spans="1:14" ht="17.100000000000001" customHeight="1" x14ac:dyDescent="0.2">
      <c r="A15" s="3">
        <v>9</v>
      </c>
      <c r="B15" s="4" t="s">
        <v>191</v>
      </c>
      <c r="C15" s="4" t="s">
        <v>192</v>
      </c>
      <c r="D15" s="4" t="s">
        <v>193</v>
      </c>
      <c r="E15" s="5">
        <v>9138</v>
      </c>
      <c r="F15" s="6">
        <v>4547.8592369999997</v>
      </c>
      <c r="G15" s="7">
        <v>3.6363134999999998E-2</v>
      </c>
      <c r="H15" s="106"/>
    </row>
    <row r="16" spans="1:14" ht="17.100000000000001" customHeight="1" x14ac:dyDescent="0.2">
      <c r="A16" s="3">
        <v>10</v>
      </c>
      <c r="B16" s="4" t="s">
        <v>581</v>
      </c>
      <c r="C16" s="4" t="s">
        <v>582</v>
      </c>
      <c r="D16" s="4" t="s">
        <v>70</v>
      </c>
      <c r="E16" s="5">
        <v>107981</v>
      </c>
      <c r="F16" s="6">
        <v>4157.7544145000002</v>
      </c>
      <c r="G16" s="7">
        <v>3.3243990000000001E-2</v>
      </c>
      <c r="H16" s="106"/>
    </row>
    <row r="17" spans="1:8" ht="17.100000000000001" customHeight="1" x14ac:dyDescent="0.2">
      <c r="A17" s="3">
        <v>11</v>
      </c>
      <c r="B17" s="4" t="s">
        <v>605</v>
      </c>
      <c r="C17" s="4" t="s">
        <v>606</v>
      </c>
      <c r="D17" s="4" t="s">
        <v>185</v>
      </c>
      <c r="E17" s="5">
        <v>442284</v>
      </c>
      <c r="F17" s="6">
        <v>3964.4126339999998</v>
      </c>
      <c r="G17" s="7">
        <v>3.1698095000000003E-2</v>
      </c>
      <c r="H17" s="106"/>
    </row>
    <row r="18" spans="1:8" ht="17.100000000000001" customHeight="1" x14ac:dyDescent="0.2">
      <c r="A18" s="3">
        <v>12</v>
      </c>
      <c r="B18" s="4" t="s">
        <v>311</v>
      </c>
      <c r="C18" s="4" t="s">
        <v>312</v>
      </c>
      <c r="D18" s="4" t="s">
        <v>70</v>
      </c>
      <c r="E18" s="5">
        <v>227953</v>
      </c>
      <c r="F18" s="6">
        <v>3074.1741579999998</v>
      </c>
      <c r="G18" s="7">
        <v>2.4580050999999999E-2</v>
      </c>
      <c r="H18" s="106"/>
    </row>
    <row r="19" spans="1:8" ht="17.100000000000001" customHeight="1" x14ac:dyDescent="0.2">
      <c r="A19" s="3">
        <v>13</v>
      </c>
      <c r="B19" s="4" t="s">
        <v>382</v>
      </c>
      <c r="C19" s="4" t="s">
        <v>383</v>
      </c>
      <c r="D19" s="4" t="s">
        <v>110</v>
      </c>
      <c r="E19" s="5">
        <v>163504</v>
      </c>
      <c r="F19" s="6">
        <v>3037.005048</v>
      </c>
      <c r="G19" s="7">
        <v>2.4282859E-2</v>
      </c>
      <c r="H19" s="106"/>
    </row>
    <row r="20" spans="1:8" ht="17.100000000000001" customHeight="1" x14ac:dyDescent="0.2">
      <c r="A20" s="3">
        <v>14</v>
      </c>
      <c r="B20" s="4" t="s">
        <v>210</v>
      </c>
      <c r="C20" s="4" t="s">
        <v>211</v>
      </c>
      <c r="D20" s="4" t="s">
        <v>212</v>
      </c>
      <c r="E20" s="5">
        <v>60999</v>
      </c>
      <c r="F20" s="6">
        <v>2755.629825</v>
      </c>
      <c r="G20" s="7">
        <v>2.2033079000000001E-2</v>
      </c>
      <c r="H20" s="106"/>
    </row>
    <row r="21" spans="1:8" ht="17.100000000000001" customHeight="1" x14ac:dyDescent="0.2">
      <c r="A21" s="3">
        <v>15</v>
      </c>
      <c r="B21" s="4" t="s">
        <v>665</v>
      </c>
      <c r="C21" s="4" t="s">
        <v>666</v>
      </c>
      <c r="D21" s="4" t="s">
        <v>268</v>
      </c>
      <c r="E21" s="5">
        <v>12926</v>
      </c>
      <c r="F21" s="6">
        <v>2632.173084</v>
      </c>
      <c r="G21" s="7">
        <v>2.1045960999999998E-2</v>
      </c>
      <c r="H21" s="106"/>
    </row>
    <row r="22" spans="1:8" ht="17.100000000000001" customHeight="1" x14ac:dyDescent="0.2">
      <c r="A22" s="3">
        <v>16</v>
      </c>
      <c r="B22" s="4" t="s">
        <v>373</v>
      </c>
      <c r="C22" s="4" t="s">
        <v>374</v>
      </c>
      <c r="D22" s="4" t="s">
        <v>182</v>
      </c>
      <c r="E22" s="5">
        <v>217284</v>
      </c>
      <c r="F22" s="6">
        <v>2504.7413099999999</v>
      </c>
      <c r="G22" s="7">
        <v>2.0027059E-2</v>
      </c>
      <c r="H22" s="106"/>
    </row>
    <row r="23" spans="1:8" ht="17.100000000000001" customHeight="1" x14ac:dyDescent="0.2">
      <c r="A23" s="3">
        <v>17</v>
      </c>
      <c r="B23" s="4" t="s">
        <v>562</v>
      </c>
      <c r="C23" s="4" t="s">
        <v>563</v>
      </c>
      <c r="D23" s="4" t="s">
        <v>110</v>
      </c>
      <c r="E23" s="5">
        <v>79430</v>
      </c>
      <c r="F23" s="6">
        <v>2468.4461099999999</v>
      </c>
      <c r="G23" s="7">
        <v>1.9736855000000001E-2</v>
      </c>
      <c r="H23" s="106"/>
    </row>
    <row r="24" spans="1:8" ht="17.100000000000001" customHeight="1" x14ac:dyDescent="0.2">
      <c r="A24" s="3">
        <v>18</v>
      </c>
      <c r="B24" s="4" t="s">
        <v>354</v>
      </c>
      <c r="C24" s="4" t="s">
        <v>355</v>
      </c>
      <c r="D24" s="4" t="s">
        <v>182</v>
      </c>
      <c r="E24" s="5">
        <v>52454</v>
      </c>
      <c r="F24" s="6">
        <v>2266.4848860000002</v>
      </c>
      <c r="G24" s="7">
        <v>1.8122042000000001E-2</v>
      </c>
      <c r="H24" s="106"/>
    </row>
    <row r="25" spans="1:8" ht="17.100000000000001" customHeight="1" x14ac:dyDescent="0.2">
      <c r="A25" s="3">
        <v>19</v>
      </c>
      <c r="B25" s="4" t="s">
        <v>94</v>
      </c>
      <c r="C25" s="4" t="s">
        <v>95</v>
      </c>
      <c r="D25" s="4" t="s">
        <v>96</v>
      </c>
      <c r="E25" s="5">
        <v>453358</v>
      </c>
      <c r="F25" s="6">
        <v>2264.7498890000002</v>
      </c>
      <c r="G25" s="7">
        <v>1.810817E-2</v>
      </c>
      <c r="H25" s="106"/>
    </row>
    <row r="26" spans="1:8" ht="17.100000000000001" customHeight="1" x14ac:dyDescent="0.2">
      <c r="A26" s="3">
        <v>20</v>
      </c>
      <c r="B26" s="4" t="s">
        <v>392</v>
      </c>
      <c r="C26" s="4" t="s">
        <v>393</v>
      </c>
      <c r="D26" s="4" t="s">
        <v>230</v>
      </c>
      <c r="E26" s="5">
        <v>295409</v>
      </c>
      <c r="F26" s="6">
        <v>2209.0685020000001</v>
      </c>
      <c r="G26" s="7">
        <v>1.7662959999999998E-2</v>
      </c>
      <c r="H26" s="106"/>
    </row>
    <row r="27" spans="1:8" ht="17.100000000000001" customHeight="1" x14ac:dyDescent="0.2">
      <c r="A27" s="3">
        <v>21</v>
      </c>
      <c r="B27" s="4" t="s">
        <v>226</v>
      </c>
      <c r="C27" s="4" t="s">
        <v>227</v>
      </c>
      <c r="D27" s="4" t="s">
        <v>110</v>
      </c>
      <c r="E27" s="5">
        <v>2067557</v>
      </c>
      <c r="F27" s="6">
        <v>2119.2459250000002</v>
      </c>
      <c r="G27" s="7">
        <v>1.6944768999999998E-2</v>
      </c>
      <c r="H27" s="106"/>
    </row>
    <row r="28" spans="1:8" ht="17.100000000000001" customHeight="1" x14ac:dyDescent="0.2">
      <c r="A28" s="3">
        <v>22</v>
      </c>
      <c r="B28" s="4" t="s">
        <v>233</v>
      </c>
      <c r="C28" s="4" t="s">
        <v>234</v>
      </c>
      <c r="D28" s="4" t="s">
        <v>110</v>
      </c>
      <c r="E28" s="5">
        <v>238782</v>
      </c>
      <c r="F28" s="6">
        <v>2092.2078839999999</v>
      </c>
      <c r="G28" s="7">
        <v>1.6728581999999999E-2</v>
      </c>
      <c r="H28" s="106"/>
    </row>
    <row r="29" spans="1:8" ht="17.100000000000001" customHeight="1" x14ac:dyDescent="0.2">
      <c r="A29" s="3">
        <v>23</v>
      </c>
      <c r="B29" s="4" t="s">
        <v>238</v>
      </c>
      <c r="C29" s="4" t="s">
        <v>239</v>
      </c>
      <c r="D29" s="4" t="s">
        <v>240</v>
      </c>
      <c r="E29" s="5">
        <v>750000</v>
      </c>
      <c r="F29" s="6">
        <v>1968.375</v>
      </c>
      <c r="G29" s="7">
        <v>1.5738457000000001E-2</v>
      </c>
      <c r="H29" s="106"/>
    </row>
    <row r="30" spans="1:8" ht="17.100000000000001" customHeight="1" x14ac:dyDescent="0.2">
      <c r="A30" s="3">
        <v>24</v>
      </c>
      <c r="B30" s="4" t="s">
        <v>215</v>
      </c>
      <c r="C30" s="4" t="s">
        <v>216</v>
      </c>
      <c r="D30" s="4" t="s">
        <v>185</v>
      </c>
      <c r="E30" s="5">
        <v>114437</v>
      </c>
      <c r="F30" s="6">
        <v>1891.4719545</v>
      </c>
      <c r="G30" s="7">
        <v>1.5123566E-2</v>
      </c>
      <c r="H30" s="106"/>
    </row>
    <row r="31" spans="1:8" ht="29.1" customHeight="1" x14ac:dyDescent="0.2">
      <c r="A31" s="3">
        <v>25</v>
      </c>
      <c r="B31" s="4" t="s">
        <v>364</v>
      </c>
      <c r="C31" s="4" t="s">
        <v>365</v>
      </c>
      <c r="D31" s="4" t="s">
        <v>366</v>
      </c>
      <c r="E31" s="5">
        <v>241351</v>
      </c>
      <c r="F31" s="6">
        <v>1858.7647265000001</v>
      </c>
      <c r="G31" s="7">
        <v>1.486205E-2</v>
      </c>
      <c r="H31" s="106"/>
    </row>
    <row r="32" spans="1:8" ht="17.100000000000001" customHeight="1" x14ac:dyDescent="0.2">
      <c r="A32" s="3">
        <v>26</v>
      </c>
      <c r="B32" s="4" t="s">
        <v>743</v>
      </c>
      <c r="C32" s="4" t="s">
        <v>744</v>
      </c>
      <c r="D32" s="4" t="s">
        <v>230</v>
      </c>
      <c r="E32" s="5">
        <v>922900</v>
      </c>
      <c r="F32" s="6">
        <v>1786.27295</v>
      </c>
      <c r="G32" s="7">
        <v>1.4282431E-2</v>
      </c>
      <c r="H32" s="106"/>
    </row>
    <row r="33" spans="1:8" ht="17.100000000000001" customHeight="1" x14ac:dyDescent="0.2">
      <c r="A33" s="3">
        <v>27</v>
      </c>
      <c r="B33" s="4" t="s">
        <v>588</v>
      </c>
      <c r="C33" s="4" t="s">
        <v>589</v>
      </c>
      <c r="D33" s="4" t="s">
        <v>268</v>
      </c>
      <c r="E33" s="5">
        <v>47367</v>
      </c>
      <c r="F33" s="6">
        <v>1784.1017385</v>
      </c>
      <c r="G33" s="7">
        <v>1.4265071000000001E-2</v>
      </c>
      <c r="H33" s="106"/>
    </row>
    <row r="34" spans="1:8" ht="17.100000000000001" customHeight="1" x14ac:dyDescent="0.2">
      <c r="A34" s="3">
        <v>28</v>
      </c>
      <c r="B34" s="4" t="s">
        <v>348</v>
      </c>
      <c r="C34" s="4" t="s">
        <v>349</v>
      </c>
      <c r="D34" s="4" t="s">
        <v>99</v>
      </c>
      <c r="E34" s="5">
        <v>20800</v>
      </c>
      <c r="F34" s="6">
        <v>1485.9728</v>
      </c>
      <c r="G34" s="7">
        <v>1.1881333000000001E-2</v>
      </c>
      <c r="H34" s="106"/>
    </row>
    <row r="35" spans="1:8" ht="17.100000000000001" customHeight="1" x14ac:dyDescent="0.2">
      <c r="A35" s="3">
        <v>29</v>
      </c>
      <c r="B35" s="4" t="s">
        <v>699</v>
      </c>
      <c r="C35" s="4" t="s">
        <v>700</v>
      </c>
      <c r="D35" s="4" t="s">
        <v>182</v>
      </c>
      <c r="E35" s="5">
        <v>34028</v>
      </c>
      <c r="F35" s="6">
        <v>1334.4760759999999</v>
      </c>
      <c r="G35" s="7">
        <v>1.0670017E-2</v>
      </c>
      <c r="H35" s="106"/>
    </row>
    <row r="36" spans="1:8" ht="17.100000000000001" customHeight="1" x14ac:dyDescent="0.2">
      <c r="A36" s="3">
        <v>30</v>
      </c>
      <c r="B36" s="4" t="s">
        <v>266</v>
      </c>
      <c r="C36" s="4" t="s">
        <v>267</v>
      </c>
      <c r="D36" s="4" t="s">
        <v>268</v>
      </c>
      <c r="E36" s="5">
        <v>131276</v>
      </c>
      <c r="F36" s="6">
        <v>1257.164614</v>
      </c>
      <c r="G36" s="7">
        <v>1.0051861E-2</v>
      </c>
      <c r="H36" s="106"/>
    </row>
    <row r="37" spans="1:8" ht="17.100000000000001" customHeight="1" x14ac:dyDescent="0.2">
      <c r="A37" s="3">
        <v>31</v>
      </c>
      <c r="B37" s="4" t="s">
        <v>530</v>
      </c>
      <c r="C37" s="4" t="s">
        <v>531</v>
      </c>
      <c r="D37" s="4" t="s">
        <v>110</v>
      </c>
      <c r="E37" s="5">
        <v>72944</v>
      </c>
      <c r="F37" s="6">
        <v>1206.9314240000001</v>
      </c>
      <c r="G37" s="7">
        <v>9.6502129999999995E-3</v>
      </c>
      <c r="H37" s="106"/>
    </row>
    <row r="38" spans="1:8" ht="17.100000000000001" customHeight="1" x14ac:dyDescent="0.2">
      <c r="A38" s="3">
        <v>32</v>
      </c>
      <c r="B38" s="4" t="s">
        <v>745</v>
      </c>
      <c r="C38" s="4" t="s">
        <v>746</v>
      </c>
      <c r="D38" s="4" t="s">
        <v>110</v>
      </c>
      <c r="E38" s="5">
        <v>180149</v>
      </c>
      <c r="F38" s="6">
        <v>966.13908700000002</v>
      </c>
      <c r="G38" s="7">
        <v>7.7249190000000002E-3</v>
      </c>
      <c r="H38" s="106"/>
    </row>
    <row r="39" spans="1:8" ht="17.100000000000001" customHeight="1" x14ac:dyDescent="0.2">
      <c r="A39" s="3">
        <v>33</v>
      </c>
      <c r="B39" s="4" t="s">
        <v>42</v>
      </c>
      <c r="C39" s="4" t="s">
        <v>43</v>
      </c>
      <c r="D39" s="4" t="s">
        <v>16</v>
      </c>
      <c r="E39" s="5">
        <v>160500</v>
      </c>
      <c r="F39" s="6">
        <v>920.94899999999996</v>
      </c>
      <c r="G39" s="7">
        <v>7.3635949999999997E-3</v>
      </c>
      <c r="H39" s="106"/>
    </row>
    <row r="40" spans="1:8" ht="17.100000000000001" customHeight="1" x14ac:dyDescent="0.2">
      <c r="A40" s="3">
        <v>34</v>
      </c>
      <c r="B40" s="4" t="s">
        <v>603</v>
      </c>
      <c r="C40" s="4" t="s">
        <v>604</v>
      </c>
      <c r="D40" s="4" t="s">
        <v>182</v>
      </c>
      <c r="E40" s="5">
        <v>896775</v>
      </c>
      <c r="F40" s="6">
        <v>806.6491125</v>
      </c>
      <c r="G40" s="7">
        <v>6.4496919999999999E-3</v>
      </c>
      <c r="H40" s="106"/>
    </row>
    <row r="41" spans="1:8" ht="17.100000000000001" customHeight="1" x14ac:dyDescent="0.2">
      <c r="A41" s="3">
        <v>35</v>
      </c>
      <c r="B41" s="4" t="s">
        <v>727</v>
      </c>
      <c r="C41" s="4" t="s">
        <v>728</v>
      </c>
      <c r="D41" s="4" t="s">
        <v>283</v>
      </c>
      <c r="E41" s="5">
        <v>88911</v>
      </c>
      <c r="F41" s="6">
        <v>737.33892300000002</v>
      </c>
      <c r="G41" s="7">
        <v>5.895511E-3</v>
      </c>
      <c r="H41" s="106"/>
    </row>
    <row r="42" spans="1:8" ht="17.100000000000001" customHeight="1" x14ac:dyDescent="0.2">
      <c r="A42" s="3">
        <v>36</v>
      </c>
      <c r="B42" s="4" t="s">
        <v>711</v>
      </c>
      <c r="C42" s="4" t="s">
        <v>712</v>
      </c>
      <c r="D42" s="4" t="s">
        <v>283</v>
      </c>
      <c r="E42" s="5">
        <v>76424</v>
      </c>
      <c r="F42" s="6">
        <v>400.882092</v>
      </c>
      <c r="G42" s="7">
        <v>3.2053170000000001E-3</v>
      </c>
      <c r="H42" s="106"/>
    </row>
    <row r="43" spans="1:8" ht="17.100000000000001" customHeight="1" x14ac:dyDescent="0.2">
      <c r="A43" s="3">
        <v>37</v>
      </c>
      <c r="B43" s="4" t="s">
        <v>108</v>
      </c>
      <c r="C43" s="4" t="s">
        <v>109</v>
      </c>
      <c r="D43" s="4" t="s">
        <v>110</v>
      </c>
      <c r="E43" s="5">
        <v>50109</v>
      </c>
      <c r="F43" s="6">
        <v>186.455589</v>
      </c>
      <c r="G43" s="7">
        <v>1.490835E-3</v>
      </c>
      <c r="H43" s="106"/>
    </row>
    <row r="44" spans="1:8" ht="17.100000000000001" customHeight="1" x14ac:dyDescent="0.2">
      <c r="A44" s="3">
        <v>38</v>
      </c>
      <c r="B44" s="4" t="s">
        <v>544</v>
      </c>
      <c r="C44" s="4" t="s">
        <v>545</v>
      </c>
      <c r="D44" s="4" t="s">
        <v>324</v>
      </c>
      <c r="E44" s="5">
        <v>15179</v>
      </c>
      <c r="F44" s="6">
        <v>104.8793005</v>
      </c>
      <c r="G44" s="7">
        <v>8.38579E-4</v>
      </c>
      <c r="H44" s="106"/>
    </row>
    <row r="45" spans="1:8" ht="14.1" customHeight="1" x14ac:dyDescent="0.2">
      <c r="A45" s="1"/>
      <c r="B45" s="1"/>
      <c r="C45" s="2" t="s">
        <v>130</v>
      </c>
      <c r="D45" s="1"/>
      <c r="E45" s="1" t="s">
        <v>131</v>
      </c>
      <c r="F45" s="9">
        <v>112410.67664799999</v>
      </c>
      <c r="G45" s="10">
        <v>0.89879752800000001</v>
      </c>
      <c r="H45" s="106"/>
    </row>
    <row r="46" spans="1:8" ht="14.1" customHeight="1" x14ac:dyDescent="0.2">
      <c r="A46" s="1"/>
      <c r="B46" s="1"/>
      <c r="C46" s="11"/>
      <c r="D46" s="1"/>
      <c r="E46" s="1"/>
      <c r="F46" s="12"/>
      <c r="G46" s="12"/>
      <c r="H46" s="106"/>
    </row>
    <row r="47" spans="1:8" ht="14.1" customHeight="1" x14ac:dyDescent="0.2">
      <c r="A47" s="1"/>
      <c r="B47" s="1"/>
      <c r="C47" s="2" t="s">
        <v>132</v>
      </c>
      <c r="D47" s="1"/>
      <c r="E47" s="1"/>
      <c r="F47" s="1"/>
      <c r="G47" s="1"/>
      <c r="H47" s="106"/>
    </row>
    <row r="48" spans="1:8" ht="14.1" customHeight="1" x14ac:dyDescent="0.2">
      <c r="A48" s="1"/>
      <c r="B48" s="1"/>
      <c r="C48" s="2" t="s">
        <v>130</v>
      </c>
      <c r="D48" s="1"/>
      <c r="E48" s="1" t="s">
        <v>131</v>
      </c>
      <c r="F48" s="13">
        <v>0</v>
      </c>
      <c r="G48" s="14">
        <v>0</v>
      </c>
      <c r="H48" s="106"/>
    </row>
    <row r="49" spans="1:8" ht="14.1" customHeight="1" x14ac:dyDescent="0.2">
      <c r="A49" s="1"/>
      <c r="B49" s="1"/>
      <c r="C49" s="11"/>
      <c r="D49" s="1"/>
      <c r="E49" s="1"/>
      <c r="F49" s="12"/>
      <c r="G49" s="12"/>
      <c r="H49" s="106"/>
    </row>
    <row r="50" spans="1:8" ht="14.1" customHeight="1" x14ac:dyDescent="0.2">
      <c r="A50" s="1"/>
      <c r="B50" s="1"/>
      <c r="C50" s="2" t="s">
        <v>133</v>
      </c>
      <c r="D50" s="1"/>
      <c r="E50" s="1"/>
      <c r="F50" s="1"/>
      <c r="G50" s="1"/>
      <c r="H50" s="106"/>
    </row>
    <row r="51" spans="1:8" ht="14.1" customHeight="1" x14ac:dyDescent="0.2">
      <c r="A51" s="1"/>
      <c r="B51" s="1"/>
      <c r="C51" s="2" t="s">
        <v>130</v>
      </c>
      <c r="D51" s="1"/>
      <c r="E51" s="1" t="s">
        <v>131</v>
      </c>
      <c r="F51" s="13">
        <v>0</v>
      </c>
      <c r="G51" s="14">
        <v>0</v>
      </c>
      <c r="H51" s="106"/>
    </row>
    <row r="52" spans="1:8" ht="14.1" customHeight="1" x14ac:dyDescent="0.2">
      <c r="A52" s="1"/>
      <c r="B52" s="1"/>
      <c r="C52" s="11"/>
      <c r="D52" s="1"/>
      <c r="E52" s="1"/>
      <c r="F52" s="12"/>
      <c r="G52" s="12"/>
      <c r="H52" s="106"/>
    </row>
    <row r="53" spans="1:8" ht="14.1" customHeight="1" x14ac:dyDescent="0.2">
      <c r="A53" s="1"/>
      <c r="B53" s="1"/>
      <c r="C53" s="2" t="s">
        <v>134</v>
      </c>
      <c r="D53" s="1"/>
      <c r="E53" s="1"/>
      <c r="F53" s="1"/>
      <c r="G53" s="1"/>
      <c r="H53" s="106"/>
    </row>
    <row r="54" spans="1:8" ht="14.1" customHeight="1" x14ac:dyDescent="0.2">
      <c r="A54" s="1"/>
      <c r="B54" s="1"/>
      <c r="C54" s="2" t="s">
        <v>130</v>
      </c>
      <c r="D54" s="1"/>
      <c r="E54" s="1" t="s">
        <v>131</v>
      </c>
      <c r="F54" s="13">
        <v>0</v>
      </c>
      <c r="G54" s="14">
        <v>0</v>
      </c>
      <c r="H54" s="106"/>
    </row>
    <row r="55" spans="1:8" ht="14.1" customHeight="1" x14ac:dyDescent="0.2">
      <c r="A55" s="1"/>
      <c r="B55" s="1"/>
      <c r="C55" s="11"/>
      <c r="D55" s="1"/>
      <c r="E55" s="1"/>
      <c r="F55" s="12"/>
      <c r="G55" s="12"/>
      <c r="H55" s="106"/>
    </row>
    <row r="56" spans="1:8" ht="14.1" customHeight="1" x14ac:dyDescent="0.2">
      <c r="A56" s="1"/>
      <c r="B56" s="1"/>
      <c r="C56" s="2" t="s">
        <v>135</v>
      </c>
      <c r="D56" s="1"/>
      <c r="E56" s="1"/>
      <c r="F56" s="12"/>
      <c r="G56" s="12"/>
      <c r="H56" s="106"/>
    </row>
    <row r="57" spans="1:8" ht="14.1" customHeight="1" x14ac:dyDescent="0.2">
      <c r="A57" s="1"/>
      <c r="B57" s="1"/>
      <c r="C57" s="2" t="s">
        <v>130</v>
      </c>
      <c r="D57" s="1"/>
      <c r="E57" s="1" t="s">
        <v>131</v>
      </c>
      <c r="F57" s="13">
        <v>0</v>
      </c>
      <c r="G57" s="14">
        <v>0</v>
      </c>
      <c r="H57" s="106"/>
    </row>
    <row r="58" spans="1:8" ht="14.1" customHeight="1" x14ac:dyDescent="0.2">
      <c r="A58" s="1"/>
      <c r="B58" s="1"/>
      <c r="C58" s="11"/>
      <c r="D58" s="1"/>
      <c r="E58" s="1"/>
      <c r="F58" s="12"/>
      <c r="G58" s="12"/>
      <c r="H58" s="106"/>
    </row>
    <row r="59" spans="1:8" ht="14.1" customHeight="1" x14ac:dyDescent="0.2">
      <c r="A59" s="1"/>
      <c r="B59" s="1"/>
      <c r="C59" s="2" t="s">
        <v>136</v>
      </c>
      <c r="D59" s="1"/>
      <c r="E59" s="1"/>
      <c r="F59" s="12"/>
      <c r="G59" s="12"/>
      <c r="H59" s="106"/>
    </row>
    <row r="60" spans="1:8" ht="14.1" customHeight="1" x14ac:dyDescent="0.2">
      <c r="A60" s="1"/>
      <c r="B60" s="1"/>
      <c r="C60" s="2" t="s">
        <v>130</v>
      </c>
      <c r="D60" s="1"/>
      <c r="E60" s="1" t="s">
        <v>131</v>
      </c>
      <c r="F60" s="13">
        <v>0</v>
      </c>
      <c r="G60" s="14">
        <v>0</v>
      </c>
      <c r="H60" s="106"/>
    </row>
    <row r="61" spans="1:8" ht="14.1" customHeight="1" x14ac:dyDescent="0.2">
      <c r="A61" s="1"/>
      <c r="B61" s="1"/>
      <c r="C61" s="11"/>
      <c r="D61" s="1"/>
      <c r="E61" s="1"/>
      <c r="F61" s="12"/>
      <c r="G61" s="12"/>
      <c r="H61" s="106"/>
    </row>
    <row r="62" spans="1:8" ht="18" customHeight="1" x14ac:dyDescent="0.2">
      <c r="A62" s="1"/>
      <c r="B62" s="1"/>
      <c r="C62" s="2" t="s">
        <v>137</v>
      </c>
      <c r="D62" s="1"/>
      <c r="E62" s="1"/>
      <c r="F62" s="9">
        <v>112410.67664799999</v>
      </c>
      <c r="G62" s="10">
        <v>0.89879752800000001</v>
      </c>
      <c r="H62" s="106"/>
    </row>
    <row r="63" spans="1:8" ht="14.1" customHeight="1" x14ac:dyDescent="0.2">
      <c r="A63" s="1"/>
      <c r="B63" s="1"/>
      <c r="C63" s="11"/>
      <c r="D63" s="1"/>
      <c r="E63" s="1"/>
      <c r="F63" s="12"/>
      <c r="G63" s="12"/>
      <c r="H63" s="106"/>
    </row>
    <row r="64" spans="1:8" ht="14.1" customHeight="1" x14ac:dyDescent="0.2">
      <c r="A64" s="1"/>
      <c r="B64" s="1"/>
      <c r="C64" s="2" t="s">
        <v>138</v>
      </c>
      <c r="D64" s="1"/>
      <c r="E64" s="1"/>
      <c r="F64" s="12"/>
      <c r="G64" s="12"/>
      <c r="H64" s="106"/>
    </row>
    <row r="65" spans="1:8" ht="24" customHeight="1" x14ac:dyDescent="0.2">
      <c r="A65" s="1"/>
      <c r="B65" s="1"/>
      <c r="C65" s="2" t="s">
        <v>10</v>
      </c>
      <c r="D65" s="1"/>
      <c r="E65" s="1"/>
      <c r="F65" s="12"/>
      <c r="G65" s="12"/>
      <c r="H65" s="106"/>
    </row>
    <row r="66" spans="1:8" ht="14.1" customHeight="1" x14ac:dyDescent="0.2">
      <c r="A66" s="1"/>
      <c r="B66" s="1"/>
      <c r="C66" s="2" t="s">
        <v>130</v>
      </c>
      <c r="D66" s="1"/>
      <c r="E66" s="1" t="s">
        <v>131</v>
      </c>
      <c r="F66" s="13">
        <v>0</v>
      </c>
      <c r="G66" s="14">
        <v>0</v>
      </c>
      <c r="H66" s="106"/>
    </row>
    <row r="67" spans="1:8" ht="14.1" customHeight="1" x14ac:dyDescent="0.2">
      <c r="A67" s="1"/>
      <c r="B67" s="1"/>
      <c r="C67" s="11"/>
      <c r="D67" s="1"/>
      <c r="E67" s="1"/>
      <c r="F67" s="12"/>
      <c r="G67" s="12"/>
      <c r="H67" s="106"/>
    </row>
    <row r="68" spans="1:8" ht="14.1" customHeight="1" x14ac:dyDescent="0.2">
      <c r="A68" s="1"/>
      <c r="B68" s="1"/>
      <c r="C68" s="2" t="s">
        <v>139</v>
      </c>
      <c r="D68" s="1"/>
      <c r="E68" s="1"/>
      <c r="F68" s="1"/>
      <c r="G68" s="1"/>
      <c r="H68" s="106"/>
    </row>
    <row r="69" spans="1:8" ht="14.1" customHeight="1" x14ac:dyDescent="0.2">
      <c r="A69" s="1"/>
      <c r="B69" s="1"/>
      <c r="C69" s="2" t="s">
        <v>130</v>
      </c>
      <c r="D69" s="1"/>
      <c r="E69" s="1" t="s">
        <v>131</v>
      </c>
      <c r="F69" s="13">
        <v>0</v>
      </c>
      <c r="G69" s="14">
        <v>0</v>
      </c>
      <c r="H69" s="106"/>
    </row>
    <row r="70" spans="1:8" ht="14.1" customHeight="1" x14ac:dyDescent="0.2">
      <c r="A70" s="1"/>
      <c r="B70" s="1"/>
      <c r="C70" s="11"/>
      <c r="D70" s="1"/>
      <c r="E70" s="1"/>
      <c r="F70" s="12"/>
      <c r="G70" s="12"/>
      <c r="H70" s="106"/>
    </row>
    <row r="71" spans="1:8" ht="14.1" customHeight="1" x14ac:dyDescent="0.2">
      <c r="A71" s="1"/>
      <c r="B71" s="1"/>
      <c r="C71" s="2" t="s">
        <v>140</v>
      </c>
      <c r="D71" s="1"/>
      <c r="E71" s="1"/>
      <c r="F71" s="1"/>
      <c r="G71" s="1"/>
      <c r="H71" s="106"/>
    </row>
    <row r="72" spans="1:8" ht="14.1" customHeight="1" x14ac:dyDescent="0.2">
      <c r="A72" s="1"/>
      <c r="B72" s="1"/>
      <c r="C72" s="2" t="s">
        <v>130</v>
      </c>
      <c r="D72" s="1"/>
      <c r="E72" s="1" t="s">
        <v>131</v>
      </c>
      <c r="F72" s="13">
        <v>0</v>
      </c>
      <c r="G72" s="14">
        <v>0</v>
      </c>
      <c r="H72" s="106"/>
    </row>
    <row r="73" spans="1:8" ht="14.1" customHeight="1" x14ac:dyDescent="0.2">
      <c r="A73" s="1"/>
      <c r="B73" s="1"/>
      <c r="C73" s="11"/>
      <c r="D73" s="1"/>
      <c r="E73" s="1"/>
      <c r="F73" s="12"/>
      <c r="G73" s="12"/>
      <c r="H73" s="106"/>
    </row>
    <row r="74" spans="1:8" ht="14.1" customHeight="1" x14ac:dyDescent="0.2">
      <c r="A74" s="1"/>
      <c r="B74" s="1"/>
      <c r="C74" s="2" t="s">
        <v>141</v>
      </c>
      <c r="D74" s="1"/>
      <c r="E74" s="1"/>
      <c r="F74" s="12"/>
      <c r="G74" s="12"/>
      <c r="H74" s="106"/>
    </row>
    <row r="75" spans="1:8" ht="14.1" customHeight="1" x14ac:dyDescent="0.2">
      <c r="A75" s="1"/>
      <c r="B75" s="1"/>
      <c r="C75" s="2" t="s">
        <v>130</v>
      </c>
      <c r="D75" s="1"/>
      <c r="E75" s="1" t="s">
        <v>131</v>
      </c>
      <c r="F75" s="13">
        <v>0</v>
      </c>
      <c r="G75" s="14">
        <v>0</v>
      </c>
      <c r="H75" s="106"/>
    </row>
    <row r="76" spans="1:8" ht="14.1" customHeight="1" x14ac:dyDescent="0.2">
      <c r="A76" s="1"/>
      <c r="B76" s="1"/>
      <c r="C76" s="11"/>
      <c r="D76" s="1"/>
      <c r="E76" s="1"/>
      <c r="F76" s="12"/>
      <c r="G76" s="12"/>
      <c r="H76" s="106"/>
    </row>
    <row r="77" spans="1:8" ht="14.1" customHeight="1" x14ac:dyDescent="0.2">
      <c r="A77" s="1"/>
      <c r="B77" s="1"/>
      <c r="C77" s="2" t="s">
        <v>142</v>
      </c>
      <c r="D77" s="1"/>
      <c r="E77" s="1"/>
      <c r="F77" s="9">
        <v>0</v>
      </c>
      <c r="G77" s="10">
        <v>0</v>
      </c>
      <c r="H77" s="106"/>
    </row>
    <row r="78" spans="1:8" ht="14.1" customHeight="1" x14ac:dyDescent="0.2">
      <c r="A78" s="1"/>
      <c r="B78" s="1"/>
      <c r="C78" s="11"/>
      <c r="D78" s="1"/>
      <c r="E78" s="1"/>
      <c r="F78" s="12"/>
      <c r="G78" s="12"/>
      <c r="H78" s="106"/>
    </row>
    <row r="79" spans="1:8" ht="14.1" customHeight="1" x14ac:dyDescent="0.2">
      <c r="A79" s="1"/>
      <c r="B79" s="1"/>
      <c r="C79" s="2" t="s">
        <v>143</v>
      </c>
      <c r="D79" s="1"/>
      <c r="E79" s="1"/>
      <c r="F79" s="12"/>
      <c r="G79" s="12"/>
      <c r="H79" s="106"/>
    </row>
    <row r="80" spans="1:8" ht="14.1" customHeight="1" x14ac:dyDescent="0.2">
      <c r="A80" s="1"/>
      <c r="B80" s="1"/>
      <c r="C80" s="2" t="s">
        <v>144</v>
      </c>
      <c r="D80" s="1"/>
      <c r="E80" s="1"/>
      <c r="F80" s="12"/>
      <c r="G80" s="12"/>
      <c r="H80" s="106"/>
    </row>
    <row r="81" spans="1:8" ht="14.1" customHeight="1" x14ac:dyDescent="0.2">
      <c r="A81" s="1"/>
      <c r="B81" s="1"/>
      <c r="C81" s="2" t="s">
        <v>130</v>
      </c>
      <c r="D81" s="1"/>
      <c r="E81" s="1" t="s">
        <v>131</v>
      </c>
      <c r="F81" s="13">
        <v>0</v>
      </c>
      <c r="G81" s="14">
        <v>0</v>
      </c>
      <c r="H81" s="106"/>
    </row>
    <row r="82" spans="1:8" ht="14.1" customHeight="1" x14ac:dyDescent="0.2">
      <c r="A82" s="1"/>
      <c r="B82" s="1"/>
      <c r="C82" s="11"/>
      <c r="D82" s="1"/>
      <c r="E82" s="1"/>
      <c r="F82" s="12"/>
      <c r="G82" s="12"/>
      <c r="H82" s="106"/>
    </row>
    <row r="83" spans="1:8" ht="14.1" customHeight="1" x14ac:dyDescent="0.2">
      <c r="A83" s="1"/>
      <c r="B83" s="1"/>
      <c r="C83" s="2" t="s">
        <v>145</v>
      </c>
      <c r="D83" s="1"/>
      <c r="E83" s="1"/>
      <c r="F83" s="12"/>
      <c r="G83" s="12"/>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146</v>
      </c>
      <c r="D86" s="1"/>
      <c r="E86" s="1"/>
      <c r="F86" s="12"/>
      <c r="G86" s="12"/>
      <c r="H86" s="106"/>
    </row>
    <row r="87" spans="1:8" ht="14.1" customHeight="1" x14ac:dyDescent="0.2">
      <c r="A87" s="1"/>
      <c r="B87" s="1"/>
      <c r="C87" s="2" t="s">
        <v>130</v>
      </c>
      <c r="D87" s="1"/>
      <c r="E87" s="1" t="s">
        <v>131</v>
      </c>
      <c r="F87" s="13">
        <v>0</v>
      </c>
      <c r="G87" s="14">
        <v>0</v>
      </c>
      <c r="H87" s="106"/>
    </row>
    <row r="88" spans="1:8" ht="14.1" customHeight="1" x14ac:dyDescent="0.2">
      <c r="A88" s="1"/>
      <c r="B88" s="1"/>
      <c r="C88" s="11"/>
      <c r="D88" s="1"/>
      <c r="E88" s="1"/>
      <c r="F88" s="12"/>
      <c r="G88" s="12"/>
      <c r="H88" s="106"/>
    </row>
    <row r="89" spans="1:8" ht="14.1" customHeight="1" x14ac:dyDescent="0.2">
      <c r="A89" s="1"/>
      <c r="B89" s="1"/>
      <c r="C89" s="2" t="s">
        <v>147</v>
      </c>
      <c r="D89" s="1"/>
      <c r="E89" s="1"/>
      <c r="F89" s="12"/>
      <c r="G89" s="12"/>
      <c r="H89" s="106"/>
    </row>
    <row r="90" spans="1:8" ht="17.100000000000001" customHeight="1" x14ac:dyDescent="0.2">
      <c r="A90" s="3">
        <v>1</v>
      </c>
      <c r="B90" s="4"/>
      <c r="C90" s="4" t="s">
        <v>148</v>
      </c>
      <c r="D90" s="4"/>
      <c r="E90" s="8"/>
      <c r="F90" s="6">
        <v>10707.2190424</v>
      </c>
      <c r="G90" s="7">
        <v>8.5611280999999997E-2</v>
      </c>
      <c r="H90" s="106">
        <v>6.1171451766917002</v>
      </c>
    </row>
    <row r="91" spans="1:8" ht="14.1" customHeight="1" x14ac:dyDescent="0.2">
      <c r="A91" s="1"/>
      <c r="B91" s="1"/>
      <c r="C91" s="2" t="s">
        <v>130</v>
      </c>
      <c r="D91" s="1"/>
      <c r="E91" s="1" t="s">
        <v>131</v>
      </c>
      <c r="F91" s="9">
        <v>10707.2190424</v>
      </c>
      <c r="G91" s="10">
        <v>8.5611280999999997E-2</v>
      </c>
      <c r="H91" s="106"/>
    </row>
    <row r="92" spans="1:8" ht="14.1" customHeight="1" x14ac:dyDescent="0.2">
      <c r="A92" s="1"/>
      <c r="B92" s="1"/>
      <c r="C92" s="11"/>
      <c r="D92" s="1"/>
      <c r="E92" s="1"/>
      <c r="F92" s="12"/>
      <c r="G92" s="12"/>
      <c r="H92" s="106"/>
    </row>
    <row r="93" spans="1:8" ht="14.1" customHeight="1" x14ac:dyDescent="0.2">
      <c r="A93" s="1"/>
      <c r="B93" s="1"/>
      <c r="C93" s="2" t="s">
        <v>149</v>
      </c>
      <c r="D93" s="1"/>
      <c r="E93" s="1"/>
      <c r="F93" s="9">
        <v>10707.2190424</v>
      </c>
      <c r="G93" s="10">
        <v>8.5611280999999997E-2</v>
      </c>
      <c r="H93" s="106"/>
    </row>
    <row r="94" spans="1:8" ht="14.1" customHeight="1" x14ac:dyDescent="0.2">
      <c r="A94" s="1"/>
      <c r="B94" s="1"/>
      <c r="C94" s="12"/>
      <c r="D94" s="1"/>
      <c r="E94" s="1"/>
      <c r="F94" s="1"/>
      <c r="G94" s="1"/>
      <c r="H94" s="106"/>
    </row>
    <row r="95" spans="1:8" ht="14.1" customHeight="1" x14ac:dyDescent="0.2">
      <c r="A95" s="1"/>
      <c r="B95" s="1"/>
      <c r="C95" s="2" t="s">
        <v>150</v>
      </c>
      <c r="D95" s="1"/>
      <c r="E95" s="1"/>
      <c r="F95" s="1"/>
      <c r="G95" s="1"/>
      <c r="H95" s="106"/>
    </row>
    <row r="96" spans="1:8" ht="14.1" customHeight="1" x14ac:dyDescent="0.2">
      <c r="A96" s="1"/>
      <c r="B96" s="1"/>
      <c r="C96" s="2" t="s">
        <v>151</v>
      </c>
      <c r="D96" s="1"/>
      <c r="E96" s="1"/>
      <c r="F96" s="1"/>
      <c r="G96" s="1"/>
      <c r="H96" s="106"/>
    </row>
    <row r="97" spans="1:8" ht="14.1" customHeight="1" x14ac:dyDescent="0.2">
      <c r="A97" s="1"/>
      <c r="B97" s="1"/>
      <c r="C97" s="2" t="s">
        <v>130</v>
      </c>
      <c r="D97" s="1"/>
      <c r="E97" s="1" t="s">
        <v>131</v>
      </c>
      <c r="F97" s="13">
        <v>0</v>
      </c>
      <c r="G97" s="14">
        <v>0</v>
      </c>
      <c r="H97" s="106"/>
    </row>
    <row r="98" spans="1:8" ht="14.1" customHeight="1" x14ac:dyDescent="0.2">
      <c r="A98" s="1"/>
      <c r="B98" s="1"/>
      <c r="C98" s="11"/>
      <c r="D98" s="1"/>
      <c r="E98" s="1"/>
      <c r="F98" s="12"/>
      <c r="G98" s="12"/>
      <c r="H98" s="106"/>
    </row>
    <row r="99" spans="1:8" ht="14.1" customHeight="1" x14ac:dyDescent="0.2">
      <c r="A99" s="1"/>
      <c r="B99" s="1"/>
      <c r="C99" s="2" t="s">
        <v>152</v>
      </c>
      <c r="D99" s="1"/>
      <c r="E99" s="1"/>
      <c r="F99" s="1"/>
      <c r="G99" s="1"/>
      <c r="H99" s="106"/>
    </row>
    <row r="100" spans="1:8" ht="14.1" customHeight="1" x14ac:dyDescent="0.2">
      <c r="A100" s="1"/>
      <c r="B100" s="1"/>
      <c r="C100" s="2" t="s">
        <v>153</v>
      </c>
      <c r="D100" s="1"/>
      <c r="E100" s="1"/>
      <c r="F100" s="1"/>
      <c r="G100" s="1"/>
      <c r="H100" s="106"/>
    </row>
    <row r="101" spans="1:8" ht="14.1" customHeight="1" x14ac:dyDescent="0.2">
      <c r="A101" s="1"/>
      <c r="B101" s="1"/>
      <c r="C101" s="2" t="s">
        <v>130</v>
      </c>
      <c r="D101" s="1"/>
      <c r="E101" s="1" t="s">
        <v>131</v>
      </c>
      <c r="F101" s="13">
        <v>0</v>
      </c>
      <c r="G101" s="14">
        <v>0</v>
      </c>
      <c r="H101" s="106"/>
    </row>
    <row r="102" spans="1:8" ht="14.1" customHeight="1" x14ac:dyDescent="0.2">
      <c r="A102" s="1"/>
      <c r="B102" s="1"/>
      <c r="C102" s="11"/>
      <c r="D102" s="1"/>
      <c r="E102" s="1"/>
      <c r="F102" s="12"/>
      <c r="G102" s="12"/>
      <c r="H102" s="106"/>
    </row>
    <row r="103" spans="1:8" ht="14.1" customHeight="1" x14ac:dyDescent="0.2">
      <c r="A103" s="1"/>
      <c r="B103" s="1"/>
      <c r="C103" s="11"/>
      <c r="D103" s="1"/>
      <c r="E103" s="1"/>
      <c r="F103" s="12"/>
      <c r="G103" s="12"/>
      <c r="H103" s="106"/>
    </row>
    <row r="104" spans="1:8" ht="24" customHeight="1" x14ac:dyDescent="0.2">
      <c r="A104" s="1"/>
      <c r="B104" s="1"/>
      <c r="C104" s="2" t="s">
        <v>154</v>
      </c>
      <c r="D104" s="1"/>
      <c r="E104" s="1"/>
      <c r="F104" s="12"/>
      <c r="G104" s="12"/>
      <c r="H104" s="106"/>
    </row>
    <row r="105" spans="1:8" ht="14.1" customHeight="1" x14ac:dyDescent="0.2">
      <c r="A105" s="1"/>
      <c r="B105" s="1"/>
      <c r="C105" s="2" t="s">
        <v>130</v>
      </c>
      <c r="D105" s="1"/>
      <c r="E105" s="1" t="s">
        <v>131</v>
      </c>
      <c r="F105" s="13">
        <v>0</v>
      </c>
      <c r="G105" s="14">
        <v>0</v>
      </c>
      <c r="H105" s="106"/>
    </row>
    <row r="106" spans="1:8" ht="14.1" customHeight="1" x14ac:dyDescent="0.2">
      <c r="A106" s="1"/>
      <c r="B106" s="1"/>
      <c r="C106" s="11"/>
      <c r="D106" s="1"/>
      <c r="E106" s="1"/>
      <c r="F106" s="12"/>
      <c r="G106" s="12"/>
      <c r="H106" s="106"/>
    </row>
    <row r="107" spans="1:8" ht="14.1" customHeight="1" x14ac:dyDescent="0.2">
      <c r="A107" s="1"/>
      <c r="B107" s="4"/>
      <c r="C107" s="4"/>
      <c r="D107" s="2"/>
      <c r="E107" s="1"/>
      <c r="F107" s="4"/>
      <c r="G107" s="8"/>
      <c r="H107" s="106"/>
    </row>
    <row r="108" spans="1:8" ht="18" customHeight="1" x14ac:dyDescent="0.2">
      <c r="A108" s="8"/>
      <c r="B108" s="4"/>
      <c r="C108" s="4" t="s">
        <v>155</v>
      </c>
      <c r="D108" s="4"/>
      <c r="E108" s="8"/>
      <c r="F108" s="6">
        <v>1949.95662664</v>
      </c>
      <c r="G108" s="7">
        <v>1.559119E-2</v>
      </c>
      <c r="H108" s="106"/>
    </row>
    <row r="109" spans="1:8" ht="14.1" customHeight="1" x14ac:dyDescent="0.2">
      <c r="A109" s="11"/>
      <c r="B109" s="11"/>
      <c r="C109" s="2" t="s">
        <v>156</v>
      </c>
      <c r="D109" s="15"/>
      <c r="E109" s="15"/>
      <c r="F109" s="9">
        <v>125067.85231704</v>
      </c>
      <c r="G109" s="14">
        <v>0.99999999900000003</v>
      </c>
      <c r="H109" s="106"/>
    </row>
    <row r="110" spans="1:8" ht="14.1" customHeight="1" x14ac:dyDescent="0.2">
      <c r="A110" s="16"/>
      <c r="B110" s="16"/>
      <c r="C110" s="16"/>
      <c r="D110" s="17"/>
      <c r="E110" s="17"/>
      <c r="F110" s="17"/>
      <c r="G110" s="17"/>
    </row>
    <row r="111" spans="1:8" ht="14.1" customHeight="1" x14ac:dyDescent="0.2">
      <c r="A111" s="18"/>
      <c r="B111" s="18"/>
      <c r="C111" s="18"/>
      <c r="D111" s="20"/>
      <c r="E111" s="20"/>
      <c r="F111" s="20"/>
      <c r="G111" s="20"/>
    </row>
    <row r="112" spans="1:8" ht="14.1" customHeight="1" x14ac:dyDescent="0.2">
      <c r="A112" s="18"/>
      <c r="B112" s="279" t="s">
        <v>158</v>
      </c>
      <c r="C112" s="280"/>
      <c r="D112" s="12" t="s">
        <v>131</v>
      </c>
      <c r="E112" s="21"/>
      <c r="F112" s="20"/>
      <c r="G112" s="20"/>
    </row>
    <row r="113" spans="1:7" ht="29.1" customHeight="1" x14ac:dyDescent="0.2">
      <c r="A113" s="18"/>
      <c r="B113" s="274" t="s">
        <v>159</v>
      </c>
      <c r="C113" s="275"/>
      <c r="D113" s="2" t="s">
        <v>160</v>
      </c>
      <c r="E113" s="21"/>
      <c r="F113" s="20"/>
      <c r="G113" s="20"/>
    </row>
    <row r="114" spans="1:7" ht="17.100000000000001" customHeight="1" x14ac:dyDescent="0.2">
      <c r="A114" s="18"/>
      <c r="B114" s="274" t="s">
        <v>161</v>
      </c>
      <c r="C114" s="275"/>
      <c r="D114" s="2" t="s">
        <v>160</v>
      </c>
      <c r="E114" s="21"/>
      <c r="F114" s="20"/>
      <c r="G114" s="20"/>
    </row>
    <row r="115" spans="1:7" ht="17.100000000000001" customHeight="1" x14ac:dyDescent="0.2">
      <c r="A115" s="18"/>
      <c r="B115" s="274" t="s">
        <v>162</v>
      </c>
      <c r="C115" s="275"/>
      <c r="D115" s="12" t="s">
        <v>131</v>
      </c>
      <c r="E115" s="21"/>
      <c r="F115" s="20"/>
      <c r="G115" s="20"/>
    </row>
    <row r="116" spans="1:7" ht="24" customHeight="1" x14ac:dyDescent="0.2">
      <c r="A116" s="22"/>
      <c r="B116" s="23" t="s">
        <v>131</v>
      </c>
      <c r="C116" s="23" t="s">
        <v>163</v>
      </c>
      <c r="D116" s="23" t="s">
        <v>164</v>
      </c>
      <c r="E116" s="22"/>
      <c r="F116" s="22"/>
      <c r="G116" s="22"/>
    </row>
    <row r="117" spans="1:7" ht="18" customHeight="1" x14ac:dyDescent="0.2">
      <c r="A117" s="22"/>
      <c r="B117" s="23" t="s">
        <v>165</v>
      </c>
      <c r="C117" s="23" t="s">
        <v>166</v>
      </c>
      <c r="D117" s="23" t="s">
        <v>167</v>
      </c>
      <c r="E117" s="22"/>
      <c r="F117" s="22"/>
      <c r="G117" s="22"/>
    </row>
    <row r="118" spans="1:7" ht="17.100000000000001" customHeight="1" x14ac:dyDescent="0.2">
      <c r="A118" s="22"/>
      <c r="B118" s="4" t="s">
        <v>168</v>
      </c>
      <c r="C118" s="24">
        <v>68.453400000000002</v>
      </c>
      <c r="D118" s="24">
        <v>69.029399999999995</v>
      </c>
      <c r="E118" s="22"/>
      <c r="F118" s="19"/>
      <c r="G118" s="25"/>
    </row>
    <row r="119" spans="1:7" ht="17.100000000000001" customHeight="1" x14ac:dyDescent="0.2">
      <c r="A119" s="22"/>
      <c r="B119" s="4" t="s">
        <v>1048</v>
      </c>
      <c r="C119" s="24">
        <v>26.3659</v>
      </c>
      <c r="D119" s="24">
        <v>26.587800000000001</v>
      </c>
      <c r="E119" s="22"/>
      <c r="F119" s="19"/>
      <c r="G119" s="25"/>
    </row>
    <row r="120" spans="1:7" ht="17.100000000000001" customHeight="1" x14ac:dyDescent="0.2">
      <c r="A120" s="22"/>
      <c r="B120" s="4" t="s">
        <v>169</v>
      </c>
      <c r="C120" s="24">
        <v>63.981299999999997</v>
      </c>
      <c r="D120" s="24">
        <v>64.465199999999996</v>
      </c>
      <c r="E120" s="22"/>
      <c r="F120" s="19"/>
      <c r="G120" s="25"/>
    </row>
    <row r="121" spans="1:7" ht="17.100000000000001" customHeight="1" x14ac:dyDescent="0.2">
      <c r="A121" s="22"/>
      <c r="B121" s="4" t="s">
        <v>1049</v>
      </c>
      <c r="C121" s="24">
        <v>24.237200000000001</v>
      </c>
      <c r="D121" s="24">
        <v>24.420500000000001</v>
      </c>
      <c r="E121" s="22"/>
      <c r="F121" s="19"/>
      <c r="G121" s="25"/>
    </row>
    <row r="122" spans="1:7" ht="14.1" customHeight="1" x14ac:dyDescent="0.2">
      <c r="A122" s="22"/>
      <c r="B122" s="22"/>
      <c r="C122" s="22"/>
      <c r="D122" s="22"/>
      <c r="E122" s="22"/>
      <c r="F122" s="22"/>
      <c r="G122" s="22"/>
    </row>
    <row r="123" spans="1:7" ht="17.100000000000001" customHeight="1" x14ac:dyDescent="0.2">
      <c r="A123" s="22"/>
      <c r="B123" s="274" t="s">
        <v>1060</v>
      </c>
      <c r="C123" s="275"/>
      <c r="D123" s="2" t="s">
        <v>160</v>
      </c>
      <c r="E123" s="22"/>
      <c r="F123" s="22"/>
      <c r="G123" s="22"/>
    </row>
    <row r="124" spans="1:7" ht="18" customHeight="1" x14ac:dyDescent="0.2">
      <c r="A124" s="22"/>
      <c r="B124" s="26" t="s">
        <v>170</v>
      </c>
      <c r="C124" s="26" t="s">
        <v>170</v>
      </c>
      <c r="D124" s="26"/>
      <c r="E124" s="22"/>
      <c r="F124" s="22"/>
      <c r="G124" s="22"/>
    </row>
    <row r="125" spans="1:7" ht="29.1" customHeight="1" x14ac:dyDescent="0.2">
      <c r="A125" s="22"/>
      <c r="B125" s="274" t="s">
        <v>171</v>
      </c>
      <c r="C125" s="275"/>
      <c r="D125" s="2" t="s">
        <v>160</v>
      </c>
      <c r="E125" s="22"/>
      <c r="F125" s="22"/>
      <c r="G125" s="22"/>
    </row>
    <row r="126" spans="1:7" ht="29.1" customHeight="1" x14ac:dyDescent="0.2">
      <c r="A126" s="22"/>
      <c r="B126" s="274" t="s">
        <v>172</v>
      </c>
      <c r="C126" s="275"/>
      <c r="D126" s="2" t="s">
        <v>160</v>
      </c>
      <c r="E126" s="22"/>
      <c r="F126" s="22"/>
      <c r="G126" s="22"/>
    </row>
    <row r="127" spans="1:7" ht="17.100000000000001" customHeight="1" x14ac:dyDescent="0.2">
      <c r="A127" s="22"/>
      <c r="B127" s="274" t="s">
        <v>173</v>
      </c>
      <c r="C127" s="275"/>
      <c r="D127" s="27">
        <v>0.60849156230188439</v>
      </c>
      <c r="E127" s="22"/>
      <c r="F127" s="19"/>
      <c r="G127" s="25"/>
    </row>
    <row r="128" spans="1:7" ht="17.100000000000001" customHeight="1" x14ac:dyDescent="0.2">
      <c r="A128" s="22"/>
      <c r="B128" s="274" t="s">
        <v>174</v>
      </c>
      <c r="C128" s="275"/>
      <c r="D128" s="2" t="s">
        <v>160</v>
      </c>
      <c r="E128" s="22"/>
      <c r="F128" s="22"/>
      <c r="G128" s="22"/>
    </row>
  </sheetData>
  <mergeCells count="13">
    <mergeCell ref="J2:N2"/>
    <mergeCell ref="B112:C112"/>
    <mergeCell ref="B127:C127"/>
    <mergeCell ref="A1:H1"/>
    <mergeCell ref="A2:H2"/>
    <mergeCell ref="A3:H3"/>
    <mergeCell ref="B128:C128"/>
    <mergeCell ref="B113:C113"/>
    <mergeCell ref="B114:C114"/>
    <mergeCell ref="B115:C115"/>
    <mergeCell ref="B123:C123"/>
    <mergeCell ref="B125:C125"/>
    <mergeCell ref="B126:C126"/>
  </mergeCells>
  <hyperlinks>
    <hyperlink ref="I1" location="Index!B32" display="Index" xr:uid="{BC4B97DB-3C32-45E9-BE0D-79D82A96039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35"/>
  <sheetViews>
    <sheetView showGridLines="0" workbookViewId="0">
      <selection activeCell="I1" sqref="I1"/>
    </sheetView>
  </sheetViews>
  <sheetFormatPr defaultRowHeight="12.75" x14ac:dyDescent="0.2"/>
  <cols>
    <col min="1" max="1" width="6.85546875" customWidth="1"/>
    <col min="2" max="2" width="20.5703125" customWidth="1"/>
    <col min="3" max="3" width="37.710937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747</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2504934</v>
      </c>
      <c r="F7" s="6">
        <v>22762.335257999999</v>
      </c>
      <c r="G7" s="7">
        <v>9.6419650999999995E-2</v>
      </c>
      <c r="H7" s="106"/>
    </row>
    <row r="8" spans="1:14" ht="17.100000000000001" customHeight="1" x14ac:dyDescent="0.2">
      <c r="A8" s="3">
        <v>2</v>
      </c>
      <c r="B8" s="4" t="s">
        <v>264</v>
      </c>
      <c r="C8" s="4" t="s">
        <v>265</v>
      </c>
      <c r="D8" s="4" t="s">
        <v>16</v>
      </c>
      <c r="E8" s="5">
        <v>1480832</v>
      </c>
      <c r="F8" s="6">
        <v>22163.612544</v>
      </c>
      <c r="G8" s="7">
        <v>9.3883504000000007E-2</v>
      </c>
      <c r="H8" s="106"/>
    </row>
    <row r="9" spans="1:14" ht="17.100000000000001" customHeight="1" x14ac:dyDescent="0.2">
      <c r="A9" s="3">
        <v>3</v>
      </c>
      <c r="B9" s="4" t="s">
        <v>17</v>
      </c>
      <c r="C9" s="4" t="s">
        <v>18</v>
      </c>
      <c r="D9" s="4" t="s">
        <v>19</v>
      </c>
      <c r="E9" s="5">
        <v>2087172</v>
      </c>
      <c r="F9" s="6">
        <v>17365.27104</v>
      </c>
      <c r="G9" s="7">
        <v>7.3558067000000005E-2</v>
      </c>
      <c r="H9" s="106"/>
    </row>
    <row r="10" spans="1:14" ht="17.100000000000001" customHeight="1" x14ac:dyDescent="0.2">
      <c r="A10" s="3">
        <v>4</v>
      </c>
      <c r="B10" s="4" t="s">
        <v>20</v>
      </c>
      <c r="C10" s="4" t="s">
        <v>21</v>
      </c>
      <c r="D10" s="4" t="s">
        <v>22</v>
      </c>
      <c r="E10" s="5">
        <v>523988</v>
      </c>
      <c r="F10" s="6">
        <v>13359.598048</v>
      </c>
      <c r="G10" s="7">
        <v>5.6590318000000001E-2</v>
      </c>
      <c r="H10" s="106"/>
    </row>
    <row r="11" spans="1:14" ht="29.1" customHeight="1" x14ac:dyDescent="0.2">
      <c r="A11" s="3">
        <v>5</v>
      </c>
      <c r="B11" s="4" t="s">
        <v>298</v>
      </c>
      <c r="C11" s="4" t="s">
        <v>299</v>
      </c>
      <c r="D11" s="4" t="s">
        <v>99</v>
      </c>
      <c r="E11" s="5">
        <v>531593</v>
      </c>
      <c r="F11" s="6">
        <v>13129.283914</v>
      </c>
      <c r="G11" s="7">
        <v>5.5614722999999998E-2</v>
      </c>
      <c r="H11" s="106"/>
    </row>
    <row r="12" spans="1:14" ht="17.100000000000001" customHeight="1" x14ac:dyDescent="0.2">
      <c r="A12" s="3">
        <v>6</v>
      </c>
      <c r="B12" s="4" t="s">
        <v>178</v>
      </c>
      <c r="C12" s="4" t="s">
        <v>179</v>
      </c>
      <c r="D12" s="4" t="s">
        <v>16</v>
      </c>
      <c r="E12" s="5">
        <v>995397</v>
      </c>
      <c r="F12" s="6">
        <v>9018.2968199999996</v>
      </c>
      <c r="G12" s="7">
        <v>3.8200870999999997E-2</v>
      </c>
      <c r="H12" s="106"/>
    </row>
    <row r="13" spans="1:14" ht="17.100000000000001" customHeight="1" x14ac:dyDescent="0.2">
      <c r="A13" s="3">
        <v>7</v>
      </c>
      <c r="B13" s="4" t="s">
        <v>210</v>
      </c>
      <c r="C13" s="4" t="s">
        <v>211</v>
      </c>
      <c r="D13" s="4" t="s">
        <v>212</v>
      </c>
      <c r="E13" s="5">
        <v>159237</v>
      </c>
      <c r="F13" s="6">
        <v>7193.5314749999998</v>
      </c>
      <c r="G13" s="7">
        <v>3.0471293E-2</v>
      </c>
      <c r="H13" s="106"/>
      <c r="J13" s="161" t="s">
        <v>1107</v>
      </c>
    </row>
    <row r="14" spans="1:14" ht="17.100000000000001" customHeight="1" x14ac:dyDescent="0.2">
      <c r="A14" s="3">
        <v>8</v>
      </c>
      <c r="B14" s="4" t="s">
        <v>371</v>
      </c>
      <c r="C14" s="4" t="s">
        <v>372</v>
      </c>
      <c r="D14" s="4" t="s">
        <v>110</v>
      </c>
      <c r="E14" s="5">
        <v>254041</v>
      </c>
      <c r="F14" s="6">
        <v>7015.3422149999997</v>
      </c>
      <c r="G14" s="7">
        <v>2.9716495999999998E-2</v>
      </c>
      <c r="H14" s="106"/>
    </row>
    <row r="15" spans="1:14" ht="17.100000000000001" customHeight="1" x14ac:dyDescent="0.2">
      <c r="A15" s="3">
        <v>9</v>
      </c>
      <c r="B15" s="4" t="s">
        <v>300</v>
      </c>
      <c r="C15" s="4" t="s">
        <v>301</v>
      </c>
      <c r="D15" s="4" t="s">
        <v>245</v>
      </c>
      <c r="E15" s="5">
        <v>531396</v>
      </c>
      <c r="F15" s="6">
        <v>6727.2076619999998</v>
      </c>
      <c r="G15" s="7">
        <v>2.8495979000000001E-2</v>
      </c>
      <c r="H15" s="106"/>
    </row>
    <row r="16" spans="1:14" ht="17.100000000000001" customHeight="1" x14ac:dyDescent="0.2">
      <c r="A16" s="3">
        <v>10</v>
      </c>
      <c r="B16" s="4" t="s">
        <v>220</v>
      </c>
      <c r="C16" s="4" t="s">
        <v>221</v>
      </c>
      <c r="D16" s="4" t="s">
        <v>1114</v>
      </c>
      <c r="E16" s="5">
        <v>186612</v>
      </c>
      <c r="F16" s="6">
        <v>6351.8059499999999</v>
      </c>
      <c r="G16" s="7">
        <v>2.6905802999999999E-2</v>
      </c>
      <c r="H16" s="106"/>
    </row>
    <row r="17" spans="1:10" ht="17.100000000000001" customHeight="1" x14ac:dyDescent="0.2">
      <c r="A17" s="3">
        <v>11</v>
      </c>
      <c r="B17" s="4" t="s">
        <v>238</v>
      </c>
      <c r="C17" s="4" t="s">
        <v>239</v>
      </c>
      <c r="D17" s="4" t="s">
        <v>240</v>
      </c>
      <c r="E17" s="5">
        <v>2283765</v>
      </c>
      <c r="F17" s="6">
        <v>5993.7412425000002</v>
      </c>
      <c r="G17" s="7">
        <v>2.5389065999999998E-2</v>
      </c>
      <c r="H17" s="106"/>
    </row>
    <row r="18" spans="1:10" ht="17.100000000000001" customHeight="1" x14ac:dyDescent="0.2">
      <c r="A18" s="3">
        <v>12</v>
      </c>
      <c r="B18" s="4" t="s">
        <v>459</v>
      </c>
      <c r="C18" s="4" t="s">
        <v>460</v>
      </c>
      <c r="D18" s="4" t="s">
        <v>96</v>
      </c>
      <c r="E18" s="5">
        <v>400823</v>
      </c>
      <c r="F18" s="6">
        <v>5723.1512055000003</v>
      </c>
      <c r="G18" s="7">
        <v>2.4242865999999998E-2</v>
      </c>
      <c r="H18" s="106"/>
    </row>
    <row r="19" spans="1:10" ht="17.100000000000001" customHeight="1" x14ac:dyDescent="0.2">
      <c r="A19" s="3">
        <v>13</v>
      </c>
      <c r="B19" s="4" t="s">
        <v>392</v>
      </c>
      <c r="C19" s="4" t="s">
        <v>393</v>
      </c>
      <c r="D19" s="4" t="s">
        <v>230</v>
      </c>
      <c r="E19" s="5">
        <v>667345</v>
      </c>
      <c r="F19" s="6">
        <v>4990.4059100000004</v>
      </c>
      <c r="G19" s="7">
        <v>2.1139008000000001E-2</v>
      </c>
      <c r="H19" s="106"/>
    </row>
    <row r="20" spans="1:10" ht="17.100000000000001" customHeight="1" x14ac:dyDescent="0.2">
      <c r="A20" s="3">
        <v>14</v>
      </c>
      <c r="B20" s="4" t="s">
        <v>284</v>
      </c>
      <c r="C20" s="4" t="s">
        <v>285</v>
      </c>
      <c r="D20" s="4" t="s">
        <v>219</v>
      </c>
      <c r="E20" s="5">
        <v>1151772</v>
      </c>
      <c r="F20" s="6">
        <v>4932.4635900000003</v>
      </c>
      <c r="G20" s="7">
        <v>2.0893569000000001E-2</v>
      </c>
      <c r="H20" s="106"/>
    </row>
    <row r="21" spans="1:10" ht="17.100000000000001" customHeight="1" x14ac:dyDescent="0.2">
      <c r="A21" s="3">
        <v>15</v>
      </c>
      <c r="B21" s="4" t="s">
        <v>39</v>
      </c>
      <c r="C21" s="4" t="s">
        <v>40</v>
      </c>
      <c r="D21" s="4" t="s">
        <v>41</v>
      </c>
      <c r="E21" s="5">
        <v>615445</v>
      </c>
      <c r="F21" s="6">
        <v>4911.2511000000004</v>
      </c>
      <c r="G21" s="7">
        <v>2.0803714000000001E-2</v>
      </c>
      <c r="H21" s="106"/>
    </row>
    <row r="22" spans="1:10" ht="17.100000000000001" customHeight="1" x14ac:dyDescent="0.2">
      <c r="A22" s="3">
        <v>16</v>
      </c>
      <c r="B22" s="4" t="s">
        <v>191</v>
      </c>
      <c r="C22" s="4" t="s">
        <v>192</v>
      </c>
      <c r="D22" s="4" t="s">
        <v>193</v>
      </c>
      <c r="E22" s="5">
        <v>8958</v>
      </c>
      <c r="F22" s="6">
        <v>4458.2756669999999</v>
      </c>
      <c r="G22" s="7">
        <v>1.8884941999999998E-2</v>
      </c>
      <c r="H22" s="106"/>
    </row>
    <row r="23" spans="1:10" ht="17.100000000000001" customHeight="1" x14ac:dyDescent="0.2">
      <c r="A23" s="3">
        <v>17</v>
      </c>
      <c r="B23" s="4" t="s">
        <v>320</v>
      </c>
      <c r="C23" s="4" t="s">
        <v>321</v>
      </c>
      <c r="D23" s="4" t="s">
        <v>230</v>
      </c>
      <c r="E23" s="5">
        <v>261517</v>
      </c>
      <c r="F23" s="6">
        <v>3784.5432655</v>
      </c>
      <c r="G23" s="7">
        <v>1.6031059E-2</v>
      </c>
      <c r="H23" s="106"/>
    </row>
    <row r="24" spans="1:10" ht="17.100000000000001" customHeight="1" x14ac:dyDescent="0.2">
      <c r="A24" s="3">
        <v>18</v>
      </c>
      <c r="B24" s="4" t="s">
        <v>304</v>
      </c>
      <c r="C24" s="4" t="s">
        <v>305</v>
      </c>
      <c r="D24" s="4" t="s">
        <v>240</v>
      </c>
      <c r="E24" s="5">
        <v>717396</v>
      </c>
      <c r="F24" s="6">
        <v>3679.8827820000001</v>
      </c>
      <c r="G24" s="7">
        <v>1.5587725E-2</v>
      </c>
      <c r="H24" s="106"/>
    </row>
    <row r="25" spans="1:10" ht="17.100000000000001" customHeight="1" x14ac:dyDescent="0.2">
      <c r="A25" s="3">
        <v>19</v>
      </c>
      <c r="B25" s="4" t="s">
        <v>441</v>
      </c>
      <c r="C25" s="4" t="s">
        <v>442</v>
      </c>
      <c r="D25" s="4" t="s">
        <v>324</v>
      </c>
      <c r="E25" s="5">
        <v>224451</v>
      </c>
      <c r="F25" s="6">
        <v>3448.3529385000002</v>
      </c>
      <c r="G25" s="7">
        <v>1.4606981E-2</v>
      </c>
      <c r="H25" s="106"/>
      <c r="J25" s="161" t="s">
        <v>1108</v>
      </c>
    </row>
    <row r="26" spans="1:10" ht="17.100000000000001" customHeight="1" x14ac:dyDescent="0.2">
      <c r="A26" s="3">
        <v>20</v>
      </c>
      <c r="B26" s="4" t="s">
        <v>256</v>
      </c>
      <c r="C26" s="4" t="s">
        <v>257</v>
      </c>
      <c r="D26" s="4" t="s">
        <v>212</v>
      </c>
      <c r="E26" s="5">
        <v>1201373</v>
      </c>
      <c r="F26" s="6">
        <v>3333.2093884999999</v>
      </c>
      <c r="G26" s="7">
        <v>1.4119240999999999E-2</v>
      </c>
      <c r="H26" s="106"/>
    </row>
    <row r="27" spans="1:10" ht="29.1" customHeight="1" x14ac:dyDescent="0.2">
      <c r="A27" s="3">
        <v>21</v>
      </c>
      <c r="B27" s="4" t="s">
        <v>97</v>
      </c>
      <c r="C27" s="4" t="s">
        <v>98</v>
      </c>
      <c r="D27" s="4" t="s">
        <v>99</v>
      </c>
      <c r="E27" s="5">
        <v>460722</v>
      </c>
      <c r="F27" s="6">
        <v>3268.1315070000001</v>
      </c>
      <c r="G27" s="7">
        <v>1.3843575E-2</v>
      </c>
      <c r="H27" s="106"/>
    </row>
    <row r="28" spans="1:10" ht="17.100000000000001" customHeight="1" x14ac:dyDescent="0.2">
      <c r="A28" s="3">
        <v>22</v>
      </c>
      <c r="B28" s="4" t="s">
        <v>384</v>
      </c>
      <c r="C28" s="4" t="s">
        <v>385</v>
      </c>
      <c r="D28" s="4" t="s">
        <v>288</v>
      </c>
      <c r="E28" s="5">
        <v>281609</v>
      </c>
      <c r="F28" s="6">
        <v>3251.1759050000001</v>
      </c>
      <c r="G28" s="7">
        <v>1.3771752999999999E-2</v>
      </c>
      <c r="H28" s="106"/>
    </row>
    <row r="29" spans="1:10" ht="17.100000000000001" customHeight="1" x14ac:dyDescent="0.2">
      <c r="A29" s="3">
        <v>23</v>
      </c>
      <c r="B29" s="4" t="s">
        <v>213</v>
      </c>
      <c r="C29" s="4" t="s">
        <v>214</v>
      </c>
      <c r="D29" s="4" t="s">
        <v>1114</v>
      </c>
      <c r="E29" s="5">
        <v>86867</v>
      </c>
      <c r="F29" s="6">
        <v>3208.0417434999999</v>
      </c>
      <c r="G29" s="7">
        <v>1.3589039000000001E-2</v>
      </c>
      <c r="H29" s="106"/>
    </row>
    <row r="30" spans="1:10" ht="17.100000000000001" customHeight="1" x14ac:dyDescent="0.2">
      <c r="A30" s="3">
        <v>24</v>
      </c>
      <c r="B30" s="4" t="s">
        <v>394</v>
      </c>
      <c r="C30" s="4" t="s">
        <v>395</v>
      </c>
      <c r="D30" s="4" t="s">
        <v>99</v>
      </c>
      <c r="E30" s="5">
        <v>434221</v>
      </c>
      <c r="F30" s="6">
        <v>3153.5300124999999</v>
      </c>
      <c r="G30" s="7">
        <v>1.3358131000000001E-2</v>
      </c>
      <c r="H30" s="106"/>
    </row>
    <row r="31" spans="1:10" ht="17.100000000000001" customHeight="1" x14ac:dyDescent="0.2">
      <c r="A31" s="3">
        <v>25</v>
      </c>
      <c r="B31" s="4" t="s">
        <v>322</v>
      </c>
      <c r="C31" s="4" t="s">
        <v>323</v>
      </c>
      <c r="D31" s="4" t="s">
        <v>324</v>
      </c>
      <c r="E31" s="5">
        <v>186511</v>
      </c>
      <c r="F31" s="6">
        <v>2989.1185415</v>
      </c>
      <c r="G31" s="7">
        <v>1.2661696E-2</v>
      </c>
      <c r="H31" s="106"/>
    </row>
    <row r="32" spans="1:10" ht="29.1" customHeight="1" x14ac:dyDescent="0.2">
      <c r="A32" s="3">
        <v>26</v>
      </c>
      <c r="B32" s="4" t="s">
        <v>434</v>
      </c>
      <c r="C32" s="4" t="s">
        <v>435</v>
      </c>
      <c r="D32" s="4" t="s">
        <v>62</v>
      </c>
      <c r="E32" s="5">
        <v>651257</v>
      </c>
      <c r="F32" s="6">
        <v>2726.4874304999998</v>
      </c>
      <c r="G32" s="7">
        <v>1.1549209E-2</v>
      </c>
      <c r="H32" s="106"/>
    </row>
    <row r="33" spans="1:8" ht="17.100000000000001" customHeight="1" x14ac:dyDescent="0.2">
      <c r="A33" s="3">
        <v>27</v>
      </c>
      <c r="B33" s="4" t="s">
        <v>246</v>
      </c>
      <c r="C33" s="4" t="s">
        <v>247</v>
      </c>
      <c r="D33" s="4" t="s">
        <v>99</v>
      </c>
      <c r="E33" s="5">
        <v>400000</v>
      </c>
      <c r="F33" s="6">
        <v>2513</v>
      </c>
      <c r="G33" s="7">
        <v>1.0644891E-2</v>
      </c>
      <c r="H33" s="106"/>
    </row>
    <row r="34" spans="1:8" ht="29.1" customHeight="1" x14ac:dyDescent="0.2">
      <c r="A34" s="3">
        <v>28</v>
      </c>
      <c r="B34" s="4" t="s">
        <v>614</v>
      </c>
      <c r="C34" s="4" t="s">
        <v>615</v>
      </c>
      <c r="D34" s="4" t="s">
        <v>245</v>
      </c>
      <c r="E34" s="5">
        <v>191985</v>
      </c>
      <c r="F34" s="6">
        <v>2246.1285075000001</v>
      </c>
      <c r="G34" s="7">
        <v>9.5144419999999997E-3</v>
      </c>
      <c r="H34" s="106"/>
    </row>
    <row r="35" spans="1:8" ht="17.100000000000001" customHeight="1" x14ac:dyDescent="0.2">
      <c r="A35" s="3">
        <v>29</v>
      </c>
      <c r="B35" s="4" t="s">
        <v>468</v>
      </c>
      <c r="C35" s="4" t="s">
        <v>469</v>
      </c>
      <c r="D35" s="4" t="s">
        <v>41</v>
      </c>
      <c r="E35" s="5">
        <v>302329</v>
      </c>
      <c r="F35" s="6">
        <v>2160.745363</v>
      </c>
      <c r="G35" s="7">
        <v>9.1527650000000002E-3</v>
      </c>
      <c r="H35" s="106"/>
    </row>
    <row r="36" spans="1:8" ht="17.100000000000001" customHeight="1" x14ac:dyDescent="0.2">
      <c r="A36" s="3">
        <v>30</v>
      </c>
      <c r="B36" s="4" t="s">
        <v>699</v>
      </c>
      <c r="C36" s="4" t="s">
        <v>700</v>
      </c>
      <c r="D36" s="4" t="s">
        <v>182</v>
      </c>
      <c r="E36" s="5">
        <v>53896</v>
      </c>
      <c r="F36" s="6">
        <v>2113.6394319999999</v>
      </c>
      <c r="G36" s="7">
        <v>8.9532280000000006E-3</v>
      </c>
      <c r="H36" s="106"/>
    </row>
    <row r="37" spans="1:8" ht="29.1" customHeight="1" x14ac:dyDescent="0.2">
      <c r="A37" s="3">
        <v>31</v>
      </c>
      <c r="B37" s="4" t="s">
        <v>317</v>
      </c>
      <c r="C37" s="4" t="s">
        <v>318</v>
      </c>
      <c r="D37" s="4" t="s">
        <v>319</v>
      </c>
      <c r="E37" s="5">
        <v>378624</v>
      </c>
      <c r="F37" s="6">
        <v>2093.0334720000001</v>
      </c>
      <c r="G37" s="7">
        <v>8.8659429999999994E-3</v>
      </c>
      <c r="H37" s="106"/>
    </row>
    <row r="38" spans="1:8" ht="17.100000000000001" customHeight="1" x14ac:dyDescent="0.2">
      <c r="A38" s="3">
        <v>32</v>
      </c>
      <c r="B38" s="4" t="s">
        <v>748</v>
      </c>
      <c r="C38" s="4" t="s">
        <v>749</v>
      </c>
      <c r="D38" s="4" t="s">
        <v>240</v>
      </c>
      <c r="E38" s="5">
        <v>114424</v>
      </c>
      <c r="F38" s="6">
        <v>2031.0260000000001</v>
      </c>
      <c r="G38" s="7">
        <v>8.6032829999999998E-3</v>
      </c>
      <c r="H38" s="106"/>
    </row>
    <row r="39" spans="1:8" ht="17.100000000000001" customHeight="1" x14ac:dyDescent="0.2">
      <c r="A39" s="3">
        <v>33</v>
      </c>
      <c r="B39" s="4" t="s">
        <v>616</v>
      </c>
      <c r="C39" s="4" t="s">
        <v>617</v>
      </c>
      <c r="D39" s="4" t="s">
        <v>245</v>
      </c>
      <c r="E39" s="5">
        <v>345111</v>
      </c>
      <c r="F39" s="6">
        <v>1865.1523995</v>
      </c>
      <c r="G39" s="7">
        <v>7.900654E-3</v>
      </c>
      <c r="H39" s="106"/>
    </row>
    <row r="40" spans="1:8" ht="17.100000000000001" customHeight="1" x14ac:dyDescent="0.2">
      <c r="A40" s="3">
        <v>34</v>
      </c>
      <c r="B40" s="4" t="s">
        <v>517</v>
      </c>
      <c r="C40" s="4" t="s">
        <v>518</v>
      </c>
      <c r="D40" s="4" t="s">
        <v>324</v>
      </c>
      <c r="E40" s="5">
        <v>264699</v>
      </c>
      <c r="F40" s="6">
        <v>1857.2605335000001</v>
      </c>
      <c r="G40" s="7">
        <v>7.8672250000000003E-3</v>
      </c>
      <c r="H40" s="106"/>
    </row>
    <row r="41" spans="1:8" ht="17.100000000000001" customHeight="1" x14ac:dyDescent="0.2">
      <c r="A41" s="3">
        <v>35</v>
      </c>
      <c r="B41" s="4" t="s">
        <v>200</v>
      </c>
      <c r="C41" s="4" t="s">
        <v>201</v>
      </c>
      <c r="D41" s="4" t="s">
        <v>16</v>
      </c>
      <c r="E41" s="5">
        <v>289455</v>
      </c>
      <c r="F41" s="6">
        <v>1706.4819525</v>
      </c>
      <c r="G41" s="7">
        <v>7.2285379999999996E-3</v>
      </c>
      <c r="H41" s="106"/>
    </row>
    <row r="42" spans="1:8" ht="29.1" customHeight="1" x14ac:dyDescent="0.2">
      <c r="A42" s="3">
        <v>36</v>
      </c>
      <c r="B42" s="4" t="s">
        <v>402</v>
      </c>
      <c r="C42" s="4" t="s">
        <v>403</v>
      </c>
      <c r="D42" s="4" t="s">
        <v>319</v>
      </c>
      <c r="E42" s="5">
        <v>372545</v>
      </c>
      <c r="F42" s="6">
        <v>1559.2870975000001</v>
      </c>
      <c r="G42" s="7">
        <v>6.6050299999999996E-3</v>
      </c>
      <c r="H42" s="106"/>
    </row>
    <row r="43" spans="1:8" ht="17.100000000000001" customHeight="1" x14ac:dyDescent="0.2">
      <c r="A43" s="3">
        <v>37</v>
      </c>
      <c r="B43" s="4" t="s">
        <v>258</v>
      </c>
      <c r="C43" s="4" t="s">
        <v>259</v>
      </c>
      <c r="D43" s="4" t="s">
        <v>99</v>
      </c>
      <c r="E43" s="5">
        <v>91746</v>
      </c>
      <c r="F43" s="6">
        <v>1548.2137499999999</v>
      </c>
      <c r="G43" s="7">
        <v>6.5581249999999997E-3</v>
      </c>
      <c r="H43" s="106"/>
    </row>
    <row r="44" spans="1:8" ht="17.100000000000001" customHeight="1" x14ac:dyDescent="0.2">
      <c r="A44" s="3">
        <v>38</v>
      </c>
      <c r="B44" s="4" t="s">
        <v>335</v>
      </c>
      <c r="C44" s="4" t="s">
        <v>336</v>
      </c>
      <c r="D44" s="4" t="s">
        <v>16</v>
      </c>
      <c r="E44" s="5">
        <v>81043</v>
      </c>
      <c r="F44" s="6">
        <v>1541.3973384999999</v>
      </c>
      <c r="G44" s="7">
        <v>6.5292509999999998E-3</v>
      </c>
      <c r="H44" s="106"/>
    </row>
    <row r="45" spans="1:8" ht="17.100000000000001" customHeight="1" x14ac:dyDescent="0.2">
      <c r="A45" s="3">
        <v>39</v>
      </c>
      <c r="B45" s="4" t="s">
        <v>519</v>
      </c>
      <c r="C45" s="4" t="s">
        <v>520</v>
      </c>
      <c r="D45" s="4" t="s">
        <v>1114</v>
      </c>
      <c r="E45" s="5">
        <v>107408</v>
      </c>
      <c r="F45" s="6">
        <v>1405.16516</v>
      </c>
      <c r="G45" s="7">
        <v>5.952181E-3</v>
      </c>
      <c r="H45" s="106"/>
    </row>
    <row r="46" spans="1:8" ht="17.100000000000001" customHeight="1" x14ac:dyDescent="0.2">
      <c r="A46" s="3">
        <v>40</v>
      </c>
      <c r="B46" s="4" t="s">
        <v>750</v>
      </c>
      <c r="C46" s="4" t="s">
        <v>751</v>
      </c>
      <c r="D46" s="4" t="s">
        <v>212</v>
      </c>
      <c r="E46" s="5">
        <v>70077</v>
      </c>
      <c r="F46" s="6">
        <v>1185.562686</v>
      </c>
      <c r="G46" s="7">
        <v>5.0219599999999998E-3</v>
      </c>
      <c r="H46" s="106"/>
    </row>
    <row r="47" spans="1:8" ht="17.100000000000001" customHeight="1" x14ac:dyDescent="0.2">
      <c r="A47" s="3">
        <v>41</v>
      </c>
      <c r="B47" s="4" t="s">
        <v>348</v>
      </c>
      <c r="C47" s="4" t="s">
        <v>349</v>
      </c>
      <c r="D47" s="4" t="s">
        <v>99</v>
      </c>
      <c r="E47" s="5">
        <v>10721</v>
      </c>
      <c r="F47" s="6">
        <v>765.91896099999997</v>
      </c>
      <c r="G47" s="7">
        <v>3.2443789999999999E-3</v>
      </c>
      <c r="H47" s="106"/>
    </row>
    <row r="48" spans="1:8" ht="17.100000000000001" customHeight="1" x14ac:dyDescent="0.2">
      <c r="A48" s="3">
        <v>42</v>
      </c>
      <c r="B48" s="4" t="s">
        <v>436</v>
      </c>
      <c r="C48" s="4" t="s">
        <v>437</v>
      </c>
      <c r="D48" s="4" t="s">
        <v>16</v>
      </c>
      <c r="E48" s="5">
        <v>209877</v>
      </c>
      <c r="F48" s="6">
        <v>476.94548250000003</v>
      </c>
      <c r="G48" s="7">
        <v>2.0203080000000002E-3</v>
      </c>
      <c r="H48" s="106"/>
    </row>
    <row r="49" spans="1:8" ht="17.100000000000001" customHeight="1" x14ac:dyDescent="0.2">
      <c r="A49" s="3">
        <v>43</v>
      </c>
      <c r="B49" s="4" t="s">
        <v>343</v>
      </c>
      <c r="C49" s="102" t="s">
        <v>1013</v>
      </c>
      <c r="D49" s="4" t="s">
        <v>19</v>
      </c>
      <c r="E49" s="5">
        <v>92315</v>
      </c>
      <c r="F49" s="6">
        <v>406.09368499999999</v>
      </c>
      <c r="G49" s="7">
        <v>1.720184E-3</v>
      </c>
      <c r="H49" s="106"/>
    </row>
    <row r="50" spans="1:8" ht="14.1" customHeight="1" x14ac:dyDescent="0.2">
      <c r="A50" s="1"/>
      <c r="B50" s="1"/>
      <c r="C50" s="2" t="s">
        <v>130</v>
      </c>
      <c r="D50" s="1"/>
      <c r="E50" s="1" t="s">
        <v>131</v>
      </c>
      <c r="F50" s="9">
        <v>216413.09897600004</v>
      </c>
      <c r="G50" s="10">
        <v>0.91671066599999973</v>
      </c>
      <c r="H50" s="106"/>
    </row>
    <row r="51" spans="1:8" ht="14.1" customHeight="1" x14ac:dyDescent="0.2">
      <c r="A51" s="1"/>
      <c r="B51" s="1"/>
      <c r="C51" s="11"/>
      <c r="D51" s="1"/>
      <c r="E51" s="1"/>
      <c r="F51" s="12"/>
      <c r="G51" s="12"/>
      <c r="H51" s="106"/>
    </row>
    <row r="52" spans="1:8" ht="14.1" customHeight="1" x14ac:dyDescent="0.2">
      <c r="A52" s="1"/>
      <c r="B52" s="1"/>
      <c r="C52" s="2" t="s">
        <v>132</v>
      </c>
      <c r="D52" s="1"/>
      <c r="E52" s="1"/>
      <c r="F52" s="1"/>
      <c r="G52" s="1"/>
      <c r="H52" s="106"/>
    </row>
    <row r="53" spans="1:8" ht="17.100000000000001" customHeight="1" x14ac:dyDescent="0.2">
      <c r="A53" s="3">
        <v>1</v>
      </c>
      <c r="B53" s="4" t="s">
        <v>752</v>
      </c>
      <c r="C53" s="4" t="s">
        <v>753</v>
      </c>
      <c r="D53" s="4" t="s">
        <v>230</v>
      </c>
      <c r="E53" s="5">
        <v>37829</v>
      </c>
      <c r="F53" s="6">
        <v>873.03246600099999</v>
      </c>
      <c r="G53" s="7">
        <v>3.6981039999999998E-3</v>
      </c>
      <c r="H53" s="106"/>
    </row>
    <row r="54" spans="1:8" ht="14.1" customHeight="1" x14ac:dyDescent="0.2">
      <c r="A54" s="1"/>
      <c r="B54" s="1"/>
      <c r="C54" s="2" t="s">
        <v>130</v>
      </c>
      <c r="D54" s="1"/>
      <c r="E54" s="1" t="s">
        <v>131</v>
      </c>
      <c r="F54" s="9">
        <v>873.03246600099999</v>
      </c>
      <c r="G54" s="10">
        <v>3.6981039999999998E-3</v>
      </c>
      <c r="H54" s="106"/>
    </row>
    <row r="55" spans="1:8" ht="14.1" customHeight="1" x14ac:dyDescent="0.2">
      <c r="A55" s="1"/>
      <c r="B55" s="1"/>
      <c r="C55" s="11"/>
      <c r="D55" s="1"/>
      <c r="E55" s="1"/>
      <c r="F55" s="12"/>
      <c r="G55" s="12"/>
      <c r="H55" s="106"/>
    </row>
    <row r="56" spans="1:8" ht="14.1" customHeight="1" x14ac:dyDescent="0.2">
      <c r="A56" s="1"/>
      <c r="B56" s="1"/>
      <c r="C56" s="2" t="s">
        <v>133</v>
      </c>
      <c r="D56" s="1"/>
      <c r="E56" s="1"/>
      <c r="F56" s="1"/>
      <c r="G56" s="1"/>
      <c r="H56" s="106"/>
    </row>
    <row r="57" spans="1:8" ht="14.1" customHeight="1" x14ac:dyDescent="0.2">
      <c r="A57" s="1"/>
      <c r="B57" s="1"/>
      <c r="C57" s="2" t="s">
        <v>130</v>
      </c>
      <c r="D57" s="1"/>
      <c r="E57" s="1" t="s">
        <v>131</v>
      </c>
      <c r="F57" s="13">
        <v>0</v>
      </c>
      <c r="G57" s="14">
        <v>0</v>
      </c>
      <c r="H57" s="106"/>
    </row>
    <row r="58" spans="1:8" ht="14.1" customHeight="1" x14ac:dyDescent="0.2">
      <c r="A58" s="1"/>
      <c r="B58" s="1"/>
      <c r="C58" s="11"/>
      <c r="D58" s="1"/>
      <c r="E58" s="1"/>
      <c r="F58" s="12"/>
      <c r="G58" s="12"/>
      <c r="H58" s="106"/>
    </row>
    <row r="59" spans="1:8" ht="14.1" customHeight="1" x14ac:dyDescent="0.2">
      <c r="A59" s="1"/>
      <c r="B59" s="1"/>
      <c r="C59" s="2" t="s">
        <v>134</v>
      </c>
      <c r="D59" s="1"/>
      <c r="E59" s="1"/>
      <c r="F59" s="1"/>
      <c r="G59" s="1"/>
      <c r="H59" s="106"/>
    </row>
    <row r="60" spans="1:8" ht="14.1" customHeight="1" x14ac:dyDescent="0.2">
      <c r="A60" s="1"/>
      <c r="B60" s="1"/>
      <c r="C60" s="2" t="s">
        <v>130</v>
      </c>
      <c r="D60" s="1"/>
      <c r="E60" s="1" t="s">
        <v>131</v>
      </c>
      <c r="F60" s="9">
        <v>0</v>
      </c>
      <c r="G60" s="10">
        <v>0</v>
      </c>
      <c r="H60" s="106"/>
    </row>
    <row r="61" spans="1:8" ht="14.1" customHeight="1" x14ac:dyDescent="0.2">
      <c r="A61" s="1"/>
      <c r="B61" s="1"/>
      <c r="C61" s="11"/>
      <c r="D61" s="1"/>
      <c r="E61" s="1"/>
      <c r="F61" s="12"/>
      <c r="G61" s="12"/>
      <c r="H61" s="106"/>
    </row>
    <row r="62" spans="1:8" ht="14.1" customHeight="1" x14ac:dyDescent="0.2">
      <c r="A62" s="1"/>
      <c r="B62" s="1"/>
      <c r="C62" s="2" t="s">
        <v>135</v>
      </c>
      <c r="D62" s="1"/>
      <c r="E62" s="1"/>
      <c r="F62" s="12"/>
      <c r="G62" s="12"/>
      <c r="H62" s="106"/>
    </row>
    <row r="63" spans="1:8" ht="14.1" customHeight="1" x14ac:dyDescent="0.2">
      <c r="A63" s="1"/>
      <c r="B63" s="1"/>
      <c r="C63" s="2" t="s">
        <v>130</v>
      </c>
      <c r="D63" s="1"/>
      <c r="E63" s="1" t="s">
        <v>131</v>
      </c>
      <c r="F63" s="13">
        <v>0</v>
      </c>
      <c r="G63" s="14">
        <v>0</v>
      </c>
      <c r="H63" s="106"/>
    </row>
    <row r="64" spans="1:8" ht="14.1" customHeight="1" x14ac:dyDescent="0.2">
      <c r="A64" s="1"/>
      <c r="B64" s="1"/>
      <c r="C64" s="11"/>
      <c r="D64" s="1"/>
      <c r="E64" s="1"/>
      <c r="F64" s="12"/>
      <c r="G64" s="12"/>
      <c r="H64" s="106"/>
    </row>
    <row r="65" spans="1:8" ht="14.1" customHeight="1" x14ac:dyDescent="0.2">
      <c r="A65" s="1"/>
      <c r="B65" s="1"/>
      <c r="C65" s="2" t="s">
        <v>136</v>
      </c>
      <c r="D65" s="1"/>
      <c r="E65" s="1"/>
      <c r="F65" s="12"/>
      <c r="G65" s="12"/>
      <c r="H65" s="106"/>
    </row>
    <row r="66" spans="1:8" ht="18" customHeight="1" x14ac:dyDescent="0.2">
      <c r="A66" s="3">
        <v>1</v>
      </c>
      <c r="B66" s="4"/>
      <c r="C66" s="4" t="s">
        <v>982</v>
      </c>
      <c r="D66" s="4" t="s">
        <v>570</v>
      </c>
      <c r="E66" s="5">
        <v>12000</v>
      </c>
      <c r="F66" s="6">
        <v>201.738</v>
      </c>
      <c r="G66" s="7">
        <v>8.54548E-4</v>
      </c>
      <c r="H66" s="106"/>
    </row>
    <row r="67" spans="1:8" ht="14.1" customHeight="1" x14ac:dyDescent="0.2">
      <c r="A67" s="1"/>
      <c r="B67" s="1"/>
      <c r="C67" s="2" t="s">
        <v>130</v>
      </c>
      <c r="D67" s="1"/>
      <c r="E67" s="1" t="s">
        <v>131</v>
      </c>
      <c r="F67" s="9">
        <v>201.738</v>
      </c>
      <c r="G67" s="10">
        <v>8.54548E-4</v>
      </c>
      <c r="H67" s="106"/>
    </row>
    <row r="68" spans="1:8" ht="14.1" customHeight="1" x14ac:dyDescent="0.2">
      <c r="A68" s="1"/>
      <c r="B68" s="1"/>
      <c r="C68" s="11"/>
      <c r="D68" s="1"/>
      <c r="E68" s="1"/>
      <c r="F68" s="12"/>
      <c r="G68" s="12"/>
      <c r="H68" s="106"/>
    </row>
    <row r="69" spans="1:8" ht="18" customHeight="1" x14ac:dyDescent="0.2">
      <c r="A69" s="1"/>
      <c r="B69" s="1"/>
      <c r="C69" s="2" t="s">
        <v>137</v>
      </c>
      <c r="D69" s="1"/>
      <c r="E69" s="1"/>
      <c r="F69" s="9">
        <v>217487.86944200104</v>
      </c>
      <c r="G69" s="10">
        <v>0.92126331799999972</v>
      </c>
      <c r="H69" s="106"/>
    </row>
    <row r="70" spans="1:8" ht="14.1" customHeight="1" x14ac:dyDescent="0.2">
      <c r="A70" s="1"/>
      <c r="B70" s="1"/>
      <c r="C70" s="11"/>
      <c r="D70" s="1"/>
      <c r="E70" s="1"/>
      <c r="F70" s="12"/>
      <c r="G70" s="12"/>
      <c r="H70" s="106"/>
    </row>
    <row r="71" spans="1:8" ht="14.1" customHeight="1" x14ac:dyDescent="0.2">
      <c r="A71" s="1"/>
      <c r="B71" s="1"/>
      <c r="C71" s="2" t="s">
        <v>138</v>
      </c>
      <c r="D71" s="1"/>
      <c r="E71" s="1"/>
      <c r="F71" s="12"/>
      <c r="G71" s="12"/>
      <c r="H71" s="106"/>
    </row>
    <row r="72" spans="1:8" ht="24" customHeight="1" x14ac:dyDescent="0.2">
      <c r="A72" s="1"/>
      <c r="B72" s="1"/>
      <c r="C72" s="2" t="s">
        <v>10</v>
      </c>
      <c r="D72" s="1"/>
      <c r="E72" s="1"/>
      <c r="F72" s="12"/>
      <c r="G72" s="12"/>
      <c r="H72" s="106"/>
    </row>
    <row r="73" spans="1:8" ht="14.1" customHeight="1" x14ac:dyDescent="0.2">
      <c r="A73" s="1"/>
      <c r="B73" s="1"/>
      <c r="C73" s="2" t="s">
        <v>130</v>
      </c>
      <c r="D73" s="1"/>
      <c r="E73" s="1" t="s">
        <v>131</v>
      </c>
      <c r="F73" s="13">
        <v>0</v>
      </c>
      <c r="G73" s="14">
        <v>0</v>
      </c>
      <c r="H73" s="106"/>
    </row>
    <row r="74" spans="1:8" ht="14.1" customHeight="1" x14ac:dyDescent="0.2">
      <c r="A74" s="1"/>
      <c r="B74" s="1"/>
      <c r="C74" s="11"/>
      <c r="D74" s="1"/>
      <c r="E74" s="1"/>
      <c r="F74" s="12"/>
      <c r="G74" s="12"/>
      <c r="H74" s="106"/>
    </row>
    <row r="75" spans="1:8" ht="14.1" customHeight="1" x14ac:dyDescent="0.2">
      <c r="A75" s="1"/>
      <c r="B75" s="1"/>
      <c r="C75" s="2" t="s">
        <v>139</v>
      </c>
      <c r="D75" s="1"/>
      <c r="E75" s="1"/>
      <c r="F75" s="1"/>
      <c r="G75" s="1"/>
      <c r="H75" s="106"/>
    </row>
    <row r="76" spans="1:8" ht="14.1" customHeight="1" x14ac:dyDescent="0.2">
      <c r="A76" s="1"/>
      <c r="B76" s="1"/>
      <c r="C76" s="2" t="s">
        <v>130</v>
      </c>
      <c r="D76" s="1"/>
      <c r="E76" s="1" t="s">
        <v>131</v>
      </c>
      <c r="F76" s="13">
        <v>0</v>
      </c>
      <c r="G76" s="14">
        <v>0</v>
      </c>
      <c r="H76" s="106"/>
    </row>
    <row r="77" spans="1:8" ht="14.1" customHeight="1" x14ac:dyDescent="0.2">
      <c r="A77" s="1"/>
      <c r="B77" s="1"/>
      <c r="C77" s="11"/>
      <c r="D77" s="1"/>
      <c r="E77" s="1"/>
      <c r="F77" s="12"/>
      <c r="G77" s="12"/>
      <c r="H77" s="106"/>
    </row>
    <row r="78" spans="1:8" ht="14.1" customHeight="1" x14ac:dyDescent="0.2">
      <c r="A78" s="1"/>
      <c r="B78" s="1"/>
      <c r="C78" s="2" t="s">
        <v>140</v>
      </c>
      <c r="D78" s="1"/>
      <c r="E78" s="1"/>
      <c r="F78" s="1"/>
      <c r="G78" s="1"/>
      <c r="H78" s="106"/>
    </row>
    <row r="79" spans="1:8" ht="14.1" customHeight="1" x14ac:dyDescent="0.2">
      <c r="A79" s="1"/>
      <c r="B79" s="1"/>
      <c r="C79" s="2" t="s">
        <v>130</v>
      </c>
      <c r="D79" s="1"/>
      <c r="E79" s="1" t="s">
        <v>131</v>
      </c>
      <c r="F79" s="13">
        <v>0</v>
      </c>
      <c r="G79" s="14">
        <v>0</v>
      </c>
      <c r="H79" s="106"/>
    </row>
    <row r="80" spans="1:8" ht="14.1" customHeight="1" x14ac:dyDescent="0.2">
      <c r="A80" s="1"/>
      <c r="B80" s="1"/>
      <c r="C80" s="11"/>
      <c r="D80" s="1"/>
      <c r="E80" s="1"/>
      <c r="F80" s="12"/>
      <c r="G80" s="12"/>
      <c r="H80" s="106"/>
    </row>
    <row r="81" spans="1:8" ht="14.1" customHeight="1" x14ac:dyDescent="0.2">
      <c r="A81" s="1"/>
      <c r="B81" s="1"/>
      <c r="C81" s="2" t="s">
        <v>141</v>
      </c>
      <c r="D81" s="1"/>
      <c r="E81" s="1"/>
      <c r="F81" s="12"/>
      <c r="G81" s="12"/>
      <c r="H81" s="106"/>
    </row>
    <row r="82" spans="1:8" ht="14.1" customHeight="1" x14ac:dyDescent="0.2">
      <c r="A82" s="1"/>
      <c r="B82" s="1"/>
      <c r="C82" s="2" t="s">
        <v>130</v>
      </c>
      <c r="D82" s="1"/>
      <c r="E82" s="1" t="s">
        <v>131</v>
      </c>
      <c r="F82" s="13">
        <v>0</v>
      </c>
      <c r="G82" s="14">
        <v>0</v>
      </c>
      <c r="H82" s="106"/>
    </row>
    <row r="83" spans="1:8" ht="14.1" customHeight="1" x14ac:dyDescent="0.2">
      <c r="A83" s="1"/>
      <c r="B83" s="1"/>
      <c r="C83" s="11"/>
      <c r="D83" s="1"/>
      <c r="E83" s="1"/>
      <c r="F83" s="12"/>
      <c r="G83" s="12"/>
      <c r="H83" s="106"/>
    </row>
    <row r="84" spans="1:8" ht="14.1" customHeight="1" x14ac:dyDescent="0.2">
      <c r="A84" s="1"/>
      <c r="B84" s="1"/>
      <c r="C84" s="2" t="s">
        <v>142</v>
      </c>
      <c r="D84" s="1"/>
      <c r="E84" s="1"/>
      <c r="F84" s="9">
        <v>0</v>
      </c>
      <c r="G84" s="10">
        <v>0</v>
      </c>
      <c r="H84" s="106"/>
    </row>
    <row r="85" spans="1:8" ht="14.1" customHeight="1" x14ac:dyDescent="0.2">
      <c r="A85" s="1"/>
      <c r="B85" s="1"/>
      <c r="C85" s="11"/>
      <c r="D85" s="1"/>
      <c r="E85" s="1"/>
      <c r="F85" s="12"/>
      <c r="G85" s="12"/>
      <c r="H85" s="106"/>
    </row>
    <row r="86" spans="1:8" ht="14.1" customHeight="1" x14ac:dyDescent="0.2">
      <c r="A86" s="1"/>
      <c r="B86" s="1"/>
      <c r="C86" s="2" t="s">
        <v>143</v>
      </c>
      <c r="D86" s="1"/>
      <c r="E86" s="1"/>
      <c r="F86" s="12"/>
      <c r="G86" s="12"/>
      <c r="H86" s="106"/>
    </row>
    <row r="87" spans="1:8" ht="14.1" customHeight="1" x14ac:dyDescent="0.2">
      <c r="A87" s="1"/>
      <c r="B87" s="1"/>
      <c r="C87" s="2" t="s">
        <v>144</v>
      </c>
      <c r="D87" s="1"/>
      <c r="E87" s="1"/>
      <c r="F87" s="12"/>
      <c r="G87" s="12"/>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4.1" customHeight="1" x14ac:dyDescent="0.2">
      <c r="A90" s="1"/>
      <c r="B90" s="1"/>
      <c r="C90" s="2" t="s">
        <v>145</v>
      </c>
      <c r="D90" s="1"/>
      <c r="E90" s="1"/>
      <c r="F90" s="12"/>
      <c r="G90" s="12"/>
      <c r="H90" s="106"/>
    </row>
    <row r="91" spans="1:8" ht="14.1" customHeight="1" x14ac:dyDescent="0.2">
      <c r="A91" s="1"/>
      <c r="B91" s="1"/>
      <c r="C91" s="2" t="s">
        <v>130</v>
      </c>
      <c r="D91" s="1"/>
      <c r="E91" s="1" t="s">
        <v>131</v>
      </c>
      <c r="F91" s="13">
        <v>0</v>
      </c>
      <c r="G91" s="14">
        <v>0</v>
      </c>
      <c r="H91" s="106"/>
    </row>
    <row r="92" spans="1:8" ht="14.1" customHeight="1" x14ac:dyDescent="0.2">
      <c r="A92" s="1"/>
      <c r="B92" s="1"/>
      <c r="C92" s="11"/>
      <c r="D92" s="1"/>
      <c r="E92" s="1"/>
      <c r="F92" s="12"/>
      <c r="G92" s="12"/>
      <c r="H92" s="106"/>
    </row>
    <row r="93" spans="1:8" ht="14.1" customHeight="1" x14ac:dyDescent="0.2">
      <c r="A93" s="1"/>
      <c r="B93" s="1"/>
      <c r="C93" s="2" t="s">
        <v>146</v>
      </c>
      <c r="D93" s="1"/>
      <c r="E93" s="1"/>
      <c r="F93" s="12"/>
      <c r="G93" s="12"/>
      <c r="H93" s="106"/>
    </row>
    <row r="94" spans="1:8" ht="14.1" customHeight="1" x14ac:dyDescent="0.2">
      <c r="A94" s="1"/>
      <c r="B94" s="1"/>
      <c r="C94" s="2" t="s">
        <v>130</v>
      </c>
      <c r="D94" s="1"/>
      <c r="E94" s="1" t="s">
        <v>131</v>
      </c>
      <c r="F94" s="13">
        <v>0</v>
      </c>
      <c r="G94" s="14">
        <v>0</v>
      </c>
      <c r="H94" s="106"/>
    </row>
    <row r="95" spans="1:8" ht="14.1" customHeight="1" x14ac:dyDescent="0.2">
      <c r="A95" s="1"/>
      <c r="B95" s="1"/>
      <c r="C95" s="11"/>
      <c r="D95" s="1"/>
      <c r="E95" s="1"/>
      <c r="F95" s="12"/>
      <c r="G95" s="12"/>
      <c r="H95" s="106"/>
    </row>
    <row r="96" spans="1:8" ht="14.1" customHeight="1" x14ac:dyDescent="0.2">
      <c r="A96" s="1"/>
      <c r="B96" s="1"/>
      <c r="C96" s="2" t="s">
        <v>147</v>
      </c>
      <c r="D96" s="1"/>
      <c r="E96" s="1"/>
      <c r="F96" s="12"/>
      <c r="G96" s="12"/>
      <c r="H96" s="106"/>
    </row>
    <row r="97" spans="1:8" ht="17.100000000000001" customHeight="1" x14ac:dyDescent="0.2">
      <c r="A97" s="3">
        <v>1</v>
      </c>
      <c r="B97" s="4"/>
      <c r="C97" s="4" t="s">
        <v>148</v>
      </c>
      <c r="D97" s="4"/>
      <c r="E97" s="8"/>
      <c r="F97" s="6">
        <v>17891.6615786</v>
      </c>
      <c r="G97" s="7">
        <v>7.5787820000000006E-2</v>
      </c>
      <c r="H97" s="106">
        <v>6.1171451766917002</v>
      </c>
    </row>
    <row r="98" spans="1:8" ht="14.1" customHeight="1" x14ac:dyDescent="0.2">
      <c r="A98" s="1"/>
      <c r="B98" s="1"/>
      <c r="C98" s="2" t="s">
        <v>130</v>
      </c>
      <c r="D98" s="1"/>
      <c r="E98" s="1" t="s">
        <v>131</v>
      </c>
      <c r="F98" s="9">
        <v>17891.6615786</v>
      </c>
      <c r="G98" s="10">
        <v>7.5787820000000006E-2</v>
      </c>
      <c r="H98" s="106"/>
    </row>
    <row r="99" spans="1:8" ht="14.1" customHeight="1" x14ac:dyDescent="0.2">
      <c r="A99" s="1"/>
      <c r="B99" s="1"/>
      <c r="C99" s="11"/>
      <c r="D99" s="1"/>
      <c r="E99" s="1"/>
      <c r="F99" s="12"/>
      <c r="G99" s="12"/>
      <c r="H99" s="106"/>
    </row>
    <row r="100" spans="1:8" ht="14.1" customHeight="1" x14ac:dyDescent="0.2">
      <c r="A100" s="1"/>
      <c r="B100" s="1"/>
      <c r="C100" s="2" t="s">
        <v>149</v>
      </c>
      <c r="D100" s="1"/>
      <c r="E100" s="1"/>
      <c r="F100" s="9">
        <v>17891.6615786</v>
      </c>
      <c r="G100" s="10">
        <v>7.5787820000000006E-2</v>
      </c>
      <c r="H100" s="106"/>
    </row>
    <row r="101" spans="1:8" ht="14.1" customHeight="1" x14ac:dyDescent="0.2">
      <c r="A101" s="1"/>
      <c r="B101" s="1"/>
      <c r="C101" s="12"/>
      <c r="D101" s="1"/>
      <c r="E101" s="1"/>
      <c r="F101" s="1"/>
      <c r="G101" s="1"/>
      <c r="H101" s="106"/>
    </row>
    <row r="102" spans="1:8" ht="14.1" customHeight="1" x14ac:dyDescent="0.2">
      <c r="A102" s="1"/>
      <c r="B102" s="1"/>
      <c r="C102" s="2" t="s">
        <v>150</v>
      </c>
      <c r="D102" s="1"/>
      <c r="E102" s="1"/>
      <c r="F102" s="1"/>
      <c r="G102" s="1"/>
      <c r="H102" s="106"/>
    </row>
    <row r="103" spans="1:8" ht="14.1" customHeight="1" x14ac:dyDescent="0.2">
      <c r="A103" s="1"/>
      <c r="B103" s="1"/>
      <c r="C103" s="2" t="s">
        <v>151</v>
      </c>
      <c r="D103" s="1"/>
      <c r="E103" s="1"/>
      <c r="F103" s="1"/>
      <c r="G103" s="1"/>
      <c r="H103" s="106"/>
    </row>
    <row r="104" spans="1:8" ht="14.1" customHeight="1" x14ac:dyDescent="0.2">
      <c r="A104" s="1"/>
      <c r="B104" s="1"/>
      <c r="C104" s="2" t="s">
        <v>130</v>
      </c>
      <c r="D104" s="1"/>
      <c r="E104" s="1" t="s">
        <v>131</v>
      </c>
      <c r="F104" s="13">
        <v>0</v>
      </c>
      <c r="G104" s="14">
        <v>0</v>
      </c>
      <c r="H104" s="106"/>
    </row>
    <row r="105" spans="1:8" ht="14.1" customHeight="1" x14ac:dyDescent="0.2">
      <c r="A105" s="1"/>
      <c r="B105" s="1"/>
      <c r="C105" s="11"/>
      <c r="D105" s="1"/>
      <c r="E105" s="1"/>
      <c r="F105" s="12"/>
      <c r="G105" s="12"/>
      <c r="H105" s="106"/>
    </row>
    <row r="106" spans="1:8" ht="14.1" customHeight="1" x14ac:dyDescent="0.2">
      <c r="A106" s="1"/>
      <c r="B106" s="1"/>
      <c r="C106" s="2" t="s">
        <v>152</v>
      </c>
      <c r="D106" s="1"/>
      <c r="E106" s="1"/>
      <c r="F106" s="1"/>
      <c r="G106" s="1"/>
      <c r="H106" s="106"/>
    </row>
    <row r="107" spans="1:8" ht="14.1" customHeight="1" x14ac:dyDescent="0.2">
      <c r="A107" s="1"/>
      <c r="B107" s="1"/>
      <c r="C107" s="2" t="s">
        <v>153</v>
      </c>
      <c r="D107" s="1"/>
      <c r="E107" s="1"/>
      <c r="F107" s="1"/>
      <c r="G107" s="1"/>
      <c r="H107" s="106"/>
    </row>
    <row r="108" spans="1:8" ht="14.1" customHeight="1" x14ac:dyDescent="0.2">
      <c r="A108" s="1"/>
      <c r="B108" s="1"/>
      <c r="C108" s="2" t="s">
        <v>130</v>
      </c>
      <c r="D108" s="1"/>
      <c r="E108" s="1" t="s">
        <v>131</v>
      </c>
      <c r="F108" s="13">
        <v>0</v>
      </c>
      <c r="G108" s="14">
        <v>0</v>
      </c>
      <c r="H108" s="106"/>
    </row>
    <row r="109" spans="1:8" ht="14.1" customHeight="1" x14ac:dyDescent="0.2">
      <c r="A109" s="1"/>
      <c r="B109" s="1"/>
      <c r="C109" s="11"/>
      <c r="D109" s="1"/>
      <c r="E109" s="1"/>
      <c r="F109" s="12"/>
      <c r="G109" s="12"/>
      <c r="H109" s="106"/>
    </row>
    <row r="110" spans="1:8" ht="14.1" customHeight="1" x14ac:dyDescent="0.2">
      <c r="A110" s="1"/>
      <c r="B110" s="1"/>
      <c r="C110" s="11"/>
      <c r="D110" s="1"/>
      <c r="E110" s="1"/>
      <c r="F110" s="12"/>
      <c r="G110" s="12"/>
      <c r="H110" s="106"/>
    </row>
    <row r="111" spans="1:8" ht="24" customHeight="1" x14ac:dyDescent="0.2">
      <c r="A111" s="1"/>
      <c r="B111" s="1"/>
      <c r="C111" s="2" t="s">
        <v>154</v>
      </c>
      <c r="D111" s="1"/>
      <c r="E111" s="1"/>
      <c r="F111" s="12"/>
      <c r="G111" s="12"/>
      <c r="H111" s="106"/>
    </row>
    <row r="112" spans="1:8" ht="14.1" customHeight="1" x14ac:dyDescent="0.2">
      <c r="A112" s="1"/>
      <c r="B112" s="1"/>
      <c r="C112" s="2" t="s">
        <v>130</v>
      </c>
      <c r="D112" s="1"/>
      <c r="E112" s="1" t="s">
        <v>131</v>
      </c>
      <c r="F112" s="13">
        <v>0</v>
      </c>
      <c r="G112" s="14">
        <v>0</v>
      </c>
      <c r="H112" s="106"/>
    </row>
    <row r="113" spans="1:8" ht="14.1" customHeight="1" x14ac:dyDescent="0.2">
      <c r="A113" s="1"/>
      <c r="B113" s="1"/>
      <c r="C113" s="11"/>
      <c r="D113" s="1"/>
      <c r="E113" s="1"/>
      <c r="F113" s="12"/>
      <c r="G113" s="12"/>
      <c r="H113" s="106"/>
    </row>
    <row r="114" spans="1:8" ht="18" customHeight="1" x14ac:dyDescent="0.2">
      <c r="A114" s="8"/>
      <c r="B114" s="4"/>
      <c r="C114" s="4" t="s">
        <v>575</v>
      </c>
      <c r="D114" s="4"/>
      <c r="E114" s="8"/>
      <c r="F114" s="6">
        <v>1809.0419999999999</v>
      </c>
      <c r="G114" s="7">
        <v>7.6629746952235787E-3</v>
      </c>
      <c r="H114" s="106"/>
    </row>
    <row r="115" spans="1:8" ht="18" customHeight="1" x14ac:dyDescent="0.2">
      <c r="A115" s="8"/>
      <c r="B115" s="4"/>
      <c r="C115" s="4" t="s">
        <v>155</v>
      </c>
      <c r="D115" s="4"/>
      <c r="E115" s="8"/>
      <c r="F115" s="6">
        <v>-1112.8880613910151</v>
      </c>
      <c r="G115" s="7">
        <v>-4.7141155667230353E-3</v>
      </c>
      <c r="H115" s="106"/>
    </row>
    <row r="116" spans="1:8" ht="14.1" customHeight="1" x14ac:dyDescent="0.2">
      <c r="A116" s="11"/>
      <c r="B116" s="11"/>
      <c r="C116" s="2" t="s">
        <v>156</v>
      </c>
      <c r="D116" s="15"/>
      <c r="E116" s="15"/>
      <c r="F116" s="9">
        <v>236075.68495921002</v>
      </c>
      <c r="G116" s="14">
        <v>0.9999999971285003</v>
      </c>
      <c r="H116" s="106"/>
    </row>
    <row r="117" spans="1:8" ht="14.1" customHeight="1" x14ac:dyDescent="0.2">
      <c r="A117" s="16"/>
      <c r="B117" s="16"/>
      <c r="C117" s="16"/>
      <c r="D117" s="17"/>
      <c r="E117" s="17"/>
      <c r="F117" s="17"/>
      <c r="G117" s="17"/>
    </row>
    <row r="118" spans="1:8" ht="14.1" customHeight="1" x14ac:dyDescent="0.2">
      <c r="A118" s="18"/>
      <c r="B118" s="18"/>
      <c r="C118" s="18"/>
      <c r="D118" s="20"/>
      <c r="E118" s="20"/>
      <c r="F118" s="20"/>
      <c r="G118" s="20"/>
    </row>
    <row r="119" spans="1:8" ht="14.1" customHeight="1" x14ac:dyDescent="0.2">
      <c r="A119" s="18"/>
      <c r="B119" s="279" t="s">
        <v>158</v>
      </c>
      <c r="C119" s="280"/>
      <c r="D119" s="12" t="s">
        <v>131</v>
      </c>
      <c r="E119" s="21"/>
      <c r="F119" s="20"/>
      <c r="G119" s="20"/>
    </row>
    <row r="120" spans="1:8" ht="29.1" customHeight="1" x14ac:dyDescent="0.2">
      <c r="A120" s="18"/>
      <c r="B120" s="274" t="s">
        <v>159</v>
      </c>
      <c r="C120" s="275"/>
      <c r="D120" s="2" t="s">
        <v>160</v>
      </c>
      <c r="E120" s="21"/>
      <c r="F120" s="20"/>
      <c r="G120" s="20"/>
    </row>
    <row r="121" spans="1:8" ht="17.100000000000001" customHeight="1" x14ac:dyDescent="0.2">
      <c r="A121" s="18"/>
      <c r="B121" s="274" t="s">
        <v>161</v>
      </c>
      <c r="C121" s="275"/>
      <c r="D121" s="2" t="s">
        <v>160</v>
      </c>
      <c r="E121" s="21"/>
      <c r="F121" s="20"/>
      <c r="G121" s="20"/>
    </row>
    <row r="122" spans="1:8" ht="17.100000000000001" customHeight="1" x14ac:dyDescent="0.2">
      <c r="A122" s="18"/>
      <c r="B122" s="274" t="s">
        <v>162</v>
      </c>
      <c r="C122" s="275"/>
      <c r="D122" s="12" t="s">
        <v>131</v>
      </c>
      <c r="E122" s="21"/>
      <c r="F122" s="20"/>
      <c r="G122" s="20"/>
    </row>
    <row r="123" spans="1:8" ht="24" customHeight="1" x14ac:dyDescent="0.2">
      <c r="A123" s="22"/>
      <c r="B123" s="23" t="s">
        <v>131</v>
      </c>
      <c r="C123" s="23" t="s">
        <v>163</v>
      </c>
      <c r="D123" s="23" t="s">
        <v>164</v>
      </c>
      <c r="E123" s="22"/>
      <c r="F123" s="22"/>
      <c r="G123" s="22"/>
    </row>
    <row r="124" spans="1:8" ht="18" customHeight="1" x14ac:dyDescent="0.2">
      <c r="A124" s="22"/>
      <c r="B124" s="23" t="s">
        <v>165</v>
      </c>
      <c r="C124" s="23" t="s">
        <v>166</v>
      </c>
      <c r="D124" s="23" t="s">
        <v>167</v>
      </c>
      <c r="E124" s="22"/>
      <c r="F124" s="22"/>
      <c r="G124" s="22"/>
    </row>
    <row r="125" spans="1:8" ht="17.100000000000001" customHeight="1" x14ac:dyDescent="0.2">
      <c r="A125" s="22"/>
      <c r="B125" s="4" t="s">
        <v>168</v>
      </c>
      <c r="C125" s="24">
        <v>22.029599999999999</v>
      </c>
      <c r="D125" s="24">
        <v>22.934100000000001</v>
      </c>
      <c r="E125" s="22"/>
      <c r="F125" s="19"/>
      <c r="G125" s="25"/>
    </row>
    <row r="126" spans="1:8" ht="17.100000000000001" customHeight="1" x14ac:dyDescent="0.2">
      <c r="A126" s="22"/>
      <c r="B126" s="4" t="s">
        <v>1048</v>
      </c>
      <c r="C126" s="24">
        <v>18.7743</v>
      </c>
      <c r="D126" s="24">
        <v>19.545000000000002</v>
      </c>
      <c r="E126" s="22"/>
      <c r="F126" s="19"/>
      <c r="G126" s="25"/>
    </row>
    <row r="127" spans="1:8" ht="17.100000000000001" customHeight="1" x14ac:dyDescent="0.2">
      <c r="A127" s="22"/>
      <c r="B127" s="4" t="s">
        <v>169</v>
      </c>
      <c r="C127" s="24">
        <v>21.033300000000001</v>
      </c>
      <c r="D127" s="24">
        <v>21.8705</v>
      </c>
      <c r="E127" s="22"/>
      <c r="F127" s="19"/>
      <c r="G127" s="25"/>
    </row>
    <row r="128" spans="1:8" ht="17.100000000000001" customHeight="1" x14ac:dyDescent="0.2">
      <c r="A128" s="22"/>
      <c r="B128" s="4" t="s">
        <v>1049</v>
      </c>
      <c r="C128" s="24">
        <v>17.908899999999999</v>
      </c>
      <c r="D128" s="24">
        <v>18.621700000000001</v>
      </c>
      <c r="E128" s="22"/>
      <c r="F128" s="19"/>
      <c r="G128" s="25"/>
    </row>
    <row r="129" spans="1:7" ht="14.1" customHeight="1" x14ac:dyDescent="0.2">
      <c r="A129" s="22"/>
      <c r="B129" s="22"/>
      <c r="C129" s="22"/>
      <c r="D129" s="22"/>
      <c r="E129" s="22"/>
      <c r="F129" s="22"/>
      <c r="G129" s="22"/>
    </row>
    <row r="130" spans="1:7" ht="17.100000000000001" customHeight="1" x14ac:dyDescent="0.2">
      <c r="A130" s="22"/>
      <c r="B130" s="274" t="s">
        <v>1060</v>
      </c>
      <c r="C130" s="275"/>
      <c r="D130" s="2" t="s">
        <v>160</v>
      </c>
      <c r="E130" s="22"/>
      <c r="F130" s="22"/>
      <c r="G130" s="22"/>
    </row>
    <row r="131" spans="1:7" ht="18" customHeight="1" x14ac:dyDescent="0.2">
      <c r="A131" s="22"/>
      <c r="B131" s="26" t="s">
        <v>170</v>
      </c>
      <c r="C131" s="26" t="s">
        <v>170</v>
      </c>
      <c r="D131" s="26"/>
      <c r="E131" s="22"/>
      <c r="F131" s="22"/>
      <c r="G131" s="22"/>
    </row>
    <row r="132" spans="1:7" ht="29.1" customHeight="1" x14ac:dyDescent="0.2">
      <c r="A132" s="22"/>
      <c r="B132" s="274" t="s">
        <v>171</v>
      </c>
      <c r="C132" s="275"/>
      <c r="D132" s="2" t="s">
        <v>160</v>
      </c>
      <c r="E132" s="22"/>
      <c r="F132" s="22"/>
      <c r="G132" s="22"/>
    </row>
    <row r="133" spans="1:7" ht="29.1" customHeight="1" x14ac:dyDescent="0.2">
      <c r="A133" s="22"/>
      <c r="B133" s="274" t="s">
        <v>172</v>
      </c>
      <c r="C133" s="275"/>
      <c r="D133" s="62" t="s">
        <v>994</v>
      </c>
      <c r="E133" s="22"/>
      <c r="F133" s="22"/>
      <c r="G133" s="22"/>
    </row>
    <row r="134" spans="1:7" ht="17.100000000000001" customHeight="1" x14ac:dyDescent="0.2">
      <c r="A134" s="22"/>
      <c r="B134" s="274" t="s">
        <v>173</v>
      </c>
      <c r="C134" s="275"/>
      <c r="D134" s="27">
        <v>0.2740224017722272</v>
      </c>
      <c r="E134" s="22"/>
      <c r="F134" s="19"/>
      <c r="G134" s="25"/>
    </row>
    <row r="135" spans="1:7" ht="17.100000000000001" customHeight="1" x14ac:dyDescent="0.2">
      <c r="A135" s="22"/>
      <c r="B135" s="274" t="s">
        <v>174</v>
      </c>
      <c r="C135" s="275"/>
      <c r="D135" s="2" t="s">
        <v>160</v>
      </c>
      <c r="E135" s="22"/>
      <c r="F135" s="22"/>
      <c r="G135" s="22"/>
    </row>
  </sheetData>
  <mergeCells count="13">
    <mergeCell ref="J2:N2"/>
    <mergeCell ref="B119:C119"/>
    <mergeCell ref="B134:C134"/>
    <mergeCell ref="A1:H1"/>
    <mergeCell ref="A2:H2"/>
    <mergeCell ref="A3:H3"/>
    <mergeCell ref="B135:C135"/>
    <mergeCell ref="B120:C120"/>
    <mergeCell ref="B121:C121"/>
    <mergeCell ref="B122:C122"/>
    <mergeCell ref="B130:C130"/>
    <mergeCell ref="B132:C132"/>
    <mergeCell ref="B133:C133"/>
  </mergeCells>
  <hyperlinks>
    <hyperlink ref="I1" location="Index!B33" display="Index" xr:uid="{10400BC7-DD98-4E02-A881-7FAA151679E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N14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754</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1779000</v>
      </c>
      <c r="F7" s="6">
        <v>16165.772999999999</v>
      </c>
      <c r="G7" s="7">
        <v>8.9073948999999999E-2</v>
      </c>
      <c r="H7" s="106"/>
    </row>
    <row r="8" spans="1:14" ht="17.100000000000001" customHeight="1" x14ac:dyDescent="0.2">
      <c r="A8" s="3">
        <v>2</v>
      </c>
      <c r="B8" s="4" t="s">
        <v>264</v>
      </c>
      <c r="C8" s="4" t="s">
        <v>265</v>
      </c>
      <c r="D8" s="4" t="s">
        <v>16</v>
      </c>
      <c r="E8" s="5">
        <v>736000</v>
      </c>
      <c r="F8" s="6">
        <v>11015.712</v>
      </c>
      <c r="G8" s="7">
        <v>6.0696940999999997E-2</v>
      </c>
      <c r="H8" s="106"/>
    </row>
    <row r="9" spans="1:14" ht="17.100000000000001" customHeight="1" x14ac:dyDescent="0.2">
      <c r="A9" s="3">
        <v>3</v>
      </c>
      <c r="B9" s="4" t="s">
        <v>296</v>
      </c>
      <c r="C9" s="4" t="s">
        <v>297</v>
      </c>
      <c r="D9" s="4" t="s">
        <v>1114</v>
      </c>
      <c r="E9" s="5">
        <v>592000</v>
      </c>
      <c r="F9" s="6">
        <v>9102.8880000000008</v>
      </c>
      <c r="G9" s="7">
        <v>5.0157216999999997E-2</v>
      </c>
      <c r="H9" s="106"/>
    </row>
    <row r="10" spans="1:14" ht="17.100000000000001" customHeight="1" x14ac:dyDescent="0.2">
      <c r="A10" s="3">
        <v>4</v>
      </c>
      <c r="B10" s="4" t="s">
        <v>20</v>
      </c>
      <c r="C10" s="4" t="s">
        <v>21</v>
      </c>
      <c r="D10" s="4" t="s">
        <v>22</v>
      </c>
      <c r="E10" s="5">
        <v>341595</v>
      </c>
      <c r="F10" s="6">
        <v>8709.3061199999993</v>
      </c>
      <c r="G10" s="7">
        <v>4.7988567000000003E-2</v>
      </c>
      <c r="H10" s="106"/>
    </row>
    <row r="11" spans="1:14" ht="17.100000000000001" customHeight="1" x14ac:dyDescent="0.2">
      <c r="A11" s="3">
        <v>5</v>
      </c>
      <c r="B11" s="4" t="s">
        <v>42</v>
      </c>
      <c r="C11" s="4" t="s">
        <v>43</v>
      </c>
      <c r="D11" s="4" t="s">
        <v>16</v>
      </c>
      <c r="E11" s="5">
        <v>1480000</v>
      </c>
      <c r="F11" s="6">
        <v>8492.24</v>
      </c>
      <c r="G11" s="7">
        <v>4.6792526000000001E-2</v>
      </c>
      <c r="H11" s="106"/>
    </row>
    <row r="12" spans="1:14" ht="17.100000000000001" customHeight="1" x14ac:dyDescent="0.2">
      <c r="A12" s="3">
        <v>6</v>
      </c>
      <c r="B12" s="4" t="s">
        <v>178</v>
      </c>
      <c r="C12" s="4" t="s">
        <v>179</v>
      </c>
      <c r="D12" s="4" t="s">
        <v>16</v>
      </c>
      <c r="E12" s="5">
        <v>874000</v>
      </c>
      <c r="F12" s="6">
        <v>7918.44</v>
      </c>
      <c r="G12" s="7">
        <v>4.3630869000000003E-2</v>
      </c>
      <c r="H12" s="106"/>
    </row>
    <row r="13" spans="1:14" ht="29.1" customHeight="1" x14ac:dyDescent="0.25">
      <c r="A13" s="3">
        <v>7</v>
      </c>
      <c r="B13" s="4" t="s">
        <v>298</v>
      </c>
      <c r="C13" s="4" t="s">
        <v>299</v>
      </c>
      <c r="D13" s="4" t="s">
        <v>99</v>
      </c>
      <c r="E13" s="5">
        <v>272000</v>
      </c>
      <c r="F13" s="6">
        <v>6717.8559999999998</v>
      </c>
      <c r="G13" s="7">
        <v>3.7015610999999997E-2</v>
      </c>
      <c r="H13" s="106"/>
      <c r="J13" s="171" t="s">
        <v>1097</v>
      </c>
    </row>
    <row r="14" spans="1:14" ht="17.100000000000001" customHeight="1" x14ac:dyDescent="0.2">
      <c r="A14" s="3">
        <v>8</v>
      </c>
      <c r="B14" s="4" t="s">
        <v>37</v>
      </c>
      <c r="C14" s="4" t="s">
        <v>38</v>
      </c>
      <c r="D14" s="4" t="s">
        <v>31</v>
      </c>
      <c r="E14" s="5">
        <v>227703</v>
      </c>
      <c r="F14" s="6">
        <v>6324.3369734999997</v>
      </c>
      <c r="G14" s="7">
        <v>3.4847308E-2</v>
      </c>
      <c r="H14" s="106"/>
      <c r="J14" s="161"/>
    </row>
    <row r="15" spans="1:14" ht="53.1" customHeight="1" x14ac:dyDescent="0.2">
      <c r="A15" s="3">
        <v>9</v>
      </c>
      <c r="B15" s="4" t="s">
        <v>46</v>
      </c>
      <c r="C15" s="4" t="s">
        <v>47</v>
      </c>
      <c r="D15" s="4" t="s">
        <v>48</v>
      </c>
      <c r="E15" s="5">
        <v>4089762</v>
      </c>
      <c r="F15" s="6">
        <v>6269.6051459999999</v>
      </c>
      <c r="G15" s="7">
        <v>3.4545734000000002E-2</v>
      </c>
      <c r="H15" s="106"/>
    </row>
    <row r="16" spans="1:14" ht="17.100000000000001" customHeight="1" x14ac:dyDescent="0.2">
      <c r="A16" s="3">
        <v>10</v>
      </c>
      <c r="B16" s="4" t="s">
        <v>306</v>
      </c>
      <c r="C16" s="4" t="s">
        <v>307</v>
      </c>
      <c r="D16" s="4" t="s">
        <v>1114</v>
      </c>
      <c r="E16" s="5">
        <v>165000</v>
      </c>
      <c r="F16" s="6">
        <v>5268.6975000000002</v>
      </c>
      <c r="G16" s="7">
        <v>2.9030699E-2</v>
      </c>
      <c r="H16" s="106"/>
    </row>
    <row r="17" spans="1:10" ht="17.100000000000001" customHeight="1" x14ac:dyDescent="0.2">
      <c r="A17" s="3">
        <v>11</v>
      </c>
      <c r="B17" s="4" t="s">
        <v>32</v>
      </c>
      <c r="C17" s="4" t="s">
        <v>33</v>
      </c>
      <c r="D17" s="4" t="s">
        <v>31</v>
      </c>
      <c r="E17" s="5">
        <v>225556</v>
      </c>
      <c r="F17" s="6">
        <v>4743.4426800000001</v>
      </c>
      <c r="G17" s="7">
        <v>2.6136527999999999E-2</v>
      </c>
      <c r="H17" s="106"/>
    </row>
    <row r="18" spans="1:10" ht="17.100000000000001" customHeight="1" x14ac:dyDescent="0.2">
      <c r="A18" s="3">
        <v>12</v>
      </c>
      <c r="B18" s="4" t="s">
        <v>11</v>
      </c>
      <c r="C18" s="4" t="s">
        <v>12</v>
      </c>
      <c r="D18" s="4" t="s">
        <v>13</v>
      </c>
      <c r="E18" s="5">
        <v>232000</v>
      </c>
      <c r="F18" s="6">
        <v>4693.5919999999996</v>
      </c>
      <c r="G18" s="7">
        <v>2.5861848999999999E-2</v>
      </c>
      <c r="H18" s="106"/>
    </row>
    <row r="19" spans="1:10" ht="17.100000000000001" customHeight="1" x14ac:dyDescent="0.2">
      <c r="A19" s="3">
        <v>13</v>
      </c>
      <c r="B19" s="4" t="s">
        <v>68</v>
      </c>
      <c r="C19" s="4" t="s">
        <v>69</v>
      </c>
      <c r="D19" s="4" t="s">
        <v>70</v>
      </c>
      <c r="E19" s="5">
        <v>48000</v>
      </c>
      <c r="F19" s="6">
        <v>4573.2479999999996</v>
      </c>
      <c r="G19" s="7">
        <v>2.5198748999999999E-2</v>
      </c>
      <c r="H19" s="106"/>
    </row>
    <row r="20" spans="1:10" ht="17.100000000000001" customHeight="1" x14ac:dyDescent="0.2">
      <c r="A20" s="3">
        <v>14</v>
      </c>
      <c r="B20" s="4" t="s">
        <v>228</v>
      </c>
      <c r="C20" s="4" t="s">
        <v>229</v>
      </c>
      <c r="D20" s="4" t="s">
        <v>230</v>
      </c>
      <c r="E20" s="5">
        <v>715000</v>
      </c>
      <c r="F20" s="6">
        <v>4361.1424999999999</v>
      </c>
      <c r="G20" s="7">
        <v>2.4030040999999999E-2</v>
      </c>
      <c r="H20" s="106"/>
    </row>
    <row r="21" spans="1:10" ht="29.1" customHeight="1" x14ac:dyDescent="0.2">
      <c r="A21" s="3">
        <v>15</v>
      </c>
      <c r="B21" s="4" t="s">
        <v>302</v>
      </c>
      <c r="C21" s="4" t="s">
        <v>303</v>
      </c>
      <c r="D21" s="4" t="s">
        <v>204</v>
      </c>
      <c r="E21" s="5">
        <v>397908</v>
      </c>
      <c r="F21" s="6">
        <v>4046.3264519999998</v>
      </c>
      <c r="G21" s="7">
        <v>2.2295394E-2</v>
      </c>
      <c r="H21" s="106"/>
    </row>
    <row r="22" spans="1:10" ht="17.100000000000001" customHeight="1" x14ac:dyDescent="0.2">
      <c r="A22" s="3">
        <v>16</v>
      </c>
      <c r="B22" s="4" t="s">
        <v>17</v>
      </c>
      <c r="C22" s="4" t="s">
        <v>18</v>
      </c>
      <c r="D22" s="4" t="s">
        <v>19</v>
      </c>
      <c r="E22" s="5">
        <v>453000</v>
      </c>
      <c r="F22" s="6">
        <v>3768.96</v>
      </c>
      <c r="G22" s="7">
        <v>2.0767094999999999E-2</v>
      </c>
      <c r="H22" s="106"/>
    </row>
    <row r="23" spans="1:10" ht="17.100000000000001" customHeight="1" x14ac:dyDescent="0.2">
      <c r="A23" s="3">
        <v>17</v>
      </c>
      <c r="B23" s="4" t="s">
        <v>258</v>
      </c>
      <c r="C23" s="4" t="s">
        <v>259</v>
      </c>
      <c r="D23" s="4" t="s">
        <v>99</v>
      </c>
      <c r="E23" s="5">
        <v>199000</v>
      </c>
      <c r="F23" s="6">
        <v>3358.125</v>
      </c>
      <c r="G23" s="7">
        <v>1.8503380999999999E-2</v>
      </c>
      <c r="H23" s="106"/>
      <c r="J23" s="161" t="s">
        <v>1105</v>
      </c>
    </row>
    <row r="24" spans="1:10" ht="17.100000000000001" customHeight="1" x14ac:dyDescent="0.2">
      <c r="A24" s="3">
        <v>18</v>
      </c>
      <c r="B24" s="4" t="s">
        <v>308</v>
      </c>
      <c r="C24" s="4" t="s">
        <v>309</v>
      </c>
      <c r="D24" s="4" t="s">
        <v>310</v>
      </c>
      <c r="E24" s="5">
        <v>124000</v>
      </c>
      <c r="F24" s="6">
        <v>3162.8679999999999</v>
      </c>
      <c r="G24" s="7">
        <v>1.7427508000000001E-2</v>
      </c>
      <c r="H24" s="106"/>
    </row>
    <row r="25" spans="1:10" ht="17.100000000000001" customHeight="1" x14ac:dyDescent="0.2">
      <c r="A25" s="3">
        <v>19</v>
      </c>
      <c r="B25" s="4" t="s">
        <v>34</v>
      </c>
      <c r="C25" s="4" t="s">
        <v>35</v>
      </c>
      <c r="D25" s="4" t="s">
        <v>36</v>
      </c>
      <c r="E25" s="5">
        <v>100000</v>
      </c>
      <c r="F25" s="6">
        <v>3049.75</v>
      </c>
      <c r="G25" s="7">
        <v>1.6804224E-2</v>
      </c>
      <c r="H25" s="106"/>
    </row>
    <row r="26" spans="1:10" ht="29.1" customHeight="1" x14ac:dyDescent="0.2">
      <c r="A26" s="3">
        <v>20</v>
      </c>
      <c r="B26" s="4" t="s">
        <v>189</v>
      </c>
      <c r="C26" s="4" t="s">
        <v>190</v>
      </c>
      <c r="D26" s="4" t="s">
        <v>110</v>
      </c>
      <c r="E26" s="5">
        <v>800000</v>
      </c>
      <c r="F26" s="6">
        <v>2898.4</v>
      </c>
      <c r="G26" s="7">
        <v>1.5970280999999999E-2</v>
      </c>
      <c r="H26" s="106"/>
    </row>
    <row r="27" spans="1:10" ht="17.100000000000001" customHeight="1" x14ac:dyDescent="0.2">
      <c r="A27" s="3">
        <v>21</v>
      </c>
      <c r="B27" s="4" t="s">
        <v>243</v>
      </c>
      <c r="C27" s="4" t="s">
        <v>244</v>
      </c>
      <c r="D27" s="4" t="s">
        <v>245</v>
      </c>
      <c r="E27" s="5">
        <v>396000</v>
      </c>
      <c r="F27" s="6">
        <v>2803.8780000000002</v>
      </c>
      <c r="G27" s="7">
        <v>1.5449460999999999E-2</v>
      </c>
      <c r="H27" s="106"/>
    </row>
    <row r="28" spans="1:10" ht="29.1" customHeight="1" x14ac:dyDescent="0.2">
      <c r="A28" s="3">
        <v>22</v>
      </c>
      <c r="B28" s="4" t="s">
        <v>97</v>
      </c>
      <c r="C28" s="4" t="s">
        <v>98</v>
      </c>
      <c r="D28" s="4" t="s">
        <v>99</v>
      </c>
      <c r="E28" s="5">
        <v>392000</v>
      </c>
      <c r="F28" s="6">
        <v>2780.652</v>
      </c>
      <c r="G28" s="7">
        <v>1.5321484999999999E-2</v>
      </c>
      <c r="H28" s="106"/>
    </row>
    <row r="29" spans="1:10" ht="17.100000000000001" customHeight="1" x14ac:dyDescent="0.2">
      <c r="A29" s="3">
        <v>23</v>
      </c>
      <c r="B29" s="4" t="s">
        <v>511</v>
      </c>
      <c r="C29" s="4" t="s">
        <v>512</v>
      </c>
      <c r="D29" s="4" t="s">
        <v>324</v>
      </c>
      <c r="E29" s="5">
        <v>67000</v>
      </c>
      <c r="F29" s="6">
        <v>2780.098</v>
      </c>
      <c r="G29" s="7">
        <v>1.5318432999999999E-2</v>
      </c>
      <c r="H29" s="106"/>
    </row>
    <row r="30" spans="1:10" ht="17.100000000000001" customHeight="1" x14ac:dyDescent="0.2">
      <c r="A30" s="3">
        <v>24</v>
      </c>
      <c r="B30" s="4" t="s">
        <v>346</v>
      </c>
      <c r="C30" s="4" t="s">
        <v>347</v>
      </c>
      <c r="D30" s="4" t="s">
        <v>16</v>
      </c>
      <c r="E30" s="5">
        <v>925292</v>
      </c>
      <c r="F30" s="6">
        <v>2687.0479679999999</v>
      </c>
      <c r="G30" s="7">
        <v>1.4805723999999999E-2</v>
      </c>
      <c r="H30" s="106"/>
    </row>
    <row r="31" spans="1:10" ht="29.1" customHeight="1" x14ac:dyDescent="0.2">
      <c r="A31" s="3">
        <v>25</v>
      </c>
      <c r="B31" s="4" t="s">
        <v>23</v>
      </c>
      <c r="C31" s="4" t="s">
        <v>24</v>
      </c>
      <c r="D31" s="4" t="s">
        <v>25</v>
      </c>
      <c r="E31" s="5">
        <v>38000</v>
      </c>
      <c r="F31" s="6">
        <v>2551.681</v>
      </c>
      <c r="G31" s="7">
        <v>1.4059847E-2</v>
      </c>
      <c r="H31" s="106"/>
    </row>
    <row r="32" spans="1:10" ht="17.100000000000001" customHeight="1" x14ac:dyDescent="0.2">
      <c r="A32" s="3">
        <v>26</v>
      </c>
      <c r="B32" s="4" t="s">
        <v>176</v>
      </c>
      <c r="C32" s="4" t="s">
        <v>177</v>
      </c>
      <c r="D32" s="4" t="s">
        <v>16</v>
      </c>
      <c r="E32" s="5">
        <v>1809981</v>
      </c>
      <c r="F32" s="6">
        <v>2380.1250150000001</v>
      </c>
      <c r="G32" s="7">
        <v>1.3114568E-2</v>
      </c>
      <c r="H32" s="106"/>
    </row>
    <row r="33" spans="1:8" ht="17.100000000000001" customHeight="1" x14ac:dyDescent="0.2">
      <c r="A33" s="3">
        <v>27</v>
      </c>
      <c r="B33" s="4" t="s">
        <v>106</v>
      </c>
      <c r="C33" s="4" t="s">
        <v>107</v>
      </c>
      <c r="D33" s="4" t="s">
        <v>89</v>
      </c>
      <c r="E33" s="5">
        <v>484905</v>
      </c>
      <c r="F33" s="6">
        <v>2256.7478700000001</v>
      </c>
      <c r="G33" s="7">
        <v>1.2434756E-2</v>
      </c>
      <c r="H33" s="106"/>
    </row>
    <row r="34" spans="1:8" ht="17.100000000000001" customHeight="1" x14ac:dyDescent="0.2">
      <c r="A34" s="3">
        <v>28</v>
      </c>
      <c r="B34" s="4" t="s">
        <v>354</v>
      </c>
      <c r="C34" s="4" t="s">
        <v>355</v>
      </c>
      <c r="D34" s="4" t="s">
        <v>182</v>
      </c>
      <c r="E34" s="5">
        <v>52000</v>
      </c>
      <c r="F34" s="6">
        <v>2246.8679999999999</v>
      </c>
      <c r="G34" s="7">
        <v>1.2380318E-2</v>
      </c>
      <c r="H34" s="106"/>
    </row>
    <row r="35" spans="1:8" ht="17.100000000000001" customHeight="1" x14ac:dyDescent="0.2">
      <c r="A35" s="3">
        <v>29</v>
      </c>
      <c r="B35" s="4" t="s">
        <v>358</v>
      </c>
      <c r="C35" s="4" t="s">
        <v>359</v>
      </c>
      <c r="D35" s="4" t="s">
        <v>70</v>
      </c>
      <c r="E35" s="5">
        <v>533583</v>
      </c>
      <c r="F35" s="6">
        <v>2202.3638325000002</v>
      </c>
      <c r="G35" s="7">
        <v>1.2135098E-2</v>
      </c>
      <c r="H35" s="106"/>
    </row>
    <row r="36" spans="1:8" ht="29.1" customHeight="1" x14ac:dyDescent="0.2">
      <c r="A36" s="3">
        <v>30</v>
      </c>
      <c r="B36" s="4" t="s">
        <v>196</v>
      </c>
      <c r="C36" s="4" t="s">
        <v>197</v>
      </c>
      <c r="D36" s="4" t="s">
        <v>188</v>
      </c>
      <c r="E36" s="5">
        <v>48000</v>
      </c>
      <c r="F36" s="6">
        <v>2184.84</v>
      </c>
      <c r="G36" s="7">
        <v>1.2038541E-2</v>
      </c>
      <c r="H36" s="106"/>
    </row>
    <row r="37" spans="1:8" ht="17.100000000000001" customHeight="1" x14ac:dyDescent="0.2">
      <c r="A37" s="3">
        <v>31</v>
      </c>
      <c r="B37" s="4" t="s">
        <v>532</v>
      </c>
      <c r="C37" s="4" t="s">
        <v>533</v>
      </c>
      <c r="D37" s="4" t="s">
        <v>268</v>
      </c>
      <c r="E37" s="5">
        <v>115680</v>
      </c>
      <c r="F37" s="6">
        <v>2034.1171200000001</v>
      </c>
      <c r="G37" s="7">
        <v>1.1208053000000001E-2</v>
      </c>
      <c r="H37" s="106"/>
    </row>
    <row r="38" spans="1:8" ht="17.100000000000001" customHeight="1" x14ac:dyDescent="0.2">
      <c r="A38" s="3">
        <v>32</v>
      </c>
      <c r="B38" s="4" t="s">
        <v>191</v>
      </c>
      <c r="C38" s="4" t="s">
        <v>192</v>
      </c>
      <c r="D38" s="4" t="s">
        <v>193</v>
      </c>
      <c r="E38" s="5">
        <v>4000</v>
      </c>
      <c r="F38" s="6">
        <v>1990.7460000000001</v>
      </c>
      <c r="G38" s="7">
        <v>1.0969077000000001E-2</v>
      </c>
      <c r="H38" s="106"/>
    </row>
    <row r="39" spans="1:8" ht="53.1" customHeight="1" x14ac:dyDescent="0.2">
      <c r="A39" s="3">
        <v>33</v>
      </c>
      <c r="B39" s="4" t="s">
        <v>90</v>
      </c>
      <c r="C39" s="4" t="s">
        <v>91</v>
      </c>
      <c r="D39" s="4" t="s">
        <v>48</v>
      </c>
      <c r="E39" s="5">
        <v>125775</v>
      </c>
      <c r="F39" s="6">
        <v>1982.3397749999999</v>
      </c>
      <c r="G39" s="7">
        <v>1.0922757999999999E-2</v>
      </c>
      <c r="H39" s="106"/>
    </row>
    <row r="40" spans="1:8" ht="17.100000000000001" customHeight="1" x14ac:dyDescent="0.2">
      <c r="A40" s="3">
        <v>34</v>
      </c>
      <c r="B40" s="4" t="s">
        <v>100</v>
      </c>
      <c r="C40" s="4" t="s">
        <v>101</v>
      </c>
      <c r="D40" s="4" t="s">
        <v>96</v>
      </c>
      <c r="E40" s="5">
        <v>204000</v>
      </c>
      <c r="F40" s="6">
        <v>1886.2860000000001</v>
      </c>
      <c r="G40" s="7">
        <v>1.0393499E-2</v>
      </c>
      <c r="H40" s="106"/>
    </row>
    <row r="41" spans="1:8" ht="17.100000000000001" customHeight="1" x14ac:dyDescent="0.2">
      <c r="A41" s="3">
        <v>35</v>
      </c>
      <c r="B41" s="4" t="s">
        <v>507</v>
      </c>
      <c r="C41" s="4" t="s">
        <v>508</v>
      </c>
      <c r="D41" s="4" t="s">
        <v>324</v>
      </c>
      <c r="E41" s="5">
        <v>68000</v>
      </c>
      <c r="F41" s="6">
        <v>1733.422</v>
      </c>
      <c r="G41" s="7">
        <v>9.5512129999999994E-3</v>
      </c>
      <c r="H41" s="106"/>
    </row>
    <row r="42" spans="1:8" ht="17.100000000000001" customHeight="1" x14ac:dyDescent="0.2">
      <c r="A42" s="3">
        <v>36</v>
      </c>
      <c r="B42" s="4" t="s">
        <v>183</v>
      </c>
      <c r="C42" s="4" t="s">
        <v>184</v>
      </c>
      <c r="D42" s="4" t="s">
        <v>185</v>
      </c>
      <c r="E42" s="5">
        <v>163000</v>
      </c>
      <c r="F42" s="6">
        <v>1709.9514999999999</v>
      </c>
      <c r="G42" s="7">
        <v>9.4218900000000005E-3</v>
      </c>
      <c r="H42" s="106"/>
    </row>
    <row r="43" spans="1:8" ht="29.1" customHeight="1" x14ac:dyDescent="0.2">
      <c r="A43" s="3">
        <v>37</v>
      </c>
      <c r="B43" s="4" t="s">
        <v>252</v>
      </c>
      <c r="C43" s="4" t="s">
        <v>253</v>
      </c>
      <c r="D43" s="4" t="s">
        <v>204</v>
      </c>
      <c r="E43" s="5">
        <v>95000</v>
      </c>
      <c r="F43" s="6">
        <v>1695.1324999999999</v>
      </c>
      <c r="G43" s="7">
        <v>9.3402369999999995E-3</v>
      </c>
      <c r="H43" s="106"/>
    </row>
    <row r="44" spans="1:8" ht="29.1" customHeight="1" x14ac:dyDescent="0.2">
      <c r="A44" s="3">
        <v>38</v>
      </c>
      <c r="B44" s="4" t="s">
        <v>607</v>
      </c>
      <c r="C44" s="4" t="s">
        <v>608</v>
      </c>
      <c r="D44" s="4" t="s">
        <v>188</v>
      </c>
      <c r="E44" s="5">
        <v>100000</v>
      </c>
      <c r="F44" s="6">
        <v>1572.2</v>
      </c>
      <c r="G44" s="7">
        <v>8.6628739999999992E-3</v>
      </c>
      <c r="H44" s="106"/>
    </row>
    <row r="45" spans="1:8" ht="29.1" customHeight="1" x14ac:dyDescent="0.2">
      <c r="A45" s="3">
        <v>39</v>
      </c>
      <c r="B45" s="4" t="s">
        <v>614</v>
      </c>
      <c r="C45" s="4" t="s">
        <v>615</v>
      </c>
      <c r="D45" s="4" t="s">
        <v>245</v>
      </c>
      <c r="E45" s="5">
        <v>130000</v>
      </c>
      <c r="F45" s="6">
        <v>1520.9349999999999</v>
      </c>
      <c r="G45" s="7">
        <v>8.3804029999999998E-3</v>
      </c>
      <c r="H45" s="106"/>
    </row>
    <row r="46" spans="1:8" ht="17.100000000000001" customHeight="1" x14ac:dyDescent="0.2">
      <c r="A46" s="3">
        <v>40</v>
      </c>
      <c r="B46" s="4" t="s">
        <v>194</v>
      </c>
      <c r="C46" s="4" t="s">
        <v>195</v>
      </c>
      <c r="D46" s="4" t="s">
        <v>16</v>
      </c>
      <c r="E46" s="5">
        <v>1000000</v>
      </c>
      <c r="F46" s="6">
        <v>1477</v>
      </c>
      <c r="G46" s="7">
        <v>8.1383189999999998E-3</v>
      </c>
      <c r="H46" s="106"/>
    </row>
    <row r="47" spans="1:8" ht="17.100000000000001" customHeight="1" x14ac:dyDescent="0.2">
      <c r="A47" s="3">
        <v>41</v>
      </c>
      <c r="B47" s="4" t="s">
        <v>300</v>
      </c>
      <c r="C47" s="4" t="s">
        <v>301</v>
      </c>
      <c r="D47" s="4" t="s">
        <v>245</v>
      </c>
      <c r="E47" s="5">
        <v>116000</v>
      </c>
      <c r="F47" s="6">
        <v>1468.502</v>
      </c>
      <c r="G47" s="7">
        <v>8.0914950000000006E-3</v>
      </c>
      <c r="H47" s="106"/>
    </row>
    <row r="48" spans="1:8" ht="17.100000000000001" customHeight="1" x14ac:dyDescent="0.2">
      <c r="A48" s="3">
        <v>42</v>
      </c>
      <c r="B48" s="4" t="s">
        <v>87</v>
      </c>
      <c r="C48" s="4" t="s">
        <v>88</v>
      </c>
      <c r="D48" s="4" t="s">
        <v>89</v>
      </c>
      <c r="E48" s="5">
        <v>52000</v>
      </c>
      <c r="F48" s="6">
        <v>1432.3920000000001</v>
      </c>
      <c r="G48" s="7">
        <v>7.8925279999999993E-3</v>
      </c>
      <c r="H48" s="106"/>
    </row>
    <row r="49" spans="1:8" ht="17.100000000000001" customHeight="1" x14ac:dyDescent="0.2">
      <c r="A49" s="3">
        <v>43</v>
      </c>
      <c r="B49" s="4" t="s">
        <v>740</v>
      </c>
      <c r="C49" s="4" t="s">
        <v>741</v>
      </c>
      <c r="D49" s="4" t="s">
        <v>1114</v>
      </c>
      <c r="E49" s="5">
        <v>36000</v>
      </c>
      <c r="F49" s="6">
        <v>1371.4559999999999</v>
      </c>
      <c r="G49" s="7">
        <v>7.5567680000000002E-3</v>
      </c>
      <c r="H49" s="106"/>
    </row>
    <row r="50" spans="1:8" ht="17.100000000000001" customHeight="1" x14ac:dyDescent="0.2">
      <c r="A50" s="3">
        <v>44</v>
      </c>
      <c r="B50" s="4" t="s">
        <v>519</v>
      </c>
      <c r="C50" s="4" t="s">
        <v>520</v>
      </c>
      <c r="D50" s="4" t="s">
        <v>1114</v>
      </c>
      <c r="E50" s="5">
        <v>102772</v>
      </c>
      <c r="F50" s="6">
        <v>1344.51469</v>
      </c>
      <c r="G50" s="7">
        <v>7.4083209999999998E-3</v>
      </c>
      <c r="H50" s="106"/>
    </row>
    <row r="51" spans="1:8" ht="29.1" customHeight="1" x14ac:dyDescent="0.2">
      <c r="A51" s="3">
        <v>45</v>
      </c>
      <c r="B51" s="4" t="s">
        <v>491</v>
      </c>
      <c r="C51" s="4" t="s">
        <v>492</v>
      </c>
      <c r="D51" s="4" t="s">
        <v>204</v>
      </c>
      <c r="E51" s="5">
        <v>90000</v>
      </c>
      <c r="F51" s="6">
        <v>1050.6600000000001</v>
      </c>
      <c r="G51" s="7">
        <v>5.7891720000000004E-3</v>
      </c>
      <c r="H51" s="106"/>
    </row>
    <row r="52" spans="1:8" ht="17.100000000000001" customHeight="1" x14ac:dyDescent="0.2">
      <c r="A52" s="3">
        <v>46</v>
      </c>
      <c r="B52" s="4" t="s">
        <v>605</v>
      </c>
      <c r="C52" s="4" t="s">
        <v>606</v>
      </c>
      <c r="D52" s="4" t="s">
        <v>185</v>
      </c>
      <c r="E52" s="5">
        <v>100000</v>
      </c>
      <c r="F52" s="6">
        <v>896.35</v>
      </c>
      <c r="G52" s="7">
        <v>4.9389179999999996E-3</v>
      </c>
      <c r="H52" s="106"/>
    </row>
    <row r="53" spans="1:8" ht="17.100000000000001" customHeight="1" x14ac:dyDescent="0.2">
      <c r="A53" s="3">
        <v>47</v>
      </c>
      <c r="B53" s="4" t="s">
        <v>235</v>
      </c>
      <c r="C53" s="4" t="s">
        <v>236</v>
      </c>
      <c r="D53" s="4" t="s">
        <v>237</v>
      </c>
      <c r="E53" s="5">
        <v>194000</v>
      </c>
      <c r="F53" s="6">
        <v>892.10900000000004</v>
      </c>
      <c r="G53" s="7">
        <v>4.9155500000000003E-3</v>
      </c>
      <c r="H53" s="106"/>
    </row>
    <row r="54" spans="1:8" ht="17.100000000000001" customHeight="1" x14ac:dyDescent="0.2">
      <c r="A54" s="3">
        <v>48</v>
      </c>
      <c r="B54" s="4" t="s">
        <v>256</v>
      </c>
      <c r="C54" s="4" t="s">
        <v>257</v>
      </c>
      <c r="D54" s="4" t="s">
        <v>212</v>
      </c>
      <c r="E54" s="5">
        <v>300000</v>
      </c>
      <c r="F54" s="6">
        <v>832.35</v>
      </c>
      <c r="G54" s="7">
        <v>4.5862760000000002E-3</v>
      </c>
      <c r="H54" s="106"/>
    </row>
    <row r="55" spans="1:8" ht="17.100000000000001" customHeight="1" x14ac:dyDescent="0.2">
      <c r="A55" s="3">
        <v>49</v>
      </c>
      <c r="B55" s="4" t="s">
        <v>325</v>
      </c>
      <c r="C55" s="4" t="s">
        <v>326</v>
      </c>
      <c r="D55" s="4" t="s">
        <v>1114</v>
      </c>
      <c r="E55" s="5">
        <v>188000</v>
      </c>
      <c r="F55" s="6">
        <v>726.71400000000006</v>
      </c>
      <c r="G55" s="7">
        <v>4.0042180000000004E-3</v>
      </c>
      <c r="H55" s="106"/>
    </row>
    <row r="56" spans="1:8" ht="17.100000000000001" customHeight="1" x14ac:dyDescent="0.2">
      <c r="A56" s="3">
        <v>50</v>
      </c>
      <c r="B56" s="4" t="s">
        <v>125</v>
      </c>
      <c r="C56" s="4" t="s">
        <v>126</v>
      </c>
      <c r="D56" s="4"/>
      <c r="E56" s="5">
        <v>125775</v>
      </c>
      <c r="F56" s="6">
        <v>379.52606250000002</v>
      </c>
      <c r="G56" s="7">
        <v>2.091201E-3</v>
      </c>
      <c r="H56" s="106"/>
    </row>
    <row r="57" spans="1:8" ht="17.100000000000001" customHeight="1" x14ac:dyDescent="0.2">
      <c r="A57" s="3">
        <v>51</v>
      </c>
      <c r="B57" s="4" t="s">
        <v>388</v>
      </c>
      <c r="C57" s="4" t="s">
        <v>389</v>
      </c>
      <c r="D57" s="4" t="s">
        <v>99</v>
      </c>
      <c r="E57" s="5">
        <v>70000</v>
      </c>
      <c r="F57" s="6">
        <v>367.04500000000002</v>
      </c>
      <c r="G57" s="7">
        <v>2.02243E-3</v>
      </c>
      <c r="H57" s="106"/>
    </row>
    <row r="58" spans="1:8" ht="17.100000000000001" customHeight="1" x14ac:dyDescent="0.2">
      <c r="A58" s="3">
        <v>52</v>
      </c>
      <c r="B58" s="4" t="s">
        <v>233</v>
      </c>
      <c r="C58" s="4" t="s">
        <v>234</v>
      </c>
      <c r="D58" s="4" t="s">
        <v>110</v>
      </c>
      <c r="E58" s="5">
        <v>40000</v>
      </c>
      <c r="F58" s="6">
        <v>350.48</v>
      </c>
      <c r="G58" s="7">
        <v>1.9311560000000001E-3</v>
      </c>
      <c r="H58" s="106"/>
    </row>
    <row r="59" spans="1:8" ht="17.100000000000001" customHeight="1" x14ac:dyDescent="0.2">
      <c r="A59" s="3">
        <v>53</v>
      </c>
      <c r="B59" s="4" t="s">
        <v>609</v>
      </c>
      <c r="C59" s="4" t="s">
        <v>610</v>
      </c>
      <c r="D59" s="4" t="s">
        <v>41</v>
      </c>
      <c r="E59" s="5">
        <v>16907</v>
      </c>
      <c r="F59" s="6">
        <v>301.23201899999998</v>
      </c>
      <c r="G59" s="7">
        <v>1.6597980000000001E-3</v>
      </c>
      <c r="H59" s="106"/>
    </row>
    <row r="60" spans="1:8" ht="17.100000000000001" customHeight="1" x14ac:dyDescent="0.2">
      <c r="A60" s="3">
        <v>54</v>
      </c>
      <c r="B60" s="4" t="s">
        <v>558</v>
      </c>
      <c r="C60" s="4" t="s">
        <v>559</v>
      </c>
      <c r="D60" s="4" t="s">
        <v>182</v>
      </c>
      <c r="E60" s="5">
        <v>18112</v>
      </c>
      <c r="F60" s="6">
        <v>262.45193599999999</v>
      </c>
      <c r="G60" s="7">
        <v>1.4461190000000001E-3</v>
      </c>
      <c r="H60" s="106"/>
    </row>
    <row r="61" spans="1:8" ht="17.100000000000001" customHeight="1" x14ac:dyDescent="0.2">
      <c r="A61" s="3">
        <v>55</v>
      </c>
      <c r="B61" s="4" t="s">
        <v>320</v>
      </c>
      <c r="C61" s="4" t="s">
        <v>321</v>
      </c>
      <c r="D61" s="4" t="s">
        <v>230</v>
      </c>
      <c r="E61" s="5">
        <v>14199</v>
      </c>
      <c r="F61" s="6">
        <v>205.4808285</v>
      </c>
      <c r="G61" s="7">
        <v>1.132206E-3</v>
      </c>
      <c r="H61" s="106"/>
    </row>
    <row r="62" spans="1:8" ht="14.1" customHeight="1" x14ac:dyDescent="0.2">
      <c r="A62" s="1"/>
      <c r="B62" s="1"/>
      <c r="C62" s="2" t="s">
        <v>130</v>
      </c>
      <c r="D62" s="1"/>
      <c r="E62" s="1" t="s">
        <v>131</v>
      </c>
      <c r="F62" s="9">
        <v>178998.404488</v>
      </c>
      <c r="G62" s="10">
        <v>0.98628718100000001</v>
      </c>
      <c r="H62" s="106"/>
    </row>
    <row r="63" spans="1:8" ht="14.1" customHeight="1" x14ac:dyDescent="0.2">
      <c r="A63" s="1"/>
      <c r="B63" s="1"/>
      <c r="C63" s="11"/>
      <c r="D63" s="1"/>
      <c r="E63" s="1"/>
      <c r="F63" s="12"/>
      <c r="G63" s="12"/>
      <c r="H63" s="106"/>
    </row>
    <row r="64" spans="1:8" ht="14.1" customHeight="1" x14ac:dyDescent="0.2">
      <c r="A64" s="1"/>
      <c r="B64" s="1"/>
      <c r="C64" s="2" t="s">
        <v>132</v>
      </c>
      <c r="D64" s="1"/>
      <c r="E64" s="1"/>
      <c r="F64" s="1"/>
      <c r="G64" s="1"/>
      <c r="H64" s="106"/>
    </row>
    <row r="65" spans="1:8" ht="14.1" customHeight="1" x14ac:dyDescent="0.2">
      <c r="A65" s="1"/>
      <c r="B65" s="1"/>
      <c r="C65" s="2" t="s">
        <v>130</v>
      </c>
      <c r="D65" s="1"/>
      <c r="E65" s="1" t="s">
        <v>131</v>
      </c>
      <c r="F65" s="13">
        <v>0</v>
      </c>
      <c r="G65" s="14">
        <v>0</v>
      </c>
      <c r="H65" s="106"/>
    </row>
    <row r="66" spans="1:8" ht="14.1" customHeight="1" x14ac:dyDescent="0.2">
      <c r="A66" s="1"/>
      <c r="B66" s="1"/>
      <c r="C66" s="11"/>
      <c r="D66" s="1"/>
      <c r="E66" s="1"/>
      <c r="F66" s="12"/>
      <c r="G66" s="12"/>
      <c r="H66" s="106"/>
    </row>
    <row r="67" spans="1:8" ht="14.1" customHeight="1" x14ac:dyDescent="0.2">
      <c r="A67" s="1"/>
      <c r="B67" s="1"/>
      <c r="C67" s="2" t="s">
        <v>133</v>
      </c>
      <c r="D67" s="1"/>
      <c r="E67" s="1"/>
      <c r="F67" s="1"/>
      <c r="G67" s="1"/>
      <c r="H67" s="106"/>
    </row>
    <row r="68" spans="1:8" ht="14.1" customHeight="1" x14ac:dyDescent="0.2">
      <c r="A68" s="1"/>
      <c r="B68" s="1"/>
      <c r="C68" s="2" t="s">
        <v>130</v>
      </c>
      <c r="D68" s="1"/>
      <c r="E68" s="1" t="s">
        <v>131</v>
      </c>
      <c r="F68" s="13">
        <v>0</v>
      </c>
      <c r="G68" s="14">
        <v>0</v>
      </c>
      <c r="H68" s="106"/>
    </row>
    <row r="69" spans="1:8" ht="14.1" customHeight="1" x14ac:dyDescent="0.2">
      <c r="A69" s="1"/>
      <c r="B69" s="1"/>
      <c r="C69" s="11"/>
      <c r="D69" s="1"/>
      <c r="E69" s="1"/>
      <c r="F69" s="12"/>
      <c r="G69" s="12"/>
      <c r="H69" s="106"/>
    </row>
    <row r="70" spans="1:8" ht="14.1" customHeight="1" x14ac:dyDescent="0.2">
      <c r="A70" s="1"/>
      <c r="B70" s="1"/>
      <c r="C70" s="2" t="s">
        <v>134</v>
      </c>
      <c r="D70" s="1"/>
      <c r="E70" s="1"/>
      <c r="F70" s="1"/>
      <c r="G70" s="1"/>
      <c r="H70" s="106"/>
    </row>
    <row r="71" spans="1:8" ht="14.1" customHeight="1" x14ac:dyDescent="0.2">
      <c r="A71" s="1"/>
      <c r="B71" s="1"/>
      <c r="C71" s="2" t="s">
        <v>130</v>
      </c>
      <c r="D71" s="1"/>
      <c r="E71" s="1" t="s">
        <v>131</v>
      </c>
      <c r="F71" s="13">
        <v>0</v>
      </c>
      <c r="G71" s="14">
        <v>0</v>
      </c>
      <c r="H71" s="106"/>
    </row>
    <row r="72" spans="1:8" ht="14.1" customHeight="1" x14ac:dyDescent="0.2">
      <c r="A72" s="1"/>
      <c r="B72" s="1"/>
      <c r="C72" s="11"/>
      <c r="D72" s="1"/>
      <c r="E72" s="1"/>
      <c r="F72" s="12"/>
      <c r="G72" s="12"/>
      <c r="H72" s="106"/>
    </row>
    <row r="73" spans="1:8" ht="14.1" customHeight="1" x14ac:dyDescent="0.2">
      <c r="A73" s="1"/>
      <c r="B73" s="1"/>
      <c r="C73" s="2" t="s">
        <v>135</v>
      </c>
      <c r="D73" s="1"/>
      <c r="E73" s="1"/>
      <c r="F73" s="12"/>
      <c r="G73" s="12"/>
      <c r="H73" s="106"/>
    </row>
    <row r="74" spans="1:8" ht="14.1" customHeight="1" x14ac:dyDescent="0.2">
      <c r="A74" s="1"/>
      <c r="B74" s="1"/>
      <c r="C74" s="2" t="s">
        <v>130</v>
      </c>
      <c r="D74" s="1"/>
      <c r="E74" s="1" t="s">
        <v>131</v>
      </c>
      <c r="F74" s="13">
        <v>0</v>
      </c>
      <c r="G74" s="14">
        <v>0</v>
      </c>
      <c r="H74" s="106"/>
    </row>
    <row r="75" spans="1:8" ht="14.1" customHeight="1" x14ac:dyDescent="0.2">
      <c r="A75" s="1"/>
      <c r="B75" s="1"/>
      <c r="C75" s="11"/>
      <c r="D75" s="1"/>
      <c r="E75" s="1"/>
      <c r="F75" s="12"/>
      <c r="G75" s="12"/>
      <c r="H75" s="106"/>
    </row>
    <row r="76" spans="1:8" ht="14.1" customHeight="1" x14ac:dyDescent="0.2">
      <c r="A76" s="1"/>
      <c r="B76" s="1"/>
      <c r="C76" s="2" t="s">
        <v>136</v>
      </c>
      <c r="D76" s="1"/>
      <c r="E76" s="1"/>
      <c r="F76" s="12"/>
      <c r="G76" s="12"/>
      <c r="H76" s="106"/>
    </row>
    <row r="77" spans="1:8" ht="14.1" customHeight="1" x14ac:dyDescent="0.2">
      <c r="A77" s="1"/>
      <c r="B77" s="1"/>
      <c r="C77" s="2" t="s">
        <v>130</v>
      </c>
      <c r="D77" s="1"/>
      <c r="E77" s="1" t="s">
        <v>131</v>
      </c>
      <c r="F77" s="13">
        <v>0</v>
      </c>
      <c r="G77" s="14">
        <v>0</v>
      </c>
      <c r="H77" s="106"/>
    </row>
    <row r="78" spans="1:8" ht="14.1" customHeight="1" x14ac:dyDescent="0.2">
      <c r="A78" s="1"/>
      <c r="B78" s="1"/>
      <c r="C78" s="11"/>
      <c r="D78" s="1"/>
      <c r="E78" s="1"/>
      <c r="F78" s="12"/>
      <c r="G78" s="12"/>
      <c r="H78" s="106"/>
    </row>
    <row r="79" spans="1:8" ht="18" customHeight="1" x14ac:dyDescent="0.2">
      <c r="A79" s="1"/>
      <c r="B79" s="1"/>
      <c r="C79" s="2" t="s">
        <v>137</v>
      </c>
      <c r="D79" s="1"/>
      <c r="E79" s="1"/>
      <c r="F79" s="9">
        <v>178998.404488</v>
      </c>
      <c r="G79" s="10">
        <v>0.98628718100000001</v>
      </c>
      <c r="H79" s="106"/>
    </row>
    <row r="80" spans="1:8" ht="14.1" customHeight="1" x14ac:dyDescent="0.2">
      <c r="A80" s="1"/>
      <c r="B80" s="1"/>
      <c r="C80" s="11"/>
      <c r="D80" s="1"/>
      <c r="E80" s="1"/>
      <c r="F80" s="12"/>
      <c r="G80" s="12"/>
      <c r="H80" s="106"/>
    </row>
    <row r="81" spans="1:8" ht="14.1" customHeight="1" x14ac:dyDescent="0.2">
      <c r="A81" s="1"/>
      <c r="B81" s="1"/>
      <c r="C81" s="2" t="s">
        <v>138</v>
      </c>
      <c r="D81" s="1"/>
      <c r="E81" s="1"/>
      <c r="F81" s="12"/>
      <c r="G81" s="12"/>
      <c r="H81" s="106"/>
    </row>
    <row r="82" spans="1:8" ht="24" customHeight="1" x14ac:dyDescent="0.2">
      <c r="A82" s="1"/>
      <c r="B82" s="1"/>
      <c r="C82" s="2" t="s">
        <v>10</v>
      </c>
      <c r="D82" s="1"/>
      <c r="E82" s="1"/>
      <c r="F82" s="12"/>
      <c r="G82" s="12"/>
      <c r="H82" s="106"/>
    </row>
    <row r="83" spans="1:8" ht="14.1" customHeight="1" x14ac:dyDescent="0.2">
      <c r="A83" s="1"/>
      <c r="B83" s="1"/>
      <c r="C83" s="2" t="s">
        <v>130</v>
      </c>
      <c r="D83" s="1"/>
      <c r="E83" s="1" t="s">
        <v>131</v>
      </c>
      <c r="F83" s="13">
        <v>0</v>
      </c>
      <c r="G83" s="14">
        <v>0</v>
      </c>
      <c r="H83" s="106"/>
    </row>
    <row r="84" spans="1:8" ht="14.1" customHeight="1" x14ac:dyDescent="0.2">
      <c r="A84" s="1"/>
      <c r="B84" s="1"/>
      <c r="C84" s="11"/>
      <c r="D84" s="1"/>
      <c r="E84" s="1"/>
      <c r="F84" s="12"/>
      <c r="G84" s="12"/>
      <c r="H84" s="106"/>
    </row>
    <row r="85" spans="1:8" ht="14.1" customHeight="1" x14ac:dyDescent="0.2">
      <c r="A85" s="1"/>
      <c r="B85" s="1"/>
      <c r="C85" s="2" t="s">
        <v>139</v>
      </c>
      <c r="D85" s="1"/>
      <c r="E85" s="1"/>
      <c r="F85" s="1"/>
      <c r="G85" s="1"/>
      <c r="H85" s="106"/>
    </row>
    <row r="86" spans="1:8" ht="14.1" customHeight="1" x14ac:dyDescent="0.2">
      <c r="A86" s="1"/>
      <c r="B86" s="1"/>
      <c r="C86" s="2" t="s">
        <v>130</v>
      </c>
      <c r="D86" s="1"/>
      <c r="E86" s="1" t="s">
        <v>131</v>
      </c>
      <c r="F86" s="13">
        <v>0</v>
      </c>
      <c r="G86" s="14">
        <v>0</v>
      </c>
      <c r="H86" s="106"/>
    </row>
    <row r="87" spans="1:8" ht="14.1" customHeight="1" x14ac:dyDescent="0.2">
      <c r="A87" s="1"/>
      <c r="B87" s="1"/>
      <c r="C87" s="11"/>
      <c r="D87" s="1"/>
      <c r="E87" s="1"/>
      <c r="F87" s="12"/>
      <c r="G87" s="12"/>
      <c r="H87" s="106"/>
    </row>
    <row r="88" spans="1:8" ht="14.1" customHeight="1" x14ac:dyDescent="0.2">
      <c r="A88" s="1"/>
      <c r="B88" s="1"/>
      <c r="C88" s="2" t="s">
        <v>140</v>
      </c>
      <c r="D88" s="1"/>
      <c r="E88" s="1"/>
      <c r="F88" s="1"/>
      <c r="G88" s="1"/>
      <c r="H88" s="106"/>
    </row>
    <row r="89" spans="1:8" ht="14.1" customHeight="1" x14ac:dyDescent="0.2">
      <c r="A89" s="1"/>
      <c r="B89" s="1"/>
      <c r="C89" s="2" t="s">
        <v>130</v>
      </c>
      <c r="D89" s="1"/>
      <c r="E89" s="1" t="s">
        <v>131</v>
      </c>
      <c r="F89" s="13">
        <v>0</v>
      </c>
      <c r="G89" s="14">
        <v>0</v>
      </c>
      <c r="H89" s="106"/>
    </row>
    <row r="90" spans="1:8" ht="14.1" customHeight="1" x14ac:dyDescent="0.2">
      <c r="A90" s="1"/>
      <c r="B90" s="1"/>
      <c r="C90" s="11"/>
      <c r="D90" s="1"/>
      <c r="E90" s="1"/>
      <c r="F90" s="12"/>
      <c r="G90" s="12"/>
      <c r="H90" s="106"/>
    </row>
    <row r="91" spans="1:8" ht="14.1" customHeight="1" x14ac:dyDescent="0.2">
      <c r="A91" s="1"/>
      <c r="B91" s="1"/>
      <c r="C91" s="2" t="s">
        <v>141</v>
      </c>
      <c r="D91" s="1"/>
      <c r="E91" s="1"/>
      <c r="F91" s="12"/>
      <c r="G91" s="12"/>
      <c r="H91" s="106"/>
    </row>
    <row r="92" spans="1:8" ht="14.1" customHeight="1" x14ac:dyDescent="0.2">
      <c r="A92" s="1"/>
      <c r="B92" s="1"/>
      <c r="C92" s="2" t="s">
        <v>130</v>
      </c>
      <c r="D92" s="1"/>
      <c r="E92" s="1" t="s">
        <v>131</v>
      </c>
      <c r="F92" s="13">
        <v>0</v>
      </c>
      <c r="G92" s="14">
        <v>0</v>
      </c>
      <c r="H92" s="106"/>
    </row>
    <row r="93" spans="1:8" ht="14.1" customHeight="1" x14ac:dyDescent="0.2">
      <c r="A93" s="1"/>
      <c r="B93" s="1"/>
      <c r="C93" s="11"/>
      <c r="D93" s="1"/>
      <c r="E93" s="1"/>
      <c r="F93" s="12"/>
      <c r="G93" s="12"/>
      <c r="H93" s="106"/>
    </row>
    <row r="94" spans="1:8" ht="14.1" customHeight="1" x14ac:dyDescent="0.2">
      <c r="A94" s="1"/>
      <c r="B94" s="1"/>
      <c r="C94" s="2" t="s">
        <v>142</v>
      </c>
      <c r="D94" s="1"/>
      <c r="E94" s="1"/>
      <c r="F94" s="9">
        <v>0</v>
      </c>
      <c r="G94" s="10">
        <v>0</v>
      </c>
      <c r="H94" s="106"/>
    </row>
    <row r="95" spans="1:8" ht="14.1" customHeight="1" x14ac:dyDescent="0.2">
      <c r="A95" s="1"/>
      <c r="B95" s="1"/>
      <c r="C95" s="11"/>
      <c r="D95" s="1"/>
      <c r="E95" s="1"/>
      <c r="F95" s="12"/>
      <c r="G95" s="12"/>
      <c r="H95" s="106"/>
    </row>
    <row r="96" spans="1:8" ht="14.1" customHeight="1" x14ac:dyDescent="0.2">
      <c r="A96" s="1"/>
      <c r="B96" s="1"/>
      <c r="C96" s="2" t="s">
        <v>143</v>
      </c>
      <c r="D96" s="1"/>
      <c r="E96" s="1"/>
      <c r="F96" s="12"/>
      <c r="G96" s="12"/>
      <c r="H96" s="106"/>
    </row>
    <row r="97" spans="1:8" ht="14.1" customHeight="1" x14ac:dyDescent="0.2">
      <c r="A97" s="1"/>
      <c r="B97" s="1"/>
      <c r="C97" s="2" t="s">
        <v>144</v>
      </c>
      <c r="D97" s="1"/>
      <c r="E97" s="1"/>
      <c r="F97" s="12"/>
      <c r="G97" s="12"/>
      <c r="H97" s="106"/>
    </row>
    <row r="98" spans="1:8" ht="14.1" customHeight="1" x14ac:dyDescent="0.2">
      <c r="A98" s="1"/>
      <c r="B98" s="1"/>
      <c r="C98" s="2" t="s">
        <v>130</v>
      </c>
      <c r="D98" s="1"/>
      <c r="E98" s="1" t="s">
        <v>131</v>
      </c>
      <c r="F98" s="13">
        <v>0</v>
      </c>
      <c r="G98" s="14">
        <v>0</v>
      </c>
      <c r="H98" s="106"/>
    </row>
    <row r="99" spans="1:8" ht="14.1" customHeight="1" x14ac:dyDescent="0.2">
      <c r="A99" s="1"/>
      <c r="B99" s="1"/>
      <c r="C99" s="11"/>
      <c r="D99" s="1"/>
      <c r="E99" s="1"/>
      <c r="F99" s="12"/>
      <c r="G99" s="12"/>
      <c r="H99" s="106"/>
    </row>
    <row r="100" spans="1:8" ht="14.1" customHeight="1" x14ac:dyDescent="0.2">
      <c r="A100" s="1"/>
      <c r="B100" s="1"/>
      <c r="C100" s="2" t="s">
        <v>145</v>
      </c>
      <c r="D100" s="1"/>
      <c r="E100" s="1"/>
      <c r="F100" s="12"/>
      <c r="G100" s="12"/>
      <c r="H100" s="106"/>
    </row>
    <row r="101" spans="1:8" ht="14.1" customHeight="1" x14ac:dyDescent="0.2">
      <c r="A101" s="1"/>
      <c r="B101" s="1"/>
      <c r="C101" s="2" t="s">
        <v>130</v>
      </c>
      <c r="D101" s="1"/>
      <c r="E101" s="1" t="s">
        <v>131</v>
      </c>
      <c r="F101" s="13">
        <v>0</v>
      </c>
      <c r="G101" s="14">
        <v>0</v>
      </c>
      <c r="H101" s="106"/>
    </row>
    <row r="102" spans="1:8" ht="14.1" customHeight="1" x14ac:dyDescent="0.2">
      <c r="A102" s="1"/>
      <c r="B102" s="1"/>
      <c r="C102" s="11"/>
      <c r="D102" s="1"/>
      <c r="E102" s="1"/>
      <c r="F102" s="12"/>
      <c r="G102" s="12"/>
      <c r="H102" s="106"/>
    </row>
    <row r="103" spans="1:8" ht="14.1" customHeight="1" x14ac:dyDescent="0.2">
      <c r="A103" s="1"/>
      <c r="B103" s="1"/>
      <c r="C103" s="2" t="s">
        <v>146</v>
      </c>
      <c r="D103" s="1"/>
      <c r="E103" s="1"/>
      <c r="F103" s="12"/>
      <c r="G103" s="12"/>
      <c r="H103" s="106"/>
    </row>
    <row r="104" spans="1:8" ht="14.1" customHeight="1" x14ac:dyDescent="0.2">
      <c r="A104" s="1"/>
      <c r="B104" s="1"/>
      <c r="C104" s="2" t="s">
        <v>130</v>
      </c>
      <c r="D104" s="1"/>
      <c r="E104" s="1" t="s">
        <v>131</v>
      </c>
      <c r="F104" s="13">
        <v>0</v>
      </c>
      <c r="G104" s="14">
        <v>0</v>
      </c>
      <c r="H104" s="106"/>
    </row>
    <row r="105" spans="1:8" ht="14.1" customHeight="1" x14ac:dyDescent="0.2">
      <c r="A105" s="1"/>
      <c r="B105" s="1"/>
      <c r="C105" s="11"/>
      <c r="D105" s="1"/>
      <c r="E105" s="1"/>
      <c r="F105" s="12"/>
      <c r="G105" s="12"/>
      <c r="H105" s="106"/>
    </row>
    <row r="106" spans="1:8" ht="14.1" customHeight="1" x14ac:dyDescent="0.2">
      <c r="A106" s="1"/>
      <c r="B106" s="1"/>
      <c r="C106" s="2" t="s">
        <v>147</v>
      </c>
      <c r="D106" s="1"/>
      <c r="E106" s="1"/>
      <c r="F106" s="12"/>
      <c r="G106" s="12"/>
      <c r="H106" s="106"/>
    </row>
    <row r="107" spans="1:8" ht="17.100000000000001" customHeight="1" x14ac:dyDescent="0.2">
      <c r="A107" s="3">
        <v>1</v>
      </c>
      <c r="B107" s="4"/>
      <c r="C107" s="4" t="s">
        <v>148</v>
      </c>
      <c r="D107" s="4"/>
      <c r="E107" s="8"/>
      <c r="F107" s="6">
        <v>4171.5029842000004</v>
      </c>
      <c r="G107" s="7">
        <v>2.2985121000000001E-2</v>
      </c>
      <c r="H107" s="106">
        <v>6.1171451766917002</v>
      </c>
    </row>
    <row r="108" spans="1:8" ht="14.1" customHeight="1" x14ac:dyDescent="0.2">
      <c r="A108" s="1"/>
      <c r="B108" s="1"/>
      <c r="C108" s="2" t="s">
        <v>130</v>
      </c>
      <c r="D108" s="1"/>
      <c r="E108" s="1" t="s">
        <v>131</v>
      </c>
      <c r="F108" s="9">
        <v>4171.5029842000004</v>
      </c>
      <c r="G108" s="10">
        <v>2.2985121000000001E-2</v>
      </c>
      <c r="H108" s="106"/>
    </row>
    <row r="109" spans="1:8" ht="14.1" customHeight="1" x14ac:dyDescent="0.2">
      <c r="A109" s="1"/>
      <c r="B109" s="1"/>
      <c r="C109" s="11"/>
      <c r="D109" s="1"/>
      <c r="E109" s="1"/>
      <c r="F109" s="12"/>
      <c r="G109" s="12"/>
      <c r="H109" s="106"/>
    </row>
    <row r="110" spans="1:8" ht="14.1" customHeight="1" x14ac:dyDescent="0.2">
      <c r="A110" s="1"/>
      <c r="B110" s="1"/>
      <c r="C110" s="2" t="s">
        <v>149</v>
      </c>
      <c r="D110" s="1"/>
      <c r="E110" s="1"/>
      <c r="F110" s="9">
        <v>4171.5029842000004</v>
      </c>
      <c r="G110" s="10">
        <v>2.2985121000000001E-2</v>
      </c>
      <c r="H110" s="106"/>
    </row>
    <row r="111" spans="1:8" ht="14.1" customHeight="1" x14ac:dyDescent="0.2">
      <c r="A111" s="1"/>
      <c r="B111" s="1"/>
      <c r="C111" s="12"/>
      <c r="D111" s="1"/>
      <c r="E111" s="1"/>
      <c r="F111" s="1"/>
      <c r="G111" s="1"/>
      <c r="H111" s="106"/>
    </row>
    <row r="112" spans="1:8" ht="14.1" customHeight="1" x14ac:dyDescent="0.2">
      <c r="A112" s="1"/>
      <c r="B112" s="1"/>
      <c r="C112" s="2" t="s">
        <v>150</v>
      </c>
      <c r="D112" s="1"/>
      <c r="E112" s="1"/>
      <c r="F112" s="1"/>
      <c r="G112" s="1"/>
      <c r="H112" s="106"/>
    </row>
    <row r="113" spans="1:8" ht="14.1" customHeight="1" x14ac:dyDescent="0.2">
      <c r="A113" s="1"/>
      <c r="B113" s="1"/>
      <c r="C113" s="2" t="s">
        <v>151</v>
      </c>
      <c r="D113" s="1"/>
      <c r="E113" s="1"/>
      <c r="F113" s="1"/>
      <c r="G113" s="1"/>
      <c r="H113" s="106"/>
    </row>
    <row r="114" spans="1:8" ht="14.1" customHeight="1" x14ac:dyDescent="0.2">
      <c r="A114" s="1"/>
      <c r="B114" s="1"/>
      <c r="C114" s="2" t="s">
        <v>130</v>
      </c>
      <c r="D114" s="1"/>
      <c r="E114" s="1" t="s">
        <v>131</v>
      </c>
      <c r="F114" s="13">
        <v>0</v>
      </c>
      <c r="G114" s="14">
        <v>0</v>
      </c>
      <c r="H114" s="106"/>
    </row>
    <row r="115" spans="1:8" ht="14.1" customHeight="1" x14ac:dyDescent="0.2">
      <c r="A115" s="1"/>
      <c r="B115" s="1"/>
      <c r="C115" s="11"/>
      <c r="D115" s="1"/>
      <c r="E115" s="1"/>
      <c r="F115" s="12"/>
      <c r="G115" s="12"/>
      <c r="H115" s="106"/>
    </row>
    <row r="116" spans="1:8" ht="14.1" customHeight="1" x14ac:dyDescent="0.2">
      <c r="A116" s="1"/>
      <c r="B116" s="1"/>
      <c r="C116" s="2" t="s">
        <v>152</v>
      </c>
      <c r="D116" s="1"/>
      <c r="E116" s="1"/>
      <c r="F116" s="1"/>
      <c r="G116" s="1"/>
      <c r="H116" s="106"/>
    </row>
    <row r="117" spans="1:8" ht="14.1" customHeight="1" x14ac:dyDescent="0.2">
      <c r="A117" s="1"/>
      <c r="B117" s="1"/>
      <c r="C117" s="2" t="s">
        <v>153</v>
      </c>
      <c r="D117" s="1"/>
      <c r="E117" s="1"/>
      <c r="F117" s="1"/>
      <c r="G117" s="1"/>
      <c r="H117" s="106"/>
    </row>
    <row r="118" spans="1:8" ht="14.1" customHeight="1" x14ac:dyDescent="0.2">
      <c r="A118" s="1"/>
      <c r="B118" s="1"/>
      <c r="C118" s="2" t="s">
        <v>130</v>
      </c>
      <c r="D118" s="1"/>
      <c r="E118" s="1" t="s">
        <v>131</v>
      </c>
      <c r="F118" s="13">
        <v>0</v>
      </c>
      <c r="G118" s="14">
        <v>0</v>
      </c>
      <c r="H118" s="106"/>
    </row>
    <row r="119" spans="1:8" ht="14.1" customHeight="1" x14ac:dyDescent="0.2">
      <c r="A119" s="1"/>
      <c r="B119" s="1"/>
      <c r="C119" s="11"/>
      <c r="D119" s="1"/>
      <c r="E119" s="1"/>
      <c r="F119" s="12"/>
      <c r="G119" s="12"/>
      <c r="H119" s="106"/>
    </row>
    <row r="120" spans="1:8" ht="14.1" customHeight="1" x14ac:dyDescent="0.2">
      <c r="A120" s="1"/>
      <c r="B120" s="1"/>
      <c r="C120" s="11"/>
      <c r="D120" s="1"/>
      <c r="E120" s="1"/>
      <c r="F120" s="12"/>
      <c r="G120" s="12"/>
      <c r="H120" s="106"/>
    </row>
    <row r="121" spans="1:8" ht="24" customHeight="1" x14ac:dyDescent="0.2">
      <c r="A121" s="1"/>
      <c r="B121" s="1"/>
      <c r="C121" s="2" t="s">
        <v>154</v>
      </c>
      <c r="D121" s="1"/>
      <c r="E121" s="1"/>
      <c r="F121" s="12"/>
      <c r="G121" s="12"/>
      <c r="H121" s="106"/>
    </row>
    <row r="122" spans="1:8" ht="14.1" customHeight="1" x14ac:dyDescent="0.2">
      <c r="A122" s="1"/>
      <c r="B122" s="1"/>
      <c r="C122" s="2" t="s">
        <v>130</v>
      </c>
      <c r="D122" s="1"/>
      <c r="E122" s="1" t="s">
        <v>131</v>
      </c>
      <c r="F122" s="13">
        <v>0</v>
      </c>
      <c r="G122" s="14">
        <v>0</v>
      </c>
      <c r="H122" s="106"/>
    </row>
    <row r="123" spans="1:8" ht="14.1" customHeight="1" x14ac:dyDescent="0.2">
      <c r="A123" s="1"/>
      <c r="B123" s="1"/>
      <c r="C123" s="11"/>
      <c r="D123" s="1"/>
      <c r="E123" s="1"/>
      <c r="F123" s="12"/>
      <c r="G123" s="12"/>
      <c r="H123" s="106"/>
    </row>
    <row r="124" spans="1:8" ht="14.1" customHeight="1" x14ac:dyDescent="0.2">
      <c r="A124" s="1"/>
      <c r="B124" s="4"/>
      <c r="C124" s="4"/>
      <c r="D124" s="2"/>
      <c r="E124" s="1"/>
      <c r="F124" s="4"/>
      <c r="G124" s="8"/>
      <c r="H124" s="106"/>
    </row>
    <row r="125" spans="1:8" ht="18" customHeight="1" x14ac:dyDescent="0.2">
      <c r="A125" s="8"/>
      <c r="B125" s="4"/>
      <c r="C125" s="4" t="s">
        <v>155</v>
      </c>
      <c r="D125" s="4"/>
      <c r="E125" s="8"/>
      <c r="F125" s="6">
        <v>-1682.80368017</v>
      </c>
      <c r="G125" s="7">
        <v>-9.2723040000000003E-3</v>
      </c>
      <c r="H125" s="106"/>
    </row>
    <row r="126" spans="1:8" ht="14.1" customHeight="1" x14ac:dyDescent="0.2">
      <c r="A126" s="11"/>
      <c r="B126" s="11"/>
      <c r="C126" s="2" t="s">
        <v>156</v>
      </c>
      <c r="D126" s="15"/>
      <c r="E126" s="15"/>
      <c r="F126" s="9">
        <v>181487.10379202999</v>
      </c>
      <c r="G126" s="10">
        <v>0.99999999799999995</v>
      </c>
      <c r="H126" s="106"/>
    </row>
    <row r="127" spans="1:8" ht="14.1" customHeight="1" x14ac:dyDescent="0.2">
      <c r="A127" s="16"/>
      <c r="B127" s="16"/>
      <c r="C127" s="16"/>
      <c r="D127" s="17"/>
      <c r="E127" s="17"/>
      <c r="F127" s="17"/>
      <c r="G127" s="17"/>
    </row>
    <row r="128" spans="1:8" ht="14.1" customHeight="1" x14ac:dyDescent="0.2">
      <c r="A128" s="18"/>
      <c r="B128" s="18"/>
      <c r="C128" s="18"/>
      <c r="D128" s="20"/>
      <c r="E128" s="20"/>
      <c r="F128" s="20"/>
      <c r="G128" s="20"/>
    </row>
    <row r="129" spans="1:7" ht="14.1" customHeight="1" x14ac:dyDescent="0.2">
      <c r="A129" s="18"/>
      <c r="B129" s="279" t="s">
        <v>158</v>
      </c>
      <c r="C129" s="280"/>
      <c r="D129" s="12" t="s">
        <v>131</v>
      </c>
      <c r="E129" s="21"/>
      <c r="F129" s="20"/>
      <c r="G129" s="20"/>
    </row>
    <row r="130" spans="1:7" ht="29.1" customHeight="1" x14ac:dyDescent="0.2">
      <c r="A130" s="18"/>
      <c r="B130" s="274" t="s">
        <v>159</v>
      </c>
      <c r="C130" s="275"/>
      <c r="D130" s="2" t="s">
        <v>160</v>
      </c>
      <c r="E130" s="21"/>
      <c r="F130" s="20"/>
      <c r="G130" s="20"/>
    </row>
    <row r="131" spans="1:7" ht="17.100000000000001" customHeight="1" x14ac:dyDescent="0.2">
      <c r="A131" s="18"/>
      <c r="B131" s="274" t="s">
        <v>161</v>
      </c>
      <c r="C131" s="275"/>
      <c r="D131" s="2" t="s">
        <v>160</v>
      </c>
      <c r="E131" s="21"/>
      <c r="F131" s="20"/>
      <c r="G131" s="20"/>
    </row>
    <row r="132" spans="1:7" ht="17.100000000000001" customHeight="1" x14ac:dyDescent="0.2">
      <c r="A132" s="18"/>
      <c r="B132" s="274" t="s">
        <v>162</v>
      </c>
      <c r="C132" s="275"/>
      <c r="D132" s="12" t="s">
        <v>131</v>
      </c>
      <c r="E132" s="21"/>
      <c r="F132" s="20"/>
      <c r="G132" s="20"/>
    </row>
    <row r="133" spans="1:7" ht="24" customHeight="1" x14ac:dyDescent="0.2">
      <c r="A133" s="22"/>
      <c r="B133" s="23" t="s">
        <v>131</v>
      </c>
      <c r="C133" s="23" t="s">
        <v>163</v>
      </c>
      <c r="D133" s="23" t="s">
        <v>164</v>
      </c>
      <c r="E133" s="22"/>
      <c r="F133" s="22"/>
      <c r="G133" s="22"/>
    </row>
    <row r="134" spans="1:7" ht="18" customHeight="1" x14ac:dyDescent="0.2">
      <c r="A134" s="22"/>
      <c r="B134" s="23" t="s">
        <v>165</v>
      </c>
      <c r="C134" s="23" t="s">
        <v>166</v>
      </c>
      <c r="D134" s="23" t="s">
        <v>167</v>
      </c>
      <c r="E134" s="22"/>
      <c r="F134" s="22"/>
      <c r="G134" s="22"/>
    </row>
    <row r="135" spans="1:7" ht="17.100000000000001" customHeight="1" x14ac:dyDescent="0.2">
      <c r="A135" s="22"/>
      <c r="B135" s="4" t="s">
        <v>168</v>
      </c>
      <c r="C135" s="24">
        <v>156.5119</v>
      </c>
      <c r="D135" s="24">
        <v>163.31739999999999</v>
      </c>
      <c r="E135" s="22"/>
      <c r="F135" s="19"/>
      <c r="G135" s="25"/>
    </row>
    <row r="136" spans="1:7" ht="17.100000000000001" customHeight="1" x14ac:dyDescent="0.2">
      <c r="A136" s="22"/>
      <c r="B136" s="4" t="s">
        <v>1048</v>
      </c>
      <c r="C136" s="24">
        <v>15.5335</v>
      </c>
      <c r="D136" s="24">
        <v>16.2089</v>
      </c>
      <c r="E136" s="22"/>
      <c r="F136" s="19"/>
      <c r="G136" s="25"/>
    </row>
    <row r="137" spans="1:7" ht="17.100000000000001" customHeight="1" x14ac:dyDescent="0.2">
      <c r="A137" s="22"/>
      <c r="B137" s="4" t="s">
        <v>169</v>
      </c>
      <c r="C137" s="24">
        <v>150.0506</v>
      </c>
      <c r="D137" s="24">
        <v>156.48750000000001</v>
      </c>
      <c r="E137" s="22"/>
      <c r="F137" s="19"/>
      <c r="G137" s="25"/>
    </row>
    <row r="138" spans="1:7" ht="17.100000000000001" customHeight="1" x14ac:dyDescent="0.2">
      <c r="A138" s="22"/>
      <c r="B138" s="4" t="s">
        <v>1049</v>
      </c>
      <c r="C138" s="24">
        <v>12.984299999999999</v>
      </c>
      <c r="D138" s="24">
        <v>13.5413</v>
      </c>
      <c r="E138" s="22"/>
      <c r="F138" s="19"/>
      <c r="G138" s="25"/>
    </row>
    <row r="139" spans="1:7" ht="14.1" customHeight="1" x14ac:dyDescent="0.2">
      <c r="A139" s="22"/>
      <c r="B139" s="22"/>
      <c r="C139" s="22"/>
      <c r="D139" s="22"/>
      <c r="E139" s="22"/>
      <c r="F139" s="22"/>
      <c r="G139" s="22"/>
    </row>
    <row r="140" spans="1:7" ht="17.100000000000001" customHeight="1" x14ac:dyDescent="0.2">
      <c r="A140" s="22"/>
      <c r="B140" s="274" t="s">
        <v>1060</v>
      </c>
      <c r="C140" s="275"/>
      <c r="D140" s="2" t="s">
        <v>160</v>
      </c>
      <c r="E140" s="22"/>
      <c r="F140" s="22"/>
      <c r="G140" s="22"/>
    </row>
    <row r="141" spans="1:7" ht="18" customHeight="1" x14ac:dyDescent="0.2">
      <c r="A141" s="22"/>
      <c r="B141" s="26" t="s">
        <v>170</v>
      </c>
      <c r="C141" s="26" t="s">
        <v>170</v>
      </c>
      <c r="D141" s="26"/>
      <c r="E141" s="22"/>
      <c r="F141" s="22"/>
      <c r="G141" s="22"/>
    </row>
    <row r="142" spans="1:7" ht="29.1" customHeight="1" x14ac:dyDescent="0.2">
      <c r="A142" s="22"/>
      <c r="B142" s="274" t="s">
        <v>171</v>
      </c>
      <c r="C142" s="275"/>
      <c r="D142" s="2" t="s">
        <v>160</v>
      </c>
      <c r="E142" s="22"/>
      <c r="F142" s="22"/>
      <c r="G142" s="22"/>
    </row>
    <row r="143" spans="1:7" ht="29.1" customHeight="1" x14ac:dyDescent="0.2">
      <c r="A143" s="22"/>
      <c r="B143" s="274" t="s">
        <v>172</v>
      </c>
      <c r="C143" s="275"/>
      <c r="D143" s="2" t="s">
        <v>160</v>
      </c>
      <c r="E143" s="22"/>
      <c r="F143" s="22"/>
      <c r="G143" s="22"/>
    </row>
    <row r="144" spans="1:7" ht="17.100000000000001" customHeight="1" x14ac:dyDescent="0.2">
      <c r="A144" s="22"/>
      <c r="B144" s="274" t="s">
        <v>173</v>
      </c>
      <c r="C144" s="275"/>
      <c r="D144" s="27">
        <v>0.33044180903792408</v>
      </c>
      <c r="E144" s="22"/>
      <c r="F144" s="19"/>
      <c r="G144" s="25"/>
    </row>
    <row r="145" spans="1:7" ht="17.100000000000001" customHeight="1" x14ac:dyDescent="0.2">
      <c r="A145" s="22"/>
      <c r="B145" s="274" t="s">
        <v>174</v>
      </c>
      <c r="C145" s="275"/>
      <c r="D145" s="2" t="s">
        <v>160</v>
      </c>
      <c r="E145" s="22"/>
      <c r="F145" s="22"/>
      <c r="G145" s="22"/>
    </row>
  </sheetData>
  <mergeCells count="13">
    <mergeCell ref="J2:N2"/>
    <mergeCell ref="B129:C129"/>
    <mergeCell ref="B144:C144"/>
    <mergeCell ref="A1:H1"/>
    <mergeCell ref="A2:H2"/>
    <mergeCell ref="A3:H3"/>
    <mergeCell ref="B145:C145"/>
    <mergeCell ref="B130:C130"/>
    <mergeCell ref="B131:C131"/>
    <mergeCell ref="B132:C132"/>
    <mergeCell ref="B140:C140"/>
    <mergeCell ref="B142:C142"/>
    <mergeCell ref="B143:C143"/>
  </mergeCells>
  <hyperlinks>
    <hyperlink ref="I1" location="Index!B34" display="Index" xr:uid="{A0C7336A-867A-4847-B52D-4133E0BB543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O14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1079</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3039000</v>
      </c>
      <c r="F7" s="6">
        <v>27615.393</v>
      </c>
      <c r="G7" s="7">
        <v>8.8834427999999993E-2</v>
      </c>
      <c r="H7" s="106"/>
    </row>
    <row r="8" spans="1:14" ht="17.100000000000001" customHeight="1" x14ac:dyDescent="0.2">
      <c r="A8" s="3">
        <v>2</v>
      </c>
      <c r="B8" s="4" t="s">
        <v>264</v>
      </c>
      <c r="C8" s="4" t="s">
        <v>265</v>
      </c>
      <c r="D8" s="4" t="s">
        <v>16</v>
      </c>
      <c r="E8" s="5">
        <v>1626000</v>
      </c>
      <c r="F8" s="6">
        <v>24336.342000000001</v>
      </c>
      <c r="G8" s="7">
        <v>7.8286230999999998E-2</v>
      </c>
      <c r="H8" s="106"/>
    </row>
    <row r="9" spans="1:14" ht="17.100000000000001" customHeight="1" x14ac:dyDescent="0.2">
      <c r="A9" s="3">
        <v>3</v>
      </c>
      <c r="B9" s="4" t="s">
        <v>20</v>
      </c>
      <c r="C9" s="4" t="s">
        <v>21</v>
      </c>
      <c r="D9" s="4" t="s">
        <v>22</v>
      </c>
      <c r="E9" s="5">
        <v>908000</v>
      </c>
      <c r="F9" s="6">
        <v>23150.367999999999</v>
      </c>
      <c r="G9" s="7">
        <v>7.4471137000000007E-2</v>
      </c>
      <c r="H9" s="106"/>
    </row>
    <row r="10" spans="1:14" ht="17.100000000000001" customHeight="1" x14ac:dyDescent="0.2">
      <c r="A10" s="3">
        <v>4</v>
      </c>
      <c r="B10" s="4" t="s">
        <v>296</v>
      </c>
      <c r="C10" s="4" t="s">
        <v>297</v>
      </c>
      <c r="D10" s="4" t="s">
        <v>1114</v>
      </c>
      <c r="E10" s="5">
        <v>1266000</v>
      </c>
      <c r="F10" s="6">
        <v>19466.649000000001</v>
      </c>
      <c r="G10" s="7">
        <v>6.2621184999999996E-2</v>
      </c>
      <c r="H10" s="106"/>
    </row>
    <row r="11" spans="1:14" ht="29.1" customHeight="1" x14ac:dyDescent="0.2">
      <c r="A11" s="3">
        <v>5</v>
      </c>
      <c r="B11" s="4" t="s">
        <v>298</v>
      </c>
      <c r="C11" s="4" t="s">
        <v>299</v>
      </c>
      <c r="D11" s="4" t="s">
        <v>99</v>
      </c>
      <c r="E11" s="5">
        <v>778000</v>
      </c>
      <c r="F11" s="6">
        <v>19215.044000000002</v>
      </c>
      <c r="G11" s="7">
        <v>6.1811811000000001E-2</v>
      </c>
      <c r="H11" s="106"/>
    </row>
    <row r="12" spans="1:14" ht="17.100000000000001" customHeight="1" x14ac:dyDescent="0.2">
      <c r="A12" s="3">
        <v>6</v>
      </c>
      <c r="B12" s="4" t="s">
        <v>11</v>
      </c>
      <c r="C12" s="4" t="s">
        <v>12</v>
      </c>
      <c r="D12" s="4" t="s">
        <v>13</v>
      </c>
      <c r="E12" s="5">
        <v>722000</v>
      </c>
      <c r="F12" s="6">
        <v>14606.781999999999</v>
      </c>
      <c r="G12" s="7">
        <v>4.6987748000000003E-2</v>
      </c>
      <c r="H12" s="106"/>
    </row>
    <row r="13" spans="1:14" ht="29.1" customHeight="1" x14ac:dyDescent="0.2">
      <c r="A13" s="3">
        <v>7</v>
      </c>
      <c r="B13" s="4" t="s">
        <v>302</v>
      </c>
      <c r="C13" s="4" t="s">
        <v>303</v>
      </c>
      <c r="D13" s="4" t="s">
        <v>204</v>
      </c>
      <c r="E13" s="5">
        <v>1328000</v>
      </c>
      <c r="F13" s="6">
        <v>13504.432000000001</v>
      </c>
      <c r="G13" s="7">
        <v>4.3441659000000001E-2</v>
      </c>
      <c r="H13" s="106"/>
    </row>
    <row r="14" spans="1:14" ht="17.100000000000001" customHeight="1" x14ac:dyDescent="0.2">
      <c r="A14" s="3">
        <v>8</v>
      </c>
      <c r="B14" s="4" t="s">
        <v>42</v>
      </c>
      <c r="C14" s="4" t="s">
        <v>43</v>
      </c>
      <c r="D14" s="4" t="s">
        <v>16</v>
      </c>
      <c r="E14" s="5">
        <v>2279000</v>
      </c>
      <c r="F14" s="6">
        <v>13076.902</v>
      </c>
      <c r="G14" s="7">
        <v>4.2066362000000003E-2</v>
      </c>
      <c r="H14" s="106"/>
    </row>
    <row r="15" spans="1:14" ht="17.100000000000001" customHeight="1" x14ac:dyDescent="0.2">
      <c r="A15" s="3">
        <v>9</v>
      </c>
      <c r="B15" s="4" t="s">
        <v>178</v>
      </c>
      <c r="C15" s="4" t="s">
        <v>179</v>
      </c>
      <c r="D15" s="4" t="s">
        <v>16</v>
      </c>
      <c r="E15" s="5">
        <v>1424828</v>
      </c>
      <c r="F15" s="6">
        <v>12908.94168</v>
      </c>
      <c r="G15" s="7">
        <v>4.1526059999999997E-2</v>
      </c>
      <c r="H15" s="106"/>
      <c r="J15" s="161" t="s">
        <v>1109</v>
      </c>
    </row>
    <row r="16" spans="1:14" ht="17.100000000000001" customHeight="1" x14ac:dyDescent="0.2">
      <c r="A16" s="3">
        <v>10</v>
      </c>
      <c r="B16" s="4" t="s">
        <v>17</v>
      </c>
      <c r="C16" s="4" t="s">
        <v>18</v>
      </c>
      <c r="D16" s="4" t="s">
        <v>19</v>
      </c>
      <c r="E16" s="5">
        <v>1316000</v>
      </c>
      <c r="F16" s="6">
        <v>10949.12</v>
      </c>
      <c r="G16" s="7">
        <v>3.5221618000000003E-2</v>
      </c>
      <c r="H16" s="106"/>
    </row>
    <row r="17" spans="1:10" ht="17.100000000000001" customHeight="1" x14ac:dyDescent="0.2">
      <c r="A17" s="3">
        <v>11</v>
      </c>
      <c r="B17" s="4" t="s">
        <v>68</v>
      </c>
      <c r="C17" s="4" t="s">
        <v>69</v>
      </c>
      <c r="D17" s="4" t="s">
        <v>70</v>
      </c>
      <c r="E17" s="5">
        <v>95000</v>
      </c>
      <c r="F17" s="6">
        <v>9051.2199999999993</v>
      </c>
      <c r="G17" s="7">
        <v>2.9116368E-2</v>
      </c>
      <c r="H17" s="106"/>
    </row>
    <row r="18" spans="1:10" ht="17.100000000000001" customHeight="1" x14ac:dyDescent="0.2">
      <c r="A18" s="3">
        <v>12</v>
      </c>
      <c r="B18" s="4" t="s">
        <v>306</v>
      </c>
      <c r="C18" s="4" t="s">
        <v>307</v>
      </c>
      <c r="D18" s="4" t="s">
        <v>1114</v>
      </c>
      <c r="E18" s="5">
        <v>252000</v>
      </c>
      <c r="F18" s="6">
        <v>8046.7380000000003</v>
      </c>
      <c r="G18" s="7">
        <v>2.5885106000000001E-2</v>
      </c>
      <c r="H18" s="106"/>
    </row>
    <row r="19" spans="1:10" ht="53.1" customHeight="1" x14ac:dyDescent="0.2">
      <c r="A19" s="3">
        <v>13</v>
      </c>
      <c r="B19" s="4" t="s">
        <v>46</v>
      </c>
      <c r="C19" s="4" t="s">
        <v>47</v>
      </c>
      <c r="D19" s="4" t="s">
        <v>48</v>
      </c>
      <c r="E19" s="5">
        <v>5051000</v>
      </c>
      <c r="F19" s="6">
        <v>7743.183</v>
      </c>
      <c r="G19" s="7">
        <v>2.4908617000000001E-2</v>
      </c>
      <c r="H19" s="106"/>
    </row>
    <row r="20" spans="1:10" ht="17.100000000000001" customHeight="1" x14ac:dyDescent="0.2">
      <c r="A20" s="3">
        <v>14</v>
      </c>
      <c r="B20" s="4" t="s">
        <v>258</v>
      </c>
      <c r="C20" s="4" t="s">
        <v>259</v>
      </c>
      <c r="D20" s="4" t="s">
        <v>99</v>
      </c>
      <c r="E20" s="5">
        <v>381000</v>
      </c>
      <c r="F20" s="6">
        <v>6429.375</v>
      </c>
      <c r="G20" s="7">
        <v>2.0682300000000001E-2</v>
      </c>
      <c r="H20" s="106"/>
    </row>
    <row r="21" spans="1:10" ht="29.1" customHeight="1" x14ac:dyDescent="0.2">
      <c r="A21" s="3">
        <v>15</v>
      </c>
      <c r="B21" s="4" t="s">
        <v>491</v>
      </c>
      <c r="C21" s="4" t="s">
        <v>492</v>
      </c>
      <c r="D21" s="4" t="s">
        <v>204</v>
      </c>
      <c r="E21" s="5">
        <v>506000</v>
      </c>
      <c r="F21" s="6">
        <v>5907.0439999999999</v>
      </c>
      <c r="G21" s="7">
        <v>1.9002043E-2</v>
      </c>
      <c r="H21" s="106"/>
    </row>
    <row r="22" spans="1:10" ht="17.100000000000001" customHeight="1" x14ac:dyDescent="0.2">
      <c r="A22" s="3">
        <v>16</v>
      </c>
      <c r="B22" s="4" t="s">
        <v>605</v>
      </c>
      <c r="C22" s="4" t="s">
        <v>606</v>
      </c>
      <c r="D22" s="4" t="s">
        <v>185</v>
      </c>
      <c r="E22" s="5">
        <v>649734</v>
      </c>
      <c r="F22" s="6">
        <v>5823.8907090000002</v>
      </c>
      <c r="G22" s="7">
        <v>1.8734550999999999E-2</v>
      </c>
      <c r="H22" s="106"/>
    </row>
    <row r="23" spans="1:10" ht="17.100000000000001" customHeight="1" x14ac:dyDescent="0.2">
      <c r="A23" s="3">
        <v>17</v>
      </c>
      <c r="B23" s="4" t="s">
        <v>339</v>
      </c>
      <c r="C23" s="4" t="s">
        <v>340</v>
      </c>
      <c r="D23" s="4" t="s">
        <v>16</v>
      </c>
      <c r="E23" s="5">
        <v>442000</v>
      </c>
      <c r="F23" s="6">
        <v>5050.5129999999999</v>
      </c>
      <c r="G23" s="7">
        <v>1.6246716000000001E-2</v>
      </c>
      <c r="H23" s="106"/>
    </row>
    <row r="24" spans="1:10" ht="29.1" customHeight="1" x14ac:dyDescent="0.2">
      <c r="A24" s="3">
        <v>18</v>
      </c>
      <c r="B24" s="4" t="s">
        <v>97</v>
      </c>
      <c r="C24" s="4" t="s">
        <v>98</v>
      </c>
      <c r="D24" s="4" t="s">
        <v>99</v>
      </c>
      <c r="E24" s="5">
        <v>639055</v>
      </c>
      <c r="F24" s="6">
        <v>4533.1366424999997</v>
      </c>
      <c r="G24" s="7">
        <v>1.4582395999999999E-2</v>
      </c>
      <c r="H24" s="106"/>
    </row>
    <row r="25" spans="1:10" ht="17.100000000000001" customHeight="1" x14ac:dyDescent="0.2">
      <c r="A25" s="3">
        <v>19</v>
      </c>
      <c r="B25" s="4" t="s">
        <v>335</v>
      </c>
      <c r="C25" s="4" t="s">
        <v>336</v>
      </c>
      <c r="D25" s="4" t="s">
        <v>16</v>
      </c>
      <c r="E25" s="5">
        <v>213122</v>
      </c>
      <c r="F25" s="6">
        <v>4053.4738790000001</v>
      </c>
      <c r="G25" s="7">
        <v>1.3039396E-2</v>
      </c>
      <c r="H25" s="106"/>
    </row>
    <row r="26" spans="1:10" ht="17.100000000000001" customHeight="1" x14ac:dyDescent="0.2">
      <c r="A26" s="3">
        <v>20</v>
      </c>
      <c r="B26" s="4" t="s">
        <v>521</v>
      </c>
      <c r="C26" s="102" t="s">
        <v>1050</v>
      </c>
      <c r="D26" s="4" t="s">
        <v>70</v>
      </c>
      <c r="E26" s="5">
        <v>1702000</v>
      </c>
      <c r="F26" s="6">
        <v>4003.1039999999998</v>
      </c>
      <c r="G26" s="7">
        <v>1.2877364000000001E-2</v>
      </c>
      <c r="H26" s="106"/>
      <c r="J26" s="161" t="s">
        <v>1110</v>
      </c>
    </row>
    <row r="27" spans="1:10" ht="17.100000000000001" customHeight="1" x14ac:dyDescent="0.2">
      <c r="A27" s="3">
        <v>21</v>
      </c>
      <c r="B27" s="4" t="s">
        <v>183</v>
      </c>
      <c r="C27" s="4" t="s">
        <v>184</v>
      </c>
      <c r="D27" s="4" t="s">
        <v>185</v>
      </c>
      <c r="E27" s="5">
        <v>345000</v>
      </c>
      <c r="F27" s="6">
        <v>3619.2224999999999</v>
      </c>
      <c r="G27" s="7">
        <v>1.1642476000000001E-2</v>
      </c>
      <c r="H27" s="106"/>
    </row>
    <row r="28" spans="1:10" ht="17.100000000000001" customHeight="1" x14ac:dyDescent="0.2">
      <c r="A28" s="3">
        <v>22</v>
      </c>
      <c r="B28" s="4" t="s">
        <v>26</v>
      </c>
      <c r="C28" s="4" t="s">
        <v>27</v>
      </c>
      <c r="D28" s="4" t="s">
        <v>28</v>
      </c>
      <c r="E28" s="5">
        <v>2077000</v>
      </c>
      <c r="F28" s="6">
        <v>3595.2869999999998</v>
      </c>
      <c r="G28" s="7">
        <v>1.156548E-2</v>
      </c>
      <c r="H28" s="106"/>
    </row>
    <row r="29" spans="1:10" ht="17.100000000000001" customHeight="1" x14ac:dyDescent="0.2">
      <c r="A29" s="3">
        <v>23</v>
      </c>
      <c r="B29" s="4" t="s">
        <v>300</v>
      </c>
      <c r="C29" s="4" t="s">
        <v>301</v>
      </c>
      <c r="D29" s="4" t="s">
        <v>245</v>
      </c>
      <c r="E29" s="5">
        <v>265000</v>
      </c>
      <c r="F29" s="6">
        <v>3354.7674999999999</v>
      </c>
      <c r="G29" s="7">
        <v>1.0791766E-2</v>
      </c>
      <c r="H29" s="106"/>
    </row>
    <row r="30" spans="1:10" ht="29.1" customHeight="1" x14ac:dyDescent="0.2">
      <c r="A30" s="3">
        <v>24</v>
      </c>
      <c r="B30" s="4" t="s">
        <v>23</v>
      </c>
      <c r="C30" s="4" t="s">
        <v>24</v>
      </c>
      <c r="D30" s="4" t="s">
        <v>25</v>
      </c>
      <c r="E30" s="5">
        <v>45000</v>
      </c>
      <c r="F30" s="6">
        <v>3021.7275</v>
      </c>
      <c r="G30" s="7">
        <v>9.7204279999999997E-3</v>
      </c>
      <c r="H30" s="106"/>
    </row>
    <row r="31" spans="1:10" ht="17.100000000000001" customHeight="1" x14ac:dyDescent="0.2">
      <c r="A31" s="3">
        <v>25</v>
      </c>
      <c r="B31" s="4" t="s">
        <v>313</v>
      </c>
      <c r="C31" s="4" t="s">
        <v>314</v>
      </c>
      <c r="D31" s="4" t="s">
        <v>1114</v>
      </c>
      <c r="E31" s="5">
        <v>285965</v>
      </c>
      <c r="F31" s="6">
        <v>2977.3245975</v>
      </c>
      <c r="G31" s="7">
        <v>9.5775909999999999E-3</v>
      </c>
      <c r="H31" s="106"/>
    </row>
    <row r="32" spans="1:10" ht="29.1" customHeight="1" x14ac:dyDescent="0.2">
      <c r="A32" s="3">
        <v>26</v>
      </c>
      <c r="B32" s="4" t="s">
        <v>252</v>
      </c>
      <c r="C32" s="4" t="s">
        <v>253</v>
      </c>
      <c r="D32" s="4" t="s">
        <v>204</v>
      </c>
      <c r="E32" s="5">
        <v>160000</v>
      </c>
      <c r="F32" s="6">
        <v>2854.96</v>
      </c>
      <c r="G32" s="7">
        <v>9.1839629999999998E-3</v>
      </c>
      <c r="H32" s="106"/>
    </row>
    <row r="33" spans="1:8" ht="17.100000000000001" customHeight="1" x14ac:dyDescent="0.2">
      <c r="A33" s="3">
        <v>27</v>
      </c>
      <c r="B33" s="4" t="s">
        <v>106</v>
      </c>
      <c r="C33" s="4" t="s">
        <v>107</v>
      </c>
      <c r="D33" s="4" t="s">
        <v>89</v>
      </c>
      <c r="E33" s="5">
        <v>594760</v>
      </c>
      <c r="F33" s="6">
        <v>2768.0130399999998</v>
      </c>
      <c r="G33" s="7">
        <v>8.9042679999999999E-3</v>
      </c>
      <c r="H33" s="106"/>
    </row>
    <row r="34" spans="1:8" ht="29.1" customHeight="1" x14ac:dyDescent="0.2">
      <c r="A34" s="3">
        <v>28</v>
      </c>
      <c r="B34" s="4" t="s">
        <v>83</v>
      </c>
      <c r="C34" s="4" t="s">
        <v>84</v>
      </c>
      <c r="D34" s="4" t="s">
        <v>25</v>
      </c>
      <c r="E34" s="5">
        <v>511927</v>
      </c>
      <c r="F34" s="6">
        <v>2728.3149465000001</v>
      </c>
      <c r="G34" s="7">
        <v>8.7765650000000001E-3</v>
      </c>
      <c r="H34" s="106"/>
    </row>
    <row r="35" spans="1:8" ht="29.1" customHeight="1" x14ac:dyDescent="0.2">
      <c r="A35" s="3">
        <v>29</v>
      </c>
      <c r="B35" s="4" t="s">
        <v>709</v>
      </c>
      <c r="C35" s="4" t="s">
        <v>710</v>
      </c>
      <c r="D35" s="4" t="s">
        <v>283</v>
      </c>
      <c r="E35" s="5">
        <v>16757</v>
      </c>
      <c r="F35" s="6">
        <v>2360.5418330000002</v>
      </c>
      <c r="G35" s="7">
        <v>7.5934959999999999E-3</v>
      </c>
      <c r="H35" s="106"/>
    </row>
    <row r="36" spans="1:8" ht="29.1" customHeight="1" x14ac:dyDescent="0.2">
      <c r="A36" s="3">
        <v>30</v>
      </c>
      <c r="B36" s="4" t="s">
        <v>364</v>
      </c>
      <c r="C36" s="4" t="s">
        <v>365</v>
      </c>
      <c r="D36" s="4" t="s">
        <v>366</v>
      </c>
      <c r="E36" s="5">
        <v>305000</v>
      </c>
      <c r="F36" s="6">
        <v>2348.9575</v>
      </c>
      <c r="G36" s="7">
        <v>7.5562310000000001E-3</v>
      </c>
      <c r="H36" s="106"/>
    </row>
    <row r="37" spans="1:8" ht="17.100000000000001" customHeight="1" x14ac:dyDescent="0.2">
      <c r="A37" s="3">
        <v>31</v>
      </c>
      <c r="B37" s="4" t="s">
        <v>609</v>
      </c>
      <c r="C37" s="4" t="s">
        <v>610</v>
      </c>
      <c r="D37" s="4" t="s">
        <v>41</v>
      </c>
      <c r="E37" s="5">
        <v>124908</v>
      </c>
      <c r="F37" s="6">
        <v>2225.4858359999998</v>
      </c>
      <c r="G37" s="7">
        <v>7.159042E-3</v>
      </c>
      <c r="H37" s="106"/>
    </row>
    <row r="38" spans="1:8" ht="17.100000000000001" customHeight="1" x14ac:dyDescent="0.2">
      <c r="A38" s="3">
        <v>32</v>
      </c>
      <c r="B38" s="4" t="s">
        <v>325</v>
      </c>
      <c r="C38" s="4" t="s">
        <v>326</v>
      </c>
      <c r="D38" s="4" t="s">
        <v>1114</v>
      </c>
      <c r="E38" s="5">
        <v>571413</v>
      </c>
      <c r="F38" s="6">
        <v>2208.7969515</v>
      </c>
      <c r="G38" s="7">
        <v>7.1053569999999996E-3</v>
      </c>
      <c r="H38" s="106"/>
    </row>
    <row r="39" spans="1:8" ht="17.100000000000001" customHeight="1" x14ac:dyDescent="0.2">
      <c r="A39" s="3">
        <v>33</v>
      </c>
      <c r="B39" s="4" t="s">
        <v>113</v>
      </c>
      <c r="C39" s="4" t="s">
        <v>114</v>
      </c>
      <c r="D39" s="4" t="s">
        <v>115</v>
      </c>
      <c r="E39" s="5">
        <v>518576</v>
      </c>
      <c r="F39" s="6">
        <v>2103.6035440000001</v>
      </c>
      <c r="G39" s="7">
        <v>6.7669660000000001E-3</v>
      </c>
      <c r="H39" s="106"/>
    </row>
    <row r="40" spans="1:8" ht="17.100000000000001" customHeight="1" x14ac:dyDescent="0.2">
      <c r="A40" s="3">
        <v>34</v>
      </c>
      <c r="B40" s="4" t="s">
        <v>308</v>
      </c>
      <c r="C40" s="4" t="s">
        <v>309</v>
      </c>
      <c r="D40" s="4" t="s">
        <v>310</v>
      </c>
      <c r="E40" s="5">
        <v>81167</v>
      </c>
      <c r="F40" s="6">
        <v>2070.326669</v>
      </c>
      <c r="G40" s="7">
        <v>6.6599190000000003E-3</v>
      </c>
      <c r="H40" s="106"/>
    </row>
    <row r="41" spans="1:8" ht="17.100000000000001" customHeight="1" x14ac:dyDescent="0.2">
      <c r="A41" s="3">
        <v>35</v>
      </c>
      <c r="B41" s="4" t="s">
        <v>346</v>
      </c>
      <c r="C41" s="4" t="s">
        <v>347</v>
      </c>
      <c r="D41" s="4" t="s">
        <v>16</v>
      </c>
      <c r="E41" s="5">
        <v>700000</v>
      </c>
      <c r="F41" s="6">
        <v>2032.8</v>
      </c>
      <c r="G41" s="7">
        <v>6.539202E-3</v>
      </c>
      <c r="H41" s="106"/>
    </row>
    <row r="42" spans="1:8" ht="17.100000000000001" customHeight="1" x14ac:dyDescent="0.2">
      <c r="A42" s="3">
        <v>36</v>
      </c>
      <c r="B42" s="4" t="s">
        <v>371</v>
      </c>
      <c r="C42" s="4" t="s">
        <v>372</v>
      </c>
      <c r="D42" s="4" t="s">
        <v>110</v>
      </c>
      <c r="E42" s="5">
        <v>71000</v>
      </c>
      <c r="F42" s="6">
        <v>1960.665</v>
      </c>
      <c r="G42" s="7">
        <v>6.3071550000000001E-3</v>
      </c>
      <c r="H42" s="106"/>
    </row>
    <row r="43" spans="1:8" ht="29.1" customHeight="1" x14ac:dyDescent="0.2">
      <c r="A43" s="3">
        <v>37</v>
      </c>
      <c r="B43" s="4" t="s">
        <v>189</v>
      </c>
      <c r="C43" s="4" t="s">
        <v>190</v>
      </c>
      <c r="D43" s="4" t="s">
        <v>110</v>
      </c>
      <c r="E43" s="5">
        <v>526000</v>
      </c>
      <c r="F43" s="6">
        <v>1905.6980000000001</v>
      </c>
      <c r="G43" s="7">
        <v>6.1303340000000003E-3</v>
      </c>
      <c r="H43" s="106"/>
    </row>
    <row r="44" spans="1:8" ht="29.1" customHeight="1" x14ac:dyDescent="0.2">
      <c r="A44" s="3">
        <v>38</v>
      </c>
      <c r="B44" s="4" t="s">
        <v>614</v>
      </c>
      <c r="C44" s="4" t="s">
        <v>615</v>
      </c>
      <c r="D44" s="4" t="s">
        <v>245</v>
      </c>
      <c r="E44" s="5">
        <v>153000</v>
      </c>
      <c r="F44" s="6">
        <v>1790.0235</v>
      </c>
      <c r="G44" s="7">
        <v>5.7582270000000003E-3</v>
      </c>
      <c r="H44" s="106"/>
    </row>
    <row r="45" spans="1:8" ht="17.100000000000001" customHeight="1" x14ac:dyDescent="0.2">
      <c r="A45" s="3">
        <v>39</v>
      </c>
      <c r="B45" s="4" t="s">
        <v>354</v>
      </c>
      <c r="C45" s="4" t="s">
        <v>355</v>
      </c>
      <c r="D45" s="4" t="s">
        <v>182</v>
      </c>
      <c r="E45" s="5">
        <v>40000</v>
      </c>
      <c r="F45" s="6">
        <v>1728.36</v>
      </c>
      <c r="G45" s="7">
        <v>5.5598660000000001E-3</v>
      </c>
      <c r="H45" s="106"/>
    </row>
    <row r="46" spans="1:8" ht="17.100000000000001" customHeight="1" x14ac:dyDescent="0.2">
      <c r="A46" s="3">
        <v>40</v>
      </c>
      <c r="B46" s="4" t="s">
        <v>210</v>
      </c>
      <c r="C46" s="4" t="s">
        <v>211</v>
      </c>
      <c r="D46" s="4" t="s">
        <v>212</v>
      </c>
      <c r="E46" s="5">
        <v>36866</v>
      </c>
      <c r="F46" s="6">
        <v>1665.42155</v>
      </c>
      <c r="G46" s="7">
        <v>5.3574019999999998E-3</v>
      </c>
      <c r="H46" s="106"/>
    </row>
    <row r="47" spans="1:8" ht="17.100000000000001" customHeight="1" x14ac:dyDescent="0.2">
      <c r="A47" s="3">
        <v>41</v>
      </c>
      <c r="B47" s="4" t="s">
        <v>100</v>
      </c>
      <c r="C47" s="4" t="s">
        <v>101</v>
      </c>
      <c r="D47" s="4" t="s">
        <v>96</v>
      </c>
      <c r="E47" s="5">
        <v>165000</v>
      </c>
      <c r="F47" s="6">
        <v>1525.6724999999999</v>
      </c>
      <c r="G47" s="7">
        <v>4.9078510000000004E-3</v>
      </c>
      <c r="H47" s="106"/>
    </row>
    <row r="48" spans="1:8" ht="17.100000000000001" customHeight="1" x14ac:dyDescent="0.2">
      <c r="A48" s="3">
        <v>42</v>
      </c>
      <c r="B48" s="4" t="s">
        <v>348</v>
      </c>
      <c r="C48" s="4" t="s">
        <v>349</v>
      </c>
      <c r="D48" s="4" t="s">
        <v>99</v>
      </c>
      <c r="E48" s="5">
        <v>17000</v>
      </c>
      <c r="F48" s="6">
        <v>1214.4970000000001</v>
      </c>
      <c r="G48" s="7">
        <v>3.9068480000000001E-3</v>
      </c>
      <c r="H48" s="106"/>
    </row>
    <row r="49" spans="1:8" ht="29.1" customHeight="1" x14ac:dyDescent="0.2">
      <c r="A49" s="3">
        <v>43</v>
      </c>
      <c r="B49" s="4" t="s">
        <v>186</v>
      </c>
      <c r="C49" s="4" t="s">
        <v>187</v>
      </c>
      <c r="D49" s="4" t="s">
        <v>188</v>
      </c>
      <c r="E49" s="5">
        <v>45821</v>
      </c>
      <c r="F49" s="6">
        <v>1172.3990165</v>
      </c>
      <c r="G49" s="7">
        <v>3.7714250000000001E-3</v>
      </c>
      <c r="H49" s="106"/>
    </row>
    <row r="50" spans="1:8" ht="17.100000000000001" customHeight="1" x14ac:dyDescent="0.2">
      <c r="A50" s="3">
        <v>44</v>
      </c>
      <c r="B50" s="4" t="s">
        <v>616</v>
      </c>
      <c r="C50" s="4" t="s">
        <v>617</v>
      </c>
      <c r="D50" s="4" t="s">
        <v>245</v>
      </c>
      <c r="E50" s="5">
        <v>195000</v>
      </c>
      <c r="F50" s="6">
        <v>1053.8775000000001</v>
      </c>
      <c r="G50" s="7">
        <v>3.3901600000000001E-3</v>
      </c>
      <c r="H50" s="106"/>
    </row>
    <row r="51" spans="1:8" ht="17.100000000000001" customHeight="1" x14ac:dyDescent="0.2">
      <c r="A51" s="3">
        <v>45</v>
      </c>
      <c r="B51" s="4" t="s">
        <v>562</v>
      </c>
      <c r="C51" s="4" t="s">
        <v>563</v>
      </c>
      <c r="D51" s="4" t="s">
        <v>110</v>
      </c>
      <c r="E51" s="5">
        <v>30000</v>
      </c>
      <c r="F51" s="6">
        <v>932.31</v>
      </c>
      <c r="G51" s="7">
        <v>2.9990960000000001E-3</v>
      </c>
      <c r="H51" s="106"/>
    </row>
    <row r="52" spans="1:8" ht="17.100000000000001" customHeight="1" x14ac:dyDescent="0.2">
      <c r="A52" s="3">
        <v>46</v>
      </c>
      <c r="B52" s="4" t="s">
        <v>37</v>
      </c>
      <c r="C52" s="4" t="s">
        <v>38</v>
      </c>
      <c r="D52" s="4" t="s">
        <v>31</v>
      </c>
      <c r="E52" s="5">
        <v>26000</v>
      </c>
      <c r="F52" s="6">
        <v>722.13699999999994</v>
      </c>
      <c r="G52" s="7">
        <v>2.3230030000000001E-3</v>
      </c>
      <c r="H52" s="106"/>
    </row>
    <row r="53" spans="1:8" ht="17.100000000000001" customHeight="1" x14ac:dyDescent="0.2">
      <c r="A53" s="3">
        <v>47</v>
      </c>
      <c r="B53" s="4" t="s">
        <v>731</v>
      </c>
      <c r="C53" s="4" t="s">
        <v>732</v>
      </c>
      <c r="D53" s="4" t="s">
        <v>110</v>
      </c>
      <c r="E53" s="5">
        <v>50000</v>
      </c>
      <c r="F53" s="6">
        <v>608.15</v>
      </c>
      <c r="G53" s="7">
        <v>1.9563240000000002E-3</v>
      </c>
      <c r="H53" s="106"/>
    </row>
    <row r="54" spans="1:8" ht="17.100000000000001" customHeight="1" x14ac:dyDescent="0.2">
      <c r="A54" s="3">
        <v>48</v>
      </c>
      <c r="B54" s="4" t="s">
        <v>519</v>
      </c>
      <c r="C54" s="4" t="s">
        <v>520</v>
      </c>
      <c r="D54" s="4" t="s">
        <v>1114</v>
      </c>
      <c r="E54" s="5">
        <v>46374</v>
      </c>
      <c r="F54" s="6">
        <v>606.68785500000001</v>
      </c>
      <c r="G54" s="7">
        <v>1.951621E-3</v>
      </c>
      <c r="H54" s="106"/>
    </row>
    <row r="55" spans="1:8" ht="29.1" customHeight="1" x14ac:dyDescent="0.2">
      <c r="A55" s="3">
        <v>49</v>
      </c>
      <c r="B55" s="4" t="s">
        <v>352</v>
      </c>
      <c r="C55" s="4" t="s">
        <v>353</v>
      </c>
      <c r="D55" s="4" t="s">
        <v>204</v>
      </c>
      <c r="E55" s="5">
        <v>13721</v>
      </c>
      <c r="F55" s="6">
        <v>495.17716899999999</v>
      </c>
      <c r="G55" s="7">
        <v>1.5929080000000001E-3</v>
      </c>
      <c r="H55" s="106"/>
    </row>
    <row r="56" spans="1:8" ht="17.100000000000001" customHeight="1" x14ac:dyDescent="0.2">
      <c r="A56" s="3">
        <v>50</v>
      </c>
      <c r="B56" s="4" t="s">
        <v>358</v>
      </c>
      <c r="C56" s="4" t="s">
        <v>359</v>
      </c>
      <c r="D56" s="4" t="s">
        <v>70</v>
      </c>
      <c r="E56" s="5">
        <v>58791</v>
      </c>
      <c r="F56" s="6">
        <v>242.6598525</v>
      </c>
      <c r="G56" s="7">
        <v>7.8059899999999998E-4</v>
      </c>
      <c r="H56" s="106"/>
    </row>
    <row r="57" spans="1:8" ht="14.1" customHeight="1" x14ac:dyDescent="0.2">
      <c r="A57" s="1"/>
      <c r="B57" s="1"/>
      <c r="C57" s="2" t="s">
        <v>130</v>
      </c>
      <c r="D57" s="1"/>
      <c r="E57" s="1" t="s">
        <v>131</v>
      </c>
      <c r="F57" s="9">
        <v>297365.51727100002</v>
      </c>
      <c r="G57" s="10">
        <v>0.95657866499999999</v>
      </c>
      <c r="H57" s="106"/>
    </row>
    <row r="58" spans="1:8" ht="14.1" customHeight="1" x14ac:dyDescent="0.2">
      <c r="A58" s="1"/>
      <c r="B58" s="1"/>
      <c r="C58" s="11"/>
      <c r="D58" s="1"/>
      <c r="E58" s="1"/>
      <c r="F58" s="12"/>
      <c r="G58" s="12"/>
      <c r="H58" s="106"/>
    </row>
    <row r="59" spans="1:8" ht="14.1" customHeight="1" x14ac:dyDescent="0.2">
      <c r="A59" s="1"/>
      <c r="B59" s="1"/>
      <c r="C59" s="2" t="s">
        <v>132</v>
      </c>
      <c r="D59" s="1"/>
      <c r="E59" s="1"/>
      <c r="F59" s="1"/>
      <c r="G59" s="1"/>
      <c r="H59" s="106"/>
    </row>
    <row r="60" spans="1:8" ht="14.1" customHeight="1" x14ac:dyDescent="0.2">
      <c r="A60" s="1"/>
      <c r="B60" s="1"/>
      <c r="C60" s="2" t="s">
        <v>130</v>
      </c>
      <c r="D60" s="1"/>
      <c r="E60" s="1" t="s">
        <v>131</v>
      </c>
      <c r="F60" s="13">
        <v>0</v>
      </c>
      <c r="G60" s="14">
        <v>0</v>
      </c>
      <c r="H60" s="106"/>
    </row>
    <row r="61" spans="1:8" ht="14.1" customHeight="1" x14ac:dyDescent="0.2">
      <c r="A61" s="1"/>
      <c r="B61" s="1"/>
      <c r="C61" s="11"/>
      <c r="D61" s="1"/>
      <c r="E61" s="1"/>
      <c r="F61" s="12"/>
      <c r="G61" s="12"/>
      <c r="H61" s="106"/>
    </row>
    <row r="62" spans="1:8" ht="14.1" customHeight="1" x14ac:dyDescent="0.2">
      <c r="A62" s="1"/>
      <c r="B62" s="1"/>
      <c r="C62" s="2" t="s">
        <v>133</v>
      </c>
      <c r="D62" s="1"/>
      <c r="E62" s="1"/>
      <c r="F62" s="1"/>
      <c r="G62" s="1"/>
      <c r="H62" s="106"/>
    </row>
    <row r="63" spans="1:8" ht="14.1" customHeight="1" x14ac:dyDescent="0.2">
      <c r="A63" s="1"/>
      <c r="B63" s="1"/>
      <c r="C63" s="2" t="s">
        <v>130</v>
      </c>
      <c r="D63" s="1"/>
      <c r="E63" s="1" t="s">
        <v>131</v>
      </c>
      <c r="F63" s="13">
        <v>0</v>
      </c>
      <c r="G63" s="14">
        <v>0</v>
      </c>
      <c r="H63" s="106"/>
    </row>
    <row r="64" spans="1:8" ht="14.1" customHeight="1" x14ac:dyDescent="0.2">
      <c r="A64" s="1"/>
      <c r="B64" s="1"/>
      <c r="C64" s="11"/>
      <c r="D64" s="1"/>
      <c r="E64" s="1"/>
      <c r="F64" s="12"/>
      <c r="G64" s="12"/>
      <c r="H64" s="106"/>
    </row>
    <row r="65" spans="1:8" ht="14.1" customHeight="1" x14ac:dyDescent="0.2">
      <c r="A65" s="1"/>
      <c r="B65" s="1"/>
      <c r="C65" s="2" t="s">
        <v>134</v>
      </c>
      <c r="D65" s="1"/>
      <c r="E65" s="1"/>
      <c r="F65" s="1"/>
      <c r="G65" s="1"/>
      <c r="H65" s="106"/>
    </row>
    <row r="66" spans="1:8" ht="14.1" customHeight="1" x14ac:dyDescent="0.2">
      <c r="A66" s="1"/>
      <c r="B66" s="1"/>
      <c r="C66" s="2" t="s">
        <v>130</v>
      </c>
      <c r="D66" s="1"/>
      <c r="E66" s="1" t="s">
        <v>131</v>
      </c>
      <c r="F66" s="13">
        <v>0</v>
      </c>
      <c r="G66" s="14">
        <v>0</v>
      </c>
      <c r="H66" s="106"/>
    </row>
    <row r="67" spans="1:8" ht="14.1" customHeight="1" x14ac:dyDescent="0.2">
      <c r="A67" s="1"/>
      <c r="B67" s="1"/>
      <c r="C67" s="11"/>
      <c r="D67" s="1"/>
      <c r="E67" s="1"/>
      <c r="F67" s="12"/>
      <c r="G67" s="12"/>
      <c r="H67" s="106"/>
    </row>
    <row r="68" spans="1:8" ht="14.1" customHeight="1" x14ac:dyDescent="0.2">
      <c r="A68" s="1"/>
      <c r="B68" s="1"/>
      <c r="C68" s="2" t="s">
        <v>135</v>
      </c>
      <c r="D68" s="1"/>
      <c r="E68" s="1"/>
      <c r="F68" s="12"/>
      <c r="G68" s="12"/>
      <c r="H68" s="106"/>
    </row>
    <row r="69" spans="1:8" ht="25.5" x14ac:dyDescent="0.2">
      <c r="A69" s="110">
        <v>1</v>
      </c>
      <c r="B69" s="102" t="s">
        <v>989</v>
      </c>
      <c r="C69" s="102" t="s">
        <v>990</v>
      </c>
      <c r="D69" s="102" t="s">
        <v>99</v>
      </c>
      <c r="E69" s="111">
        <v>90000</v>
      </c>
      <c r="F69" s="106">
        <v>342.9</v>
      </c>
      <c r="G69" s="112">
        <v>1.1030600000000001E-3</v>
      </c>
      <c r="H69" s="106"/>
    </row>
    <row r="70" spans="1:8" ht="14.1" customHeight="1" x14ac:dyDescent="0.2">
      <c r="A70" s="1"/>
      <c r="B70" s="1"/>
      <c r="C70" s="2" t="s">
        <v>130</v>
      </c>
      <c r="D70" s="1"/>
      <c r="E70" s="1" t="s">
        <v>131</v>
      </c>
      <c r="F70" s="13">
        <v>0</v>
      </c>
      <c r="G70" s="14">
        <v>0</v>
      </c>
      <c r="H70" s="106"/>
    </row>
    <row r="71" spans="1:8" ht="14.1" customHeight="1" x14ac:dyDescent="0.2">
      <c r="A71" s="1"/>
      <c r="B71" s="1"/>
      <c r="C71" s="11"/>
      <c r="D71" s="1"/>
      <c r="E71" s="1"/>
      <c r="F71" s="12"/>
      <c r="G71" s="12"/>
      <c r="H71" s="106"/>
    </row>
    <row r="72" spans="1:8" ht="14.1" customHeight="1" x14ac:dyDescent="0.2">
      <c r="A72" s="1"/>
      <c r="B72" s="1"/>
      <c r="C72" s="2" t="s">
        <v>136</v>
      </c>
      <c r="D72" s="1"/>
      <c r="E72" s="1"/>
      <c r="F72" s="12"/>
      <c r="G72" s="12"/>
      <c r="H72" s="106"/>
    </row>
    <row r="73" spans="1:8" ht="14.1" customHeight="1" x14ac:dyDescent="0.2">
      <c r="A73" s="1"/>
      <c r="B73" s="1"/>
      <c r="C73" s="2" t="s">
        <v>130</v>
      </c>
      <c r="D73" s="1"/>
      <c r="E73" s="1" t="s">
        <v>131</v>
      </c>
      <c r="F73" s="13">
        <v>0</v>
      </c>
      <c r="G73" s="14">
        <v>0</v>
      </c>
      <c r="H73" s="106"/>
    </row>
    <row r="74" spans="1:8" ht="14.1" customHeight="1" x14ac:dyDescent="0.2">
      <c r="A74" s="1"/>
      <c r="B74" s="1"/>
      <c r="C74" s="11"/>
      <c r="D74" s="1"/>
      <c r="E74" s="1"/>
      <c r="F74" s="12"/>
      <c r="G74" s="12"/>
      <c r="H74" s="106"/>
    </row>
    <row r="75" spans="1:8" ht="18" customHeight="1" x14ac:dyDescent="0.2">
      <c r="A75" s="1"/>
      <c r="B75" s="1"/>
      <c r="C75" s="2" t="s">
        <v>137</v>
      </c>
      <c r="D75" s="1"/>
      <c r="E75" s="1"/>
      <c r="F75" s="9">
        <v>297708.41727100004</v>
      </c>
      <c r="G75" s="14">
        <v>0.95768172500000004</v>
      </c>
      <c r="H75" s="106"/>
    </row>
    <row r="76" spans="1:8" ht="14.1" customHeight="1" x14ac:dyDescent="0.2">
      <c r="A76" s="1"/>
      <c r="B76" s="1"/>
      <c r="C76" s="11"/>
      <c r="D76" s="1"/>
      <c r="E76" s="1"/>
      <c r="F76" s="12"/>
      <c r="G76" s="12"/>
      <c r="H76" s="106"/>
    </row>
    <row r="77" spans="1:8" ht="14.1" customHeight="1" x14ac:dyDescent="0.2">
      <c r="A77" s="1"/>
      <c r="B77" s="1"/>
      <c r="C77" s="2" t="s">
        <v>138</v>
      </c>
      <c r="D77" s="1"/>
      <c r="E77" s="1"/>
      <c r="F77" s="12"/>
      <c r="G77" s="12"/>
      <c r="H77" s="106"/>
    </row>
    <row r="78" spans="1:8" ht="24" customHeight="1" x14ac:dyDescent="0.2">
      <c r="A78" s="1"/>
      <c r="B78" s="1"/>
      <c r="C78" s="2" t="s">
        <v>10</v>
      </c>
      <c r="D78" s="1"/>
      <c r="E78" s="1"/>
      <c r="F78" s="12"/>
      <c r="G78" s="12"/>
      <c r="H78" s="106"/>
    </row>
    <row r="79" spans="1:8" ht="29.1" customHeight="1" x14ac:dyDescent="0.2">
      <c r="A79" s="3">
        <v>1</v>
      </c>
      <c r="B79" s="4" t="s">
        <v>598</v>
      </c>
      <c r="C79" s="4" t="s">
        <v>599</v>
      </c>
      <c r="D79" s="4" t="s">
        <v>600</v>
      </c>
      <c r="E79" s="5">
        <v>28980</v>
      </c>
      <c r="F79" s="6">
        <v>8.1417860999999991</v>
      </c>
      <c r="G79" s="8" t="s">
        <v>129</v>
      </c>
      <c r="H79" s="106">
        <v>7.63</v>
      </c>
    </row>
    <row r="80" spans="1:8" ht="14.1" customHeight="1" x14ac:dyDescent="0.2">
      <c r="A80" s="1"/>
      <c r="B80" s="1"/>
      <c r="C80" s="2" t="s">
        <v>130</v>
      </c>
      <c r="D80" s="1"/>
      <c r="E80" s="1" t="s">
        <v>131</v>
      </c>
      <c r="F80" s="9">
        <v>8.1417860999999991</v>
      </c>
      <c r="G80" s="10">
        <v>2.6191E-5</v>
      </c>
      <c r="H80" s="106"/>
    </row>
    <row r="81" spans="1:8" ht="14.1" customHeight="1" x14ac:dyDescent="0.2">
      <c r="A81" s="1"/>
      <c r="B81" s="1"/>
      <c r="C81" s="11"/>
      <c r="D81" s="1"/>
      <c r="E81" s="1"/>
      <c r="F81" s="12"/>
      <c r="G81" s="12"/>
      <c r="H81" s="106"/>
    </row>
    <row r="82" spans="1:8" ht="14.1" customHeight="1" x14ac:dyDescent="0.2">
      <c r="A82" s="1"/>
      <c r="B82" s="1"/>
      <c r="C82" s="2" t="s">
        <v>139</v>
      </c>
      <c r="D82" s="1"/>
      <c r="E82" s="1"/>
      <c r="F82" s="1"/>
      <c r="G82" s="1"/>
      <c r="H82" s="106"/>
    </row>
    <row r="83" spans="1:8" ht="14.1" customHeight="1" x14ac:dyDescent="0.2">
      <c r="A83" s="1"/>
      <c r="B83" s="1"/>
      <c r="C83" s="2" t="s">
        <v>130</v>
      </c>
      <c r="D83" s="1"/>
      <c r="E83" s="1" t="s">
        <v>131</v>
      </c>
      <c r="F83" s="13">
        <v>0</v>
      </c>
      <c r="G83" s="14">
        <v>0</v>
      </c>
      <c r="H83" s="106"/>
    </row>
    <row r="84" spans="1:8" ht="14.1" customHeight="1" x14ac:dyDescent="0.2">
      <c r="A84" s="1"/>
      <c r="B84" s="1"/>
      <c r="C84" s="11"/>
      <c r="D84" s="1"/>
      <c r="E84" s="1"/>
      <c r="F84" s="12"/>
      <c r="G84" s="12"/>
      <c r="H84" s="106"/>
    </row>
    <row r="85" spans="1:8" ht="14.1" customHeight="1" x14ac:dyDescent="0.2">
      <c r="A85" s="1"/>
      <c r="B85" s="1"/>
      <c r="C85" s="2" t="s">
        <v>140</v>
      </c>
      <c r="D85" s="1"/>
      <c r="E85" s="1"/>
      <c r="F85" s="1"/>
      <c r="G85" s="1"/>
      <c r="H85" s="106"/>
    </row>
    <row r="86" spans="1:8" ht="14.1" customHeight="1" x14ac:dyDescent="0.2">
      <c r="A86" s="1"/>
      <c r="B86" s="1"/>
      <c r="C86" s="2" t="s">
        <v>130</v>
      </c>
      <c r="D86" s="1"/>
      <c r="E86" s="1" t="s">
        <v>131</v>
      </c>
      <c r="F86" s="13">
        <v>0</v>
      </c>
      <c r="G86" s="14">
        <v>0</v>
      </c>
      <c r="H86" s="106"/>
    </row>
    <row r="87" spans="1:8" ht="14.1" customHeight="1" x14ac:dyDescent="0.2">
      <c r="A87" s="1"/>
      <c r="B87" s="1"/>
      <c r="C87" s="11"/>
      <c r="D87" s="1"/>
      <c r="E87" s="1"/>
      <c r="F87" s="12"/>
      <c r="G87" s="12"/>
      <c r="H87" s="106"/>
    </row>
    <row r="88" spans="1:8" ht="14.1" customHeight="1" x14ac:dyDescent="0.2">
      <c r="A88" s="1"/>
      <c r="B88" s="1"/>
      <c r="C88" s="2" t="s">
        <v>141</v>
      </c>
      <c r="D88" s="1"/>
      <c r="E88" s="1"/>
      <c r="F88" s="12"/>
      <c r="G88" s="12"/>
      <c r="H88" s="106"/>
    </row>
    <row r="89" spans="1:8" ht="14.1" customHeight="1" x14ac:dyDescent="0.2">
      <c r="A89" s="1"/>
      <c r="B89" s="1"/>
      <c r="C89" s="2" t="s">
        <v>130</v>
      </c>
      <c r="D89" s="1"/>
      <c r="E89" s="1" t="s">
        <v>131</v>
      </c>
      <c r="F89" s="13">
        <v>0</v>
      </c>
      <c r="G89" s="14">
        <v>0</v>
      </c>
      <c r="H89" s="106"/>
    </row>
    <row r="90" spans="1:8" ht="14.1" customHeight="1" x14ac:dyDescent="0.2">
      <c r="A90" s="1"/>
      <c r="B90" s="1"/>
      <c r="C90" s="11"/>
      <c r="D90" s="1"/>
      <c r="E90" s="1"/>
      <c r="F90" s="12"/>
      <c r="G90" s="12"/>
      <c r="H90" s="106"/>
    </row>
    <row r="91" spans="1:8" ht="14.1" customHeight="1" x14ac:dyDescent="0.2">
      <c r="A91" s="1"/>
      <c r="B91" s="1"/>
      <c r="C91" s="2" t="s">
        <v>142</v>
      </c>
      <c r="D91" s="1"/>
      <c r="E91" s="1"/>
      <c r="F91" s="9">
        <v>8.1417860999999991</v>
      </c>
      <c r="G91" s="10">
        <v>2.6191E-5</v>
      </c>
      <c r="H91" s="106"/>
    </row>
    <row r="92" spans="1:8" ht="14.1" customHeight="1" x14ac:dyDescent="0.2">
      <c r="A92" s="1"/>
      <c r="B92" s="1"/>
      <c r="C92" s="11"/>
      <c r="D92" s="1"/>
      <c r="E92" s="1"/>
      <c r="F92" s="12"/>
      <c r="G92" s="12"/>
      <c r="H92" s="106"/>
    </row>
    <row r="93" spans="1:8" ht="14.1" customHeight="1" x14ac:dyDescent="0.2">
      <c r="A93" s="1"/>
      <c r="B93" s="1"/>
      <c r="C93" s="2" t="s">
        <v>143</v>
      </c>
      <c r="D93" s="1"/>
      <c r="E93" s="1"/>
      <c r="F93" s="12"/>
      <c r="G93" s="12"/>
      <c r="H93" s="106"/>
    </row>
    <row r="94" spans="1:8" ht="14.1" customHeight="1" x14ac:dyDescent="0.2">
      <c r="A94" s="1"/>
      <c r="B94" s="1"/>
      <c r="C94" s="2" t="s">
        <v>144</v>
      </c>
      <c r="D94" s="1"/>
      <c r="E94" s="1"/>
      <c r="F94" s="12"/>
      <c r="G94" s="12"/>
      <c r="H94" s="106"/>
    </row>
    <row r="95" spans="1:8" ht="14.1" customHeight="1" x14ac:dyDescent="0.2">
      <c r="A95" s="1"/>
      <c r="B95" s="1"/>
      <c r="C95" s="2" t="s">
        <v>130</v>
      </c>
      <c r="D95" s="1"/>
      <c r="E95" s="1" t="s">
        <v>131</v>
      </c>
      <c r="F95" s="13">
        <v>0</v>
      </c>
      <c r="G95" s="14">
        <v>0</v>
      </c>
      <c r="H95" s="106"/>
    </row>
    <row r="96" spans="1:8" ht="14.1" customHeight="1" x14ac:dyDescent="0.2">
      <c r="A96" s="1"/>
      <c r="B96" s="1"/>
      <c r="C96" s="11"/>
      <c r="D96" s="1"/>
      <c r="E96" s="1"/>
      <c r="F96" s="12"/>
      <c r="G96" s="12"/>
      <c r="H96" s="106"/>
    </row>
    <row r="97" spans="1:8" ht="14.1" customHeight="1" x14ac:dyDescent="0.2">
      <c r="A97" s="1"/>
      <c r="B97" s="1"/>
      <c r="C97" s="2" t="s">
        <v>145</v>
      </c>
      <c r="D97" s="1"/>
      <c r="E97" s="1"/>
      <c r="F97" s="12"/>
      <c r="G97" s="12"/>
      <c r="H97" s="106"/>
    </row>
    <row r="98" spans="1:8" ht="14.1" customHeight="1" x14ac:dyDescent="0.2">
      <c r="A98" s="1"/>
      <c r="B98" s="1"/>
      <c r="C98" s="2" t="s">
        <v>130</v>
      </c>
      <c r="D98" s="1"/>
      <c r="E98" s="1" t="s">
        <v>131</v>
      </c>
      <c r="F98" s="13">
        <v>0</v>
      </c>
      <c r="G98" s="14">
        <v>0</v>
      </c>
      <c r="H98" s="106"/>
    </row>
    <row r="99" spans="1:8" ht="14.1" customHeight="1" x14ac:dyDescent="0.2">
      <c r="A99" s="1"/>
      <c r="B99" s="1"/>
      <c r="C99" s="11"/>
      <c r="D99" s="1"/>
      <c r="E99" s="1"/>
      <c r="F99" s="12"/>
      <c r="G99" s="12"/>
      <c r="H99" s="106"/>
    </row>
    <row r="100" spans="1:8" ht="14.1" customHeight="1" x14ac:dyDescent="0.2">
      <c r="A100" s="1"/>
      <c r="B100" s="1"/>
      <c r="C100" s="2" t="s">
        <v>146</v>
      </c>
      <c r="D100" s="1"/>
      <c r="E100" s="1"/>
      <c r="F100" s="12"/>
      <c r="G100" s="12"/>
      <c r="H100" s="106"/>
    </row>
    <row r="101" spans="1:8" ht="14.1" customHeight="1" x14ac:dyDescent="0.2">
      <c r="A101" s="1"/>
      <c r="B101" s="1"/>
      <c r="C101" s="2" t="s">
        <v>130</v>
      </c>
      <c r="D101" s="1"/>
      <c r="E101" s="1" t="s">
        <v>131</v>
      </c>
      <c r="F101" s="13">
        <v>0</v>
      </c>
      <c r="G101" s="14">
        <v>0</v>
      </c>
      <c r="H101" s="106"/>
    </row>
    <row r="102" spans="1:8" ht="14.1" customHeight="1" x14ac:dyDescent="0.2">
      <c r="A102" s="1"/>
      <c r="B102" s="1"/>
      <c r="C102" s="11"/>
      <c r="D102" s="1"/>
      <c r="E102" s="1"/>
      <c r="F102" s="12"/>
      <c r="G102" s="12"/>
      <c r="H102" s="106"/>
    </row>
    <row r="103" spans="1:8" ht="14.1" customHeight="1" x14ac:dyDescent="0.2">
      <c r="A103" s="1"/>
      <c r="B103" s="1"/>
      <c r="C103" s="2" t="s">
        <v>147</v>
      </c>
      <c r="D103" s="1"/>
      <c r="E103" s="1"/>
      <c r="F103" s="12"/>
      <c r="G103" s="12"/>
      <c r="H103" s="106"/>
    </row>
    <row r="104" spans="1:8" ht="17.100000000000001" customHeight="1" x14ac:dyDescent="0.2">
      <c r="A104" s="3">
        <v>1</v>
      </c>
      <c r="B104" s="4"/>
      <c r="C104" s="4" t="s">
        <v>148</v>
      </c>
      <c r="D104" s="4"/>
      <c r="E104" s="8"/>
      <c r="F104" s="6">
        <v>12799.5216867</v>
      </c>
      <c r="G104" s="7">
        <v>4.1174071999999999E-2</v>
      </c>
      <c r="H104" s="106">
        <v>6.1171451766917002</v>
      </c>
    </row>
    <row r="105" spans="1:8" ht="14.1" customHeight="1" x14ac:dyDescent="0.2">
      <c r="A105" s="1"/>
      <c r="B105" s="1"/>
      <c r="C105" s="2" t="s">
        <v>130</v>
      </c>
      <c r="D105" s="1"/>
      <c r="E105" s="1" t="s">
        <v>131</v>
      </c>
      <c r="F105" s="9">
        <v>12799.5216867</v>
      </c>
      <c r="G105" s="10">
        <v>4.1174071999999999E-2</v>
      </c>
      <c r="H105" s="106"/>
    </row>
    <row r="106" spans="1:8" ht="14.1" customHeight="1" x14ac:dyDescent="0.2">
      <c r="A106" s="1"/>
      <c r="B106" s="1"/>
      <c r="C106" s="11"/>
      <c r="D106" s="1"/>
      <c r="E106" s="1"/>
      <c r="F106" s="12"/>
      <c r="G106" s="12"/>
      <c r="H106" s="106"/>
    </row>
    <row r="107" spans="1:8" ht="14.1" customHeight="1" x14ac:dyDescent="0.2">
      <c r="A107" s="1"/>
      <c r="B107" s="1"/>
      <c r="C107" s="2" t="s">
        <v>149</v>
      </c>
      <c r="D107" s="1"/>
      <c r="E107" s="1"/>
      <c r="F107" s="9">
        <v>12799.5216867</v>
      </c>
      <c r="G107" s="10">
        <v>4.1174071999999999E-2</v>
      </c>
      <c r="H107" s="106"/>
    </row>
    <row r="108" spans="1:8" ht="14.1" customHeight="1" x14ac:dyDescent="0.2">
      <c r="A108" s="1"/>
      <c r="B108" s="1"/>
      <c r="C108" s="12"/>
      <c r="D108" s="1"/>
      <c r="E108" s="1"/>
      <c r="F108" s="1"/>
      <c r="G108" s="1"/>
      <c r="H108" s="106"/>
    </row>
    <row r="109" spans="1:8" ht="14.1" customHeight="1" x14ac:dyDescent="0.2">
      <c r="A109" s="1"/>
      <c r="B109" s="1"/>
      <c r="C109" s="2" t="s">
        <v>150</v>
      </c>
      <c r="D109" s="1"/>
      <c r="E109" s="1"/>
      <c r="F109" s="1"/>
      <c r="G109" s="1"/>
      <c r="H109" s="106"/>
    </row>
    <row r="110" spans="1:8" ht="14.1" customHeight="1" x14ac:dyDescent="0.2">
      <c r="A110" s="1"/>
      <c r="B110" s="1"/>
      <c r="C110" s="2" t="s">
        <v>151</v>
      </c>
      <c r="D110" s="1"/>
      <c r="E110" s="1"/>
      <c r="F110" s="1"/>
      <c r="G110" s="1"/>
      <c r="H110" s="106"/>
    </row>
    <row r="111" spans="1:8" ht="14.1" customHeight="1" x14ac:dyDescent="0.2">
      <c r="A111" s="1"/>
      <c r="B111" s="1"/>
      <c r="C111" s="2" t="s">
        <v>130</v>
      </c>
      <c r="D111" s="1"/>
      <c r="E111" s="1" t="s">
        <v>131</v>
      </c>
      <c r="F111" s="13">
        <v>0</v>
      </c>
      <c r="G111" s="14">
        <v>0</v>
      </c>
      <c r="H111" s="106"/>
    </row>
    <row r="112" spans="1:8" ht="14.1" customHeight="1" x14ac:dyDescent="0.2">
      <c r="A112" s="1"/>
      <c r="B112" s="1"/>
      <c r="C112" s="11"/>
      <c r="D112" s="1"/>
      <c r="E112" s="1"/>
      <c r="F112" s="12"/>
      <c r="G112" s="12"/>
      <c r="H112" s="106"/>
    </row>
    <row r="113" spans="1:15" ht="14.1" customHeight="1" x14ac:dyDescent="0.2">
      <c r="A113" s="1"/>
      <c r="B113" s="1"/>
      <c r="C113" s="2" t="s">
        <v>152</v>
      </c>
      <c r="D113" s="1"/>
      <c r="E113" s="1"/>
      <c r="F113" s="1"/>
      <c r="G113" s="1"/>
      <c r="H113" s="106"/>
    </row>
    <row r="114" spans="1:15" ht="14.1" customHeight="1" x14ac:dyDescent="0.2">
      <c r="A114" s="1"/>
      <c r="B114" s="1"/>
      <c r="C114" s="2" t="s">
        <v>153</v>
      </c>
      <c r="D114" s="1"/>
      <c r="E114" s="1"/>
      <c r="F114" s="1"/>
      <c r="G114" s="1"/>
      <c r="H114" s="106"/>
    </row>
    <row r="115" spans="1:15" ht="14.1" customHeight="1" x14ac:dyDescent="0.2">
      <c r="A115" s="1"/>
      <c r="B115" s="1"/>
      <c r="C115" s="2" t="s">
        <v>130</v>
      </c>
      <c r="D115" s="1"/>
      <c r="E115" s="1" t="s">
        <v>131</v>
      </c>
      <c r="F115" s="13">
        <v>0</v>
      </c>
      <c r="G115" s="14">
        <v>0</v>
      </c>
      <c r="H115" s="106"/>
    </row>
    <row r="116" spans="1:15" ht="14.1" customHeight="1" x14ac:dyDescent="0.2">
      <c r="A116" s="1"/>
      <c r="B116" s="1"/>
      <c r="C116" s="11"/>
      <c r="D116" s="1"/>
      <c r="E116" s="1"/>
      <c r="F116" s="12"/>
      <c r="G116" s="12"/>
      <c r="H116" s="106"/>
    </row>
    <row r="117" spans="1:15" ht="14.1" customHeight="1" x14ac:dyDescent="0.2">
      <c r="A117" s="1"/>
      <c r="B117" s="1"/>
      <c r="C117" s="11"/>
      <c r="D117" s="1"/>
      <c r="E117" s="1"/>
      <c r="F117" s="12"/>
      <c r="G117" s="12"/>
      <c r="H117" s="106"/>
    </row>
    <row r="118" spans="1:15" ht="24" customHeight="1" x14ac:dyDescent="0.2">
      <c r="A118" s="1"/>
      <c r="B118" s="1"/>
      <c r="C118" s="2" t="s">
        <v>154</v>
      </c>
      <c r="D118" s="1"/>
      <c r="E118" s="1"/>
      <c r="F118" s="12"/>
      <c r="G118" s="12"/>
      <c r="H118" s="106"/>
    </row>
    <row r="119" spans="1:15" ht="14.1" customHeight="1" x14ac:dyDescent="0.2">
      <c r="A119" s="1"/>
      <c r="B119" s="1"/>
      <c r="C119" s="2" t="s">
        <v>130</v>
      </c>
      <c r="D119" s="1"/>
      <c r="E119" s="1" t="s">
        <v>131</v>
      </c>
      <c r="F119" s="13">
        <v>0</v>
      </c>
      <c r="G119" s="14">
        <v>0</v>
      </c>
      <c r="H119" s="106"/>
    </row>
    <row r="120" spans="1:15" ht="14.1" customHeight="1" x14ac:dyDescent="0.2">
      <c r="A120" s="1"/>
      <c r="B120" s="1"/>
      <c r="C120" s="11"/>
      <c r="D120" s="1"/>
      <c r="E120" s="1"/>
      <c r="F120" s="12"/>
      <c r="G120" s="12"/>
      <c r="H120" s="106"/>
    </row>
    <row r="121" spans="1:15" ht="14.1" customHeight="1" x14ac:dyDescent="0.2">
      <c r="A121" s="1"/>
      <c r="B121" s="4"/>
      <c r="C121" s="4"/>
      <c r="D121" s="2"/>
      <c r="E121" s="1"/>
      <c r="F121" s="4"/>
      <c r="G121" s="8"/>
      <c r="H121" s="106"/>
    </row>
    <row r="122" spans="1:15" ht="18" customHeight="1" x14ac:dyDescent="0.2">
      <c r="A122" s="8"/>
      <c r="B122" s="4"/>
      <c r="C122" s="102" t="s">
        <v>1051</v>
      </c>
      <c r="D122" s="4"/>
      <c r="E122" s="8"/>
      <c r="F122" s="6">
        <v>347.55100971000002</v>
      </c>
      <c r="G122" s="7">
        <v>1.1180179999999999E-3</v>
      </c>
      <c r="H122" s="106"/>
    </row>
    <row r="123" spans="1:15" ht="14.1" customHeight="1" x14ac:dyDescent="0.2">
      <c r="A123" s="11"/>
      <c r="B123" s="11"/>
      <c r="C123" s="2" t="s">
        <v>156</v>
      </c>
      <c r="D123" s="15"/>
      <c r="E123" s="15"/>
      <c r="F123" s="9">
        <v>310863.63175351004</v>
      </c>
      <c r="G123" s="14">
        <v>1.0000000060000001</v>
      </c>
      <c r="H123" s="106"/>
    </row>
    <row r="124" spans="1:15" ht="14.1" customHeight="1" x14ac:dyDescent="0.2">
      <c r="A124" s="16"/>
      <c r="B124" s="16"/>
      <c r="C124" s="16"/>
      <c r="D124" s="17"/>
      <c r="E124" s="17"/>
      <c r="F124" s="17"/>
      <c r="G124" s="17"/>
    </row>
    <row r="125" spans="1:15" ht="17.100000000000001" customHeight="1" x14ac:dyDescent="0.2">
      <c r="A125" s="18"/>
      <c r="B125" s="281" t="s">
        <v>601</v>
      </c>
      <c r="C125" s="281"/>
      <c r="D125" s="281"/>
      <c r="E125" s="281"/>
      <c r="F125" s="281"/>
      <c r="G125" s="20"/>
      <c r="J125" s="107"/>
      <c r="K125" s="107"/>
      <c r="L125" s="107"/>
      <c r="M125" s="107"/>
      <c r="N125" s="107"/>
    </row>
    <row r="126" spans="1:15" s="107" customFormat="1" ht="17.100000000000001" customHeight="1" x14ac:dyDescent="0.2">
      <c r="A126" s="153"/>
      <c r="B126" s="304" t="s">
        <v>837</v>
      </c>
      <c r="C126" s="304"/>
      <c r="D126" s="304"/>
      <c r="E126" s="304"/>
      <c r="F126" s="304"/>
      <c r="G126" s="154"/>
      <c r="H126"/>
      <c r="J126"/>
      <c r="K126"/>
      <c r="L126"/>
      <c r="M126"/>
      <c r="N126"/>
      <c r="O126"/>
    </row>
    <row r="127" spans="1:15" ht="17.100000000000001" customHeight="1" x14ac:dyDescent="0.2">
      <c r="A127" s="18"/>
      <c r="B127" s="281" t="s">
        <v>157</v>
      </c>
      <c r="C127" s="281"/>
      <c r="D127" s="281"/>
      <c r="E127" s="281"/>
      <c r="F127" s="281"/>
      <c r="G127" s="20"/>
    </row>
    <row r="128" spans="1:15" ht="14.1" customHeight="1" x14ac:dyDescent="0.2">
      <c r="A128" s="18"/>
      <c r="B128" s="18"/>
      <c r="C128" s="18"/>
      <c r="D128" s="20"/>
      <c r="E128" s="20"/>
      <c r="F128" s="20"/>
      <c r="G128" s="20"/>
    </row>
    <row r="129" spans="1:7" ht="14.1" customHeight="1" x14ac:dyDescent="0.2">
      <c r="A129" s="18"/>
      <c r="B129" s="279" t="s">
        <v>158</v>
      </c>
      <c r="C129" s="280"/>
      <c r="D129" s="12" t="s">
        <v>131</v>
      </c>
      <c r="E129" s="21"/>
      <c r="F129" s="20"/>
      <c r="G129" s="20"/>
    </row>
    <row r="130" spans="1:7" ht="29.1" customHeight="1" x14ac:dyDescent="0.2">
      <c r="A130" s="18"/>
      <c r="B130" s="274" t="s">
        <v>159</v>
      </c>
      <c r="C130" s="275"/>
      <c r="D130" s="2" t="s">
        <v>160</v>
      </c>
      <c r="E130" s="21"/>
      <c r="F130" s="20"/>
      <c r="G130" s="20"/>
    </row>
    <row r="131" spans="1:7" ht="17.100000000000001" customHeight="1" x14ac:dyDescent="0.2">
      <c r="A131" s="18"/>
      <c r="B131" s="274" t="s">
        <v>161</v>
      </c>
      <c r="C131" s="275"/>
      <c r="D131" s="2" t="s">
        <v>160</v>
      </c>
      <c r="E131" s="21"/>
      <c r="F131" s="20"/>
      <c r="G131" s="20"/>
    </row>
    <row r="132" spans="1:7" ht="17.100000000000001" customHeight="1" x14ac:dyDescent="0.2">
      <c r="A132" s="18"/>
      <c r="B132" s="274" t="s">
        <v>162</v>
      </c>
      <c r="C132" s="275"/>
      <c r="D132" s="12" t="s">
        <v>131</v>
      </c>
      <c r="E132" s="21"/>
      <c r="F132" s="20"/>
      <c r="G132" s="20"/>
    </row>
    <row r="133" spans="1:7" ht="24" customHeight="1" x14ac:dyDescent="0.2">
      <c r="A133" s="22"/>
      <c r="B133" s="23" t="s">
        <v>131</v>
      </c>
      <c r="C133" s="23" t="s">
        <v>163</v>
      </c>
      <c r="D133" s="23" t="s">
        <v>164</v>
      </c>
      <c r="E133" s="22"/>
      <c r="F133" s="22"/>
      <c r="G133" s="22"/>
    </row>
    <row r="134" spans="1:7" ht="18" customHeight="1" x14ac:dyDescent="0.2">
      <c r="A134" s="22"/>
      <c r="B134" s="23" t="s">
        <v>165</v>
      </c>
      <c r="C134" s="23" t="s">
        <v>166</v>
      </c>
      <c r="D134" s="23" t="s">
        <v>167</v>
      </c>
      <c r="E134" s="22"/>
      <c r="F134" s="22"/>
      <c r="G134" s="22"/>
    </row>
    <row r="135" spans="1:7" ht="17.100000000000001" customHeight="1" x14ac:dyDescent="0.2">
      <c r="A135" s="22"/>
      <c r="B135" s="4" t="s">
        <v>168</v>
      </c>
      <c r="C135" s="24">
        <v>15.087999999999999</v>
      </c>
      <c r="D135" s="24">
        <v>15.916399999999999</v>
      </c>
      <c r="E135" s="22"/>
      <c r="F135" s="19"/>
      <c r="G135" s="25"/>
    </row>
    <row r="136" spans="1:7" ht="17.100000000000001" customHeight="1" x14ac:dyDescent="0.2">
      <c r="A136" s="22"/>
      <c r="B136" s="4" t="s">
        <v>1048</v>
      </c>
      <c r="C136" s="24">
        <v>14.0562</v>
      </c>
      <c r="D136" s="24">
        <v>14.8278</v>
      </c>
      <c r="E136" s="22"/>
      <c r="F136" s="19"/>
      <c r="G136" s="25"/>
    </row>
    <row r="137" spans="1:7" ht="17.100000000000001" customHeight="1" x14ac:dyDescent="0.2">
      <c r="A137" s="22"/>
      <c r="B137" s="4" t="s">
        <v>169</v>
      </c>
      <c r="C137" s="24">
        <v>14.575699999999999</v>
      </c>
      <c r="D137" s="24">
        <v>15.3581</v>
      </c>
      <c r="E137" s="22"/>
      <c r="F137" s="19"/>
      <c r="G137" s="25"/>
    </row>
    <row r="138" spans="1:7" ht="17.100000000000001" customHeight="1" x14ac:dyDescent="0.2">
      <c r="A138" s="22"/>
      <c r="B138" s="4" t="s">
        <v>1049</v>
      </c>
      <c r="C138" s="24">
        <v>13.580299999999999</v>
      </c>
      <c r="D138" s="24">
        <v>14.309200000000001</v>
      </c>
      <c r="E138" s="22"/>
      <c r="F138" s="19"/>
      <c r="G138" s="25"/>
    </row>
    <row r="139" spans="1:7" ht="14.1" customHeight="1" x14ac:dyDescent="0.2">
      <c r="A139" s="22"/>
      <c r="B139" s="22"/>
      <c r="C139" s="22"/>
      <c r="D139" s="22"/>
      <c r="E139" s="22"/>
      <c r="F139" s="22"/>
      <c r="G139" s="22"/>
    </row>
    <row r="140" spans="1:7" ht="17.100000000000001" customHeight="1" x14ac:dyDescent="0.2">
      <c r="A140" s="22"/>
      <c r="B140" s="274" t="s">
        <v>1060</v>
      </c>
      <c r="C140" s="275"/>
      <c r="D140" s="2" t="s">
        <v>160</v>
      </c>
      <c r="E140" s="22"/>
      <c r="F140" s="22"/>
      <c r="G140" s="22"/>
    </row>
    <row r="141" spans="1:7" ht="18" customHeight="1" x14ac:dyDescent="0.2">
      <c r="A141" s="22"/>
      <c r="B141" s="26" t="s">
        <v>170</v>
      </c>
      <c r="C141" s="26" t="s">
        <v>170</v>
      </c>
      <c r="D141" s="26"/>
      <c r="E141" s="22"/>
      <c r="F141" s="22"/>
      <c r="G141" s="22"/>
    </row>
    <row r="142" spans="1:7" ht="29.1" customHeight="1" x14ac:dyDescent="0.2">
      <c r="A142" s="22"/>
      <c r="B142" s="274" t="s">
        <v>171</v>
      </c>
      <c r="C142" s="275"/>
      <c r="D142" s="2" t="s">
        <v>160</v>
      </c>
      <c r="E142" s="22"/>
      <c r="F142" s="22"/>
      <c r="G142" s="22"/>
    </row>
    <row r="143" spans="1:7" ht="29.1" customHeight="1" x14ac:dyDescent="0.2">
      <c r="A143" s="22"/>
      <c r="B143" s="274" t="s">
        <v>172</v>
      </c>
      <c r="C143" s="275"/>
      <c r="D143" s="2" t="s">
        <v>160</v>
      </c>
      <c r="E143" s="22"/>
      <c r="F143" s="22"/>
      <c r="G143" s="22"/>
    </row>
    <row r="144" spans="1:7" ht="17.100000000000001" customHeight="1" x14ac:dyDescent="0.2">
      <c r="A144" s="22"/>
      <c r="B144" s="274" t="s">
        <v>173</v>
      </c>
      <c r="C144" s="275"/>
      <c r="D144" s="27">
        <v>0.53055070912150903</v>
      </c>
      <c r="E144" s="22"/>
      <c r="F144" s="19"/>
      <c r="G144" s="25"/>
    </row>
    <row r="145" spans="1:7" ht="17.100000000000001" customHeight="1" x14ac:dyDescent="0.2">
      <c r="A145" s="22"/>
      <c r="B145" s="274" t="s">
        <v>174</v>
      </c>
      <c r="C145" s="275"/>
      <c r="D145" s="2" t="s">
        <v>160</v>
      </c>
      <c r="E145" s="22"/>
      <c r="F145" s="22"/>
      <c r="G145" s="22"/>
    </row>
  </sheetData>
  <mergeCells count="16">
    <mergeCell ref="J2:N2"/>
    <mergeCell ref="B129:C129"/>
    <mergeCell ref="B125:F125"/>
    <mergeCell ref="B127:F127"/>
    <mergeCell ref="B126:F126"/>
    <mergeCell ref="A1:H1"/>
    <mergeCell ref="A2:H2"/>
    <mergeCell ref="A3:H3"/>
    <mergeCell ref="B144:C144"/>
    <mergeCell ref="B145:C145"/>
    <mergeCell ref="B130:C130"/>
    <mergeCell ref="B131:C131"/>
    <mergeCell ref="B132:C132"/>
    <mergeCell ref="B140:C140"/>
    <mergeCell ref="B142:C142"/>
    <mergeCell ref="B143:C143"/>
  </mergeCells>
  <hyperlinks>
    <hyperlink ref="I1" location="Index!B35" display="Index" xr:uid="{AD202EC0-0618-42BA-A7A6-587D4DDE7E3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O21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5703125" bestFit="1" customWidth="1"/>
    <col min="10" max="10" width="16.7109375" bestFit="1" customWidth="1"/>
    <col min="15" max="15" width="9.140625" style="115"/>
  </cols>
  <sheetData>
    <row r="1" spans="1:14" ht="18" customHeight="1" x14ac:dyDescent="0.2">
      <c r="A1" s="282" t="s">
        <v>0</v>
      </c>
      <c r="B1" s="282"/>
      <c r="C1" s="282"/>
      <c r="D1" s="282"/>
      <c r="E1" s="282"/>
      <c r="F1" s="282"/>
      <c r="G1" s="282"/>
      <c r="H1" s="282"/>
      <c r="I1" s="163" t="s">
        <v>1080</v>
      </c>
      <c r="J1" s="107"/>
      <c r="K1" s="107"/>
      <c r="L1" s="107"/>
      <c r="M1" s="107"/>
      <c r="N1" s="107"/>
    </row>
    <row r="2" spans="1:14" ht="17.100000000000001" customHeight="1" x14ac:dyDescent="0.2">
      <c r="A2" s="283" t="s">
        <v>756</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c r="J3" s="107"/>
      <c r="K3" s="107"/>
      <c r="L3" s="107"/>
      <c r="M3" s="107"/>
      <c r="N3" s="107"/>
    </row>
    <row r="4" spans="1:14" s="159" customFormat="1" ht="30" x14ac:dyDescent="0.2">
      <c r="A4" s="157" t="s">
        <v>2</v>
      </c>
      <c r="B4" s="157" t="s">
        <v>3</v>
      </c>
      <c r="C4" s="157" t="s">
        <v>4</v>
      </c>
      <c r="D4" s="157" t="s">
        <v>5</v>
      </c>
      <c r="E4" s="157" t="s">
        <v>6</v>
      </c>
      <c r="F4" s="157" t="s">
        <v>7</v>
      </c>
      <c r="G4" s="157" t="s">
        <v>8</v>
      </c>
      <c r="H4" s="155" t="s">
        <v>920</v>
      </c>
      <c r="J4" s="164"/>
      <c r="K4" s="164"/>
      <c r="L4" s="164"/>
      <c r="M4" s="164"/>
      <c r="N4" s="164"/>
    </row>
    <row r="5" spans="1:14" ht="14.1" customHeight="1" x14ac:dyDescent="0.2">
      <c r="A5" s="1"/>
      <c r="B5" s="1"/>
      <c r="C5" s="2" t="s">
        <v>9</v>
      </c>
      <c r="D5" s="1"/>
      <c r="E5" s="1"/>
      <c r="F5" s="1"/>
      <c r="G5" s="1"/>
      <c r="H5" s="106"/>
      <c r="J5" s="107"/>
      <c r="K5" s="107"/>
      <c r="L5" s="107"/>
      <c r="M5" s="107"/>
      <c r="N5" s="107"/>
    </row>
    <row r="6" spans="1:14" ht="24" customHeight="1" x14ac:dyDescent="0.2">
      <c r="A6" s="1"/>
      <c r="B6" s="1"/>
      <c r="C6" s="2" t="s">
        <v>10</v>
      </c>
      <c r="D6" s="1"/>
      <c r="E6" s="1"/>
      <c r="F6" s="1"/>
      <c r="G6" s="1"/>
      <c r="H6" s="106"/>
      <c r="J6" s="107"/>
      <c r="K6" s="107"/>
      <c r="L6" s="107"/>
      <c r="M6" s="107"/>
      <c r="N6" s="107"/>
    </row>
    <row r="7" spans="1:14" ht="17.100000000000001" customHeight="1" x14ac:dyDescent="0.2">
      <c r="A7" s="3">
        <v>1</v>
      </c>
      <c r="B7" s="4" t="s">
        <v>20</v>
      </c>
      <c r="C7" s="4" t="s">
        <v>21</v>
      </c>
      <c r="D7" s="4" t="s">
        <v>22</v>
      </c>
      <c r="E7" s="5">
        <v>496000</v>
      </c>
      <c r="F7" s="6">
        <v>12646.016</v>
      </c>
      <c r="G7" s="7">
        <v>6.8650298999999998E-2</v>
      </c>
      <c r="H7" s="106"/>
      <c r="J7" s="107"/>
      <c r="K7" s="107"/>
      <c r="L7" s="107"/>
      <c r="M7" s="107"/>
      <c r="N7" s="107"/>
    </row>
    <row r="8" spans="1:14" ht="17.100000000000001" customHeight="1" x14ac:dyDescent="0.2">
      <c r="A8" s="3">
        <v>2</v>
      </c>
      <c r="B8" s="4" t="s">
        <v>14</v>
      </c>
      <c r="C8" s="4" t="s">
        <v>15</v>
      </c>
      <c r="D8" s="4" t="s">
        <v>16</v>
      </c>
      <c r="E8" s="5">
        <v>1103000</v>
      </c>
      <c r="F8" s="6">
        <v>10022.960999999999</v>
      </c>
      <c r="G8" s="7">
        <v>5.4410754999999998E-2</v>
      </c>
      <c r="H8" s="106"/>
      <c r="J8" s="107"/>
      <c r="K8" s="107"/>
      <c r="L8" s="107"/>
      <c r="M8" s="107"/>
      <c r="N8" s="107"/>
    </row>
    <row r="9" spans="1:14" ht="29.1" customHeight="1" x14ac:dyDescent="0.2">
      <c r="A9" s="3">
        <v>3</v>
      </c>
      <c r="B9" s="4" t="s">
        <v>298</v>
      </c>
      <c r="C9" s="4" t="s">
        <v>299</v>
      </c>
      <c r="D9" s="4" t="s">
        <v>99</v>
      </c>
      <c r="E9" s="5">
        <v>296000</v>
      </c>
      <c r="F9" s="6">
        <v>7310.6080000000002</v>
      </c>
      <c r="G9" s="7">
        <v>3.9686446E-2</v>
      </c>
      <c r="H9" s="106"/>
      <c r="J9" s="107"/>
      <c r="K9" s="107"/>
      <c r="L9" s="107"/>
      <c r="M9" s="107"/>
      <c r="N9" s="107"/>
    </row>
    <row r="10" spans="1:14" ht="17.100000000000001" customHeight="1" x14ac:dyDescent="0.2">
      <c r="A10" s="3">
        <v>4</v>
      </c>
      <c r="B10" s="4" t="s">
        <v>264</v>
      </c>
      <c r="C10" s="4" t="s">
        <v>265</v>
      </c>
      <c r="D10" s="4" t="s">
        <v>16</v>
      </c>
      <c r="E10" s="5">
        <v>466000</v>
      </c>
      <c r="F10" s="6">
        <v>6974.6220000000003</v>
      </c>
      <c r="G10" s="7">
        <v>3.7862509000000003E-2</v>
      </c>
      <c r="H10" s="106"/>
      <c r="J10" s="107"/>
      <c r="K10" s="107"/>
      <c r="L10" s="107"/>
      <c r="M10" s="107"/>
      <c r="N10" s="107"/>
    </row>
    <row r="11" spans="1:14" ht="17.100000000000001" customHeight="1" x14ac:dyDescent="0.2">
      <c r="A11" s="3">
        <v>5</v>
      </c>
      <c r="B11" s="4" t="s">
        <v>42</v>
      </c>
      <c r="C11" s="4" t="s">
        <v>43</v>
      </c>
      <c r="D11" s="4" t="s">
        <v>16</v>
      </c>
      <c r="E11" s="5">
        <v>1049000</v>
      </c>
      <c r="F11" s="6">
        <v>6019.1620000000003</v>
      </c>
      <c r="G11" s="7">
        <v>3.2675688000000001E-2</v>
      </c>
      <c r="H11" s="106"/>
      <c r="J11" s="107"/>
      <c r="K11" s="107"/>
      <c r="L11" s="107"/>
      <c r="M11" s="107"/>
      <c r="N11" s="107"/>
    </row>
    <row r="12" spans="1:14" ht="17.100000000000001" customHeight="1" x14ac:dyDescent="0.2">
      <c r="A12" s="3">
        <v>6</v>
      </c>
      <c r="B12" s="4" t="s">
        <v>296</v>
      </c>
      <c r="C12" s="4" t="s">
        <v>297</v>
      </c>
      <c r="D12" s="4" t="s">
        <v>1114</v>
      </c>
      <c r="E12" s="5">
        <v>366000</v>
      </c>
      <c r="F12" s="6">
        <v>5627.799</v>
      </c>
      <c r="G12" s="7">
        <v>3.0551130999999999E-2</v>
      </c>
      <c r="H12" s="106"/>
      <c r="J12" s="107"/>
      <c r="K12" s="107"/>
      <c r="L12" s="107"/>
      <c r="M12" s="107"/>
      <c r="N12" s="107"/>
    </row>
    <row r="13" spans="1:14" ht="17.100000000000001" customHeight="1" x14ac:dyDescent="0.2">
      <c r="A13" s="3">
        <v>7</v>
      </c>
      <c r="B13" s="4" t="s">
        <v>68</v>
      </c>
      <c r="C13" s="4" t="s">
        <v>69</v>
      </c>
      <c r="D13" s="4" t="s">
        <v>70</v>
      </c>
      <c r="E13" s="5">
        <v>52000</v>
      </c>
      <c r="F13" s="6">
        <v>4954.3519999999999</v>
      </c>
      <c r="G13" s="7">
        <v>2.6895249E-2</v>
      </c>
      <c r="H13" s="106"/>
      <c r="J13" s="161" t="s">
        <v>1100</v>
      </c>
      <c r="K13" s="107"/>
      <c r="L13" s="107"/>
      <c r="M13" s="107"/>
      <c r="N13" s="107"/>
    </row>
    <row r="14" spans="1:14" ht="17.100000000000001" customHeight="1" x14ac:dyDescent="0.2">
      <c r="A14" s="3">
        <v>8</v>
      </c>
      <c r="B14" s="4" t="s">
        <v>178</v>
      </c>
      <c r="C14" s="4" t="s">
        <v>179</v>
      </c>
      <c r="D14" s="4" t="s">
        <v>16</v>
      </c>
      <c r="E14" s="5">
        <v>532000</v>
      </c>
      <c r="F14" s="6">
        <v>4819.92</v>
      </c>
      <c r="G14" s="7">
        <v>2.616547E-2</v>
      </c>
      <c r="H14" s="106"/>
      <c r="J14" s="107"/>
      <c r="K14" s="107"/>
      <c r="L14" s="107"/>
      <c r="M14" s="107"/>
      <c r="N14" s="107"/>
    </row>
    <row r="15" spans="1:14" ht="17.100000000000001" customHeight="1" x14ac:dyDescent="0.2">
      <c r="A15" s="3">
        <v>9</v>
      </c>
      <c r="B15" s="4" t="s">
        <v>75</v>
      </c>
      <c r="C15" s="4" t="s">
        <v>76</v>
      </c>
      <c r="D15" s="4" t="s">
        <v>36</v>
      </c>
      <c r="E15" s="5">
        <v>1499779</v>
      </c>
      <c r="F15" s="6">
        <v>4196.3816420000003</v>
      </c>
      <c r="G15" s="7">
        <v>2.2780523E-2</v>
      </c>
      <c r="H15" s="106"/>
      <c r="J15" s="107"/>
      <c r="K15" s="107"/>
      <c r="L15" s="107"/>
      <c r="M15" s="107"/>
      <c r="N15" s="107"/>
    </row>
    <row r="16" spans="1:14" ht="17.100000000000001" customHeight="1" x14ac:dyDescent="0.2">
      <c r="A16" s="3">
        <v>10</v>
      </c>
      <c r="B16" s="4" t="s">
        <v>11</v>
      </c>
      <c r="C16" s="4" t="s">
        <v>12</v>
      </c>
      <c r="D16" s="4" t="s">
        <v>13</v>
      </c>
      <c r="E16" s="5">
        <v>207000</v>
      </c>
      <c r="F16" s="6">
        <v>4187.817</v>
      </c>
      <c r="G16" s="7">
        <v>2.2734028999999999E-2</v>
      </c>
      <c r="H16" s="106"/>
      <c r="J16" s="107"/>
      <c r="K16" s="107"/>
      <c r="L16" s="107"/>
      <c r="M16" s="107"/>
      <c r="N16" s="107"/>
    </row>
    <row r="17" spans="1:14" ht="53.1" customHeight="1" x14ac:dyDescent="0.2">
      <c r="A17" s="3">
        <v>11</v>
      </c>
      <c r="B17" s="4" t="s">
        <v>46</v>
      </c>
      <c r="C17" s="4" t="s">
        <v>47</v>
      </c>
      <c r="D17" s="4" t="s">
        <v>48</v>
      </c>
      <c r="E17" s="5">
        <v>2712000</v>
      </c>
      <c r="F17" s="6">
        <v>4157.4960000000001</v>
      </c>
      <c r="G17" s="7">
        <v>2.2569427999999999E-2</v>
      </c>
      <c r="H17" s="106"/>
      <c r="J17" s="107"/>
      <c r="K17" s="107"/>
      <c r="L17" s="107"/>
      <c r="M17" s="107"/>
      <c r="N17" s="107"/>
    </row>
    <row r="18" spans="1:14" ht="17.100000000000001" customHeight="1" x14ac:dyDescent="0.2">
      <c r="A18" s="3">
        <v>12</v>
      </c>
      <c r="B18" s="4" t="s">
        <v>306</v>
      </c>
      <c r="C18" s="4" t="s">
        <v>307</v>
      </c>
      <c r="D18" s="4" t="s">
        <v>1114</v>
      </c>
      <c r="E18" s="5">
        <v>101000</v>
      </c>
      <c r="F18" s="6">
        <v>3225.0814999999998</v>
      </c>
      <c r="G18" s="7">
        <v>1.7507712000000002E-2</v>
      </c>
      <c r="H18" s="106"/>
      <c r="J18" s="107"/>
      <c r="K18" s="107"/>
      <c r="L18" s="107"/>
      <c r="M18" s="107"/>
      <c r="N18" s="107"/>
    </row>
    <row r="19" spans="1:14" ht="17.100000000000001" customHeight="1" x14ac:dyDescent="0.2">
      <c r="A19" s="3">
        <v>13</v>
      </c>
      <c r="B19" s="4" t="s">
        <v>388</v>
      </c>
      <c r="C19" s="4" t="s">
        <v>389</v>
      </c>
      <c r="D19" s="4" t="s">
        <v>99</v>
      </c>
      <c r="E19" s="5">
        <v>604000</v>
      </c>
      <c r="F19" s="6">
        <v>3167.0740000000001</v>
      </c>
      <c r="G19" s="7">
        <v>1.7192811999999998E-2</v>
      </c>
      <c r="H19" s="106"/>
      <c r="J19" s="107"/>
      <c r="K19" s="107"/>
      <c r="L19" s="107"/>
      <c r="M19" s="107"/>
      <c r="N19" s="107"/>
    </row>
    <row r="20" spans="1:14" ht="29.1" customHeight="1" x14ac:dyDescent="0.2">
      <c r="A20" s="3">
        <v>14</v>
      </c>
      <c r="B20" s="4" t="s">
        <v>23</v>
      </c>
      <c r="C20" s="4" t="s">
        <v>24</v>
      </c>
      <c r="D20" s="4" t="s">
        <v>25</v>
      </c>
      <c r="E20" s="5">
        <v>45000</v>
      </c>
      <c r="F20" s="6">
        <v>3021.7275</v>
      </c>
      <c r="G20" s="7">
        <v>1.6403783000000002E-2</v>
      </c>
      <c r="H20" s="106"/>
      <c r="J20" s="107"/>
      <c r="K20" s="107"/>
      <c r="L20" s="107"/>
      <c r="M20" s="107"/>
      <c r="N20" s="107"/>
    </row>
    <row r="21" spans="1:14" ht="17.100000000000001" customHeight="1" x14ac:dyDescent="0.2">
      <c r="A21" s="3">
        <v>15</v>
      </c>
      <c r="B21" s="4" t="s">
        <v>339</v>
      </c>
      <c r="C21" s="4" t="s">
        <v>340</v>
      </c>
      <c r="D21" s="4" t="s">
        <v>16</v>
      </c>
      <c r="E21" s="5">
        <v>232000</v>
      </c>
      <c r="F21" s="6">
        <v>2650.9479999999999</v>
      </c>
      <c r="G21" s="7">
        <v>1.4390965E-2</v>
      </c>
      <c r="H21" s="106"/>
      <c r="J21" s="161" t="s">
        <v>1111</v>
      </c>
      <c r="K21" s="107"/>
      <c r="L21" s="107"/>
      <c r="M21" s="107"/>
      <c r="N21" s="107"/>
    </row>
    <row r="22" spans="1:14" ht="17.100000000000001" customHeight="1" x14ac:dyDescent="0.2">
      <c r="A22" s="3">
        <v>16</v>
      </c>
      <c r="B22" s="4" t="s">
        <v>315</v>
      </c>
      <c r="C22" s="4" t="s">
        <v>316</v>
      </c>
      <c r="D22" s="4" t="s">
        <v>310</v>
      </c>
      <c r="E22" s="5">
        <v>760000</v>
      </c>
      <c r="F22" s="6">
        <v>2650.12</v>
      </c>
      <c r="G22" s="7">
        <v>1.438647E-2</v>
      </c>
      <c r="H22" s="106"/>
      <c r="J22" s="107"/>
      <c r="K22" s="107"/>
      <c r="L22" s="107"/>
      <c r="M22" s="107"/>
      <c r="N22" s="107"/>
    </row>
    <row r="23" spans="1:14" ht="17.100000000000001" customHeight="1" x14ac:dyDescent="0.2">
      <c r="A23" s="3">
        <v>17</v>
      </c>
      <c r="B23" s="4" t="s">
        <v>511</v>
      </c>
      <c r="C23" s="4" t="s">
        <v>512</v>
      </c>
      <c r="D23" s="4" t="s">
        <v>324</v>
      </c>
      <c r="E23" s="5">
        <v>50000</v>
      </c>
      <c r="F23" s="6">
        <v>2074.6999999999998</v>
      </c>
      <c r="G23" s="7">
        <v>1.1262739000000001E-2</v>
      </c>
      <c r="H23" s="106"/>
      <c r="J23" s="107"/>
      <c r="K23" s="107"/>
      <c r="L23" s="107"/>
      <c r="M23" s="107"/>
      <c r="N23" s="107"/>
    </row>
    <row r="24" spans="1:14" ht="17.100000000000001" customHeight="1" x14ac:dyDescent="0.2">
      <c r="A24" s="3">
        <v>18</v>
      </c>
      <c r="B24" s="4" t="s">
        <v>308</v>
      </c>
      <c r="C24" s="4" t="s">
        <v>309</v>
      </c>
      <c r="D24" s="4" t="s">
        <v>310</v>
      </c>
      <c r="E24" s="5">
        <v>81000</v>
      </c>
      <c r="F24" s="6">
        <v>2066.067</v>
      </c>
      <c r="G24" s="7">
        <v>1.1215874000000001E-2</v>
      </c>
      <c r="H24" s="106"/>
      <c r="J24" s="107"/>
      <c r="K24" s="107"/>
      <c r="L24" s="107"/>
      <c r="M24" s="107"/>
      <c r="N24" s="107"/>
    </row>
    <row r="25" spans="1:14" ht="29.1" customHeight="1" x14ac:dyDescent="0.2">
      <c r="A25" s="3">
        <v>19</v>
      </c>
      <c r="B25" s="4" t="s">
        <v>97</v>
      </c>
      <c r="C25" s="4" t="s">
        <v>98</v>
      </c>
      <c r="D25" s="4" t="s">
        <v>99</v>
      </c>
      <c r="E25" s="5">
        <v>284000</v>
      </c>
      <c r="F25" s="6">
        <v>2014.5540000000001</v>
      </c>
      <c r="G25" s="7">
        <v>1.093623E-2</v>
      </c>
      <c r="H25" s="106"/>
      <c r="J25" s="107"/>
      <c r="K25" s="107"/>
      <c r="L25" s="107"/>
      <c r="M25" s="107"/>
      <c r="N25" s="107"/>
    </row>
    <row r="26" spans="1:14" ht="29.1" customHeight="1" x14ac:dyDescent="0.2">
      <c r="A26" s="3">
        <v>20</v>
      </c>
      <c r="B26" s="4" t="s">
        <v>302</v>
      </c>
      <c r="C26" s="4" t="s">
        <v>303</v>
      </c>
      <c r="D26" s="4" t="s">
        <v>204</v>
      </c>
      <c r="E26" s="5">
        <v>197398</v>
      </c>
      <c r="F26" s="6">
        <v>2007.3402619999999</v>
      </c>
      <c r="G26" s="7">
        <v>1.0897069000000001E-2</v>
      </c>
      <c r="H26" s="106"/>
      <c r="J26" s="107"/>
      <c r="K26" s="107"/>
      <c r="L26" s="107"/>
      <c r="M26" s="107"/>
      <c r="N26" s="107"/>
    </row>
    <row r="27" spans="1:14" ht="17.100000000000001" customHeight="1" x14ac:dyDescent="0.2">
      <c r="A27" s="3">
        <v>21</v>
      </c>
      <c r="B27" s="4" t="s">
        <v>346</v>
      </c>
      <c r="C27" s="4" t="s">
        <v>347</v>
      </c>
      <c r="D27" s="4" t="s">
        <v>16</v>
      </c>
      <c r="E27" s="5">
        <v>667000</v>
      </c>
      <c r="F27" s="6">
        <v>1936.9680000000001</v>
      </c>
      <c r="G27" s="7">
        <v>1.0515045000000001E-2</v>
      </c>
      <c r="H27" s="106"/>
      <c r="J27" s="107"/>
      <c r="K27" s="107"/>
      <c r="L27" s="107"/>
      <c r="M27" s="107"/>
      <c r="N27" s="107"/>
    </row>
    <row r="28" spans="1:14" ht="17.100000000000001" customHeight="1" x14ac:dyDescent="0.2">
      <c r="A28" s="3">
        <v>22</v>
      </c>
      <c r="B28" s="4" t="s">
        <v>605</v>
      </c>
      <c r="C28" s="4" t="s">
        <v>606</v>
      </c>
      <c r="D28" s="4" t="s">
        <v>185</v>
      </c>
      <c r="E28" s="5">
        <v>214000</v>
      </c>
      <c r="F28" s="6">
        <v>1918.1890000000001</v>
      </c>
      <c r="G28" s="7">
        <v>1.0413102E-2</v>
      </c>
      <c r="H28" s="106"/>
      <c r="J28" s="107"/>
      <c r="K28" s="107"/>
      <c r="L28" s="107"/>
      <c r="M28" s="107"/>
      <c r="N28" s="107"/>
    </row>
    <row r="29" spans="1:14" ht="17.100000000000001" customHeight="1" x14ac:dyDescent="0.2">
      <c r="A29" s="3">
        <v>23</v>
      </c>
      <c r="B29" s="4" t="s">
        <v>530</v>
      </c>
      <c r="C29" s="4" t="s">
        <v>531</v>
      </c>
      <c r="D29" s="4" t="s">
        <v>110</v>
      </c>
      <c r="E29" s="5">
        <v>107009</v>
      </c>
      <c r="F29" s="6">
        <v>1770.5709139999999</v>
      </c>
      <c r="G29" s="7">
        <v>9.6117400000000006E-3</v>
      </c>
      <c r="H29" s="106"/>
    </row>
    <row r="30" spans="1:14" ht="17.100000000000001" customHeight="1" x14ac:dyDescent="0.2">
      <c r="A30" s="3">
        <v>24</v>
      </c>
      <c r="B30" s="4" t="s">
        <v>233</v>
      </c>
      <c r="C30" s="4" t="s">
        <v>234</v>
      </c>
      <c r="D30" s="4" t="s">
        <v>110</v>
      </c>
      <c r="E30" s="5">
        <v>201000</v>
      </c>
      <c r="F30" s="6">
        <v>1761.162</v>
      </c>
      <c r="G30" s="7">
        <v>9.5606630000000005E-3</v>
      </c>
      <c r="H30" s="106"/>
    </row>
    <row r="31" spans="1:14" ht="17.100000000000001" customHeight="1" x14ac:dyDescent="0.2">
      <c r="A31" s="3">
        <v>25</v>
      </c>
      <c r="B31" s="4" t="s">
        <v>358</v>
      </c>
      <c r="C31" s="4" t="s">
        <v>359</v>
      </c>
      <c r="D31" s="4" t="s">
        <v>70</v>
      </c>
      <c r="E31" s="5">
        <v>426000</v>
      </c>
      <c r="F31" s="6">
        <v>1758.3150000000001</v>
      </c>
      <c r="G31" s="7">
        <v>9.5452079999999995E-3</v>
      </c>
      <c r="H31" s="106"/>
    </row>
    <row r="32" spans="1:14" ht="17.100000000000001" customHeight="1" x14ac:dyDescent="0.2">
      <c r="A32" s="3">
        <v>26</v>
      </c>
      <c r="B32" s="4" t="s">
        <v>100</v>
      </c>
      <c r="C32" s="4" t="s">
        <v>101</v>
      </c>
      <c r="D32" s="4" t="s">
        <v>96</v>
      </c>
      <c r="E32" s="5">
        <v>182000</v>
      </c>
      <c r="F32" s="6">
        <v>1682.8630000000001</v>
      </c>
      <c r="G32" s="7">
        <v>9.1356079999999999E-3</v>
      </c>
      <c r="H32" s="106"/>
    </row>
    <row r="33" spans="1:8" ht="17.100000000000001" customHeight="1" x14ac:dyDescent="0.2">
      <c r="A33" s="3">
        <v>27</v>
      </c>
      <c r="B33" s="4" t="s">
        <v>609</v>
      </c>
      <c r="C33" s="4" t="s">
        <v>610</v>
      </c>
      <c r="D33" s="4" t="s">
        <v>41</v>
      </c>
      <c r="E33" s="5">
        <v>92000</v>
      </c>
      <c r="F33" s="6">
        <v>1639.164</v>
      </c>
      <c r="G33" s="7">
        <v>8.8983829999999993E-3</v>
      </c>
      <c r="H33" s="106"/>
    </row>
    <row r="34" spans="1:8" ht="17.100000000000001" customHeight="1" x14ac:dyDescent="0.2">
      <c r="A34" s="3">
        <v>28</v>
      </c>
      <c r="B34" s="4" t="s">
        <v>26</v>
      </c>
      <c r="C34" s="4" t="s">
        <v>27</v>
      </c>
      <c r="D34" s="4" t="s">
        <v>28</v>
      </c>
      <c r="E34" s="5">
        <v>840000</v>
      </c>
      <c r="F34" s="6">
        <v>1454.04</v>
      </c>
      <c r="G34" s="7">
        <v>7.8934169999999998E-3</v>
      </c>
      <c r="H34" s="106"/>
    </row>
    <row r="35" spans="1:8" ht="17.100000000000001" customHeight="1" x14ac:dyDescent="0.2">
      <c r="A35" s="3">
        <v>29</v>
      </c>
      <c r="B35" s="4" t="s">
        <v>17</v>
      </c>
      <c r="C35" s="4" t="s">
        <v>18</v>
      </c>
      <c r="D35" s="4" t="s">
        <v>19</v>
      </c>
      <c r="E35" s="5">
        <v>170000</v>
      </c>
      <c r="F35" s="6">
        <v>1414.4</v>
      </c>
      <c r="G35" s="7">
        <v>7.6782270000000001E-3</v>
      </c>
      <c r="H35" s="106"/>
    </row>
    <row r="36" spans="1:8" ht="17.100000000000001" customHeight="1" x14ac:dyDescent="0.2">
      <c r="A36" s="3">
        <v>30</v>
      </c>
      <c r="B36" s="4" t="s">
        <v>348</v>
      </c>
      <c r="C36" s="4" t="s">
        <v>349</v>
      </c>
      <c r="D36" s="4" t="s">
        <v>99</v>
      </c>
      <c r="E36" s="5">
        <v>17000</v>
      </c>
      <c r="F36" s="6">
        <v>1214.4970000000001</v>
      </c>
      <c r="G36" s="7">
        <v>6.5930320000000004E-3</v>
      </c>
      <c r="H36" s="106"/>
    </row>
    <row r="37" spans="1:8" ht="17.100000000000001" customHeight="1" x14ac:dyDescent="0.2">
      <c r="A37" s="3">
        <v>31</v>
      </c>
      <c r="B37" s="4" t="s">
        <v>243</v>
      </c>
      <c r="C37" s="4" t="s">
        <v>244</v>
      </c>
      <c r="D37" s="4" t="s">
        <v>245</v>
      </c>
      <c r="E37" s="5">
        <v>166000</v>
      </c>
      <c r="F37" s="6">
        <v>1175.3630000000001</v>
      </c>
      <c r="G37" s="7">
        <v>6.3805880000000004E-3</v>
      </c>
      <c r="H37" s="106"/>
    </row>
    <row r="38" spans="1:8" ht="17.100000000000001" customHeight="1" x14ac:dyDescent="0.2">
      <c r="A38" s="3">
        <v>32</v>
      </c>
      <c r="B38" s="4" t="s">
        <v>123</v>
      </c>
      <c r="C38" s="4" t="s">
        <v>124</v>
      </c>
      <c r="D38" s="4" t="s">
        <v>110</v>
      </c>
      <c r="E38" s="5">
        <v>56000</v>
      </c>
      <c r="F38" s="6">
        <v>1156.4280000000001</v>
      </c>
      <c r="G38" s="7">
        <v>6.2777980000000002E-3</v>
      </c>
      <c r="H38" s="106"/>
    </row>
    <row r="39" spans="1:8" ht="29.1" customHeight="1" x14ac:dyDescent="0.2">
      <c r="A39" s="3">
        <v>33</v>
      </c>
      <c r="B39" s="4" t="s">
        <v>614</v>
      </c>
      <c r="C39" s="4" t="s">
        <v>615</v>
      </c>
      <c r="D39" s="4" t="s">
        <v>245</v>
      </c>
      <c r="E39" s="5">
        <v>91000</v>
      </c>
      <c r="F39" s="6">
        <v>1064.6545000000001</v>
      </c>
      <c r="G39" s="7">
        <v>5.7795950000000002E-3</v>
      </c>
      <c r="H39" s="106"/>
    </row>
    <row r="40" spans="1:8" ht="17.100000000000001" customHeight="1" x14ac:dyDescent="0.2">
      <c r="A40" s="3">
        <v>34</v>
      </c>
      <c r="B40" s="4" t="s">
        <v>176</v>
      </c>
      <c r="C40" s="4" t="s">
        <v>177</v>
      </c>
      <c r="D40" s="4" t="s">
        <v>16</v>
      </c>
      <c r="E40" s="5">
        <v>800000</v>
      </c>
      <c r="F40" s="6">
        <v>1052</v>
      </c>
      <c r="G40" s="7">
        <v>5.7108990000000002E-3</v>
      </c>
      <c r="H40" s="106"/>
    </row>
    <row r="41" spans="1:8" ht="29.1" customHeight="1" x14ac:dyDescent="0.2">
      <c r="A41" s="3">
        <v>35</v>
      </c>
      <c r="B41" s="4" t="s">
        <v>189</v>
      </c>
      <c r="C41" s="4" t="s">
        <v>190</v>
      </c>
      <c r="D41" s="4" t="s">
        <v>110</v>
      </c>
      <c r="E41" s="5">
        <v>289000</v>
      </c>
      <c r="F41" s="6">
        <v>1047.047</v>
      </c>
      <c r="G41" s="7">
        <v>5.6840110000000001E-3</v>
      </c>
      <c r="H41" s="106"/>
    </row>
    <row r="42" spans="1:8" ht="53.1" customHeight="1" x14ac:dyDescent="0.2">
      <c r="A42" s="3">
        <v>36</v>
      </c>
      <c r="B42" s="4" t="s">
        <v>90</v>
      </c>
      <c r="C42" s="4" t="s">
        <v>91</v>
      </c>
      <c r="D42" s="4" t="s">
        <v>48</v>
      </c>
      <c r="E42" s="5">
        <v>65342</v>
      </c>
      <c r="F42" s="6">
        <v>1029.855262</v>
      </c>
      <c r="G42" s="7">
        <v>5.5906829999999999E-3</v>
      </c>
      <c r="H42" s="106"/>
    </row>
    <row r="43" spans="1:8" ht="17.100000000000001" customHeight="1" x14ac:dyDescent="0.2">
      <c r="A43" s="3">
        <v>37</v>
      </c>
      <c r="B43" s="4" t="s">
        <v>194</v>
      </c>
      <c r="C43" s="4" t="s">
        <v>195</v>
      </c>
      <c r="D43" s="4" t="s">
        <v>16</v>
      </c>
      <c r="E43" s="5">
        <v>670000</v>
      </c>
      <c r="F43" s="6">
        <v>989.59</v>
      </c>
      <c r="G43" s="7">
        <v>5.372099E-3</v>
      </c>
      <c r="H43" s="106"/>
    </row>
    <row r="44" spans="1:8" ht="17.100000000000001" customHeight="1" x14ac:dyDescent="0.2">
      <c r="A44" s="3">
        <v>38</v>
      </c>
      <c r="B44" s="4" t="s">
        <v>562</v>
      </c>
      <c r="C44" s="4" t="s">
        <v>563</v>
      </c>
      <c r="D44" s="4" t="s">
        <v>110</v>
      </c>
      <c r="E44" s="5">
        <v>31000</v>
      </c>
      <c r="F44" s="6">
        <v>963.38699999999994</v>
      </c>
      <c r="G44" s="7">
        <v>5.2298529999999996E-3</v>
      </c>
      <c r="H44" s="106"/>
    </row>
    <row r="45" spans="1:8" ht="17.100000000000001" customHeight="1" x14ac:dyDescent="0.2">
      <c r="A45" s="3">
        <v>39</v>
      </c>
      <c r="B45" s="4" t="s">
        <v>37</v>
      </c>
      <c r="C45" s="4" t="s">
        <v>38</v>
      </c>
      <c r="D45" s="4" t="s">
        <v>31</v>
      </c>
      <c r="E45" s="5">
        <v>34000</v>
      </c>
      <c r="F45" s="6">
        <v>944.33299999999997</v>
      </c>
      <c r="G45" s="7">
        <v>5.126416E-3</v>
      </c>
      <c r="H45" s="106"/>
    </row>
    <row r="46" spans="1:8" ht="17.100000000000001" customHeight="1" x14ac:dyDescent="0.2">
      <c r="A46" s="3">
        <v>40</v>
      </c>
      <c r="B46" s="4" t="s">
        <v>54</v>
      </c>
      <c r="C46" s="4" t="s">
        <v>55</v>
      </c>
      <c r="D46" s="4" t="s">
        <v>28</v>
      </c>
      <c r="E46" s="5">
        <v>400000</v>
      </c>
      <c r="F46" s="6">
        <v>912.6</v>
      </c>
      <c r="G46" s="7">
        <v>4.95415E-3</v>
      </c>
      <c r="H46" s="106"/>
    </row>
    <row r="47" spans="1:8" ht="17.100000000000001" customHeight="1" x14ac:dyDescent="0.2">
      <c r="A47" s="3">
        <v>41</v>
      </c>
      <c r="B47" s="4" t="s">
        <v>228</v>
      </c>
      <c r="C47" s="4" t="s">
        <v>229</v>
      </c>
      <c r="D47" s="4" t="s">
        <v>230</v>
      </c>
      <c r="E47" s="5">
        <v>140000</v>
      </c>
      <c r="F47" s="6">
        <v>853.93</v>
      </c>
      <c r="G47" s="7">
        <v>4.6356540000000003E-3</v>
      </c>
      <c r="H47" s="106"/>
    </row>
    <row r="48" spans="1:8" ht="17.100000000000001" customHeight="1" x14ac:dyDescent="0.2">
      <c r="A48" s="3">
        <v>42</v>
      </c>
      <c r="B48" s="4" t="s">
        <v>258</v>
      </c>
      <c r="C48" s="4" t="s">
        <v>259</v>
      </c>
      <c r="D48" s="4" t="s">
        <v>99</v>
      </c>
      <c r="E48" s="5">
        <v>50000</v>
      </c>
      <c r="F48" s="6">
        <v>843.75</v>
      </c>
      <c r="G48" s="7">
        <v>4.5803900000000002E-3</v>
      </c>
      <c r="H48" s="106"/>
    </row>
    <row r="49" spans="1:8" ht="17.100000000000001" customHeight="1" x14ac:dyDescent="0.2">
      <c r="A49" s="3">
        <v>43</v>
      </c>
      <c r="B49" s="4" t="s">
        <v>354</v>
      </c>
      <c r="C49" s="4" t="s">
        <v>355</v>
      </c>
      <c r="D49" s="4" t="s">
        <v>182</v>
      </c>
      <c r="E49" s="5">
        <v>19000</v>
      </c>
      <c r="F49" s="6">
        <v>820.971</v>
      </c>
      <c r="G49" s="7">
        <v>4.4567319999999997E-3</v>
      </c>
      <c r="H49" s="106"/>
    </row>
    <row r="50" spans="1:8" ht="17.100000000000001" customHeight="1" x14ac:dyDescent="0.2">
      <c r="A50" s="3">
        <v>44</v>
      </c>
      <c r="B50" s="4" t="s">
        <v>356</v>
      </c>
      <c r="C50" s="4" t="s">
        <v>357</v>
      </c>
      <c r="D50" s="4" t="s">
        <v>41</v>
      </c>
      <c r="E50" s="5">
        <v>42000</v>
      </c>
      <c r="F50" s="6">
        <v>795.06</v>
      </c>
      <c r="G50" s="7">
        <v>4.3160710000000003E-3</v>
      </c>
      <c r="H50" s="106"/>
    </row>
    <row r="51" spans="1:8" ht="17.100000000000001" customHeight="1" x14ac:dyDescent="0.2">
      <c r="A51" s="3">
        <v>45</v>
      </c>
      <c r="B51" s="4" t="s">
        <v>256</v>
      </c>
      <c r="C51" s="4" t="s">
        <v>257</v>
      </c>
      <c r="D51" s="4" t="s">
        <v>212</v>
      </c>
      <c r="E51" s="5">
        <v>276298</v>
      </c>
      <c r="F51" s="6">
        <v>766.58880099999999</v>
      </c>
      <c r="G51" s="7">
        <v>4.161512E-3</v>
      </c>
      <c r="H51" s="106"/>
    </row>
    <row r="52" spans="1:8" ht="17.100000000000001" customHeight="1" x14ac:dyDescent="0.2">
      <c r="A52" s="3">
        <v>46</v>
      </c>
      <c r="B52" s="4" t="s">
        <v>106</v>
      </c>
      <c r="C52" s="4" t="s">
        <v>107</v>
      </c>
      <c r="D52" s="4" t="s">
        <v>89</v>
      </c>
      <c r="E52" s="5">
        <v>164372</v>
      </c>
      <c r="F52" s="6">
        <v>764.98728800000004</v>
      </c>
      <c r="G52" s="7">
        <v>4.152818E-3</v>
      </c>
      <c r="H52" s="106"/>
    </row>
    <row r="53" spans="1:8" ht="17.100000000000001" customHeight="1" x14ac:dyDescent="0.2">
      <c r="A53" s="3">
        <v>47</v>
      </c>
      <c r="B53" s="4" t="s">
        <v>320</v>
      </c>
      <c r="C53" s="4" t="s">
        <v>321</v>
      </c>
      <c r="D53" s="4" t="s">
        <v>230</v>
      </c>
      <c r="E53" s="5">
        <v>50000</v>
      </c>
      <c r="F53" s="6">
        <v>723.57500000000005</v>
      </c>
      <c r="G53" s="7">
        <v>3.9280069999999999E-3</v>
      </c>
      <c r="H53" s="106"/>
    </row>
    <row r="54" spans="1:8" ht="17.100000000000001" customHeight="1" x14ac:dyDescent="0.2">
      <c r="A54" s="3">
        <v>48</v>
      </c>
      <c r="B54" s="4" t="s">
        <v>371</v>
      </c>
      <c r="C54" s="4" t="s">
        <v>372</v>
      </c>
      <c r="D54" s="4" t="s">
        <v>110</v>
      </c>
      <c r="E54" s="5">
        <v>25000</v>
      </c>
      <c r="F54" s="6">
        <v>690.375</v>
      </c>
      <c r="G54" s="7">
        <v>3.7477769999999999E-3</v>
      </c>
      <c r="H54" s="106"/>
    </row>
    <row r="55" spans="1:8" ht="17.100000000000001" customHeight="1" x14ac:dyDescent="0.2">
      <c r="A55" s="3">
        <v>49</v>
      </c>
      <c r="B55" s="4" t="s">
        <v>191</v>
      </c>
      <c r="C55" s="4" t="s">
        <v>192</v>
      </c>
      <c r="D55" s="4" t="s">
        <v>193</v>
      </c>
      <c r="E55" s="5">
        <v>1300</v>
      </c>
      <c r="F55" s="6">
        <v>646.99244999999996</v>
      </c>
      <c r="G55" s="7">
        <v>3.5122700000000001E-3</v>
      </c>
      <c r="H55" s="106"/>
    </row>
    <row r="56" spans="1:8" ht="17.100000000000001" customHeight="1" x14ac:dyDescent="0.2">
      <c r="A56" s="3">
        <v>50</v>
      </c>
      <c r="B56" s="4" t="s">
        <v>39</v>
      </c>
      <c r="C56" s="4" t="s">
        <v>40</v>
      </c>
      <c r="D56" s="4" t="s">
        <v>41</v>
      </c>
      <c r="E56" s="5">
        <v>80000</v>
      </c>
      <c r="F56" s="6">
        <v>638.4</v>
      </c>
      <c r="G56" s="7">
        <v>3.465625E-3</v>
      </c>
      <c r="H56" s="106"/>
    </row>
    <row r="57" spans="1:8" ht="17.100000000000001" customHeight="1" x14ac:dyDescent="0.2">
      <c r="A57" s="3">
        <v>51</v>
      </c>
      <c r="B57" s="4" t="s">
        <v>489</v>
      </c>
      <c r="C57" s="4" t="s">
        <v>490</v>
      </c>
      <c r="D57" s="4" t="s">
        <v>182</v>
      </c>
      <c r="E57" s="5">
        <v>179166</v>
      </c>
      <c r="F57" s="6">
        <v>634.06847400000004</v>
      </c>
      <c r="G57" s="7">
        <v>3.4421109999999999E-3</v>
      </c>
      <c r="H57" s="106"/>
    </row>
    <row r="58" spans="1:8" ht="17.100000000000001" customHeight="1" x14ac:dyDescent="0.2">
      <c r="A58" s="3">
        <v>52</v>
      </c>
      <c r="B58" s="4" t="s">
        <v>544</v>
      </c>
      <c r="C58" s="4" t="s">
        <v>545</v>
      </c>
      <c r="D58" s="4" t="s">
        <v>324</v>
      </c>
      <c r="E58" s="5">
        <v>85452</v>
      </c>
      <c r="F58" s="6">
        <v>590.43059400000004</v>
      </c>
      <c r="G58" s="7">
        <v>3.2052180000000001E-3</v>
      </c>
      <c r="H58" s="106"/>
    </row>
    <row r="59" spans="1:8" ht="29.1" customHeight="1" x14ac:dyDescent="0.2">
      <c r="A59" s="3">
        <v>53</v>
      </c>
      <c r="B59" s="4" t="s">
        <v>186</v>
      </c>
      <c r="C59" s="4" t="s">
        <v>187</v>
      </c>
      <c r="D59" s="4" t="s">
        <v>188</v>
      </c>
      <c r="E59" s="5">
        <v>22000</v>
      </c>
      <c r="F59" s="6">
        <v>562.90300000000002</v>
      </c>
      <c r="G59" s="7">
        <v>3.055781E-3</v>
      </c>
      <c r="H59" s="106"/>
    </row>
    <row r="60" spans="1:8" ht="17.100000000000001" customHeight="1" x14ac:dyDescent="0.2">
      <c r="A60" s="3">
        <v>54</v>
      </c>
      <c r="B60" s="4" t="s">
        <v>546</v>
      </c>
      <c r="C60" s="4" t="s">
        <v>547</v>
      </c>
      <c r="D60" s="4" t="s">
        <v>110</v>
      </c>
      <c r="E60" s="5">
        <v>67978</v>
      </c>
      <c r="F60" s="6">
        <v>507.86363799999998</v>
      </c>
      <c r="G60" s="7">
        <v>2.756994E-3</v>
      </c>
      <c r="H60" s="106"/>
    </row>
    <row r="61" spans="1:8" ht="17.100000000000001" customHeight="1" x14ac:dyDescent="0.2">
      <c r="A61" s="3">
        <v>55</v>
      </c>
      <c r="B61" s="4" t="s">
        <v>102</v>
      </c>
      <c r="C61" s="4" t="s">
        <v>103</v>
      </c>
      <c r="D61" s="4" t="s">
        <v>13</v>
      </c>
      <c r="E61" s="5">
        <v>53574</v>
      </c>
      <c r="F61" s="6">
        <v>119.255724</v>
      </c>
      <c r="G61" s="7">
        <v>6.4739300000000001E-4</v>
      </c>
      <c r="H61" s="106"/>
    </row>
    <row r="62" spans="1:8" ht="17.100000000000001" customHeight="1" x14ac:dyDescent="0.2">
      <c r="A62" s="3">
        <v>56</v>
      </c>
      <c r="B62" s="4" t="s">
        <v>524</v>
      </c>
      <c r="C62" s="4" t="s">
        <v>525</v>
      </c>
      <c r="D62" s="4" t="s">
        <v>110</v>
      </c>
      <c r="E62" s="5">
        <v>30000</v>
      </c>
      <c r="F62" s="6">
        <v>80.64</v>
      </c>
      <c r="G62" s="7">
        <v>4.3776299999999998E-4</v>
      </c>
      <c r="H62" s="106"/>
    </row>
    <row r="63" spans="1:8" ht="14.1" customHeight="1" x14ac:dyDescent="0.2">
      <c r="A63" s="1"/>
      <c r="B63" s="1"/>
      <c r="C63" s="2" t="s">
        <v>130</v>
      </c>
      <c r="D63" s="1"/>
      <c r="E63" s="1" t="s">
        <v>131</v>
      </c>
      <c r="F63" s="9">
        <v>130719.964549</v>
      </c>
      <c r="G63" s="10">
        <v>0.70962781399999997</v>
      </c>
      <c r="H63" s="106"/>
    </row>
    <row r="64" spans="1:8" ht="14.1" customHeight="1" x14ac:dyDescent="0.2">
      <c r="A64" s="1"/>
      <c r="B64" s="1"/>
      <c r="C64" s="11"/>
      <c r="D64" s="1"/>
      <c r="E64" s="1"/>
      <c r="F64" s="12"/>
      <c r="G64" s="12"/>
      <c r="H64" s="106"/>
    </row>
    <row r="65" spans="1:8" ht="14.1" customHeight="1" x14ac:dyDescent="0.2">
      <c r="A65" s="1"/>
      <c r="B65" s="1"/>
      <c r="C65" s="2" t="s">
        <v>132</v>
      </c>
      <c r="D65" s="1"/>
      <c r="E65" s="1"/>
      <c r="F65" s="1"/>
      <c r="G65" s="1"/>
      <c r="H65" s="106"/>
    </row>
    <row r="66" spans="1:8" ht="14.1" customHeight="1" x14ac:dyDescent="0.2">
      <c r="A66" s="1"/>
      <c r="B66" s="1"/>
      <c r="C66" s="2" t="s">
        <v>130</v>
      </c>
      <c r="D66" s="1"/>
      <c r="E66" s="1" t="s">
        <v>131</v>
      </c>
      <c r="F66" s="13">
        <v>0</v>
      </c>
      <c r="G66" s="14">
        <v>0</v>
      </c>
      <c r="H66" s="106"/>
    </row>
    <row r="67" spans="1:8" ht="14.1" customHeight="1" x14ac:dyDescent="0.2">
      <c r="A67" s="1"/>
      <c r="B67" s="1"/>
      <c r="C67" s="11"/>
      <c r="D67" s="1"/>
      <c r="E67" s="1"/>
      <c r="F67" s="12"/>
      <c r="G67" s="12"/>
      <c r="H67" s="106"/>
    </row>
    <row r="68" spans="1:8" ht="14.1" customHeight="1" x14ac:dyDescent="0.2">
      <c r="A68" s="1"/>
      <c r="B68" s="1"/>
      <c r="C68" s="2" t="s">
        <v>133</v>
      </c>
      <c r="D68" s="1"/>
      <c r="E68" s="1"/>
      <c r="F68" s="1"/>
      <c r="G68" s="1"/>
      <c r="H68" s="106"/>
    </row>
    <row r="69" spans="1:8" ht="14.1" customHeight="1" x14ac:dyDescent="0.2">
      <c r="A69" s="1"/>
      <c r="B69" s="1"/>
      <c r="C69" s="2" t="s">
        <v>130</v>
      </c>
      <c r="D69" s="1"/>
      <c r="E69" s="1" t="s">
        <v>131</v>
      </c>
      <c r="F69" s="13">
        <v>0</v>
      </c>
      <c r="G69" s="14">
        <v>0</v>
      </c>
      <c r="H69" s="106"/>
    </row>
    <row r="70" spans="1:8" ht="14.1" customHeight="1" x14ac:dyDescent="0.2">
      <c r="A70" s="1"/>
      <c r="B70" s="1"/>
      <c r="C70" s="11"/>
      <c r="D70" s="1"/>
      <c r="E70" s="1"/>
      <c r="F70" s="12"/>
      <c r="G70" s="12"/>
      <c r="H70" s="106"/>
    </row>
    <row r="71" spans="1:8" ht="14.1" customHeight="1" x14ac:dyDescent="0.2">
      <c r="A71" s="1"/>
      <c r="B71" s="1"/>
      <c r="C71" s="2" t="s">
        <v>134</v>
      </c>
      <c r="D71" s="1"/>
      <c r="E71" s="1"/>
      <c r="F71" s="1"/>
      <c r="G71" s="1"/>
      <c r="H71" s="106"/>
    </row>
    <row r="72" spans="1:8" ht="14.1" customHeight="1" x14ac:dyDescent="0.2">
      <c r="A72" s="1"/>
      <c r="B72" s="1"/>
      <c r="C72" s="2" t="s">
        <v>130</v>
      </c>
      <c r="D72" s="1"/>
      <c r="E72" s="1" t="s">
        <v>131</v>
      </c>
      <c r="F72" s="13">
        <v>0</v>
      </c>
      <c r="G72" s="14">
        <v>0</v>
      </c>
      <c r="H72" s="106"/>
    </row>
    <row r="73" spans="1:8" ht="14.1" customHeight="1" x14ac:dyDescent="0.2">
      <c r="A73" s="1"/>
      <c r="B73" s="1"/>
      <c r="C73" s="11"/>
      <c r="D73" s="1"/>
      <c r="E73" s="1"/>
      <c r="F73" s="12"/>
      <c r="G73" s="12"/>
      <c r="H73" s="106"/>
    </row>
    <row r="74" spans="1:8" ht="14.1" customHeight="1" x14ac:dyDescent="0.2">
      <c r="A74" s="1"/>
      <c r="B74" s="1"/>
      <c r="C74" s="2" t="s">
        <v>135</v>
      </c>
      <c r="D74" s="1"/>
      <c r="E74" s="1"/>
      <c r="F74" s="12"/>
      <c r="G74" s="12"/>
      <c r="H74" s="106"/>
    </row>
    <row r="75" spans="1:8" ht="14.1" customHeight="1" x14ac:dyDescent="0.2">
      <c r="A75" s="1"/>
      <c r="B75" s="1"/>
      <c r="C75" s="2" t="s">
        <v>130</v>
      </c>
      <c r="D75" s="1"/>
      <c r="E75" s="1" t="s">
        <v>131</v>
      </c>
      <c r="F75" s="13">
        <v>0</v>
      </c>
      <c r="G75" s="14">
        <v>0</v>
      </c>
      <c r="H75" s="106"/>
    </row>
    <row r="76" spans="1:8" ht="14.1" customHeight="1" x14ac:dyDescent="0.2">
      <c r="A76" s="1"/>
      <c r="B76" s="1"/>
      <c r="C76" s="11"/>
      <c r="D76" s="1"/>
      <c r="E76" s="1"/>
      <c r="F76" s="12"/>
      <c r="G76" s="12"/>
      <c r="H76" s="106"/>
    </row>
    <row r="77" spans="1:8" ht="14.1" customHeight="1" x14ac:dyDescent="0.2">
      <c r="A77" s="1"/>
      <c r="B77" s="1"/>
      <c r="C77" s="2" t="s">
        <v>136</v>
      </c>
      <c r="D77" s="1"/>
      <c r="E77" s="1"/>
      <c r="F77" s="12"/>
      <c r="G77" s="12"/>
      <c r="H77" s="106"/>
    </row>
    <row r="78" spans="1:8" ht="14.1" customHeight="1" x14ac:dyDescent="0.2">
      <c r="A78" s="1"/>
      <c r="B78" s="1"/>
      <c r="C78" s="2" t="s">
        <v>130</v>
      </c>
      <c r="D78" s="1"/>
      <c r="E78" s="1" t="s">
        <v>131</v>
      </c>
      <c r="F78" s="13">
        <v>0</v>
      </c>
      <c r="G78" s="14">
        <v>0</v>
      </c>
      <c r="H78" s="106"/>
    </row>
    <row r="79" spans="1:8" ht="14.1" customHeight="1" x14ac:dyDescent="0.2">
      <c r="A79" s="1"/>
      <c r="B79" s="1"/>
      <c r="C79" s="11"/>
      <c r="D79" s="1"/>
      <c r="E79" s="1"/>
      <c r="F79" s="12"/>
      <c r="G79" s="12"/>
      <c r="H79" s="106"/>
    </row>
    <row r="80" spans="1:8" ht="18" customHeight="1" x14ac:dyDescent="0.2">
      <c r="A80" s="1"/>
      <c r="B80" s="1"/>
      <c r="C80" s="2" t="s">
        <v>137</v>
      </c>
      <c r="D80" s="1"/>
      <c r="E80" s="1"/>
      <c r="F80" s="9">
        <v>130719.964549</v>
      </c>
      <c r="G80" s="10">
        <v>0.70962781399999997</v>
      </c>
      <c r="H80" s="106"/>
    </row>
    <row r="81" spans="1:9" ht="14.1" customHeight="1" x14ac:dyDescent="0.2">
      <c r="A81" s="1"/>
      <c r="B81" s="1"/>
      <c r="C81" s="11"/>
      <c r="D81" s="1"/>
      <c r="E81" s="1"/>
      <c r="F81" s="12"/>
      <c r="G81" s="12"/>
      <c r="H81" s="106"/>
    </row>
    <row r="82" spans="1:9" ht="14.1" customHeight="1" x14ac:dyDescent="0.2">
      <c r="A82" s="1"/>
      <c r="B82" s="1"/>
      <c r="C82" s="2" t="s">
        <v>138</v>
      </c>
      <c r="D82" s="1"/>
      <c r="E82" s="1"/>
      <c r="F82" s="12"/>
      <c r="G82" s="12"/>
      <c r="H82" s="106"/>
    </row>
    <row r="83" spans="1:9" ht="24" customHeight="1" x14ac:dyDescent="0.2">
      <c r="A83" s="1"/>
      <c r="B83" s="1"/>
      <c r="C83" s="2" t="s">
        <v>10</v>
      </c>
      <c r="D83" s="1"/>
      <c r="E83" s="1"/>
      <c r="F83" s="12"/>
      <c r="G83" s="12"/>
      <c r="H83" s="106"/>
    </row>
    <row r="84" spans="1:9" ht="14.1" customHeight="1" x14ac:dyDescent="0.2">
      <c r="A84" s="1"/>
      <c r="B84" s="1"/>
      <c r="C84" s="2" t="s">
        <v>130</v>
      </c>
      <c r="D84" s="1"/>
      <c r="E84" s="1" t="s">
        <v>131</v>
      </c>
      <c r="F84" s="13">
        <v>0</v>
      </c>
      <c r="G84" s="14">
        <v>0</v>
      </c>
      <c r="H84" s="106"/>
    </row>
    <row r="85" spans="1:9" ht="14.1" customHeight="1" x14ac:dyDescent="0.2">
      <c r="A85" s="1"/>
      <c r="B85" s="1"/>
      <c r="C85" s="11"/>
      <c r="D85" s="1"/>
      <c r="E85" s="1"/>
      <c r="F85" s="12"/>
      <c r="G85" s="12"/>
      <c r="H85" s="106"/>
    </row>
    <row r="86" spans="1:9" ht="14.1" customHeight="1" x14ac:dyDescent="0.2">
      <c r="A86" s="1"/>
      <c r="B86" s="1"/>
      <c r="C86" s="2" t="s">
        <v>139</v>
      </c>
      <c r="D86" s="1"/>
      <c r="E86" s="1"/>
      <c r="F86" s="1"/>
      <c r="G86" s="1"/>
      <c r="H86" s="106"/>
    </row>
    <row r="87" spans="1:9" ht="14.1" customHeight="1" x14ac:dyDescent="0.2">
      <c r="A87" s="1"/>
      <c r="B87" s="1"/>
      <c r="C87" s="2" t="s">
        <v>130</v>
      </c>
      <c r="D87" s="1"/>
      <c r="E87" s="1" t="s">
        <v>131</v>
      </c>
      <c r="F87" s="13">
        <v>0</v>
      </c>
      <c r="G87" s="14">
        <v>0</v>
      </c>
      <c r="H87" s="106"/>
    </row>
    <row r="88" spans="1:9" ht="14.1" customHeight="1" x14ac:dyDescent="0.2">
      <c r="A88" s="1"/>
      <c r="B88" s="1"/>
      <c r="C88" s="11"/>
      <c r="D88" s="1"/>
      <c r="E88" s="1"/>
      <c r="F88" s="12"/>
      <c r="G88" s="12"/>
      <c r="H88" s="106"/>
      <c r="I88" s="165"/>
    </row>
    <row r="89" spans="1:9" ht="14.1" customHeight="1" x14ac:dyDescent="0.2">
      <c r="A89" s="1"/>
      <c r="B89" s="1"/>
      <c r="C89" s="2" t="s">
        <v>140</v>
      </c>
      <c r="D89" s="1"/>
      <c r="E89" s="1"/>
      <c r="F89" s="1"/>
      <c r="G89" s="1"/>
      <c r="H89" s="106"/>
    </row>
    <row r="90" spans="1:9" ht="14.1" customHeight="1" x14ac:dyDescent="0.2">
      <c r="A90" s="1"/>
      <c r="B90" s="1"/>
      <c r="C90" s="2" t="s">
        <v>130</v>
      </c>
      <c r="D90" s="1"/>
      <c r="E90" s="1" t="s">
        <v>131</v>
      </c>
      <c r="F90" s="13">
        <v>0</v>
      </c>
      <c r="G90" s="14">
        <v>0</v>
      </c>
      <c r="H90" s="106"/>
    </row>
    <row r="91" spans="1:9" ht="14.1" customHeight="1" x14ac:dyDescent="0.2">
      <c r="A91" s="1"/>
      <c r="B91" s="1"/>
      <c r="C91" s="11"/>
      <c r="D91" s="1"/>
      <c r="E91" s="1"/>
      <c r="F91" s="12"/>
      <c r="G91" s="12"/>
      <c r="H91" s="106"/>
      <c r="I91" s="165"/>
    </row>
    <row r="92" spans="1:9" ht="14.1" customHeight="1" x14ac:dyDescent="0.2">
      <c r="A92" s="1"/>
      <c r="B92" s="1"/>
      <c r="C92" s="2" t="s">
        <v>141</v>
      </c>
      <c r="D92" s="1"/>
      <c r="E92" s="1"/>
      <c r="F92" s="12"/>
      <c r="G92" s="12"/>
      <c r="H92" s="106"/>
    </row>
    <row r="93" spans="1:9" ht="14.1" customHeight="1" x14ac:dyDescent="0.2">
      <c r="A93" s="1"/>
      <c r="B93" s="1"/>
      <c r="C93" s="2" t="s">
        <v>130</v>
      </c>
      <c r="D93" s="1"/>
      <c r="E93" s="1" t="s">
        <v>131</v>
      </c>
      <c r="F93" s="13">
        <v>0</v>
      </c>
      <c r="G93" s="14">
        <v>0</v>
      </c>
      <c r="H93" s="106"/>
    </row>
    <row r="94" spans="1:9" ht="14.1" customHeight="1" x14ac:dyDescent="0.2">
      <c r="A94" s="1"/>
      <c r="B94" s="1"/>
      <c r="C94" s="11"/>
      <c r="D94" s="1"/>
      <c r="E94" s="1"/>
      <c r="F94" s="12"/>
      <c r="G94" s="12"/>
      <c r="H94" s="106"/>
    </row>
    <row r="95" spans="1:9" ht="14.1" customHeight="1" x14ac:dyDescent="0.2">
      <c r="A95" s="1"/>
      <c r="B95" s="1"/>
      <c r="C95" s="2" t="s">
        <v>142</v>
      </c>
      <c r="D95" s="1"/>
      <c r="E95" s="1"/>
      <c r="F95" s="9">
        <v>0</v>
      </c>
      <c r="G95" s="10">
        <v>0</v>
      </c>
      <c r="H95" s="106"/>
    </row>
    <row r="96" spans="1:9" ht="14.1" customHeight="1" x14ac:dyDescent="0.2">
      <c r="A96" s="1"/>
      <c r="B96" s="1"/>
      <c r="C96" s="11"/>
      <c r="D96" s="1"/>
      <c r="E96" s="1"/>
      <c r="F96" s="12"/>
      <c r="G96" s="12"/>
      <c r="H96" s="106"/>
    </row>
    <row r="97" spans="1:8" ht="14.1" customHeight="1" x14ac:dyDescent="0.2">
      <c r="A97" s="1"/>
      <c r="B97" s="1"/>
      <c r="C97" s="2" t="s">
        <v>143</v>
      </c>
      <c r="D97" s="1"/>
      <c r="E97" s="1"/>
      <c r="F97" s="12"/>
      <c r="G97" s="12"/>
      <c r="H97" s="106"/>
    </row>
    <row r="98" spans="1:8" ht="14.1" customHeight="1" x14ac:dyDescent="0.2">
      <c r="A98" s="1"/>
      <c r="B98" s="1"/>
      <c r="C98" s="2" t="s">
        <v>144</v>
      </c>
      <c r="D98" s="1"/>
      <c r="E98" s="1"/>
      <c r="F98" s="12"/>
      <c r="G98" s="12"/>
      <c r="H98" s="106"/>
    </row>
    <row r="99" spans="1:8" ht="14.1" customHeight="1" x14ac:dyDescent="0.2">
      <c r="A99" s="1"/>
      <c r="B99" s="1"/>
      <c r="C99" s="2" t="s">
        <v>130</v>
      </c>
      <c r="D99" s="1"/>
      <c r="E99" s="1" t="s">
        <v>131</v>
      </c>
      <c r="F99" s="13">
        <v>0</v>
      </c>
      <c r="G99" s="14">
        <v>0</v>
      </c>
      <c r="H99" s="106"/>
    </row>
    <row r="100" spans="1:8" ht="14.1" customHeight="1" x14ac:dyDescent="0.2">
      <c r="A100" s="1"/>
      <c r="B100" s="1"/>
      <c r="C100" s="11"/>
      <c r="D100" s="1"/>
      <c r="E100" s="1"/>
      <c r="F100" s="12"/>
      <c r="G100" s="12"/>
      <c r="H100" s="106"/>
    </row>
    <row r="101" spans="1:8" ht="14.1" customHeight="1" x14ac:dyDescent="0.2">
      <c r="A101" s="1"/>
      <c r="B101" s="1"/>
      <c r="C101" s="2" t="s">
        <v>145</v>
      </c>
      <c r="D101" s="1"/>
      <c r="E101" s="1"/>
      <c r="F101" s="12"/>
      <c r="G101" s="12"/>
      <c r="H101" s="106"/>
    </row>
    <row r="102" spans="1:8" ht="14.1" customHeight="1" x14ac:dyDescent="0.2">
      <c r="A102" s="1"/>
      <c r="B102" s="1"/>
      <c r="C102" s="2" t="s">
        <v>130</v>
      </c>
      <c r="D102" s="1"/>
      <c r="E102" s="1" t="s">
        <v>131</v>
      </c>
      <c r="F102" s="13">
        <v>0</v>
      </c>
      <c r="G102" s="14">
        <v>0</v>
      </c>
      <c r="H102" s="106"/>
    </row>
    <row r="103" spans="1:8" ht="14.1" customHeight="1" x14ac:dyDescent="0.2">
      <c r="A103" s="1"/>
      <c r="B103" s="1"/>
      <c r="C103" s="11"/>
      <c r="D103" s="1"/>
      <c r="E103" s="1"/>
      <c r="F103" s="12"/>
      <c r="G103" s="12"/>
      <c r="H103" s="106"/>
    </row>
    <row r="104" spans="1:8" ht="14.1" customHeight="1" x14ac:dyDescent="0.2">
      <c r="A104" s="1"/>
      <c r="B104" s="1"/>
      <c r="C104" s="2" t="s">
        <v>146</v>
      </c>
      <c r="D104" s="1"/>
      <c r="E104" s="1"/>
      <c r="F104" s="12"/>
      <c r="G104" s="12"/>
      <c r="H104" s="106"/>
    </row>
    <row r="105" spans="1:8" ht="14.1" customHeight="1" x14ac:dyDescent="0.2">
      <c r="A105" s="1"/>
      <c r="B105" s="1"/>
      <c r="C105" s="2" t="s">
        <v>130</v>
      </c>
      <c r="D105" s="1"/>
      <c r="E105" s="1" t="s">
        <v>131</v>
      </c>
      <c r="F105" s="13">
        <v>0</v>
      </c>
      <c r="G105" s="14">
        <v>0</v>
      </c>
      <c r="H105" s="106"/>
    </row>
    <row r="106" spans="1:8" ht="14.1" customHeight="1" x14ac:dyDescent="0.2">
      <c r="A106" s="1"/>
      <c r="B106" s="1"/>
      <c r="C106" s="11"/>
      <c r="D106" s="1"/>
      <c r="E106" s="1"/>
      <c r="F106" s="12"/>
      <c r="G106" s="12"/>
      <c r="H106" s="106"/>
    </row>
    <row r="107" spans="1:8" ht="14.1" customHeight="1" x14ac:dyDescent="0.2">
      <c r="A107" s="1"/>
      <c r="B107" s="1"/>
      <c r="C107" s="2" t="s">
        <v>147</v>
      </c>
      <c r="D107" s="1"/>
      <c r="E107" s="1"/>
      <c r="F107" s="12"/>
      <c r="G107" s="12"/>
      <c r="H107" s="106"/>
    </row>
    <row r="108" spans="1:8" ht="17.100000000000001" customHeight="1" x14ac:dyDescent="0.2">
      <c r="A108" s="3">
        <v>1</v>
      </c>
      <c r="B108" s="4"/>
      <c r="C108" s="4" t="s">
        <v>148</v>
      </c>
      <c r="D108" s="4"/>
      <c r="E108" s="8"/>
      <c r="F108" s="6">
        <v>54742.690894300002</v>
      </c>
      <c r="G108" s="7">
        <v>0.29717676500000001</v>
      </c>
      <c r="H108" s="106">
        <v>6.1171451766917002</v>
      </c>
    </row>
    <row r="109" spans="1:8" ht="14.1" customHeight="1" x14ac:dyDescent="0.2">
      <c r="A109" s="1"/>
      <c r="B109" s="1"/>
      <c r="C109" s="2" t="s">
        <v>130</v>
      </c>
      <c r="D109" s="1"/>
      <c r="E109" s="1" t="s">
        <v>131</v>
      </c>
      <c r="F109" s="9">
        <v>54742.690894300002</v>
      </c>
      <c r="G109" s="10">
        <v>0.29717676500000001</v>
      </c>
      <c r="H109" s="106"/>
    </row>
    <row r="110" spans="1:8" ht="14.1" customHeight="1" x14ac:dyDescent="0.2">
      <c r="A110" s="1"/>
      <c r="B110" s="1"/>
      <c r="C110" s="11"/>
      <c r="D110" s="1"/>
      <c r="E110" s="1"/>
      <c r="F110" s="12"/>
      <c r="G110" s="12"/>
      <c r="H110" s="106"/>
    </row>
    <row r="111" spans="1:8" ht="14.1" customHeight="1" x14ac:dyDescent="0.2">
      <c r="A111" s="1"/>
      <c r="B111" s="1"/>
      <c r="C111" s="2" t="s">
        <v>149</v>
      </c>
      <c r="D111" s="1"/>
      <c r="E111" s="1"/>
      <c r="F111" s="9">
        <v>54742.690894300002</v>
      </c>
      <c r="G111" s="10">
        <v>0.29717676500000001</v>
      </c>
      <c r="H111" s="106"/>
    </row>
    <row r="112" spans="1:8" ht="14.1" customHeight="1" x14ac:dyDescent="0.2">
      <c r="A112" s="1"/>
      <c r="B112" s="1"/>
      <c r="C112" s="12"/>
      <c r="D112" s="1"/>
      <c r="E112" s="1"/>
      <c r="F112" s="1"/>
      <c r="G112" s="1"/>
      <c r="H112" s="106"/>
    </row>
    <row r="113" spans="1:8" ht="14.1" customHeight="1" x14ac:dyDescent="0.2">
      <c r="A113" s="1"/>
      <c r="B113" s="1"/>
      <c r="C113" s="2" t="s">
        <v>150</v>
      </c>
      <c r="D113" s="1"/>
      <c r="E113" s="1"/>
      <c r="F113" s="1"/>
      <c r="G113" s="1"/>
      <c r="H113" s="106"/>
    </row>
    <row r="114" spans="1:8" ht="14.1" customHeight="1" x14ac:dyDescent="0.2">
      <c r="A114" s="1"/>
      <c r="B114" s="1"/>
      <c r="C114" s="2" t="s">
        <v>151</v>
      </c>
      <c r="D114" s="1"/>
      <c r="E114" s="1"/>
      <c r="F114" s="1"/>
      <c r="G114" s="1"/>
      <c r="H114" s="106"/>
    </row>
    <row r="115" spans="1:8" ht="14.1" customHeight="1" x14ac:dyDescent="0.2">
      <c r="A115" s="1"/>
      <c r="B115" s="1"/>
      <c r="C115" s="2" t="s">
        <v>130</v>
      </c>
      <c r="D115" s="1"/>
      <c r="E115" s="1" t="s">
        <v>131</v>
      </c>
      <c r="F115" s="13">
        <v>0</v>
      </c>
      <c r="G115" s="14">
        <v>0</v>
      </c>
      <c r="H115" s="106"/>
    </row>
    <row r="116" spans="1:8" ht="14.1" customHeight="1" x14ac:dyDescent="0.2">
      <c r="A116" s="1"/>
      <c r="B116" s="1"/>
      <c r="C116" s="11"/>
      <c r="D116" s="1"/>
      <c r="E116" s="1"/>
      <c r="F116" s="12"/>
      <c r="G116" s="12"/>
      <c r="H116" s="106"/>
    </row>
    <row r="117" spans="1:8" ht="14.1" customHeight="1" x14ac:dyDescent="0.2">
      <c r="A117" s="1"/>
      <c r="B117" s="1"/>
      <c r="C117" s="2" t="s">
        <v>152</v>
      </c>
      <c r="D117" s="1"/>
      <c r="E117" s="1"/>
      <c r="F117" s="1"/>
      <c r="G117" s="1"/>
      <c r="H117" s="106"/>
    </row>
    <row r="118" spans="1:8" ht="14.1" customHeight="1" x14ac:dyDescent="0.2">
      <c r="A118" s="1"/>
      <c r="B118" s="1"/>
      <c r="C118" s="2" t="s">
        <v>153</v>
      </c>
      <c r="D118" s="1"/>
      <c r="E118" s="1"/>
      <c r="F118" s="1"/>
      <c r="G118" s="1"/>
      <c r="H118" s="106"/>
    </row>
    <row r="119" spans="1:8" ht="14.1" customHeight="1" x14ac:dyDescent="0.2">
      <c r="A119" s="1"/>
      <c r="B119" s="1"/>
      <c r="C119" s="2" t="s">
        <v>130</v>
      </c>
      <c r="D119" s="1"/>
      <c r="E119" s="1" t="s">
        <v>131</v>
      </c>
      <c r="F119" s="13">
        <v>0</v>
      </c>
      <c r="G119" s="14">
        <v>0</v>
      </c>
      <c r="H119" s="106"/>
    </row>
    <row r="120" spans="1:8" ht="14.1" customHeight="1" x14ac:dyDescent="0.2">
      <c r="A120" s="1"/>
      <c r="B120" s="1"/>
      <c r="C120" s="11"/>
      <c r="D120" s="1"/>
      <c r="E120" s="1"/>
      <c r="F120" s="12"/>
      <c r="G120" s="12"/>
      <c r="H120" s="106"/>
    </row>
    <row r="121" spans="1:8" ht="14.1" customHeight="1" x14ac:dyDescent="0.2">
      <c r="A121" s="1"/>
      <c r="B121" s="1"/>
      <c r="C121" s="11"/>
      <c r="D121" s="1"/>
      <c r="E121" s="1"/>
      <c r="F121" s="12"/>
      <c r="G121" s="12"/>
      <c r="H121" s="106"/>
    </row>
    <row r="122" spans="1:8" ht="24" customHeight="1" x14ac:dyDescent="0.2">
      <c r="A122" s="1"/>
      <c r="B122" s="1"/>
      <c r="C122" s="2" t="s">
        <v>154</v>
      </c>
      <c r="D122" s="1"/>
      <c r="E122" s="1"/>
      <c r="F122" s="12"/>
      <c r="G122" s="12"/>
      <c r="H122" s="106"/>
    </row>
    <row r="123" spans="1:8" ht="14.1" customHeight="1" x14ac:dyDescent="0.2">
      <c r="A123" s="1"/>
      <c r="B123" s="1"/>
      <c r="C123" s="2" t="s">
        <v>130</v>
      </c>
      <c r="D123" s="1"/>
      <c r="E123" s="1" t="s">
        <v>131</v>
      </c>
      <c r="F123" s="13">
        <v>0</v>
      </c>
      <c r="G123" s="14">
        <v>0</v>
      </c>
      <c r="H123" s="106"/>
    </row>
    <row r="124" spans="1:8" ht="14.1" customHeight="1" x14ac:dyDescent="0.2">
      <c r="A124" s="1"/>
      <c r="B124" s="1"/>
      <c r="C124" s="11"/>
      <c r="D124" s="1"/>
      <c r="E124" s="1"/>
      <c r="F124" s="12"/>
      <c r="G124" s="12"/>
      <c r="H124" s="106"/>
    </row>
    <row r="125" spans="1:8" ht="14.1" customHeight="1" x14ac:dyDescent="0.2">
      <c r="A125" s="1"/>
      <c r="B125" s="4"/>
      <c r="C125" s="4"/>
      <c r="D125" s="2"/>
      <c r="E125" s="1"/>
      <c r="F125" s="4"/>
      <c r="G125" s="8"/>
      <c r="H125" s="106"/>
    </row>
    <row r="126" spans="1:8" ht="18" customHeight="1" x14ac:dyDescent="0.2">
      <c r="A126" s="8"/>
      <c r="B126" s="4"/>
      <c r="C126" s="4" t="s">
        <v>155</v>
      </c>
      <c r="D126" s="4"/>
      <c r="E126" s="8"/>
      <c r="F126" s="6">
        <v>-1253.4662023999999</v>
      </c>
      <c r="G126" s="7">
        <v>-6.8045800000000002E-3</v>
      </c>
      <c r="H126" s="106"/>
    </row>
    <row r="127" spans="1:8" ht="14.1" customHeight="1" x14ac:dyDescent="0.2">
      <c r="A127" s="11"/>
      <c r="B127" s="11"/>
      <c r="C127" s="2" t="s">
        <v>156</v>
      </c>
      <c r="D127" s="15"/>
      <c r="E127" s="15"/>
      <c r="F127" s="9">
        <v>184209.1891707</v>
      </c>
      <c r="G127" s="10">
        <v>0.99999999900000003</v>
      </c>
      <c r="H127" s="106"/>
    </row>
    <row r="128" spans="1:8" ht="14.1" customHeight="1" x14ac:dyDescent="0.2">
      <c r="A128" s="16"/>
      <c r="B128" s="16"/>
      <c r="C128" s="16"/>
      <c r="D128" s="17"/>
      <c r="E128" s="17"/>
      <c r="F128" s="17"/>
      <c r="G128" s="17"/>
    </row>
    <row r="129" spans="1:7" ht="14.1" customHeight="1" x14ac:dyDescent="0.2">
      <c r="A129" s="18"/>
      <c r="B129" s="18"/>
      <c r="C129" s="18"/>
      <c r="D129" s="20"/>
      <c r="E129" s="20"/>
      <c r="F129" s="20"/>
      <c r="G129" s="20"/>
    </row>
    <row r="130" spans="1:7" ht="14.1" customHeight="1" x14ac:dyDescent="0.2">
      <c r="A130" s="18"/>
      <c r="B130" s="279" t="s">
        <v>158</v>
      </c>
      <c r="C130" s="280"/>
      <c r="D130" s="12" t="s">
        <v>131</v>
      </c>
      <c r="E130" s="21"/>
      <c r="F130" s="20"/>
      <c r="G130" s="20"/>
    </row>
    <row r="131" spans="1:7" ht="29.1" customHeight="1" x14ac:dyDescent="0.2">
      <c r="A131" s="18"/>
      <c r="B131" s="274" t="s">
        <v>159</v>
      </c>
      <c r="C131" s="275"/>
      <c r="D131" s="2" t="s">
        <v>160</v>
      </c>
      <c r="E131" s="21"/>
      <c r="F131" s="20"/>
      <c r="G131" s="20"/>
    </row>
    <row r="132" spans="1:7" ht="17.100000000000001" customHeight="1" x14ac:dyDescent="0.2">
      <c r="A132" s="18"/>
      <c r="B132" s="274" t="s">
        <v>161</v>
      </c>
      <c r="C132" s="275"/>
      <c r="D132" s="2" t="s">
        <v>160</v>
      </c>
      <c r="E132" s="21"/>
      <c r="F132" s="20"/>
      <c r="G132" s="20"/>
    </row>
    <row r="133" spans="1:7" ht="17.100000000000001" customHeight="1" x14ac:dyDescent="0.2">
      <c r="A133" s="18"/>
      <c r="B133" s="274" t="s">
        <v>162</v>
      </c>
      <c r="C133" s="275"/>
      <c r="D133" s="12" t="s">
        <v>131</v>
      </c>
      <c r="E133" s="21"/>
      <c r="F133" s="20"/>
      <c r="G133" s="20"/>
    </row>
    <row r="134" spans="1:7" ht="24" customHeight="1" x14ac:dyDescent="0.2">
      <c r="A134" s="22"/>
      <c r="B134" s="23" t="s">
        <v>131</v>
      </c>
      <c r="C134" s="23" t="s">
        <v>163</v>
      </c>
      <c r="D134" s="23" t="s">
        <v>164</v>
      </c>
      <c r="E134" s="22"/>
      <c r="F134" s="22"/>
      <c r="G134" s="22"/>
    </row>
    <row r="135" spans="1:7" ht="18" customHeight="1" x14ac:dyDescent="0.2">
      <c r="A135" s="22"/>
      <c r="B135" s="23" t="s">
        <v>165</v>
      </c>
      <c r="C135" s="23" t="s">
        <v>166</v>
      </c>
      <c r="D135" s="23" t="s">
        <v>167</v>
      </c>
      <c r="E135" s="22"/>
      <c r="F135" s="22"/>
      <c r="G135" s="22"/>
    </row>
    <row r="136" spans="1:7" ht="17.100000000000001" customHeight="1" x14ac:dyDescent="0.2">
      <c r="A136" s="22"/>
      <c r="B136" s="4" t="s">
        <v>168</v>
      </c>
      <c r="C136" s="24">
        <v>9.7086000000000006</v>
      </c>
      <c r="D136" s="24">
        <v>10.102600000000001</v>
      </c>
      <c r="E136" s="22"/>
      <c r="F136" s="19"/>
      <c r="G136" s="25"/>
    </row>
    <row r="137" spans="1:7" ht="17.100000000000001" customHeight="1" x14ac:dyDescent="0.2">
      <c r="A137" s="22"/>
      <c r="B137" s="4" t="s">
        <v>1048</v>
      </c>
      <c r="C137" s="24">
        <v>9.7087000000000003</v>
      </c>
      <c r="D137" s="24">
        <v>10.102600000000001</v>
      </c>
      <c r="E137" s="22"/>
      <c r="F137" s="19"/>
      <c r="G137" s="25"/>
    </row>
    <row r="138" spans="1:7" ht="17.100000000000001" customHeight="1" x14ac:dyDescent="0.2">
      <c r="A138" s="22"/>
      <c r="B138" s="4" t="s">
        <v>169</v>
      </c>
      <c r="C138" s="24">
        <v>9.6965000000000003</v>
      </c>
      <c r="D138" s="24">
        <v>10.0741</v>
      </c>
      <c r="E138" s="22"/>
      <c r="F138" s="19"/>
      <c r="G138" s="25"/>
    </row>
    <row r="139" spans="1:7" ht="17.100000000000001" customHeight="1" x14ac:dyDescent="0.2">
      <c r="A139" s="22"/>
      <c r="B139" s="4" t="s">
        <v>1049</v>
      </c>
      <c r="C139" s="24">
        <v>9.6965000000000003</v>
      </c>
      <c r="D139" s="24">
        <v>10.074</v>
      </c>
      <c r="E139" s="22"/>
      <c r="F139" s="19"/>
      <c r="G139" s="25"/>
    </row>
    <row r="140" spans="1:7" ht="14.1" customHeight="1" x14ac:dyDescent="0.2">
      <c r="A140" s="22"/>
      <c r="B140" s="22"/>
      <c r="C140" s="22"/>
      <c r="D140" s="22"/>
      <c r="E140" s="22"/>
      <c r="F140" s="22"/>
      <c r="G140" s="22"/>
    </row>
    <row r="141" spans="1:7" ht="17.100000000000001" customHeight="1" x14ac:dyDescent="0.2">
      <c r="A141" s="22"/>
      <c r="B141" s="274" t="s">
        <v>1060</v>
      </c>
      <c r="C141" s="275"/>
      <c r="D141" s="2" t="s">
        <v>160</v>
      </c>
      <c r="E141" s="22"/>
      <c r="F141" s="22"/>
      <c r="G141" s="22"/>
    </row>
    <row r="142" spans="1:7" ht="18" customHeight="1" x14ac:dyDescent="0.2">
      <c r="A142" s="22"/>
      <c r="B142" s="26" t="s">
        <v>170</v>
      </c>
      <c r="C142" s="26" t="s">
        <v>170</v>
      </c>
      <c r="D142" s="26"/>
      <c r="E142" s="22"/>
      <c r="F142" s="22"/>
      <c r="G142" s="22"/>
    </row>
    <row r="143" spans="1:7" ht="29.1" customHeight="1" x14ac:dyDescent="0.2">
      <c r="A143" s="22"/>
      <c r="B143" s="274" t="s">
        <v>171</v>
      </c>
      <c r="C143" s="275"/>
      <c r="D143" s="2" t="s">
        <v>160</v>
      </c>
      <c r="E143" s="22"/>
      <c r="F143" s="22"/>
      <c r="G143" s="22"/>
    </row>
    <row r="144" spans="1:7" ht="29.1" customHeight="1" x14ac:dyDescent="0.2">
      <c r="A144" s="22"/>
      <c r="B144" s="274" t="s">
        <v>172</v>
      </c>
      <c r="C144" s="275"/>
      <c r="D144" s="2" t="s">
        <v>160</v>
      </c>
      <c r="E144" s="22"/>
      <c r="F144" s="22"/>
      <c r="G144" s="22"/>
    </row>
    <row r="145" spans="1:7" ht="17.100000000000001" customHeight="1" x14ac:dyDescent="0.2">
      <c r="A145" s="22"/>
      <c r="B145" s="274" t="s">
        <v>173</v>
      </c>
      <c r="C145" s="275"/>
      <c r="D145" s="27">
        <v>0.41814538723129613</v>
      </c>
      <c r="E145" s="22"/>
      <c r="F145" s="19"/>
      <c r="G145" s="25"/>
    </row>
    <row r="146" spans="1:7" ht="17.100000000000001" customHeight="1" x14ac:dyDescent="0.2">
      <c r="A146" s="22"/>
      <c r="B146" s="274" t="s">
        <v>174</v>
      </c>
      <c r="C146" s="275"/>
      <c r="D146" s="2" t="s">
        <v>160</v>
      </c>
      <c r="E146" s="22"/>
      <c r="F146" s="22"/>
      <c r="G146" s="22"/>
    </row>
    <row r="178" spans="15:15" x14ac:dyDescent="0.2">
      <c r="O178" s="107"/>
    </row>
    <row r="205" spans="9:9" x14ac:dyDescent="0.2">
      <c r="I205" s="107"/>
    </row>
    <row r="206" spans="9:9" x14ac:dyDescent="0.2">
      <c r="I206" s="107"/>
    </row>
    <row r="207" spans="9:9" x14ac:dyDescent="0.2">
      <c r="I207" s="107"/>
    </row>
    <row r="208" spans="9:9" x14ac:dyDescent="0.2">
      <c r="I208" s="107"/>
    </row>
    <row r="210" spans="9:9" x14ac:dyDescent="0.2">
      <c r="I210" s="165"/>
    </row>
    <row r="211" spans="9:9" x14ac:dyDescent="0.2">
      <c r="I211" s="107"/>
    </row>
    <row r="212" spans="9:9" x14ac:dyDescent="0.2">
      <c r="I212" s="107"/>
    </row>
    <row r="213" spans="9:9" x14ac:dyDescent="0.2">
      <c r="I213" s="107"/>
    </row>
    <row r="214" spans="9:9" x14ac:dyDescent="0.2">
      <c r="I214" s="107"/>
    </row>
    <row r="215" spans="9:9" ht="15" x14ac:dyDescent="0.2">
      <c r="I215" s="166"/>
    </row>
    <row r="216" spans="9:9" ht="15" x14ac:dyDescent="0.25">
      <c r="I216" s="167"/>
    </row>
    <row r="217" spans="9:9" x14ac:dyDescent="0.2">
      <c r="I217" s="107"/>
    </row>
  </sheetData>
  <mergeCells count="13">
    <mergeCell ref="J2:N2"/>
    <mergeCell ref="B130:C130"/>
    <mergeCell ref="B145:C145"/>
    <mergeCell ref="A1:H1"/>
    <mergeCell ref="A2:H2"/>
    <mergeCell ref="A3:H3"/>
    <mergeCell ref="B146:C146"/>
    <mergeCell ref="B131:C131"/>
    <mergeCell ref="B132:C132"/>
    <mergeCell ref="B133:C133"/>
    <mergeCell ref="B141:C141"/>
    <mergeCell ref="B143:C143"/>
    <mergeCell ref="B144:C144"/>
  </mergeCells>
  <hyperlinks>
    <hyperlink ref="I1" location="Index!B36" display="Index" xr:uid="{239FC033-AD59-4BDA-8D02-A981B03F9B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N11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2" t="s">
        <v>0</v>
      </c>
      <c r="B1" s="282"/>
      <c r="C1" s="282"/>
      <c r="D1" s="282"/>
      <c r="E1" s="282"/>
      <c r="F1" s="282"/>
      <c r="G1" s="282"/>
      <c r="H1" s="282"/>
      <c r="I1" s="163" t="s">
        <v>1080</v>
      </c>
    </row>
    <row r="2" spans="1:14" ht="17.100000000000001" customHeight="1" x14ac:dyDescent="0.2">
      <c r="A2" s="283" t="s">
        <v>757</v>
      </c>
      <c r="B2" s="284"/>
      <c r="C2" s="284"/>
      <c r="D2" s="284"/>
      <c r="E2" s="284"/>
      <c r="F2" s="284"/>
      <c r="G2" s="284"/>
      <c r="H2" s="285"/>
      <c r="J2" s="278" t="s">
        <v>1081</v>
      </c>
      <c r="K2" s="278"/>
      <c r="L2" s="278"/>
      <c r="M2" s="278"/>
      <c r="N2" s="278"/>
    </row>
    <row r="3" spans="1:14" ht="21" customHeight="1" x14ac:dyDescent="0.2">
      <c r="A3" s="282" t="s">
        <v>1068</v>
      </c>
      <c r="B3" s="282"/>
      <c r="C3" s="282"/>
      <c r="D3" s="282"/>
      <c r="E3" s="282"/>
      <c r="F3" s="282"/>
      <c r="G3" s="282"/>
      <c r="H3" s="282"/>
    </row>
    <row r="4" spans="1:14" s="159" customFormat="1" ht="30" x14ac:dyDescent="0.2">
      <c r="A4" s="157" t="s">
        <v>2</v>
      </c>
      <c r="B4" s="157" t="s">
        <v>3</v>
      </c>
      <c r="C4" s="157" t="s">
        <v>4</v>
      </c>
      <c r="D4" s="157" t="s">
        <v>5</v>
      </c>
      <c r="E4" s="157" t="s">
        <v>6</v>
      </c>
      <c r="F4" s="157" t="s">
        <v>7</v>
      </c>
      <c r="G4" s="157" t="s">
        <v>8</v>
      </c>
      <c r="H4" s="155" t="s">
        <v>920</v>
      </c>
    </row>
    <row r="5" spans="1:14" ht="14.1" customHeight="1" x14ac:dyDescent="0.2">
      <c r="A5" s="1"/>
      <c r="B5" s="1"/>
      <c r="C5" s="2" t="s">
        <v>9</v>
      </c>
      <c r="D5" s="1"/>
      <c r="E5" s="1"/>
      <c r="F5" s="1"/>
      <c r="G5" s="1"/>
      <c r="H5" s="106"/>
    </row>
    <row r="6" spans="1:14" ht="24" customHeight="1" x14ac:dyDescent="0.2">
      <c r="A6" s="1"/>
      <c r="B6" s="1"/>
      <c r="C6" s="2" t="s">
        <v>10</v>
      </c>
      <c r="D6" s="1"/>
      <c r="E6" s="1"/>
      <c r="F6" s="1"/>
      <c r="G6" s="1"/>
      <c r="H6" s="106"/>
    </row>
    <row r="7" spans="1:14" ht="17.100000000000001" customHeight="1" x14ac:dyDescent="0.2">
      <c r="A7" s="3">
        <v>1</v>
      </c>
      <c r="B7" s="4" t="s">
        <v>14</v>
      </c>
      <c r="C7" s="4" t="s">
        <v>15</v>
      </c>
      <c r="D7" s="4" t="s">
        <v>16</v>
      </c>
      <c r="E7" s="5">
        <v>1315747</v>
      </c>
      <c r="F7" s="6">
        <v>11956.192988999999</v>
      </c>
      <c r="G7" s="7">
        <v>0.19338464799999999</v>
      </c>
      <c r="H7" s="106"/>
    </row>
    <row r="8" spans="1:14" ht="17.100000000000001" customHeight="1" x14ac:dyDescent="0.2">
      <c r="A8" s="3">
        <v>2</v>
      </c>
      <c r="B8" s="4" t="s">
        <v>264</v>
      </c>
      <c r="C8" s="4" t="s">
        <v>265</v>
      </c>
      <c r="D8" s="4" t="s">
        <v>16</v>
      </c>
      <c r="E8" s="5">
        <v>753477</v>
      </c>
      <c r="F8" s="6">
        <v>11277.290258999999</v>
      </c>
      <c r="G8" s="7">
        <v>0.18240378099999999</v>
      </c>
      <c r="H8" s="106"/>
    </row>
    <row r="9" spans="1:14" ht="17.100000000000001" customHeight="1" x14ac:dyDescent="0.2">
      <c r="A9" s="3">
        <v>3</v>
      </c>
      <c r="B9" s="4" t="s">
        <v>178</v>
      </c>
      <c r="C9" s="4" t="s">
        <v>179</v>
      </c>
      <c r="D9" s="4" t="s">
        <v>16</v>
      </c>
      <c r="E9" s="5">
        <v>674844</v>
      </c>
      <c r="F9" s="6">
        <v>6114.0866400000004</v>
      </c>
      <c r="G9" s="7">
        <v>9.8891887999999997E-2</v>
      </c>
      <c r="H9" s="106"/>
    </row>
    <row r="10" spans="1:14" ht="17.100000000000001" customHeight="1" x14ac:dyDescent="0.2">
      <c r="A10" s="3">
        <v>4</v>
      </c>
      <c r="B10" s="4" t="s">
        <v>42</v>
      </c>
      <c r="C10" s="4" t="s">
        <v>43</v>
      </c>
      <c r="D10" s="4" t="s">
        <v>16</v>
      </c>
      <c r="E10" s="5">
        <v>1064198</v>
      </c>
      <c r="F10" s="6">
        <v>6106.3681239999996</v>
      </c>
      <c r="G10" s="7">
        <v>9.8767044999999998E-2</v>
      </c>
      <c r="H10" s="106"/>
    </row>
    <row r="11" spans="1:14" ht="29.1" customHeight="1" x14ac:dyDescent="0.2">
      <c r="A11" s="3">
        <v>5</v>
      </c>
      <c r="B11" s="4" t="s">
        <v>298</v>
      </c>
      <c r="C11" s="4" t="s">
        <v>299</v>
      </c>
      <c r="D11" s="4" t="s">
        <v>99</v>
      </c>
      <c r="E11" s="5">
        <v>153814</v>
      </c>
      <c r="F11" s="6">
        <v>3798.8981720000002</v>
      </c>
      <c r="G11" s="7">
        <v>6.1445026E-2</v>
      </c>
      <c r="H11" s="106"/>
    </row>
    <row r="12" spans="1:14" ht="17.100000000000001" customHeight="1" x14ac:dyDescent="0.2">
      <c r="A12" s="3">
        <v>6</v>
      </c>
      <c r="B12" s="4" t="s">
        <v>346</v>
      </c>
      <c r="C12" s="4" t="s">
        <v>347</v>
      </c>
      <c r="D12" s="4" t="s">
        <v>16</v>
      </c>
      <c r="E12" s="5">
        <v>796737</v>
      </c>
      <c r="F12" s="6">
        <v>2313.724248</v>
      </c>
      <c r="G12" s="7">
        <v>3.7423179000000001E-2</v>
      </c>
      <c r="H12" s="106"/>
      <c r="J12" s="161" t="s">
        <v>1112</v>
      </c>
    </row>
    <row r="13" spans="1:14" ht="17.100000000000001" customHeight="1" x14ac:dyDescent="0.2">
      <c r="A13" s="3">
        <v>7</v>
      </c>
      <c r="B13" s="4" t="s">
        <v>194</v>
      </c>
      <c r="C13" s="4" t="s">
        <v>195</v>
      </c>
      <c r="D13" s="4" t="s">
        <v>16</v>
      </c>
      <c r="E13" s="5">
        <v>1015342</v>
      </c>
      <c r="F13" s="6">
        <v>1499.660134</v>
      </c>
      <c r="G13" s="7">
        <v>2.4256152999999999E-2</v>
      </c>
      <c r="H13" s="106"/>
    </row>
    <row r="14" spans="1:14" ht="17.100000000000001" customHeight="1" x14ac:dyDescent="0.2">
      <c r="A14" s="3">
        <v>8</v>
      </c>
      <c r="B14" s="4" t="s">
        <v>300</v>
      </c>
      <c r="C14" s="4" t="s">
        <v>301</v>
      </c>
      <c r="D14" s="4" t="s">
        <v>245</v>
      </c>
      <c r="E14" s="5">
        <v>115413</v>
      </c>
      <c r="F14" s="6">
        <v>1461.0708735000001</v>
      </c>
      <c r="G14" s="7">
        <v>2.3631994E-2</v>
      </c>
      <c r="H14" s="106"/>
    </row>
    <row r="15" spans="1:14" ht="17.100000000000001" customHeight="1" x14ac:dyDescent="0.2">
      <c r="A15" s="3">
        <v>9</v>
      </c>
      <c r="B15" s="4" t="s">
        <v>275</v>
      </c>
      <c r="C15" s="4" t="s">
        <v>276</v>
      </c>
      <c r="D15" s="4" t="s">
        <v>99</v>
      </c>
      <c r="E15" s="5">
        <v>76093</v>
      </c>
      <c r="F15" s="6">
        <v>1388.2406920000001</v>
      </c>
      <c r="G15" s="7">
        <v>2.2454007000000002E-2</v>
      </c>
      <c r="H15" s="106"/>
    </row>
    <row r="16" spans="1:14" ht="17.100000000000001" customHeight="1" x14ac:dyDescent="0.2">
      <c r="A16" s="3">
        <v>10</v>
      </c>
      <c r="B16" s="4" t="s">
        <v>436</v>
      </c>
      <c r="C16" s="4" t="s">
        <v>437</v>
      </c>
      <c r="D16" s="4" t="s">
        <v>16</v>
      </c>
      <c r="E16" s="5">
        <v>555294</v>
      </c>
      <c r="F16" s="6">
        <v>1261.9056149999999</v>
      </c>
      <c r="G16" s="7">
        <v>2.0410608E-2</v>
      </c>
      <c r="H16" s="106"/>
    </row>
    <row r="17" spans="1:8" ht="29.1" customHeight="1" x14ac:dyDescent="0.2">
      <c r="A17" s="3">
        <v>11</v>
      </c>
      <c r="B17" s="4" t="s">
        <v>97</v>
      </c>
      <c r="C17" s="4" t="s">
        <v>98</v>
      </c>
      <c r="D17" s="4" t="s">
        <v>99</v>
      </c>
      <c r="E17" s="5">
        <v>175507</v>
      </c>
      <c r="F17" s="6">
        <v>1244.9589045</v>
      </c>
      <c r="G17" s="7">
        <v>2.0136504999999999E-2</v>
      </c>
      <c r="H17" s="106"/>
    </row>
    <row r="18" spans="1:8" ht="17.100000000000001" customHeight="1" x14ac:dyDescent="0.2">
      <c r="A18" s="3">
        <v>12</v>
      </c>
      <c r="B18" s="4" t="s">
        <v>339</v>
      </c>
      <c r="C18" s="4" t="s">
        <v>340</v>
      </c>
      <c r="D18" s="4" t="s">
        <v>16</v>
      </c>
      <c r="E18" s="5">
        <v>101554</v>
      </c>
      <c r="F18" s="6">
        <v>1160.4067809999999</v>
      </c>
      <c r="G18" s="7">
        <v>1.8768922E-2</v>
      </c>
      <c r="H18" s="106"/>
    </row>
    <row r="19" spans="1:8" ht="17.100000000000001" customHeight="1" x14ac:dyDescent="0.2">
      <c r="A19" s="3">
        <v>13</v>
      </c>
      <c r="B19" s="4" t="s">
        <v>322</v>
      </c>
      <c r="C19" s="4" t="s">
        <v>323</v>
      </c>
      <c r="D19" s="4" t="s">
        <v>324</v>
      </c>
      <c r="E19" s="5">
        <v>70558</v>
      </c>
      <c r="F19" s="6">
        <v>1130.797787</v>
      </c>
      <c r="G19" s="7">
        <v>1.8290014E-2</v>
      </c>
      <c r="H19" s="106"/>
    </row>
    <row r="20" spans="1:8" ht="17.100000000000001" customHeight="1" x14ac:dyDescent="0.2">
      <c r="A20" s="3">
        <v>14</v>
      </c>
      <c r="B20" s="4" t="s">
        <v>394</v>
      </c>
      <c r="C20" s="4" t="s">
        <v>395</v>
      </c>
      <c r="D20" s="4" t="s">
        <v>99</v>
      </c>
      <c r="E20" s="5">
        <v>116497</v>
      </c>
      <c r="F20" s="6">
        <v>846.0594625</v>
      </c>
      <c r="G20" s="7">
        <v>1.3684531999999999E-2</v>
      </c>
      <c r="H20" s="106"/>
    </row>
    <row r="21" spans="1:8" ht="17.100000000000001" customHeight="1" x14ac:dyDescent="0.2">
      <c r="A21" s="3">
        <v>15</v>
      </c>
      <c r="B21" s="4" t="s">
        <v>616</v>
      </c>
      <c r="C21" s="4" t="s">
        <v>617</v>
      </c>
      <c r="D21" s="4" t="s">
        <v>245</v>
      </c>
      <c r="E21" s="5">
        <v>139505</v>
      </c>
      <c r="F21" s="6">
        <v>753.95477249999999</v>
      </c>
      <c r="G21" s="7">
        <v>1.2194791E-2</v>
      </c>
      <c r="H21" s="106"/>
    </row>
    <row r="22" spans="1:8" ht="17.100000000000001" customHeight="1" x14ac:dyDescent="0.2">
      <c r="A22" s="3">
        <v>16</v>
      </c>
      <c r="B22" s="4" t="s">
        <v>200</v>
      </c>
      <c r="C22" s="4" t="s">
        <v>201</v>
      </c>
      <c r="D22" s="4" t="s">
        <v>16</v>
      </c>
      <c r="E22" s="5">
        <v>122192</v>
      </c>
      <c r="F22" s="6">
        <v>720.38293599999997</v>
      </c>
      <c r="G22" s="7">
        <v>1.1651786000000001E-2</v>
      </c>
      <c r="H22" s="106"/>
    </row>
    <row r="23" spans="1:8" ht="17.100000000000001" customHeight="1" x14ac:dyDescent="0.2">
      <c r="A23" s="3">
        <v>17</v>
      </c>
      <c r="B23" s="4" t="s">
        <v>441</v>
      </c>
      <c r="C23" s="4" t="s">
        <v>442</v>
      </c>
      <c r="D23" s="4" t="s">
        <v>324</v>
      </c>
      <c r="E23" s="5">
        <v>44319</v>
      </c>
      <c r="F23" s="6">
        <v>680.89495650000003</v>
      </c>
      <c r="G23" s="7">
        <v>1.101309E-2</v>
      </c>
      <c r="H23" s="106"/>
    </row>
    <row r="24" spans="1:8" ht="17.100000000000001" customHeight="1" x14ac:dyDescent="0.2">
      <c r="A24" s="3">
        <v>18</v>
      </c>
      <c r="B24" s="4" t="s">
        <v>246</v>
      </c>
      <c r="C24" s="4" t="s">
        <v>247</v>
      </c>
      <c r="D24" s="4" t="s">
        <v>99</v>
      </c>
      <c r="E24" s="5">
        <v>100000</v>
      </c>
      <c r="F24" s="6">
        <v>628.25</v>
      </c>
      <c r="G24" s="7">
        <v>1.0161587999999999E-2</v>
      </c>
      <c r="H24" s="106"/>
    </row>
    <row r="25" spans="1:8" ht="17.100000000000001" customHeight="1" x14ac:dyDescent="0.2">
      <c r="A25" s="3">
        <v>19</v>
      </c>
      <c r="B25" s="4" t="s">
        <v>250</v>
      </c>
      <c r="C25" s="4" t="s">
        <v>251</v>
      </c>
      <c r="D25" s="4" t="s">
        <v>99</v>
      </c>
      <c r="E25" s="5">
        <v>154488</v>
      </c>
      <c r="F25" s="6">
        <v>626.13986399999999</v>
      </c>
      <c r="G25" s="7">
        <v>1.0127458000000001E-2</v>
      </c>
      <c r="H25" s="106"/>
    </row>
    <row r="26" spans="1:8" ht="17.100000000000001" customHeight="1" x14ac:dyDescent="0.2">
      <c r="A26" s="3">
        <v>20</v>
      </c>
      <c r="B26" s="4" t="s">
        <v>380</v>
      </c>
      <c r="C26" s="4" t="s">
        <v>381</v>
      </c>
      <c r="D26" s="4" t="s">
        <v>99</v>
      </c>
      <c r="E26" s="5">
        <v>614686</v>
      </c>
      <c r="F26" s="6">
        <v>620.21817399999998</v>
      </c>
      <c r="G26" s="7">
        <v>1.0031678E-2</v>
      </c>
      <c r="H26" s="106"/>
    </row>
    <row r="27" spans="1:8" ht="17.100000000000001" customHeight="1" x14ac:dyDescent="0.2">
      <c r="A27" s="3">
        <v>21</v>
      </c>
      <c r="B27" s="4" t="s">
        <v>258</v>
      </c>
      <c r="C27" s="4" t="s">
        <v>259</v>
      </c>
      <c r="D27" s="4" t="s">
        <v>99</v>
      </c>
      <c r="E27" s="5">
        <v>34645</v>
      </c>
      <c r="F27" s="6">
        <v>584.63437499999998</v>
      </c>
      <c r="G27" s="7">
        <v>9.4561300000000001E-3</v>
      </c>
      <c r="H27" s="106"/>
    </row>
    <row r="28" spans="1:8" ht="17.100000000000001" customHeight="1" x14ac:dyDescent="0.2">
      <c r="A28" s="3">
        <v>22</v>
      </c>
      <c r="B28" s="4" t="s">
        <v>737</v>
      </c>
      <c r="C28" s="4" t="s">
        <v>738</v>
      </c>
      <c r="D28" s="4" t="s">
        <v>16</v>
      </c>
      <c r="E28" s="5">
        <v>216081</v>
      </c>
      <c r="F28" s="6">
        <v>515.46122549999995</v>
      </c>
      <c r="G28" s="7">
        <v>8.3372930000000008E-3</v>
      </c>
      <c r="H28" s="106"/>
    </row>
    <row r="29" spans="1:8" ht="17.100000000000001" customHeight="1" x14ac:dyDescent="0.2">
      <c r="A29" s="3">
        <v>23</v>
      </c>
      <c r="B29" s="4" t="s">
        <v>335</v>
      </c>
      <c r="C29" s="4" t="s">
        <v>336</v>
      </c>
      <c r="D29" s="4" t="s">
        <v>16</v>
      </c>
      <c r="E29" s="5">
        <v>25198</v>
      </c>
      <c r="F29" s="6">
        <v>479.25336099999998</v>
      </c>
      <c r="G29" s="7">
        <v>7.7516520000000004E-3</v>
      </c>
      <c r="H29" s="106"/>
    </row>
    <row r="30" spans="1:8" ht="17.100000000000001" customHeight="1" x14ac:dyDescent="0.2">
      <c r="A30" s="3">
        <v>24</v>
      </c>
      <c r="B30" s="4" t="s">
        <v>348</v>
      </c>
      <c r="C30" s="4" t="s">
        <v>349</v>
      </c>
      <c r="D30" s="4" t="s">
        <v>99</v>
      </c>
      <c r="E30" s="5">
        <v>6330</v>
      </c>
      <c r="F30" s="6">
        <v>452.22152999999997</v>
      </c>
      <c r="G30" s="7">
        <v>7.3144270000000001E-3</v>
      </c>
      <c r="H30" s="106"/>
    </row>
    <row r="31" spans="1:8" ht="29.1" customHeight="1" x14ac:dyDescent="0.2">
      <c r="A31" s="3">
        <v>25</v>
      </c>
      <c r="B31" s="4" t="s">
        <v>614</v>
      </c>
      <c r="C31" s="4" t="s">
        <v>615</v>
      </c>
      <c r="D31" s="4" t="s">
        <v>245</v>
      </c>
      <c r="E31" s="5">
        <v>32775</v>
      </c>
      <c r="F31" s="6">
        <v>383.45111250000002</v>
      </c>
      <c r="G31" s="7">
        <v>6.2021050000000003E-3</v>
      </c>
      <c r="H31" s="106"/>
    </row>
    <row r="32" spans="1:8" ht="14.1" customHeight="1" x14ac:dyDescent="0.2">
      <c r="A32" s="1"/>
      <c r="B32" s="1"/>
      <c r="C32" s="2" t="s">
        <v>130</v>
      </c>
      <c r="D32" s="1"/>
      <c r="E32" s="1" t="s">
        <v>131</v>
      </c>
      <c r="F32" s="9">
        <v>58004.522988500001</v>
      </c>
      <c r="G32" s="10">
        <v>0.93819030000000003</v>
      </c>
      <c r="H32" s="106"/>
    </row>
    <row r="33" spans="1:8" ht="14.1" customHeight="1" x14ac:dyDescent="0.2">
      <c r="A33" s="1"/>
      <c r="B33" s="1"/>
      <c r="C33" s="11"/>
      <c r="D33" s="1"/>
      <c r="E33" s="1"/>
      <c r="F33" s="12"/>
      <c r="G33" s="12"/>
      <c r="H33" s="106"/>
    </row>
    <row r="34" spans="1:8" ht="14.1" customHeight="1" x14ac:dyDescent="0.2">
      <c r="A34" s="1"/>
      <c r="B34" s="1"/>
      <c r="C34" s="2" t="s">
        <v>132</v>
      </c>
      <c r="D34" s="1"/>
      <c r="E34" s="1"/>
      <c r="F34" s="1"/>
      <c r="G34" s="1"/>
      <c r="H34" s="106"/>
    </row>
    <row r="35" spans="1:8" ht="14.1" customHeight="1" x14ac:dyDescent="0.2">
      <c r="A35" s="1"/>
      <c r="B35" s="1"/>
      <c r="C35" s="2" t="s">
        <v>130</v>
      </c>
      <c r="D35" s="1"/>
      <c r="E35" s="1" t="s">
        <v>131</v>
      </c>
      <c r="F35" s="13">
        <v>0</v>
      </c>
      <c r="G35" s="14">
        <v>0</v>
      </c>
      <c r="H35" s="106"/>
    </row>
    <row r="36" spans="1:8" ht="14.1" customHeight="1" x14ac:dyDescent="0.2">
      <c r="A36" s="1"/>
      <c r="B36" s="1"/>
      <c r="C36" s="11"/>
      <c r="D36" s="1"/>
      <c r="E36" s="1"/>
      <c r="F36" s="12"/>
      <c r="G36" s="12"/>
      <c r="H36" s="106"/>
    </row>
    <row r="37" spans="1:8" ht="14.1" customHeight="1" x14ac:dyDescent="0.2">
      <c r="A37" s="1"/>
      <c r="B37" s="1"/>
      <c r="C37" s="2" t="s">
        <v>133</v>
      </c>
      <c r="D37" s="1"/>
      <c r="E37" s="1"/>
      <c r="F37" s="1"/>
      <c r="G37" s="1"/>
      <c r="H37" s="106"/>
    </row>
    <row r="38" spans="1:8" ht="14.1" customHeight="1" x14ac:dyDescent="0.2">
      <c r="A38" s="1"/>
      <c r="B38" s="1"/>
      <c r="C38" s="2" t="s">
        <v>130</v>
      </c>
      <c r="D38" s="1"/>
      <c r="E38" s="1" t="s">
        <v>131</v>
      </c>
      <c r="F38" s="13">
        <v>0</v>
      </c>
      <c r="G38" s="14">
        <v>0</v>
      </c>
      <c r="H38" s="106"/>
    </row>
    <row r="39" spans="1:8" ht="14.1" customHeight="1" x14ac:dyDescent="0.2">
      <c r="A39" s="1"/>
      <c r="B39" s="1"/>
      <c r="C39" s="11"/>
      <c r="D39" s="1"/>
      <c r="E39" s="1"/>
      <c r="F39" s="12"/>
      <c r="G39" s="12"/>
      <c r="H39" s="106"/>
    </row>
    <row r="40" spans="1:8" ht="14.1" customHeight="1" x14ac:dyDescent="0.2">
      <c r="A40" s="1"/>
      <c r="B40" s="1"/>
      <c r="C40" s="2" t="s">
        <v>134</v>
      </c>
      <c r="D40" s="1"/>
      <c r="E40" s="1"/>
      <c r="F40" s="1"/>
      <c r="G40" s="1"/>
      <c r="H40" s="106"/>
    </row>
    <row r="41" spans="1:8" ht="14.1" customHeight="1" x14ac:dyDescent="0.2">
      <c r="A41" s="1"/>
      <c r="B41" s="1"/>
      <c r="C41" s="2" t="s">
        <v>130</v>
      </c>
      <c r="D41" s="1"/>
      <c r="E41" s="1" t="s">
        <v>131</v>
      </c>
      <c r="F41" s="13">
        <v>0</v>
      </c>
      <c r="G41" s="14">
        <v>0</v>
      </c>
      <c r="H41" s="106"/>
    </row>
    <row r="42" spans="1:8" ht="14.1" customHeight="1" x14ac:dyDescent="0.2">
      <c r="A42" s="1"/>
      <c r="B42" s="1"/>
      <c r="C42" s="11"/>
      <c r="D42" s="1"/>
      <c r="E42" s="1"/>
      <c r="F42" s="12"/>
      <c r="G42" s="12"/>
      <c r="H42" s="106"/>
    </row>
    <row r="43" spans="1:8" ht="14.1" customHeight="1" x14ac:dyDescent="0.2">
      <c r="A43" s="1"/>
      <c r="B43" s="1"/>
      <c r="C43" s="2" t="s">
        <v>135</v>
      </c>
      <c r="D43" s="1"/>
      <c r="E43" s="1"/>
      <c r="F43" s="12"/>
      <c r="G43" s="12"/>
      <c r="H43" s="106"/>
    </row>
    <row r="44" spans="1:8" ht="14.1" customHeight="1" x14ac:dyDescent="0.2">
      <c r="A44" s="1"/>
      <c r="B44" s="1"/>
      <c r="C44" s="2" t="s">
        <v>130</v>
      </c>
      <c r="D44" s="1"/>
      <c r="E44" s="1" t="s">
        <v>131</v>
      </c>
      <c r="F44" s="13">
        <v>0</v>
      </c>
      <c r="G44" s="14">
        <v>0</v>
      </c>
      <c r="H44" s="106"/>
    </row>
    <row r="45" spans="1:8" ht="14.1" customHeight="1" x14ac:dyDescent="0.2">
      <c r="A45" s="1"/>
      <c r="B45" s="1"/>
      <c r="C45" s="11"/>
      <c r="D45" s="1"/>
      <c r="E45" s="1"/>
      <c r="F45" s="12"/>
      <c r="G45" s="12"/>
      <c r="H45" s="106"/>
    </row>
    <row r="46" spans="1:8" ht="14.1" customHeight="1" x14ac:dyDescent="0.2">
      <c r="A46" s="1"/>
      <c r="B46" s="1"/>
      <c r="C46" s="2" t="s">
        <v>136</v>
      </c>
      <c r="D46" s="1"/>
      <c r="E46" s="1"/>
      <c r="F46" s="12"/>
      <c r="G46" s="12"/>
      <c r="H46" s="106"/>
    </row>
    <row r="47" spans="1:8" ht="14.1" customHeight="1" x14ac:dyDescent="0.2">
      <c r="A47" s="1"/>
      <c r="B47" s="1"/>
      <c r="C47" s="2" t="s">
        <v>130</v>
      </c>
      <c r="D47" s="1"/>
      <c r="E47" s="1" t="s">
        <v>131</v>
      </c>
      <c r="F47" s="13">
        <v>0</v>
      </c>
      <c r="G47" s="14">
        <v>0</v>
      </c>
      <c r="H47" s="106"/>
    </row>
    <row r="48" spans="1:8" ht="14.1" customHeight="1" x14ac:dyDescent="0.2">
      <c r="A48" s="1"/>
      <c r="B48" s="1"/>
      <c r="C48" s="11"/>
      <c r="D48" s="1"/>
      <c r="E48" s="1"/>
      <c r="F48" s="12"/>
      <c r="G48" s="12"/>
      <c r="H48" s="106"/>
    </row>
    <row r="49" spans="1:8" ht="18" customHeight="1" x14ac:dyDescent="0.2">
      <c r="A49" s="1"/>
      <c r="B49" s="1"/>
      <c r="C49" s="2" t="s">
        <v>137</v>
      </c>
      <c r="D49" s="1"/>
      <c r="E49" s="1"/>
      <c r="F49" s="9">
        <v>58004.522988500001</v>
      </c>
      <c r="G49" s="10">
        <v>0.93819030000000003</v>
      </c>
      <c r="H49" s="106"/>
    </row>
    <row r="50" spans="1:8" ht="14.1" customHeight="1" x14ac:dyDescent="0.2">
      <c r="A50" s="1"/>
      <c r="B50" s="1"/>
      <c r="C50" s="11"/>
      <c r="D50" s="1"/>
      <c r="E50" s="1"/>
      <c r="F50" s="12"/>
      <c r="G50" s="12"/>
      <c r="H50" s="106"/>
    </row>
    <row r="51" spans="1:8" ht="14.1" customHeight="1" x14ac:dyDescent="0.2">
      <c r="A51" s="1"/>
      <c r="B51" s="1"/>
      <c r="C51" s="2" t="s">
        <v>138</v>
      </c>
      <c r="D51" s="1"/>
      <c r="E51" s="1"/>
      <c r="F51" s="12"/>
      <c r="G51" s="12"/>
      <c r="H51" s="106"/>
    </row>
    <row r="52" spans="1:8" ht="24" customHeight="1" x14ac:dyDescent="0.2">
      <c r="A52" s="1"/>
      <c r="B52" s="1"/>
      <c r="C52" s="2" t="s">
        <v>10</v>
      </c>
      <c r="D52" s="1"/>
      <c r="E52" s="1"/>
      <c r="F52" s="12"/>
      <c r="G52" s="12"/>
      <c r="H52" s="106"/>
    </row>
    <row r="53" spans="1:8" ht="14.1" customHeight="1" x14ac:dyDescent="0.2">
      <c r="A53" s="1"/>
      <c r="B53" s="1"/>
      <c r="C53" s="2" t="s">
        <v>130</v>
      </c>
      <c r="D53" s="1"/>
      <c r="E53" s="1" t="s">
        <v>131</v>
      </c>
      <c r="F53" s="13">
        <v>0</v>
      </c>
      <c r="G53" s="14">
        <v>0</v>
      </c>
      <c r="H53" s="106"/>
    </row>
    <row r="54" spans="1:8" ht="14.1" customHeight="1" x14ac:dyDescent="0.2">
      <c r="A54" s="1"/>
      <c r="B54" s="1"/>
      <c r="C54" s="11"/>
      <c r="D54" s="1"/>
      <c r="E54" s="1"/>
      <c r="F54" s="12"/>
      <c r="G54" s="12"/>
      <c r="H54" s="106"/>
    </row>
    <row r="55" spans="1:8" ht="14.1" customHeight="1" x14ac:dyDescent="0.2">
      <c r="A55" s="1"/>
      <c r="B55" s="1"/>
      <c r="C55" s="2" t="s">
        <v>139</v>
      </c>
      <c r="D55" s="1"/>
      <c r="E55" s="1"/>
      <c r="F55" s="1"/>
      <c r="G55" s="1"/>
      <c r="H55" s="106"/>
    </row>
    <row r="56" spans="1:8" ht="14.1" customHeight="1" x14ac:dyDescent="0.2">
      <c r="A56" s="1"/>
      <c r="B56" s="1"/>
      <c r="C56" s="2" t="s">
        <v>130</v>
      </c>
      <c r="D56" s="1"/>
      <c r="E56" s="1" t="s">
        <v>131</v>
      </c>
      <c r="F56" s="13">
        <v>0</v>
      </c>
      <c r="G56" s="14">
        <v>0</v>
      </c>
      <c r="H56" s="106"/>
    </row>
    <row r="57" spans="1:8" ht="14.1" customHeight="1" x14ac:dyDescent="0.2">
      <c r="A57" s="1"/>
      <c r="B57" s="1"/>
      <c r="C57" s="11"/>
      <c r="D57" s="1"/>
      <c r="E57" s="1"/>
      <c r="F57" s="12"/>
      <c r="G57" s="12"/>
      <c r="H57" s="106"/>
    </row>
    <row r="58" spans="1:8" ht="14.1" customHeight="1" x14ac:dyDescent="0.2">
      <c r="A58" s="1"/>
      <c r="B58" s="1"/>
      <c r="C58" s="2" t="s">
        <v>140</v>
      </c>
      <c r="D58" s="1"/>
      <c r="E58" s="1"/>
      <c r="F58" s="1"/>
      <c r="G58" s="1"/>
      <c r="H58" s="106"/>
    </row>
    <row r="59" spans="1:8" ht="14.1" customHeight="1" x14ac:dyDescent="0.2">
      <c r="A59" s="1"/>
      <c r="B59" s="1"/>
      <c r="C59" s="2" t="s">
        <v>130</v>
      </c>
      <c r="D59" s="1"/>
      <c r="E59" s="1" t="s">
        <v>131</v>
      </c>
      <c r="F59" s="13">
        <v>0</v>
      </c>
      <c r="G59" s="14">
        <v>0</v>
      </c>
      <c r="H59" s="106"/>
    </row>
    <row r="60" spans="1:8" ht="14.1" customHeight="1" x14ac:dyDescent="0.2">
      <c r="A60" s="1"/>
      <c r="B60" s="1"/>
      <c r="C60" s="11"/>
      <c r="D60" s="1"/>
      <c r="E60" s="1"/>
      <c r="F60" s="12"/>
      <c r="G60" s="12"/>
      <c r="H60" s="106"/>
    </row>
    <row r="61" spans="1:8" ht="14.1" customHeight="1" x14ac:dyDescent="0.2">
      <c r="A61" s="1"/>
      <c r="B61" s="1"/>
      <c r="C61" s="2" t="s">
        <v>141</v>
      </c>
      <c r="D61" s="1"/>
      <c r="E61" s="1"/>
      <c r="F61" s="12"/>
      <c r="G61" s="12"/>
      <c r="H61" s="106"/>
    </row>
    <row r="62" spans="1:8" ht="14.1" customHeight="1" x14ac:dyDescent="0.2">
      <c r="A62" s="1"/>
      <c r="B62" s="1"/>
      <c r="C62" s="2" t="s">
        <v>130</v>
      </c>
      <c r="D62" s="1"/>
      <c r="E62" s="1" t="s">
        <v>131</v>
      </c>
      <c r="F62" s="13">
        <v>0</v>
      </c>
      <c r="G62" s="14">
        <v>0</v>
      </c>
      <c r="H62" s="106"/>
    </row>
    <row r="63" spans="1:8" ht="14.1" customHeight="1" x14ac:dyDescent="0.2">
      <c r="A63" s="1"/>
      <c r="B63" s="1"/>
      <c r="C63" s="11"/>
      <c r="D63" s="1"/>
      <c r="E63" s="1"/>
      <c r="F63" s="12"/>
      <c r="G63" s="12"/>
      <c r="H63" s="106"/>
    </row>
    <row r="64" spans="1:8" ht="14.1" customHeight="1" x14ac:dyDescent="0.2">
      <c r="A64" s="1"/>
      <c r="B64" s="1"/>
      <c r="C64" s="2" t="s">
        <v>142</v>
      </c>
      <c r="D64" s="1"/>
      <c r="E64" s="1"/>
      <c r="F64" s="9">
        <v>0</v>
      </c>
      <c r="G64" s="10">
        <v>0</v>
      </c>
      <c r="H64" s="106"/>
    </row>
    <row r="65" spans="1:8" ht="14.1" customHeight="1" x14ac:dyDescent="0.2">
      <c r="A65" s="1"/>
      <c r="B65" s="1"/>
      <c r="C65" s="11"/>
      <c r="D65" s="1"/>
      <c r="E65" s="1"/>
      <c r="F65" s="12"/>
      <c r="G65" s="12"/>
      <c r="H65" s="106"/>
    </row>
    <row r="66" spans="1:8" ht="14.1" customHeight="1" x14ac:dyDescent="0.2">
      <c r="A66" s="1"/>
      <c r="B66" s="1"/>
      <c r="C66" s="2" t="s">
        <v>143</v>
      </c>
      <c r="D66" s="1"/>
      <c r="E66" s="1"/>
      <c r="F66" s="12"/>
      <c r="G66" s="12"/>
      <c r="H66" s="106"/>
    </row>
    <row r="67" spans="1:8" ht="14.1" customHeight="1" x14ac:dyDescent="0.2">
      <c r="A67" s="1"/>
      <c r="B67" s="1"/>
      <c r="C67" s="2" t="s">
        <v>144</v>
      </c>
      <c r="D67" s="1"/>
      <c r="E67" s="1"/>
      <c r="F67" s="12"/>
      <c r="G67" s="12"/>
      <c r="H67" s="106"/>
    </row>
    <row r="68" spans="1:8" ht="14.1" customHeight="1" x14ac:dyDescent="0.2">
      <c r="A68" s="1"/>
      <c r="B68" s="1"/>
      <c r="C68" s="2" t="s">
        <v>130</v>
      </c>
      <c r="D68" s="1"/>
      <c r="E68" s="1" t="s">
        <v>131</v>
      </c>
      <c r="F68" s="13">
        <v>0</v>
      </c>
      <c r="G68" s="14">
        <v>0</v>
      </c>
      <c r="H68" s="106"/>
    </row>
    <row r="69" spans="1:8" ht="14.1" customHeight="1" x14ac:dyDescent="0.2">
      <c r="A69" s="1"/>
      <c r="B69" s="1"/>
      <c r="C69" s="11"/>
      <c r="D69" s="1"/>
      <c r="E69" s="1"/>
      <c r="F69" s="12"/>
      <c r="G69" s="12"/>
      <c r="H69" s="106"/>
    </row>
    <row r="70" spans="1:8" ht="14.1" customHeight="1" x14ac:dyDescent="0.2">
      <c r="A70" s="1"/>
      <c r="B70" s="1"/>
      <c r="C70" s="2" t="s">
        <v>145</v>
      </c>
      <c r="D70" s="1"/>
      <c r="E70" s="1"/>
      <c r="F70" s="12"/>
      <c r="G70" s="12"/>
      <c r="H70" s="106"/>
    </row>
    <row r="71" spans="1:8" ht="14.1" customHeight="1" x14ac:dyDescent="0.2">
      <c r="A71" s="1"/>
      <c r="B71" s="1"/>
      <c r="C71" s="2" t="s">
        <v>130</v>
      </c>
      <c r="D71" s="1"/>
      <c r="E71" s="1" t="s">
        <v>131</v>
      </c>
      <c r="F71" s="13">
        <v>0</v>
      </c>
      <c r="G71" s="14">
        <v>0</v>
      </c>
      <c r="H71" s="106"/>
    </row>
    <row r="72" spans="1:8" ht="14.1" customHeight="1" x14ac:dyDescent="0.2">
      <c r="A72" s="1"/>
      <c r="B72" s="1"/>
      <c r="C72" s="11"/>
      <c r="D72" s="1"/>
      <c r="E72" s="1"/>
      <c r="F72" s="12"/>
      <c r="G72" s="12"/>
      <c r="H72" s="106"/>
    </row>
    <row r="73" spans="1:8" ht="14.1" customHeight="1" x14ac:dyDescent="0.2">
      <c r="A73" s="1"/>
      <c r="B73" s="1"/>
      <c r="C73" s="2" t="s">
        <v>146</v>
      </c>
      <c r="D73" s="1"/>
      <c r="E73" s="1"/>
      <c r="F73" s="12"/>
      <c r="G73" s="12"/>
      <c r="H73" s="106"/>
    </row>
    <row r="74" spans="1:8" ht="14.1" customHeight="1" x14ac:dyDescent="0.2">
      <c r="A74" s="1"/>
      <c r="B74" s="1"/>
      <c r="C74" s="2" t="s">
        <v>130</v>
      </c>
      <c r="D74" s="1"/>
      <c r="E74" s="1" t="s">
        <v>131</v>
      </c>
      <c r="F74" s="13">
        <v>0</v>
      </c>
      <c r="G74" s="14">
        <v>0</v>
      </c>
      <c r="H74" s="106"/>
    </row>
    <row r="75" spans="1:8" ht="14.1" customHeight="1" x14ac:dyDescent="0.2">
      <c r="A75" s="1"/>
      <c r="B75" s="1"/>
      <c r="C75" s="11"/>
      <c r="D75" s="1"/>
      <c r="E75" s="1"/>
      <c r="F75" s="12"/>
      <c r="G75" s="12"/>
      <c r="H75" s="106"/>
    </row>
    <row r="76" spans="1:8" ht="14.1" customHeight="1" x14ac:dyDescent="0.2">
      <c r="A76" s="1"/>
      <c r="B76" s="1"/>
      <c r="C76" s="2" t="s">
        <v>147</v>
      </c>
      <c r="D76" s="1"/>
      <c r="E76" s="1"/>
      <c r="F76" s="12"/>
      <c r="G76" s="12"/>
      <c r="H76" s="106"/>
    </row>
    <row r="77" spans="1:8" ht="17.100000000000001" customHeight="1" x14ac:dyDescent="0.2">
      <c r="A77" s="3">
        <v>1</v>
      </c>
      <c r="B77" s="4"/>
      <c r="C77" s="4" t="s">
        <v>148</v>
      </c>
      <c r="D77" s="4"/>
      <c r="E77" s="8"/>
      <c r="F77" s="6">
        <v>3128.0330631000002</v>
      </c>
      <c r="G77" s="7">
        <v>5.0594162999999998E-2</v>
      </c>
      <c r="H77" s="106">
        <v>6.1171451766917047</v>
      </c>
    </row>
    <row r="78" spans="1:8" ht="14.1" customHeight="1" x14ac:dyDescent="0.2">
      <c r="A78" s="1"/>
      <c r="B78" s="1"/>
      <c r="C78" s="2" t="s">
        <v>130</v>
      </c>
      <c r="D78" s="1"/>
      <c r="E78" s="1" t="s">
        <v>131</v>
      </c>
      <c r="F78" s="9">
        <v>3128.0330631000002</v>
      </c>
      <c r="G78" s="10">
        <v>5.0594162999999998E-2</v>
      </c>
      <c r="H78" s="106"/>
    </row>
    <row r="79" spans="1:8" ht="14.1" customHeight="1" x14ac:dyDescent="0.2">
      <c r="A79" s="1"/>
      <c r="B79" s="1"/>
      <c r="C79" s="11"/>
      <c r="D79" s="1"/>
      <c r="E79" s="1"/>
      <c r="F79" s="12"/>
      <c r="G79" s="12"/>
      <c r="H79" s="106"/>
    </row>
    <row r="80" spans="1:8" ht="14.1" customHeight="1" x14ac:dyDescent="0.2">
      <c r="A80" s="1"/>
      <c r="B80" s="1"/>
      <c r="C80" s="2" t="s">
        <v>149</v>
      </c>
      <c r="D80" s="1"/>
      <c r="E80" s="1"/>
      <c r="F80" s="9">
        <v>3128.0330631000002</v>
      </c>
      <c r="G80" s="10">
        <v>5.0594162999999998E-2</v>
      </c>
      <c r="H80" s="106"/>
    </row>
    <row r="81" spans="1:8" ht="14.1" customHeight="1" x14ac:dyDescent="0.2">
      <c r="A81" s="1"/>
      <c r="B81" s="1"/>
      <c r="C81" s="12"/>
      <c r="D81" s="1"/>
      <c r="E81" s="1"/>
      <c r="F81" s="1"/>
      <c r="G81" s="1"/>
      <c r="H81" s="106"/>
    </row>
    <row r="82" spans="1:8" ht="14.1" customHeight="1" x14ac:dyDescent="0.2">
      <c r="A82" s="1"/>
      <c r="B82" s="1"/>
      <c r="C82" s="2" t="s">
        <v>150</v>
      </c>
      <c r="D82" s="1"/>
      <c r="E82" s="1"/>
      <c r="F82" s="1"/>
      <c r="G82" s="1"/>
      <c r="H82" s="106"/>
    </row>
    <row r="83" spans="1:8" ht="14.1" customHeight="1" x14ac:dyDescent="0.2">
      <c r="A83" s="1"/>
      <c r="B83" s="1"/>
      <c r="C83" s="2" t="s">
        <v>151</v>
      </c>
      <c r="D83" s="1"/>
      <c r="E83" s="1"/>
      <c r="F83" s="1"/>
      <c r="G83" s="1"/>
      <c r="H83" s="106"/>
    </row>
    <row r="84" spans="1:8" ht="14.1" customHeight="1" x14ac:dyDescent="0.2">
      <c r="A84" s="1"/>
      <c r="B84" s="1"/>
      <c r="C84" s="2" t="s">
        <v>130</v>
      </c>
      <c r="D84" s="1"/>
      <c r="E84" s="1" t="s">
        <v>131</v>
      </c>
      <c r="F84" s="13">
        <v>0</v>
      </c>
      <c r="G84" s="14">
        <v>0</v>
      </c>
      <c r="H84" s="106"/>
    </row>
    <row r="85" spans="1:8" ht="14.1" customHeight="1" x14ac:dyDescent="0.2">
      <c r="A85" s="1"/>
      <c r="B85" s="1"/>
      <c r="C85" s="11"/>
      <c r="D85" s="1"/>
      <c r="E85" s="1"/>
      <c r="F85" s="12"/>
      <c r="G85" s="12"/>
      <c r="H85" s="106"/>
    </row>
    <row r="86" spans="1:8" ht="14.1" customHeight="1" x14ac:dyDescent="0.2">
      <c r="A86" s="1"/>
      <c r="B86" s="1"/>
      <c r="C86" s="2" t="s">
        <v>152</v>
      </c>
      <c r="D86" s="1"/>
      <c r="E86" s="1"/>
      <c r="F86" s="1"/>
      <c r="G86" s="1"/>
      <c r="H86" s="106"/>
    </row>
    <row r="87" spans="1:8" ht="14.1" customHeight="1" x14ac:dyDescent="0.2">
      <c r="A87" s="1"/>
      <c r="B87" s="1"/>
      <c r="C87" s="2" t="s">
        <v>153</v>
      </c>
      <c r="D87" s="1"/>
      <c r="E87" s="1"/>
      <c r="F87" s="1"/>
      <c r="G87" s="1"/>
      <c r="H87" s="106"/>
    </row>
    <row r="88" spans="1:8" ht="14.1" customHeight="1" x14ac:dyDescent="0.2">
      <c r="A88" s="1"/>
      <c r="B88" s="1"/>
      <c r="C88" s="2" t="s">
        <v>130</v>
      </c>
      <c r="D88" s="1"/>
      <c r="E88" s="1" t="s">
        <v>131</v>
      </c>
      <c r="F88" s="13">
        <v>0</v>
      </c>
      <c r="G88" s="14">
        <v>0</v>
      </c>
      <c r="H88" s="106"/>
    </row>
    <row r="89" spans="1:8" ht="14.1" customHeight="1" x14ac:dyDescent="0.2">
      <c r="A89" s="1"/>
      <c r="B89" s="1"/>
      <c r="C89" s="11"/>
      <c r="D89" s="1"/>
      <c r="E89" s="1"/>
      <c r="F89" s="12"/>
      <c r="G89" s="12"/>
      <c r="H89" s="106"/>
    </row>
    <row r="90" spans="1:8" ht="14.1" customHeight="1" x14ac:dyDescent="0.2">
      <c r="A90" s="1"/>
      <c r="B90" s="1"/>
      <c r="C90" s="11"/>
      <c r="D90" s="1"/>
      <c r="E90" s="1"/>
      <c r="F90" s="12"/>
      <c r="G90" s="12"/>
      <c r="H90" s="106"/>
    </row>
    <row r="91" spans="1:8" ht="24" customHeight="1" x14ac:dyDescent="0.2">
      <c r="A91" s="1"/>
      <c r="B91" s="1"/>
      <c r="C91" s="2" t="s">
        <v>154</v>
      </c>
      <c r="D91" s="1"/>
      <c r="E91" s="1"/>
      <c r="F91" s="12"/>
      <c r="G91" s="12"/>
      <c r="H91" s="106"/>
    </row>
    <row r="92" spans="1:8" ht="14.1" customHeight="1" x14ac:dyDescent="0.2">
      <c r="A92" s="1"/>
      <c r="B92" s="1"/>
      <c r="C92" s="2" t="s">
        <v>130</v>
      </c>
      <c r="D92" s="1"/>
      <c r="E92" s="1" t="s">
        <v>131</v>
      </c>
      <c r="F92" s="13">
        <v>0</v>
      </c>
      <c r="G92" s="14">
        <v>0</v>
      </c>
      <c r="H92" s="106"/>
    </row>
    <row r="93" spans="1:8" ht="14.1" customHeight="1" x14ac:dyDescent="0.2">
      <c r="A93" s="1"/>
      <c r="B93" s="1"/>
      <c r="C93" s="11"/>
      <c r="D93" s="1"/>
      <c r="E93" s="1"/>
      <c r="F93" s="12"/>
      <c r="G93" s="12"/>
      <c r="H93" s="106"/>
    </row>
    <row r="94" spans="1:8" ht="14.1" customHeight="1" x14ac:dyDescent="0.2">
      <c r="A94" s="1"/>
      <c r="B94" s="4"/>
      <c r="C94" s="4"/>
      <c r="D94" s="2"/>
      <c r="E94" s="1"/>
      <c r="F94" s="4"/>
      <c r="G94" s="8"/>
      <c r="H94" s="106"/>
    </row>
    <row r="95" spans="1:8" ht="18" customHeight="1" x14ac:dyDescent="0.2">
      <c r="A95" s="8"/>
      <c r="B95" s="4"/>
      <c r="C95" s="4" t="s">
        <v>155</v>
      </c>
      <c r="D95" s="4"/>
      <c r="E95" s="8"/>
      <c r="F95" s="6">
        <v>693.41151697999999</v>
      </c>
      <c r="G95" s="7">
        <v>1.1215538000000001E-2</v>
      </c>
      <c r="H95" s="106"/>
    </row>
    <row r="96" spans="1:8" ht="14.1" customHeight="1" x14ac:dyDescent="0.2">
      <c r="A96" s="11"/>
      <c r="B96" s="11"/>
      <c r="C96" s="2" t="s">
        <v>156</v>
      </c>
      <c r="D96" s="15"/>
      <c r="E96" s="15"/>
      <c r="F96" s="9">
        <v>61825.967568580003</v>
      </c>
      <c r="G96" s="14">
        <v>1.0000000010000001</v>
      </c>
      <c r="H96" s="106"/>
    </row>
    <row r="97" spans="1:7" ht="14.1" customHeight="1" x14ac:dyDescent="0.2">
      <c r="A97" s="16"/>
      <c r="B97" s="16"/>
      <c r="C97" s="16"/>
      <c r="D97" s="17"/>
      <c r="E97" s="17"/>
      <c r="F97" s="17"/>
      <c r="G97" s="17"/>
    </row>
    <row r="98" spans="1:7" ht="14.1" customHeight="1" x14ac:dyDescent="0.2">
      <c r="A98" s="18"/>
      <c r="B98" s="18"/>
      <c r="C98" s="18"/>
      <c r="D98" s="20"/>
      <c r="E98" s="20"/>
      <c r="F98" s="20"/>
      <c r="G98" s="20"/>
    </row>
    <row r="99" spans="1:7" ht="14.1" customHeight="1" x14ac:dyDescent="0.2">
      <c r="A99" s="18"/>
      <c r="B99" s="279" t="s">
        <v>158</v>
      </c>
      <c r="C99" s="280"/>
      <c r="D99" s="12" t="s">
        <v>131</v>
      </c>
      <c r="E99" s="21"/>
      <c r="F99" s="20"/>
      <c r="G99" s="20"/>
    </row>
    <row r="100" spans="1:7" ht="29.1" customHeight="1" x14ac:dyDescent="0.2">
      <c r="A100" s="18"/>
      <c r="B100" s="274" t="s">
        <v>159</v>
      </c>
      <c r="C100" s="275"/>
      <c r="D100" s="2" t="s">
        <v>160</v>
      </c>
      <c r="E100" s="21"/>
      <c r="F100" s="20"/>
      <c r="G100" s="20"/>
    </row>
    <row r="101" spans="1:7" ht="17.100000000000001" customHeight="1" x14ac:dyDescent="0.2">
      <c r="A101" s="18"/>
      <c r="B101" s="274" t="s">
        <v>161</v>
      </c>
      <c r="C101" s="275"/>
      <c r="D101" s="2" t="s">
        <v>160</v>
      </c>
      <c r="E101" s="21"/>
      <c r="F101" s="20"/>
      <c r="G101" s="20"/>
    </row>
    <row r="102" spans="1:7" ht="17.100000000000001" customHeight="1" x14ac:dyDescent="0.2">
      <c r="A102" s="18"/>
      <c r="B102" s="274" t="s">
        <v>162</v>
      </c>
      <c r="C102" s="275"/>
      <c r="D102" s="12" t="s">
        <v>131</v>
      </c>
      <c r="E102" s="21"/>
      <c r="F102" s="20"/>
      <c r="G102" s="20"/>
    </row>
    <row r="103" spans="1:7" ht="24" customHeight="1" x14ac:dyDescent="0.2">
      <c r="A103" s="22"/>
      <c r="B103" s="23" t="s">
        <v>131</v>
      </c>
      <c r="C103" s="23" t="s">
        <v>163</v>
      </c>
      <c r="D103" s="23" t="s">
        <v>164</v>
      </c>
      <c r="E103" s="22"/>
      <c r="F103" s="22"/>
      <c r="G103" s="22"/>
    </row>
    <row r="104" spans="1:7" ht="18" customHeight="1" x14ac:dyDescent="0.2">
      <c r="A104" s="22"/>
      <c r="B104" s="23" t="s">
        <v>165</v>
      </c>
      <c r="C104" s="23" t="s">
        <v>166</v>
      </c>
      <c r="D104" s="23" t="s">
        <v>167</v>
      </c>
      <c r="E104" s="22"/>
      <c r="F104" s="22"/>
      <c r="G104" s="22"/>
    </row>
    <row r="105" spans="1:7" ht="17.100000000000001" customHeight="1" x14ac:dyDescent="0.2">
      <c r="A105" s="22"/>
      <c r="B105" s="4" t="s">
        <v>168</v>
      </c>
      <c r="C105" s="24">
        <v>65.503699999999995</v>
      </c>
      <c r="D105" s="24">
        <v>69.826099999999997</v>
      </c>
      <c r="E105" s="22"/>
      <c r="F105" s="19"/>
      <c r="G105" s="25"/>
    </row>
    <row r="106" spans="1:7" ht="17.100000000000001" customHeight="1" x14ac:dyDescent="0.2">
      <c r="A106" s="22"/>
      <c r="B106" s="4" t="s">
        <v>1048</v>
      </c>
      <c r="C106" s="24">
        <v>25.7258</v>
      </c>
      <c r="D106" s="24">
        <v>27.423300000000001</v>
      </c>
      <c r="E106" s="22"/>
      <c r="F106" s="19"/>
      <c r="G106" s="25"/>
    </row>
    <row r="107" spans="1:7" ht="29.1" customHeight="1" x14ac:dyDescent="0.2">
      <c r="A107" s="22"/>
      <c r="B107" s="4" t="s">
        <v>758</v>
      </c>
      <c r="C107" s="24">
        <v>67.349599999999995</v>
      </c>
      <c r="D107" s="24">
        <v>71.793800000000005</v>
      </c>
      <c r="E107" s="22"/>
      <c r="F107" s="19"/>
      <c r="G107" s="25"/>
    </row>
    <row r="108" spans="1:7" ht="29.1" customHeight="1" x14ac:dyDescent="0.2">
      <c r="A108" s="22"/>
      <c r="B108" s="4" t="s">
        <v>1067</v>
      </c>
      <c r="C108" s="24">
        <v>26.1768</v>
      </c>
      <c r="D108" s="24">
        <v>27.903400000000001</v>
      </c>
      <c r="E108" s="22"/>
      <c r="F108" s="19"/>
      <c r="G108" s="25"/>
    </row>
    <row r="109" spans="1:7" ht="17.100000000000001" customHeight="1" x14ac:dyDescent="0.2">
      <c r="A109" s="22"/>
      <c r="B109" s="4" t="s">
        <v>169</v>
      </c>
      <c r="C109" s="24">
        <v>60.407299999999999</v>
      </c>
      <c r="D109" s="24">
        <v>64.316199999999995</v>
      </c>
      <c r="E109" s="22"/>
      <c r="F109" s="19"/>
      <c r="G109" s="25"/>
    </row>
    <row r="110" spans="1:7" ht="17.100000000000001" customHeight="1" x14ac:dyDescent="0.2">
      <c r="A110" s="22"/>
      <c r="B110" s="4" t="s">
        <v>1049</v>
      </c>
      <c r="C110" s="24">
        <v>23.3386</v>
      </c>
      <c r="D110" s="24">
        <v>24.8489</v>
      </c>
      <c r="E110" s="22"/>
      <c r="F110" s="19"/>
      <c r="G110" s="25"/>
    </row>
    <row r="111" spans="1:7" ht="14.1" customHeight="1" x14ac:dyDescent="0.2">
      <c r="A111" s="22"/>
      <c r="B111" s="22"/>
      <c r="C111" s="22"/>
      <c r="D111" s="22"/>
      <c r="E111" s="22"/>
      <c r="F111" s="22"/>
      <c r="G111" s="22"/>
    </row>
    <row r="112" spans="1:7" ht="17.100000000000001" customHeight="1" x14ac:dyDescent="0.2">
      <c r="A112" s="22"/>
      <c r="B112" s="274" t="s">
        <v>1060</v>
      </c>
      <c r="C112" s="275"/>
      <c r="D112" s="2" t="s">
        <v>160</v>
      </c>
      <c r="E112" s="22"/>
      <c r="F112" s="22"/>
      <c r="G112" s="22"/>
    </row>
    <row r="113" spans="1:7" ht="18" customHeight="1" x14ac:dyDescent="0.2">
      <c r="A113" s="22"/>
      <c r="B113" s="26" t="s">
        <v>170</v>
      </c>
      <c r="C113" s="26" t="s">
        <v>170</v>
      </c>
      <c r="D113" s="26"/>
      <c r="E113" s="22"/>
      <c r="F113" s="22"/>
      <c r="G113" s="22"/>
    </row>
    <row r="114" spans="1:7" ht="29.1" customHeight="1" x14ac:dyDescent="0.2">
      <c r="A114" s="22"/>
      <c r="B114" s="274" t="s">
        <v>171</v>
      </c>
      <c r="C114" s="275"/>
      <c r="D114" s="2" t="s">
        <v>160</v>
      </c>
      <c r="E114" s="22"/>
      <c r="F114" s="22"/>
      <c r="G114" s="22"/>
    </row>
    <row r="115" spans="1:7" ht="29.1" customHeight="1" x14ac:dyDescent="0.2">
      <c r="A115" s="22"/>
      <c r="B115" s="274" t="s">
        <v>172</v>
      </c>
      <c r="C115" s="275"/>
      <c r="D115" s="2" t="s">
        <v>160</v>
      </c>
      <c r="E115" s="22"/>
      <c r="F115" s="22"/>
      <c r="G115" s="22"/>
    </row>
    <row r="116" spans="1:7" ht="17.100000000000001" customHeight="1" x14ac:dyDescent="0.2">
      <c r="A116" s="22"/>
      <c r="B116" s="274" t="s">
        <v>173</v>
      </c>
      <c r="C116" s="275"/>
      <c r="D116" s="27">
        <v>0.60680933744967291</v>
      </c>
      <c r="E116" s="22"/>
      <c r="F116" s="19"/>
      <c r="G116" s="25"/>
    </row>
    <row r="117" spans="1:7" ht="17.100000000000001" customHeight="1" x14ac:dyDescent="0.2">
      <c r="A117" s="22"/>
      <c r="B117" s="274" t="s">
        <v>174</v>
      </c>
      <c r="C117" s="275"/>
      <c r="D117" s="2" t="s">
        <v>160</v>
      </c>
      <c r="E117" s="22"/>
      <c r="F117" s="22"/>
      <c r="G117" s="22"/>
    </row>
  </sheetData>
  <mergeCells count="13">
    <mergeCell ref="J2:N2"/>
    <mergeCell ref="B99:C99"/>
    <mergeCell ref="B116:C116"/>
    <mergeCell ref="A1:H1"/>
    <mergeCell ref="A2:H2"/>
    <mergeCell ref="A3:H3"/>
    <mergeCell ref="B117:C117"/>
    <mergeCell ref="B100:C100"/>
    <mergeCell ref="B101:C101"/>
    <mergeCell ref="B102:C102"/>
    <mergeCell ref="B112:C112"/>
    <mergeCell ref="B114:C114"/>
    <mergeCell ref="B115:C115"/>
  </mergeCells>
  <hyperlinks>
    <hyperlink ref="I1" location="Index!B37" display="Index" xr:uid="{8236D48E-3664-4CF6-A3A5-6967647268B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B3188-5740-4DA1-B8F5-2F93C0407ADD}">
  <dimension ref="A1:O61"/>
  <sheetViews>
    <sheetView workbookViewId="0">
      <selection sqref="A1:H1"/>
    </sheetView>
  </sheetViews>
  <sheetFormatPr defaultRowHeight="15" x14ac:dyDescent="0.25"/>
  <cols>
    <col min="1" max="1" width="5.42578125" style="44" bestFit="1" customWidth="1"/>
    <col min="2" max="2" width="19.7109375" style="44" bestFit="1" customWidth="1"/>
    <col min="3" max="3" width="40.28515625" style="44" bestFit="1" customWidth="1"/>
    <col min="4" max="4" width="15.28515625" style="44" bestFit="1" customWidth="1"/>
    <col min="5" max="5" width="12.42578125" style="44" bestFit="1" customWidth="1"/>
    <col min="6" max="6" width="10.140625" style="44" bestFit="1" customWidth="1"/>
    <col min="7" max="7" width="8.5703125" style="44" bestFit="1" customWidth="1"/>
    <col min="8" max="8" width="8.42578125" style="44" bestFit="1" customWidth="1"/>
    <col min="9" max="10" width="9.140625" style="175"/>
    <col min="11" max="11" width="10.5703125" style="175" bestFit="1" customWidth="1"/>
    <col min="12" max="14" width="9.140625" style="175"/>
    <col min="15" max="15" width="9.140625" style="174"/>
    <col min="16" max="250" width="9.140625" style="44"/>
    <col min="251" max="251" width="5.42578125" style="44" bestFit="1" customWidth="1"/>
    <col min="252" max="252" width="20.42578125" style="44" bestFit="1" customWidth="1"/>
    <col min="253" max="253" width="41.42578125" style="44" customWidth="1"/>
    <col min="254" max="254" width="15.28515625" style="44" bestFit="1" customWidth="1"/>
    <col min="255" max="255" width="16.7109375" style="44" bestFit="1" customWidth="1"/>
    <col min="256" max="256" width="11.28515625" style="44" bestFit="1" customWidth="1"/>
    <col min="257" max="257" width="14" style="44" bestFit="1" customWidth="1"/>
    <col min="258" max="258" width="11.85546875" style="44" bestFit="1" customWidth="1"/>
    <col min="259" max="259" width="14.85546875" style="44" bestFit="1" customWidth="1"/>
    <col min="260" max="260" width="9.7109375" style="44" customWidth="1"/>
    <col min="261" max="261" width="4.85546875" style="44" customWidth="1"/>
    <col min="262" max="506" width="9.140625" style="44"/>
    <col min="507" max="507" width="5.42578125" style="44" bestFit="1" customWidth="1"/>
    <col min="508" max="508" width="20.42578125" style="44" bestFit="1" customWidth="1"/>
    <col min="509" max="509" width="41.42578125" style="44" customWidth="1"/>
    <col min="510" max="510" width="15.28515625" style="44" bestFit="1" customWidth="1"/>
    <col min="511" max="511" width="16.7109375" style="44" bestFit="1" customWidth="1"/>
    <col min="512" max="512" width="11.28515625" style="44" bestFit="1" customWidth="1"/>
    <col min="513" max="513" width="14" style="44" bestFit="1" customWidth="1"/>
    <col min="514" max="514" width="11.85546875" style="44" bestFit="1" customWidth="1"/>
    <col min="515" max="515" width="14.85546875" style="44" bestFit="1" customWidth="1"/>
    <col min="516" max="516" width="9.7109375" style="44" customWidth="1"/>
    <col min="517" max="517" width="4.85546875" style="44" customWidth="1"/>
    <col min="518" max="762" width="9.140625" style="44"/>
    <col min="763" max="763" width="5.42578125" style="44" bestFit="1" customWidth="1"/>
    <col min="764" max="764" width="20.42578125" style="44" bestFit="1" customWidth="1"/>
    <col min="765" max="765" width="41.42578125" style="44" customWidth="1"/>
    <col min="766" max="766" width="15.28515625" style="44" bestFit="1" customWidth="1"/>
    <col min="767" max="767" width="16.7109375" style="44" bestFit="1" customWidth="1"/>
    <col min="768" max="768" width="11.28515625" style="44" bestFit="1" customWidth="1"/>
    <col min="769" max="769" width="14" style="44" bestFit="1" customWidth="1"/>
    <col min="770" max="770" width="11.85546875" style="44" bestFit="1" customWidth="1"/>
    <col min="771" max="771" width="14.85546875" style="44" bestFit="1" customWidth="1"/>
    <col min="772" max="772" width="9.7109375" style="44" customWidth="1"/>
    <col min="773" max="773" width="4.85546875" style="44" customWidth="1"/>
    <col min="774" max="1018" width="9.140625" style="44"/>
    <col min="1019" max="1019" width="5.42578125" style="44" bestFit="1" customWidth="1"/>
    <col min="1020" max="1020" width="20.42578125" style="44" bestFit="1" customWidth="1"/>
    <col min="1021" max="1021" width="41.42578125" style="44" customWidth="1"/>
    <col min="1022" max="1022" width="15.28515625" style="44" bestFit="1" customWidth="1"/>
    <col min="1023" max="1023" width="16.7109375" style="44" bestFit="1" customWidth="1"/>
    <col min="1024" max="1024" width="11.28515625" style="44" bestFit="1" customWidth="1"/>
    <col min="1025" max="1025" width="14" style="44" bestFit="1" customWidth="1"/>
    <col min="1026" max="1026" width="11.85546875" style="44" bestFit="1" customWidth="1"/>
    <col min="1027" max="1027" width="14.85546875" style="44" bestFit="1" customWidth="1"/>
    <col min="1028" max="1028" width="9.7109375" style="44" customWidth="1"/>
    <col min="1029" max="1029" width="4.85546875" style="44" customWidth="1"/>
    <col min="1030" max="1274" width="9.140625" style="44"/>
    <col min="1275" max="1275" width="5.42578125" style="44" bestFit="1" customWidth="1"/>
    <col min="1276" max="1276" width="20.42578125" style="44" bestFit="1" customWidth="1"/>
    <col min="1277" max="1277" width="41.42578125" style="44" customWidth="1"/>
    <col min="1278" max="1278" width="15.28515625" style="44" bestFit="1" customWidth="1"/>
    <col min="1279" max="1279" width="16.7109375" style="44" bestFit="1" customWidth="1"/>
    <col min="1280" max="1280" width="11.28515625" style="44" bestFit="1" customWidth="1"/>
    <col min="1281" max="1281" width="14" style="44" bestFit="1" customWidth="1"/>
    <col min="1282" max="1282" width="11.85546875" style="44" bestFit="1" customWidth="1"/>
    <col min="1283" max="1283" width="14.85546875" style="44" bestFit="1" customWidth="1"/>
    <col min="1284" max="1284" width="9.7109375" style="44" customWidth="1"/>
    <col min="1285" max="1285" width="4.85546875" style="44" customWidth="1"/>
    <col min="1286" max="1530" width="9.140625" style="44"/>
    <col min="1531" max="1531" width="5.42578125" style="44" bestFit="1" customWidth="1"/>
    <col min="1532" max="1532" width="20.42578125" style="44" bestFit="1" customWidth="1"/>
    <col min="1533" max="1533" width="41.42578125" style="44" customWidth="1"/>
    <col min="1534" max="1534" width="15.28515625" style="44" bestFit="1" customWidth="1"/>
    <col min="1535" max="1535" width="16.7109375" style="44" bestFit="1" customWidth="1"/>
    <col min="1536" max="1536" width="11.28515625" style="44" bestFit="1" customWidth="1"/>
    <col min="1537" max="1537" width="14" style="44" bestFit="1" customWidth="1"/>
    <col min="1538" max="1538" width="11.85546875" style="44" bestFit="1" customWidth="1"/>
    <col min="1539" max="1539" width="14.85546875" style="44" bestFit="1" customWidth="1"/>
    <col min="1540" max="1540" width="9.7109375" style="44" customWidth="1"/>
    <col min="1541" max="1541" width="4.85546875" style="44" customWidth="1"/>
    <col min="1542" max="1786" width="9.140625" style="44"/>
    <col min="1787" max="1787" width="5.42578125" style="44" bestFit="1" customWidth="1"/>
    <col min="1788" max="1788" width="20.42578125" style="44" bestFit="1" customWidth="1"/>
    <col min="1789" max="1789" width="41.42578125" style="44" customWidth="1"/>
    <col min="1790" max="1790" width="15.28515625" style="44" bestFit="1" customWidth="1"/>
    <col min="1791" max="1791" width="16.7109375" style="44" bestFit="1" customWidth="1"/>
    <col min="1792" max="1792" width="11.28515625" style="44" bestFit="1" customWidth="1"/>
    <col min="1793" max="1793" width="14" style="44" bestFit="1" customWidth="1"/>
    <col min="1794" max="1794" width="11.85546875" style="44" bestFit="1" customWidth="1"/>
    <col min="1795" max="1795" width="14.85546875" style="44" bestFit="1" customWidth="1"/>
    <col min="1796" max="1796" width="9.7109375" style="44" customWidth="1"/>
    <col min="1797" max="1797" width="4.85546875" style="44" customWidth="1"/>
    <col min="1798" max="2042" width="9.140625" style="44"/>
    <col min="2043" max="2043" width="5.42578125" style="44" bestFit="1" customWidth="1"/>
    <col min="2044" max="2044" width="20.42578125" style="44" bestFit="1" customWidth="1"/>
    <col min="2045" max="2045" width="41.42578125" style="44" customWidth="1"/>
    <col min="2046" max="2046" width="15.28515625" style="44" bestFit="1" customWidth="1"/>
    <col min="2047" max="2047" width="16.7109375" style="44" bestFit="1" customWidth="1"/>
    <col min="2048" max="2048" width="11.28515625" style="44" bestFit="1" customWidth="1"/>
    <col min="2049" max="2049" width="14" style="44" bestFit="1" customWidth="1"/>
    <col min="2050" max="2050" width="11.85546875" style="44" bestFit="1" customWidth="1"/>
    <col min="2051" max="2051" width="14.85546875" style="44" bestFit="1" customWidth="1"/>
    <col min="2052" max="2052" width="9.7109375" style="44" customWidth="1"/>
    <col min="2053" max="2053" width="4.85546875" style="44" customWidth="1"/>
    <col min="2054" max="2298" width="9.140625" style="44"/>
    <col min="2299" max="2299" width="5.42578125" style="44" bestFit="1" customWidth="1"/>
    <col min="2300" max="2300" width="20.42578125" style="44" bestFit="1" customWidth="1"/>
    <col min="2301" max="2301" width="41.42578125" style="44" customWidth="1"/>
    <col min="2302" max="2302" width="15.28515625" style="44" bestFit="1" customWidth="1"/>
    <col min="2303" max="2303" width="16.7109375" style="44" bestFit="1" customWidth="1"/>
    <col min="2304" max="2304" width="11.28515625" style="44" bestFit="1" customWidth="1"/>
    <col min="2305" max="2305" width="14" style="44" bestFit="1" customWidth="1"/>
    <col min="2306" max="2306" width="11.85546875" style="44" bestFit="1" customWidth="1"/>
    <col min="2307" max="2307" width="14.85546875" style="44" bestFit="1" customWidth="1"/>
    <col min="2308" max="2308" width="9.7109375" style="44" customWidth="1"/>
    <col min="2309" max="2309" width="4.85546875" style="44" customWidth="1"/>
    <col min="2310" max="2554" width="9.140625" style="44"/>
    <col min="2555" max="2555" width="5.42578125" style="44" bestFit="1" customWidth="1"/>
    <col min="2556" max="2556" width="20.42578125" style="44" bestFit="1" customWidth="1"/>
    <col min="2557" max="2557" width="41.42578125" style="44" customWidth="1"/>
    <col min="2558" max="2558" width="15.28515625" style="44" bestFit="1" customWidth="1"/>
    <col min="2559" max="2559" width="16.7109375" style="44" bestFit="1" customWidth="1"/>
    <col min="2560" max="2560" width="11.28515625" style="44" bestFit="1" customWidth="1"/>
    <col min="2561" max="2561" width="14" style="44" bestFit="1" customWidth="1"/>
    <col min="2562" max="2562" width="11.85546875" style="44" bestFit="1" customWidth="1"/>
    <col min="2563" max="2563" width="14.85546875" style="44" bestFit="1" customWidth="1"/>
    <col min="2564" max="2564" width="9.7109375" style="44" customWidth="1"/>
    <col min="2565" max="2565" width="4.85546875" style="44" customWidth="1"/>
    <col min="2566" max="2810" width="9.140625" style="44"/>
    <col min="2811" max="2811" width="5.42578125" style="44" bestFit="1" customWidth="1"/>
    <col min="2812" max="2812" width="20.42578125" style="44" bestFit="1" customWidth="1"/>
    <col min="2813" max="2813" width="41.42578125" style="44" customWidth="1"/>
    <col min="2814" max="2814" width="15.28515625" style="44" bestFit="1" customWidth="1"/>
    <col min="2815" max="2815" width="16.7109375" style="44" bestFit="1" customWidth="1"/>
    <col min="2816" max="2816" width="11.28515625" style="44" bestFit="1" customWidth="1"/>
    <col min="2817" max="2817" width="14" style="44" bestFit="1" customWidth="1"/>
    <col min="2818" max="2818" width="11.85546875" style="44" bestFit="1" customWidth="1"/>
    <col min="2819" max="2819" width="14.85546875" style="44" bestFit="1" customWidth="1"/>
    <col min="2820" max="2820" width="9.7109375" style="44" customWidth="1"/>
    <col min="2821" max="2821" width="4.85546875" style="44" customWidth="1"/>
    <col min="2822" max="3066" width="9.140625" style="44"/>
    <col min="3067" max="3067" width="5.42578125" style="44" bestFit="1" customWidth="1"/>
    <col min="3068" max="3068" width="20.42578125" style="44" bestFit="1" customWidth="1"/>
    <col min="3069" max="3069" width="41.42578125" style="44" customWidth="1"/>
    <col min="3070" max="3070" width="15.28515625" style="44" bestFit="1" customWidth="1"/>
    <col min="3071" max="3071" width="16.7109375" style="44" bestFit="1" customWidth="1"/>
    <col min="3072" max="3072" width="11.28515625" style="44" bestFit="1" customWidth="1"/>
    <col min="3073" max="3073" width="14" style="44" bestFit="1" customWidth="1"/>
    <col min="3074" max="3074" width="11.85546875" style="44" bestFit="1" customWidth="1"/>
    <col min="3075" max="3075" width="14.85546875" style="44" bestFit="1" customWidth="1"/>
    <col min="3076" max="3076" width="9.7109375" style="44" customWidth="1"/>
    <col min="3077" max="3077" width="4.85546875" style="44" customWidth="1"/>
    <col min="3078" max="3322" width="9.140625" style="44"/>
    <col min="3323" max="3323" width="5.42578125" style="44" bestFit="1" customWidth="1"/>
    <col min="3324" max="3324" width="20.42578125" style="44" bestFit="1" customWidth="1"/>
    <col min="3325" max="3325" width="41.42578125" style="44" customWidth="1"/>
    <col min="3326" max="3326" width="15.28515625" style="44" bestFit="1" customWidth="1"/>
    <col min="3327" max="3327" width="16.7109375" style="44" bestFit="1" customWidth="1"/>
    <col min="3328" max="3328" width="11.28515625" style="44" bestFit="1" customWidth="1"/>
    <col min="3329" max="3329" width="14" style="44" bestFit="1" customWidth="1"/>
    <col min="3330" max="3330" width="11.85546875" style="44" bestFit="1" customWidth="1"/>
    <col min="3331" max="3331" width="14.85546875" style="44" bestFit="1" customWidth="1"/>
    <col min="3332" max="3332" width="9.7109375" style="44" customWidth="1"/>
    <col min="3333" max="3333" width="4.85546875" style="44" customWidth="1"/>
    <col min="3334" max="3578" width="9.140625" style="44"/>
    <col min="3579" max="3579" width="5.42578125" style="44" bestFit="1" customWidth="1"/>
    <col min="3580" max="3580" width="20.42578125" style="44" bestFit="1" customWidth="1"/>
    <col min="3581" max="3581" width="41.42578125" style="44" customWidth="1"/>
    <col min="3582" max="3582" width="15.28515625" style="44" bestFit="1" customWidth="1"/>
    <col min="3583" max="3583" width="16.7109375" style="44" bestFit="1" customWidth="1"/>
    <col min="3584" max="3584" width="11.28515625" style="44" bestFit="1" customWidth="1"/>
    <col min="3585" max="3585" width="14" style="44" bestFit="1" customWidth="1"/>
    <col min="3586" max="3586" width="11.85546875" style="44" bestFit="1" customWidth="1"/>
    <col min="3587" max="3587" width="14.85546875" style="44" bestFit="1" customWidth="1"/>
    <col min="3588" max="3588" width="9.7109375" style="44" customWidth="1"/>
    <col min="3589" max="3589" width="4.85546875" style="44" customWidth="1"/>
    <col min="3590" max="3834" width="9.140625" style="44"/>
    <col min="3835" max="3835" width="5.42578125" style="44" bestFit="1" customWidth="1"/>
    <col min="3836" max="3836" width="20.42578125" style="44" bestFit="1" customWidth="1"/>
    <col min="3837" max="3837" width="41.42578125" style="44" customWidth="1"/>
    <col min="3838" max="3838" width="15.28515625" style="44" bestFit="1" customWidth="1"/>
    <col min="3839" max="3839" width="16.7109375" style="44" bestFit="1" customWidth="1"/>
    <col min="3840" max="3840" width="11.28515625" style="44" bestFit="1" customWidth="1"/>
    <col min="3841" max="3841" width="14" style="44" bestFit="1" customWidth="1"/>
    <col min="3842" max="3842" width="11.85546875" style="44" bestFit="1" customWidth="1"/>
    <col min="3843" max="3843" width="14.85546875" style="44" bestFit="1" customWidth="1"/>
    <col min="3844" max="3844" width="9.7109375" style="44" customWidth="1"/>
    <col min="3845" max="3845" width="4.85546875" style="44" customWidth="1"/>
    <col min="3846" max="4090" width="9.140625" style="44"/>
    <col min="4091" max="4091" width="5.42578125" style="44" bestFit="1" customWidth="1"/>
    <col min="4092" max="4092" width="20.42578125" style="44" bestFit="1" customWidth="1"/>
    <col min="4093" max="4093" width="41.42578125" style="44" customWidth="1"/>
    <col min="4094" max="4094" width="15.28515625" style="44" bestFit="1" customWidth="1"/>
    <col min="4095" max="4095" width="16.7109375" style="44" bestFit="1" customWidth="1"/>
    <col min="4096" max="4096" width="11.28515625" style="44" bestFit="1" customWidth="1"/>
    <col min="4097" max="4097" width="14" style="44" bestFit="1" customWidth="1"/>
    <col min="4098" max="4098" width="11.85546875" style="44" bestFit="1" customWidth="1"/>
    <col min="4099" max="4099" width="14.85546875" style="44" bestFit="1" customWidth="1"/>
    <col min="4100" max="4100" width="9.7109375" style="44" customWidth="1"/>
    <col min="4101" max="4101" width="4.85546875" style="44" customWidth="1"/>
    <col min="4102" max="4346" width="9.140625" style="44"/>
    <col min="4347" max="4347" width="5.42578125" style="44" bestFit="1" customWidth="1"/>
    <col min="4348" max="4348" width="20.42578125" style="44" bestFit="1" customWidth="1"/>
    <col min="4349" max="4349" width="41.42578125" style="44" customWidth="1"/>
    <col min="4350" max="4350" width="15.28515625" style="44" bestFit="1" customWidth="1"/>
    <col min="4351" max="4351" width="16.7109375" style="44" bestFit="1" customWidth="1"/>
    <col min="4352" max="4352" width="11.28515625" style="44" bestFit="1" customWidth="1"/>
    <col min="4353" max="4353" width="14" style="44" bestFit="1" customWidth="1"/>
    <col min="4354" max="4354" width="11.85546875" style="44" bestFit="1" customWidth="1"/>
    <col min="4355" max="4355" width="14.85546875" style="44" bestFit="1" customWidth="1"/>
    <col min="4356" max="4356" width="9.7109375" style="44" customWidth="1"/>
    <col min="4357" max="4357" width="4.85546875" style="44" customWidth="1"/>
    <col min="4358" max="4602" width="9.140625" style="44"/>
    <col min="4603" max="4603" width="5.42578125" style="44" bestFit="1" customWidth="1"/>
    <col min="4604" max="4604" width="20.42578125" style="44" bestFit="1" customWidth="1"/>
    <col min="4605" max="4605" width="41.42578125" style="44" customWidth="1"/>
    <col min="4606" max="4606" width="15.28515625" style="44" bestFit="1" customWidth="1"/>
    <col min="4607" max="4607" width="16.7109375" style="44" bestFit="1" customWidth="1"/>
    <col min="4608" max="4608" width="11.28515625" style="44" bestFit="1" customWidth="1"/>
    <col min="4609" max="4609" width="14" style="44" bestFit="1" customWidth="1"/>
    <col min="4610" max="4610" width="11.85546875" style="44" bestFit="1" customWidth="1"/>
    <col min="4611" max="4611" width="14.85546875" style="44" bestFit="1" customWidth="1"/>
    <col min="4612" max="4612" width="9.7109375" style="44" customWidth="1"/>
    <col min="4613" max="4613" width="4.85546875" style="44" customWidth="1"/>
    <col min="4614" max="4858" width="9.140625" style="44"/>
    <col min="4859" max="4859" width="5.42578125" style="44" bestFit="1" customWidth="1"/>
    <col min="4860" max="4860" width="20.42578125" style="44" bestFit="1" customWidth="1"/>
    <col min="4861" max="4861" width="41.42578125" style="44" customWidth="1"/>
    <col min="4862" max="4862" width="15.28515625" style="44" bestFit="1" customWidth="1"/>
    <col min="4863" max="4863" width="16.7109375" style="44" bestFit="1" customWidth="1"/>
    <col min="4864" max="4864" width="11.28515625" style="44" bestFit="1" customWidth="1"/>
    <col min="4865" max="4865" width="14" style="44" bestFit="1" customWidth="1"/>
    <col min="4866" max="4866" width="11.85546875" style="44" bestFit="1" customWidth="1"/>
    <col min="4867" max="4867" width="14.85546875" style="44" bestFit="1" customWidth="1"/>
    <col min="4868" max="4868" width="9.7109375" style="44" customWidth="1"/>
    <col min="4869" max="4869" width="4.85546875" style="44" customWidth="1"/>
    <col min="4870" max="5114" width="9.140625" style="44"/>
    <col min="5115" max="5115" width="5.42578125" style="44" bestFit="1" customWidth="1"/>
    <col min="5116" max="5116" width="20.42578125" style="44" bestFit="1" customWidth="1"/>
    <col min="5117" max="5117" width="41.42578125" style="44" customWidth="1"/>
    <col min="5118" max="5118" width="15.28515625" style="44" bestFit="1" customWidth="1"/>
    <col min="5119" max="5119" width="16.7109375" style="44" bestFit="1" customWidth="1"/>
    <col min="5120" max="5120" width="11.28515625" style="44" bestFit="1" customWidth="1"/>
    <col min="5121" max="5121" width="14" style="44" bestFit="1" customWidth="1"/>
    <col min="5122" max="5122" width="11.85546875" style="44" bestFit="1" customWidth="1"/>
    <col min="5123" max="5123" width="14.85546875" style="44" bestFit="1" customWidth="1"/>
    <col min="5124" max="5124" width="9.7109375" style="44" customWidth="1"/>
    <col min="5125" max="5125" width="4.85546875" style="44" customWidth="1"/>
    <col min="5126" max="5370" width="9.140625" style="44"/>
    <col min="5371" max="5371" width="5.42578125" style="44" bestFit="1" customWidth="1"/>
    <col min="5372" max="5372" width="20.42578125" style="44" bestFit="1" customWidth="1"/>
    <col min="5373" max="5373" width="41.42578125" style="44" customWidth="1"/>
    <col min="5374" max="5374" width="15.28515625" style="44" bestFit="1" customWidth="1"/>
    <col min="5375" max="5375" width="16.7109375" style="44" bestFit="1" customWidth="1"/>
    <col min="5376" max="5376" width="11.28515625" style="44" bestFit="1" customWidth="1"/>
    <col min="5377" max="5377" width="14" style="44" bestFit="1" customWidth="1"/>
    <col min="5378" max="5378" width="11.85546875" style="44" bestFit="1" customWidth="1"/>
    <col min="5379" max="5379" width="14.85546875" style="44" bestFit="1" customWidth="1"/>
    <col min="5380" max="5380" width="9.7109375" style="44" customWidth="1"/>
    <col min="5381" max="5381" width="4.85546875" style="44" customWidth="1"/>
    <col min="5382" max="5626" width="9.140625" style="44"/>
    <col min="5627" max="5627" width="5.42578125" style="44" bestFit="1" customWidth="1"/>
    <col min="5628" max="5628" width="20.42578125" style="44" bestFit="1" customWidth="1"/>
    <col min="5629" max="5629" width="41.42578125" style="44" customWidth="1"/>
    <col min="5630" max="5630" width="15.28515625" style="44" bestFit="1" customWidth="1"/>
    <col min="5631" max="5631" width="16.7109375" style="44" bestFit="1" customWidth="1"/>
    <col min="5632" max="5632" width="11.28515625" style="44" bestFit="1" customWidth="1"/>
    <col min="5633" max="5633" width="14" style="44" bestFit="1" customWidth="1"/>
    <col min="5634" max="5634" width="11.85546875" style="44" bestFit="1" customWidth="1"/>
    <col min="5635" max="5635" width="14.85546875" style="44" bestFit="1" customWidth="1"/>
    <col min="5636" max="5636" width="9.7109375" style="44" customWidth="1"/>
    <col min="5637" max="5637" width="4.85546875" style="44" customWidth="1"/>
    <col min="5638" max="5882" width="9.140625" style="44"/>
    <col min="5883" max="5883" width="5.42578125" style="44" bestFit="1" customWidth="1"/>
    <col min="5884" max="5884" width="20.42578125" style="44" bestFit="1" customWidth="1"/>
    <col min="5885" max="5885" width="41.42578125" style="44" customWidth="1"/>
    <col min="5886" max="5886" width="15.28515625" style="44" bestFit="1" customWidth="1"/>
    <col min="5887" max="5887" width="16.7109375" style="44" bestFit="1" customWidth="1"/>
    <col min="5888" max="5888" width="11.28515625" style="44" bestFit="1" customWidth="1"/>
    <col min="5889" max="5889" width="14" style="44" bestFit="1" customWidth="1"/>
    <col min="5890" max="5890" width="11.85546875" style="44" bestFit="1" customWidth="1"/>
    <col min="5891" max="5891" width="14.85546875" style="44" bestFit="1" customWidth="1"/>
    <col min="5892" max="5892" width="9.7109375" style="44" customWidth="1"/>
    <col min="5893" max="5893" width="4.85546875" style="44" customWidth="1"/>
    <col min="5894" max="6138" width="9.140625" style="44"/>
    <col min="6139" max="6139" width="5.42578125" style="44" bestFit="1" customWidth="1"/>
    <col min="6140" max="6140" width="20.42578125" style="44" bestFit="1" customWidth="1"/>
    <col min="6141" max="6141" width="41.42578125" style="44" customWidth="1"/>
    <col min="6142" max="6142" width="15.28515625" style="44" bestFit="1" customWidth="1"/>
    <col min="6143" max="6143" width="16.7109375" style="44" bestFit="1" customWidth="1"/>
    <col min="6144" max="6144" width="11.28515625" style="44" bestFit="1" customWidth="1"/>
    <col min="6145" max="6145" width="14" style="44" bestFit="1" customWidth="1"/>
    <col min="6146" max="6146" width="11.85546875" style="44" bestFit="1" customWidth="1"/>
    <col min="6147" max="6147" width="14.85546875" style="44" bestFit="1" customWidth="1"/>
    <col min="6148" max="6148" width="9.7109375" style="44" customWidth="1"/>
    <col min="6149" max="6149" width="4.85546875" style="44" customWidth="1"/>
    <col min="6150" max="6394" width="9.140625" style="44"/>
    <col min="6395" max="6395" width="5.42578125" style="44" bestFit="1" customWidth="1"/>
    <col min="6396" max="6396" width="20.42578125" style="44" bestFit="1" customWidth="1"/>
    <col min="6397" max="6397" width="41.42578125" style="44" customWidth="1"/>
    <col min="6398" max="6398" width="15.28515625" style="44" bestFit="1" customWidth="1"/>
    <col min="6399" max="6399" width="16.7109375" style="44" bestFit="1" customWidth="1"/>
    <col min="6400" max="6400" width="11.28515625" style="44" bestFit="1" customWidth="1"/>
    <col min="6401" max="6401" width="14" style="44" bestFit="1" customWidth="1"/>
    <col min="6402" max="6402" width="11.85546875" style="44" bestFit="1" customWidth="1"/>
    <col min="6403" max="6403" width="14.85546875" style="44" bestFit="1" customWidth="1"/>
    <col min="6404" max="6404" width="9.7109375" style="44" customWidth="1"/>
    <col min="6405" max="6405" width="4.85546875" style="44" customWidth="1"/>
    <col min="6406" max="6650" width="9.140625" style="44"/>
    <col min="6651" max="6651" width="5.42578125" style="44" bestFit="1" customWidth="1"/>
    <col min="6652" max="6652" width="20.42578125" style="44" bestFit="1" customWidth="1"/>
    <col min="6653" max="6653" width="41.42578125" style="44" customWidth="1"/>
    <col min="6654" max="6654" width="15.28515625" style="44" bestFit="1" customWidth="1"/>
    <col min="6655" max="6655" width="16.7109375" style="44" bestFit="1" customWidth="1"/>
    <col min="6656" max="6656" width="11.28515625" style="44" bestFit="1" customWidth="1"/>
    <col min="6657" max="6657" width="14" style="44" bestFit="1" customWidth="1"/>
    <col min="6658" max="6658" width="11.85546875" style="44" bestFit="1" customWidth="1"/>
    <col min="6659" max="6659" width="14.85546875" style="44" bestFit="1" customWidth="1"/>
    <col min="6660" max="6660" width="9.7109375" style="44" customWidth="1"/>
    <col min="6661" max="6661" width="4.85546875" style="44" customWidth="1"/>
    <col min="6662" max="6906" width="9.140625" style="44"/>
    <col min="6907" max="6907" width="5.42578125" style="44" bestFit="1" customWidth="1"/>
    <col min="6908" max="6908" width="20.42578125" style="44" bestFit="1" customWidth="1"/>
    <col min="6909" max="6909" width="41.42578125" style="44" customWidth="1"/>
    <col min="6910" max="6910" width="15.28515625" style="44" bestFit="1" customWidth="1"/>
    <col min="6911" max="6911" width="16.7109375" style="44" bestFit="1" customWidth="1"/>
    <col min="6912" max="6912" width="11.28515625" style="44" bestFit="1" customWidth="1"/>
    <col min="6913" max="6913" width="14" style="44" bestFit="1" customWidth="1"/>
    <col min="6914" max="6914" width="11.85546875" style="44" bestFit="1" customWidth="1"/>
    <col min="6915" max="6915" width="14.85546875" style="44" bestFit="1" customWidth="1"/>
    <col min="6916" max="6916" width="9.7109375" style="44" customWidth="1"/>
    <col min="6917" max="6917" width="4.85546875" style="44" customWidth="1"/>
    <col min="6918" max="7162" width="9.140625" style="44"/>
    <col min="7163" max="7163" width="5.42578125" style="44" bestFit="1" customWidth="1"/>
    <col min="7164" max="7164" width="20.42578125" style="44" bestFit="1" customWidth="1"/>
    <col min="7165" max="7165" width="41.42578125" style="44" customWidth="1"/>
    <col min="7166" max="7166" width="15.28515625" style="44" bestFit="1" customWidth="1"/>
    <col min="7167" max="7167" width="16.7109375" style="44" bestFit="1" customWidth="1"/>
    <col min="7168" max="7168" width="11.28515625" style="44" bestFit="1" customWidth="1"/>
    <col min="7169" max="7169" width="14" style="44" bestFit="1" customWidth="1"/>
    <col min="7170" max="7170" width="11.85546875" style="44" bestFit="1" customWidth="1"/>
    <col min="7171" max="7171" width="14.85546875" style="44" bestFit="1" customWidth="1"/>
    <col min="7172" max="7172" width="9.7109375" style="44" customWidth="1"/>
    <col min="7173" max="7173" width="4.85546875" style="44" customWidth="1"/>
    <col min="7174" max="7418" width="9.140625" style="44"/>
    <col min="7419" max="7419" width="5.42578125" style="44" bestFit="1" customWidth="1"/>
    <col min="7420" max="7420" width="20.42578125" style="44" bestFit="1" customWidth="1"/>
    <col min="7421" max="7421" width="41.42578125" style="44" customWidth="1"/>
    <col min="7422" max="7422" width="15.28515625" style="44" bestFit="1" customWidth="1"/>
    <col min="7423" max="7423" width="16.7109375" style="44" bestFit="1" customWidth="1"/>
    <col min="7424" max="7424" width="11.28515625" style="44" bestFit="1" customWidth="1"/>
    <col min="7425" max="7425" width="14" style="44" bestFit="1" customWidth="1"/>
    <col min="7426" max="7426" width="11.85546875" style="44" bestFit="1" customWidth="1"/>
    <col min="7427" max="7427" width="14.85546875" style="44" bestFit="1" customWidth="1"/>
    <col min="7428" max="7428" width="9.7109375" style="44" customWidth="1"/>
    <col min="7429" max="7429" width="4.85546875" style="44" customWidth="1"/>
    <col min="7430" max="7674" width="9.140625" style="44"/>
    <col min="7675" max="7675" width="5.42578125" style="44" bestFit="1" customWidth="1"/>
    <col min="7676" max="7676" width="20.42578125" style="44" bestFit="1" customWidth="1"/>
    <col min="7677" max="7677" width="41.42578125" style="44" customWidth="1"/>
    <col min="7678" max="7678" width="15.28515625" style="44" bestFit="1" customWidth="1"/>
    <col min="7679" max="7679" width="16.7109375" style="44" bestFit="1" customWidth="1"/>
    <col min="7680" max="7680" width="11.28515625" style="44" bestFit="1" customWidth="1"/>
    <col min="7681" max="7681" width="14" style="44" bestFit="1" customWidth="1"/>
    <col min="7682" max="7682" width="11.85546875" style="44" bestFit="1" customWidth="1"/>
    <col min="7683" max="7683" width="14.85546875" style="44" bestFit="1" customWidth="1"/>
    <col min="7684" max="7684" width="9.7109375" style="44" customWidth="1"/>
    <col min="7685" max="7685" width="4.85546875" style="44" customWidth="1"/>
    <col min="7686" max="7930" width="9.140625" style="44"/>
    <col min="7931" max="7931" width="5.42578125" style="44" bestFit="1" customWidth="1"/>
    <col min="7932" max="7932" width="20.42578125" style="44" bestFit="1" customWidth="1"/>
    <col min="7933" max="7933" width="41.42578125" style="44" customWidth="1"/>
    <col min="7934" max="7934" width="15.28515625" style="44" bestFit="1" customWidth="1"/>
    <col min="7935" max="7935" width="16.7109375" style="44" bestFit="1" customWidth="1"/>
    <col min="7936" max="7936" width="11.28515625" style="44" bestFit="1" customWidth="1"/>
    <col min="7937" max="7937" width="14" style="44" bestFit="1" customWidth="1"/>
    <col min="7938" max="7938" width="11.85546875" style="44" bestFit="1" customWidth="1"/>
    <col min="7939" max="7939" width="14.85546875" style="44" bestFit="1" customWidth="1"/>
    <col min="7940" max="7940" width="9.7109375" style="44" customWidth="1"/>
    <col min="7941" max="7941" width="4.85546875" style="44" customWidth="1"/>
    <col min="7942" max="8186" width="9.140625" style="44"/>
    <col min="8187" max="8187" width="5.42578125" style="44" bestFit="1" customWidth="1"/>
    <col min="8188" max="8188" width="20.42578125" style="44" bestFit="1" customWidth="1"/>
    <col min="8189" max="8189" width="41.42578125" style="44" customWidth="1"/>
    <col min="8190" max="8190" width="15.28515625" style="44" bestFit="1" customWidth="1"/>
    <col min="8191" max="8191" width="16.7109375" style="44" bestFit="1" customWidth="1"/>
    <col min="8192" max="8192" width="11.28515625" style="44" bestFit="1" customWidth="1"/>
    <col min="8193" max="8193" width="14" style="44" bestFit="1" customWidth="1"/>
    <col min="8194" max="8194" width="11.85546875" style="44" bestFit="1" customWidth="1"/>
    <col min="8195" max="8195" width="14.85546875" style="44" bestFit="1" customWidth="1"/>
    <col min="8196" max="8196" width="9.7109375" style="44" customWidth="1"/>
    <col min="8197" max="8197" width="4.85546875" style="44" customWidth="1"/>
    <col min="8198" max="8442" width="9.140625" style="44"/>
    <col min="8443" max="8443" width="5.42578125" style="44" bestFit="1" customWidth="1"/>
    <col min="8444" max="8444" width="20.42578125" style="44" bestFit="1" customWidth="1"/>
    <col min="8445" max="8445" width="41.42578125" style="44" customWidth="1"/>
    <col min="8446" max="8446" width="15.28515625" style="44" bestFit="1" customWidth="1"/>
    <col min="8447" max="8447" width="16.7109375" style="44" bestFit="1" customWidth="1"/>
    <col min="8448" max="8448" width="11.28515625" style="44" bestFit="1" customWidth="1"/>
    <col min="8449" max="8449" width="14" style="44" bestFit="1" customWidth="1"/>
    <col min="8450" max="8450" width="11.85546875" style="44" bestFit="1" customWidth="1"/>
    <col min="8451" max="8451" width="14.85546875" style="44" bestFit="1" customWidth="1"/>
    <col min="8452" max="8452" width="9.7109375" style="44" customWidth="1"/>
    <col min="8453" max="8453" width="4.85546875" style="44" customWidth="1"/>
    <col min="8454" max="8698" width="9.140625" style="44"/>
    <col min="8699" max="8699" width="5.42578125" style="44" bestFit="1" customWidth="1"/>
    <col min="8700" max="8700" width="20.42578125" style="44" bestFit="1" customWidth="1"/>
    <col min="8701" max="8701" width="41.42578125" style="44" customWidth="1"/>
    <col min="8702" max="8702" width="15.28515625" style="44" bestFit="1" customWidth="1"/>
    <col min="8703" max="8703" width="16.7109375" style="44" bestFit="1" customWidth="1"/>
    <col min="8704" max="8704" width="11.28515625" style="44" bestFit="1" customWidth="1"/>
    <col min="8705" max="8705" width="14" style="44" bestFit="1" customWidth="1"/>
    <col min="8706" max="8706" width="11.85546875" style="44" bestFit="1" customWidth="1"/>
    <col min="8707" max="8707" width="14.85546875" style="44" bestFit="1" customWidth="1"/>
    <col min="8708" max="8708" width="9.7109375" style="44" customWidth="1"/>
    <col min="8709" max="8709" width="4.85546875" style="44" customWidth="1"/>
    <col min="8710" max="8954" width="9.140625" style="44"/>
    <col min="8955" max="8955" width="5.42578125" style="44" bestFit="1" customWidth="1"/>
    <col min="8956" max="8956" width="20.42578125" style="44" bestFit="1" customWidth="1"/>
    <col min="8957" max="8957" width="41.42578125" style="44" customWidth="1"/>
    <col min="8958" max="8958" width="15.28515625" style="44" bestFit="1" customWidth="1"/>
    <col min="8959" max="8959" width="16.7109375" style="44" bestFit="1" customWidth="1"/>
    <col min="8960" max="8960" width="11.28515625" style="44" bestFit="1" customWidth="1"/>
    <col min="8961" max="8961" width="14" style="44" bestFit="1" customWidth="1"/>
    <col min="8962" max="8962" width="11.85546875" style="44" bestFit="1" customWidth="1"/>
    <col min="8963" max="8963" width="14.85546875" style="44" bestFit="1" customWidth="1"/>
    <col min="8964" max="8964" width="9.7109375" style="44" customWidth="1"/>
    <col min="8965" max="8965" width="4.85546875" style="44" customWidth="1"/>
    <col min="8966" max="9210" width="9.140625" style="44"/>
    <col min="9211" max="9211" width="5.42578125" style="44" bestFit="1" customWidth="1"/>
    <col min="9212" max="9212" width="20.42578125" style="44" bestFit="1" customWidth="1"/>
    <col min="9213" max="9213" width="41.42578125" style="44" customWidth="1"/>
    <col min="9214" max="9214" width="15.28515625" style="44" bestFit="1" customWidth="1"/>
    <col min="9215" max="9215" width="16.7109375" style="44" bestFit="1" customWidth="1"/>
    <col min="9216" max="9216" width="11.28515625" style="44" bestFit="1" customWidth="1"/>
    <col min="9217" max="9217" width="14" style="44" bestFit="1" customWidth="1"/>
    <col min="9218" max="9218" width="11.85546875" style="44" bestFit="1" customWidth="1"/>
    <col min="9219" max="9219" width="14.85546875" style="44" bestFit="1" customWidth="1"/>
    <col min="9220" max="9220" width="9.7109375" style="44" customWidth="1"/>
    <col min="9221" max="9221" width="4.85546875" style="44" customWidth="1"/>
    <col min="9222" max="9466" width="9.140625" style="44"/>
    <col min="9467" max="9467" width="5.42578125" style="44" bestFit="1" customWidth="1"/>
    <col min="9468" max="9468" width="20.42578125" style="44" bestFit="1" customWidth="1"/>
    <col min="9469" max="9469" width="41.42578125" style="44" customWidth="1"/>
    <col min="9470" max="9470" width="15.28515625" style="44" bestFit="1" customWidth="1"/>
    <col min="9471" max="9471" width="16.7109375" style="44" bestFit="1" customWidth="1"/>
    <col min="9472" max="9472" width="11.28515625" style="44" bestFit="1" customWidth="1"/>
    <col min="9473" max="9473" width="14" style="44" bestFit="1" customWidth="1"/>
    <col min="9474" max="9474" width="11.85546875" style="44" bestFit="1" customWidth="1"/>
    <col min="9475" max="9475" width="14.85546875" style="44" bestFit="1" customWidth="1"/>
    <col min="9476" max="9476" width="9.7109375" style="44" customWidth="1"/>
    <col min="9477" max="9477" width="4.85546875" style="44" customWidth="1"/>
    <col min="9478" max="9722" width="9.140625" style="44"/>
    <col min="9723" max="9723" width="5.42578125" style="44" bestFit="1" customWidth="1"/>
    <col min="9724" max="9724" width="20.42578125" style="44" bestFit="1" customWidth="1"/>
    <col min="9725" max="9725" width="41.42578125" style="44" customWidth="1"/>
    <col min="9726" max="9726" width="15.28515625" style="44" bestFit="1" customWidth="1"/>
    <col min="9727" max="9727" width="16.7109375" style="44" bestFit="1" customWidth="1"/>
    <col min="9728" max="9728" width="11.28515625" style="44" bestFit="1" customWidth="1"/>
    <col min="9729" max="9729" width="14" style="44" bestFit="1" customWidth="1"/>
    <col min="9730" max="9730" width="11.85546875" style="44" bestFit="1" customWidth="1"/>
    <col min="9731" max="9731" width="14.85546875" style="44" bestFit="1" customWidth="1"/>
    <col min="9732" max="9732" width="9.7109375" style="44" customWidth="1"/>
    <col min="9733" max="9733" width="4.85546875" style="44" customWidth="1"/>
    <col min="9734" max="9978" width="9.140625" style="44"/>
    <col min="9979" max="9979" width="5.42578125" style="44" bestFit="1" customWidth="1"/>
    <col min="9980" max="9980" width="20.42578125" style="44" bestFit="1" customWidth="1"/>
    <col min="9981" max="9981" width="41.42578125" style="44" customWidth="1"/>
    <col min="9982" max="9982" width="15.28515625" style="44" bestFit="1" customWidth="1"/>
    <col min="9983" max="9983" width="16.7109375" style="44" bestFit="1" customWidth="1"/>
    <col min="9984" max="9984" width="11.28515625" style="44" bestFit="1" customWidth="1"/>
    <col min="9985" max="9985" width="14" style="44" bestFit="1" customWidth="1"/>
    <col min="9986" max="9986" width="11.85546875" style="44" bestFit="1" customWidth="1"/>
    <col min="9987" max="9987" width="14.85546875" style="44" bestFit="1" customWidth="1"/>
    <col min="9988" max="9988" width="9.7109375" style="44" customWidth="1"/>
    <col min="9989" max="9989" width="4.85546875" style="44" customWidth="1"/>
    <col min="9990" max="10234" width="9.140625" style="44"/>
    <col min="10235" max="10235" width="5.42578125" style="44" bestFit="1" customWidth="1"/>
    <col min="10236" max="10236" width="20.42578125" style="44" bestFit="1" customWidth="1"/>
    <col min="10237" max="10237" width="41.42578125" style="44" customWidth="1"/>
    <col min="10238" max="10238" width="15.28515625" style="44" bestFit="1" customWidth="1"/>
    <col min="10239" max="10239" width="16.7109375" style="44" bestFit="1" customWidth="1"/>
    <col min="10240" max="10240" width="11.28515625" style="44" bestFit="1" customWidth="1"/>
    <col min="10241" max="10241" width="14" style="44" bestFit="1" customWidth="1"/>
    <col min="10242" max="10242" width="11.85546875" style="44" bestFit="1" customWidth="1"/>
    <col min="10243" max="10243" width="14.85546875" style="44" bestFit="1" customWidth="1"/>
    <col min="10244" max="10244" width="9.7109375" style="44" customWidth="1"/>
    <col min="10245" max="10245" width="4.85546875" style="44" customWidth="1"/>
    <col min="10246" max="10490" width="9.140625" style="44"/>
    <col min="10491" max="10491" width="5.42578125" style="44" bestFit="1" customWidth="1"/>
    <col min="10492" max="10492" width="20.42578125" style="44" bestFit="1" customWidth="1"/>
    <col min="10493" max="10493" width="41.42578125" style="44" customWidth="1"/>
    <col min="10494" max="10494" width="15.28515625" style="44" bestFit="1" customWidth="1"/>
    <col min="10495" max="10495" width="16.7109375" style="44" bestFit="1" customWidth="1"/>
    <col min="10496" max="10496" width="11.28515625" style="44" bestFit="1" customWidth="1"/>
    <col min="10497" max="10497" width="14" style="44" bestFit="1" customWidth="1"/>
    <col min="10498" max="10498" width="11.85546875" style="44" bestFit="1" customWidth="1"/>
    <col min="10499" max="10499" width="14.85546875" style="44" bestFit="1" customWidth="1"/>
    <col min="10500" max="10500" width="9.7109375" style="44" customWidth="1"/>
    <col min="10501" max="10501" width="4.85546875" style="44" customWidth="1"/>
    <col min="10502" max="10746" width="9.140625" style="44"/>
    <col min="10747" max="10747" width="5.42578125" style="44" bestFit="1" customWidth="1"/>
    <col min="10748" max="10748" width="20.42578125" style="44" bestFit="1" customWidth="1"/>
    <col min="10749" max="10749" width="41.42578125" style="44" customWidth="1"/>
    <col min="10750" max="10750" width="15.28515625" style="44" bestFit="1" customWidth="1"/>
    <col min="10751" max="10751" width="16.7109375" style="44" bestFit="1" customWidth="1"/>
    <col min="10752" max="10752" width="11.28515625" style="44" bestFit="1" customWidth="1"/>
    <col min="10753" max="10753" width="14" style="44" bestFit="1" customWidth="1"/>
    <col min="10754" max="10754" width="11.85546875" style="44" bestFit="1" customWidth="1"/>
    <col min="10755" max="10755" width="14.85546875" style="44" bestFit="1" customWidth="1"/>
    <col min="10756" max="10756" width="9.7109375" style="44" customWidth="1"/>
    <col min="10757" max="10757" width="4.85546875" style="44" customWidth="1"/>
    <col min="10758" max="11002" width="9.140625" style="44"/>
    <col min="11003" max="11003" width="5.42578125" style="44" bestFit="1" customWidth="1"/>
    <col min="11004" max="11004" width="20.42578125" style="44" bestFit="1" customWidth="1"/>
    <col min="11005" max="11005" width="41.42578125" style="44" customWidth="1"/>
    <col min="11006" max="11006" width="15.28515625" style="44" bestFit="1" customWidth="1"/>
    <col min="11007" max="11007" width="16.7109375" style="44" bestFit="1" customWidth="1"/>
    <col min="11008" max="11008" width="11.28515625" style="44" bestFit="1" customWidth="1"/>
    <col min="11009" max="11009" width="14" style="44" bestFit="1" customWidth="1"/>
    <col min="11010" max="11010" width="11.85546875" style="44" bestFit="1" customWidth="1"/>
    <col min="11011" max="11011" width="14.85546875" style="44" bestFit="1" customWidth="1"/>
    <col min="11012" max="11012" width="9.7109375" style="44" customWidth="1"/>
    <col min="11013" max="11013" width="4.85546875" style="44" customWidth="1"/>
    <col min="11014" max="11258" width="9.140625" style="44"/>
    <col min="11259" max="11259" width="5.42578125" style="44" bestFit="1" customWidth="1"/>
    <col min="11260" max="11260" width="20.42578125" style="44" bestFit="1" customWidth="1"/>
    <col min="11261" max="11261" width="41.42578125" style="44" customWidth="1"/>
    <col min="11262" max="11262" width="15.28515625" style="44" bestFit="1" customWidth="1"/>
    <col min="11263" max="11263" width="16.7109375" style="44" bestFit="1" customWidth="1"/>
    <col min="11264" max="11264" width="11.28515625" style="44" bestFit="1" customWidth="1"/>
    <col min="11265" max="11265" width="14" style="44" bestFit="1" customWidth="1"/>
    <col min="11266" max="11266" width="11.85546875" style="44" bestFit="1" customWidth="1"/>
    <col min="11267" max="11267" width="14.85546875" style="44" bestFit="1" customWidth="1"/>
    <col min="11268" max="11268" width="9.7109375" style="44" customWidth="1"/>
    <col min="11269" max="11269" width="4.85546875" style="44" customWidth="1"/>
    <col min="11270" max="11514" width="9.140625" style="44"/>
    <col min="11515" max="11515" width="5.42578125" style="44" bestFit="1" customWidth="1"/>
    <col min="11516" max="11516" width="20.42578125" style="44" bestFit="1" customWidth="1"/>
    <col min="11517" max="11517" width="41.42578125" style="44" customWidth="1"/>
    <col min="11518" max="11518" width="15.28515625" style="44" bestFit="1" customWidth="1"/>
    <col min="11519" max="11519" width="16.7109375" style="44" bestFit="1" customWidth="1"/>
    <col min="11520" max="11520" width="11.28515625" style="44" bestFit="1" customWidth="1"/>
    <col min="11521" max="11521" width="14" style="44" bestFit="1" customWidth="1"/>
    <col min="11522" max="11522" width="11.85546875" style="44" bestFit="1" customWidth="1"/>
    <col min="11523" max="11523" width="14.85546875" style="44" bestFit="1" customWidth="1"/>
    <col min="11524" max="11524" width="9.7109375" style="44" customWidth="1"/>
    <col min="11525" max="11525" width="4.85546875" style="44" customWidth="1"/>
    <col min="11526" max="11770" width="9.140625" style="44"/>
    <col min="11771" max="11771" width="5.42578125" style="44" bestFit="1" customWidth="1"/>
    <col min="11772" max="11772" width="20.42578125" style="44" bestFit="1" customWidth="1"/>
    <col min="11773" max="11773" width="41.42578125" style="44" customWidth="1"/>
    <col min="11774" max="11774" width="15.28515625" style="44" bestFit="1" customWidth="1"/>
    <col min="11775" max="11775" width="16.7109375" style="44" bestFit="1" customWidth="1"/>
    <col min="11776" max="11776" width="11.28515625" style="44" bestFit="1" customWidth="1"/>
    <col min="11777" max="11777" width="14" style="44" bestFit="1" customWidth="1"/>
    <col min="11778" max="11778" width="11.85546875" style="44" bestFit="1" customWidth="1"/>
    <col min="11779" max="11779" width="14.85546875" style="44" bestFit="1" customWidth="1"/>
    <col min="11780" max="11780" width="9.7109375" style="44" customWidth="1"/>
    <col min="11781" max="11781" width="4.85546875" style="44" customWidth="1"/>
    <col min="11782" max="12026" width="9.140625" style="44"/>
    <col min="12027" max="12027" width="5.42578125" style="44" bestFit="1" customWidth="1"/>
    <col min="12028" max="12028" width="20.42578125" style="44" bestFit="1" customWidth="1"/>
    <col min="12029" max="12029" width="41.42578125" style="44" customWidth="1"/>
    <col min="12030" max="12030" width="15.28515625" style="44" bestFit="1" customWidth="1"/>
    <col min="12031" max="12031" width="16.7109375" style="44" bestFit="1" customWidth="1"/>
    <col min="12032" max="12032" width="11.28515625" style="44" bestFit="1" customWidth="1"/>
    <col min="12033" max="12033" width="14" style="44" bestFit="1" customWidth="1"/>
    <col min="12034" max="12034" width="11.85546875" style="44" bestFit="1" customWidth="1"/>
    <col min="12035" max="12035" width="14.85546875" style="44" bestFit="1" customWidth="1"/>
    <col min="12036" max="12036" width="9.7109375" style="44" customWidth="1"/>
    <col min="12037" max="12037" width="4.85546875" style="44" customWidth="1"/>
    <col min="12038" max="12282" width="9.140625" style="44"/>
    <col min="12283" max="12283" width="5.42578125" style="44" bestFit="1" customWidth="1"/>
    <col min="12284" max="12284" width="20.42578125" style="44" bestFit="1" customWidth="1"/>
    <col min="12285" max="12285" width="41.42578125" style="44" customWidth="1"/>
    <col min="12286" max="12286" width="15.28515625" style="44" bestFit="1" customWidth="1"/>
    <col min="12287" max="12287" width="16.7109375" style="44" bestFit="1" customWidth="1"/>
    <col min="12288" max="12288" width="11.28515625" style="44" bestFit="1" customWidth="1"/>
    <col min="12289" max="12289" width="14" style="44" bestFit="1" customWidth="1"/>
    <col min="12290" max="12290" width="11.85546875" style="44" bestFit="1" customWidth="1"/>
    <col min="12291" max="12291" width="14.85546875" style="44" bestFit="1" customWidth="1"/>
    <col min="12292" max="12292" width="9.7109375" style="44" customWidth="1"/>
    <col min="12293" max="12293" width="4.85546875" style="44" customWidth="1"/>
    <col min="12294" max="12538" width="9.140625" style="44"/>
    <col min="12539" max="12539" width="5.42578125" style="44" bestFit="1" customWidth="1"/>
    <col min="12540" max="12540" width="20.42578125" style="44" bestFit="1" customWidth="1"/>
    <col min="12541" max="12541" width="41.42578125" style="44" customWidth="1"/>
    <col min="12542" max="12542" width="15.28515625" style="44" bestFit="1" customWidth="1"/>
    <col min="12543" max="12543" width="16.7109375" style="44" bestFit="1" customWidth="1"/>
    <col min="12544" max="12544" width="11.28515625" style="44" bestFit="1" customWidth="1"/>
    <col min="12545" max="12545" width="14" style="44" bestFit="1" customWidth="1"/>
    <col min="12546" max="12546" width="11.85546875" style="44" bestFit="1" customWidth="1"/>
    <col min="12547" max="12547" width="14.85546875" style="44" bestFit="1" customWidth="1"/>
    <col min="12548" max="12548" width="9.7109375" style="44" customWidth="1"/>
    <col min="12549" max="12549" width="4.85546875" style="44" customWidth="1"/>
    <col min="12550" max="12794" width="9.140625" style="44"/>
    <col min="12795" max="12795" width="5.42578125" style="44" bestFit="1" customWidth="1"/>
    <col min="12796" max="12796" width="20.42578125" style="44" bestFit="1" customWidth="1"/>
    <col min="12797" max="12797" width="41.42578125" style="44" customWidth="1"/>
    <col min="12798" max="12798" width="15.28515625" style="44" bestFit="1" customWidth="1"/>
    <col min="12799" max="12799" width="16.7109375" style="44" bestFit="1" customWidth="1"/>
    <col min="12800" max="12800" width="11.28515625" style="44" bestFit="1" customWidth="1"/>
    <col min="12801" max="12801" width="14" style="44" bestFit="1" customWidth="1"/>
    <col min="12802" max="12802" width="11.85546875" style="44" bestFit="1" customWidth="1"/>
    <col min="12803" max="12803" width="14.85546875" style="44" bestFit="1" customWidth="1"/>
    <col min="12804" max="12804" width="9.7109375" style="44" customWidth="1"/>
    <col min="12805" max="12805" width="4.85546875" style="44" customWidth="1"/>
    <col min="12806" max="13050" width="9.140625" style="44"/>
    <col min="13051" max="13051" width="5.42578125" style="44" bestFit="1" customWidth="1"/>
    <col min="13052" max="13052" width="20.42578125" style="44" bestFit="1" customWidth="1"/>
    <col min="13053" max="13053" width="41.42578125" style="44" customWidth="1"/>
    <col min="13054" max="13054" width="15.28515625" style="44" bestFit="1" customWidth="1"/>
    <col min="13055" max="13055" width="16.7109375" style="44" bestFit="1" customWidth="1"/>
    <col min="13056" max="13056" width="11.28515625" style="44" bestFit="1" customWidth="1"/>
    <col min="13057" max="13057" width="14" style="44" bestFit="1" customWidth="1"/>
    <col min="13058" max="13058" width="11.85546875" style="44" bestFit="1" customWidth="1"/>
    <col min="13059" max="13059" width="14.85546875" style="44" bestFit="1" customWidth="1"/>
    <col min="13060" max="13060" width="9.7109375" style="44" customWidth="1"/>
    <col min="13061" max="13061" width="4.85546875" style="44" customWidth="1"/>
    <col min="13062" max="13306" width="9.140625" style="44"/>
    <col min="13307" max="13307" width="5.42578125" style="44" bestFit="1" customWidth="1"/>
    <col min="13308" max="13308" width="20.42578125" style="44" bestFit="1" customWidth="1"/>
    <col min="13309" max="13309" width="41.42578125" style="44" customWidth="1"/>
    <col min="13310" max="13310" width="15.28515625" style="44" bestFit="1" customWidth="1"/>
    <col min="13311" max="13311" width="16.7109375" style="44" bestFit="1" customWidth="1"/>
    <col min="13312" max="13312" width="11.28515625" style="44" bestFit="1" customWidth="1"/>
    <col min="13313" max="13313" width="14" style="44" bestFit="1" customWidth="1"/>
    <col min="13314" max="13314" width="11.85546875" style="44" bestFit="1" customWidth="1"/>
    <col min="13315" max="13315" width="14.85546875" style="44" bestFit="1" customWidth="1"/>
    <col min="13316" max="13316" width="9.7109375" style="44" customWidth="1"/>
    <col min="13317" max="13317" width="4.85546875" style="44" customWidth="1"/>
    <col min="13318" max="13562" width="9.140625" style="44"/>
    <col min="13563" max="13563" width="5.42578125" style="44" bestFit="1" customWidth="1"/>
    <col min="13564" max="13564" width="20.42578125" style="44" bestFit="1" customWidth="1"/>
    <col min="13565" max="13565" width="41.42578125" style="44" customWidth="1"/>
    <col min="13566" max="13566" width="15.28515625" style="44" bestFit="1" customWidth="1"/>
    <col min="13567" max="13567" width="16.7109375" style="44" bestFit="1" customWidth="1"/>
    <col min="13568" max="13568" width="11.28515625" style="44" bestFit="1" customWidth="1"/>
    <col min="13569" max="13569" width="14" style="44" bestFit="1" customWidth="1"/>
    <col min="13570" max="13570" width="11.85546875" style="44" bestFit="1" customWidth="1"/>
    <col min="13571" max="13571" width="14.85546875" style="44" bestFit="1" customWidth="1"/>
    <col min="13572" max="13572" width="9.7109375" style="44" customWidth="1"/>
    <col min="13573" max="13573" width="4.85546875" style="44" customWidth="1"/>
    <col min="13574" max="13818" width="9.140625" style="44"/>
    <col min="13819" max="13819" width="5.42578125" style="44" bestFit="1" customWidth="1"/>
    <col min="13820" max="13820" width="20.42578125" style="44" bestFit="1" customWidth="1"/>
    <col min="13821" max="13821" width="41.42578125" style="44" customWidth="1"/>
    <col min="13822" max="13822" width="15.28515625" style="44" bestFit="1" customWidth="1"/>
    <col min="13823" max="13823" width="16.7109375" style="44" bestFit="1" customWidth="1"/>
    <col min="13824" max="13824" width="11.28515625" style="44" bestFit="1" customWidth="1"/>
    <col min="13825" max="13825" width="14" style="44" bestFit="1" customWidth="1"/>
    <col min="13826" max="13826" width="11.85546875" style="44" bestFit="1" customWidth="1"/>
    <col min="13827" max="13827" width="14.85546875" style="44" bestFit="1" customWidth="1"/>
    <col min="13828" max="13828" width="9.7109375" style="44" customWidth="1"/>
    <col min="13829" max="13829" width="4.85546875" style="44" customWidth="1"/>
    <col min="13830" max="14074" width="9.140625" style="44"/>
    <col min="14075" max="14075" width="5.42578125" style="44" bestFit="1" customWidth="1"/>
    <col min="14076" max="14076" width="20.42578125" style="44" bestFit="1" customWidth="1"/>
    <col min="14077" max="14077" width="41.42578125" style="44" customWidth="1"/>
    <col min="14078" max="14078" width="15.28515625" style="44" bestFit="1" customWidth="1"/>
    <col min="14079" max="14079" width="16.7109375" style="44" bestFit="1" customWidth="1"/>
    <col min="14080" max="14080" width="11.28515625" style="44" bestFit="1" customWidth="1"/>
    <col min="14081" max="14081" width="14" style="44" bestFit="1" customWidth="1"/>
    <col min="14082" max="14082" width="11.85546875" style="44" bestFit="1" customWidth="1"/>
    <col min="14083" max="14083" width="14.85546875" style="44" bestFit="1" customWidth="1"/>
    <col min="14084" max="14084" width="9.7109375" style="44" customWidth="1"/>
    <col min="14085" max="14085" width="4.85546875" style="44" customWidth="1"/>
    <col min="14086" max="14330" width="9.140625" style="44"/>
    <col min="14331" max="14331" width="5.42578125" style="44" bestFit="1" customWidth="1"/>
    <col min="14332" max="14332" width="20.42578125" style="44" bestFit="1" customWidth="1"/>
    <col min="14333" max="14333" width="41.42578125" style="44" customWidth="1"/>
    <col min="14334" max="14334" width="15.28515625" style="44" bestFit="1" customWidth="1"/>
    <col min="14335" max="14335" width="16.7109375" style="44" bestFit="1" customWidth="1"/>
    <col min="14336" max="14336" width="11.28515625" style="44" bestFit="1" customWidth="1"/>
    <col min="14337" max="14337" width="14" style="44" bestFit="1" customWidth="1"/>
    <col min="14338" max="14338" width="11.85546875" style="44" bestFit="1" customWidth="1"/>
    <col min="14339" max="14339" width="14.85546875" style="44" bestFit="1" customWidth="1"/>
    <col min="14340" max="14340" width="9.7109375" style="44" customWidth="1"/>
    <col min="14341" max="14341" width="4.85546875" style="44" customWidth="1"/>
    <col min="14342" max="14586" width="9.140625" style="44"/>
    <col min="14587" max="14587" width="5.42578125" style="44" bestFit="1" customWidth="1"/>
    <col min="14588" max="14588" width="20.42578125" style="44" bestFit="1" customWidth="1"/>
    <col min="14589" max="14589" width="41.42578125" style="44" customWidth="1"/>
    <col min="14590" max="14590" width="15.28515625" style="44" bestFit="1" customWidth="1"/>
    <col min="14591" max="14591" width="16.7109375" style="44" bestFit="1" customWidth="1"/>
    <col min="14592" max="14592" width="11.28515625" style="44" bestFit="1" customWidth="1"/>
    <col min="14593" max="14593" width="14" style="44" bestFit="1" customWidth="1"/>
    <col min="14594" max="14594" width="11.85546875" style="44" bestFit="1" customWidth="1"/>
    <col min="14595" max="14595" width="14.85546875" style="44" bestFit="1" customWidth="1"/>
    <col min="14596" max="14596" width="9.7109375" style="44" customWidth="1"/>
    <col min="14597" max="14597" width="4.85546875" style="44" customWidth="1"/>
    <col min="14598" max="14842" width="9.140625" style="44"/>
    <col min="14843" max="14843" width="5.42578125" style="44" bestFit="1" customWidth="1"/>
    <col min="14844" max="14844" width="20.42578125" style="44" bestFit="1" customWidth="1"/>
    <col min="14845" max="14845" width="41.42578125" style="44" customWidth="1"/>
    <col min="14846" max="14846" width="15.28515625" style="44" bestFit="1" customWidth="1"/>
    <col min="14847" max="14847" width="16.7109375" style="44" bestFit="1" customWidth="1"/>
    <col min="14848" max="14848" width="11.28515625" style="44" bestFit="1" customWidth="1"/>
    <col min="14849" max="14849" width="14" style="44" bestFit="1" customWidth="1"/>
    <col min="14850" max="14850" width="11.85546875" style="44" bestFit="1" customWidth="1"/>
    <col min="14851" max="14851" width="14.85546875" style="44" bestFit="1" customWidth="1"/>
    <col min="14852" max="14852" width="9.7109375" style="44" customWidth="1"/>
    <col min="14853" max="14853" width="4.85546875" style="44" customWidth="1"/>
    <col min="14854" max="15098" width="9.140625" style="44"/>
    <col min="15099" max="15099" width="5.42578125" style="44" bestFit="1" customWidth="1"/>
    <col min="15100" max="15100" width="20.42578125" style="44" bestFit="1" customWidth="1"/>
    <col min="15101" max="15101" width="41.42578125" style="44" customWidth="1"/>
    <col min="15102" max="15102" width="15.28515625" style="44" bestFit="1" customWidth="1"/>
    <col min="15103" max="15103" width="16.7109375" style="44" bestFit="1" customWidth="1"/>
    <col min="15104" max="15104" width="11.28515625" style="44" bestFit="1" customWidth="1"/>
    <col min="15105" max="15105" width="14" style="44" bestFit="1" customWidth="1"/>
    <col min="15106" max="15106" width="11.85546875" style="44" bestFit="1" customWidth="1"/>
    <col min="15107" max="15107" width="14.85546875" style="44" bestFit="1" customWidth="1"/>
    <col min="15108" max="15108" width="9.7109375" style="44" customWidth="1"/>
    <col min="15109" max="15109" width="4.85546875" style="44" customWidth="1"/>
    <col min="15110" max="15354" width="9.140625" style="44"/>
    <col min="15355" max="15355" width="5.42578125" style="44" bestFit="1" customWidth="1"/>
    <col min="15356" max="15356" width="20.42578125" style="44" bestFit="1" customWidth="1"/>
    <col min="15357" max="15357" width="41.42578125" style="44" customWidth="1"/>
    <col min="15358" max="15358" width="15.28515625" style="44" bestFit="1" customWidth="1"/>
    <col min="15359" max="15359" width="16.7109375" style="44" bestFit="1" customWidth="1"/>
    <col min="15360" max="15360" width="11.28515625" style="44" bestFit="1" customWidth="1"/>
    <col min="15361" max="15361" width="14" style="44" bestFit="1" customWidth="1"/>
    <col min="15362" max="15362" width="11.85546875" style="44" bestFit="1" customWidth="1"/>
    <col min="15363" max="15363" width="14.85546875" style="44" bestFit="1" customWidth="1"/>
    <col min="15364" max="15364" width="9.7109375" style="44" customWidth="1"/>
    <col min="15365" max="15365" width="4.85546875" style="44" customWidth="1"/>
    <col min="15366" max="15610" width="9.140625" style="44"/>
    <col min="15611" max="15611" width="5.42578125" style="44" bestFit="1" customWidth="1"/>
    <col min="15612" max="15612" width="20.42578125" style="44" bestFit="1" customWidth="1"/>
    <col min="15613" max="15613" width="41.42578125" style="44" customWidth="1"/>
    <col min="15614" max="15614" width="15.28515625" style="44" bestFit="1" customWidth="1"/>
    <col min="15615" max="15615" width="16.7109375" style="44" bestFit="1" customWidth="1"/>
    <col min="15616" max="15616" width="11.28515625" style="44" bestFit="1" customWidth="1"/>
    <col min="15617" max="15617" width="14" style="44" bestFit="1" customWidth="1"/>
    <col min="15618" max="15618" width="11.85546875" style="44" bestFit="1" customWidth="1"/>
    <col min="15619" max="15619" width="14.85546875" style="44" bestFit="1" customWidth="1"/>
    <col min="15620" max="15620" width="9.7109375" style="44" customWidth="1"/>
    <col min="15621" max="15621" width="4.85546875" style="44" customWidth="1"/>
    <col min="15622" max="15866" width="9.140625" style="44"/>
    <col min="15867" max="15867" width="5.42578125" style="44" bestFit="1" customWidth="1"/>
    <col min="15868" max="15868" width="20.42578125" style="44" bestFit="1" customWidth="1"/>
    <col min="15869" max="15869" width="41.42578125" style="44" customWidth="1"/>
    <col min="15870" max="15870" width="15.28515625" style="44" bestFit="1" customWidth="1"/>
    <col min="15871" max="15871" width="16.7109375" style="44" bestFit="1" customWidth="1"/>
    <col min="15872" max="15872" width="11.28515625" style="44" bestFit="1" customWidth="1"/>
    <col min="15873" max="15873" width="14" style="44" bestFit="1" customWidth="1"/>
    <col min="15874" max="15874" width="11.85546875" style="44" bestFit="1" customWidth="1"/>
    <col min="15875" max="15875" width="14.85546875" style="44" bestFit="1" customWidth="1"/>
    <col min="15876" max="15876" width="9.7109375" style="44" customWidth="1"/>
    <col min="15877" max="15877" width="4.85546875" style="44" customWidth="1"/>
    <col min="15878" max="16122" width="9.140625" style="44"/>
    <col min="16123" max="16123" width="5.42578125" style="44" bestFit="1" customWidth="1"/>
    <col min="16124" max="16124" width="20.42578125" style="44" bestFit="1" customWidth="1"/>
    <col min="16125" max="16125" width="41.42578125" style="44" customWidth="1"/>
    <col min="16126" max="16126" width="15.28515625" style="44" bestFit="1" customWidth="1"/>
    <col min="16127" max="16127" width="16.7109375" style="44" bestFit="1" customWidth="1"/>
    <col min="16128" max="16128" width="11.28515625" style="44" bestFit="1" customWidth="1"/>
    <col min="16129" max="16129" width="14" style="44" bestFit="1" customWidth="1"/>
    <col min="16130" max="16130" width="11.85546875" style="44" bestFit="1" customWidth="1"/>
    <col min="16131" max="16131" width="14.85546875" style="44" bestFit="1" customWidth="1"/>
    <col min="16132" max="16132" width="9.7109375" style="44" customWidth="1"/>
    <col min="16133" max="16133" width="4.85546875" style="44" customWidth="1"/>
    <col min="16134" max="16384" width="9.140625" style="44"/>
  </cols>
  <sheetData>
    <row r="1" spans="1:15" x14ac:dyDescent="0.25">
      <c r="A1" s="309" t="s">
        <v>0</v>
      </c>
      <c r="B1" s="309"/>
      <c r="C1" s="309"/>
      <c r="D1" s="309"/>
      <c r="E1" s="309"/>
      <c r="F1" s="309"/>
      <c r="G1" s="309"/>
      <c r="H1" s="309"/>
      <c r="I1" s="172" t="s">
        <v>1080</v>
      </c>
      <c r="J1" s="173"/>
      <c r="K1" s="173"/>
      <c r="L1" s="173"/>
      <c r="M1" s="173"/>
      <c r="N1" s="173"/>
    </row>
    <row r="2" spans="1:15" x14ac:dyDescent="0.25">
      <c r="A2" s="310" t="s">
        <v>915</v>
      </c>
      <c r="B2" s="310"/>
      <c r="C2" s="310"/>
      <c r="D2" s="310"/>
      <c r="E2" s="310"/>
      <c r="F2" s="310"/>
      <c r="G2" s="310"/>
      <c r="H2" s="310"/>
      <c r="J2" s="278" t="s">
        <v>1081</v>
      </c>
      <c r="K2" s="278"/>
      <c r="L2" s="278"/>
      <c r="M2" s="278"/>
      <c r="N2" s="278"/>
    </row>
    <row r="3" spans="1:15" x14ac:dyDescent="0.25">
      <c r="A3" s="311" t="s">
        <v>1068</v>
      </c>
      <c r="B3" s="311"/>
      <c r="C3" s="311"/>
      <c r="D3" s="311"/>
      <c r="E3" s="311"/>
      <c r="F3" s="311"/>
      <c r="G3" s="311"/>
      <c r="H3" s="311"/>
      <c r="J3" s="173"/>
      <c r="K3" s="173"/>
      <c r="L3" s="173"/>
      <c r="M3" s="173"/>
      <c r="N3" s="173"/>
    </row>
    <row r="4" spans="1:15" s="158" customFormat="1" ht="30" x14ac:dyDescent="0.2">
      <c r="A4" s="45" t="s">
        <v>916</v>
      </c>
      <c r="B4" s="45" t="s">
        <v>917</v>
      </c>
      <c r="C4" s="45" t="s">
        <v>918</v>
      </c>
      <c r="D4" s="45" t="s">
        <v>919</v>
      </c>
      <c r="E4" s="45" t="s">
        <v>6</v>
      </c>
      <c r="F4" s="45" t="s">
        <v>7</v>
      </c>
      <c r="G4" s="45" t="s">
        <v>8</v>
      </c>
      <c r="H4" s="46" t="s">
        <v>920</v>
      </c>
      <c r="I4" s="176"/>
      <c r="J4" s="177"/>
      <c r="K4" s="177"/>
      <c r="L4" s="177"/>
      <c r="M4" s="177"/>
      <c r="N4" s="177"/>
      <c r="O4" s="176"/>
    </row>
    <row r="5" spans="1:15" ht="26.25" x14ac:dyDescent="0.25">
      <c r="A5" s="47"/>
      <c r="B5" s="47"/>
      <c r="C5" s="48" t="s">
        <v>921</v>
      </c>
      <c r="D5" s="47"/>
      <c r="E5" s="47"/>
      <c r="F5" s="49"/>
      <c r="G5" s="49"/>
      <c r="H5" s="50"/>
      <c r="J5" s="173"/>
      <c r="K5" s="173"/>
      <c r="L5" s="173"/>
      <c r="M5" s="173"/>
      <c r="N5" s="173"/>
    </row>
    <row r="6" spans="1:15" s="158" customFormat="1" ht="25.5" x14ac:dyDescent="0.2">
      <c r="A6" s="182">
        <v>1</v>
      </c>
      <c r="B6" s="182" t="s">
        <v>922</v>
      </c>
      <c r="C6" s="186" t="s">
        <v>923</v>
      </c>
      <c r="D6" s="182" t="s">
        <v>924</v>
      </c>
      <c r="E6" s="184">
        <v>13085595.022</v>
      </c>
      <c r="F6" s="180">
        <v>10975.7366466</v>
      </c>
      <c r="G6" s="181">
        <v>0.98070707000000001</v>
      </c>
      <c r="H6" s="185"/>
      <c r="I6" s="176"/>
      <c r="J6" s="177"/>
      <c r="K6" s="183"/>
      <c r="L6" s="177"/>
      <c r="M6" s="177"/>
      <c r="N6" s="177"/>
      <c r="O6" s="176"/>
    </row>
    <row r="7" spans="1:15" x14ac:dyDescent="0.25">
      <c r="A7" s="51"/>
      <c r="B7" s="50"/>
      <c r="C7" s="50"/>
      <c r="D7" s="50"/>
      <c r="E7" s="50"/>
      <c r="F7" s="50"/>
      <c r="G7" s="50"/>
      <c r="H7" s="52"/>
      <c r="J7" s="173"/>
      <c r="K7" s="173"/>
      <c r="L7" s="173"/>
      <c r="M7" s="173"/>
      <c r="N7" s="173"/>
    </row>
    <row r="8" spans="1:15" ht="25.5" x14ac:dyDescent="0.25">
      <c r="A8" s="53"/>
      <c r="B8" s="53"/>
      <c r="C8" s="54" t="s">
        <v>925</v>
      </c>
      <c r="D8" s="54"/>
      <c r="E8" s="55"/>
      <c r="F8" s="56">
        <v>10975.7366466</v>
      </c>
      <c r="G8" s="57">
        <v>0.98070707000000001</v>
      </c>
      <c r="H8" s="58"/>
      <c r="J8" s="173"/>
      <c r="K8" s="173"/>
      <c r="L8" s="173"/>
      <c r="M8" s="173"/>
      <c r="N8" s="173"/>
    </row>
    <row r="9" spans="1:15" x14ac:dyDescent="0.25">
      <c r="A9" s="53"/>
      <c r="B9" s="53"/>
      <c r="C9" s="53"/>
      <c r="D9" s="53"/>
      <c r="E9" s="53"/>
      <c r="F9" s="59"/>
      <c r="G9" s="53"/>
      <c r="H9" s="50"/>
      <c r="J9" s="173"/>
      <c r="K9" s="173"/>
      <c r="L9" s="173"/>
      <c r="M9" s="173"/>
      <c r="N9" s="173"/>
    </row>
    <row r="10" spans="1:15" x14ac:dyDescent="0.25">
      <c r="A10" s="47"/>
      <c r="B10" s="47"/>
      <c r="C10" s="60" t="s">
        <v>926</v>
      </c>
      <c r="D10" s="60"/>
      <c r="E10" s="60"/>
      <c r="F10" s="61"/>
      <c r="G10" s="53"/>
      <c r="H10" s="50"/>
      <c r="J10" s="173"/>
      <c r="K10" s="173"/>
      <c r="L10" s="173"/>
      <c r="M10" s="173"/>
      <c r="N10" s="173"/>
    </row>
    <row r="11" spans="1:15" x14ac:dyDescent="0.25">
      <c r="A11" s="47"/>
      <c r="B11" s="47"/>
      <c r="C11" s="62" t="s">
        <v>927</v>
      </c>
      <c r="D11" s="60"/>
      <c r="E11" s="60"/>
      <c r="F11" s="61"/>
      <c r="G11" s="53"/>
      <c r="H11" s="50"/>
      <c r="J11" s="173"/>
      <c r="K11" s="173"/>
      <c r="L11" s="173"/>
      <c r="M11" s="173"/>
      <c r="N11" s="173"/>
    </row>
    <row r="12" spans="1:15" x14ac:dyDescent="0.25">
      <c r="A12" s="53"/>
      <c r="B12" s="53"/>
      <c r="C12" s="63" t="s">
        <v>148</v>
      </c>
      <c r="D12" s="60"/>
      <c r="E12" s="60"/>
      <c r="F12" s="64">
        <v>272.860138382</v>
      </c>
      <c r="G12" s="65">
        <v>2.4380674887575775E-2</v>
      </c>
      <c r="H12" s="66">
        <v>6.12</v>
      </c>
      <c r="J12" s="173"/>
      <c r="K12" s="173"/>
      <c r="L12" s="173"/>
      <c r="M12" s="173"/>
      <c r="N12" s="173"/>
    </row>
    <row r="13" spans="1:15" x14ac:dyDescent="0.25">
      <c r="A13" s="53"/>
      <c r="B13" s="53"/>
      <c r="C13" s="63"/>
      <c r="D13" s="60"/>
      <c r="E13" s="60"/>
      <c r="F13" s="64"/>
      <c r="G13" s="67"/>
      <c r="H13" s="50"/>
      <c r="J13" s="178" t="s">
        <v>1113</v>
      </c>
      <c r="K13" s="173"/>
      <c r="L13" s="173"/>
      <c r="M13" s="173"/>
      <c r="N13" s="173"/>
    </row>
    <row r="14" spans="1:15" x14ac:dyDescent="0.25">
      <c r="A14" s="53"/>
      <c r="B14" s="53"/>
      <c r="C14" s="68" t="s">
        <v>149</v>
      </c>
      <c r="D14" s="53"/>
      <c r="E14" s="53"/>
      <c r="F14" s="69">
        <v>272.860138382</v>
      </c>
      <c r="G14" s="57">
        <v>2.4380674887575775E-2</v>
      </c>
      <c r="H14" s="50"/>
      <c r="J14" s="173"/>
      <c r="K14" s="173"/>
      <c r="L14" s="173"/>
      <c r="M14" s="173"/>
      <c r="N14" s="173"/>
    </row>
    <row r="15" spans="1:15" x14ac:dyDescent="0.25">
      <c r="A15" s="53"/>
      <c r="B15" s="53"/>
      <c r="C15" s="53"/>
      <c r="D15" s="53"/>
      <c r="E15" s="53"/>
      <c r="F15" s="59"/>
      <c r="G15" s="53"/>
      <c r="H15" s="50"/>
      <c r="J15" s="173"/>
      <c r="K15" s="173"/>
      <c r="L15" s="173"/>
      <c r="M15" s="173"/>
      <c r="N15" s="173"/>
    </row>
    <row r="16" spans="1:15" x14ac:dyDescent="0.25">
      <c r="A16" s="53"/>
      <c r="B16" s="53"/>
      <c r="C16" s="63" t="s">
        <v>928</v>
      </c>
      <c r="D16" s="60"/>
      <c r="E16" s="60"/>
      <c r="F16" s="64">
        <v>-56.940293100076815</v>
      </c>
      <c r="G16" s="65">
        <v>-5.0877448875758036E-3</v>
      </c>
      <c r="H16" s="70"/>
      <c r="J16" s="173"/>
      <c r="K16" s="173"/>
      <c r="L16" s="173"/>
      <c r="M16" s="173"/>
      <c r="N16" s="173"/>
    </row>
    <row r="17" spans="1:14" x14ac:dyDescent="0.25">
      <c r="A17" s="53"/>
      <c r="B17" s="53"/>
      <c r="C17" s="53"/>
      <c r="D17" s="53"/>
      <c r="E17" s="53"/>
      <c r="F17" s="59"/>
      <c r="G17" s="53"/>
      <c r="H17" s="50"/>
      <c r="J17" s="173"/>
      <c r="K17" s="173"/>
      <c r="L17" s="173"/>
      <c r="M17" s="173"/>
      <c r="N17" s="173"/>
    </row>
    <row r="18" spans="1:14" x14ac:dyDescent="0.25">
      <c r="A18" s="53"/>
      <c r="B18" s="53"/>
      <c r="C18" s="68" t="s">
        <v>156</v>
      </c>
      <c r="D18" s="53"/>
      <c r="E18" s="53"/>
      <c r="F18" s="69">
        <v>11191.656491881924</v>
      </c>
      <c r="G18" s="71">
        <v>1</v>
      </c>
      <c r="H18" s="72"/>
      <c r="J18" s="173"/>
      <c r="K18" s="173"/>
      <c r="L18" s="173"/>
      <c r="M18" s="173"/>
      <c r="N18" s="173"/>
    </row>
    <row r="19" spans="1:14" x14ac:dyDescent="0.25">
      <c r="F19" s="73"/>
      <c r="H19" s="74"/>
      <c r="J19" s="173"/>
      <c r="K19" s="173"/>
      <c r="L19" s="173"/>
      <c r="M19" s="173"/>
      <c r="N19" s="173"/>
    </row>
    <row r="20" spans="1:14" x14ac:dyDescent="0.25">
      <c r="B20" s="75" t="s">
        <v>158</v>
      </c>
      <c r="C20" s="76"/>
      <c r="D20" s="76"/>
      <c r="E20" s="76"/>
      <c r="F20" s="77"/>
      <c r="G20" s="76"/>
      <c r="J20" s="173"/>
      <c r="K20" s="173"/>
      <c r="L20" s="173"/>
      <c r="M20" s="173"/>
      <c r="N20" s="173"/>
    </row>
    <row r="21" spans="1:14" x14ac:dyDescent="0.25">
      <c r="B21" s="76" t="s">
        <v>929</v>
      </c>
      <c r="C21" s="76"/>
      <c r="D21" s="76"/>
      <c r="E21" s="76"/>
      <c r="F21" s="78"/>
      <c r="G21" s="78"/>
      <c r="J21" s="173"/>
      <c r="K21" s="173"/>
      <c r="L21" s="173"/>
      <c r="M21" s="173"/>
      <c r="N21" s="173"/>
    </row>
    <row r="22" spans="1:14" x14ac:dyDescent="0.25">
      <c r="B22" s="307" t="s">
        <v>930</v>
      </c>
      <c r="C22" s="307"/>
      <c r="D22" s="76"/>
      <c r="E22" s="76"/>
      <c r="F22" s="79"/>
      <c r="G22" s="79"/>
      <c r="J22" s="173"/>
      <c r="K22" s="173"/>
      <c r="L22" s="173"/>
      <c r="M22" s="173"/>
      <c r="N22" s="173"/>
    </row>
    <row r="23" spans="1:14" x14ac:dyDescent="0.25">
      <c r="B23" s="312" t="s">
        <v>162</v>
      </c>
      <c r="C23" s="313"/>
      <c r="D23" s="314"/>
      <c r="E23" s="80"/>
      <c r="F23" s="76" t="s">
        <v>170</v>
      </c>
      <c r="G23" s="76"/>
      <c r="J23" s="173"/>
      <c r="K23" s="173"/>
      <c r="L23" s="173"/>
      <c r="M23" s="173"/>
      <c r="N23" s="173"/>
    </row>
    <row r="24" spans="1:14" x14ac:dyDescent="0.25">
      <c r="B24" s="81"/>
      <c r="C24" s="82" t="s">
        <v>163</v>
      </c>
      <c r="D24" s="82" t="s">
        <v>164</v>
      </c>
      <c r="E24" s="83"/>
      <c r="F24" s="83"/>
      <c r="G24" s="76"/>
      <c r="J24" s="173"/>
      <c r="K24" s="173"/>
      <c r="L24" s="173"/>
      <c r="M24" s="173"/>
      <c r="N24" s="173"/>
    </row>
    <row r="25" spans="1:14" x14ac:dyDescent="0.25">
      <c r="B25" s="84" t="s">
        <v>931</v>
      </c>
      <c r="C25" s="98">
        <v>44834</v>
      </c>
      <c r="D25" s="98">
        <v>44865</v>
      </c>
      <c r="E25" s="85"/>
      <c r="F25" s="85"/>
      <c r="G25" s="86"/>
      <c r="J25" s="173"/>
      <c r="K25" s="173"/>
      <c r="L25" s="173"/>
      <c r="M25" s="173"/>
      <c r="N25" s="173"/>
    </row>
    <row r="26" spans="1:14" x14ac:dyDescent="0.25">
      <c r="B26" s="87" t="s">
        <v>168</v>
      </c>
      <c r="C26" s="88">
        <v>21.1432</v>
      </c>
      <c r="D26" s="88">
        <v>22.774899999999999</v>
      </c>
      <c r="E26" s="89"/>
      <c r="F26" s="90"/>
      <c r="G26" s="86"/>
      <c r="J26" s="173"/>
      <c r="K26" s="173"/>
      <c r="L26" s="173"/>
      <c r="M26" s="173"/>
      <c r="N26" s="173"/>
    </row>
    <row r="27" spans="1:14" x14ac:dyDescent="0.25">
      <c r="B27" s="91" t="s">
        <v>1048</v>
      </c>
      <c r="C27" s="88">
        <v>18.805800000000001</v>
      </c>
      <c r="D27" s="88">
        <v>20.256900000000002</v>
      </c>
      <c r="E27" s="89"/>
      <c r="F27" s="90"/>
      <c r="G27" s="86"/>
      <c r="J27" s="173"/>
      <c r="K27" s="173"/>
      <c r="L27" s="173"/>
      <c r="M27" s="173"/>
      <c r="N27" s="173"/>
    </row>
    <row r="28" spans="1:14" x14ac:dyDescent="0.25">
      <c r="B28" s="87" t="s">
        <v>169</v>
      </c>
      <c r="C28" s="88">
        <v>19.8367</v>
      </c>
      <c r="D28" s="88">
        <v>21.345099999999999</v>
      </c>
      <c r="E28" s="89"/>
      <c r="F28" s="90"/>
      <c r="G28" s="90"/>
      <c r="J28" s="173"/>
      <c r="K28" s="173"/>
      <c r="L28" s="173"/>
      <c r="M28" s="173"/>
      <c r="N28" s="173"/>
    </row>
    <row r="29" spans="1:14" x14ac:dyDescent="0.25">
      <c r="B29" s="92" t="s">
        <v>1049</v>
      </c>
      <c r="C29" s="88">
        <v>16.9983</v>
      </c>
      <c r="D29" s="88">
        <v>18.291</v>
      </c>
      <c r="E29" s="89"/>
      <c r="F29" s="90"/>
      <c r="G29" s="90"/>
      <c r="J29" s="173"/>
      <c r="K29" s="173"/>
      <c r="L29" s="173"/>
      <c r="M29" s="173"/>
      <c r="N29" s="173"/>
    </row>
    <row r="30" spans="1:14" x14ac:dyDescent="0.25">
      <c r="B30" s="93"/>
      <c r="C30" s="94"/>
      <c r="D30" s="94"/>
      <c r="E30" s="94"/>
      <c r="F30" s="94"/>
      <c r="G30" s="76"/>
      <c r="J30" s="173"/>
      <c r="K30" s="173"/>
      <c r="L30" s="173"/>
      <c r="M30" s="173"/>
      <c r="N30" s="173"/>
    </row>
    <row r="31" spans="1:14" x14ac:dyDescent="0.25">
      <c r="B31" s="315" t="s">
        <v>932</v>
      </c>
      <c r="C31" s="315"/>
      <c r="D31" s="315"/>
      <c r="E31" s="95"/>
      <c r="F31" s="95"/>
      <c r="G31" s="86"/>
      <c r="J31" s="173"/>
      <c r="K31" s="173"/>
      <c r="L31" s="173"/>
      <c r="M31" s="173"/>
      <c r="N31" s="173"/>
    </row>
    <row r="32" spans="1:14" x14ac:dyDescent="0.25">
      <c r="B32" s="307" t="s">
        <v>933</v>
      </c>
      <c r="C32" s="307"/>
      <c r="D32" s="307"/>
      <c r="E32" s="76"/>
      <c r="F32" s="76"/>
      <c r="G32" s="76"/>
      <c r="J32" s="173"/>
      <c r="K32" s="173"/>
      <c r="L32" s="173"/>
      <c r="M32" s="173"/>
      <c r="N32" s="173"/>
    </row>
    <row r="33" spans="2:14" x14ac:dyDescent="0.25">
      <c r="B33" s="96" t="s">
        <v>934</v>
      </c>
      <c r="C33" s="96"/>
      <c r="D33" s="96"/>
      <c r="E33" s="97"/>
      <c r="F33" s="97"/>
      <c r="G33" s="76"/>
      <c r="J33" s="173"/>
      <c r="K33" s="173"/>
      <c r="L33" s="173"/>
      <c r="M33" s="173"/>
      <c r="N33" s="173"/>
    </row>
    <row r="34" spans="2:14" x14ac:dyDescent="0.25">
      <c r="B34" s="308" t="s">
        <v>935</v>
      </c>
      <c r="C34" s="308"/>
      <c r="D34" s="308"/>
      <c r="E34" s="86"/>
      <c r="F34" s="86"/>
      <c r="G34" s="86"/>
      <c r="J34" s="173"/>
      <c r="K34" s="173"/>
      <c r="L34" s="173"/>
      <c r="M34" s="173"/>
      <c r="N34" s="173"/>
    </row>
    <row r="35" spans="2:14" x14ac:dyDescent="0.25">
      <c r="J35" s="173"/>
      <c r="K35" s="173"/>
      <c r="L35" s="173"/>
      <c r="M35" s="173"/>
      <c r="N35" s="173"/>
    </row>
    <row r="36" spans="2:14" x14ac:dyDescent="0.25">
      <c r="J36" s="173"/>
      <c r="K36" s="173"/>
      <c r="L36" s="173"/>
      <c r="M36" s="173"/>
      <c r="N36" s="173"/>
    </row>
    <row r="37" spans="2:14" x14ac:dyDescent="0.25">
      <c r="J37" s="173"/>
      <c r="K37" s="173"/>
      <c r="L37" s="173"/>
      <c r="M37" s="173"/>
      <c r="N37" s="173"/>
    </row>
    <row r="38" spans="2:14" x14ac:dyDescent="0.25">
      <c r="J38" s="173"/>
      <c r="K38" s="173"/>
      <c r="L38" s="173"/>
      <c r="M38" s="173"/>
      <c r="N38" s="173"/>
    </row>
    <row r="39" spans="2:14" x14ac:dyDescent="0.25">
      <c r="J39" s="173"/>
      <c r="K39" s="173"/>
      <c r="L39" s="173"/>
      <c r="M39" s="173"/>
      <c r="N39" s="173"/>
    </row>
    <row r="40" spans="2:14" x14ac:dyDescent="0.25">
      <c r="J40" s="173"/>
      <c r="K40" s="173"/>
      <c r="L40" s="173"/>
      <c r="M40" s="173"/>
      <c r="N40" s="173"/>
    </row>
    <row r="41" spans="2:14" x14ac:dyDescent="0.25">
      <c r="J41" s="173"/>
      <c r="K41" s="173"/>
      <c r="L41" s="173"/>
      <c r="M41" s="173"/>
      <c r="N41" s="173"/>
    </row>
    <row r="42" spans="2:14" x14ac:dyDescent="0.25">
      <c r="J42" s="173"/>
      <c r="K42" s="173"/>
      <c r="L42" s="173"/>
      <c r="M42" s="173"/>
      <c r="N42" s="173"/>
    </row>
    <row r="43" spans="2:14" x14ac:dyDescent="0.25">
      <c r="J43" s="173"/>
      <c r="K43" s="173"/>
      <c r="L43" s="173"/>
      <c r="M43" s="173"/>
      <c r="N43" s="173"/>
    </row>
    <row r="44" spans="2:14" x14ac:dyDescent="0.25">
      <c r="J44" s="173"/>
      <c r="K44" s="173"/>
      <c r="L44" s="173"/>
      <c r="M44" s="173"/>
      <c r="N44" s="173"/>
    </row>
    <row r="45" spans="2:14" x14ac:dyDescent="0.25">
      <c r="J45" s="173"/>
      <c r="K45" s="173"/>
      <c r="L45" s="173"/>
      <c r="M45" s="173"/>
      <c r="N45" s="173"/>
    </row>
    <row r="46" spans="2:14" x14ac:dyDescent="0.25">
      <c r="J46" s="173"/>
      <c r="K46" s="173"/>
      <c r="L46" s="173"/>
      <c r="M46" s="173"/>
      <c r="N46" s="173"/>
    </row>
    <row r="47" spans="2:14" x14ac:dyDescent="0.25">
      <c r="J47" s="173"/>
      <c r="K47" s="173"/>
      <c r="L47" s="173"/>
      <c r="M47" s="173"/>
      <c r="N47" s="173"/>
    </row>
    <row r="48" spans="2:14" x14ac:dyDescent="0.25">
      <c r="J48" s="173"/>
      <c r="K48" s="173"/>
      <c r="L48" s="173"/>
      <c r="M48" s="173"/>
      <c r="N48" s="173"/>
    </row>
    <row r="49" spans="10:14" x14ac:dyDescent="0.25">
      <c r="J49" s="173"/>
      <c r="K49" s="173"/>
      <c r="L49" s="173"/>
      <c r="M49" s="173"/>
      <c r="N49" s="173"/>
    </row>
    <row r="50" spans="10:14" x14ac:dyDescent="0.25">
      <c r="J50" s="173"/>
      <c r="K50" s="173"/>
      <c r="L50" s="173"/>
      <c r="M50" s="173"/>
      <c r="N50" s="173"/>
    </row>
    <row r="51" spans="10:14" x14ac:dyDescent="0.25">
      <c r="J51" s="173"/>
      <c r="K51" s="173"/>
      <c r="L51" s="173"/>
      <c r="M51" s="173"/>
      <c r="N51" s="173"/>
    </row>
    <row r="52" spans="10:14" x14ac:dyDescent="0.25">
      <c r="J52" s="173"/>
      <c r="K52" s="173"/>
      <c r="L52" s="173"/>
      <c r="M52" s="173"/>
      <c r="N52" s="173"/>
    </row>
    <row r="53" spans="10:14" x14ac:dyDescent="0.25">
      <c r="J53" s="173"/>
      <c r="K53" s="173"/>
      <c r="L53" s="173"/>
      <c r="M53" s="173"/>
      <c r="N53" s="173"/>
    </row>
    <row r="54" spans="10:14" x14ac:dyDescent="0.25">
      <c r="J54" s="173"/>
      <c r="K54" s="173"/>
      <c r="L54" s="173"/>
      <c r="M54" s="173"/>
      <c r="N54" s="173"/>
    </row>
    <row r="55" spans="10:14" x14ac:dyDescent="0.25">
      <c r="J55" s="173"/>
      <c r="K55" s="173"/>
      <c r="L55" s="173"/>
      <c r="M55" s="173"/>
      <c r="N55" s="173"/>
    </row>
    <row r="56" spans="10:14" x14ac:dyDescent="0.25">
      <c r="J56" s="173"/>
      <c r="K56" s="173"/>
      <c r="L56" s="173"/>
      <c r="M56" s="173"/>
      <c r="N56" s="173"/>
    </row>
    <row r="57" spans="10:14" x14ac:dyDescent="0.25">
      <c r="J57" s="173"/>
      <c r="K57" s="173"/>
      <c r="L57" s="173"/>
      <c r="M57" s="173"/>
      <c r="N57" s="173"/>
    </row>
    <row r="58" spans="10:14" x14ac:dyDescent="0.25">
      <c r="J58" s="173"/>
      <c r="K58" s="173"/>
      <c r="L58" s="173"/>
      <c r="M58" s="173"/>
      <c r="N58" s="173"/>
    </row>
    <row r="59" spans="10:14" x14ac:dyDescent="0.25">
      <c r="J59" s="173"/>
      <c r="K59" s="173"/>
      <c r="L59" s="173"/>
      <c r="M59" s="173"/>
      <c r="N59" s="173"/>
    </row>
    <row r="60" spans="10:14" x14ac:dyDescent="0.25">
      <c r="J60" s="173"/>
      <c r="K60" s="173"/>
      <c r="L60" s="173"/>
      <c r="M60" s="173"/>
      <c r="N60" s="173"/>
    </row>
    <row r="61" spans="10:14" x14ac:dyDescent="0.25">
      <c r="J61" s="173"/>
      <c r="K61" s="173"/>
      <c r="L61" s="173"/>
      <c r="M61" s="173"/>
      <c r="N61" s="173"/>
    </row>
  </sheetData>
  <mergeCells count="9">
    <mergeCell ref="J2:N2"/>
    <mergeCell ref="B32:D32"/>
    <mergeCell ref="B34:D34"/>
    <mergeCell ref="A1:H1"/>
    <mergeCell ref="A2:H2"/>
    <mergeCell ref="A3:H3"/>
    <mergeCell ref="B22:C22"/>
    <mergeCell ref="B23:D23"/>
    <mergeCell ref="B31:D31"/>
  </mergeCells>
  <hyperlinks>
    <hyperlink ref="I1" location="Index!B38" display="Index" xr:uid="{C37E82A4-77D6-48FE-8B0B-C3D1FAD749EB}"/>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5A9C9-07F2-4426-8D37-74401EBE57CB}">
  <dimension ref="B1:L190"/>
  <sheetViews>
    <sheetView workbookViewId="0"/>
  </sheetViews>
  <sheetFormatPr defaultRowHeight="12.75" x14ac:dyDescent="0.2"/>
  <cols>
    <col min="1" max="1" width="23" style="143" customWidth="1"/>
    <col min="2" max="2" width="41.140625" style="143" customWidth="1"/>
    <col min="3" max="3" width="54.7109375" style="143" customWidth="1"/>
    <col min="4" max="4" width="17.28515625" style="143" bestFit="1" customWidth="1"/>
    <col min="5" max="5" width="20.140625" style="143" bestFit="1" customWidth="1"/>
    <col min="6" max="6" width="16.5703125" style="143" customWidth="1"/>
    <col min="7" max="7" width="18.7109375" style="143" bestFit="1" customWidth="1"/>
    <col min="8" max="8" width="17.5703125" style="143" customWidth="1"/>
    <col min="9" max="9" width="15.5703125" style="143" bestFit="1" customWidth="1"/>
    <col min="10" max="10" width="13.5703125" style="143" customWidth="1"/>
    <col min="11" max="11" width="20.5703125" style="143" customWidth="1"/>
    <col min="12" max="12" width="12.42578125" style="143" bestFit="1" customWidth="1"/>
    <col min="13" max="256" width="9.140625" style="143"/>
    <col min="257" max="257" width="23" style="143" customWidth="1"/>
    <col min="258" max="258" width="41.140625" style="143" customWidth="1"/>
    <col min="259" max="259" width="54.7109375" style="143" customWidth="1"/>
    <col min="260" max="260" width="17.28515625" style="143" bestFit="1" customWidth="1"/>
    <col min="261" max="261" width="20.140625" style="143" bestFit="1" customWidth="1"/>
    <col min="262" max="262" width="16.5703125" style="143" customWidth="1"/>
    <col min="263" max="263" width="18.7109375" style="143" bestFit="1" customWidth="1"/>
    <col min="264" max="264" width="17.5703125" style="143" customWidth="1"/>
    <col min="265" max="265" width="15.5703125" style="143" bestFit="1" customWidth="1"/>
    <col min="266" max="266" width="13.5703125" style="143" customWidth="1"/>
    <col min="267" max="267" width="20.5703125" style="143" customWidth="1"/>
    <col min="268" max="268" width="12.42578125" style="143" bestFit="1" customWidth="1"/>
    <col min="269" max="512" width="9.140625" style="143"/>
    <col min="513" max="513" width="23" style="143" customWidth="1"/>
    <col min="514" max="514" width="41.140625" style="143" customWidth="1"/>
    <col min="515" max="515" width="54.7109375" style="143" customWidth="1"/>
    <col min="516" max="516" width="17.28515625" style="143" bestFit="1" customWidth="1"/>
    <col min="517" max="517" width="20.140625" style="143" bestFit="1" customWidth="1"/>
    <col min="518" max="518" width="16.5703125" style="143" customWidth="1"/>
    <col min="519" max="519" width="18.7109375" style="143" bestFit="1" customWidth="1"/>
    <col min="520" max="520" width="17.5703125" style="143" customWidth="1"/>
    <col min="521" max="521" width="15.5703125" style="143" bestFit="1" customWidth="1"/>
    <col min="522" max="522" width="13.5703125" style="143" customWidth="1"/>
    <col min="523" max="523" width="20.5703125" style="143" customWidth="1"/>
    <col min="524" max="524" width="12.42578125" style="143" bestFit="1" customWidth="1"/>
    <col min="525" max="768" width="9.140625" style="143"/>
    <col min="769" max="769" width="23" style="143" customWidth="1"/>
    <col min="770" max="770" width="41.140625" style="143" customWidth="1"/>
    <col min="771" max="771" width="54.7109375" style="143" customWidth="1"/>
    <col min="772" max="772" width="17.28515625" style="143" bestFit="1" customWidth="1"/>
    <col min="773" max="773" width="20.140625" style="143" bestFit="1" customWidth="1"/>
    <col min="774" max="774" width="16.5703125" style="143" customWidth="1"/>
    <col min="775" max="775" width="18.7109375" style="143" bestFit="1" customWidth="1"/>
    <col min="776" max="776" width="17.5703125" style="143" customWidth="1"/>
    <col min="777" max="777" width="15.5703125" style="143" bestFit="1" customWidth="1"/>
    <col min="778" max="778" width="13.5703125" style="143" customWidth="1"/>
    <col min="779" max="779" width="20.5703125" style="143" customWidth="1"/>
    <col min="780" max="780" width="12.42578125" style="143" bestFit="1" customWidth="1"/>
    <col min="781" max="1024" width="9.140625" style="143"/>
    <col min="1025" max="1025" width="23" style="143" customWidth="1"/>
    <col min="1026" max="1026" width="41.140625" style="143" customWidth="1"/>
    <col min="1027" max="1027" width="54.7109375" style="143" customWidth="1"/>
    <col min="1028" max="1028" width="17.28515625" style="143" bestFit="1" customWidth="1"/>
    <col min="1029" max="1029" width="20.140625" style="143" bestFit="1" customWidth="1"/>
    <col min="1030" max="1030" width="16.5703125" style="143" customWidth="1"/>
    <col min="1031" max="1031" width="18.7109375" style="143" bestFit="1" customWidth="1"/>
    <col min="1032" max="1032" width="17.5703125" style="143" customWidth="1"/>
    <col min="1033" max="1033" width="15.5703125" style="143" bestFit="1" customWidth="1"/>
    <col min="1034" max="1034" width="13.5703125" style="143" customWidth="1"/>
    <col min="1035" max="1035" width="20.5703125" style="143" customWidth="1"/>
    <col min="1036" max="1036" width="12.42578125" style="143" bestFit="1" customWidth="1"/>
    <col min="1037" max="1280" width="9.140625" style="143"/>
    <col min="1281" max="1281" width="23" style="143" customWidth="1"/>
    <col min="1282" max="1282" width="41.140625" style="143" customWidth="1"/>
    <col min="1283" max="1283" width="54.7109375" style="143" customWidth="1"/>
    <col min="1284" max="1284" width="17.28515625" style="143" bestFit="1" customWidth="1"/>
    <col min="1285" max="1285" width="20.140625" style="143" bestFit="1" customWidth="1"/>
    <col min="1286" max="1286" width="16.5703125" style="143" customWidth="1"/>
    <col min="1287" max="1287" width="18.7109375" style="143" bestFit="1" customWidth="1"/>
    <col min="1288" max="1288" width="17.5703125" style="143" customWidth="1"/>
    <col min="1289" max="1289" width="15.5703125" style="143" bestFit="1" customWidth="1"/>
    <col min="1290" max="1290" width="13.5703125" style="143" customWidth="1"/>
    <col min="1291" max="1291" width="20.5703125" style="143" customWidth="1"/>
    <col min="1292" max="1292" width="12.42578125" style="143" bestFit="1" customWidth="1"/>
    <col min="1293" max="1536" width="9.140625" style="143"/>
    <col min="1537" max="1537" width="23" style="143" customWidth="1"/>
    <col min="1538" max="1538" width="41.140625" style="143" customWidth="1"/>
    <col min="1539" max="1539" width="54.7109375" style="143" customWidth="1"/>
    <col min="1540" max="1540" width="17.28515625" style="143" bestFit="1" customWidth="1"/>
    <col min="1541" max="1541" width="20.140625" style="143" bestFit="1" customWidth="1"/>
    <col min="1542" max="1542" width="16.5703125" style="143" customWidth="1"/>
    <col min="1543" max="1543" width="18.7109375" style="143" bestFit="1" customWidth="1"/>
    <col min="1544" max="1544" width="17.5703125" style="143" customWidth="1"/>
    <col min="1545" max="1545" width="15.5703125" style="143" bestFit="1" customWidth="1"/>
    <col min="1546" max="1546" width="13.5703125" style="143" customWidth="1"/>
    <col min="1547" max="1547" width="20.5703125" style="143" customWidth="1"/>
    <col min="1548" max="1548" width="12.42578125" style="143" bestFit="1" customWidth="1"/>
    <col min="1549" max="1792" width="9.140625" style="143"/>
    <col min="1793" max="1793" width="23" style="143" customWidth="1"/>
    <col min="1794" max="1794" width="41.140625" style="143" customWidth="1"/>
    <col min="1795" max="1795" width="54.7109375" style="143" customWidth="1"/>
    <col min="1796" max="1796" width="17.28515625" style="143" bestFit="1" customWidth="1"/>
    <col min="1797" max="1797" width="20.140625" style="143" bestFit="1" customWidth="1"/>
    <col min="1798" max="1798" width="16.5703125" style="143" customWidth="1"/>
    <col min="1799" max="1799" width="18.7109375" style="143" bestFit="1" customWidth="1"/>
    <col min="1800" max="1800" width="17.5703125" style="143" customWidth="1"/>
    <col min="1801" max="1801" width="15.5703125" style="143" bestFit="1" customWidth="1"/>
    <col min="1802" max="1802" width="13.5703125" style="143" customWidth="1"/>
    <col min="1803" max="1803" width="20.5703125" style="143" customWidth="1"/>
    <col min="1804" max="1804" width="12.42578125" style="143" bestFit="1" customWidth="1"/>
    <col min="1805" max="2048" width="9.140625" style="143"/>
    <col min="2049" max="2049" width="23" style="143" customWidth="1"/>
    <col min="2050" max="2050" width="41.140625" style="143" customWidth="1"/>
    <col min="2051" max="2051" width="54.7109375" style="143" customWidth="1"/>
    <col min="2052" max="2052" width="17.28515625" style="143" bestFit="1" customWidth="1"/>
    <col min="2053" max="2053" width="20.140625" style="143" bestFit="1" customWidth="1"/>
    <col min="2054" max="2054" width="16.5703125" style="143" customWidth="1"/>
    <col min="2055" max="2055" width="18.7109375" style="143" bestFit="1" customWidth="1"/>
    <col min="2056" max="2056" width="17.5703125" style="143" customWidth="1"/>
    <col min="2057" max="2057" width="15.5703125" style="143" bestFit="1" customWidth="1"/>
    <col min="2058" max="2058" width="13.5703125" style="143" customWidth="1"/>
    <col min="2059" max="2059" width="20.5703125" style="143" customWidth="1"/>
    <col min="2060" max="2060" width="12.42578125" style="143" bestFit="1" customWidth="1"/>
    <col min="2061" max="2304" width="9.140625" style="143"/>
    <col min="2305" max="2305" width="23" style="143" customWidth="1"/>
    <col min="2306" max="2306" width="41.140625" style="143" customWidth="1"/>
    <col min="2307" max="2307" width="54.7109375" style="143" customWidth="1"/>
    <col min="2308" max="2308" width="17.28515625" style="143" bestFit="1" customWidth="1"/>
    <col min="2309" max="2309" width="20.140625" style="143" bestFit="1" customWidth="1"/>
    <col min="2310" max="2310" width="16.5703125" style="143" customWidth="1"/>
    <col min="2311" max="2311" width="18.7109375" style="143" bestFit="1" customWidth="1"/>
    <col min="2312" max="2312" width="17.5703125" style="143" customWidth="1"/>
    <col min="2313" max="2313" width="15.5703125" style="143" bestFit="1" customWidth="1"/>
    <col min="2314" max="2314" width="13.5703125" style="143" customWidth="1"/>
    <col min="2315" max="2315" width="20.5703125" style="143" customWidth="1"/>
    <col min="2316" max="2316" width="12.42578125" style="143" bestFit="1" customWidth="1"/>
    <col min="2317" max="2560" width="9.140625" style="143"/>
    <col min="2561" max="2561" width="23" style="143" customWidth="1"/>
    <col min="2562" max="2562" width="41.140625" style="143" customWidth="1"/>
    <col min="2563" max="2563" width="54.7109375" style="143" customWidth="1"/>
    <col min="2564" max="2564" width="17.28515625" style="143" bestFit="1" customWidth="1"/>
    <col min="2565" max="2565" width="20.140625" style="143" bestFit="1" customWidth="1"/>
    <col min="2566" max="2566" width="16.5703125" style="143" customWidth="1"/>
    <col min="2567" max="2567" width="18.7109375" style="143" bestFit="1" customWidth="1"/>
    <col min="2568" max="2568" width="17.5703125" style="143" customWidth="1"/>
    <col min="2569" max="2569" width="15.5703125" style="143" bestFit="1" customWidth="1"/>
    <col min="2570" max="2570" width="13.5703125" style="143" customWidth="1"/>
    <col min="2571" max="2571" width="20.5703125" style="143" customWidth="1"/>
    <col min="2572" max="2572" width="12.42578125" style="143" bestFit="1" customWidth="1"/>
    <col min="2573" max="2816" width="9.140625" style="143"/>
    <col min="2817" max="2817" width="23" style="143" customWidth="1"/>
    <col min="2818" max="2818" width="41.140625" style="143" customWidth="1"/>
    <col min="2819" max="2819" width="54.7109375" style="143" customWidth="1"/>
    <col min="2820" max="2820" width="17.28515625" style="143" bestFit="1" customWidth="1"/>
    <col min="2821" max="2821" width="20.140625" style="143" bestFit="1" customWidth="1"/>
    <col min="2822" max="2822" width="16.5703125" style="143" customWidth="1"/>
    <col min="2823" max="2823" width="18.7109375" style="143" bestFit="1" customWidth="1"/>
    <col min="2824" max="2824" width="17.5703125" style="143" customWidth="1"/>
    <col min="2825" max="2825" width="15.5703125" style="143" bestFit="1" customWidth="1"/>
    <col min="2826" max="2826" width="13.5703125" style="143" customWidth="1"/>
    <col min="2827" max="2827" width="20.5703125" style="143" customWidth="1"/>
    <col min="2828" max="2828" width="12.42578125" style="143" bestFit="1" customWidth="1"/>
    <col min="2829" max="3072" width="9.140625" style="143"/>
    <col min="3073" max="3073" width="23" style="143" customWidth="1"/>
    <col min="3074" max="3074" width="41.140625" style="143" customWidth="1"/>
    <col min="3075" max="3075" width="54.7109375" style="143" customWidth="1"/>
    <col min="3076" max="3076" width="17.28515625" style="143" bestFit="1" customWidth="1"/>
    <col min="3077" max="3077" width="20.140625" style="143" bestFit="1" customWidth="1"/>
    <col min="3078" max="3078" width="16.5703125" style="143" customWidth="1"/>
    <col min="3079" max="3079" width="18.7109375" style="143" bestFit="1" customWidth="1"/>
    <col min="3080" max="3080" width="17.5703125" style="143" customWidth="1"/>
    <col min="3081" max="3081" width="15.5703125" style="143" bestFit="1" customWidth="1"/>
    <col min="3082" max="3082" width="13.5703125" style="143" customWidth="1"/>
    <col min="3083" max="3083" width="20.5703125" style="143" customWidth="1"/>
    <col min="3084" max="3084" width="12.42578125" style="143" bestFit="1" customWidth="1"/>
    <col min="3085" max="3328" width="9.140625" style="143"/>
    <col min="3329" max="3329" width="23" style="143" customWidth="1"/>
    <col min="3330" max="3330" width="41.140625" style="143" customWidth="1"/>
    <col min="3331" max="3331" width="54.7109375" style="143" customWidth="1"/>
    <col min="3332" max="3332" width="17.28515625" style="143" bestFit="1" customWidth="1"/>
    <col min="3333" max="3333" width="20.140625" style="143" bestFit="1" customWidth="1"/>
    <col min="3334" max="3334" width="16.5703125" style="143" customWidth="1"/>
    <col min="3335" max="3335" width="18.7109375" style="143" bestFit="1" customWidth="1"/>
    <col min="3336" max="3336" width="17.5703125" style="143" customWidth="1"/>
    <col min="3337" max="3337" width="15.5703125" style="143" bestFit="1" customWidth="1"/>
    <col min="3338" max="3338" width="13.5703125" style="143" customWidth="1"/>
    <col min="3339" max="3339" width="20.5703125" style="143" customWidth="1"/>
    <col min="3340" max="3340" width="12.42578125" style="143" bestFit="1" customWidth="1"/>
    <col min="3341" max="3584" width="9.140625" style="143"/>
    <col min="3585" max="3585" width="23" style="143" customWidth="1"/>
    <col min="3586" max="3586" width="41.140625" style="143" customWidth="1"/>
    <col min="3587" max="3587" width="54.7109375" style="143" customWidth="1"/>
    <col min="3588" max="3588" width="17.28515625" style="143" bestFit="1" customWidth="1"/>
    <col min="3589" max="3589" width="20.140625" style="143" bestFit="1" customWidth="1"/>
    <col min="3590" max="3590" width="16.5703125" style="143" customWidth="1"/>
    <col min="3591" max="3591" width="18.7109375" style="143" bestFit="1" customWidth="1"/>
    <col min="3592" max="3592" width="17.5703125" style="143" customWidth="1"/>
    <col min="3593" max="3593" width="15.5703125" style="143" bestFit="1" customWidth="1"/>
    <col min="3594" max="3594" width="13.5703125" style="143" customWidth="1"/>
    <col min="3595" max="3595" width="20.5703125" style="143" customWidth="1"/>
    <col min="3596" max="3596" width="12.42578125" style="143" bestFit="1" customWidth="1"/>
    <col min="3597" max="3840" width="9.140625" style="143"/>
    <col min="3841" max="3841" width="23" style="143" customWidth="1"/>
    <col min="3842" max="3842" width="41.140625" style="143" customWidth="1"/>
    <col min="3843" max="3843" width="54.7109375" style="143" customWidth="1"/>
    <col min="3844" max="3844" width="17.28515625" style="143" bestFit="1" customWidth="1"/>
    <col min="3845" max="3845" width="20.140625" style="143" bestFit="1" customWidth="1"/>
    <col min="3846" max="3846" width="16.5703125" style="143" customWidth="1"/>
    <col min="3847" max="3847" width="18.7109375" style="143" bestFit="1" customWidth="1"/>
    <col min="3848" max="3848" width="17.5703125" style="143" customWidth="1"/>
    <col min="3849" max="3849" width="15.5703125" style="143" bestFit="1" customWidth="1"/>
    <col min="3850" max="3850" width="13.5703125" style="143" customWidth="1"/>
    <col min="3851" max="3851" width="20.5703125" style="143" customWidth="1"/>
    <col min="3852" max="3852" width="12.42578125" style="143" bestFit="1" customWidth="1"/>
    <col min="3853" max="4096" width="9.140625" style="143"/>
    <col min="4097" max="4097" width="23" style="143" customWidth="1"/>
    <col min="4098" max="4098" width="41.140625" style="143" customWidth="1"/>
    <col min="4099" max="4099" width="54.7109375" style="143" customWidth="1"/>
    <col min="4100" max="4100" width="17.28515625" style="143" bestFit="1" customWidth="1"/>
    <col min="4101" max="4101" width="20.140625" style="143" bestFit="1" customWidth="1"/>
    <col min="4102" max="4102" width="16.5703125" style="143" customWidth="1"/>
    <col min="4103" max="4103" width="18.7109375" style="143" bestFit="1" customWidth="1"/>
    <col min="4104" max="4104" width="17.5703125" style="143" customWidth="1"/>
    <col min="4105" max="4105" width="15.5703125" style="143" bestFit="1" customWidth="1"/>
    <col min="4106" max="4106" width="13.5703125" style="143" customWidth="1"/>
    <col min="4107" max="4107" width="20.5703125" style="143" customWidth="1"/>
    <col min="4108" max="4108" width="12.42578125" style="143" bestFit="1" customWidth="1"/>
    <col min="4109" max="4352" width="9.140625" style="143"/>
    <col min="4353" max="4353" width="23" style="143" customWidth="1"/>
    <col min="4354" max="4354" width="41.140625" style="143" customWidth="1"/>
    <col min="4355" max="4355" width="54.7109375" style="143" customWidth="1"/>
    <col min="4356" max="4356" width="17.28515625" style="143" bestFit="1" customWidth="1"/>
    <col min="4357" max="4357" width="20.140625" style="143" bestFit="1" customWidth="1"/>
    <col min="4358" max="4358" width="16.5703125" style="143" customWidth="1"/>
    <col min="4359" max="4359" width="18.7109375" style="143" bestFit="1" customWidth="1"/>
    <col min="4360" max="4360" width="17.5703125" style="143" customWidth="1"/>
    <col min="4361" max="4361" width="15.5703125" style="143" bestFit="1" customWidth="1"/>
    <col min="4362" max="4362" width="13.5703125" style="143" customWidth="1"/>
    <col min="4363" max="4363" width="20.5703125" style="143" customWidth="1"/>
    <col min="4364" max="4364" width="12.42578125" style="143" bestFit="1" customWidth="1"/>
    <col min="4365" max="4608" width="9.140625" style="143"/>
    <col min="4609" max="4609" width="23" style="143" customWidth="1"/>
    <col min="4610" max="4610" width="41.140625" style="143" customWidth="1"/>
    <col min="4611" max="4611" width="54.7109375" style="143" customWidth="1"/>
    <col min="4612" max="4612" width="17.28515625" style="143" bestFit="1" customWidth="1"/>
    <col min="4613" max="4613" width="20.140625" style="143" bestFit="1" customWidth="1"/>
    <col min="4614" max="4614" width="16.5703125" style="143" customWidth="1"/>
    <col min="4615" max="4615" width="18.7109375" style="143" bestFit="1" customWidth="1"/>
    <col min="4616" max="4616" width="17.5703125" style="143" customWidth="1"/>
    <col min="4617" max="4617" width="15.5703125" style="143" bestFit="1" customWidth="1"/>
    <col min="4618" max="4618" width="13.5703125" style="143" customWidth="1"/>
    <col min="4619" max="4619" width="20.5703125" style="143" customWidth="1"/>
    <col min="4620" max="4620" width="12.42578125" style="143" bestFit="1" customWidth="1"/>
    <col min="4621" max="4864" width="9.140625" style="143"/>
    <col min="4865" max="4865" width="23" style="143" customWidth="1"/>
    <col min="4866" max="4866" width="41.140625" style="143" customWidth="1"/>
    <col min="4867" max="4867" width="54.7109375" style="143" customWidth="1"/>
    <col min="4868" max="4868" width="17.28515625" style="143" bestFit="1" customWidth="1"/>
    <col min="4869" max="4869" width="20.140625" style="143" bestFit="1" customWidth="1"/>
    <col min="4870" max="4870" width="16.5703125" style="143" customWidth="1"/>
    <col min="4871" max="4871" width="18.7109375" style="143" bestFit="1" customWidth="1"/>
    <col min="4872" max="4872" width="17.5703125" style="143" customWidth="1"/>
    <col min="4873" max="4873" width="15.5703125" style="143" bestFit="1" customWidth="1"/>
    <col min="4874" max="4874" width="13.5703125" style="143" customWidth="1"/>
    <col min="4875" max="4875" width="20.5703125" style="143" customWidth="1"/>
    <col min="4876" max="4876" width="12.42578125" style="143" bestFit="1" customWidth="1"/>
    <col min="4877" max="5120" width="9.140625" style="143"/>
    <col min="5121" max="5121" width="23" style="143" customWidth="1"/>
    <col min="5122" max="5122" width="41.140625" style="143" customWidth="1"/>
    <col min="5123" max="5123" width="54.7109375" style="143" customWidth="1"/>
    <col min="5124" max="5124" width="17.28515625" style="143" bestFit="1" customWidth="1"/>
    <col min="5125" max="5125" width="20.140625" style="143" bestFit="1" customWidth="1"/>
    <col min="5126" max="5126" width="16.5703125" style="143" customWidth="1"/>
    <col min="5127" max="5127" width="18.7109375" style="143" bestFit="1" customWidth="1"/>
    <col min="5128" max="5128" width="17.5703125" style="143" customWidth="1"/>
    <col min="5129" max="5129" width="15.5703125" style="143" bestFit="1" customWidth="1"/>
    <col min="5130" max="5130" width="13.5703125" style="143" customWidth="1"/>
    <col min="5131" max="5131" width="20.5703125" style="143" customWidth="1"/>
    <col min="5132" max="5132" width="12.42578125" style="143" bestFit="1" customWidth="1"/>
    <col min="5133" max="5376" width="9.140625" style="143"/>
    <col min="5377" max="5377" width="23" style="143" customWidth="1"/>
    <col min="5378" max="5378" width="41.140625" style="143" customWidth="1"/>
    <col min="5379" max="5379" width="54.7109375" style="143" customWidth="1"/>
    <col min="5380" max="5380" width="17.28515625" style="143" bestFit="1" customWidth="1"/>
    <col min="5381" max="5381" width="20.140625" style="143" bestFit="1" customWidth="1"/>
    <col min="5382" max="5382" width="16.5703125" style="143" customWidth="1"/>
    <col min="5383" max="5383" width="18.7109375" style="143" bestFit="1" customWidth="1"/>
    <col min="5384" max="5384" width="17.5703125" style="143" customWidth="1"/>
    <col min="5385" max="5385" width="15.5703125" style="143" bestFit="1" customWidth="1"/>
    <col min="5386" max="5386" width="13.5703125" style="143" customWidth="1"/>
    <col min="5387" max="5387" width="20.5703125" style="143" customWidth="1"/>
    <col min="5388" max="5388" width="12.42578125" style="143" bestFit="1" customWidth="1"/>
    <col min="5389" max="5632" width="9.140625" style="143"/>
    <col min="5633" max="5633" width="23" style="143" customWidth="1"/>
    <col min="5634" max="5634" width="41.140625" style="143" customWidth="1"/>
    <col min="5635" max="5635" width="54.7109375" style="143" customWidth="1"/>
    <col min="5636" max="5636" width="17.28515625" style="143" bestFit="1" customWidth="1"/>
    <col min="5637" max="5637" width="20.140625" style="143" bestFit="1" customWidth="1"/>
    <col min="5638" max="5638" width="16.5703125" style="143" customWidth="1"/>
    <col min="5639" max="5639" width="18.7109375" style="143" bestFit="1" customWidth="1"/>
    <col min="5640" max="5640" width="17.5703125" style="143" customWidth="1"/>
    <col min="5641" max="5641" width="15.5703125" style="143" bestFit="1" customWidth="1"/>
    <col min="5642" max="5642" width="13.5703125" style="143" customWidth="1"/>
    <col min="5643" max="5643" width="20.5703125" style="143" customWidth="1"/>
    <col min="5644" max="5644" width="12.42578125" style="143" bestFit="1" customWidth="1"/>
    <col min="5645" max="5888" width="9.140625" style="143"/>
    <col min="5889" max="5889" width="23" style="143" customWidth="1"/>
    <col min="5890" max="5890" width="41.140625" style="143" customWidth="1"/>
    <col min="5891" max="5891" width="54.7109375" style="143" customWidth="1"/>
    <col min="5892" max="5892" width="17.28515625" style="143" bestFit="1" customWidth="1"/>
    <col min="5893" max="5893" width="20.140625" style="143" bestFit="1" customWidth="1"/>
    <col min="5894" max="5894" width="16.5703125" style="143" customWidth="1"/>
    <col min="5895" max="5895" width="18.7109375" style="143" bestFit="1" customWidth="1"/>
    <col min="5896" max="5896" width="17.5703125" style="143" customWidth="1"/>
    <col min="5897" max="5897" width="15.5703125" style="143" bestFit="1" customWidth="1"/>
    <col min="5898" max="5898" width="13.5703125" style="143" customWidth="1"/>
    <col min="5899" max="5899" width="20.5703125" style="143" customWidth="1"/>
    <col min="5900" max="5900" width="12.42578125" style="143" bestFit="1" customWidth="1"/>
    <col min="5901" max="6144" width="9.140625" style="143"/>
    <col min="6145" max="6145" width="23" style="143" customWidth="1"/>
    <col min="6146" max="6146" width="41.140625" style="143" customWidth="1"/>
    <col min="6147" max="6147" width="54.7109375" style="143" customWidth="1"/>
    <col min="6148" max="6148" width="17.28515625" style="143" bestFit="1" customWidth="1"/>
    <col min="6149" max="6149" width="20.140625" style="143" bestFit="1" customWidth="1"/>
    <col min="6150" max="6150" width="16.5703125" style="143" customWidth="1"/>
    <col min="6151" max="6151" width="18.7109375" style="143" bestFit="1" customWidth="1"/>
    <col min="6152" max="6152" width="17.5703125" style="143" customWidth="1"/>
    <col min="6153" max="6153" width="15.5703125" style="143" bestFit="1" customWidth="1"/>
    <col min="6154" max="6154" width="13.5703125" style="143" customWidth="1"/>
    <col min="6155" max="6155" width="20.5703125" style="143" customWidth="1"/>
    <col min="6156" max="6156" width="12.42578125" style="143" bestFit="1" customWidth="1"/>
    <col min="6157" max="6400" width="9.140625" style="143"/>
    <col min="6401" max="6401" width="23" style="143" customWidth="1"/>
    <col min="6402" max="6402" width="41.140625" style="143" customWidth="1"/>
    <col min="6403" max="6403" width="54.7109375" style="143" customWidth="1"/>
    <col min="6404" max="6404" width="17.28515625" style="143" bestFit="1" customWidth="1"/>
    <col min="6405" max="6405" width="20.140625" style="143" bestFit="1" customWidth="1"/>
    <col min="6406" max="6406" width="16.5703125" style="143" customWidth="1"/>
    <col min="6407" max="6407" width="18.7109375" style="143" bestFit="1" customWidth="1"/>
    <col min="6408" max="6408" width="17.5703125" style="143" customWidth="1"/>
    <col min="6409" max="6409" width="15.5703125" style="143" bestFit="1" customWidth="1"/>
    <col min="6410" max="6410" width="13.5703125" style="143" customWidth="1"/>
    <col min="6411" max="6411" width="20.5703125" style="143" customWidth="1"/>
    <col min="6412" max="6412" width="12.42578125" style="143" bestFit="1" customWidth="1"/>
    <col min="6413" max="6656" width="9.140625" style="143"/>
    <col min="6657" max="6657" width="23" style="143" customWidth="1"/>
    <col min="6658" max="6658" width="41.140625" style="143" customWidth="1"/>
    <col min="6659" max="6659" width="54.7109375" style="143" customWidth="1"/>
    <col min="6660" max="6660" width="17.28515625" style="143" bestFit="1" customWidth="1"/>
    <col min="6661" max="6661" width="20.140625" style="143" bestFit="1" customWidth="1"/>
    <col min="6662" max="6662" width="16.5703125" style="143" customWidth="1"/>
    <col min="6663" max="6663" width="18.7109375" style="143" bestFit="1" customWidth="1"/>
    <col min="6664" max="6664" width="17.5703125" style="143" customWidth="1"/>
    <col min="6665" max="6665" width="15.5703125" style="143" bestFit="1" customWidth="1"/>
    <col min="6666" max="6666" width="13.5703125" style="143" customWidth="1"/>
    <col min="6667" max="6667" width="20.5703125" style="143" customWidth="1"/>
    <col min="6668" max="6668" width="12.42578125" style="143" bestFit="1" customWidth="1"/>
    <col min="6669" max="6912" width="9.140625" style="143"/>
    <col min="6913" max="6913" width="23" style="143" customWidth="1"/>
    <col min="6914" max="6914" width="41.140625" style="143" customWidth="1"/>
    <col min="6915" max="6915" width="54.7109375" style="143" customWidth="1"/>
    <col min="6916" max="6916" width="17.28515625" style="143" bestFit="1" customWidth="1"/>
    <col min="6917" max="6917" width="20.140625" style="143" bestFit="1" customWidth="1"/>
    <col min="6918" max="6918" width="16.5703125" style="143" customWidth="1"/>
    <col min="6919" max="6919" width="18.7109375" style="143" bestFit="1" customWidth="1"/>
    <col min="6920" max="6920" width="17.5703125" style="143" customWidth="1"/>
    <col min="6921" max="6921" width="15.5703125" style="143" bestFit="1" customWidth="1"/>
    <col min="6922" max="6922" width="13.5703125" style="143" customWidth="1"/>
    <col min="6923" max="6923" width="20.5703125" style="143" customWidth="1"/>
    <col min="6924" max="6924" width="12.42578125" style="143" bestFit="1" customWidth="1"/>
    <col min="6925" max="7168" width="9.140625" style="143"/>
    <col min="7169" max="7169" width="23" style="143" customWidth="1"/>
    <col min="7170" max="7170" width="41.140625" style="143" customWidth="1"/>
    <col min="7171" max="7171" width="54.7109375" style="143" customWidth="1"/>
    <col min="7172" max="7172" width="17.28515625" style="143" bestFit="1" customWidth="1"/>
    <col min="7173" max="7173" width="20.140625" style="143" bestFit="1" customWidth="1"/>
    <col min="7174" max="7174" width="16.5703125" style="143" customWidth="1"/>
    <col min="7175" max="7175" width="18.7109375" style="143" bestFit="1" customWidth="1"/>
    <col min="7176" max="7176" width="17.5703125" style="143" customWidth="1"/>
    <col min="7177" max="7177" width="15.5703125" style="143" bestFit="1" customWidth="1"/>
    <col min="7178" max="7178" width="13.5703125" style="143" customWidth="1"/>
    <col min="7179" max="7179" width="20.5703125" style="143" customWidth="1"/>
    <col min="7180" max="7180" width="12.42578125" style="143" bestFit="1" customWidth="1"/>
    <col min="7181" max="7424" width="9.140625" style="143"/>
    <col min="7425" max="7425" width="23" style="143" customWidth="1"/>
    <col min="7426" max="7426" width="41.140625" style="143" customWidth="1"/>
    <col min="7427" max="7427" width="54.7109375" style="143" customWidth="1"/>
    <col min="7428" max="7428" width="17.28515625" style="143" bestFit="1" customWidth="1"/>
    <col min="7429" max="7429" width="20.140625" style="143" bestFit="1" customWidth="1"/>
    <col min="7430" max="7430" width="16.5703125" style="143" customWidth="1"/>
    <col min="7431" max="7431" width="18.7109375" style="143" bestFit="1" customWidth="1"/>
    <col min="7432" max="7432" width="17.5703125" style="143" customWidth="1"/>
    <col min="7433" max="7433" width="15.5703125" style="143" bestFit="1" customWidth="1"/>
    <col min="7434" max="7434" width="13.5703125" style="143" customWidth="1"/>
    <col min="7435" max="7435" width="20.5703125" style="143" customWidth="1"/>
    <col min="7436" max="7436" width="12.42578125" style="143" bestFit="1" customWidth="1"/>
    <col min="7437" max="7680" width="9.140625" style="143"/>
    <col min="7681" max="7681" width="23" style="143" customWidth="1"/>
    <col min="7682" max="7682" width="41.140625" style="143" customWidth="1"/>
    <col min="7683" max="7683" width="54.7109375" style="143" customWidth="1"/>
    <col min="7684" max="7684" width="17.28515625" style="143" bestFit="1" customWidth="1"/>
    <col min="7685" max="7685" width="20.140625" style="143" bestFit="1" customWidth="1"/>
    <col min="7686" max="7686" width="16.5703125" style="143" customWidth="1"/>
    <col min="7687" max="7687" width="18.7109375" style="143" bestFit="1" customWidth="1"/>
    <col min="7688" max="7688" width="17.5703125" style="143" customWidth="1"/>
    <col min="7689" max="7689" width="15.5703125" style="143" bestFit="1" customWidth="1"/>
    <col min="7690" max="7690" width="13.5703125" style="143" customWidth="1"/>
    <col min="7691" max="7691" width="20.5703125" style="143" customWidth="1"/>
    <col min="7692" max="7692" width="12.42578125" style="143" bestFit="1" customWidth="1"/>
    <col min="7693" max="7936" width="9.140625" style="143"/>
    <col min="7937" max="7937" width="23" style="143" customWidth="1"/>
    <col min="7938" max="7938" width="41.140625" style="143" customWidth="1"/>
    <col min="7939" max="7939" width="54.7109375" style="143" customWidth="1"/>
    <col min="7940" max="7940" width="17.28515625" style="143" bestFit="1" customWidth="1"/>
    <col min="7941" max="7941" width="20.140625" style="143" bestFit="1" customWidth="1"/>
    <col min="7942" max="7942" width="16.5703125" style="143" customWidth="1"/>
    <col min="7943" max="7943" width="18.7109375" style="143" bestFit="1" customWidth="1"/>
    <col min="7944" max="7944" width="17.5703125" style="143" customWidth="1"/>
    <col min="7945" max="7945" width="15.5703125" style="143" bestFit="1" customWidth="1"/>
    <col min="7946" max="7946" width="13.5703125" style="143" customWidth="1"/>
    <col min="7947" max="7947" width="20.5703125" style="143" customWidth="1"/>
    <col min="7948" max="7948" width="12.42578125" style="143" bestFit="1" customWidth="1"/>
    <col min="7949" max="8192" width="9.140625" style="143"/>
    <col min="8193" max="8193" width="23" style="143" customWidth="1"/>
    <col min="8194" max="8194" width="41.140625" style="143" customWidth="1"/>
    <col min="8195" max="8195" width="54.7109375" style="143" customWidth="1"/>
    <col min="8196" max="8196" width="17.28515625" style="143" bestFit="1" customWidth="1"/>
    <col min="8197" max="8197" width="20.140625" style="143" bestFit="1" customWidth="1"/>
    <col min="8198" max="8198" width="16.5703125" style="143" customWidth="1"/>
    <col min="8199" max="8199" width="18.7109375" style="143" bestFit="1" customWidth="1"/>
    <col min="8200" max="8200" width="17.5703125" style="143" customWidth="1"/>
    <col min="8201" max="8201" width="15.5703125" style="143" bestFit="1" customWidth="1"/>
    <col min="8202" max="8202" width="13.5703125" style="143" customWidth="1"/>
    <col min="8203" max="8203" width="20.5703125" style="143" customWidth="1"/>
    <col min="8204" max="8204" width="12.42578125" style="143" bestFit="1" customWidth="1"/>
    <col min="8205" max="8448" width="9.140625" style="143"/>
    <col min="8449" max="8449" width="23" style="143" customWidth="1"/>
    <col min="8450" max="8450" width="41.140625" style="143" customWidth="1"/>
    <col min="8451" max="8451" width="54.7109375" style="143" customWidth="1"/>
    <col min="8452" max="8452" width="17.28515625" style="143" bestFit="1" customWidth="1"/>
    <col min="8453" max="8453" width="20.140625" style="143" bestFit="1" customWidth="1"/>
    <col min="8454" max="8454" width="16.5703125" style="143" customWidth="1"/>
    <col min="8455" max="8455" width="18.7109375" style="143" bestFit="1" customWidth="1"/>
    <col min="8456" max="8456" width="17.5703125" style="143" customWidth="1"/>
    <col min="8457" max="8457" width="15.5703125" style="143" bestFit="1" customWidth="1"/>
    <col min="8458" max="8458" width="13.5703125" style="143" customWidth="1"/>
    <col min="8459" max="8459" width="20.5703125" style="143" customWidth="1"/>
    <col min="8460" max="8460" width="12.42578125" style="143" bestFit="1" customWidth="1"/>
    <col min="8461" max="8704" width="9.140625" style="143"/>
    <col min="8705" max="8705" width="23" style="143" customWidth="1"/>
    <col min="8706" max="8706" width="41.140625" style="143" customWidth="1"/>
    <col min="8707" max="8707" width="54.7109375" style="143" customWidth="1"/>
    <col min="8708" max="8708" width="17.28515625" style="143" bestFit="1" customWidth="1"/>
    <col min="8709" max="8709" width="20.140625" style="143" bestFit="1" customWidth="1"/>
    <col min="8710" max="8710" width="16.5703125" style="143" customWidth="1"/>
    <col min="8711" max="8711" width="18.7109375" style="143" bestFit="1" customWidth="1"/>
    <col min="8712" max="8712" width="17.5703125" style="143" customWidth="1"/>
    <col min="8713" max="8713" width="15.5703125" style="143" bestFit="1" customWidth="1"/>
    <col min="8714" max="8714" width="13.5703125" style="143" customWidth="1"/>
    <col min="8715" max="8715" width="20.5703125" style="143" customWidth="1"/>
    <col min="8716" max="8716" width="12.42578125" style="143" bestFit="1" customWidth="1"/>
    <col min="8717" max="8960" width="9.140625" style="143"/>
    <col min="8961" max="8961" width="23" style="143" customWidth="1"/>
    <col min="8962" max="8962" width="41.140625" style="143" customWidth="1"/>
    <col min="8963" max="8963" width="54.7109375" style="143" customWidth="1"/>
    <col min="8964" max="8964" width="17.28515625" style="143" bestFit="1" customWidth="1"/>
    <col min="8965" max="8965" width="20.140625" style="143" bestFit="1" customWidth="1"/>
    <col min="8966" max="8966" width="16.5703125" style="143" customWidth="1"/>
    <col min="8967" max="8967" width="18.7109375" style="143" bestFit="1" customWidth="1"/>
    <col min="8968" max="8968" width="17.5703125" style="143" customWidth="1"/>
    <col min="8969" max="8969" width="15.5703125" style="143" bestFit="1" customWidth="1"/>
    <col min="8970" max="8970" width="13.5703125" style="143" customWidth="1"/>
    <col min="8971" max="8971" width="20.5703125" style="143" customWidth="1"/>
    <col min="8972" max="8972" width="12.42578125" style="143" bestFit="1" customWidth="1"/>
    <col min="8973" max="9216" width="9.140625" style="143"/>
    <col min="9217" max="9217" width="23" style="143" customWidth="1"/>
    <col min="9218" max="9218" width="41.140625" style="143" customWidth="1"/>
    <col min="9219" max="9219" width="54.7109375" style="143" customWidth="1"/>
    <col min="9220" max="9220" width="17.28515625" style="143" bestFit="1" customWidth="1"/>
    <col min="9221" max="9221" width="20.140625" style="143" bestFit="1" customWidth="1"/>
    <col min="9222" max="9222" width="16.5703125" style="143" customWidth="1"/>
    <col min="9223" max="9223" width="18.7109375" style="143" bestFit="1" customWidth="1"/>
    <col min="9224" max="9224" width="17.5703125" style="143" customWidth="1"/>
    <col min="9225" max="9225" width="15.5703125" style="143" bestFit="1" customWidth="1"/>
    <col min="9226" max="9226" width="13.5703125" style="143" customWidth="1"/>
    <col min="9227" max="9227" width="20.5703125" style="143" customWidth="1"/>
    <col min="9228" max="9228" width="12.42578125" style="143" bestFit="1" customWidth="1"/>
    <col min="9229" max="9472" width="9.140625" style="143"/>
    <col min="9473" max="9473" width="23" style="143" customWidth="1"/>
    <col min="9474" max="9474" width="41.140625" style="143" customWidth="1"/>
    <col min="9475" max="9475" width="54.7109375" style="143" customWidth="1"/>
    <col min="9476" max="9476" width="17.28515625" style="143" bestFit="1" customWidth="1"/>
    <col min="9477" max="9477" width="20.140625" style="143" bestFit="1" customWidth="1"/>
    <col min="9478" max="9478" width="16.5703125" style="143" customWidth="1"/>
    <col min="9479" max="9479" width="18.7109375" style="143" bestFit="1" customWidth="1"/>
    <col min="9480" max="9480" width="17.5703125" style="143" customWidth="1"/>
    <col min="9481" max="9481" width="15.5703125" style="143" bestFit="1" customWidth="1"/>
    <col min="9482" max="9482" width="13.5703125" style="143" customWidth="1"/>
    <col min="9483" max="9483" width="20.5703125" style="143" customWidth="1"/>
    <col min="9484" max="9484" width="12.42578125" style="143" bestFit="1" customWidth="1"/>
    <col min="9485" max="9728" width="9.140625" style="143"/>
    <col min="9729" max="9729" width="23" style="143" customWidth="1"/>
    <col min="9730" max="9730" width="41.140625" style="143" customWidth="1"/>
    <col min="9731" max="9731" width="54.7109375" style="143" customWidth="1"/>
    <col min="9732" max="9732" width="17.28515625" style="143" bestFit="1" customWidth="1"/>
    <col min="9733" max="9733" width="20.140625" style="143" bestFit="1" customWidth="1"/>
    <col min="9734" max="9734" width="16.5703125" style="143" customWidth="1"/>
    <col min="9735" max="9735" width="18.7109375" style="143" bestFit="1" customWidth="1"/>
    <col min="9736" max="9736" width="17.5703125" style="143" customWidth="1"/>
    <col min="9737" max="9737" width="15.5703125" style="143" bestFit="1" customWidth="1"/>
    <col min="9738" max="9738" width="13.5703125" style="143" customWidth="1"/>
    <col min="9739" max="9739" width="20.5703125" style="143" customWidth="1"/>
    <col min="9740" max="9740" width="12.42578125" style="143" bestFit="1" customWidth="1"/>
    <col min="9741" max="9984" width="9.140625" style="143"/>
    <col min="9985" max="9985" width="23" style="143" customWidth="1"/>
    <col min="9986" max="9986" width="41.140625" style="143" customWidth="1"/>
    <col min="9987" max="9987" width="54.7109375" style="143" customWidth="1"/>
    <col min="9988" max="9988" width="17.28515625" style="143" bestFit="1" customWidth="1"/>
    <col min="9989" max="9989" width="20.140625" style="143" bestFit="1" customWidth="1"/>
    <col min="9990" max="9990" width="16.5703125" style="143" customWidth="1"/>
    <col min="9991" max="9991" width="18.7109375" style="143" bestFit="1" customWidth="1"/>
    <col min="9992" max="9992" width="17.5703125" style="143" customWidth="1"/>
    <col min="9993" max="9993" width="15.5703125" style="143" bestFit="1" customWidth="1"/>
    <col min="9994" max="9994" width="13.5703125" style="143" customWidth="1"/>
    <col min="9995" max="9995" width="20.5703125" style="143" customWidth="1"/>
    <col min="9996" max="9996" width="12.42578125" style="143" bestFit="1" customWidth="1"/>
    <col min="9997" max="10240" width="9.140625" style="143"/>
    <col min="10241" max="10241" width="23" style="143" customWidth="1"/>
    <col min="10242" max="10242" width="41.140625" style="143" customWidth="1"/>
    <col min="10243" max="10243" width="54.7109375" style="143" customWidth="1"/>
    <col min="10244" max="10244" width="17.28515625" style="143" bestFit="1" customWidth="1"/>
    <col min="10245" max="10245" width="20.140625" style="143" bestFit="1" customWidth="1"/>
    <col min="10246" max="10246" width="16.5703125" style="143" customWidth="1"/>
    <col min="10247" max="10247" width="18.7109375" style="143" bestFit="1" customWidth="1"/>
    <col min="10248" max="10248" width="17.5703125" style="143" customWidth="1"/>
    <col min="10249" max="10249" width="15.5703125" style="143" bestFit="1" customWidth="1"/>
    <col min="10250" max="10250" width="13.5703125" style="143" customWidth="1"/>
    <col min="10251" max="10251" width="20.5703125" style="143" customWidth="1"/>
    <col min="10252" max="10252" width="12.42578125" style="143" bestFit="1" customWidth="1"/>
    <col min="10253" max="10496" width="9.140625" style="143"/>
    <col min="10497" max="10497" width="23" style="143" customWidth="1"/>
    <col min="10498" max="10498" width="41.140625" style="143" customWidth="1"/>
    <col min="10499" max="10499" width="54.7109375" style="143" customWidth="1"/>
    <col min="10500" max="10500" width="17.28515625" style="143" bestFit="1" customWidth="1"/>
    <col min="10501" max="10501" width="20.140625" style="143" bestFit="1" customWidth="1"/>
    <col min="10502" max="10502" width="16.5703125" style="143" customWidth="1"/>
    <col min="10503" max="10503" width="18.7109375" style="143" bestFit="1" customWidth="1"/>
    <col min="10504" max="10504" width="17.5703125" style="143" customWidth="1"/>
    <col min="10505" max="10505" width="15.5703125" style="143" bestFit="1" customWidth="1"/>
    <col min="10506" max="10506" width="13.5703125" style="143" customWidth="1"/>
    <col min="10507" max="10507" width="20.5703125" style="143" customWidth="1"/>
    <col min="10508" max="10508" width="12.42578125" style="143" bestFit="1" customWidth="1"/>
    <col min="10509" max="10752" width="9.140625" style="143"/>
    <col min="10753" max="10753" width="23" style="143" customWidth="1"/>
    <col min="10754" max="10754" width="41.140625" style="143" customWidth="1"/>
    <col min="10755" max="10755" width="54.7109375" style="143" customWidth="1"/>
    <col min="10756" max="10756" width="17.28515625" style="143" bestFit="1" customWidth="1"/>
    <col min="10757" max="10757" width="20.140625" style="143" bestFit="1" customWidth="1"/>
    <col min="10758" max="10758" width="16.5703125" style="143" customWidth="1"/>
    <col min="10759" max="10759" width="18.7109375" style="143" bestFit="1" customWidth="1"/>
    <col min="10760" max="10760" width="17.5703125" style="143" customWidth="1"/>
    <col min="10761" max="10761" width="15.5703125" style="143" bestFit="1" customWidth="1"/>
    <col min="10762" max="10762" width="13.5703125" style="143" customWidth="1"/>
    <col min="10763" max="10763" width="20.5703125" style="143" customWidth="1"/>
    <col min="10764" max="10764" width="12.42578125" style="143" bestFit="1" customWidth="1"/>
    <col min="10765" max="11008" width="9.140625" style="143"/>
    <col min="11009" max="11009" width="23" style="143" customWidth="1"/>
    <col min="11010" max="11010" width="41.140625" style="143" customWidth="1"/>
    <col min="11011" max="11011" width="54.7109375" style="143" customWidth="1"/>
    <col min="11012" max="11012" width="17.28515625" style="143" bestFit="1" customWidth="1"/>
    <col min="11013" max="11013" width="20.140625" style="143" bestFit="1" customWidth="1"/>
    <col min="11014" max="11014" width="16.5703125" style="143" customWidth="1"/>
    <col min="11015" max="11015" width="18.7109375" style="143" bestFit="1" customWidth="1"/>
    <col min="11016" max="11016" width="17.5703125" style="143" customWidth="1"/>
    <col min="11017" max="11017" width="15.5703125" style="143" bestFit="1" customWidth="1"/>
    <col min="11018" max="11018" width="13.5703125" style="143" customWidth="1"/>
    <col min="11019" max="11019" width="20.5703125" style="143" customWidth="1"/>
    <col min="11020" max="11020" width="12.42578125" style="143" bestFit="1" customWidth="1"/>
    <col min="11021" max="11264" width="9.140625" style="143"/>
    <col min="11265" max="11265" width="23" style="143" customWidth="1"/>
    <col min="11266" max="11266" width="41.140625" style="143" customWidth="1"/>
    <col min="11267" max="11267" width="54.7109375" style="143" customWidth="1"/>
    <col min="11268" max="11268" width="17.28515625" style="143" bestFit="1" customWidth="1"/>
    <col min="11269" max="11269" width="20.140625" style="143" bestFit="1" customWidth="1"/>
    <col min="11270" max="11270" width="16.5703125" style="143" customWidth="1"/>
    <col min="11271" max="11271" width="18.7109375" style="143" bestFit="1" customWidth="1"/>
    <col min="11272" max="11272" width="17.5703125" style="143" customWidth="1"/>
    <col min="11273" max="11273" width="15.5703125" style="143" bestFit="1" customWidth="1"/>
    <col min="11274" max="11274" width="13.5703125" style="143" customWidth="1"/>
    <col min="11275" max="11275" width="20.5703125" style="143" customWidth="1"/>
    <col min="11276" max="11276" width="12.42578125" style="143" bestFit="1" customWidth="1"/>
    <col min="11277" max="11520" width="9.140625" style="143"/>
    <col min="11521" max="11521" width="23" style="143" customWidth="1"/>
    <col min="11522" max="11522" width="41.140625" style="143" customWidth="1"/>
    <col min="11523" max="11523" width="54.7109375" style="143" customWidth="1"/>
    <col min="11524" max="11524" width="17.28515625" style="143" bestFit="1" customWidth="1"/>
    <col min="11525" max="11525" width="20.140625" style="143" bestFit="1" customWidth="1"/>
    <col min="11526" max="11526" width="16.5703125" style="143" customWidth="1"/>
    <col min="11527" max="11527" width="18.7109375" style="143" bestFit="1" customWidth="1"/>
    <col min="11528" max="11528" width="17.5703125" style="143" customWidth="1"/>
    <col min="11529" max="11529" width="15.5703125" style="143" bestFit="1" customWidth="1"/>
    <col min="11530" max="11530" width="13.5703125" style="143" customWidth="1"/>
    <col min="11531" max="11531" width="20.5703125" style="143" customWidth="1"/>
    <col min="11532" max="11532" width="12.42578125" style="143" bestFit="1" customWidth="1"/>
    <col min="11533" max="11776" width="9.140625" style="143"/>
    <col min="11777" max="11777" width="23" style="143" customWidth="1"/>
    <col min="11778" max="11778" width="41.140625" style="143" customWidth="1"/>
    <col min="11779" max="11779" width="54.7109375" style="143" customWidth="1"/>
    <col min="11780" max="11780" width="17.28515625" style="143" bestFit="1" customWidth="1"/>
    <col min="11781" max="11781" width="20.140625" style="143" bestFit="1" customWidth="1"/>
    <col min="11782" max="11782" width="16.5703125" style="143" customWidth="1"/>
    <col min="11783" max="11783" width="18.7109375" style="143" bestFit="1" customWidth="1"/>
    <col min="11784" max="11784" width="17.5703125" style="143" customWidth="1"/>
    <col min="11785" max="11785" width="15.5703125" style="143" bestFit="1" customWidth="1"/>
    <col min="11786" max="11786" width="13.5703125" style="143" customWidth="1"/>
    <col min="11787" max="11787" width="20.5703125" style="143" customWidth="1"/>
    <col min="11788" max="11788" width="12.42578125" style="143" bestFit="1" customWidth="1"/>
    <col min="11789" max="12032" width="9.140625" style="143"/>
    <col min="12033" max="12033" width="23" style="143" customWidth="1"/>
    <col min="12034" max="12034" width="41.140625" style="143" customWidth="1"/>
    <col min="12035" max="12035" width="54.7109375" style="143" customWidth="1"/>
    <col min="12036" max="12036" width="17.28515625" style="143" bestFit="1" customWidth="1"/>
    <col min="12037" max="12037" width="20.140625" style="143" bestFit="1" customWidth="1"/>
    <col min="12038" max="12038" width="16.5703125" style="143" customWidth="1"/>
    <col min="12039" max="12039" width="18.7109375" style="143" bestFit="1" customWidth="1"/>
    <col min="12040" max="12040" width="17.5703125" style="143" customWidth="1"/>
    <col min="12041" max="12041" width="15.5703125" style="143" bestFit="1" customWidth="1"/>
    <col min="12042" max="12042" width="13.5703125" style="143" customWidth="1"/>
    <col min="12043" max="12043" width="20.5703125" style="143" customWidth="1"/>
    <col min="12044" max="12044" width="12.42578125" style="143" bestFit="1" customWidth="1"/>
    <col min="12045" max="12288" width="9.140625" style="143"/>
    <col min="12289" max="12289" width="23" style="143" customWidth="1"/>
    <col min="12290" max="12290" width="41.140625" style="143" customWidth="1"/>
    <col min="12291" max="12291" width="54.7109375" style="143" customWidth="1"/>
    <col min="12292" max="12292" width="17.28515625" style="143" bestFit="1" customWidth="1"/>
    <col min="12293" max="12293" width="20.140625" style="143" bestFit="1" customWidth="1"/>
    <col min="12294" max="12294" width="16.5703125" style="143" customWidth="1"/>
    <col min="12295" max="12295" width="18.7109375" style="143" bestFit="1" customWidth="1"/>
    <col min="12296" max="12296" width="17.5703125" style="143" customWidth="1"/>
    <col min="12297" max="12297" width="15.5703125" style="143" bestFit="1" customWidth="1"/>
    <col min="12298" max="12298" width="13.5703125" style="143" customWidth="1"/>
    <col min="12299" max="12299" width="20.5703125" style="143" customWidth="1"/>
    <col min="12300" max="12300" width="12.42578125" style="143" bestFit="1" customWidth="1"/>
    <col min="12301" max="12544" width="9.140625" style="143"/>
    <col min="12545" max="12545" width="23" style="143" customWidth="1"/>
    <col min="12546" max="12546" width="41.140625" style="143" customWidth="1"/>
    <col min="12547" max="12547" width="54.7109375" style="143" customWidth="1"/>
    <col min="12548" max="12548" width="17.28515625" style="143" bestFit="1" customWidth="1"/>
    <col min="12549" max="12549" width="20.140625" style="143" bestFit="1" customWidth="1"/>
    <col min="12550" max="12550" width="16.5703125" style="143" customWidth="1"/>
    <col min="12551" max="12551" width="18.7109375" style="143" bestFit="1" customWidth="1"/>
    <col min="12552" max="12552" width="17.5703125" style="143" customWidth="1"/>
    <col min="12553" max="12553" width="15.5703125" style="143" bestFit="1" customWidth="1"/>
    <col min="12554" max="12554" width="13.5703125" style="143" customWidth="1"/>
    <col min="12555" max="12555" width="20.5703125" style="143" customWidth="1"/>
    <col min="12556" max="12556" width="12.42578125" style="143" bestFit="1" customWidth="1"/>
    <col min="12557" max="12800" width="9.140625" style="143"/>
    <col min="12801" max="12801" width="23" style="143" customWidth="1"/>
    <col min="12802" max="12802" width="41.140625" style="143" customWidth="1"/>
    <col min="12803" max="12803" width="54.7109375" style="143" customWidth="1"/>
    <col min="12804" max="12804" width="17.28515625" style="143" bestFit="1" customWidth="1"/>
    <col min="12805" max="12805" width="20.140625" style="143" bestFit="1" customWidth="1"/>
    <col min="12806" max="12806" width="16.5703125" style="143" customWidth="1"/>
    <col min="12807" max="12807" width="18.7109375" style="143" bestFit="1" customWidth="1"/>
    <col min="12808" max="12808" width="17.5703125" style="143" customWidth="1"/>
    <col min="12809" max="12809" width="15.5703125" style="143" bestFit="1" customWidth="1"/>
    <col min="12810" max="12810" width="13.5703125" style="143" customWidth="1"/>
    <col min="12811" max="12811" width="20.5703125" style="143" customWidth="1"/>
    <col min="12812" max="12812" width="12.42578125" style="143" bestFit="1" customWidth="1"/>
    <col min="12813" max="13056" width="9.140625" style="143"/>
    <col min="13057" max="13057" width="23" style="143" customWidth="1"/>
    <col min="13058" max="13058" width="41.140625" style="143" customWidth="1"/>
    <col min="13059" max="13059" width="54.7109375" style="143" customWidth="1"/>
    <col min="13060" max="13060" width="17.28515625" style="143" bestFit="1" customWidth="1"/>
    <col min="13061" max="13061" width="20.140625" style="143" bestFit="1" customWidth="1"/>
    <col min="13062" max="13062" width="16.5703125" style="143" customWidth="1"/>
    <col min="13063" max="13063" width="18.7109375" style="143" bestFit="1" customWidth="1"/>
    <col min="13064" max="13064" width="17.5703125" style="143" customWidth="1"/>
    <col min="13065" max="13065" width="15.5703125" style="143" bestFit="1" customWidth="1"/>
    <col min="13066" max="13066" width="13.5703125" style="143" customWidth="1"/>
    <col min="13067" max="13067" width="20.5703125" style="143" customWidth="1"/>
    <col min="13068" max="13068" width="12.42578125" style="143" bestFit="1" customWidth="1"/>
    <col min="13069" max="13312" width="9.140625" style="143"/>
    <col min="13313" max="13313" width="23" style="143" customWidth="1"/>
    <col min="13314" max="13314" width="41.140625" style="143" customWidth="1"/>
    <col min="13315" max="13315" width="54.7109375" style="143" customWidth="1"/>
    <col min="13316" max="13316" width="17.28515625" style="143" bestFit="1" customWidth="1"/>
    <col min="13317" max="13317" width="20.140625" style="143" bestFit="1" customWidth="1"/>
    <col min="13318" max="13318" width="16.5703125" style="143" customWidth="1"/>
    <col min="13319" max="13319" width="18.7109375" style="143" bestFit="1" customWidth="1"/>
    <col min="13320" max="13320" width="17.5703125" style="143" customWidth="1"/>
    <col min="13321" max="13321" width="15.5703125" style="143" bestFit="1" customWidth="1"/>
    <col min="13322" max="13322" width="13.5703125" style="143" customWidth="1"/>
    <col min="13323" max="13323" width="20.5703125" style="143" customWidth="1"/>
    <col min="13324" max="13324" width="12.42578125" style="143" bestFit="1" customWidth="1"/>
    <col min="13325" max="13568" width="9.140625" style="143"/>
    <col min="13569" max="13569" width="23" style="143" customWidth="1"/>
    <col min="13570" max="13570" width="41.140625" style="143" customWidth="1"/>
    <col min="13571" max="13571" width="54.7109375" style="143" customWidth="1"/>
    <col min="13572" max="13572" width="17.28515625" style="143" bestFit="1" customWidth="1"/>
    <col min="13573" max="13573" width="20.140625" style="143" bestFit="1" customWidth="1"/>
    <col min="13574" max="13574" width="16.5703125" style="143" customWidth="1"/>
    <col min="13575" max="13575" width="18.7109375" style="143" bestFit="1" customWidth="1"/>
    <col min="13576" max="13576" width="17.5703125" style="143" customWidth="1"/>
    <col min="13577" max="13577" width="15.5703125" style="143" bestFit="1" customWidth="1"/>
    <col min="13578" max="13578" width="13.5703125" style="143" customWidth="1"/>
    <col min="13579" max="13579" width="20.5703125" style="143" customWidth="1"/>
    <col min="13580" max="13580" width="12.42578125" style="143" bestFit="1" customWidth="1"/>
    <col min="13581" max="13824" width="9.140625" style="143"/>
    <col min="13825" max="13825" width="23" style="143" customWidth="1"/>
    <col min="13826" max="13826" width="41.140625" style="143" customWidth="1"/>
    <col min="13827" max="13827" width="54.7109375" style="143" customWidth="1"/>
    <col min="13828" max="13828" width="17.28515625" style="143" bestFit="1" customWidth="1"/>
    <col min="13829" max="13829" width="20.140625" style="143" bestFit="1" customWidth="1"/>
    <col min="13830" max="13830" width="16.5703125" style="143" customWidth="1"/>
    <col min="13831" max="13831" width="18.7109375" style="143" bestFit="1" customWidth="1"/>
    <col min="13832" max="13832" width="17.5703125" style="143" customWidth="1"/>
    <col min="13833" max="13833" width="15.5703125" style="143" bestFit="1" customWidth="1"/>
    <col min="13834" max="13834" width="13.5703125" style="143" customWidth="1"/>
    <col min="13835" max="13835" width="20.5703125" style="143" customWidth="1"/>
    <col min="13836" max="13836" width="12.42578125" style="143" bestFit="1" customWidth="1"/>
    <col min="13837" max="14080" width="9.140625" style="143"/>
    <col min="14081" max="14081" width="23" style="143" customWidth="1"/>
    <col min="14082" max="14082" width="41.140625" style="143" customWidth="1"/>
    <col min="14083" max="14083" width="54.7109375" style="143" customWidth="1"/>
    <col min="14084" max="14084" width="17.28515625" style="143" bestFit="1" customWidth="1"/>
    <col min="14085" max="14085" width="20.140625" style="143" bestFit="1" customWidth="1"/>
    <col min="14086" max="14086" width="16.5703125" style="143" customWidth="1"/>
    <col min="14087" max="14087" width="18.7109375" style="143" bestFit="1" customWidth="1"/>
    <col min="14088" max="14088" width="17.5703125" style="143" customWidth="1"/>
    <col min="14089" max="14089" width="15.5703125" style="143" bestFit="1" customWidth="1"/>
    <col min="14090" max="14090" width="13.5703125" style="143" customWidth="1"/>
    <col min="14091" max="14091" width="20.5703125" style="143" customWidth="1"/>
    <col min="14092" max="14092" width="12.42578125" style="143" bestFit="1" customWidth="1"/>
    <col min="14093" max="14336" width="9.140625" style="143"/>
    <col min="14337" max="14337" width="23" style="143" customWidth="1"/>
    <col min="14338" max="14338" width="41.140625" style="143" customWidth="1"/>
    <col min="14339" max="14339" width="54.7109375" style="143" customWidth="1"/>
    <col min="14340" max="14340" width="17.28515625" style="143" bestFit="1" customWidth="1"/>
    <col min="14341" max="14341" width="20.140625" style="143" bestFit="1" customWidth="1"/>
    <col min="14342" max="14342" width="16.5703125" style="143" customWidth="1"/>
    <col min="14343" max="14343" width="18.7109375" style="143" bestFit="1" customWidth="1"/>
    <col min="14344" max="14344" width="17.5703125" style="143" customWidth="1"/>
    <col min="14345" max="14345" width="15.5703125" style="143" bestFit="1" customWidth="1"/>
    <col min="14346" max="14346" width="13.5703125" style="143" customWidth="1"/>
    <col min="14347" max="14347" width="20.5703125" style="143" customWidth="1"/>
    <col min="14348" max="14348" width="12.42578125" style="143" bestFit="1" customWidth="1"/>
    <col min="14349" max="14592" width="9.140625" style="143"/>
    <col min="14593" max="14593" width="23" style="143" customWidth="1"/>
    <col min="14594" max="14594" width="41.140625" style="143" customWidth="1"/>
    <col min="14595" max="14595" width="54.7109375" style="143" customWidth="1"/>
    <col min="14596" max="14596" width="17.28515625" style="143" bestFit="1" customWidth="1"/>
    <col min="14597" max="14597" width="20.140625" style="143" bestFit="1" customWidth="1"/>
    <col min="14598" max="14598" width="16.5703125" style="143" customWidth="1"/>
    <col min="14599" max="14599" width="18.7109375" style="143" bestFit="1" customWidth="1"/>
    <col min="14600" max="14600" width="17.5703125" style="143" customWidth="1"/>
    <col min="14601" max="14601" width="15.5703125" style="143" bestFit="1" customWidth="1"/>
    <col min="14602" max="14602" width="13.5703125" style="143" customWidth="1"/>
    <col min="14603" max="14603" width="20.5703125" style="143" customWidth="1"/>
    <col min="14604" max="14604" width="12.42578125" style="143" bestFit="1" customWidth="1"/>
    <col min="14605" max="14848" width="9.140625" style="143"/>
    <col min="14849" max="14849" width="23" style="143" customWidth="1"/>
    <col min="14850" max="14850" width="41.140625" style="143" customWidth="1"/>
    <col min="14851" max="14851" width="54.7109375" style="143" customWidth="1"/>
    <col min="14852" max="14852" width="17.28515625" style="143" bestFit="1" customWidth="1"/>
    <col min="14853" max="14853" width="20.140625" style="143" bestFit="1" customWidth="1"/>
    <col min="14854" max="14854" width="16.5703125" style="143" customWidth="1"/>
    <col min="14855" max="14855" width="18.7109375" style="143" bestFit="1" customWidth="1"/>
    <col min="14856" max="14856" width="17.5703125" style="143" customWidth="1"/>
    <col min="14857" max="14857" width="15.5703125" style="143" bestFit="1" customWidth="1"/>
    <col min="14858" max="14858" width="13.5703125" style="143" customWidth="1"/>
    <col min="14859" max="14859" width="20.5703125" style="143" customWidth="1"/>
    <col min="14860" max="14860" width="12.42578125" style="143" bestFit="1" customWidth="1"/>
    <col min="14861" max="15104" width="9.140625" style="143"/>
    <col min="15105" max="15105" width="23" style="143" customWidth="1"/>
    <col min="15106" max="15106" width="41.140625" style="143" customWidth="1"/>
    <col min="15107" max="15107" width="54.7109375" style="143" customWidth="1"/>
    <col min="15108" max="15108" width="17.28515625" style="143" bestFit="1" customWidth="1"/>
    <col min="15109" max="15109" width="20.140625" style="143" bestFit="1" customWidth="1"/>
    <col min="15110" max="15110" width="16.5703125" style="143" customWidth="1"/>
    <col min="15111" max="15111" width="18.7109375" style="143" bestFit="1" customWidth="1"/>
    <col min="15112" max="15112" width="17.5703125" style="143" customWidth="1"/>
    <col min="15113" max="15113" width="15.5703125" style="143" bestFit="1" customWidth="1"/>
    <col min="15114" max="15114" width="13.5703125" style="143" customWidth="1"/>
    <col min="15115" max="15115" width="20.5703125" style="143" customWidth="1"/>
    <col min="15116" max="15116" width="12.42578125" style="143" bestFit="1" customWidth="1"/>
    <col min="15117" max="15360" width="9.140625" style="143"/>
    <col min="15361" max="15361" width="23" style="143" customWidth="1"/>
    <col min="15362" max="15362" width="41.140625" style="143" customWidth="1"/>
    <col min="15363" max="15363" width="54.7109375" style="143" customWidth="1"/>
    <col min="15364" max="15364" width="17.28515625" style="143" bestFit="1" customWidth="1"/>
    <col min="15365" max="15365" width="20.140625" style="143" bestFit="1" customWidth="1"/>
    <col min="15366" max="15366" width="16.5703125" style="143" customWidth="1"/>
    <col min="15367" max="15367" width="18.7109375" style="143" bestFit="1" customWidth="1"/>
    <col min="15368" max="15368" width="17.5703125" style="143" customWidth="1"/>
    <col min="15369" max="15369" width="15.5703125" style="143" bestFit="1" customWidth="1"/>
    <col min="15370" max="15370" width="13.5703125" style="143" customWidth="1"/>
    <col min="15371" max="15371" width="20.5703125" style="143" customWidth="1"/>
    <col min="15372" max="15372" width="12.42578125" style="143" bestFit="1" customWidth="1"/>
    <col min="15373" max="15616" width="9.140625" style="143"/>
    <col min="15617" max="15617" width="23" style="143" customWidth="1"/>
    <col min="15618" max="15618" width="41.140625" style="143" customWidth="1"/>
    <col min="15619" max="15619" width="54.7109375" style="143" customWidth="1"/>
    <col min="15620" max="15620" width="17.28515625" style="143" bestFit="1" customWidth="1"/>
    <col min="15621" max="15621" width="20.140625" style="143" bestFit="1" customWidth="1"/>
    <col min="15622" max="15622" width="16.5703125" style="143" customWidth="1"/>
    <col min="15623" max="15623" width="18.7109375" style="143" bestFit="1" customWidth="1"/>
    <col min="15624" max="15624" width="17.5703125" style="143" customWidth="1"/>
    <col min="15625" max="15625" width="15.5703125" style="143" bestFit="1" customWidth="1"/>
    <col min="15626" max="15626" width="13.5703125" style="143" customWidth="1"/>
    <col min="15627" max="15627" width="20.5703125" style="143" customWidth="1"/>
    <col min="15628" max="15628" width="12.42578125" style="143" bestFit="1" customWidth="1"/>
    <col min="15629" max="15872" width="9.140625" style="143"/>
    <col min="15873" max="15873" width="23" style="143" customWidth="1"/>
    <col min="15874" max="15874" width="41.140625" style="143" customWidth="1"/>
    <col min="15875" max="15875" width="54.7109375" style="143" customWidth="1"/>
    <col min="15876" max="15876" width="17.28515625" style="143" bestFit="1" customWidth="1"/>
    <col min="15877" max="15877" width="20.140625" style="143" bestFit="1" customWidth="1"/>
    <col min="15878" max="15878" width="16.5703125" style="143" customWidth="1"/>
    <col min="15879" max="15879" width="18.7109375" style="143" bestFit="1" customWidth="1"/>
    <col min="15880" max="15880" width="17.5703125" style="143" customWidth="1"/>
    <col min="15881" max="15881" width="15.5703125" style="143" bestFit="1" customWidth="1"/>
    <col min="15882" max="15882" width="13.5703125" style="143" customWidth="1"/>
    <col min="15883" max="15883" width="20.5703125" style="143" customWidth="1"/>
    <col min="15884" max="15884" width="12.42578125" style="143" bestFit="1" customWidth="1"/>
    <col min="15885" max="16128" width="9.140625" style="143"/>
    <col min="16129" max="16129" width="23" style="143" customWidth="1"/>
    <col min="16130" max="16130" width="41.140625" style="143" customWidth="1"/>
    <col min="16131" max="16131" width="54.7109375" style="143" customWidth="1"/>
    <col min="16132" max="16132" width="17.28515625" style="143" bestFit="1" customWidth="1"/>
    <col min="16133" max="16133" width="20.140625" style="143" bestFit="1" customWidth="1"/>
    <col min="16134" max="16134" width="16.5703125" style="143" customWidth="1"/>
    <col min="16135" max="16135" width="18.7109375" style="143" bestFit="1" customWidth="1"/>
    <col min="16136" max="16136" width="17.5703125" style="143" customWidth="1"/>
    <col min="16137" max="16137" width="15.5703125" style="143" bestFit="1" customWidth="1"/>
    <col min="16138" max="16138" width="13.5703125" style="143" customWidth="1"/>
    <col min="16139" max="16139" width="20.5703125" style="143" customWidth="1"/>
    <col min="16140" max="16140" width="12.42578125" style="143" bestFit="1" customWidth="1"/>
    <col min="16141" max="16384" width="9.140625" style="143"/>
  </cols>
  <sheetData>
    <row r="1" spans="2:7" x14ac:dyDescent="0.2">
      <c r="G1" s="188" t="s">
        <v>1036</v>
      </c>
    </row>
    <row r="2" spans="2:7" x14ac:dyDescent="0.2">
      <c r="B2" s="316" t="s">
        <v>1117</v>
      </c>
      <c r="C2" s="316"/>
      <c r="D2" s="316"/>
      <c r="E2" s="316"/>
      <c r="F2" s="316"/>
      <c r="G2" s="316"/>
    </row>
    <row r="3" spans="2:7" x14ac:dyDescent="0.2">
      <c r="B3" s="316" t="s">
        <v>1118</v>
      </c>
      <c r="C3" s="316"/>
      <c r="D3" s="316"/>
      <c r="E3" s="316"/>
      <c r="F3" s="316"/>
      <c r="G3" s="316"/>
    </row>
    <row r="4" spans="2:7" x14ac:dyDescent="0.2">
      <c r="B4" s="188"/>
      <c r="C4" s="188"/>
      <c r="D4" s="188"/>
      <c r="E4" s="188"/>
      <c r="F4" s="188"/>
      <c r="G4" s="188"/>
    </row>
    <row r="5" spans="2:7" x14ac:dyDescent="0.2">
      <c r="B5" s="316" t="s">
        <v>1119</v>
      </c>
      <c r="C5" s="316"/>
      <c r="D5" s="316"/>
      <c r="E5" s="316"/>
      <c r="F5" s="316"/>
      <c r="G5" s="316"/>
    </row>
    <row r="6" spans="2:7" x14ac:dyDescent="0.2">
      <c r="B6" s="188" t="s">
        <v>1120</v>
      </c>
    </row>
    <row r="8" spans="2:7" ht="25.5" x14ac:dyDescent="0.2">
      <c r="B8" s="189" t="s">
        <v>1121</v>
      </c>
      <c r="C8" s="189" t="s">
        <v>1122</v>
      </c>
      <c r="D8" s="189" t="s">
        <v>1123</v>
      </c>
      <c r="E8" s="190" t="s">
        <v>1124</v>
      </c>
      <c r="F8" s="190" t="s">
        <v>1125</v>
      </c>
      <c r="G8" s="190" t="s">
        <v>1126</v>
      </c>
    </row>
    <row r="9" spans="2:7" x14ac:dyDescent="0.2">
      <c r="B9" s="191" t="s">
        <v>1127</v>
      </c>
      <c r="C9" s="191" t="s">
        <v>951</v>
      </c>
      <c r="D9" s="192" t="s">
        <v>1128</v>
      </c>
      <c r="E9" s="193">
        <v>812.62</v>
      </c>
      <c r="F9" s="194">
        <v>827.4</v>
      </c>
      <c r="G9" s="195">
        <v>95.549903999999998</v>
      </c>
    </row>
    <row r="10" spans="2:7" x14ac:dyDescent="0.2">
      <c r="B10" s="191" t="s">
        <v>1127</v>
      </c>
      <c r="C10" s="191" t="s">
        <v>940</v>
      </c>
      <c r="D10" s="192" t="s">
        <v>1128</v>
      </c>
      <c r="E10" s="193">
        <v>514.79</v>
      </c>
      <c r="F10" s="194">
        <v>535.95000000000005</v>
      </c>
      <c r="G10" s="195">
        <v>12.587211000000002</v>
      </c>
    </row>
    <row r="11" spans="2:7" x14ac:dyDescent="0.2">
      <c r="B11" s="191" t="s">
        <v>1127</v>
      </c>
      <c r="C11" s="191" t="s">
        <v>946</v>
      </c>
      <c r="D11" s="192" t="s">
        <v>1128</v>
      </c>
      <c r="E11" s="193">
        <v>3158.22</v>
      </c>
      <c r="F11" s="194">
        <v>3119</v>
      </c>
      <c r="G11" s="195">
        <v>40.009549999999997</v>
      </c>
    </row>
    <row r="12" spans="2:7" x14ac:dyDescent="0.2">
      <c r="B12" s="191" t="s">
        <v>1127</v>
      </c>
      <c r="C12" s="196" t="s">
        <v>941</v>
      </c>
      <c r="D12" s="192" t="s">
        <v>1128</v>
      </c>
      <c r="E12" s="193">
        <v>530.07000000000005</v>
      </c>
      <c r="F12" s="194">
        <v>539.85</v>
      </c>
      <c r="G12" s="195">
        <v>12.769322499999999</v>
      </c>
    </row>
    <row r="13" spans="2:7" x14ac:dyDescent="0.2">
      <c r="B13" s="191" t="s">
        <v>1127</v>
      </c>
      <c r="C13" s="197" t="s">
        <v>950</v>
      </c>
      <c r="D13" s="192" t="s">
        <v>1128</v>
      </c>
      <c r="E13" s="193">
        <v>830.14</v>
      </c>
      <c r="F13" s="194">
        <v>909.25</v>
      </c>
      <c r="G13" s="195">
        <v>71.548154999999994</v>
      </c>
    </row>
    <row r="14" spans="2:7" x14ac:dyDescent="0.2">
      <c r="B14" s="191" t="s">
        <v>1127</v>
      </c>
      <c r="C14" s="197" t="s">
        <v>952</v>
      </c>
      <c r="D14" s="192" t="s">
        <v>1128</v>
      </c>
      <c r="E14" s="193">
        <v>7369.37</v>
      </c>
      <c r="F14" s="194">
        <v>7183.7</v>
      </c>
      <c r="G14" s="195">
        <v>102.037345</v>
      </c>
    </row>
    <row r="15" spans="2:7" x14ac:dyDescent="0.2">
      <c r="B15" s="191" t="s">
        <v>1127</v>
      </c>
      <c r="C15" s="197" t="s">
        <v>938</v>
      </c>
      <c r="D15" s="192" t="s">
        <v>1128</v>
      </c>
      <c r="E15" s="193">
        <v>80</v>
      </c>
      <c r="F15" s="194">
        <v>81.599999999999994</v>
      </c>
      <c r="G15" s="195">
        <v>1.8826094</v>
      </c>
    </row>
    <row r="16" spans="2:7" x14ac:dyDescent="0.2">
      <c r="B16" s="191" t="s">
        <v>1127</v>
      </c>
      <c r="C16" s="197" t="s">
        <v>954</v>
      </c>
      <c r="D16" s="192" t="s">
        <v>1128</v>
      </c>
      <c r="E16" s="193">
        <v>1455.68</v>
      </c>
      <c r="F16" s="194">
        <v>1503.25</v>
      </c>
      <c r="G16" s="195">
        <v>84.676844799999998</v>
      </c>
    </row>
    <row r="17" spans="2:7" x14ac:dyDescent="0.2">
      <c r="B17" s="191" t="s">
        <v>1127</v>
      </c>
      <c r="C17" s="197" t="s">
        <v>947</v>
      </c>
      <c r="D17" s="192" t="s">
        <v>1128</v>
      </c>
      <c r="E17" s="193">
        <v>890</v>
      </c>
      <c r="F17" s="194">
        <v>913.65</v>
      </c>
      <c r="G17" s="195">
        <v>42.074533799999998</v>
      </c>
    </row>
    <row r="18" spans="2:7" x14ac:dyDescent="0.2">
      <c r="B18" s="191" t="s">
        <v>1127</v>
      </c>
      <c r="C18" s="197" t="s">
        <v>945</v>
      </c>
      <c r="D18" s="192" t="s">
        <v>1128</v>
      </c>
      <c r="E18" s="193">
        <v>1877.88</v>
      </c>
      <c r="F18" s="194">
        <v>1907.15</v>
      </c>
      <c r="G18" s="195">
        <v>32.438303000000005</v>
      </c>
    </row>
    <row r="19" spans="2:7" x14ac:dyDescent="0.2">
      <c r="B19" s="191" t="s">
        <v>1127</v>
      </c>
      <c r="C19" s="197" t="s">
        <v>949</v>
      </c>
      <c r="D19" s="192" t="s">
        <v>1128</v>
      </c>
      <c r="E19" s="193">
        <v>1917.61</v>
      </c>
      <c r="F19" s="194">
        <v>2034.5</v>
      </c>
      <c r="G19" s="195">
        <v>49.737614999999998</v>
      </c>
    </row>
    <row r="20" spans="2:7" x14ac:dyDescent="0.2">
      <c r="B20" s="191" t="s">
        <v>1127</v>
      </c>
      <c r="C20" s="197" t="s">
        <v>948</v>
      </c>
      <c r="D20" s="192" t="s">
        <v>1128</v>
      </c>
      <c r="E20" s="193">
        <v>8738.58</v>
      </c>
      <c r="F20" s="194">
        <v>9553.65</v>
      </c>
      <c r="G20" s="195">
        <v>46.074945</v>
      </c>
    </row>
    <row r="21" spans="2:7" x14ac:dyDescent="0.2">
      <c r="B21" s="191" t="s">
        <v>1127</v>
      </c>
      <c r="C21" s="197" t="s">
        <v>943</v>
      </c>
      <c r="D21" s="192" t="s">
        <v>1128</v>
      </c>
      <c r="E21" s="193">
        <v>2915.96</v>
      </c>
      <c r="F21" s="194">
        <v>2944</v>
      </c>
      <c r="G21" s="195">
        <v>19.517029999999998</v>
      </c>
    </row>
    <row r="22" spans="2:7" x14ac:dyDescent="0.2">
      <c r="B22" s="191" t="s">
        <v>1127</v>
      </c>
      <c r="C22" s="197" t="s">
        <v>944</v>
      </c>
      <c r="D22" s="192" t="s">
        <v>1128</v>
      </c>
      <c r="E22" s="193">
        <v>979.85</v>
      </c>
      <c r="F22" s="194">
        <v>1022.5</v>
      </c>
      <c r="G22" s="195">
        <v>26.515492500000001</v>
      </c>
    </row>
    <row r="23" spans="2:7" x14ac:dyDescent="0.2">
      <c r="B23" s="191" t="s">
        <v>1127</v>
      </c>
      <c r="C23" s="197" t="s">
        <v>942</v>
      </c>
      <c r="D23" s="192" t="s">
        <v>1128</v>
      </c>
      <c r="E23" s="193">
        <v>385.68</v>
      </c>
      <c r="F23" s="194">
        <v>387.8</v>
      </c>
      <c r="G23" s="195">
        <v>18.944379999999999</v>
      </c>
    </row>
    <row r="24" spans="2:7" x14ac:dyDescent="0.2">
      <c r="B24" s="191" t="s">
        <v>1127</v>
      </c>
      <c r="C24" s="197" t="s">
        <v>953</v>
      </c>
      <c r="D24" s="192" t="s">
        <v>1128</v>
      </c>
      <c r="E24" s="193">
        <v>266.55</v>
      </c>
      <c r="F24" s="194">
        <v>264</v>
      </c>
      <c r="G24" s="195">
        <v>146.57400000000001</v>
      </c>
    </row>
    <row r="25" spans="2:7" x14ac:dyDescent="0.2">
      <c r="B25" s="198" t="s">
        <v>1127</v>
      </c>
      <c r="C25" s="199" t="s">
        <v>939</v>
      </c>
      <c r="D25" s="192" t="s">
        <v>1128</v>
      </c>
      <c r="E25" s="193">
        <v>417.45</v>
      </c>
      <c r="F25" s="200">
        <v>435.9</v>
      </c>
      <c r="G25" s="195">
        <v>8.8847820000000013</v>
      </c>
    </row>
    <row r="26" spans="2:7" x14ac:dyDescent="0.2">
      <c r="B26" s="191"/>
      <c r="C26" s="201"/>
      <c r="D26" s="192"/>
      <c r="E26" s="202"/>
      <c r="F26" s="202"/>
      <c r="G26" s="195"/>
    </row>
    <row r="27" spans="2:7" x14ac:dyDescent="0.2">
      <c r="B27" s="191" t="s">
        <v>840</v>
      </c>
      <c r="C27" s="197" t="s">
        <v>951</v>
      </c>
      <c r="D27" s="192" t="s">
        <v>1128</v>
      </c>
      <c r="E27" s="202">
        <v>811.74</v>
      </c>
      <c r="F27" s="194">
        <v>827.4</v>
      </c>
      <c r="G27" s="195">
        <v>286.64971200000002</v>
      </c>
    </row>
    <row r="28" spans="2:7" x14ac:dyDescent="0.2">
      <c r="B28" s="191" t="s">
        <v>840</v>
      </c>
      <c r="C28" s="197" t="s">
        <v>946</v>
      </c>
      <c r="D28" s="192" t="s">
        <v>1128</v>
      </c>
      <c r="E28" s="202">
        <v>3064.22</v>
      </c>
      <c r="F28" s="194">
        <v>3119</v>
      </c>
      <c r="G28" s="195">
        <v>174.89888999999999</v>
      </c>
    </row>
    <row r="29" spans="2:7" x14ac:dyDescent="0.2">
      <c r="B29" s="191" t="s">
        <v>840</v>
      </c>
      <c r="C29" s="197" t="s">
        <v>950</v>
      </c>
      <c r="D29" s="192" t="s">
        <v>1128</v>
      </c>
      <c r="E29" s="202">
        <v>891.06</v>
      </c>
      <c r="F29" s="194">
        <v>909.25</v>
      </c>
      <c r="G29" s="195">
        <v>66.932145000000006</v>
      </c>
    </row>
    <row r="30" spans="2:7" x14ac:dyDescent="0.2">
      <c r="B30" s="191" t="s">
        <v>840</v>
      </c>
      <c r="C30" s="197" t="s">
        <v>952</v>
      </c>
      <c r="D30" s="192" t="s">
        <v>1128</v>
      </c>
      <c r="E30" s="202">
        <v>7086.43</v>
      </c>
      <c r="F30" s="194">
        <v>7183.7</v>
      </c>
      <c r="G30" s="195">
        <v>14.2852283</v>
      </c>
    </row>
    <row r="31" spans="2:7" x14ac:dyDescent="0.2">
      <c r="B31" s="191" t="s">
        <v>840</v>
      </c>
      <c r="C31" s="197" t="s">
        <v>956</v>
      </c>
      <c r="D31" s="192" t="s">
        <v>1128</v>
      </c>
      <c r="E31" s="202">
        <v>371.43</v>
      </c>
      <c r="F31" s="194">
        <v>387.9</v>
      </c>
      <c r="G31" s="195">
        <v>11.199666100000002</v>
      </c>
    </row>
    <row r="32" spans="2:7" x14ac:dyDescent="0.2">
      <c r="B32" s="191" t="s">
        <v>840</v>
      </c>
      <c r="C32" s="197" t="s">
        <v>972</v>
      </c>
      <c r="D32" s="192" t="s">
        <v>1128</v>
      </c>
      <c r="E32" s="202">
        <v>2386.48</v>
      </c>
      <c r="F32" s="194">
        <v>2479.25</v>
      </c>
      <c r="G32" s="195">
        <v>304.7876321</v>
      </c>
    </row>
    <row r="33" spans="2:8" x14ac:dyDescent="0.2">
      <c r="B33" s="191" t="s">
        <v>840</v>
      </c>
      <c r="C33" s="197" t="s">
        <v>954</v>
      </c>
      <c r="D33" s="192" t="s">
        <v>1128</v>
      </c>
      <c r="E33" s="202">
        <v>1461.85</v>
      </c>
      <c r="F33" s="194">
        <v>1503.25</v>
      </c>
      <c r="G33" s="195">
        <v>630.69649920000006</v>
      </c>
    </row>
    <row r="34" spans="2:8" x14ac:dyDescent="0.2">
      <c r="B34" s="191" t="s">
        <v>840</v>
      </c>
      <c r="C34" s="197" t="s">
        <v>968</v>
      </c>
      <c r="D34" s="192" t="s">
        <v>1128</v>
      </c>
      <c r="E34" s="202">
        <v>541.34</v>
      </c>
      <c r="F34" s="194">
        <v>542.6</v>
      </c>
      <c r="G34" s="195">
        <v>131.42972700000001</v>
      </c>
    </row>
    <row r="35" spans="2:8" x14ac:dyDescent="0.2">
      <c r="B35" s="191" t="s">
        <v>840</v>
      </c>
      <c r="C35" s="197" t="s">
        <v>971</v>
      </c>
      <c r="D35" s="192" t="s">
        <v>1128</v>
      </c>
      <c r="E35" s="202">
        <v>400.72</v>
      </c>
      <c r="F35" s="194">
        <v>406.5</v>
      </c>
      <c r="G35" s="195">
        <v>417.2457096</v>
      </c>
    </row>
    <row r="36" spans="2:8" x14ac:dyDescent="0.2">
      <c r="B36" s="191" t="s">
        <v>840</v>
      </c>
      <c r="C36" s="197" t="s">
        <v>965</v>
      </c>
      <c r="D36" s="192" t="s">
        <v>1128</v>
      </c>
      <c r="E36" s="202">
        <v>2501.4699999999998</v>
      </c>
      <c r="F36" s="194">
        <v>2547.9</v>
      </c>
      <c r="G36" s="195">
        <v>77.26746150000001</v>
      </c>
    </row>
    <row r="37" spans="2:8" x14ac:dyDescent="0.2">
      <c r="B37" s="191" t="s">
        <v>840</v>
      </c>
      <c r="C37" s="197" t="s">
        <v>957</v>
      </c>
      <c r="D37" s="192" t="s">
        <v>1128</v>
      </c>
      <c r="E37" s="202">
        <v>212.11</v>
      </c>
      <c r="F37" s="194">
        <v>214.75</v>
      </c>
      <c r="G37" s="195">
        <v>10.1295904</v>
      </c>
    </row>
    <row r="38" spans="2:8" x14ac:dyDescent="0.2">
      <c r="B38" s="191" t="s">
        <v>840</v>
      </c>
      <c r="C38" s="197" t="s">
        <v>964</v>
      </c>
      <c r="D38" s="192" t="s">
        <v>1128</v>
      </c>
      <c r="E38" s="202">
        <v>128.34</v>
      </c>
      <c r="F38" s="194">
        <v>130.15</v>
      </c>
      <c r="G38" s="195">
        <v>135.49474000000001</v>
      </c>
      <c r="H38" s="203"/>
    </row>
    <row r="39" spans="2:8" ht="18" customHeight="1" x14ac:dyDescent="0.2">
      <c r="B39" s="191" t="s">
        <v>840</v>
      </c>
      <c r="C39" s="197" t="s">
        <v>947</v>
      </c>
      <c r="D39" s="192" t="s">
        <v>1128</v>
      </c>
      <c r="E39" s="202">
        <v>911.95</v>
      </c>
      <c r="F39" s="194">
        <v>913.65</v>
      </c>
      <c r="G39" s="195">
        <v>233.74741</v>
      </c>
      <c r="H39" s="203"/>
    </row>
    <row r="40" spans="2:8" x14ac:dyDescent="0.2">
      <c r="B40" s="191" t="s">
        <v>840</v>
      </c>
      <c r="C40" s="197" t="s">
        <v>973</v>
      </c>
      <c r="D40" s="192" t="s">
        <v>1128</v>
      </c>
      <c r="E40" s="202">
        <v>1526.44</v>
      </c>
      <c r="F40" s="194">
        <v>1545.05</v>
      </c>
      <c r="G40" s="195">
        <v>597.90221359999998</v>
      </c>
      <c r="H40" s="203"/>
    </row>
    <row r="41" spans="2:8" x14ac:dyDescent="0.2">
      <c r="B41" s="191" t="s">
        <v>840</v>
      </c>
      <c r="C41" s="197" t="s">
        <v>962</v>
      </c>
      <c r="D41" s="192" t="s">
        <v>1128</v>
      </c>
      <c r="E41" s="202">
        <v>440.17</v>
      </c>
      <c r="F41" s="194">
        <v>461.15</v>
      </c>
      <c r="G41" s="195">
        <v>50.437577500000003</v>
      </c>
      <c r="H41" s="203"/>
    </row>
    <row r="42" spans="2:8" x14ac:dyDescent="0.2">
      <c r="B42" s="191" t="s">
        <v>840</v>
      </c>
      <c r="C42" s="197" t="s">
        <v>967</v>
      </c>
      <c r="D42" s="192" t="s">
        <v>1128</v>
      </c>
      <c r="E42" s="202">
        <v>404.46</v>
      </c>
      <c r="F42" s="194">
        <v>406.4</v>
      </c>
      <c r="G42" s="195">
        <v>140.84100000000001</v>
      </c>
      <c r="H42" s="203"/>
    </row>
    <row r="43" spans="2:8" x14ac:dyDescent="0.2">
      <c r="B43" s="191" t="s">
        <v>840</v>
      </c>
      <c r="C43" s="197" t="s">
        <v>958</v>
      </c>
      <c r="D43" s="192" t="s">
        <v>1128</v>
      </c>
      <c r="E43" s="202">
        <v>1350.16</v>
      </c>
      <c r="F43" s="194">
        <v>1353.4</v>
      </c>
      <c r="G43" s="195">
        <v>15.022504</v>
      </c>
      <c r="H43" s="203"/>
    </row>
    <row r="44" spans="2:8" x14ac:dyDescent="0.2">
      <c r="B44" s="191" t="s">
        <v>840</v>
      </c>
      <c r="C44" s="197" t="s">
        <v>969</v>
      </c>
      <c r="D44" s="192" t="s">
        <v>1128</v>
      </c>
      <c r="E44" s="202">
        <v>848.8</v>
      </c>
      <c r="F44" s="194">
        <v>900.4</v>
      </c>
      <c r="G44" s="195">
        <v>184.09479999999999</v>
      </c>
      <c r="H44" s="203"/>
    </row>
    <row r="45" spans="2:8" x14ac:dyDescent="0.2">
      <c r="B45" s="191" t="s">
        <v>840</v>
      </c>
      <c r="C45" s="197" t="s">
        <v>970</v>
      </c>
      <c r="D45" s="192" t="s">
        <v>1128</v>
      </c>
      <c r="E45" s="202">
        <v>4545.33</v>
      </c>
      <c r="F45" s="194">
        <v>4558.3999999999996</v>
      </c>
      <c r="G45" s="195">
        <v>238.62440000000001</v>
      </c>
      <c r="H45" s="203"/>
    </row>
    <row r="46" spans="2:8" x14ac:dyDescent="0.2">
      <c r="B46" s="191" t="s">
        <v>840</v>
      </c>
      <c r="C46" s="197" t="s">
        <v>974</v>
      </c>
      <c r="D46" s="192" t="s">
        <v>1128</v>
      </c>
      <c r="E46" s="202">
        <v>17742.349999999999</v>
      </c>
      <c r="F46" s="194">
        <v>18051.05</v>
      </c>
      <c r="G46" s="195">
        <v>998.55497500000001</v>
      </c>
      <c r="H46" s="203"/>
    </row>
    <row r="47" spans="2:8" x14ac:dyDescent="0.2">
      <c r="B47" s="191" t="s">
        <v>840</v>
      </c>
      <c r="C47" s="197" t="s">
        <v>955</v>
      </c>
      <c r="D47" s="192" t="s">
        <v>1128</v>
      </c>
      <c r="E47" s="202">
        <v>576.38</v>
      </c>
      <c r="F47" s="194">
        <v>576.4</v>
      </c>
      <c r="G47" s="195">
        <v>6.6734400000000003</v>
      </c>
      <c r="H47" s="203"/>
    </row>
    <row r="48" spans="2:8" x14ac:dyDescent="0.2">
      <c r="B48" s="191" t="s">
        <v>840</v>
      </c>
      <c r="C48" s="197" t="s">
        <v>944</v>
      </c>
      <c r="D48" s="192" t="s">
        <v>1128</v>
      </c>
      <c r="E48" s="202">
        <v>988.33</v>
      </c>
      <c r="F48" s="194">
        <v>1022.5</v>
      </c>
      <c r="G48" s="195">
        <v>37.879275</v>
      </c>
      <c r="H48" s="203"/>
    </row>
    <row r="49" spans="2:8" x14ac:dyDescent="0.2">
      <c r="B49" s="191" t="s">
        <v>840</v>
      </c>
      <c r="C49" s="197" t="s">
        <v>963</v>
      </c>
      <c r="D49" s="192" t="s">
        <v>1128</v>
      </c>
      <c r="E49" s="202">
        <v>412.18</v>
      </c>
      <c r="F49" s="194">
        <v>414.75</v>
      </c>
      <c r="G49" s="195">
        <v>61.580664000000006</v>
      </c>
      <c r="H49" s="203"/>
    </row>
    <row r="50" spans="2:8" x14ac:dyDescent="0.2">
      <c r="B50" s="191" t="s">
        <v>840</v>
      </c>
      <c r="C50" s="197" t="s">
        <v>961</v>
      </c>
      <c r="D50" s="192" t="s">
        <v>1128</v>
      </c>
      <c r="E50" s="202">
        <v>227.41</v>
      </c>
      <c r="F50" s="194">
        <v>226.8</v>
      </c>
      <c r="G50" s="195">
        <v>27.144145000000002</v>
      </c>
      <c r="H50" s="203"/>
    </row>
    <row r="51" spans="2:8" x14ac:dyDescent="0.2">
      <c r="B51" s="191" t="s">
        <v>840</v>
      </c>
      <c r="C51" s="197" t="s">
        <v>959</v>
      </c>
      <c r="D51" s="192" t="s">
        <v>1128</v>
      </c>
      <c r="E51" s="202">
        <v>1064.55</v>
      </c>
      <c r="F51" s="194">
        <v>1055.25</v>
      </c>
      <c r="G51" s="195">
        <v>18.098115</v>
      </c>
      <c r="H51" s="203"/>
    </row>
    <row r="52" spans="2:8" x14ac:dyDescent="0.2">
      <c r="B52" s="191" t="s">
        <v>840</v>
      </c>
      <c r="C52" s="197" t="s">
        <v>966</v>
      </c>
      <c r="D52" s="192" t="s">
        <v>1128</v>
      </c>
      <c r="E52" s="202">
        <v>6676.93</v>
      </c>
      <c r="F52" s="194">
        <v>6736.65</v>
      </c>
      <c r="G52" s="195">
        <v>87.492788800000014</v>
      </c>
      <c r="H52" s="203"/>
    </row>
    <row r="53" spans="2:8" x14ac:dyDescent="0.2">
      <c r="B53" s="191" t="s">
        <v>840</v>
      </c>
      <c r="C53" s="197" t="s">
        <v>960</v>
      </c>
      <c r="D53" s="192" t="s">
        <v>1128</v>
      </c>
      <c r="E53" s="202">
        <v>286.86</v>
      </c>
      <c r="F53" s="194">
        <v>282.5</v>
      </c>
      <c r="G53" s="195">
        <v>33.618338600000001</v>
      </c>
      <c r="H53" s="203"/>
    </row>
    <row r="54" spans="2:8" x14ac:dyDescent="0.2">
      <c r="B54" s="191" t="s">
        <v>840</v>
      </c>
      <c r="C54" s="197" t="s">
        <v>953</v>
      </c>
      <c r="D54" s="192" t="s">
        <v>1128</v>
      </c>
      <c r="E54" s="202">
        <v>264.33</v>
      </c>
      <c r="F54" s="194">
        <v>264</v>
      </c>
      <c r="G54" s="195">
        <v>117.25920000000001</v>
      </c>
      <c r="H54" s="203"/>
    </row>
    <row r="55" spans="2:8" x14ac:dyDescent="0.2">
      <c r="B55" s="191"/>
      <c r="C55" s="204"/>
      <c r="D55" s="192"/>
      <c r="E55" s="194"/>
      <c r="F55" s="194"/>
      <c r="G55" s="205"/>
      <c r="H55" s="206"/>
    </row>
    <row r="56" spans="2:8" x14ac:dyDescent="0.2">
      <c r="B56" s="191" t="s">
        <v>602</v>
      </c>
      <c r="C56" s="4" t="s">
        <v>940</v>
      </c>
      <c r="D56" s="192" t="s">
        <v>1128</v>
      </c>
      <c r="E56" s="202">
        <v>520.6</v>
      </c>
      <c r="F56" s="194">
        <v>535.95000000000005</v>
      </c>
      <c r="G56" s="205">
        <v>10.489342499999999</v>
      </c>
      <c r="H56" s="206"/>
    </row>
    <row r="57" spans="2:8" x14ac:dyDescent="0.2">
      <c r="B57" s="191" t="s">
        <v>602</v>
      </c>
      <c r="C57" s="4" t="s">
        <v>980</v>
      </c>
      <c r="D57" s="192" t="s">
        <v>1128</v>
      </c>
      <c r="E57" s="202">
        <v>145.76</v>
      </c>
      <c r="F57" s="194">
        <v>153.85</v>
      </c>
      <c r="G57" s="205">
        <v>81.080449999999999</v>
      </c>
      <c r="H57" s="206"/>
    </row>
    <row r="58" spans="2:8" x14ac:dyDescent="0.2">
      <c r="B58" s="191" t="s">
        <v>602</v>
      </c>
      <c r="C58" s="4" t="s">
        <v>946</v>
      </c>
      <c r="D58" s="192" t="s">
        <v>1128</v>
      </c>
      <c r="E58" s="202">
        <v>3123.26</v>
      </c>
      <c r="F58" s="194">
        <v>3119</v>
      </c>
      <c r="G58" s="205">
        <v>37.723289999999999</v>
      </c>
      <c r="H58" s="206"/>
    </row>
    <row r="59" spans="2:8" x14ac:dyDescent="0.2">
      <c r="B59" s="191" t="s">
        <v>602</v>
      </c>
      <c r="C59" s="4" t="s">
        <v>950</v>
      </c>
      <c r="D59" s="192" t="s">
        <v>1128</v>
      </c>
      <c r="E59" s="202">
        <v>903.34</v>
      </c>
      <c r="F59" s="194">
        <v>909.25</v>
      </c>
      <c r="G59" s="205">
        <v>66.932145000000006</v>
      </c>
      <c r="H59" s="206"/>
    </row>
    <row r="60" spans="2:8" x14ac:dyDescent="0.2">
      <c r="B60" s="191" t="s">
        <v>602</v>
      </c>
      <c r="C60" s="4" t="s">
        <v>952</v>
      </c>
      <c r="D60" s="192" t="s">
        <v>1128</v>
      </c>
      <c r="E60" s="202">
        <v>7159.72</v>
      </c>
      <c r="F60" s="194">
        <v>7183.7</v>
      </c>
      <c r="G60" s="195">
        <v>214.2784245</v>
      </c>
    </row>
    <row r="61" spans="2:8" x14ac:dyDescent="0.2">
      <c r="B61" s="191" t="s">
        <v>602</v>
      </c>
      <c r="C61" s="4" t="s">
        <v>977</v>
      </c>
      <c r="D61" s="192" t="s">
        <v>1128</v>
      </c>
      <c r="E61" s="202">
        <v>144.97</v>
      </c>
      <c r="F61" s="194">
        <v>148.55000000000001</v>
      </c>
      <c r="G61" s="195">
        <v>48.6218942</v>
      </c>
    </row>
    <row r="62" spans="2:8" x14ac:dyDescent="0.2">
      <c r="B62" s="191" t="s">
        <v>602</v>
      </c>
      <c r="C62" s="4" t="s">
        <v>975</v>
      </c>
      <c r="D62" s="192" t="s">
        <v>1128</v>
      </c>
      <c r="E62" s="202">
        <v>3592.8</v>
      </c>
      <c r="F62" s="194">
        <v>3627.05</v>
      </c>
      <c r="G62" s="195">
        <v>11.149161099999999</v>
      </c>
    </row>
    <row r="63" spans="2:8" x14ac:dyDescent="0.2">
      <c r="B63" s="191" t="s">
        <v>602</v>
      </c>
      <c r="C63" s="4" t="s">
        <v>972</v>
      </c>
      <c r="D63" s="192" t="s">
        <v>1128</v>
      </c>
      <c r="E63" s="202">
        <v>2402.23</v>
      </c>
      <c r="F63" s="194">
        <v>2479.25</v>
      </c>
      <c r="G63" s="195">
        <v>66.013911100000001</v>
      </c>
    </row>
    <row r="64" spans="2:8" x14ac:dyDescent="0.2">
      <c r="B64" s="191" t="s">
        <v>602</v>
      </c>
      <c r="C64" s="4" t="s">
        <v>954</v>
      </c>
      <c r="D64" s="192" t="s">
        <v>1128</v>
      </c>
      <c r="E64" s="202">
        <v>1467.93</v>
      </c>
      <c r="F64" s="194">
        <v>1503.25</v>
      </c>
      <c r="G64" s="195">
        <v>414.62455039999998</v>
      </c>
    </row>
    <row r="65" spans="2:7" x14ac:dyDescent="0.2">
      <c r="B65" s="191" t="s">
        <v>602</v>
      </c>
      <c r="C65" s="4" t="s">
        <v>968</v>
      </c>
      <c r="D65" s="192" t="s">
        <v>1128</v>
      </c>
      <c r="E65" s="202">
        <v>542.23</v>
      </c>
      <c r="F65" s="194">
        <v>542.6</v>
      </c>
      <c r="G65" s="195">
        <v>26.959944000000004</v>
      </c>
    </row>
    <row r="66" spans="2:7" x14ac:dyDescent="0.2">
      <c r="B66" s="191" t="s">
        <v>602</v>
      </c>
      <c r="C66" s="4" t="s">
        <v>965</v>
      </c>
      <c r="D66" s="192" t="s">
        <v>1128</v>
      </c>
      <c r="E66" s="202">
        <v>2507.9299999999998</v>
      </c>
      <c r="F66" s="194">
        <v>2547.9</v>
      </c>
      <c r="G66" s="195">
        <v>19.977803288888893</v>
      </c>
    </row>
    <row r="67" spans="2:7" x14ac:dyDescent="0.2">
      <c r="B67" s="191" t="s">
        <v>602</v>
      </c>
      <c r="C67" s="4" t="s">
        <v>957</v>
      </c>
      <c r="D67" s="192" t="s">
        <v>1128</v>
      </c>
      <c r="E67" s="202">
        <v>208.38</v>
      </c>
      <c r="F67" s="194">
        <v>214.75</v>
      </c>
      <c r="G67" s="195">
        <v>48.800502000000002</v>
      </c>
    </row>
    <row r="68" spans="2:7" x14ac:dyDescent="0.2">
      <c r="B68" s="191" t="s">
        <v>602</v>
      </c>
      <c r="C68" s="4" t="s">
        <v>947</v>
      </c>
      <c r="D68" s="192" t="s">
        <v>1128</v>
      </c>
      <c r="E68" s="202">
        <v>939.45</v>
      </c>
      <c r="F68" s="194">
        <v>913.65</v>
      </c>
      <c r="G68" s="195">
        <v>334.25879629999997</v>
      </c>
    </row>
    <row r="69" spans="2:7" x14ac:dyDescent="0.2">
      <c r="B69" s="191" t="s">
        <v>602</v>
      </c>
      <c r="C69" s="4" t="s">
        <v>973</v>
      </c>
      <c r="D69" s="192" t="s">
        <v>1128</v>
      </c>
      <c r="E69" s="202">
        <v>1516.08</v>
      </c>
      <c r="F69" s="194">
        <v>1545.05</v>
      </c>
      <c r="G69" s="195">
        <v>182.22581509999998</v>
      </c>
    </row>
    <row r="70" spans="2:7" x14ac:dyDescent="0.2">
      <c r="B70" s="191" t="s">
        <v>602</v>
      </c>
      <c r="C70" s="4" t="s">
        <v>958</v>
      </c>
      <c r="D70" s="192" t="s">
        <v>1128</v>
      </c>
      <c r="E70" s="202">
        <v>1282.1099999999999</v>
      </c>
      <c r="F70" s="194">
        <v>1353.4</v>
      </c>
      <c r="G70" s="195">
        <v>22.533755999999997</v>
      </c>
    </row>
    <row r="71" spans="2:7" x14ac:dyDescent="0.2">
      <c r="B71" s="191" t="s">
        <v>602</v>
      </c>
      <c r="C71" s="4" t="s">
        <v>969</v>
      </c>
      <c r="D71" s="192" t="s">
        <v>1128</v>
      </c>
      <c r="E71" s="202">
        <v>863.51</v>
      </c>
      <c r="F71" s="194">
        <v>900.4</v>
      </c>
      <c r="G71" s="195">
        <v>73.637919999999994</v>
      </c>
    </row>
    <row r="72" spans="2:7" x14ac:dyDescent="0.2">
      <c r="B72" s="191" t="s">
        <v>602</v>
      </c>
      <c r="C72" s="4" t="s">
        <v>955</v>
      </c>
      <c r="D72" s="192" t="s">
        <v>1128</v>
      </c>
      <c r="E72" s="202">
        <v>581.62</v>
      </c>
      <c r="F72" s="194">
        <v>576.4</v>
      </c>
      <c r="G72" s="195">
        <v>41.709000000000003</v>
      </c>
    </row>
    <row r="73" spans="2:7" x14ac:dyDescent="0.2">
      <c r="B73" s="191" t="s">
        <v>602</v>
      </c>
      <c r="C73" s="197" t="s">
        <v>976</v>
      </c>
      <c r="D73" s="192" t="s">
        <v>1128</v>
      </c>
      <c r="E73" s="202">
        <v>773.28</v>
      </c>
      <c r="F73" s="194">
        <v>774.5</v>
      </c>
      <c r="G73" s="195">
        <v>31.362660000000002</v>
      </c>
    </row>
    <row r="74" spans="2:7" x14ac:dyDescent="0.2">
      <c r="B74" s="191" t="s">
        <v>602</v>
      </c>
      <c r="C74" s="4" t="s">
        <v>981</v>
      </c>
      <c r="D74" s="192" t="s">
        <v>1128</v>
      </c>
      <c r="E74" s="202">
        <v>102.68</v>
      </c>
      <c r="F74" s="194">
        <v>101.7</v>
      </c>
      <c r="G74" s="195">
        <v>102.70992720000001</v>
      </c>
    </row>
    <row r="75" spans="2:7" x14ac:dyDescent="0.2">
      <c r="B75" s="191" t="s">
        <v>602</v>
      </c>
      <c r="C75" s="4" t="s">
        <v>979</v>
      </c>
      <c r="D75" s="192" t="s">
        <v>1128</v>
      </c>
      <c r="E75" s="202">
        <v>3185.21</v>
      </c>
      <c r="F75" s="194">
        <v>3204.5</v>
      </c>
      <c r="G75" s="195">
        <v>45.015353900000008</v>
      </c>
    </row>
    <row r="76" spans="2:7" x14ac:dyDescent="0.2">
      <c r="B76" s="191" t="s">
        <v>602</v>
      </c>
      <c r="C76" s="4" t="s">
        <v>959</v>
      </c>
      <c r="D76" s="192" t="s">
        <v>1128</v>
      </c>
      <c r="E76" s="202">
        <v>1057.5</v>
      </c>
      <c r="F76" s="194">
        <v>1055.25</v>
      </c>
      <c r="G76" s="195">
        <v>285.69167249999998</v>
      </c>
    </row>
    <row r="77" spans="2:7" x14ac:dyDescent="0.2">
      <c r="B77" s="191" t="s">
        <v>602</v>
      </c>
      <c r="C77" s="4" t="s">
        <v>978</v>
      </c>
      <c r="D77" s="192" t="s">
        <v>1128</v>
      </c>
      <c r="E77" s="202">
        <v>2692.98</v>
      </c>
      <c r="F77" s="194">
        <v>2775.15</v>
      </c>
      <c r="G77" s="195">
        <v>38.645399599999998</v>
      </c>
    </row>
    <row r="78" spans="2:7" x14ac:dyDescent="0.2">
      <c r="B78" s="191" t="s">
        <v>602</v>
      </c>
      <c r="C78" s="4" t="s">
        <v>960</v>
      </c>
      <c r="D78" s="192" t="s">
        <v>1128</v>
      </c>
      <c r="E78" s="202">
        <v>293.2</v>
      </c>
      <c r="F78" s="194">
        <v>282.5</v>
      </c>
      <c r="G78" s="195">
        <v>93.214484299999995</v>
      </c>
    </row>
    <row r="79" spans="2:7" x14ac:dyDescent="0.2">
      <c r="B79" s="191" t="s">
        <v>602</v>
      </c>
      <c r="C79" s="4"/>
      <c r="D79" s="192" t="s">
        <v>1128</v>
      </c>
      <c r="E79" s="202"/>
      <c r="F79" s="194"/>
      <c r="G79" s="195"/>
    </row>
    <row r="80" spans="2:7" x14ac:dyDescent="0.2">
      <c r="B80" s="191" t="s">
        <v>602</v>
      </c>
      <c r="C80" s="4"/>
      <c r="D80" s="192" t="s">
        <v>1128</v>
      </c>
      <c r="E80" s="202"/>
      <c r="F80" s="194"/>
      <c r="G80" s="195"/>
    </row>
    <row r="81" spans="2:12" x14ac:dyDescent="0.2">
      <c r="B81" s="198"/>
      <c r="C81" s="207"/>
      <c r="D81" s="208"/>
      <c r="E81" s="209"/>
      <c r="F81" s="210"/>
      <c r="G81" s="211"/>
    </row>
    <row r="82" spans="2:12" x14ac:dyDescent="0.2">
      <c r="B82" s="191"/>
      <c r="C82" s="212"/>
      <c r="D82" s="192"/>
      <c r="E82" s="213"/>
      <c r="F82" s="214"/>
      <c r="G82" s="195"/>
    </row>
    <row r="83" spans="2:12" hidden="1" x14ac:dyDescent="0.2">
      <c r="B83" s="191"/>
      <c r="C83" s="215"/>
      <c r="D83" s="192"/>
      <c r="E83" s="214"/>
      <c r="F83" s="214"/>
      <c r="G83" s="195"/>
    </row>
    <row r="85" spans="2:12" x14ac:dyDescent="0.2">
      <c r="B85" s="188" t="s">
        <v>1129</v>
      </c>
      <c r="E85" s="216"/>
      <c r="F85" s="216"/>
      <c r="G85" s="216"/>
    </row>
    <row r="87" spans="2:12" x14ac:dyDescent="0.2">
      <c r="B87" s="217" t="s">
        <v>1121</v>
      </c>
      <c r="C87" s="217" t="s">
        <v>1116</v>
      </c>
    </row>
    <row r="88" spans="2:12" x14ac:dyDescent="0.2">
      <c r="B88" s="191" t="s">
        <v>1127</v>
      </c>
      <c r="C88" s="218">
        <v>0.68010000000000004</v>
      </c>
    </row>
    <row r="89" spans="2:12" x14ac:dyDescent="0.2">
      <c r="B89" s="191" t="s">
        <v>840</v>
      </c>
      <c r="C89" s="219">
        <v>0.17860000000000001</v>
      </c>
    </row>
    <row r="90" spans="2:12" x14ac:dyDescent="0.2">
      <c r="B90" s="220" t="s">
        <v>602</v>
      </c>
      <c r="C90" s="219">
        <v>0.30080000000000001</v>
      </c>
    </row>
    <row r="92" spans="2:12" x14ac:dyDescent="0.2">
      <c r="B92" s="188" t="s">
        <v>1130</v>
      </c>
    </row>
    <row r="93" spans="2:12" x14ac:dyDescent="0.2">
      <c r="B93" s="188"/>
    </row>
    <row r="94" spans="2:12" ht="63.75" x14ac:dyDescent="0.2">
      <c r="B94" s="189" t="s">
        <v>1121</v>
      </c>
      <c r="C94" s="190" t="s">
        <v>1131</v>
      </c>
      <c r="D94" s="190" t="s">
        <v>1132</v>
      </c>
      <c r="E94" s="190" t="s">
        <v>1133</v>
      </c>
      <c r="F94" s="190" t="s">
        <v>1134</v>
      </c>
      <c r="G94" s="190" t="s">
        <v>1135</v>
      </c>
    </row>
    <row r="95" spans="2:12" ht="15" customHeight="1" x14ac:dyDescent="0.2">
      <c r="B95" s="191" t="s">
        <v>1127</v>
      </c>
      <c r="C95" s="227">
        <f>592+698+1+639+16+681+624+17+465+532</f>
        <v>4265</v>
      </c>
      <c r="D95" s="227">
        <f>592+666+1+639+16+681+624+17+465+532</f>
        <v>4233</v>
      </c>
      <c r="E95" s="205">
        <f>4495.99+4695.0754+5.2245+4278.04+119.81+4703.61+4844.3952+97.8796+3811.1272+4172.337</f>
        <v>31223.488899999997</v>
      </c>
      <c r="F95" s="205">
        <f>4426.35+5092.9764+4.9094+4392.74+112.5+4290.16+4453.2102+99.9323+3799.1367+4254.2162</f>
        <v>30926.1312</v>
      </c>
      <c r="G95" s="228">
        <f t="shared" ref="G95:G101" si="0">+F95-E95</f>
        <v>-297.35769999999684</v>
      </c>
      <c r="H95" s="221"/>
      <c r="I95" s="222"/>
      <c r="J95" s="223"/>
      <c r="K95" s="223"/>
      <c r="L95" s="223"/>
    </row>
    <row r="96" spans="2:12" ht="15" customHeight="1" x14ac:dyDescent="0.2">
      <c r="B96" s="191" t="s">
        <v>840</v>
      </c>
      <c r="C96" s="229">
        <f>5061+4765+5303+4783+14+3721+2029+3523+16</f>
        <v>29215</v>
      </c>
      <c r="D96" s="229">
        <f>5061+4550+5303+4783+14+3721+2029+3523+16</f>
        <v>29000</v>
      </c>
      <c r="E96" s="230">
        <f>34709.76+30322.71973+32163.99+30319.2+120.7204+23543.7228+12022.9249+24953.5394+89.91</f>
        <v>188246.48723000003</v>
      </c>
      <c r="F96" s="230">
        <f>35230.27+32213.3015+33286.49+28711.13+122.9396+22575.5819+12508.3733+24331.15496+84.8627</f>
        <v>189064.10395999998</v>
      </c>
      <c r="G96" s="228">
        <f t="shared" si="0"/>
        <v>817.61672999995062</v>
      </c>
      <c r="H96" s="221"/>
      <c r="I96" s="222"/>
      <c r="J96" s="223"/>
      <c r="K96" s="223"/>
      <c r="L96" s="223"/>
    </row>
    <row r="97" spans="2:12" ht="15" customHeight="1" x14ac:dyDescent="0.2">
      <c r="B97" s="220" t="s">
        <v>602</v>
      </c>
      <c r="C97" s="227">
        <f>1457+1762+1712+1689+1724+1676+1648</f>
        <v>11668</v>
      </c>
      <c r="D97" s="227">
        <f>1457+1706+1712+1689+1724+1676+1648</f>
        <v>11612</v>
      </c>
      <c r="E97" s="205">
        <f>9647.08+11093.2302+10791.45+11632.472+12255.4536+11958.5765+12114.8082</f>
        <v>79493.070500000002</v>
      </c>
      <c r="F97" s="205">
        <f>9908.46+11698.9857+11068.64+10789.8388+11655.5599+12071.8268+12000.61615</f>
        <v>79193.927349999998</v>
      </c>
      <c r="G97" s="228">
        <f t="shared" si="0"/>
        <v>-299.14315000000352</v>
      </c>
      <c r="H97" s="221"/>
      <c r="I97" s="222"/>
      <c r="J97" s="223"/>
      <c r="K97" s="223"/>
      <c r="L97" s="223"/>
    </row>
    <row r="98" spans="2:12" x14ac:dyDescent="0.2">
      <c r="B98" s="226" t="s">
        <v>755</v>
      </c>
      <c r="C98" s="227">
        <v>500</v>
      </c>
      <c r="D98" s="227">
        <v>500</v>
      </c>
      <c r="E98" s="205">
        <v>2417.11</v>
      </c>
      <c r="F98" s="205">
        <v>2635.38</v>
      </c>
      <c r="G98" s="228">
        <f t="shared" si="0"/>
        <v>218.26999999999998</v>
      </c>
      <c r="H98" s="221"/>
      <c r="I98" s="222"/>
      <c r="J98" s="223"/>
      <c r="K98" s="223"/>
      <c r="L98" s="223"/>
    </row>
    <row r="99" spans="2:12" x14ac:dyDescent="0.2">
      <c r="B99" s="191" t="s">
        <v>759</v>
      </c>
      <c r="C99" s="229">
        <f>50+10+375</f>
        <v>435</v>
      </c>
      <c r="D99" s="229">
        <f>50+10+375</f>
        <v>435</v>
      </c>
      <c r="E99" s="244">
        <f>344.7+84.0062+1781.484</f>
        <v>2210.1902</v>
      </c>
      <c r="F99" s="230">
        <f>341.7614+85.4046+1779.2769</f>
        <v>2206.4429</v>
      </c>
      <c r="G99" s="228">
        <f t="shared" si="0"/>
        <v>-3.7472999999999956</v>
      </c>
      <c r="H99" s="221"/>
      <c r="I99" s="222"/>
      <c r="J99" s="223"/>
      <c r="K99" s="223"/>
      <c r="L99" s="223"/>
    </row>
    <row r="100" spans="2:12" x14ac:dyDescent="0.2">
      <c r="B100" s="191" t="s">
        <v>747</v>
      </c>
      <c r="C100" s="229">
        <f>150+66</f>
        <v>216</v>
      </c>
      <c r="D100" s="229">
        <f>150+66</f>
        <v>216</v>
      </c>
      <c r="E100" s="244">
        <f>1326.8625+323.069</f>
        <v>1649.9314999999999</v>
      </c>
      <c r="F100" s="230">
        <f>1183.76575195+326.42</f>
        <v>1510.1857519500002</v>
      </c>
      <c r="G100" s="228">
        <f t="shared" si="0"/>
        <v>-139.74574804999975</v>
      </c>
      <c r="H100" s="221"/>
      <c r="I100" s="222"/>
      <c r="J100" s="223"/>
      <c r="K100" s="223"/>
      <c r="L100" s="223"/>
    </row>
    <row r="101" spans="2:12" x14ac:dyDescent="0.2">
      <c r="B101" s="220" t="s">
        <v>757</v>
      </c>
      <c r="C101" s="229">
        <f>150+200</f>
        <v>350</v>
      </c>
      <c r="D101" s="229">
        <f>150+200</f>
        <v>350</v>
      </c>
      <c r="E101" s="230">
        <f>1326.8625+1452.18</f>
        <v>2779.0425</v>
      </c>
      <c r="F101" s="230">
        <f>1182.48949245+1430.3528</f>
        <v>2612.8422924500001</v>
      </c>
      <c r="G101" s="231">
        <f t="shared" si="0"/>
        <v>-166.20020754999996</v>
      </c>
      <c r="H101" s="221"/>
      <c r="I101" s="222"/>
      <c r="J101" s="223"/>
    </row>
    <row r="102" spans="2:12" x14ac:dyDescent="0.2">
      <c r="H102" s="221"/>
      <c r="I102" s="222"/>
      <c r="J102" s="223"/>
    </row>
    <row r="103" spans="2:12" ht="15" customHeight="1" x14ac:dyDescent="0.2">
      <c r="E103" s="223"/>
      <c r="F103" s="223"/>
      <c r="H103" s="221"/>
      <c r="I103" s="222"/>
      <c r="J103" s="223"/>
    </row>
    <row r="104" spans="2:12" x14ac:dyDescent="0.2">
      <c r="B104" s="188" t="s">
        <v>1136</v>
      </c>
      <c r="F104" s="223"/>
      <c r="G104" s="222"/>
      <c r="H104" s="221"/>
      <c r="I104" s="222"/>
      <c r="L104" s="221"/>
    </row>
    <row r="105" spans="2:12" x14ac:dyDescent="0.2">
      <c r="H105" s="232"/>
      <c r="L105" s="222"/>
    </row>
    <row r="106" spans="2:12" ht="25.5" x14ac:dyDescent="0.2">
      <c r="B106" s="189" t="s">
        <v>1121</v>
      </c>
      <c r="C106" s="189" t="s">
        <v>1122</v>
      </c>
      <c r="D106" s="189" t="s">
        <v>1123</v>
      </c>
      <c r="E106" s="190" t="s">
        <v>1124</v>
      </c>
      <c r="F106" s="190" t="s">
        <v>1125</v>
      </c>
      <c r="G106" s="190" t="s">
        <v>1137</v>
      </c>
    </row>
    <row r="107" spans="2:12" x14ac:dyDescent="0.2">
      <c r="B107" s="191" t="s">
        <v>747</v>
      </c>
      <c r="C107" s="191" t="s">
        <v>982</v>
      </c>
      <c r="D107" s="192" t="s">
        <v>1138</v>
      </c>
      <c r="E107" s="194">
        <v>1581.3</v>
      </c>
      <c r="F107" s="194">
        <v>1681.15</v>
      </c>
      <c r="G107" s="195">
        <v>51.46</v>
      </c>
    </row>
    <row r="108" spans="2:12" x14ac:dyDescent="0.2">
      <c r="D108" s="233"/>
      <c r="E108" s="234"/>
      <c r="F108" s="234"/>
      <c r="G108" s="234"/>
      <c r="I108" s="222"/>
    </row>
    <row r="109" spans="2:12" x14ac:dyDescent="0.2">
      <c r="C109" s="235"/>
      <c r="D109" s="236"/>
      <c r="E109" s="237"/>
      <c r="F109" s="238"/>
      <c r="G109" s="238"/>
      <c r="I109" s="222"/>
    </row>
    <row r="110" spans="2:12" x14ac:dyDescent="0.2">
      <c r="B110" s="188" t="s">
        <v>1139</v>
      </c>
      <c r="I110" s="222"/>
    </row>
    <row r="111" spans="2:12" x14ac:dyDescent="0.2">
      <c r="I111" s="222"/>
      <c r="L111" s="223"/>
    </row>
    <row r="112" spans="2:12" x14ac:dyDescent="0.2">
      <c r="B112" s="217" t="s">
        <v>1121</v>
      </c>
      <c r="C112" s="217" t="s">
        <v>1116</v>
      </c>
    </row>
    <row r="113" spans="2:9" x14ac:dyDescent="0.2">
      <c r="B113" s="191" t="s">
        <v>747</v>
      </c>
      <c r="C113" s="218">
        <v>8.9999999999999998E-4</v>
      </c>
    </row>
    <row r="114" spans="2:9" x14ac:dyDescent="0.2">
      <c r="B114" s="239"/>
      <c r="C114" s="240"/>
    </row>
    <row r="115" spans="2:9" x14ac:dyDescent="0.2">
      <c r="B115" s="188" t="s">
        <v>1140</v>
      </c>
    </row>
    <row r="116" spans="2:9" x14ac:dyDescent="0.2">
      <c r="B116" s="188"/>
    </row>
    <row r="117" spans="2:9" ht="63.75" x14ac:dyDescent="0.2">
      <c r="B117" s="189" t="s">
        <v>1121</v>
      </c>
      <c r="C117" s="190" t="s">
        <v>1131</v>
      </c>
      <c r="D117" s="190" t="s">
        <v>1132</v>
      </c>
      <c r="E117" s="190" t="s">
        <v>1133</v>
      </c>
      <c r="F117" s="190" t="s">
        <v>1141</v>
      </c>
      <c r="G117" s="190" t="s">
        <v>1142</v>
      </c>
    </row>
    <row r="118" spans="2:9" x14ac:dyDescent="0.2">
      <c r="B118" s="191" t="s">
        <v>840</v>
      </c>
      <c r="C118" s="229">
        <f>25+223+229+179</f>
        <v>656</v>
      </c>
      <c r="D118" s="229">
        <f>25+223+229+179</f>
        <v>656</v>
      </c>
      <c r="E118" s="230">
        <f>195.9995+1570.23+2027.92+1402.3108</f>
        <v>5196.4602999999997</v>
      </c>
      <c r="F118" s="230">
        <f>187.8+1773.43+2217.26+1328.3916</f>
        <v>5506.8815999999997</v>
      </c>
      <c r="G118" s="247">
        <f t="shared" ref="G118:G125" si="1">+F118-E118</f>
        <v>310.42129999999997</v>
      </c>
      <c r="H118" s="221"/>
      <c r="I118" s="222"/>
    </row>
    <row r="119" spans="2:9" x14ac:dyDescent="0.2">
      <c r="B119" s="220" t="s">
        <v>175</v>
      </c>
      <c r="C119" s="250">
        <f>1890+745+194+394</f>
        <v>3223</v>
      </c>
      <c r="D119" s="250">
        <f>1890+745+194+394</f>
        <v>3223</v>
      </c>
      <c r="E119" s="246">
        <f>11395.37+5551.8216+1627.3139+3130.9363</f>
        <v>21705.441800000004</v>
      </c>
      <c r="F119" s="246">
        <f>12184.88+6524.8294+1592.5863+3425.732</f>
        <v>23728.027699999999</v>
      </c>
      <c r="G119" s="247">
        <f t="shared" si="1"/>
        <v>2022.5858999999946</v>
      </c>
      <c r="H119" s="242"/>
      <c r="I119" s="222"/>
    </row>
    <row r="120" spans="2:9" x14ac:dyDescent="0.2">
      <c r="B120" s="220" t="s">
        <v>1143</v>
      </c>
      <c r="C120" s="250">
        <f>25+107</f>
        <v>132</v>
      </c>
      <c r="D120" s="250">
        <f>25+107</f>
        <v>132</v>
      </c>
      <c r="E120" s="246">
        <f>286.4909+868.75</f>
        <v>1155.2409</v>
      </c>
      <c r="F120" s="246">
        <f>294.683+930.34</f>
        <v>1225.0230000000001</v>
      </c>
      <c r="G120" s="247">
        <f t="shared" si="1"/>
        <v>69.782100000000128</v>
      </c>
      <c r="I120" s="222"/>
    </row>
    <row r="121" spans="2:9" x14ac:dyDescent="0.2">
      <c r="B121" s="191" t="s">
        <v>747</v>
      </c>
      <c r="C121" s="245">
        <v>95</v>
      </c>
      <c r="D121" s="245">
        <v>95</v>
      </c>
      <c r="E121" s="246">
        <v>311.71100000000001</v>
      </c>
      <c r="F121" s="246">
        <v>267.23</v>
      </c>
      <c r="G121" s="247">
        <f t="shared" si="1"/>
        <v>-44.480999999999995</v>
      </c>
      <c r="H121" s="243"/>
      <c r="I121" s="222"/>
    </row>
    <row r="122" spans="2:9" x14ac:dyDescent="0.2">
      <c r="B122" s="191" t="s">
        <v>756</v>
      </c>
      <c r="C122" s="229">
        <v>8368</v>
      </c>
      <c r="D122" s="229">
        <v>8368</v>
      </c>
      <c r="E122" s="244">
        <v>75631.650500000003</v>
      </c>
      <c r="F122" s="230">
        <v>72687.448900000003</v>
      </c>
      <c r="G122" s="228">
        <f t="shared" si="1"/>
        <v>-2944.2016000000003</v>
      </c>
      <c r="H122" s="243"/>
      <c r="I122" s="222"/>
    </row>
    <row r="123" spans="2:9" x14ac:dyDescent="0.2">
      <c r="B123" s="191" t="s">
        <v>759</v>
      </c>
      <c r="C123" s="245">
        <f>473+230+298+1389</f>
        <v>2390</v>
      </c>
      <c r="D123" s="245">
        <f>473+230+298+1389</f>
        <v>2390</v>
      </c>
      <c r="E123" s="246">
        <f>3005.425+1717.0198+2241.4338+7387.7731</f>
        <v>14351.6517</v>
      </c>
      <c r="F123" s="246">
        <f>3011.65+2032.6718+2127.4822+7957.6124</f>
        <v>15129.4164</v>
      </c>
      <c r="G123" s="247">
        <f t="shared" si="1"/>
        <v>777.76469999999972</v>
      </c>
      <c r="H123" s="243"/>
      <c r="I123" s="222"/>
    </row>
    <row r="124" spans="2:9" hidden="1" x14ac:dyDescent="0.2">
      <c r="B124" s="220"/>
      <c r="C124" s="245"/>
      <c r="D124" s="245"/>
      <c r="E124" s="246"/>
      <c r="F124" s="246"/>
      <c r="G124" s="247">
        <f t="shared" si="1"/>
        <v>0</v>
      </c>
      <c r="H124" s="243"/>
      <c r="I124" s="222"/>
    </row>
    <row r="125" spans="2:9" s="188" customFormat="1" hidden="1" x14ac:dyDescent="0.2">
      <c r="B125" s="248"/>
      <c r="C125" s="229"/>
      <c r="D125" s="229"/>
      <c r="E125" s="230"/>
      <c r="F125" s="230"/>
      <c r="G125" s="247">
        <f t="shared" si="1"/>
        <v>0</v>
      </c>
      <c r="H125" s="243"/>
      <c r="I125" s="249"/>
    </row>
    <row r="126" spans="2:9" hidden="1" x14ac:dyDescent="0.2">
      <c r="B126" s="220"/>
      <c r="C126" s="250"/>
      <c r="D126" s="250"/>
      <c r="E126" s="246"/>
      <c r="F126" s="246"/>
      <c r="G126" s="247">
        <f>+F126-E126</f>
        <v>0</v>
      </c>
      <c r="H126" s="242"/>
    </row>
    <row r="127" spans="2:9" hidden="1" x14ac:dyDescent="0.2">
      <c r="B127" s="226"/>
      <c r="C127" s="224"/>
      <c r="D127" s="224"/>
      <c r="E127" s="225"/>
      <c r="F127" s="225"/>
      <c r="G127" s="241">
        <f>+F127-E127</f>
        <v>0</v>
      </c>
      <c r="H127" s="221"/>
      <c r="I127" s="222"/>
    </row>
    <row r="128" spans="2:9" ht="15" customHeight="1" x14ac:dyDescent="0.2">
      <c r="H128" s="221"/>
      <c r="I128" s="222"/>
    </row>
    <row r="129" spans="2:8" x14ac:dyDescent="0.2">
      <c r="B129" s="251"/>
      <c r="C129" s="252"/>
      <c r="D129" s="252"/>
      <c r="E129" s="253"/>
      <c r="F129" s="253"/>
      <c r="G129" s="253"/>
      <c r="H129" s="222"/>
    </row>
    <row r="130" spans="2:8" x14ac:dyDescent="0.2">
      <c r="B130" s="188" t="s">
        <v>1144</v>
      </c>
      <c r="D130" s="254"/>
    </row>
    <row r="132" spans="2:8" ht="25.5" x14ac:dyDescent="0.2">
      <c r="B132" s="190" t="s">
        <v>1121</v>
      </c>
      <c r="C132" s="190" t="s">
        <v>1122</v>
      </c>
      <c r="D132" s="190" t="s">
        <v>1145</v>
      </c>
      <c r="E132" s="190" t="s">
        <v>1146</v>
      </c>
      <c r="F132" s="190" t="s">
        <v>1147</v>
      </c>
      <c r="G132" s="190" t="s">
        <v>1148</v>
      </c>
    </row>
    <row r="133" spans="2:8" x14ac:dyDescent="0.2">
      <c r="B133" s="255" t="s">
        <v>1149</v>
      </c>
      <c r="C133" s="255" t="s">
        <v>1149</v>
      </c>
      <c r="D133" s="255" t="s">
        <v>1149</v>
      </c>
      <c r="E133" s="255" t="s">
        <v>1149</v>
      </c>
      <c r="F133" s="255" t="s">
        <v>1149</v>
      </c>
      <c r="G133" s="255" t="s">
        <v>1149</v>
      </c>
    </row>
    <row r="134" spans="2:8" x14ac:dyDescent="0.2">
      <c r="D134" s="254"/>
      <c r="E134" s="254"/>
      <c r="F134" s="256"/>
      <c r="G134" s="256"/>
    </row>
    <row r="135" spans="2:8" x14ac:dyDescent="0.2">
      <c r="D135" s="254"/>
      <c r="E135" s="254"/>
      <c r="F135" s="256"/>
      <c r="G135" s="256"/>
    </row>
    <row r="136" spans="2:8" x14ac:dyDescent="0.2">
      <c r="B136" s="188" t="s">
        <v>1150</v>
      </c>
      <c r="G136" s="143" t="s">
        <v>170</v>
      </c>
    </row>
    <row r="137" spans="2:8" x14ac:dyDescent="0.2">
      <c r="B137" s="188"/>
    </row>
    <row r="138" spans="2:8" x14ac:dyDescent="0.2">
      <c r="B138" s="217" t="s">
        <v>1121</v>
      </c>
      <c r="C138" s="217" t="s">
        <v>1116</v>
      </c>
    </row>
    <row r="139" spans="2:8" x14ac:dyDescent="0.2">
      <c r="B139" s="255" t="s">
        <v>1149</v>
      </c>
      <c r="C139" s="255" t="s">
        <v>1149</v>
      </c>
    </row>
    <row r="140" spans="2:8" x14ac:dyDescent="0.2">
      <c r="C140" s="257"/>
      <c r="D140" s="240"/>
    </row>
    <row r="141" spans="2:8" x14ac:dyDescent="0.2">
      <c r="B141" s="188" t="s">
        <v>1151</v>
      </c>
    </row>
    <row r="143" spans="2:8" ht="38.25" x14ac:dyDescent="0.2">
      <c r="B143" s="189" t="s">
        <v>1121</v>
      </c>
      <c r="C143" s="190" t="s">
        <v>1152</v>
      </c>
      <c r="D143" s="190" t="s">
        <v>1153</v>
      </c>
      <c r="E143" s="190" t="s">
        <v>1154</v>
      </c>
      <c r="F143" s="190" t="s">
        <v>1155</v>
      </c>
    </row>
    <row r="144" spans="2:8" x14ac:dyDescent="0.2">
      <c r="B144" s="258"/>
      <c r="C144" s="255"/>
      <c r="D144" s="259"/>
      <c r="E144" s="247"/>
      <c r="F144" s="247">
        <f>+E144-D144</f>
        <v>0</v>
      </c>
    </row>
    <row r="145" spans="2:7" x14ac:dyDescent="0.2">
      <c r="B145" s="260"/>
      <c r="C145" s="261"/>
      <c r="D145" s="262"/>
      <c r="E145" s="262"/>
      <c r="F145" s="263"/>
    </row>
    <row r="146" spans="2:7" x14ac:dyDescent="0.2">
      <c r="B146" s="260"/>
      <c r="C146" s="261"/>
      <c r="D146" s="262"/>
      <c r="E146" s="262"/>
      <c r="F146" s="263"/>
    </row>
    <row r="148" spans="2:7" x14ac:dyDescent="0.2">
      <c r="B148" s="188" t="s">
        <v>1156</v>
      </c>
    </row>
    <row r="150" spans="2:7" ht="25.5" x14ac:dyDescent="0.2">
      <c r="B150" s="190" t="s">
        <v>1121</v>
      </c>
      <c r="C150" s="190" t="s">
        <v>1122</v>
      </c>
      <c r="D150" s="190" t="s">
        <v>1145</v>
      </c>
      <c r="E150" s="190" t="s">
        <v>1146</v>
      </c>
      <c r="F150" s="190" t="s">
        <v>1147</v>
      </c>
      <c r="G150" s="190" t="s">
        <v>1148</v>
      </c>
    </row>
    <row r="151" spans="2:7" x14ac:dyDescent="0.2">
      <c r="B151" s="191" t="s">
        <v>1149</v>
      </c>
      <c r="C151" s="191" t="s">
        <v>1149</v>
      </c>
      <c r="D151" s="191" t="s">
        <v>1149</v>
      </c>
      <c r="E151" s="191" t="s">
        <v>1149</v>
      </c>
      <c r="F151" s="191" t="s">
        <v>1149</v>
      </c>
      <c r="G151" s="191" t="s">
        <v>1149</v>
      </c>
    </row>
    <row r="152" spans="2:7" x14ac:dyDescent="0.2">
      <c r="C152" s="235"/>
      <c r="D152" s="264"/>
      <c r="E152" s="265"/>
      <c r="F152" s="256"/>
      <c r="G152" s="256"/>
    </row>
    <row r="153" spans="2:7" x14ac:dyDescent="0.2">
      <c r="B153" s="188" t="s">
        <v>1157</v>
      </c>
    </row>
    <row r="154" spans="2:7" x14ac:dyDescent="0.2">
      <c r="B154" s="188"/>
    </row>
    <row r="155" spans="2:7" x14ac:dyDescent="0.2">
      <c r="B155" s="217" t="s">
        <v>1121</v>
      </c>
      <c r="C155" s="217" t="s">
        <v>1116</v>
      </c>
    </row>
    <row r="156" spans="2:7" x14ac:dyDescent="0.2">
      <c r="B156" s="191" t="s">
        <v>1149</v>
      </c>
      <c r="C156" s="191" t="s">
        <v>1149</v>
      </c>
    </row>
    <row r="157" spans="2:7" x14ac:dyDescent="0.2">
      <c r="B157" s="239"/>
      <c r="C157" s="240"/>
    </row>
    <row r="158" spans="2:7" x14ac:dyDescent="0.2">
      <c r="B158" s="188" t="s">
        <v>1158</v>
      </c>
    </row>
    <row r="160" spans="2:7" ht="38.25" x14ac:dyDescent="0.2">
      <c r="B160" s="189" t="s">
        <v>1121</v>
      </c>
      <c r="C160" s="190" t="s">
        <v>1152</v>
      </c>
      <c r="D160" s="190" t="s">
        <v>1159</v>
      </c>
      <c r="E160" s="190" t="s">
        <v>1160</v>
      </c>
      <c r="F160" s="190" t="s">
        <v>1155</v>
      </c>
    </row>
    <row r="161" spans="2:7" x14ac:dyDescent="0.2">
      <c r="B161" s="191"/>
      <c r="C161" s="255"/>
      <c r="D161" s="259"/>
      <c r="E161" s="255"/>
      <c r="F161" s="255"/>
    </row>
    <row r="162" spans="2:7" x14ac:dyDescent="0.2">
      <c r="G162" s="266"/>
    </row>
    <row r="163" spans="2:7" x14ac:dyDescent="0.2">
      <c r="F163" s="267"/>
      <c r="G163" s="223"/>
    </row>
    <row r="164" spans="2:7" x14ac:dyDescent="0.2">
      <c r="B164" s="188" t="s">
        <v>1161</v>
      </c>
    </row>
    <row r="165" spans="2:7" x14ac:dyDescent="0.2">
      <c r="B165" s="188"/>
    </row>
    <row r="166" spans="2:7" x14ac:dyDescent="0.2">
      <c r="E166" s="223"/>
    </row>
    <row r="167" spans="2:7" x14ac:dyDescent="0.2">
      <c r="B167" s="188" t="s">
        <v>1162</v>
      </c>
      <c r="E167" s="223"/>
    </row>
    <row r="168" spans="2:7" x14ac:dyDescent="0.2">
      <c r="E168" s="223"/>
    </row>
    <row r="169" spans="2:7" ht="25.5" x14ac:dyDescent="0.2">
      <c r="B169" s="189" t="s">
        <v>1121</v>
      </c>
      <c r="C169" s="190" t="s">
        <v>1122</v>
      </c>
      <c r="D169" s="190" t="s">
        <v>1123</v>
      </c>
      <c r="E169" s="190" t="s">
        <v>1163</v>
      </c>
      <c r="F169" s="190" t="s">
        <v>1164</v>
      </c>
      <c r="G169" s="190" t="s">
        <v>1165</v>
      </c>
    </row>
    <row r="170" spans="2:7" x14ac:dyDescent="0.2">
      <c r="B170" s="220" t="s">
        <v>1149</v>
      </c>
      <c r="C170" s="248" t="s">
        <v>1149</v>
      </c>
      <c r="D170" s="268" t="s">
        <v>1149</v>
      </c>
      <c r="E170" s="269" t="s">
        <v>1149</v>
      </c>
      <c r="F170" s="269" t="s">
        <v>1149</v>
      </c>
      <c r="G170" s="269" t="s">
        <v>1149</v>
      </c>
    </row>
    <row r="171" spans="2:7" x14ac:dyDescent="0.2">
      <c r="E171" s="223"/>
    </row>
    <row r="172" spans="2:7" x14ac:dyDescent="0.2">
      <c r="B172" s="188" t="s">
        <v>1166</v>
      </c>
      <c r="E172" s="223"/>
    </row>
    <row r="173" spans="2:7" x14ac:dyDescent="0.2">
      <c r="B173" s="188"/>
      <c r="E173" s="223"/>
    </row>
    <row r="174" spans="2:7" x14ac:dyDescent="0.2">
      <c r="B174" s="217" t="s">
        <v>1121</v>
      </c>
      <c r="C174" s="217" t="s">
        <v>1116</v>
      </c>
      <c r="E174" s="223"/>
    </row>
    <row r="175" spans="2:7" x14ac:dyDescent="0.2">
      <c r="B175" s="255" t="s">
        <v>1149</v>
      </c>
      <c r="C175" s="250" t="s">
        <v>1149</v>
      </c>
      <c r="E175" s="223"/>
    </row>
    <row r="176" spans="2:7" x14ac:dyDescent="0.2">
      <c r="E176" s="223"/>
    </row>
    <row r="177" spans="2:10" x14ac:dyDescent="0.2">
      <c r="B177" s="188" t="s">
        <v>1167</v>
      </c>
      <c r="E177" s="223"/>
    </row>
    <row r="178" spans="2:10" x14ac:dyDescent="0.2">
      <c r="E178" s="223"/>
    </row>
    <row r="179" spans="2:10" ht="63.75" x14ac:dyDescent="0.2">
      <c r="B179" s="189" t="s">
        <v>1121</v>
      </c>
      <c r="C179" s="190" t="s">
        <v>1131</v>
      </c>
      <c r="D179" s="190" t="s">
        <v>1132</v>
      </c>
      <c r="E179" s="190" t="s">
        <v>1133</v>
      </c>
      <c r="F179" s="190" t="s">
        <v>1134</v>
      </c>
      <c r="G179" s="190" t="s">
        <v>1135</v>
      </c>
    </row>
    <row r="180" spans="2:10" x14ac:dyDescent="0.2">
      <c r="B180" s="250"/>
      <c r="C180" s="250"/>
      <c r="D180" s="227"/>
      <c r="E180" s="270"/>
      <c r="F180" s="271"/>
      <c r="G180" s="272"/>
      <c r="I180" s="222"/>
      <c r="J180" s="223"/>
    </row>
    <row r="181" spans="2:10" x14ac:dyDescent="0.2">
      <c r="E181" s="223"/>
    </row>
    <row r="182" spans="2:10" x14ac:dyDescent="0.2">
      <c r="E182" s="223"/>
    </row>
    <row r="183" spans="2:10" x14ac:dyDescent="0.2">
      <c r="B183" s="188" t="s">
        <v>1168</v>
      </c>
      <c r="E183" s="223"/>
    </row>
    <row r="184" spans="2:10" x14ac:dyDescent="0.2">
      <c r="E184" s="223"/>
    </row>
    <row r="185" spans="2:10" ht="63.75" x14ac:dyDescent="0.2">
      <c r="B185" s="189" t="s">
        <v>1121</v>
      </c>
      <c r="C185" s="190" t="s">
        <v>1131</v>
      </c>
      <c r="D185" s="190" t="s">
        <v>1132</v>
      </c>
      <c r="E185" s="190" t="s">
        <v>1133</v>
      </c>
      <c r="F185" s="190" t="s">
        <v>1134</v>
      </c>
      <c r="G185" s="190" t="s">
        <v>1135</v>
      </c>
    </row>
    <row r="186" spans="2:10" x14ac:dyDescent="0.2">
      <c r="B186" s="192"/>
      <c r="C186" s="255"/>
      <c r="D186" s="255"/>
      <c r="E186" s="273"/>
      <c r="F186" s="273"/>
      <c r="G186" s="273"/>
    </row>
    <row r="187" spans="2:10" x14ac:dyDescent="0.2">
      <c r="E187" s="223"/>
    </row>
    <row r="188" spans="2:10" x14ac:dyDescent="0.2">
      <c r="E188" s="223"/>
    </row>
    <row r="189" spans="2:10" x14ac:dyDescent="0.2">
      <c r="E189" s="223"/>
    </row>
    <row r="190" spans="2:10" x14ac:dyDescent="0.2">
      <c r="B190" s="143" t="s">
        <v>1169</v>
      </c>
    </row>
  </sheetData>
  <mergeCells count="3">
    <mergeCell ref="B2:G2"/>
    <mergeCell ref="B3:G3"/>
    <mergeCell ref="B5:G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Index</vt:lpstr>
      <vt:lpstr>CAPEXG</vt:lpstr>
      <vt:lpstr>MIDCAP</vt:lpstr>
      <vt:lpstr>MULTI1</vt:lpstr>
      <vt:lpstr>MULTI2</vt:lpstr>
      <vt:lpstr>MULTIP</vt:lpstr>
      <vt:lpstr>SESCAP1</vt:lpstr>
      <vt:lpstr>SESCAP2</vt:lpstr>
      <vt:lpstr>SESCAP3</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GLOB</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Bharathi B - Sundaram Mutual</cp:lastModifiedBy>
  <dcterms:created xsi:type="dcterms:W3CDTF">2022-11-01T08:07:26Z</dcterms:created>
  <dcterms:modified xsi:type="dcterms:W3CDTF">2023-02-09T10:57:46Z</dcterms:modified>
</cp:coreProperties>
</file>