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X:\DEBT_BACKOFFICE\Debt_Factsheets\2025 - Monthly Portfolio\1. 31012025\"/>
    </mc:Choice>
  </mc:AlternateContent>
  <xr:revisionPtr revIDLastSave="0" documentId="13_ncr:1_{9F3CE2E7-1920-4494-8826-708BA7955D19}" xr6:coauthVersionLast="47" xr6:coauthVersionMax="47" xr10:uidLastSave="{00000000-0000-0000-0000-000000000000}"/>
  <bookViews>
    <workbookView xWindow="-120" yWindow="-120" windowWidth="24240" windowHeight="13020" tabRatio="787" xr2:uid="{3686A0ED-9021-4254-8EF5-C52A52F32B04}"/>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10" l="1"/>
  <c r="F74" i="10"/>
  <c r="F82" i="8"/>
  <c r="F81" i="8"/>
  <c r="F141" i="7"/>
  <c r="F139" i="7"/>
  <c r="F142" i="7"/>
  <c r="G141" i="7" s="1"/>
  <c r="G142" i="7" s="1"/>
  <c r="F101" i="6"/>
  <c r="F102" i="6"/>
  <c r="F144" i="5"/>
  <c r="F143" i="5"/>
  <c r="F105" i="4"/>
  <c r="F104" i="4"/>
  <c r="F95" i="2"/>
  <c r="F94" i="2"/>
  <c r="J146" i="9" l="1"/>
  <c r="F32" i="9"/>
  <c r="F49" i="9" s="1"/>
  <c r="G117" i="8"/>
  <c r="H173" i="7"/>
  <c r="I163" i="6"/>
  <c r="J163" i="6" s="1"/>
  <c r="I162" i="6"/>
  <c r="J162" i="6" s="1"/>
  <c r="I161" i="6"/>
  <c r="J161" i="6" s="1"/>
  <c r="G161" i="6"/>
  <c r="I160" i="6"/>
  <c r="J160" i="6" s="1"/>
  <c r="I162" i="4"/>
  <c r="J162" i="4" s="1"/>
  <c r="I161" i="4"/>
  <c r="J161" i="4" s="1"/>
  <c r="I160" i="4"/>
  <c r="J160" i="4" s="1"/>
  <c r="G90" i="9"/>
  <c r="F90" i="9"/>
  <c r="G72" i="8"/>
  <c r="F72" i="8"/>
  <c r="G129" i="7"/>
  <c r="F129" i="7"/>
  <c r="G92" i="6"/>
  <c r="F92" i="6"/>
  <c r="G134" i="5"/>
  <c r="F134" i="5"/>
  <c r="G95" i="4"/>
  <c r="F95" i="4"/>
  <c r="G96" i="3"/>
  <c r="F96" i="3"/>
  <c r="G85" i="2"/>
  <c r="F85" i="2"/>
  <c r="G94" i="1"/>
  <c r="F94" i="1"/>
  <c r="F100" i="9" l="1"/>
  <c r="G13" i="9" s="1"/>
  <c r="G32" i="9" s="1"/>
  <c r="G49" i="9" s="1"/>
  <c r="G100" i="9" s="1"/>
</calcChain>
</file>

<file path=xl/sharedStrings.xml><?xml version="1.0" encoding="utf-8"?>
<sst xmlns="http://schemas.openxmlformats.org/spreadsheetml/2006/main" count="3257" uniqueCount="698">
  <si>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</si>
  <si>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</si>
  <si>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</si>
  <si>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</si>
  <si>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</si>
  <si>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</si>
  <si>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</si>
  <si>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</si>
  <si>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</si>
  <si>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</si>
  <si>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</si>
  <si>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</si>
  <si>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</si>
  <si>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</si>
  <si>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</si>
  <si>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</si>
  <si>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</si>
  <si>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</si>
  <si>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</si>
  <si>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</si>
  <si>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</si>
  <si>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</si>
  <si>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</si>
  <si>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</si>
  <si>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</si>
  <si>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</si>
  <si>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</si>
  <si>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</si>
  <si>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</si>
  <si>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</si>
  <si>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</si>
  <si>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</si>
  <si>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</si>
  <si>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</si>
  <si>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</si>
  <si>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</si>
  <si>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</si>
  <si>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</si>
  <si>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</si>
  <si>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</si>
  <si>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</si>
  <si>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</si>
  <si>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</si>
  <si>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</si>
  <si>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</si>
  <si>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INE296A07SV1</t>
  </si>
  <si>
    <t>Bajaj Finance Ltd - 7.82% - 31/01/2034</t>
  </si>
  <si>
    <t>INE134E08MX3</t>
  </si>
  <si>
    <t>Power Finance Corporation Ltd - 7.6% - 13/04/2029</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</si>
  <si>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</si>
  <si>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</si>
  <si>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</si>
  <si>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</si>
  <si>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</si>
  <si>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</si>
  <si>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</si>
  <si>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</si>
  <si>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</si>
  <si>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</si>
  <si>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</si>
  <si>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</si>
  <si>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</si>
  <si>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</si>
  <si>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</si>
  <si>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</si>
  <si>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</si>
  <si>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</si>
  <si>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</si>
  <si>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</si>
  <si>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</si>
  <si>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</si>
  <si>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</si>
  <si>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</si>
  <si>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</si>
  <si>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</si>
  <si>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</si>
  <si>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</si>
  <si>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</si>
  <si>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</si>
  <si>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</si>
  <si>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</si>
  <si>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</si>
  <si>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</si>
  <si>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</si>
  <si>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</si>
  <si>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</si>
  <si>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</si>
  <si>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</si>
  <si>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</si>
  <si>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</si>
  <si>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</si>
  <si>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</si>
  <si>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</si>
  <si>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</si>
  <si>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</si>
  <si>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</si>
  <si>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</si>
  <si>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</si>
  <si>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</si>
  <si>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</si>
  <si>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</si>
  <si>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</si>
  <si>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</si>
  <si>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</si>
  <si>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</si>
  <si>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</si>
  <si>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</si>
  <si>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</si>
  <si>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</si>
  <si>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</si>
  <si>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</si>
  <si>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</si>
  <si>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</si>
  <si>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</si>
  <si>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</si>
  <si>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</si>
  <si>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</si>
  <si>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</si>
  <si>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</si>
  <si>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</si>
  <si>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</si>
  <si>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INE040A08955</t>
  </si>
  <si>
    <t>HDFC Bank Ltd - 7.7% - 16/05/2028**</t>
  </si>
  <si>
    <t>INE020B08EA5</t>
  </si>
  <si>
    <t>REC LTD - 7.55% - 31/03/2028**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</si>
  <si>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</si>
  <si>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</si>
  <si>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</si>
  <si>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</si>
  <si>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</si>
  <si>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</si>
  <si>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</si>
  <si>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</si>
  <si>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</si>
  <si>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</si>
  <si>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</si>
  <si>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</si>
  <si>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</si>
  <si>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</si>
  <si>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</si>
  <si>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</si>
  <si>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</si>
  <si>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</si>
  <si>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</si>
  <si>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INE090AD6147</t>
  </si>
  <si>
    <t>ICICI Bank Ltd - 17/03/2025**</t>
  </si>
  <si>
    <t>ICRA A1+</t>
  </si>
  <si>
    <t>INE028A16GR2</t>
  </si>
  <si>
    <t>Bank of Baroda - 15/05/2025**</t>
  </si>
  <si>
    <t>IND A1+</t>
  </si>
  <si>
    <t>INE949L16CY1</t>
  </si>
  <si>
    <t>AU Small Finance Bank Ltd - 28/10/2025**</t>
  </si>
  <si>
    <t>CRISIL A1+</t>
  </si>
  <si>
    <t>INE171A16MK3</t>
  </si>
  <si>
    <t>The Federal Bank Ltd - 25/11/2025**</t>
  </si>
  <si>
    <t>INE084A16CS2</t>
  </si>
  <si>
    <t>Bank of India - 28/11/2025**</t>
  </si>
  <si>
    <t>INE040A16FY5</t>
  </si>
  <si>
    <t>HDFC Bank Ltd - 04/12/2025</t>
  </si>
  <si>
    <t>INE556F16AX2</t>
  </si>
  <si>
    <t>Small Industries Development Bank of India - 05/12/2025**</t>
  </si>
  <si>
    <t>INE095A16X85</t>
  </si>
  <si>
    <t>IndusInd Bank Ltd - 05/12/2025**</t>
  </si>
  <si>
    <t>INE476A16A24</t>
  </si>
  <si>
    <t>INE092T16XM4</t>
  </si>
  <si>
    <t>IDFC First Bank Ltd - 28/05/2025**</t>
  </si>
  <si>
    <t>INE476A16YB0</t>
  </si>
  <si>
    <t>Canara Bank - 20/03/2025</t>
  </si>
  <si>
    <t>INE040A16GC9</t>
  </si>
  <si>
    <t>HDFC Bank Ltd - 24/03/2025**</t>
  </si>
  <si>
    <t>INE562A16MZ1</t>
  </si>
  <si>
    <t>Indian Bank - 23/05/2025**</t>
  </si>
  <si>
    <t>INE092T16XX1</t>
  </si>
  <si>
    <t>IDFC First Bank Ltd - 23/01/2026**</t>
  </si>
  <si>
    <t>INE01GA16228</t>
  </si>
  <si>
    <t>DBS Bank India Ltd - 07/03/2025</t>
  </si>
  <si>
    <t>INE160A16QQ4</t>
  </si>
  <si>
    <t>Punjab National Bank - 27/03/2025</t>
  </si>
  <si>
    <t>INE095A16X69</t>
  </si>
  <si>
    <t>IndusInd Bank Ltd - 21/11/2025**</t>
  </si>
  <si>
    <t>INE476A16ZQ5</t>
  </si>
  <si>
    <t>Canara Bank - 12/12/2025**</t>
  </si>
  <si>
    <t>INE090AD6170</t>
  </si>
  <si>
    <t>ICICI Bank Ltd - 25/07/2025**</t>
  </si>
  <si>
    <t>INE028A16GP6</t>
  </si>
  <si>
    <t>Bank of Baroda - 05/05/2025**</t>
  </si>
  <si>
    <t>INE238AD6967</t>
  </si>
  <si>
    <t>Axis Bank Ltd - 19/05/2025</t>
  </si>
  <si>
    <t>INE238AD6835</t>
  </si>
  <si>
    <t>Axis Bank Ltd - 06/06/2025</t>
  </si>
  <si>
    <t>INE040A16FA5</t>
  </si>
  <si>
    <t>HDFC Bank Ltd - 24/06/2025</t>
  </si>
  <si>
    <t>INE121A14WW7</t>
  </si>
  <si>
    <t>Cholamandalam Investment and Finance Co Ltd - 10/02/2025**</t>
  </si>
  <si>
    <t>INE403D14544</t>
  </si>
  <si>
    <t>Bharti Telecom Ltd - 17/10/2025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</si>
  <si>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</si>
  <si>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</si>
  <si>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</si>
  <si>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</si>
  <si>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</si>
  <si>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</si>
  <si>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</si>
  <si>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</si>
  <si>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INE556F14KU2</t>
  </si>
  <si>
    <t>Small Industries Development Bank of India - 24/03/2025**</t>
  </si>
  <si>
    <t>INE556F14KH9</t>
  </si>
  <si>
    <t>Small Industries Development Bank of India - 28/05/2025**</t>
  </si>
  <si>
    <t>IN002024Y290</t>
  </si>
  <si>
    <t>182 Days - T Bill - 01/05/2025</t>
  </si>
  <si>
    <t>IN002024Y332</t>
  </si>
  <si>
    <t>182 Days - T Bill - 29/05/2025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</si>
  <si>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</si>
  <si>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</si>
  <si>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</si>
  <si>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</si>
  <si>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</si>
  <si>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</si>
  <si>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</si>
  <si>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</si>
  <si>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</si>
  <si>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INE721A07SB0</t>
  </si>
  <si>
    <t>Shriram Finance Ltd - 9.2% - 22/05/2026**</t>
  </si>
  <si>
    <t>CRISIL AA+</t>
  </si>
  <si>
    <t>INE020B08ED9</t>
  </si>
  <si>
    <t>REC LTD - 7.56% - 30/06/2026**</t>
  </si>
  <si>
    <t>INE115A07OY6</t>
  </si>
  <si>
    <t>LIC Housing Finance Ltd - 5.776% - 11/09/2025**</t>
  </si>
  <si>
    <t>INE403D08181</t>
  </si>
  <si>
    <t>Bharti Telecom Ltd - 8.9% - 04/12/2025**</t>
  </si>
  <si>
    <t>INE572E07183</t>
  </si>
  <si>
    <t>PNB Housing Finance Ltd - 8.15% - 29/07/2027**</t>
  </si>
  <si>
    <t>INE020B08EM0</t>
  </si>
  <si>
    <t>REC LTD - 7.64% - 30/06/2026**</t>
  </si>
  <si>
    <t>INE523H07CB9</t>
  </si>
  <si>
    <t>JM Financial Products Ltd - 8.92% - 16/11/2026**</t>
  </si>
  <si>
    <t>CRISIL AA</t>
  </si>
  <si>
    <t>INE414G07HI7</t>
  </si>
  <si>
    <t>Muthoot Finance Ltd - 8.3% - 06/01/2026**</t>
  </si>
  <si>
    <t>INE261F08DP6</t>
  </si>
  <si>
    <t>National Bank for Agriculture &amp; Rural Development - 7.35% - 08/07/2025**</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</si>
  <si>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</si>
  <si>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</si>
  <si>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</si>
  <si>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</si>
  <si>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</si>
  <si>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</si>
  <si>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</si>
  <si>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</si>
  <si>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</si>
  <si>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INE414G07JL7</t>
  </si>
  <si>
    <t>Muthoot Finance Ltd - 8.65% - 31/01/2028**</t>
  </si>
  <si>
    <t>IN0020220037</t>
  </si>
  <si>
    <t>7.38% Central Government Securities 20/06/2027</t>
  </si>
  <si>
    <t>IN0020240050</t>
  </si>
  <si>
    <t>7.04% Central Government Securities 03/06/2029</t>
  </si>
  <si>
    <t>INE949L16CX3</t>
  </si>
  <si>
    <t>AU Small Finance Bank Ltd - 01/10/2025**</t>
  </si>
  <si>
    <t>INE237A168Y2</t>
  </si>
  <si>
    <t>Kotak Mahindra Bank Ltd - 04/12/2025**</t>
  </si>
  <si>
    <t>Sundaram Liquid Fund</t>
  </si>
  <si>
    <t>INE115A07PQ9</t>
  </si>
  <si>
    <t>LIC Housing Finance Ltd - 5.9943% - 12/03/2025**</t>
  </si>
  <si>
    <t>INE040A16EU6</t>
  </si>
  <si>
    <t>HDFC Bank Ltd - 12/03/2025**</t>
  </si>
  <si>
    <t>INE562A16MT4</t>
  </si>
  <si>
    <t>Indian Bank - 10/03/2025</t>
  </si>
  <si>
    <t>INE692A16HP7</t>
  </si>
  <si>
    <t>Union Bank of India - 18/03/2025</t>
  </si>
  <si>
    <t>INE028A16EX5</t>
  </si>
  <si>
    <t>Bank of Baroda - 20/02/2025</t>
  </si>
  <si>
    <t>INE238AD6694</t>
  </si>
  <si>
    <t>Axis Bank Ltd - 21/02/2025**</t>
  </si>
  <si>
    <t>INE476A16YZ9</t>
  </si>
  <si>
    <t>Canara Bank - 28/02/2025**</t>
  </si>
  <si>
    <t>INE040A16ER2</t>
  </si>
  <si>
    <t>HDFC Bank Ltd - 06/03/2025**</t>
  </si>
  <si>
    <t>INE008A16X32</t>
  </si>
  <si>
    <t>IDBI Bank Ltd - 04/02/2025**</t>
  </si>
  <si>
    <t>INE028A16EU1</t>
  </si>
  <si>
    <t>Bank of Baroda - 07/02/2025</t>
  </si>
  <si>
    <t>INE692A16GY1</t>
  </si>
  <si>
    <t>Union Bank of India - 25/02/2025**</t>
  </si>
  <si>
    <t>INE084A16CR4</t>
  </si>
  <si>
    <t>Bank of India - 27/02/2025**</t>
  </si>
  <si>
    <t>INE084A16CN3</t>
  </si>
  <si>
    <t>Bank of India - 03/03/2025**</t>
  </si>
  <si>
    <t>INE562A16MR8</t>
  </si>
  <si>
    <t>Indian Bank - 13/03/2025</t>
  </si>
  <si>
    <t>INE692A16HF8</t>
  </si>
  <si>
    <t>Union Bank of India - 26/03/2025**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</si>
  <si>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</si>
  <si>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</si>
  <si>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</si>
  <si>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</si>
  <si>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</si>
  <si>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</si>
  <si>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</si>
  <si>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</si>
  <si>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INE028A16HM1</t>
  </si>
  <si>
    <t>Bank of Baroda - 17/04/2025**</t>
  </si>
  <si>
    <t>INE028A16GT8</t>
  </si>
  <si>
    <t>Bank of Baroda - 04/02/2025**</t>
  </si>
  <si>
    <t>INE562A16NL9</t>
  </si>
  <si>
    <t>Indian Bank - 05/02/2025**</t>
  </si>
  <si>
    <t>INE160A16QI1</t>
  </si>
  <si>
    <t>Punjab National Bank - 11/02/2025</t>
  </si>
  <si>
    <t>INE160A16PK9</t>
  </si>
  <si>
    <t>Punjab National Bank - 20/02/2025</t>
  </si>
  <si>
    <t>INE090AD6121</t>
  </si>
  <si>
    <t>ICICI Bank Ltd - 25/02/2025**</t>
  </si>
  <si>
    <t>INE238AD6827</t>
  </si>
  <si>
    <t>Axis Bank Ltd - 28/02/2025**</t>
  </si>
  <si>
    <t>INE476A16ZC5</t>
  </si>
  <si>
    <t>Canara Bank - 07/03/2025**</t>
  </si>
  <si>
    <t>INE261F16835</t>
  </si>
  <si>
    <t>National Bank for Agriculture &amp; Rural Development - 07/03/2025**</t>
  </si>
  <si>
    <t>INE160A16OP1</t>
  </si>
  <si>
    <t>Punjab National Bank - 11/03/2025**</t>
  </si>
  <si>
    <t>INE692A16GX3</t>
  </si>
  <si>
    <t>Union Bank of India - 21/02/2025**</t>
  </si>
  <si>
    <t>INE160A16QO9</t>
  </si>
  <si>
    <t>Punjab National Bank - 13/03/2025**</t>
  </si>
  <si>
    <t>INE556F14KR8</t>
  </si>
  <si>
    <t>Small Industries Development Bank of India - 12/03/2025</t>
  </si>
  <si>
    <t>INE763G14WD3</t>
  </si>
  <si>
    <t>ICICI Securities Ltd - 11/02/2025**</t>
  </si>
  <si>
    <t>INE018A14LG1</t>
  </si>
  <si>
    <t>Larsen &amp; Toubro Ltd - 14/02/2025**</t>
  </si>
  <si>
    <t>INE929O14CT2</t>
  </si>
  <si>
    <t>Reliance Retail Ventures Ltd - 18/02/2025**</t>
  </si>
  <si>
    <t>INE891D14ZI1</t>
  </si>
  <si>
    <t>Redington Ltd - 27/02/2025**</t>
  </si>
  <si>
    <t>INE556F14KG1</t>
  </si>
  <si>
    <t>Small Industries Development Bank of India - 28/02/2025**</t>
  </si>
  <si>
    <t>INE556F14KQ0</t>
  </si>
  <si>
    <t>Small Industries Development Bank of India - 06/03/2025**</t>
  </si>
  <si>
    <t>INE261F14MP5</t>
  </si>
  <si>
    <t>National Bank for Agriculture &amp; Rural Development - 13/03/2025**</t>
  </si>
  <si>
    <t>INE0DZE14172</t>
  </si>
  <si>
    <t>Kisetsu Saison Finance - 20/03/2025**</t>
  </si>
  <si>
    <t>INE261F14MV3</t>
  </si>
  <si>
    <t>National Bank for Agriculture &amp; Rural Development - 28/04/2025**</t>
  </si>
  <si>
    <t>INE700G14MJ3</t>
  </si>
  <si>
    <t>HDFC Securities Ltd - 27/02/2025**</t>
  </si>
  <si>
    <t>INE071G14GH5</t>
  </si>
  <si>
    <t>ICICI Home Finance Company Ltd - 13/03/2025**</t>
  </si>
  <si>
    <t>INE233A14X49</t>
  </si>
  <si>
    <t>Godrej Industries Ltd - 20/03/2025**</t>
  </si>
  <si>
    <t>INE212K14AL2</t>
  </si>
  <si>
    <t>SBI Cap securities Ltd - 20/03/2025**</t>
  </si>
  <si>
    <t>INE763G14WK8</t>
  </si>
  <si>
    <t>ICICI Securities Ltd - 21/03/2025**</t>
  </si>
  <si>
    <t>INE824H14QY9</t>
  </si>
  <si>
    <t>Julius Baer Capital (India) Private Ltd - 20/03/2025**</t>
  </si>
  <si>
    <t>INE338I14JA3</t>
  </si>
  <si>
    <t>Motilal Oswal Financial Services Ltd - 22/04/2025**</t>
  </si>
  <si>
    <t>INE338I14IQ1</t>
  </si>
  <si>
    <t>Motilal Oswal Financial Services Ltd - 04/02/2025**</t>
  </si>
  <si>
    <t>INE929O14CS4</t>
  </si>
  <si>
    <t>Reliance Retail Ventures Ltd - 11/02/2025**</t>
  </si>
  <si>
    <t>INE700G14MD6</t>
  </si>
  <si>
    <t>HDFC Securities Ltd - 12/02/2025</t>
  </si>
  <si>
    <t>INE498L14CV0</t>
  </si>
  <si>
    <t>L &amp; T Finance Ltd - 13/02/2025**</t>
  </si>
  <si>
    <t>INE860H143M7</t>
  </si>
  <si>
    <t>Aditya Birla Finance Ltd - 25/02/2025**</t>
  </si>
  <si>
    <t>INE047A14AC2</t>
  </si>
  <si>
    <t>Grasim Industries Ltd - 28/02/2025</t>
  </si>
  <si>
    <t>INE071G14GF9</t>
  </si>
  <si>
    <t>ICICI Home Finance Company Ltd - 07/03/2025**</t>
  </si>
  <si>
    <t>INE144H14HF0</t>
  </si>
  <si>
    <t>Deutsche Investments India Private Ltd - 13/03/2025**</t>
  </si>
  <si>
    <t>INE417C14835</t>
  </si>
  <si>
    <t>Pilani Investment and Industries Corporation Ltd. - 13/03/2025**</t>
  </si>
  <si>
    <t>INE115A14EY3</t>
  </si>
  <si>
    <t>LIC Housing Finance Ltd - 18/03/2025**</t>
  </si>
  <si>
    <t>INE850D14TI0</t>
  </si>
  <si>
    <t>Godrej Agrovet Ltd - 18/03/2025**</t>
  </si>
  <si>
    <t>INE865C14MW6</t>
  </si>
  <si>
    <t>Aditya Birla Money Ltd - 20/03/2025**</t>
  </si>
  <si>
    <t>INE700G14NC6</t>
  </si>
  <si>
    <t>HDFC Securities Ltd - 22/04/2025**</t>
  </si>
  <si>
    <t>INE261F14ML4</t>
  </si>
  <si>
    <t>National Bank for Agriculture &amp; Rural Development - 21/02/2025**</t>
  </si>
  <si>
    <t>INE865C14MJ3</t>
  </si>
  <si>
    <t>Aditya Birla Money Ltd - 05/02/2025**</t>
  </si>
  <si>
    <t>INE115A14ET3</t>
  </si>
  <si>
    <t>LIC Housing Finance Ltd - 21/02/2025**</t>
  </si>
  <si>
    <t>INE027214738</t>
  </si>
  <si>
    <t>BOBCARD Ltd - 27/02/2025**</t>
  </si>
  <si>
    <t>IN002024X375</t>
  </si>
  <si>
    <t>91 Days - T Bill - 20/03/2025</t>
  </si>
  <si>
    <t>IN002024X425</t>
  </si>
  <si>
    <t>91 Days - T Bill - 24/04/2025</t>
  </si>
  <si>
    <t>IN002024Y217</t>
  </si>
  <si>
    <t>182 Days - T Bill - 20/02/2025</t>
  </si>
  <si>
    <t>IN002024X318</t>
  </si>
  <si>
    <t>91 Days - T Bill - 06/02/2025</t>
  </si>
  <si>
    <t>IN002024X342</t>
  </si>
  <si>
    <t>91 Days - T Bill - 27/02/2025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</si>
  <si>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</si>
  <si>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</si>
  <si>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</si>
  <si>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</si>
  <si>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</si>
  <si>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</si>
  <si>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</si>
  <si>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</si>
  <si>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</si>
  <si>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</si>
  <si>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</si>
  <si>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</si>
  <si>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</si>
  <si>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</si>
  <si>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</si>
  <si>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</si>
  <si>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</si>
  <si>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</si>
  <si>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</si>
  <si>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</si>
  <si>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</si>
  <si>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</si>
  <si>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</si>
  <si>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</si>
  <si>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</si>
  <si>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</si>
  <si>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</si>
  <si>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INE238AD6819</t>
  </si>
  <si>
    <t>Axis Bank Ltd - 27/02/2025**</t>
  </si>
  <si>
    <t>INE238AD6843</t>
  </si>
  <si>
    <t>Axis Bank Ltd - 05/06/2025**</t>
  </si>
  <si>
    <t>INE692A16IC3</t>
  </si>
  <si>
    <t>Union Bank of India - 04/12/2025**</t>
  </si>
  <si>
    <t>INE237A160W3</t>
  </si>
  <si>
    <t>Kotak Mahindra Bank Ltd - 05/02/2025**</t>
  </si>
  <si>
    <t>INE160A16OL0</t>
  </si>
  <si>
    <t>Punjab National Bank - 07/02/2025**</t>
  </si>
  <si>
    <t>INE476A16XV0</t>
  </si>
  <si>
    <t>Canara Bank - 11/03/2025**</t>
  </si>
  <si>
    <t>INE084A16CT0</t>
  </si>
  <si>
    <t>Bank of India - 28/05/2025**</t>
  </si>
  <si>
    <t>INE095A16X10</t>
  </si>
  <si>
    <t>IndusInd Bank Ltd - 19/08/2025**</t>
  </si>
  <si>
    <t>INE238AD6884</t>
  </si>
  <si>
    <t>Axis Bank Ltd - 22/08/2025**</t>
  </si>
  <si>
    <t>INE556F16AY0</t>
  </si>
  <si>
    <t>Small Industries Development Bank of India - 13/01/2026**</t>
  </si>
  <si>
    <t>INE040A16GD7</t>
  </si>
  <si>
    <t>HDFC Bank Ltd - 30/01/2026**</t>
  </si>
  <si>
    <t>INE414G14TC1</t>
  </si>
  <si>
    <t>Muthoot Finance Ltd - 25/02/2025**</t>
  </si>
  <si>
    <t>INE477S14CC9</t>
  </si>
  <si>
    <t>Tata Motors Finance Ltd - 11/03/2025**</t>
  </si>
  <si>
    <t>INE514E14SL6</t>
  </si>
  <si>
    <t>Export Import Bank of India - 03/06/2025</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</si>
  <si>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</si>
  <si>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</si>
  <si>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</si>
  <si>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</si>
  <si>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</si>
  <si>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</si>
  <si>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</si>
  <si>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</si>
  <si>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IN002024Y241</t>
  </si>
  <si>
    <t>182 Days - T Bill - 13/03/2025</t>
  </si>
  <si>
    <t>IN002024Y324</t>
  </si>
  <si>
    <t>182 Days - T Bill - 23/05/2025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</si>
  <si>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</si>
  <si>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</si>
  <si>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</si>
  <si>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</si>
  <si>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</si>
  <si>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</si>
  <si>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</si>
  <si>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</si>
  <si>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</si>
  <si>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</si>
  <si>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</si>
  <si>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</si>
  <si>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</si>
  <si>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</si>
  <si>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</si>
  <si>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</si>
  <si>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</si>
  <si>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</si>
  <si>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</si>
  <si>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</si>
  <si>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</si>
  <si>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INE860A01027</t>
  </si>
  <si>
    <t>HCL Technologies Ltd</t>
  </si>
  <si>
    <t>INE018A01030</t>
  </si>
  <si>
    <t>Larsen &amp; Toubro Ltd</t>
  </si>
  <si>
    <t>Construction</t>
  </si>
  <si>
    <t>INE062A01020</t>
  </si>
  <si>
    <t>State Bank of India</t>
  </si>
  <si>
    <t>INE238A01034</t>
  </si>
  <si>
    <t>Axis Bank Ltd</t>
  </si>
  <si>
    <t>INE154A01025</t>
  </si>
  <si>
    <t>ITC Ltd</t>
  </si>
  <si>
    <t>Diversified Fmcg</t>
  </si>
  <si>
    <t>INE481G01011</t>
  </si>
  <si>
    <t>Ultratech Cement Ltd</t>
  </si>
  <si>
    <t>Cement &amp; Cement Products</t>
  </si>
  <si>
    <t>INE917I01010</t>
  </si>
  <si>
    <t>Bajaj Auto Ltd</t>
  </si>
  <si>
    <t>Automobiles</t>
  </si>
  <si>
    <t>INE797F01020</t>
  </si>
  <si>
    <t>Jubilant Foodworks Ltd</t>
  </si>
  <si>
    <t>Leisure Services</t>
  </si>
  <si>
    <t>INE196A01026</t>
  </si>
  <si>
    <t>Marico Ltd</t>
  </si>
  <si>
    <t>Agricultural Food &amp; Other Products</t>
  </si>
  <si>
    <t>INE029A01011</t>
  </si>
  <si>
    <t>Bharat Petroleum Corporation Ltd</t>
  </si>
  <si>
    <t>INE237A01028</t>
  </si>
  <si>
    <t>Kotak Mahindra Bank Ltd</t>
  </si>
  <si>
    <t>INE854D01024</t>
  </si>
  <si>
    <t>United Spirits Ltd</t>
  </si>
  <si>
    <t>Beverages</t>
  </si>
  <si>
    <t>INE540L01014</t>
  </si>
  <si>
    <t>Alkem Laboratories Ltd</t>
  </si>
  <si>
    <t>Pharmaceuticals &amp; Biotechnology</t>
  </si>
  <si>
    <t>INE726G01019</t>
  </si>
  <si>
    <t>ICICI Prudential Life Insurance Company Ltd</t>
  </si>
  <si>
    <t>Insurance</t>
  </si>
  <si>
    <t>INE585B01010</t>
  </si>
  <si>
    <t>Maruti Suzuki India Ltd</t>
  </si>
  <si>
    <t>INE047A01021</t>
  </si>
  <si>
    <t>Grasim Industries Ltd</t>
  </si>
  <si>
    <t>INE603J01030</t>
  </si>
  <si>
    <t>PI Industries Ltd</t>
  </si>
  <si>
    <t>Fertilizers &amp; Agrochemicals</t>
  </si>
  <si>
    <t>INE438A01022</t>
  </si>
  <si>
    <t>Apollo Tyres Ltd</t>
  </si>
  <si>
    <t>Auto Components</t>
  </si>
  <si>
    <t>IN9397D01014</t>
  </si>
  <si>
    <t>Sundaram Overnight Fund</t>
  </si>
  <si>
    <t>IN002023Z471</t>
  </si>
  <si>
    <t>364 Days- T Bill-06/02/2025</t>
  </si>
  <si>
    <t>IN002024Y191</t>
  </si>
  <si>
    <t>182 Days - T Bill - 06/02/2025</t>
  </si>
  <si>
    <t>IN002024Y209</t>
  </si>
  <si>
    <t>182 Days - T Bill - 14/02/2025</t>
  </si>
  <si>
    <t>IN002024Y225</t>
  </si>
  <si>
    <t>182 Days - T Bill - 27/02/2025</t>
  </si>
  <si>
    <t>Reverse Repo</t>
  </si>
  <si>
    <t>YTM (%)*</t>
  </si>
  <si>
    <t>Index</t>
  </si>
  <si>
    <t>S. No.</t>
  </si>
  <si>
    <t>ACRONYM</t>
  </si>
  <si>
    <t>SCHEME NAME</t>
  </si>
  <si>
    <t>SFRLTP</t>
  </si>
  <si>
    <t>SFRSTP</t>
  </si>
  <si>
    <t>SMMF</t>
  </si>
  <si>
    <t>SPLDF</t>
  </si>
  <si>
    <t>SPMON</t>
  </si>
  <si>
    <t>SPSDF</t>
  </si>
  <si>
    <t>SPUSDF</t>
  </si>
  <si>
    <t>SUNBDS</t>
  </si>
  <si>
    <t>SUNMIA</t>
  </si>
  <si>
    <t>SUNONF</t>
  </si>
  <si>
    <t>YTM (%)</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</si>
  <si>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</si>
  <si>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</si>
  <si>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</si>
  <si>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</si>
  <si>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</si>
  <si>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</si>
  <si>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</si>
  <si>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</si>
  <si>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</si>
  <si>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</si>
  <si>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</si>
  <si>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</si>
  <si>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</si>
  <si>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</si>
  <si>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</si>
  <si>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</si>
  <si>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</si>
  <si>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</si>
  <si>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</si>
  <si>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</si>
  <si>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</si>
  <si>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</si>
  <si>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</si>
  <si>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</si>
  <si>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</si>
  <si>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</si>
  <si>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</si>
  <si>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</si>
  <si>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</si>
  <si>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</si>
  <si>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</si>
  <si>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</si>
  <si>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</si>
  <si>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</si>
  <si>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</si>
  <si>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</si>
  <si>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</si>
  <si>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</si>
  <si>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</si>
  <si>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</si>
  <si>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</si>
  <si>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</si>
  <si>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</si>
  <si>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</si>
  <si>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</si>
  <si>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</si>
  <si>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</si>
  <si>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</si>
  <si>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</si>
  <si>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</si>
  <si>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</si>
  <si>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</si>
  <si>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</si>
  <si>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</si>
  <si>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</si>
  <si>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</si>
  <si>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</si>
  <si>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</si>
  <si>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</si>
  <si>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</si>
  <si>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Net receivable/ Market value  (Rs. Lakh)</t>
  </si>
  <si>
    <t>% to NAV</t>
  </si>
  <si>
    <t xml:space="preserve">                      NIFTY Liquid Index A-I</t>
  </si>
  <si>
    <t xml:space="preserve">                       NIFTY Liquid Index</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</si>
  <si>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</si>
  <si>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</si>
  <si>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</si>
  <si>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</si>
  <si>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</si>
  <si>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</si>
  <si>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</si>
  <si>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</si>
  <si>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</si>
  <si>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</si>
  <si>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</si>
  <si>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</si>
  <si>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</si>
  <si>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</si>
  <si>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Interest Rate Swaps Pay Fix Receive Floating (11/12/2025) (FV 2500 Lacs)~</t>
  </si>
  <si>
    <t>#</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</si>
  <si>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</si>
  <si>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</si>
  <si>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</si>
  <si>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</si>
  <si>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</si>
  <si>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</si>
  <si>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</si>
  <si>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</si>
  <si>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</si>
  <si>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</si>
  <si>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</si>
  <si>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</si>
  <si>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</si>
  <si>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</si>
  <si>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</si>
  <si>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</si>
  <si>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</si>
  <si>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</si>
  <si>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</si>
  <si>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</si>
  <si>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</si>
  <si>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</si>
  <si>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</si>
  <si>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</si>
  <si>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</si>
  <si>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</si>
  <si>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</si>
  <si>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</si>
  <si>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</si>
  <si>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</si>
  <si>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</si>
  <si>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</si>
  <si>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</si>
  <si>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</si>
  <si>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</si>
  <si>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</si>
  <si>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</si>
  <si>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</si>
  <si>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</si>
  <si>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31-Jan-2025</t>
  </si>
  <si>
    <t>i) Exposure to securities classified as below investment grade or default as on 31-Jan-2025:-</t>
  </si>
  <si>
    <t>h)  Hedging Positions through Swaps as on 31-Jan-2025:-</t>
  </si>
  <si>
    <t>% to AUM as on  31-Jan-2025</t>
  </si>
  <si>
    <t>h) Exposure to securities classified as below investment grade or default as on 31-Jan-2025:-</t>
  </si>
  <si>
    <t>++ Aggregate Investments by Other schemes of Sundaram Mutual Fund - Rs.11,203.83 Lakhs</t>
  </si>
  <si>
    <t>++ Aggregate Investments by Other schemes of Sundaram Mutual Fund - Rs.5,236.29 Lakhs</t>
  </si>
  <si>
    <t>Direct Plan - Monthly IDCW</t>
  </si>
  <si>
    <t>Direct Plan - Quarterly IDCW</t>
  </si>
  <si>
    <t>Direct Plan - Halfyearly IDCW</t>
  </si>
  <si>
    <t>Direct Plan - Annual IDCW</t>
  </si>
  <si>
    <t>Regular Plan - Monthly IDCW</t>
  </si>
  <si>
    <t>Regular Plan - Halfyearly IDCW</t>
  </si>
  <si>
    <t>Regular Plan - Annual IDCW</t>
  </si>
  <si>
    <t>Canara Bank - 03/02/2026**</t>
  </si>
  <si>
    <t>Monthly Portfolio Statement for the month ended 31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</si>
</sst>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409]d\-mmm\-yy;@"/>
    <numFmt numFmtId="176" formatCode="_(* #,##0.00_);_(* \(#,##0.00\);_(* &quot;-&quot;??_);_(@_)"/>
  </numFmts>
  <fonts count="40" x14ac:knownFonts="1">
    <font>
      <sz val="10"/>
      <name val="Arial"/>
      <charset val="1"/>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color indexed="8"/>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2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2">
    <xf numFmtId="0" fontId="0" fillId="0" borderId="0">
      <alignment wrapText="1"/>
    </xf>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3" fillId="0" borderId="0" applyNumberFormat="0" applyFill="0" applyBorder="0" applyAlignment="0" applyProtection="0">
      <alignment wrapText="1"/>
    </xf>
    <xf numFmtId="0" fontId="21" fillId="0" borderId="0">
      <alignment wrapText="1"/>
    </xf>
    <xf numFmtId="43" fontId="21" fillId="0" borderId="0" applyFont="0" applyFill="0" applyBorder="0" applyAlignment="0" applyProtection="0"/>
    <xf numFmtId="9" fontId="29" fillId="0" borderId="0" applyFont="0" applyFill="0" applyBorder="0" applyAlignment="0" applyProtection="0"/>
    <xf numFmtId="9" fontId="21" fillId="0" borderId="0" applyFont="0" applyFill="0" applyBorder="0" applyAlignment="0" applyProtection="0"/>
    <xf numFmtId="0" fontId="1" fillId="0" borderId="0"/>
    <xf numFmtId="0" fontId="1" fillId="0" borderId="0"/>
  </cellStyleXfs>
  <cellXfs count="221">
    <xf numFmtId="0" fontId="0" fillId="0" borderId="0" xfId="0">
      <alignment wrapText="1"/>
    </xf>
    <xf numFmtId="0" fontId="17" fillId="0" borderId="0" xfId="5" applyFont="1" applyFill="1" applyBorder="1" applyAlignment="1">
      <alignment horizontal="center" vertical="center" wrapText="1"/>
    </xf>
    <xf numFmtId="43" fontId="22" fillId="0" borderId="7" xfId="7" applyFont="1" applyFill="1" applyBorder="1" applyAlignment="1">
      <alignment vertical="center"/>
    </xf>
    <xf numFmtId="43" fontId="26" fillId="0" borderId="7" xfId="7" applyFont="1" applyFill="1" applyBorder="1" applyAlignment="1">
      <alignment vertical="center"/>
    </xf>
    <xf numFmtId="4" fontId="28" fillId="0" borderId="7" xfId="8" applyNumberFormat="1" applyFont="1" applyFill="1" applyBorder="1"/>
    <xf numFmtId="10" fontId="26" fillId="0" borderId="7" xfId="9" applyNumberFormat="1" applyFont="1" applyFill="1" applyBorder="1" applyAlignment="1">
      <alignment vertical="center"/>
    </xf>
    <xf numFmtId="4" fontId="28" fillId="0" borderId="0" xfId="8" applyNumberFormat="1" applyFont="1" applyFill="1" applyBorder="1"/>
    <xf numFmtId="43" fontId="26" fillId="0" borderId="8" xfId="7" applyFont="1" applyFill="1" applyBorder="1" applyAlignment="1">
      <alignment horizontal="center" vertical="center"/>
    </xf>
    <xf numFmtId="43" fontId="26" fillId="0" borderId="10" xfId="7" applyFont="1" applyFill="1" applyBorder="1" applyAlignment="1">
      <alignment horizontal="center" vertical="center"/>
    </xf>
    <xf numFmtId="0" fontId="2" fillId="0" borderId="13" xfId="0" applyFont="1" applyFill="1" applyBorder="1" applyAlignment="1">
      <alignment horizontal="center" vertical="center" wrapText="1" readingOrder="1"/>
    </xf>
    <xf numFmtId="0" fontId="0" fillId="0" borderId="0" xfId="0" applyFill="1" applyAlignment="1"/>
    <xf numFmtId="0" fontId="2" fillId="0" borderId="13" xfId="0" applyFont="1" applyFill="1" applyBorder="1" applyAlignment="1">
      <alignment horizontal="center" vertical="top" wrapText="1" readingOrder="1"/>
    </xf>
    <xf numFmtId="43" fontId="16" fillId="0" borderId="13" xfId="2" applyFont="1" applyFill="1" applyBorder="1" applyAlignment="1">
      <alignment horizontal="center" vertical="center" wrapText="1" readingOrder="1"/>
    </xf>
    <xf numFmtId="0" fontId="3" fillId="0" borderId="14" xfId="0" applyFont="1" applyFill="1" applyBorder="1" applyAlignment="1">
      <alignment horizontal="right" vertical="top" wrapText="1" readingOrder="1"/>
    </xf>
    <xf numFmtId="0" fontId="4" fillId="0" borderId="14" xfId="0" applyFont="1" applyFill="1" applyBorder="1" applyAlignment="1">
      <alignment horizontal="left" vertical="center" wrapText="1" readingOrder="1"/>
    </xf>
    <xf numFmtId="165" fontId="18" fillId="0" borderId="15" xfId="0" applyNumberFormat="1" applyFont="1" applyFill="1" applyBorder="1" applyAlignment="1">
      <alignment horizontal="right" vertical="center" wrapText="1" readingOrder="1"/>
    </xf>
    <xf numFmtId="0" fontId="0" fillId="0" borderId="0" xfId="0" applyFill="1">
      <alignment wrapText="1"/>
    </xf>
    <xf numFmtId="0" fontId="3" fillId="0" borderId="4" xfId="0" applyFont="1" applyFill="1" applyBorder="1" applyAlignment="1">
      <alignment horizontal="right" vertical="top" wrapText="1" readingOrder="1"/>
    </xf>
    <xf numFmtId="0" fontId="4" fillId="0" borderId="4" xfId="0" applyFont="1" applyFill="1" applyBorder="1" applyAlignment="1">
      <alignment horizontal="left" vertical="center" wrapText="1" readingOrder="1"/>
    </xf>
    <xf numFmtId="0" fontId="4" fillId="0" borderId="4" xfId="0" applyFont="1" applyFill="1" applyBorder="1" applyAlignment="1">
      <alignment horizontal="right" vertical="center" wrapText="1" readingOrder="1"/>
    </xf>
    <xf numFmtId="164" fontId="4" fillId="0" borderId="4" xfId="0" applyNumberFormat="1" applyFont="1" applyFill="1" applyBorder="1" applyAlignment="1">
      <alignment horizontal="righ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165" fontId="4" fillId="0" borderId="4" xfId="0" applyNumberFormat="1" applyFont="1" applyFill="1" applyBorder="1" applyAlignment="1">
      <alignment horizontal="right" vertical="center" wrapText="1" readingOrder="1"/>
    </xf>
    <xf numFmtId="166"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left" vertical="center" wrapText="1" readingOrder="1"/>
    </xf>
    <xf numFmtId="167" fontId="3" fillId="0" borderId="4" xfId="0" applyNumberFormat="1"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right" vertical="center" wrapText="1" readingOrder="1"/>
    </xf>
    <xf numFmtId="0" fontId="18" fillId="0" borderId="4" xfId="0" applyFont="1" applyFill="1" applyBorder="1" applyAlignment="1">
      <alignment horizontal="right" vertical="top" wrapText="1" readingOrder="1"/>
    </xf>
    <xf numFmtId="0" fontId="19" fillId="0" borderId="4" xfId="0" applyFont="1" applyFill="1" applyBorder="1" applyAlignment="1">
      <alignment horizontal="left" vertical="center" wrapText="1" readingOrder="1"/>
    </xf>
    <xf numFmtId="0" fontId="19" fillId="0" borderId="4" xfId="0" applyFont="1" applyFill="1" applyBorder="1" applyAlignment="1">
      <alignment horizontal="right" vertical="center" wrapText="1" readingOrder="1"/>
    </xf>
    <xf numFmtId="165" fontId="18" fillId="0" borderId="7" xfId="0" applyNumberFormat="1" applyFont="1" applyFill="1" applyBorder="1" applyAlignment="1">
      <alignment horizontal="right" vertical="center" wrapText="1" readingOrder="1"/>
    </xf>
    <xf numFmtId="0" fontId="20" fillId="0" borderId="4" xfId="0" applyFont="1" applyFill="1" applyBorder="1" applyAlignment="1">
      <alignment horizontal="left" vertical="center" wrapText="1" readingOrder="1"/>
    </xf>
    <xf numFmtId="165" fontId="18" fillId="0" borderId="4" xfId="0" applyNumberFormat="1" applyFont="1" applyFill="1" applyBorder="1" applyAlignment="1">
      <alignment horizontal="right" vertical="center" wrapText="1" readingOrder="1"/>
    </xf>
    <xf numFmtId="0" fontId="21" fillId="0" borderId="0" xfId="6" applyFill="1">
      <alignment wrapText="1"/>
    </xf>
    <xf numFmtId="0" fontId="22" fillId="0" borderId="0" xfId="0" applyFont="1" applyFill="1">
      <alignment wrapText="1"/>
    </xf>
    <xf numFmtId="166" fontId="18" fillId="0" borderId="4" xfId="0" applyNumberFormat="1" applyFont="1" applyFill="1" applyBorder="1" applyAlignment="1">
      <alignment horizontal="right" vertical="center" wrapText="1" readingOrder="1"/>
    </xf>
    <xf numFmtId="0" fontId="18" fillId="0" borderId="4" xfId="0" applyFont="1" applyFill="1" applyBorder="1" applyAlignment="1">
      <alignment horizontal="left" vertical="center" wrapText="1" readingOrder="1"/>
    </xf>
    <xf numFmtId="168" fontId="18" fillId="0" borderId="4" xfId="0" applyNumberFormat="1" applyFont="1" applyFill="1" applyBorder="1" applyAlignment="1">
      <alignment horizontal="right" vertical="center" wrapText="1" readingOrder="1"/>
    </xf>
    <xf numFmtId="164" fontId="18" fillId="0" borderId="4" xfId="0" applyNumberFormat="1" applyFont="1" applyFill="1" applyBorder="1" applyAlignment="1">
      <alignment horizontal="right" vertical="center" wrapText="1" readingOrder="1"/>
    </xf>
    <xf numFmtId="165" fontId="20" fillId="0" borderId="4" xfId="0" applyNumberFormat="1" applyFont="1" applyFill="1" applyBorder="1" applyAlignment="1">
      <alignment horizontal="right" vertical="center" wrapText="1" readingOrder="1"/>
    </xf>
    <xf numFmtId="164" fontId="20" fillId="0" borderId="4" xfId="0" applyNumberFormat="1" applyFont="1" applyFill="1" applyBorder="1" applyAlignment="1">
      <alignment horizontal="right" vertical="center" wrapText="1" readingOrder="1"/>
    </xf>
    <xf numFmtId="169" fontId="4" fillId="0" borderId="4" xfId="0" applyNumberFormat="1" applyFont="1" applyFill="1" applyBorder="1" applyAlignment="1">
      <alignment horizontal="right" vertical="center" wrapText="1" readingOrder="1"/>
    </xf>
    <xf numFmtId="0" fontId="5" fillId="0" borderId="5" xfId="0" applyFont="1" applyFill="1" applyBorder="1" applyAlignment="1">
      <alignment horizontal="left" vertical="center" wrapText="1" readingOrder="1"/>
    </xf>
    <xf numFmtId="0" fontId="5" fillId="0" borderId="5" xfId="0" applyFont="1" applyFill="1" applyBorder="1" applyAlignment="1">
      <alignment horizontal="right" vertical="center" wrapText="1" readingOrder="1"/>
    </xf>
    <xf numFmtId="0" fontId="19" fillId="0" borderId="0" xfId="0" applyFont="1" applyFill="1" applyAlignment="1">
      <alignment horizontal="left" vertical="center" wrapText="1" readingOrder="1"/>
    </xf>
    <xf numFmtId="0" fontId="18" fillId="0" borderId="0" xfId="0" applyFont="1" applyFill="1" applyAlignment="1">
      <alignment horizontal="left" vertical="center" wrapText="1" readingOrder="1"/>
    </xf>
    <xf numFmtId="0" fontId="5" fillId="0" borderId="0" xfId="0" applyFont="1" applyFill="1" applyAlignment="1">
      <alignment horizontal="left" vertical="center" wrapText="1" readingOrder="1"/>
    </xf>
    <xf numFmtId="0" fontId="5" fillId="0" borderId="0" xfId="0" applyFont="1" applyFill="1" applyAlignment="1">
      <alignment horizontal="right" vertical="center" wrapText="1" readingOrder="1"/>
    </xf>
    <xf numFmtId="0" fontId="4" fillId="0" borderId="1" xfId="0" applyFont="1" applyFill="1" applyBorder="1" applyAlignment="1">
      <alignment horizontal="left" vertical="center" wrapText="1" readingOrder="1"/>
    </xf>
    <xf numFmtId="0" fontId="4" fillId="0" borderId="2" xfId="0" applyFont="1" applyFill="1" applyBorder="1" applyAlignment="1">
      <alignment horizontal="left" vertical="center" wrapText="1" readingOrder="1"/>
    </xf>
    <xf numFmtId="0" fontId="4" fillId="0" borderId="3" xfId="0" applyFont="1" applyFill="1" applyBorder="1" applyAlignment="1">
      <alignment horizontal="left" vertical="center" wrapText="1" readingOrder="1"/>
    </xf>
    <xf numFmtId="0" fontId="5" fillId="0" borderId="6" xfId="0" applyFont="1" applyFill="1" applyBorder="1" applyAlignment="1">
      <alignment horizontal="right" vertical="center" wrapText="1" readingOrder="1"/>
    </xf>
    <xf numFmtId="0" fontId="3" fillId="0" borderId="1" xfId="0" applyFont="1" applyFill="1" applyBorder="1" applyAlignment="1">
      <alignment horizontal="left" vertical="center" wrapText="1" readingOrder="1"/>
    </xf>
    <xf numFmtId="0" fontId="3" fillId="0" borderId="3" xfId="0" applyFont="1" applyFill="1" applyBorder="1" applyAlignment="1">
      <alignment horizontal="left" vertical="center" wrapText="1" readingOrder="1"/>
    </xf>
    <xf numFmtId="0" fontId="18" fillId="0" borderId="0" xfId="0" applyFont="1" applyFill="1" applyAlignment="1">
      <alignment horizontal="right" vertical="top" wrapText="1" readingOrder="1"/>
    </xf>
    <xf numFmtId="0" fontId="20" fillId="0" borderId="4" xfId="0" applyFont="1" applyFill="1" applyBorder="1" applyAlignment="1">
      <alignment horizontal="right" vertical="top" wrapText="1" readingOrder="1"/>
    </xf>
    <xf numFmtId="0" fontId="20" fillId="0" borderId="4" xfId="0" applyFont="1" applyFill="1" applyBorder="1" applyAlignment="1">
      <alignment horizontal="left" vertical="top" wrapText="1" readingOrder="1"/>
    </xf>
    <xf numFmtId="173" fontId="20" fillId="0" borderId="4" xfId="0" applyNumberFormat="1" applyFont="1" applyFill="1" applyBorder="1" applyAlignment="1">
      <alignment horizontal="right" vertical="top" wrapText="1" readingOrder="1"/>
    </xf>
    <xf numFmtId="0" fontId="3" fillId="0" borderId="0" xfId="0" applyFont="1" applyFill="1" applyAlignment="1">
      <alignment horizontal="right" vertical="top" wrapText="1" readingOrder="1"/>
    </xf>
    <xf numFmtId="170" fontId="3" fillId="0" borderId="4" xfId="0" applyNumberFormat="1" applyFont="1" applyFill="1" applyBorder="1" applyAlignment="1">
      <alignment horizontal="right" vertical="center" wrapText="1" readingOrder="1"/>
    </xf>
    <xf numFmtId="0" fontId="3" fillId="0" borderId="0" xfId="0" applyFont="1" applyFill="1" applyAlignment="1">
      <alignment horizontal="left" vertical="center" wrapText="1" readingOrder="1"/>
    </xf>
    <xf numFmtId="0" fontId="3" fillId="0" borderId="0" xfId="0" applyFont="1" applyFill="1" applyAlignment="1">
      <alignment horizontal="right" vertical="center" wrapText="1" readingOrder="1"/>
    </xf>
    <xf numFmtId="0" fontId="6" fillId="0" borderId="4" xfId="0" applyFont="1" applyFill="1" applyBorder="1" applyAlignment="1">
      <alignment horizontal="left" vertical="center" wrapText="1" readingOrder="1"/>
    </xf>
    <xf numFmtId="0" fontId="6" fillId="0" borderId="4" xfId="0" applyFont="1" applyFill="1" applyBorder="1" applyAlignment="1">
      <alignment horizontal="right" vertical="center" wrapText="1" readingOrder="1"/>
    </xf>
    <xf numFmtId="171" fontId="3" fillId="0" borderId="4" xfId="0" applyNumberFormat="1" applyFont="1" applyFill="1" applyBorder="1" applyAlignment="1">
      <alignment horizontal="right" vertical="center" wrapText="1" readingOrder="1"/>
    </xf>
    <xf numFmtId="0" fontId="0" fillId="0" borderId="0" xfId="0" applyFill="1" applyAlignment="1">
      <alignment horizontal="center" vertical="top" readingOrder="1"/>
    </xf>
    <xf numFmtId="0" fontId="18" fillId="0" borderId="1" xfId="0" applyFont="1" applyFill="1" applyBorder="1" applyAlignment="1">
      <alignment horizontal="left" vertical="center" wrapText="1" readingOrder="1"/>
    </xf>
    <xf numFmtId="0" fontId="18" fillId="0" borderId="3" xfId="0" applyFont="1" applyFill="1" applyBorder="1" applyAlignment="1">
      <alignment horizontal="left" vertical="center" wrapText="1" readingOrder="1"/>
    </xf>
    <xf numFmtId="0" fontId="18" fillId="0" borderId="6" xfId="0" applyFont="1" applyFill="1" applyBorder="1" applyAlignment="1">
      <alignment horizontal="right" vertical="top" wrapText="1" readingOrder="1"/>
    </xf>
    <xf numFmtId="0" fontId="22" fillId="0" borderId="0" xfId="0" applyFont="1" applyFill="1" applyAlignment="1">
      <alignment vertical="center" wrapText="1"/>
    </xf>
    <xf numFmtId="0" fontId="23" fillId="0" borderId="8"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10" xfId="0" applyFont="1" applyFill="1" applyBorder="1" applyAlignment="1">
      <alignment horizontal="center" vertical="center"/>
    </xf>
    <xf numFmtId="0" fontId="20" fillId="0" borderId="7" xfId="0" applyFont="1" applyFill="1" applyBorder="1" applyAlignment="1">
      <alignment horizontal="center" vertical="center" wrapText="1" readingOrder="1"/>
    </xf>
    <xf numFmtId="0" fontId="23" fillId="0" borderId="7" xfId="0" applyFont="1" applyFill="1" applyBorder="1" applyAlignment="1">
      <alignment horizontal="center" vertical="center" wrapText="1"/>
    </xf>
    <xf numFmtId="0" fontId="18" fillId="0" borderId="7" xfId="0" applyFont="1" applyFill="1" applyBorder="1" applyAlignment="1">
      <alignment horizontal="left" vertical="center" wrapText="1" readingOrder="1"/>
    </xf>
    <xf numFmtId="0" fontId="22" fillId="0" borderId="7" xfId="0" applyFont="1" applyFill="1" applyBorder="1" applyAlignment="1">
      <alignment vertical="center" wrapText="1"/>
    </xf>
    <xf numFmtId="0" fontId="18" fillId="0" borderId="8" xfId="0" applyFont="1" applyFill="1" applyBorder="1" applyAlignment="1">
      <alignment horizontal="left" vertical="center" wrapText="1" readingOrder="1"/>
    </xf>
    <xf numFmtId="0" fontId="18" fillId="0" borderId="10" xfId="0" applyFont="1" applyFill="1" applyBorder="1" applyAlignment="1">
      <alignment horizontal="left" vertical="center" wrapText="1" readingOrder="1"/>
    </xf>
    <xf numFmtId="0" fontId="22" fillId="0" borderId="7" xfId="0" applyFont="1" applyFill="1" applyBorder="1" applyAlignment="1">
      <alignment horizontal="justify" vertical="center" wrapText="1"/>
    </xf>
    <xf numFmtId="172" fontId="20" fillId="0" borderId="4" xfId="0" applyNumberFormat="1" applyFont="1" applyFill="1" applyBorder="1" applyAlignment="1">
      <alignment horizontal="left" vertical="center" wrapText="1" readingOrder="1"/>
    </xf>
    <xf numFmtId="174" fontId="20" fillId="0" borderId="4" xfId="0" quotePrefix="1" applyNumberFormat="1" applyFont="1" applyFill="1" applyBorder="1" applyAlignment="1">
      <alignment horizontal="left" vertical="center" wrapText="1" readingOrder="1"/>
    </xf>
    <xf numFmtId="0" fontId="0" fillId="0" borderId="0" xfId="0" applyFill="1" applyAlignment="1">
      <alignment vertical="center" wrapText="1"/>
    </xf>
    <xf numFmtId="0" fontId="18" fillId="0" borderId="9" xfId="0" applyFont="1" applyFill="1" applyBorder="1" applyAlignment="1">
      <alignment horizontal="left" vertical="center" wrapText="1" readingOrder="1"/>
    </xf>
    <xf numFmtId="0" fontId="24" fillId="0" borderId="0" xfId="0" applyFont="1" applyFill="1">
      <alignment wrapText="1"/>
    </xf>
    <xf numFmtId="0" fontId="24" fillId="0" borderId="0" xfId="0" applyFont="1" applyFill="1" applyAlignment="1"/>
    <xf numFmtId="0" fontId="3" fillId="0" borderId="5" xfId="0" applyFont="1" applyFill="1" applyBorder="1" applyAlignment="1">
      <alignment horizontal="left" vertical="center" wrapText="1" readingOrder="1"/>
    </xf>
    <xf numFmtId="0" fontId="4" fillId="0" borderId="5" xfId="0" applyFont="1" applyFill="1" applyBorder="1" applyAlignment="1">
      <alignment horizontal="left" vertical="center" wrapText="1" readingOrder="1"/>
    </xf>
    <xf numFmtId="0" fontId="18" fillId="0" borderId="0" xfId="0" applyFont="1" applyFill="1" applyAlignment="1">
      <alignment horizontal="right" vertical="center" wrapText="1" readingOrder="1"/>
    </xf>
    <xf numFmtId="0" fontId="18" fillId="0" borderId="0" xfId="0" applyFont="1" applyFill="1" applyAlignment="1">
      <alignment horizontal="left" vertical="center" wrapText="1" readingOrder="1"/>
    </xf>
    <xf numFmtId="0" fontId="0" fillId="0" borderId="0" xfId="0" applyFill="1" applyAlignment="1">
      <alignment horizontal="center" vertical="center" wrapText="1"/>
    </xf>
    <xf numFmtId="0" fontId="18" fillId="0" borderId="0" xfId="0" quotePrefix="1" applyFont="1" applyFill="1" applyAlignment="1">
      <alignment horizontal="left" vertical="center" wrapText="1" readingOrder="1"/>
    </xf>
    <xf numFmtId="43" fontId="18" fillId="0" borderId="0" xfId="1" applyFont="1" applyFill="1" applyBorder="1" applyAlignment="1">
      <alignment horizontal="right" vertical="top" wrapText="1" readingOrder="1"/>
    </xf>
    <xf numFmtId="0" fontId="20" fillId="0" borderId="8" xfId="0" applyFont="1" applyFill="1" applyBorder="1" applyAlignment="1">
      <alignment horizontal="center" vertical="center" wrapText="1" readingOrder="1"/>
    </xf>
    <xf numFmtId="0" fontId="20" fillId="0" borderId="10" xfId="0" applyFont="1" applyFill="1" applyBorder="1" applyAlignment="1">
      <alignment horizontal="center" vertical="center" wrapText="1" readingOrder="1"/>
    </xf>
    <xf numFmtId="0" fontId="18" fillId="0" borderId="11" xfId="0" applyFont="1" applyFill="1" applyBorder="1" applyAlignment="1">
      <alignment horizontal="left" vertical="center" wrapText="1" readingOrder="1"/>
    </xf>
    <xf numFmtId="0" fontId="20" fillId="0" borderId="0" xfId="0" applyFont="1" applyFill="1" applyAlignment="1">
      <alignment horizontal="left" vertical="center" wrapText="1" readingOrder="1"/>
    </xf>
    <xf numFmtId="0" fontId="23" fillId="0" borderId="0" xfId="0" applyFont="1" applyFill="1" applyAlignment="1">
      <alignment vertical="center" readingOrder="1"/>
    </xf>
    <xf numFmtId="0" fontId="23" fillId="0" borderId="0" xfId="0" applyFont="1" applyFill="1" applyAlignment="1">
      <alignment horizontal="left" vertical="center" readingOrder="1"/>
    </xf>
    <xf numFmtId="0" fontId="25" fillId="0" borderId="0" xfId="0" applyFont="1" applyFill="1" applyAlignment="1">
      <alignment vertical="center" wrapText="1"/>
    </xf>
    <xf numFmtId="0" fontId="25" fillId="0" borderId="7" xfId="0" applyFont="1" applyFill="1" applyBorder="1" applyAlignment="1">
      <alignment horizontal="center" vertical="center" wrapText="1"/>
    </xf>
    <xf numFmtId="0" fontId="22" fillId="0" borderId="0" xfId="0" applyFont="1" applyFill="1" applyAlignment="1">
      <alignment vertical="center"/>
    </xf>
    <xf numFmtId="0" fontId="22" fillId="0" borderId="7" xfId="0" applyFont="1" applyFill="1" applyBorder="1" applyAlignment="1">
      <alignment vertical="center"/>
    </xf>
    <xf numFmtId="4" fontId="22" fillId="0" borderId="7" xfId="0" applyNumberFormat="1" applyFont="1" applyFill="1" applyBorder="1" applyAlignment="1">
      <alignment vertical="center"/>
    </xf>
    <xf numFmtId="0" fontId="22" fillId="0" borderId="0" xfId="0" applyFont="1" applyFill="1" applyAlignment="1">
      <alignment horizontal="center" vertical="center" readingOrder="1"/>
    </xf>
    <xf numFmtId="0" fontId="27" fillId="0" borderId="7" xfId="3" applyFont="1" applyFill="1" applyBorder="1" applyAlignment="1">
      <alignment horizontal="center"/>
    </xf>
    <xf numFmtId="0" fontId="27" fillId="0" borderId="7" xfId="3" applyFont="1" applyFill="1" applyBorder="1" applyAlignment="1">
      <alignment horizontal="center" wrapText="1"/>
    </xf>
    <xf numFmtId="0" fontId="27" fillId="0" borderId="7" xfId="3" applyFont="1" applyFill="1" applyBorder="1" applyAlignment="1">
      <alignment horizontal="center"/>
    </xf>
    <xf numFmtId="0" fontId="28" fillId="0" borderId="7" xfId="3" applyFont="1" applyFill="1" applyBorder="1"/>
    <xf numFmtId="0" fontId="28" fillId="0" borderId="7" xfId="3" applyFont="1" applyFill="1" applyBorder="1" applyAlignment="1">
      <alignment wrapText="1"/>
    </xf>
    <xf numFmtId="43" fontId="28" fillId="0" borderId="7" xfId="7" applyFont="1" applyFill="1" applyBorder="1" applyAlignment="1">
      <alignment horizontal="center"/>
    </xf>
    <xf numFmtId="0" fontId="28" fillId="0" borderId="7" xfId="3" applyFont="1" applyFill="1" applyBorder="1" applyAlignment="1">
      <alignment horizontal="center"/>
    </xf>
    <xf numFmtId="0" fontId="27" fillId="0" borderId="7" xfId="3" applyFont="1" applyFill="1" applyBorder="1" applyAlignment="1">
      <alignment horizontal="center" vertical="center"/>
    </xf>
    <xf numFmtId="0" fontId="27" fillId="0" borderId="7" xfId="3" applyFont="1" applyFill="1" applyBorder="1" applyAlignment="1">
      <alignment horizontal="center" vertical="center" wrapText="1"/>
    </xf>
    <xf numFmtId="0" fontId="27" fillId="0" borderId="12" xfId="3" applyFont="1" applyFill="1" applyBorder="1" applyAlignment="1">
      <alignment horizontal="center" vertical="center" wrapText="1"/>
    </xf>
    <xf numFmtId="0" fontId="27" fillId="0" borderId="7" xfId="3" applyFont="1" applyFill="1" applyBorder="1" applyAlignment="1">
      <alignment horizontal="center" vertical="center" wrapText="1"/>
    </xf>
    <xf numFmtId="0" fontId="27" fillId="0" borderId="15" xfId="3" applyFont="1" applyFill="1" applyBorder="1" applyAlignment="1">
      <alignment horizontal="center" vertical="center" wrapText="1"/>
    </xf>
    <xf numFmtId="4" fontId="28" fillId="0" borderId="7" xfId="3" applyNumberFormat="1" applyFont="1" applyFill="1" applyBorder="1"/>
    <xf numFmtId="43" fontId="28" fillId="0" borderId="7" xfId="7" applyFont="1" applyFill="1" applyBorder="1"/>
    <xf numFmtId="176" fontId="28" fillId="0" borderId="7" xfId="3" applyNumberFormat="1" applyFont="1" applyFill="1" applyBorder="1"/>
    <xf numFmtId="0" fontId="30" fillId="0" borderId="0" xfId="0" applyFont="1" applyFill="1" applyAlignment="1"/>
    <xf numFmtId="0" fontId="13" fillId="0" borderId="0" xfId="5" applyFill="1" applyAlignment="1"/>
    <xf numFmtId="0" fontId="18" fillId="0" borderId="18" xfId="0" applyFont="1" applyFill="1" applyBorder="1" applyAlignment="1">
      <alignment horizontal="left" vertical="center" wrapText="1" readingOrder="1"/>
    </xf>
    <xf numFmtId="0" fontId="18" fillId="0" borderId="19" xfId="0" applyFont="1" applyFill="1" applyBorder="1" applyAlignment="1">
      <alignment horizontal="left" vertical="center" wrapText="1" readingOrder="1"/>
    </xf>
    <xf numFmtId="174" fontId="20" fillId="0" borderId="4" xfId="0" applyNumberFormat="1" applyFont="1" applyFill="1" applyBorder="1" applyAlignment="1">
      <alignment horizontal="left" vertical="center" wrapText="1" readingOrder="1"/>
    </xf>
    <xf numFmtId="43" fontId="0" fillId="0" borderId="0" xfId="7" applyFont="1" applyFill="1" applyAlignment="1">
      <alignment wrapText="1"/>
    </xf>
    <xf numFmtId="167" fontId="18" fillId="0" borderId="4" xfId="0" applyNumberFormat="1" applyFont="1" applyFill="1" applyBorder="1" applyAlignment="1">
      <alignment horizontal="right" vertical="center" wrapText="1" readingOrder="1"/>
    </xf>
    <xf numFmtId="0" fontId="24" fillId="0" borderId="0" xfId="0" applyFont="1" applyFill="1" applyAlignment="1">
      <alignment horizontal="center" vertical="center" wrapText="1"/>
    </xf>
    <xf numFmtId="0" fontId="3" fillId="0" borderId="18" xfId="0" applyFont="1" applyFill="1" applyBorder="1" applyAlignment="1">
      <alignment horizontal="left" vertical="center" wrapText="1" readingOrder="1"/>
    </xf>
    <xf numFmtId="0" fontId="3" fillId="0" borderId="19" xfId="0" applyFont="1" applyFill="1" applyBorder="1" applyAlignment="1">
      <alignment horizontal="left" vertical="center" wrapText="1" readingOrder="1"/>
    </xf>
    <xf numFmtId="0" fontId="20" fillId="0" borderId="20" xfId="0" applyFont="1" applyFill="1" applyBorder="1" applyAlignment="1">
      <alignment horizontal="left" vertical="center" wrapText="1" readingOrder="1"/>
    </xf>
    <xf numFmtId="14" fontId="22" fillId="0" borderId="7" xfId="0" quotePrefix="1" applyNumberFormat="1" applyFont="1" applyFill="1" applyBorder="1" applyAlignment="1">
      <alignment horizontal="justify" vertical="center" wrapText="1"/>
    </xf>
    <xf numFmtId="0" fontId="30" fillId="0" borderId="7" xfId="0" applyFont="1" applyFill="1" applyBorder="1" applyAlignment="1">
      <alignment horizontal="left" vertical="top" readingOrder="1"/>
    </xf>
    <xf numFmtId="0" fontId="27" fillId="0" borderId="7" xfId="3" applyFont="1" applyFill="1" applyBorder="1" applyAlignment="1">
      <alignment horizontal="center" vertical="center"/>
    </xf>
    <xf numFmtId="0" fontId="21" fillId="0" borderId="0" xfId="6" applyFill="1" applyAlignment="1">
      <alignment vertical="center" wrapText="1"/>
    </xf>
    <xf numFmtId="0" fontId="28" fillId="0" borderId="7" xfId="3" applyFont="1" applyFill="1" applyBorder="1" applyAlignment="1">
      <alignment vertical="center"/>
    </xf>
    <xf numFmtId="2" fontId="28" fillId="0" borderId="7" xfId="3" applyNumberFormat="1" applyFont="1" applyFill="1" applyBorder="1"/>
    <xf numFmtId="4" fontId="21" fillId="0" borderId="7" xfId="6" applyNumberFormat="1" applyFill="1" applyBorder="1">
      <alignment wrapText="1"/>
    </xf>
    <xf numFmtId="0" fontId="8" fillId="0" borderId="0" xfId="11" applyFont="1" applyFill="1" applyAlignment="1">
      <alignment horizontal="center" vertical="center"/>
    </xf>
    <xf numFmtId="0" fontId="1" fillId="0" borderId="0" xfId="11" applyFill="1" applyAlignment="1">
      <alignment wrapText="1"/>
    </xf>
    <xf numFmtId="4" fontId="9" fillId="0" borderId="0" xfId="11" applyNumberFormat="1" applyFont="1" applyFill="1"/>
    <xf numFmtId="0" fontId="38" fillId="0" borderId="0" xfId="11" applyFont="1" applyFill="1" applyAlignment="1">
      <alignment wrapText="1"/>
    </xf>
    <xf numFmtId="0" fontId="23" fillId="0" borderId="8" xfId="0" applyFont="1" applyFill="1" applyBorder="1" applyAlignment="1">
      <alignment horizontal="left" vertical="center" readingOrder="1"/>
    </xf>
    <xf numFmtId="0" fontId="23" fillId="0" borderId="9" xfId="0" applyFont="1" applyFill="1" applyBorder="1" applyAlignment="1">
      <alignment horizontal="left" vertical="center" readingOrder="1"/>
    </xf>
    <xf numFmtId="0" fontId="23" fillId="0" borderId="10" xfId="0" applyFont="1" applyFill="1" applyBorder="1" applyAlignment="1">
      <alignment horizontal="left" vertical="center" readingOrder="1"/>
    </xf>
    <xf numFmtId="0" fontId="25" fillId="0" borderId="7" xfId="11" applyFont="1" applyFill="1" applyBorder="1" applyAlignment="1">
      <alignment horizontal="center" vertical="center"/>
    </xf>
    <xf numFmtId="0" fontId="25" fillId="0" borderId="8" xfId="11" applyFont="1" applyFill="1" applyBorder="1" applyAlignment="1">
      <alignment horizontal="center" vertical="center" wrapText="1"/>
    </xf>
    <xf numFmtId="0" fontId="25" fillId="0" borderId="10" xfId="11" applyFont="1" applyFill="1" applyBorder="1" applyAlignment="1">
      <alignment horizontal="center" vertical="center" wrapText="1"/>
    </xf>
    <xf numFmtId="0" fontId="25" fillId="0" borderId="7" xfId="11" applyFont="1" applyFill="1" applyBorder="1" applyAlignment="1">
      <alignment horizontal="center" vertical="center"/>
    </xf>
    <xf numFmtId="0" fontId="25" fillId="0" borderId="0" xfId="11" applyFont="1" applyFill="1" applyAlignment="1">
      <alignment horizontal="center" vertical="center"/>
    </xf>
    <xf numFmtId="0" fontId="26" fillId="0" borderId="7" xfId="11" applyFont="1" applyFill="1" applyBorder="1" applyAlignment="1">
      <alignment vertical="center"/>
    </xf>
    <xf numFmtId="0" fontId="26" fillId="0" borderId="7" xfId="11" applyFont="1" applyFill="1" applyBorder="1" applyAlignment="1">
      <alignment vertical="center" wrapText="1"/>
    </xf>
    <xf numFmtId="0" fontId="26" fillId="0" borderId="0" xfId="11" applyFont="1" applyFill="1" applyAlignment="1">
      <alignment horizontal="center" vertical="center"/>
    </xf>
    <xf numFmtId="0" fontId="25" fillId="0" borderId="8" xfId="11" applyFont="1" applyFill="1" applyBorder="1" applyAlignment="1">
      <alignment horizontal="center" vertical="center"/>
    </xf>
    <xf numFmtId="0" fontId="25" fillId="0" borderId="9" xfId="11" applyFont="1" applyFill="1" applyBorder="1" applyAlignment="1">
      <alignment horizontal="center" vertical="center"/>
    </xf>
    <xf numFmtId="0" fontId="25" fillId="0" borderId="10" xfId="11" applyFont="1" applyFill="1" applyBorder="1" applyAlignment="1">
      <alignment horizontal="center" vertical="center"/>
    </xf>
    <xf numFmtId="0" fontId="25" fillId="0" borderId="7" xfId="11" applyFont="1" applyFill="1" applyBorder="1" applyAlignment="1">
      <alignment horizontal="center" vertical="center" wrapText="1"/>
    </xf>
    <xf numFmtId="0" fontId="39" fillId="0" borderId="0" xfId="11" applyFont="1" applyFill="1" applyAlignment="1">
      <alignment horizontal="center" vertical="center"/>
    </xf>
    <xf numFmtId="0" fontId="26" fillId="0" borderId="7" xfId="11" applyFont="1" applyFill="1" applyBorder="1" applyAlignment="1">
      <alignment horizontal="left" vertical="center"/>
    </xf>
    <xf numFmtId="4" fontId="26" fillId="0" borderId="7" xfId="11" applyNumberFormat="1" applyFont="1" applyFill="1" applyBorder="1" applyAlignment="1">
      <alignment horizontal="right" vertical="center"/>
    </xf>
    <xf numFmtId="10" fontId="26" fillId="0" borderId="7" xfId="8" applyNumberFormat="1" applyFont="1" applyFill="1" applyBorder="1" applyAlignment="1">
      <alignment vertical="center"/>
    </xf>
    <xf numFmtId="43" fontId="38" fillId="0" borderId="0" xfId="7" applyFont="1" applyFill="1" applyAlignment="1">
      <alignment vertical="center"/>
    </xf>
    <xf numFmtId="0" fontId="26" fillId="0" borderId="8" xfId="11" applyFont="1" applyFill="1" applyBorder="1" applyAlignment="1">
      <alignment horizontal="left" vertical="center" wrapText="1"/>
    </xf>
    <xf numFmtId="0" fontId="26" fillId="0" borderId="9" xfId="11" applyFont="1" applyFill="1" applyBorder="1" applyAlignment="1">
      <alignment horizontal="left" vertical="center" wrapText="1"/>
    </xf>
    <xf numFmtId="0" fontId="26" fillId="0" borderId="10" xfId="11" applyFont="1" applyFill="1" applyBorder="1" applyAlignment="1">
      <alignment horizontal="left" vertical="center" wrapText="1"/>
    </xf>
    <xf numFmtId="43" fontId="26" fillId="0" borderId="0" xfId="7" applyFont="1" applyFill="1" applyAlignment="1">
      <alignment horizontal="center" vertical="center"/>
    </xf>
    <xf numFmtId="0" fontId="19" fillId="0" borderId="7" xfId="0" applyFont="1" applyFill="1" applyBorder="1" applyAlignment="1">
      <alignment horizontal="left" vertical="center" wrapText="1" readingOrder="1"/>
    </xf>
    <xf numFmtId="0" fontId="31" fillId="0" borderId="7" xfId="0" applyFont="1" applyFill="1" applyBorder="1">
      <alignment wrapText="1"/>
    </xf>
    <xf numFmtId="0" fontId="19" fillId="0" borderId="7" xfId="0" applyFont="1" applyFill="1" applyBorder="1" applyAlignment="1">
      <alignment horizontal="right" vertical="center" wrapText="1" readingOrder="1"/>
    </xf>
    <xf numFmtId="0" fontId="0" fillId="0" borderId="7" xfId="0" applyFill="1" applyBorder="1">
      <alignment wrapText="1"/>
    </xf>
    <xf numFmtId="0" fontId="32" fillId="0" borderId="7" xfId="0" applyFont="1" applyFill="1" applyBorder="1">
      <alignment wrapText="1"/>
    </xf>
    <xf numFmtId="167" fontId="18" fillId="0" borderId="7" xfId="0" applyNumberFormat="1" applyFont="1" applyFill="1" applyBorder="1" applyAlignment="1">
      <alignment horizontal="right" vertical="center" wrapText="1" readingOrder="1"/>
    </xf>
    <xf numFmtId="164" fontId="18" fillId="0" borderId="7" xfId="0" applyNumberFormat="1" applyFont="1" applyFill="1" applyBorder="1" applyAlignment="1">
      <alignment horizontal="right" vertical="center" wrapText="1" readingOrder="1"/>
    </xf>
    <xf numFmtId="0" fontId="18" fillId="0" borderId="0" xfId="0" applyFont="1" applyFill="1" applyAlignment="1">
      <alignment horizontal="justify" vertical="top" wrapText="1" readingOrder="1"/>
    </xf>
    <xf numFmtId="0" fontId="30" fillId="0" borderId="0" xfId="10" applyFont="1" applyFill="1"/>
    <xf numFmtId="0" fontId="0" fillId="0" borderId="0" xfId="0" applyFill="1" applyAlignment="1">
      <alignment horizontal="center" vertical="center"/>
    </xf>
    <xf numFmtId="0" fontId="33" fillId="0" borderId="13" xfId="0" applyFont="1" applyFill="1" applyBorder="1" applyAlignment="1">
      <alignment horizontal="center" vertical="center" wrapText="1"/>
    </xf>
    <xf numFmtId="0" fontId="34" fillId="0" borderId="13" xfId="0" applyFont="1" applyFill="1" applyBorder="1" applyAlignment="1">
      <alignment horizontal="center" vertical="center" wrapText="1"/>
    </xf>
    <xf numFmtId="0" fontId="0" fillId="0" borderId="0" xfId="0" applyFill="1" applyAlignment="1">
      <alignment vertical="center"/>
    </xf>
    <xf numFmtId="0" fontId="35" fillId="0" borderId="13" xfId="0" applyFont="1" applyFill="1" applyBorder="1" applyAlignment="1">
      <alignment vertical="center"/>
    </xf>
    <xf numFmtId="0" fontId="36" fillId="0" borderId="13" xfId="0" applyFont="1" applyFill="1" applyBorder="1" applyAlignment="1">
      <alignment vertical="center" wrapText="1"/>
    </xf>
    <xf numFmtId="0" fontId="36" fillId="0" borderId="13" xfId="0" applyFont="1" applyFill="1" applyBorder="1" applyAlignment="1">
      <alignment vertical="center"/>
    </xf>
    <xf numFmtId="43" fontId="35" fillId="0" borderId="13" xfId="7" applyFont="1" applyFill="1" applyBorder="1" applyAlignment="1">
      <alignment vertical="center"/>
    </xf>
    <xf numFmtId="175" fontId="35" fillId="0" borderId="13" xfId="0" applyNumberFormat="1" applyFont="1" applyFill="1" applyBorder="1" applyAlignment="1">
      <alignment vertical="center"/>
    </xf>
    <xf numFmtId="0" fontId="37" fillId="0" borderId="0" xfId="0" applyFont="1" applyFill="1" applyAlignment="1"/>
    <xf numFmtId="0" fontId="25" fillId="0" borderId="7" xfId="0" applyFont="1" applyFill="1" applyBorder="1" applyAlignment="1">
      <alignment vertical="center" wrapText="1"/>
    </xf>
    <xf numFmtId="0" fontId="23" fillId="0" borderId="16" xfId="0" applyFont="1" applyFill="1" applyBorder="1" applyAlignment="1">
      <alignment horizontal="center" vertical="center"/>
    </xf>
    <xf numFmtId="0" fontId="23" fillId="0" borderId="17" xfId="0" applyFont="1" applyFill="1" applyBorder="1" applyAlignment="1">
      <alignment horizontal="center" vertical="center"/>
    </xf>
    <xf numFmtId="0" fontId="20" fillId="0" borderId="13" xfId="0" applyFont="1" applyFill="1" applyBorder="1" applyAlignment="1">
      <alignment horizontal="center" vertical="center" wrapText="1" readingOrder="1"/>
    </xf>
    <xf numFmtId="0" fontId="23" fillId="0" borderId="13" xfId="0" applyFont="1" applyFill="1" applyBorder="1" applyAlignment="1">
      <alignment horizontal="center" vertical="center" wrapText="1"/>
    </xf>
    <xf numFmtId="0" fontId="18" fillId="0" borderId="13" xfId="0" applyFont="1" applyFill="1" applyBorder="1" applyAlignment="1">
      <alignment horizontal="left" vertical="center" wrapText="1" readingOrder="1"/>
    </xf>
    <xf numFmtId="0" fontId="22" fillId="0" borderId="13" xfId="0" applyFont="1" applyFill="1" applyBorder="1" applyAlignment="1">
      <alignment vertical="center" wrapText="1"/>
    </xf>
    <xf numFmtId="0" fontId="22" fillId="0" borderId="13" xfId="0" applyFont="1" applyFill="1" applyBorder="1" applyAlignment="1">
      <alignment horizontal="justify" vertical="center" wrapText="1"/>
    </xf>
    <xf numFmtId="0" fontId="19" fillId="0" borderId="0" xfId="3" applyFont="1" applyFill="1" applyAlignment="1">
      <alignment horizontal="left" vertical="center" wrapText="1" readingOrder="1"/>
    </xf>
    <xf numFmtId="0" fontId="12" fillId="0" borderId="0" xfId="3" applyFont="1" applyFill="1" applyAlignment="1">
      <alignment vertical="center" wrapText="1"/>
    </xf>
    <xf numFmtId="0" fontId="30" fillId="0" borderId="0" xfId="0" applyFont="1" applyFill="1" applyAlignment="1">
      <alignment horizontal="left" vertical="top" readingOrder="1"/>
    </xf>
    <xf numFmtId="0" fontId="30" fillId="0" borderId="0" xfId="0" applyFont="1" applyFill="1" applyAlignment="1">
      <alignment horizontal="left" vertical="top" readingOrder="1"/>
    </xf>
    <xf numFmtId="0" fontId="27" fillId="0" borderId="8" xfId="3" applyFont="1" applyFill="1" applyBorder="1" applyAlignment="1">
      <alignment horizontal="center" wrapText="1"/>
    </xf>
    <xf numFmtId="0" fontId="27" fillId="0" borderId="9" xfId="3" applyFont="1" applyFill="1" applyBorder="1" applyAlignment="1">
      <alignment horizontal="center" wrapText="1"/>
    </xf>
    <xf numFmtId="0" fontId="27" fillId="0" borderId="10" xfId="3" applyFont="1" applyFill="1" applyBorder="1" applyAlignment="1">
      <alignment horizontal="center" wrapText="1"/>
    </xf>
    <xf numFmtId="0" fontId="27" fillId="0" borderId="8" xfId="3" applyFont="1" applyFill="1" applyBorder="1" applyAlignment="1">
      <alignment horizontal="center"/>
    </xf>
    <xf numFmtId="0" fontId="27" fillId="0" borderId="10" xfId="3" applyFont="1" applyFill="1" applyBorder="1" applyAlignment="1">
      <alignment horizontal="center"/>
    </xf>
    <xf numFmtId="43" fontId="28" fillId="0" borderId="8" xfId="7" applyFont="1" applyFill="1" applyBorder="1" applyAlignment="1">
      <alignment horizontal="center"/>
    </xf>
    <xf numFmtId="43" fontId="28" fillId="0" borderId="9" xfId="7" applyFont="1" applyFill="1" applyBorder="1" applyAlignment="1">
      <alignment horizontal="center"/>
    </xf>
    <xf numFmtId="43" fontId="28" fillId="0" borderId="10" xfId="7" applyFont="1" applyFill="1" applyBorder="1" applyAlignment="1">
      <alignment horizontal="center"/>
    </xf>
    <xf numFmtId="0" fontId="28" fillId="0" borderId="0" xfId="3" applyFont="1" applyFill="1"/>
    <xf numFmtId="0" fontId="28" fillId="0" borderId="0" xfId="3" applyFont="1" applyFill="1" applyAlignment="1">
      <alignment wrapText="1"/>
    </xf>
    <xf numFmtId="4" fontId="28" fillId="0" borderId="0" xfId="3" applyNumberFormat="1" applyFont="1" applyFill="1"/>
    <xf numFmtId="43" fontId="28" fillId="0" borderId="0" xfId="7" applyFont="1" applyFill="1" applyBorder="1"/>
    <xf numFmtId="176" fontId="28" fillId="0" borderId="0" xfId="3" applyNumberFormat="1" applyFont="1" applyFill="1"/>
    <xf numFmtId="0" fontId="28" fillId="0" borderId="0" xfId="3" applyFont="1" applyFill="1" applyAlignment="1">
      <alignment horizontal="left" vertical="center" wrapText="1"/>
    </xf>
    <xf numFmtId="2" fontId="22" fillId="0" borderId="7" xfId="0" applyNumberFormat="1" applyFont="1" applyFill="1" applyBorder="1" applyAlignment="1">
      <alignment vertical="center"/>
    </xf>
    <xf numFmtId="0" fontId="10" fillId="0" borderId="13" xfId="3" applyFont="1" applyFill="1" applyBorder="1" applyAlignment="1">
      <alignment horizontal="center"/>
    </xf>
    <xf numFmtId="0" fontId="11" fillId="0" borderId="13" xfId="3" applyFont="1" applyFill="1" applyBorder="1" applyAlignment="1">
      <alignment horizontal="center" vertical="center"/>
    </xf>
    <xf numFmtId="0" fontId="12" fillId="0" borderId="0" xfId="4" applyFont="1" applyFill="1"/>
    <xf numFmtId="0" fontId="12" fillId="0" borderId="13" xfId="3" applyFont="1" applyFill="1" applyBorder="1" applyAlignment="1">
      <alignment horizontal="center"/>
    </xf>
    <xf numFmtId="0" fontId="14" fillId="0" borderId="13" xfId="5" applyFont="1" applyFill="1" applyBorder="1" applyAlignment="1">
      <alignment vertical="center"/>
    </xf>
    <xf numFmtId="0" fontId="15" fillId="0" borderId="13" xfId="3" applyFont="1" applyFill="1" applyBorder="1" applyAlignment="1">
      <alignment vertical="top"/>
    </xf>
  </cellXfs>
  <cellStyles count="12">
    <cellStyle name="Comma" xfId="1" builtinId="3"/>
    <cellStyle name="Comma 2" xfId="7" xr:uid="{2CF2689A-BB0A-4D98-AC26-480B92621476}"/>
    <cellStyle name="Comma 3" xfId="2" xr:uid="{CC78751D-0C9E-42C6-881C-FEF1B4641197}"/>
    <cellStyle name="Hyperlink 2" xfId="5" xr:uid="{A291B4CF-5C6B-4BC1-8604-39ABCC46E8B3}"/>
    <cellStyle name="Normal" xfId="0" builtinId="0"/>
    <cellStyle name="Normal 2 2 2" xfId="3" xr:uid="{38CA3807-B001-4E24-8E6F-291D010B7FAE}"/>
    <cellStyle name="Normal 2 2 3" xfId="11" xr:uid="{961D0CE2-A94B-48EB-865B-228019AC9268}"/>
    <cellStyle name="Normal 2 3" xfId="4" xr:uid="{52D96F4F-1A7B-424F-9D45-CFF8864603D9}"/>
    <cellStyle name="Normal 3" xfId="6" xr:uid="{FB8C921A-D267-46B3-BD2E-3817DF5E8DC8}"/>
    <cellStyle name="Normal 4" xfId="10" xr:uid="{AF15226F-49E9-401C-B600-3521CE6EDED6}"/>
    <cellStyle name="Percent 2" xfId="8" xr:uid="{BCB6DA8A-B149-4B6F-8A77-95D96D381DC8}"/>
    <cellStyle name="Percent 3" xfId="9" xr:uid="{B180B224-C8F4-4232-9B17-AB2EF475AB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149</xdr:row>
      <xdr:rowOff>0</xdr:rowOff>
    </xdr:from>
    <xdr:to>
      <xdr:col>2</xdr:col>
      <xdr:colOff>1789872</xdr:colOff>
      <xdr:row>150</xdr:row>
      <xdr:rowOff>27375</xdr:rowOff>
    </xdr:to>
    <xdr:pic>
      <xdr:nvPicPr>
        <xdr:cNvPr id="5" name="Picture 4">
          <a:extLst>
            <a:ext uri="{FF2B5EF4-FFF2-40B4-BE49-F238E27FC236}">
              <a16:creationId xmlns:a16="http://schemas.microsoft.com/office/drawing/2014/main" id="{B4B639DF-DEB4-4823-B1A4-55430EF5E8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299466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85726</xdr:rowOff>
    </xdr:from>
    <xdr:to>
      <xdr:col>2</xdr:col>
      <xdr:colOff>2053139</xdr:colOff>
      <xdr:row>154</xdr:row>
      <xdr:rowOff>2065726</xdr:rowOff>
    </xdr:to>
    <xdr:pic>
      <xdr:nvPicPr>
        <xdr:cNvPr id="6" name="Picture 5">
          <a:extLst>
            <a:ext uri="{FF2B5EF4-FFF2-40B4-BE49-F238E27FC236}">
              <a16:creationId xmlns:a16="http://schemas.microsoft.com/office/drawing/2014/main" id="{073CF24F-FA07-41F2-A24F-BAD6035836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6326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xdr:colOff>
      <xdr:row>154</xdr:row>
      <xdr:rowOff>76201</xdr:rowOff>
    </xdr:from>
    <xdr:to>
      <xdr:col>7</xdr:col>
      <xdr:colOff>481514</xdr:colOff>
      <xdr:row>154</xdr:row>
      <xdr:rowOff>2056201</xdr:rowOff>
    </xdr:to>
    <xdr:pic>
      <xdr:nvPicPr>
        <xdr:cNvPr id="7" name="Picture 6">
          <a:extLst>
            <a:ext uri="{FF2B5EF4-FFF2-40B4-BE49-F238E27FC236}">
              <a16:creationId xmlns:a16="http://schemas.microsoft.com/office/drawing/2014/main" id="{6AAD0103-6605-43FF-AAA6-644CB88D21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26231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1723198</xdr:colOff>
      <xdr:row>138</xdr:row>
      <xdr:rowOff>27375</xdr:rowOff>
    </xdr:to>
    <xdr:pic>
      <xdr:nvPicPr>
        <xdr:cNvPr id="5" name="Picture 4">
          <a:extLst>
            <a:ext uri="{FF2B5EF4-FFF2-40B4-BE49-F238E27FC236}">
              <a16:creationId xmlns:a16="http://schemas.microsoft.com/office/drawing/2014/main" id="{DA4B766F-2CD6-4726-ACC2-2548C6DFA0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2128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xdr:row>
      <xdr:rowOff>0</xdr:rowOff>
    </xdr:from>
    <xdr:to>
      <xdr:col>2</xdr:col>
      <xdr:colOff>2005514</xdr:colOff>
      <xdr:row>142</xdr:row>
      <xdr:rowOff>1980000</xdr:rowOff>
    </xdr:to>
    <xdr:pic>
      <xdr:nvPicPr>
        <xdr:cNvPr id="6" name="Picture 5">
          <a:extLst>
            <a:ext uri="{FF2B5EF4-FFF2-40B4-BE49-F238E27FC236}">
              <a16:creationId xmlns:a16="http://schemas.microsoft.com/office/drawing/2014/main" id="{A2B25CEC-3F70-4C88-842E-AB249B06B5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813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133350</xdr:colOff>
      <xdr:row>142</xdr:row>
      <xdr:rowOff>0</xdr:rowOff>
    </xdr:from>
    <xdr:to>
      <xdr:col>9</xdr:col>
      <xdr:colOff>14789</xdr:colOff>
      <xdr:row>142</xdr:row>
      <xdr:rowOff>1980000</xdr:rowOff>
    </xdr:to>
    <xdr:pic>
      <xdr:nvPicPr>
        <xdr:cNvPr id="7" name="Picture 6">
          <a:extLst>
            <a:ext uri="{FF2B5EF4-FFF2-40B4-BE49-F238E27FC236}">
              <a16:creationId xmlns:a16="http://schemas.microsoft.com/office/drawing/2014/main" id="{291EE78A-FB45-4D07-A06F-051E90CC61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62550" y="28813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2</xdr:col>
      <xdr:colOff>1995989</xdr:colOff>
      <xdr:row>153</xdr:row>
      <xdr:rowOff>1980000</xdr:rowOff>
    </xdr:to>
    <xdr:pic>
      <xdr:nvPicPr>
        <xdr:cNvPr id="5" name="Picture 4">
          <a:extLst>
            <a:ext uri="{FF2B5EF4-FFF2-40B4-BE49-F238E27FC236}">
              <a16:creationId xmlns:a16="http://schemas.microsoft.com/office/drawing/2014/main" id="{95AED79E-C419-472C-B20A-179A218C00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841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85725</xdr:colOff>
      <xdr:row>153</xdr:row>
      <xdr:rowOff>0</xdr:rowOff>
    </xdr:from>
    <xdr:to>
      <xdr:col>7</xdr:col>
      <xdr:colOff>519614</xdr:colOff>
      <xdr:row>153</xdr:row>
      <xdr:rowOff>1980000</xdr:rowOff>
    </xdr:to>
    <xdr:pic>
      <xdr:nvPicPr>
        <xdr:cNvPr id="6" name="Picture 5">
          <a:extLst>
            <a:ext uri="{FF2B5EF4-FFF2-40B4-BE49-F238E27FC236}">
              <a16:creationId xmlns:a16="http://schemas.microsoft.com/office/drawing/2014/main" id="{453990D6-FF97-4B84-9B30-0361B6D43C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50" y="29841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2</xdr:col>
      <xdr:colOff>1713673</xdr:colOff>
      <xdr:row>149</xdr:row>
      <xdr:rowOff>27375</xdr:rowOff>
    </xdr:to>
    <xdr:pic>
      <xdr:nvPicPr>
        <xdr:cNvPr id="7" name="Picture 6">
          <a:extLst>
            <a:ext uri="{FF2B5EF4-FFF2-40B4-BE49-F238E27FC236}">
              <a16:creationId xmlns:a16="http://schemas.microsoft.com/office/drawing/2014/main" id="{CA72A8CA-DC33-4CE7-B24B-96EC5A34D7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72415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1938839</xdr:colOff>
      <xdr:row>179</xdr:row>
      <xdr:rowOff>1980000</xdr:rowOff>
    </xdr:to>
    <xdr:pic>
      <xdr:nvPicPr>
        <xdr:cNvPr id="6" name="Picture 5">
          <a:extLst>
            <a:ext uri="{FF2B5EF4-FFF2-40B4-BE49-F238E27FC236}">
              <a16:creationId xmlns:a16="http://schemas.microsoft.com/office/drawing/2014/main" id="{B6564EC0-FCDC-48A1-BA2E-7B14BAA25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766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2514600</xdr:colOff>
      <xdr:row>179</xdr:row>
      <xdr:rowOff>0</xdr:rowOff>
    </xdr:from>
    <xdr:to>
      <xdr:col>7</xdr:col>
      <xdr:colOff>338639</xdr:colOff>
      <xdr:row>179</xdr:row>
      <xdr:rowOff>1980000</xdr:rowOff>
    </xdr:to>
    <xdr:pic>
      <xdr:nvPicPr>
        <xdr:cNvPr id="7" name="Picture 6">
          <a:extLst>
            <a:ext uri="{FF2B5EF4-FFF2-40B4-BE49-F238E27FC236}">
              <a16:creationId xmlns:a16="http://schemas.microsoft.com/office/drawing/2014/main" id="{0C8008D5-B8F5-4D16-81D6-A4696A1CC1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8766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0</xdr:rowOff>
    </xdr:from>
    <xdr:to>
      <xdr:col>2</xdr:col>
      <xdr:colOff>1938839</xdr:colOff>
      <xdr:row>175</xdr:row>
      <xdr:rowOff>27375</xdr:rowOff>
    </xdr:to>
    <xdr:pic>
      <xdr:nvPicPr>
        <xdr:cNvPr id="3" name="Picture 2">
          <a:extLst>
            <a:ext uri="{FF2B5EF4-FFF2-40B4-BE49-F238E27FC236}">
              <a16:creationId xmlns:a16="http://schemas.microsoft.com/office/drawing/2014/main" id="{3ACA1BA2-6927-4F0F-8411-6310ADE7D4A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60045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1938839</xdr:colOff>
      <xdr:row>195</xdr:row>
      <xdr:rowOff>27375</xdr:rowOff>
    </xdr:to>
    <xdr:pic>
      <xdr:nvPicPr>
        <xdr:cNvPr id="5" name="Picture 4">
          <a:extLst>
            <a:ext uri="{FF2B5EF4-FFF2-40B4-BE49-F238E27FC236}">
              <a16:creationId xmlns:a16="http://schemas.microsoft.com/office/drawing/2014/main" id="{B54C6B4E-9DAB-4DD5-915C-CBD38F9438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261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2</xdr:col>
      <xdr:colOff>1938839</xdr:colOff>
      <xdr:row>199</xdr:row>
      <xdr:rowOff>1980000</xdr:rowOff>
    </xdr:to>
    <xdr:pic>
      <xdr:nvPicPr>
        <xdr:cNvPr id="6" name="Picture 5">
          <a:extLst>
            <a:ext uri="{FF2B5EF4-FFF2-40B4-BE49-F238E27FC236}">
              <a16:creationId xmlns:a16="http://schemas.microsoft.com/office/drawing/2014/main" id="{E0073FDA-1F8D-4082-8D86-FF1486369E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862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2514600</xdr:colOff>
      <xdr:row>199</xdr:row>
      <xdr:rowOff>0</xdr:rowOff>
    </xdr:from>
    <xdr:to>
      <xdr:col>7</xdr:col>
      <xdr:colOff>271964</xdr:colOff>
      <xdr:row>199</xdr:row>
      <xdr:rowOff>1980000</xdr:rowOff>
    </xdr:to>
    <xdr:pic>
      <xdr:nvPicPr>
        <xdr:cNvPr id="7" name="Picture 6">
          <a:extLst>
            <a:ext uri="{FF2B5EF4-FFF2-40B4-BE49-F238E27FC236}">
              <a16:creationId xmlns:a16="http://schemas.microsoft.com/office/drawing/2014/main" id="{7FCED87E-6A14-452A-9976-32E7A99764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9862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1770823</xdr:colOff>
      <xdr:row>177</xdr:row>
      <xdr:rowOff>27375</xdr:rowOff>
    </xdr:to>
    <xdr:pic>
      <xdr:nvPicPr>
        <xdr:cNvPr id="8" name="Picture 7">
          <a:extLst>
            <a:ext uri="{FF2B5EF4-FFF2-40B4-BE49-F238E27FC236}">
              <a16:creationId xmlns:a16="http://schemas.microsoft.com/office/drawing/2014/main" id="{5F7F53B2-6518-4E52-BD9C-DDEB11C555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9380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181</xdr:row>
      <xdr:rowOff>0</xdr:rowOff>
    </xdr:from>
    <xdr:to>
      <xdr:col>7</xdr:col>
      <xdr:colOff>500564</xdr:colOff>
      <xdr:row>181</xdr:row>
      <xdr:rowOff>1980000</xdr:rowOff>
    </xdr:to>
    <xdr:pic>
      <xdr:nvPicPr>
        <xdr:cNvPr id="9" name="Picture 8">
          <a:extLst>
            <a:ext uri="{FF2B5EF4-FFF2-40B4-BE49-F238E27FC236}">
              <a16:creationId xmlns:a16="http://schemas.microsoft.com/office/drawing/2014/main" id="{F71D154E-E7E3-4D60-AD8C-FA216E395E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0538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2</xdr:col>
      <xdr:colOff>2053139</xdr:colOff>
      <xdr:row>181</xdr:row>
      <xdr:rowOff>1980000</xdr:rowOff>
    </xdr:to>
    <xdr:pic>
      <xdr:nvPicPr>
        <xdr:cNvPr id="10" name="Picture 9">
          <a:extLst>
            <a:ext uri="{FF2B5EF4-FFF2-40B4-BE49-F238E27FC236}">
              <a16:creationId xmlns:a16="http://schemas.microsoft.com/office/drawing/2014/main" id="{08CDB0C6-4FBF-44B7-9266-F119F7DD87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538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1948364</xdr:colOff>
      <xdr:row>199</xdr:row>
      <xdr:rowOff>1980000</xdr:rowOff>
    </xdr:to>
    <xdr:pic>
      <xdr:nvPicPr>
        <xdr:cNvPr id="9" name="Picture 8">
          <a:extLst>
            <a:ext uri="{FF2B5EF4-FFF2-40B4-BE49-F238E27FC236}">
              <a16:creationId xmlns:a16="http://schemas.microsoft.com/office/drawing/2014/main" id="{57FE9B91-3BA6-4073-804A-ABE1739E17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062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2524125</xdr:colOff>
      <xdr:row>199</xdr:row>
      <xdr:rowOff>0</xdr:rowOff>
    </xdr:from>
    <xdr:to>
      <xdr:col>7</xdr:col>
      <xdr:colOff>348164</xdr:colOff>
      <xdr:row>199</xdr:row>
      <xdr:rowOff>1980000</xdr:rowOff>
    </xdr:to>
    <xdr:pic>
      <xdr:nvPicPr>
        <xdr:cNvPr id="10" name="Picture 9">
          <a:extLst>
            <a:ext uri="{FF2B5EF4-FFF2-40B4-BE49-F238E27FC236}">
              <a16:creationId xmlns:a16="http://schemas.microsoft.com/office/drawing/2014/main" id="{07C3AC9C-742F-4FAB-8B6F-E2A5BA874D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2062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193</xdr:row>
      <xdr:rowOff>0</xdr:rowOff>
    </xdr:from>
    <xdr:to>
      <xdr:col>2</xdr:col>
      <xdr:colOff>1948364</xdr:colOff>
      <xdr:row>194</xdr:row>
      <xdr:rowOff>27375</xdr:rowOff>
    </xdr:to>
    <xdr:pic>
      <xdr:nvPicPr>
        <xdr:cNvPr id="3" name="Picture 2">
          <a:extLst>
            <a:ext uri="{FF2B5EF4-FFF2-40B4-BE49-F238E27FC236}">
              <a16:creationId xmlns:a16="http://schemas.microsoft.com/office/drawing/2014/main" id="{B96F3FF9-9717-42AE-BB40-83001ABBC07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8814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523875</xdr:colOff>
      <xdr:row>137</xdr:row>
      <xdr:rowOff>19050</xdr:rowOff>
    </xdr:from>
    <xdr:to>
      <xdr:col>9</xdr:col>
      <xdr:colOff>71939</xdr:colOff>
      <xdr:row>137</xdr:row>
      <xdr:rowOff>1999050</xdr:rowOff>
    </xdr:to>
    <xdr:pic>
      <xdr:nvPicPr>
        <xdr:cNvPr id="5" name="Picture 4">
          <a:extLst>
            <a:ext uri="{FF2B5EF4-FFF2-40B4-BE49-F238E27FC236}">
              <a16:creationId xmlns:a16="http://schemas.microsoft.com/office/drawing/2014/main" id="{3F4E990D-201C-4618-9DC0-8A82562FF8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29489400"/>
          <a:ext cx="37200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1789873</xdr:colOff>
      <xdr:row>133</xdr:row>
      <xdr:rowOff>27375</xdr:rowOff>
    </xdr:to>
    <xdr:pic>
      <xdr:nvPicPr>
        <xdr:cNvPr id="6" name="Picture 5">
          <a:extLst>
            <a:ext uri="{FF2B5EF4-FFF2-40B4-BE49-F238E27FC236}">
              <a16:creationId xmlns:a16="http://schemas.microsoft.com/office/drawing/2014/main" id="{75823839-D013-4D80-8B71-ADC0A0DA60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8700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2081715</xdr:colOff>
      <xdr:row>137</xdr:row>
      <xdr:rowOff>2018101</xdr:rowOff>
    </xdr:to>
    <xdr:pic>
      <xdr:nvPicPr>
        <xdr:cNvPr id="7" name="Picture 6">
          <a:extLst>
            <a:ext uri="{FF2B5EF4-FFF2-40B4-BE49-F238E27FC236}">
              <a16:creationId xmlns:a16="http://schemas.microsoft.com/office/drawing/2014/main" id="{2E91924A-863F-4B6B-BD24-AB06E80AB1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1" y="295084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2114550</xdr:colOff>
      <xdr:row>159</xdr:row>
      <xdr:rowOff>28576</xdr:rowOff>
    </xdr:to>
    <xdr:pic>
      <xdr:nvPicPr>
        <xdr:cNvPr id="9" name="Picture 8">
          <a:extLst>
            <a:ext uri="{FF2B5EF4-FFF2-40B4-BE49-F238E27FC236}">
              <a16:creationId xmlns:a16="http://schemas.microsoft.com/office/drawing/2014/main" id="{20D7B9F9-2BBF-42D8-B4BE-76C75085A4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937200"/>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2013955</xdr:colOff>
      <xdr:row>163</xdr:row>
      <xdr:rowOff>1980000</xdr:rowOff>
    </xdr:to>
    <xdr:pic>
      <xdr:nvPicPr>
        <xdr:cNvPr id="10" name="Picture 9">
          <a:extLst>
            <a:ext uri="{FF2B5EF4-FFF2-40B4-BE49-F238E27FC236}">
              <a16:creationId xmlns:a16="http://schemas.microsoft.com/office/drawing/2014/main" id="{9D76BFF5-EA9A-4002-98F5-CF83A8BE8C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537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2015039</xdr:colOff>
      <xdr:row>119</xdr:row>
      <xdr:rowOff>1951425</xdr:rowOff>
    </xdr:to>
    <xdr:pic>
      <xdr:nvPicPr>
        <xdr:cNvPr id="9" name="Picture 8">
          <a:extLst>
            <a:ext uri="{FF2B5EF4-FFF2-40B4-BE49-F238E27FC236}">
              <a16:creationId xmlns:a16="http://schemas.microsoft.com/office/drawing/2014/main" id="{05CDC875-DAD6-43D8-B927-485A6E5CA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336125"/>
          <a:ext cx="3415214" cy="195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504825</xdr:colOff>
      <xdr:row>119</xdr:row>
      <xdr:rowOff>0</xdr:rowOff>
    </xdr:from>
    <xdr:to>
      <xdr:col>9</xdr:col>
      <xdr:colOff>138614</xdr:colOff>
      <xdr:row>119</xdr:row>
      <xdr:rowOff>1951425</xdr:rowOff>
    </xdr:to>
    <xdr:pic>
      <xdr:nvPicPr>
        <xdr:cNvPr id="10" name="Picture 9">
          <a:extLst>
            <a:ext uri="{FF2B5EF4-FFF2-40B4-BE49-F238E27FC236}">
              <a16:creationId xmlns:a16="http://schemas.microsoft.com/office/drawing/2014/main" id="{9A29D4D1-82CF-4EB4-A63A-C628270B50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22336125"/>
          <a:ext cx="3805739" cy="195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xdr:row>
      <xdr:rowOff>0</xdr:rowOff>
    </xdr:from>
    <xdr:to>
      <xdr:col>2</xdr:col>
      <xdr:colOff>1986464</xdr:colOff>
      <xdr:row>115</xdr:row>
      <xdr:rowOff>27375</xdr:rowOff>
    </xdr:to>
    <xdr:pic>
      <xdr:nvPicPr>
        <xdr:cNvPr id="2" name="Picture 1">
          <a:extLst>
            <a:ext uri="{FF2B5EF4-FFF2-40B4-BE49-F238E27FC236}">
              <a16:creationId xmlns:a16="http://schemas.microsoft.com/office/drawing/2014/main" id="{EC9F017C-9ECF-449A-B011-0868C4E723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669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9EC2-11E3-4344-A31D-F73F49CFBA79}">
  <dimension ref="A1:C11"/>
  <sheetViews>
    <sheetView tabSelected="1" workbookViewId="0"/>
  </sheetViews>
  <sheetFormatPr defaultColWidth="8.85546875" defaultRowHeight="15" x14ac:dyDescent="0.25"/>
  <cols>
    <col min="1" max="1" width="6.140625" style="217" bestFit="1" customWidth="1"/>
    <col min="2" max="2" width="10.85546875" style="217" bestFit="1" customWidth="1"/>
    <col min="3" max="3" width="35" style="217" bestFit="1" customWidth="1"/>
    <col min="4" max="16384" width="8.85546875" style="217"/>
  </cols>
  <sheetData>
    <row r="1" spans="1:3" x14ac:dyDescent="0.25">
      <c r="A1" s="215" t="s">
        <v>549</v>
      </c>
      <c r="B1" s="216" t="s">
        <v>550</v>
      </c>
      <c r="C1" s="216" t="s">
        <v>551</v>
      </c>
    </row>
    <row r="2" spans="1:3" x14ac:dyDescent="0.25">
      <c r="A2" s="218">
        <v>1</v>
      </c>
      <c r="B2" s="219" t="s">
        <v>552</v>
      </c>
      <c r="C2" s="220" t="s">
        <v>1</v>
      </c>
    </row>
    <row r="3" spans="1:3" x14ac:dyDescent="0.25">
      <c r="A3" s="218">
        <v>2</v>
      </c>
      <c r="B3" s="219" t="s">
        <v>553</v>
      </c>
      <c r="C3" s="220" t="s">
        <v>120</v>
      </c>
    </row>
    <row r="4" spans="1:3" x14ac:dyDescent="0.25">
      <c r="A4" s="218">
        <v>3</v>
      </c>
      <c r="B4" s="219" t="s">
        <v>554</v>
      </c>
      <c r="C4" s="220" t="s">
        <v>143</v>
      </c>
    </row>
    <row r="5" spans="1:3" x14ac:dyDescent="0.25">
      <c r="A5" s="218">
        <v>4</v>
      </c>
      <c r="B5" s="219" t="s">
        <v>555</v>
      </c>
      <c r="C5" s="220" t="s">
        <v>212</v>
      </c>
    </row>
    <row r="6" spans="1:3" x14ac:dyDescent="0.25">
      <c r="A6" s="218">
        <v>5</v>
      </c>
      <c r="B6" s="219" t="s">
        <v>556</v>
      </c>
      <c r="C6" s="220" t="s">
        <v>260</v>
      </c>
    </row>
    <row r="7" spans="1:3" x14ac:dyDescent="0.25">
      <c r="A7" s="218">
        <v>6</v>
      </c>
      <c r="B7" s="219" t="s">
        <v>557</v>
      </c>
      <c r="C7" s="220" t="s">
        <v>401</v>
      </c>
    </row>
    <row r="8" spans="1:3" x14ac:dyDescent="0.25">
      <c r="A8" s="218">
        <v>7</v>
      </c>
      <c r="B8" s="219" t="s">
        <v>558</v>
      </c>
      <c r="C8" s="220" t="s">
        <v>417</v>
      </c>
    </row>
    <row r="9" spans="1:3" x14ac:dyDescent="0.25">
      <c r="A9" s="218">
        <v>8</v>
      </c>
      <c r="B9" s="219" t="s">
        <v>559</v>
      </c>
      <c r="C9" s="220" t="s">
        <v>470</v>
      </c>
    </row>
    <row r="10" spans="1:3" x14ac:dyDescent="0.25">
      <c r="A10" s="218">
        <v>9</v>
      </c>
      <c r="B10" s="219" t="s">
        <v>560</v>
      </c>
      <c r="C10" s="220" t="s">
        <v>474</v>
      </c>
    </row>
    <row r="11" spans="1:3" x14ac:dyDescent="0.25">
      <c r="A11" s="218">
        <v>10</v>
      </c>
      <c r="B11" s="219" t="s">
        <v>561</v>
      </c>
      <c r="C11" s="220" t="s">
        <v>537</v>
      </c>
    </row>
  </sheetData>
  <hyperlinks>
    <hyperlink ref="B3" location="SFRSTP!A1" display="SFRSTP" xr:uid="{AFCD04C6-A0F3-4DA5-94ED-FC43A9ECE05C}"/>
    <hyperlink ref="B4" location="SMMF!A1" display="SMMF" xr:uid="{977C0135-8762-40AC-8F42-77F6A9696D5A}"/>
    <hyperlink ref="B5" location="SPLDF!A1" display="SPLDF" xr:uid="{0BB1685F-F437-4AE9-961E-769F2229223D}"/>
    <hyperlink ref="B6" location="SPMON!A1" display="SPMON" xr:uid="{A1729496-2F3E-408F-87F1-EC9206E8A272}"/>
    <hyperlink ref="B7" location="SPSDF!A1" display="SPSDF" xr:uid="{2B94B224-2B91-47FC-80E8-8CA9D1527A7D}"/>
    <hyperlink ref="B8" location="SPUSDF!A1" display="SPUSDF" xr:uid="{41F1A7EA-54EC-498A-A072-D202CC5D3DA5}"/>
    <hyperlink ref="B9" location="SUNBDS!A1" display="SUNBDS" xr:uid="{EC8101F7-E717-4466-A5C9-A58B6BADF9D3}"/>
    <hyperlink ref="B10" location="SUNMIA!A1" display="SUNMIA" xr:uid="{4C2FAE71-2591-4A28-9EA6-3E125A5B5285}"/>
    <hyperlink ref="B11" location="SUNONF!A1" display="SUNONF" xr:uid="{D8F1B195-E537-44AE-9C86-FFCD7D6E4FCF}"/>
    <hyperlink ref="B2" location="SFRLTP!A1" display="SFRLTP" xr:uid="{DAB07102-8ED2-4172-B3E0-803DE4478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A665-BA81-454F-904A-751723B943CD}">
  <sheetPr>
    <outlinePr summaryBelow="0" summaryRight="0"/>
  </sheetPr>
  <dimension ref="A1:Q166"/>
  <sheetViews>
    <sheetView showGridLines="0" workbookViewId="0">
      <selection sqref="A1:H1"/>
    </sheetView>
  </sheetViews>
  <sheetFormatPr defaultRowHeight="12.75" x14ac:dyDescent="0.2"/>
  <cols>
    <col min="1" max="1" width="5.85546875" style="16" bestFit="1" customWidth="1"/>
    <col min="2" max="2" width="20" style="16" bestFit="1" customWidth="1"/>
    <col min="3" max="3" width="39.140625" style="16" bestFit="1" customWidth="1"/>
    <col min="4" max="4" width="10.7109375" style="16" bestFit="1" customWidth="1"/>
    <col min="5" max="5" width="9.4257812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1</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547</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ht="25.5" x14ac:dyDescent="0.2">
      <c r="A28" s="24">
        <v>1</v>
      </c>
      <c r="B28" s="25" t="s">
        <v>21</v>
      </c>
      <c r="C28" s="25" t="s">
        <v>22</v>
      </c>
      <c r="D28" s="25" t="s">
        <v>23</v>
      </c>
      <c r="E28" s="26">
        <v>5000</v>
      </c>
      <c r="F28" s="27">
        <v>5057.33</v>
      </c>
      <c r="G28" s="28">
        <v>7.0997840000000006E-2</v>
      </c>
      <c r="H28" s="15">
        <v>7.46</v>
      </c>
    </row>
    <row r="29" spans="1:8" ht="25.5" x14ac:dyDescent="0.2">
      <c r="A29" s="24">
        <v>2</v>
      </c>
      <c r="B29" s="25" t="s">
        <v>24</v>
      </c>
      <c r="C29" s="25" t="s">
        <v>25</v>
      </c>
      <c r="D29" s="25" t="s">
        <v>23</v>
      </c>
      <c r="E29" s="26">
        <v>4000</v>
      </c>
      <c r="F29" s="27">
        <v>4017.4639999999999</v>
      </c>
      <c r="G29" s="28">
        <v>5.6399579999999998E-2</v>
      </c>
      <c r="H29" s="15">
        <v>7.26</v>
      </c>
    </row>
    <row r="30" spans="1:8" x14ac:dyDescent="0.2">
      <c r="A30" s="24">
        <v>3</v>
      </c>
      <c r="B30" s="25" t="s">
        <v>26</v>
      </c>
      <c r="C30" s="25" t="s">
        <v>27</v>
      </c>
      <c r="D30" s="25" t="s">
        <v>23</v>
      </c>
      <c r="E30" s="26">
        <v>4000</v>
      </c>
      <c r="F30" s="27">
        <v>3982.8440000000001</v>
      </c>
      <c r="G30" s="28">
        <v>5.5913560000000001E-2</v>
      </c>
      <c r="H30" s="15">
        <v>7.52</v>
      </c>
    </row>
    <row r="31" spans="1:8" x14ac:dyDescent="0.2">
      <c r="A31" s="24">
        <v>4</v>
      </c>
      <c r="B31" s="25" t="s">
        <v>28</v>
      </c>
      <c r="C31" s="25" t="s">
        <v>29</v>
      </c>
      <c r="D31" s="25" t="s">
        <v>23</v>
      </c>
      <c r="E31" s="26">
        <v>300</v>
      </c>
      <c r="F31" s="27">
        <v>3002.4749999999999</v>
      </c>
      <c r="G31" s="28">
        <v>4.2150550000000002E-2</v>
      </c>
      <c r="H31" s="15">
        <v>7.65</v>
      </c>
    </row>
    <row r="32" spans="1:8" ht="25.5" x14ac:dyDescent="0.2">
      <c r="A32" s="24">
        <v>5</v>
      </c>
      <c r="B32" s="25" t="s">
        <v>30</v>
      </c>
      <c r="C32" s="25" t="s">
        <v>31</v>
      </c>
      <c r="D32" s="25" t="s">
        <v>23</v>
      </c>
      <c r="E32" s="26">
        <v>2500</v>
      </c>
      <c r="F32" s="27">
        <v>2524.5124999999998</v>
      </c>
      <c r="G32" s="28">
        <v>3.5440630000000001E-2</v>
      </c>
      <c r="H32" s="15">
        <v>7.2024999999999997</v>
      </c>
    </row>
    <row r="33" spans="1:8" ht="25.5" x14ac:dyDescent="0.2">
      <c r="A33" s="24">
        <v>6</v>
      </c>
      <c r="B33" s="25" t="s">
        <v>32</v>
      </c>
      <c r="C33" s="25" t="s">
        <v>33</v>
      </c>
      <c r="D33" s="25" t="s">
        <v>23</v>
      </c>
      <c r="E33" s="26">
        <v>2500</v>
      </c>
      <c r="F33" s="27">
        <v>2524.14</v>
      </c>
      <c r="G33" s="28">
        <v>3.5435399999999999E-2</v>
      </c>
      <c r="H33" s="15">
        <v>7.48</v>
      </c>
    </row>
    <row r="34" spans="1:8" ht="25.5" x14ac:dyDescent="0.2">
      <c r="A34" s="24">
        <v>7</v>
      </c>
      <c r="B34" s="25" t="s">
        <v>34</v>
      </c>
      <c r="C34" s="25" t="s">
        <v>35</v>
      </c>
      <c r="D34" s="25" t="s">
        <v>36</v>
      </c>
      <c r="E34" s="26">
        <v>2500</v>
      </c>
      <c r="F34" s="27">
        <v>2523.31</v>
      </c>
      <c r="G34" s="28">
        <v>3.5423749999999997E-2</v>
      </c>
      <c r="H34" s="15">
        <v>7.3949999999999996</v>
      </c>
    </row>
    <row r="35" spans="1:8" ht="25.5" x14ac:dyDescent="0.2">
      <c r="A35" s="24">
        <v>8</v>
      </c>
      <c r="B35" s="25" t="s">
        <v>37</v>
      </c>
      <c r="C35" s="25" t="s">
        <v>38</v>
      </c>
      <c r="D35" s="25" t="s">
        <v>23</v>
      </c>
      <c r="E35" s="26">
        <v>2500</v>
      </c>
      <c r="F35" s="27">
        <v>2516.3924999999999</v>
      </c>
      <c r="G35" s="28">
        <v>3.5326629999999998E-2</v>
      </c>
      <c r="H35" s="15">
        <v>7.42</v>
      </c>
    </row>
    <row r="36" spans="1:8" x14ac:dyDescent="0.2">
      <c r="A36" s="24">
        <v>9</v>
      </c>
      <c r="B36" s="25" t="s">
        <v>39</v>
      </c>
      <c r="C36" s="25" t="s">
        <v>40</v>
      </c>
      <c r="D36" s="25" t="s">
        <v>23</v>
      </c>
      <c r="E36" s="26">
        <v>2500</v>
      </c>
      <c r="F36" s="27">
        <v>2495.605</v>
      </c>
      <c r="G36" s="28">
        <v>3.503481E-2</v>
      </c>
      <c r="H36" s="15">
        <v>7.4980000000000002</v>
      </c>
    </row>
    <row r="37" spans="1:8" x14ac:dyDescent="0.2">
      <c r="A37" s="24">
        <v>10</v>
      </c>
      <c r="B37" s="25" t="s">
        <v>41</v>
      </c>
      <c r="C37" s="25" t="s">
        <v>42</v>
      </c>
      <c r="D37" s="25" t="s">
        <v>23</v>
      </c>
      <c r="E37" s="26">
        <v>2500</v>
      </c>
      <c r="F37" s="27">
        <v>2493.9349999999999</v>
      </c>
      <c r="G37" s="28">
        <v>3.5011359999999998E-2</v>
      </c>
      <c r="H37" s="15">
        <v>7.625</v>
      </c>
    </row>
    <row r="38" spans="1:8" ht="25.5" x14ac:dyDescent="0.2">
      <c r="A38" s="24">
        <v>11</v>
      </c>
      <c r="B38" s="25" t="s">
        <v>43</v>
      </c>
      <c r="C38" s="25" t="s">
        <v>44</v>
      </c>
      <c r="D38" s="25" t="s">
        <v>23</v>
      </c>
      <c r="E38" s="26">
        <v>2500</v>
      </c>
      <c r="F38" s="27">
        <v>2489.5</v>
      </c>
      <c r="G38" s="28">
        <v>3.4949099999999997E-2</v>
      </c>
      <c r="H38" s="15">
        <v>7.5122999999999998</v>
      </c>
    </row>
    <row r="39" spans="1:8" x14ac:dyDescent="0.2">
      <c r="A39" s="24">
        <v>12</v>
      </c>
      <c r="B39" s="25" t="s">
        <v>45</v>
      </c>
      <c r="C39" s="25" t="s">
        <v>46</v>
      </c>
      <c r="D39" s="25" t="s">
        <v>23</v>
      </c>
      <c r="E39" s="26">
        <v>2000</v>
      </c>
      <c r="F39" s="27">
        <v>2022.992</v>
      </c>
      <c r="G39" s="28">
        <v>2.8399979999999998E-2</v>
      </c>
      <c r="H39" s="15">
        <v>7.4455999999999998</v>
      </c>
    </row>
    <row r="40" spans="1:8" ht="25.5" x14ac:dyDescent="0.2">
      <c r="A40" s="24">
        <v>13</v>
      </c>
      <c r="B40" s="25" t="s">
        <v>47</v>
      </c>
      <c r="C40" s="25" t="s">
        <v>48</v>
      </c>
      <c r="D40" s="25" t="s">
        <v>23</v>
      </c>
      <c r="E40" s="26">
        <v>2000</v>
      </c>
      <c r="F40" s="27">
        <v>2016.194</v>
      </c>
      <c r="G40" s="28">
        <v>2.8304550000000001E-2</v>
      </c>
      <c r="H40" s="15">
        <v>7.3711000000000002</v>
      </c>
    </row>
    <row r="41" spans="1:8" ht="25.5" x14ac:dyDescent="0.2">
      <c r="A41" s="24">
        <v>14</v>
      </c>
      <c r="B41" s="25" t="s">
        <v>49</v>
      </c>
      <c r="C41" s="25" t="s">
        <v>50</v>
      </c>
      <c r="D41" s="25" t="s">
        <v>36</v>
      </c>
      <c r="E41" s="26">
        <v>200</v>
      </c>
      <c r="F41" s="27">
        <v>2006.182</v>
      </c>
      <c r="G41" s="28">
        <v>2.816399E-2</v>
      </c>
      <c r="H41" s="15">
        <v>7.2986000000000004</v>
      </c>
    </row>
    <row r="42" spans="1:8" x14ac:dyDescent="0.2">
      <c r="A42" s="24">
        <v>15</v>
      </c>
      <c r="B42" s="25" t="s">
        <v>51</v>
      </c>
      <c r="C42" s="25" t="s">
        <v>52</v>
      </c>
      <c r="D42" s="25" t="s">
        <v>23</v>
      </c>
      <c r="E42" s="26">
        <v>2000</v>
      </c>
      <c r="F42" s="27">
        <v>1995.77</v>
      </c>
      <c r="G42" s="28">
        <v>2.8017819999999999E-2</v>
      </c>
      <c r="H42" s="15">
        <v>7.52</v>
      </c>
    </row>
    <row r="43" spans="1:8" ht="25.5" x14ac:dyDescent="0.2">
      <c r="A43" s="24">
        <v>16</v>
      </c>
      <c r="B43" s="25" t="s">
        <v>53</v>
      </c>
      <c r="C43" s="25" t="s">
        <v>54</v>
      </c>
      <c r="D43" s="25" t="s">
        <v>23</v>
      </c>
      <c r="E43" s="26">
        <v>1500</v>
      </c>
      <c r="F43" s="27">
        <v>1533.93</v>
      </c>
      <c r="G43" s="28">
        <v>2.1534230000000001E-2</v>
      </c>
      <c r="H43" s="15">
        <v>7.415</v>
      </c>
    </row>
    <row r="44" spans="1:8" x14ac:dyDescent="0.2">
      <c r="A44" s="24">
        <v>17</v>
      </c>
      <c r="B44" s="25" t="s">
        <v>55</v>
      </c>
      <c r="C44" s="25" t="s">
        <v>56</v>
      </c>
      <c r="D44" s="25" t="s">
        <v>23</v>
      </c>
      <c r="E44" s="26">
        <v>1500</v>
      </c>
      <c r="F44" s="27">
        <v>1502.7750000000001</v>
      </c>
      <c r="G44" s="28">
        <v>2.1096859999999999E-2</v>
      </c>
      <c r="H44" s="15">
        <v>7.6050000000000004</v>
      </c>
    </row>
    <row r="45" spans="1:8" ht="25.5" x14ac:dyDescent="0.2">
      <c r="A45" s="24">
        <v>18</v>
      </c>
      <c r="B45" s="25" t="s">
        <v>57</v>
      </c>
      <c r="C45" s="25" t="s">
        <v>58</v>
      </c>
      <c r="D45" s="25" t="s">
        <v>23</v>
      </c>
      <c r="E45" s="26">
        <v>1500</v>
      </c>
      <c r="F45" s="27">
        <v>1497.933</v>
      </c>
      <c r="G45" s="28">
        <v>2.1028890000000001E-2</v>
      </c>
      <c r="H45" s="15">
        <v>7.63</v>
      </c>
    </row>
    <row r="46" spans="1:8" x14ac:dyDescent="0.2">
      <c r="A46" s="24">
        <v>19</v>
      </c>
      <c r="B46" s="25" t="s">
        <v>59</v>
      </c>
      <c r="C46" s="25" t="s">
        <v>60</v>
      </c>
      <c r="D46" s="25" t="s">
        <v>23</v>
      </c>
      <c r="E46" s="26">
        <v>100</v>
      </c>
      <c r="F46" s="27">
        <v>1007.7380000000001</v>
      </c>
      <c r="G46" s="28">
        <v>1.414723E-2</v>
      </c>
      <c r="H46" s="15">
        <v>7.65</v>
      </c>
    </row>
    <row r="47" spans="1:8" ht="25.5" x14ac:dyDescent="0.2">
      <c r="A47" s="24">
        <v>20</v>
      </c>
      <c r="B47" s="25" t="s">
        <v>61</v>
      </c>
      <c r="C47" s="25" t="s">
        <v>62</v>
      </c>
      <c r="D47" s="25" t="s">
        <v>23</v>
      </c>
      <c r="E47" s="26">
        <v>1000</v>
      </c>
      <c r="F47" s="27">
        <v>999.33699999999999</v>
      </c>
      <c r="G47" s="28">
        <v>1.402929E-2</v>
      </c>
      <c r="H47" s="15">
        <v>8.2100000000000009</v>
      </c>
    </row>
    <row r="48" spans="1:8" ht="25.5" x14ac:dyDescent="0.2">
      <c r="A48" s="24">
        <v>21</v>
      </c>
      <c r="B48" s="25" t="s">
        <v>63</v>
      </c>
      <c r="C48" s="25" t="s">
        <v>64</v>
      </c>
      <c r="D48" s="25" t="s">
        <v>23</v>
      </c>
      <c r="E48" s="26">
        <v>1000</v>
      </c>
      <c r="F48" s="27">
        <v>996.31899999999996</v>
      </c>
      <c r="G48" s="28">
        <v>1.398693E-2</v>
      </c>
      <c r="H48" s="15">
        <v>7.64</v>
      </c>
    </row>
    <row r="49" spans="1:8" x14ac:dyDescent="0.2">
      <c r="A49" s="24">
        <v>22</v>
      </c>
      <c r="B49" s="25" t="s">
        <v>65</v>
      </c>
      <c r="C49" s="25" t="s">
        <v>66</v>
      </c>
      <c r="D49" s="25" t="s">
        <v>23</v>
      </c>
      <c r="E49" s="26">
        <v>500</v>
      </c>
      <c r="F49" s="27">
        <v>506.61950000000002</v>
      </c>
      <c r="G49" s="28">
        <v>7.1122299999999998E-3</v>
      </c>
      <c r="H49" s="15">
        <v>7.6605999999999996</v>
      </c>
    </row>
    <row r="50" spans="1:8" ht="25.5" x14ac:dyDescent="0.2">
      <c r="A50" s="24">
        <v>23</v>
      </c>
      <c r="B50" s="25" t="s">
        <v>67</v>
      </c>
      <c r="C50" s="25" t="s">
        <v>68</v>
      </c>
      <c r="D50" s="25" t="s">
        <v>23</v>
      </c>
      <c r="E50" s="26">
        <v>500</v>
      </c>
      <c r="F50" s="27">
        <v>501.98500000000001</v>
      </c>
      <c r="G50" s="28">
        <v>7.0471700000000002E-3</v>
      </c>
      <c r="H50" s="15">
        <v>7.51</v>
      </c>
    </row>
    <row r="51" spans="1:8" ht="25.5" x14ac:dyDescent="0.2">
      <c r="A51" s="24">
        <v>24</v>
      </c>
      <c r="B51" s="25" t="s">
        <v>69</v>
      </c>
      <c r="C51" s="25" t="s">
        <v>70</v>
      </c>
      <c r="D51" s="25" t="s">
        <v>36</v>
      </c>
      <c r="E51" s="26">
        <v>50</v>
      </c>
      <c r="F51" s="27">
        <v>497.49</v>
      </c>
      <c r="G51" s="28">
        <v>6.9840600000000003E-3</v>
      </c>
      <c r="H51" s="15">
        <v>7.52</v>
      </c>
    </row>
    <row r="52" spans="1:8" x14ac:dyDescent="0.2">
      <c r="A52" s="17"/>
      <c r="B52" s="17"/>
      <c r="C52" s="18" t="s">
        <v>11</v>
      </c>
      <c r="D52" s="17"/>
      <c r="E52" s="17" t="s">
        <v>12</v>
      </c>
      <c r="F52" s="23">
        <v>50712.772499999999</v>
      </c>
      <c r="G52" s="20">
        <v>0.71193644</v>
      </c>
      <c r="H52" s="15" t="s">
        <v>12</v>
      </c>
    </row>
    <row r="53" spans="1:8" x14ac:dyDescent="0.2">
      <c r="A53" s="17"/>
      <c r="B53" s="17"/>
      <c r="C53" s="21"/>
      <c r="D53" s="17"/>
      <c r="E53" s="17"/>
      <c r="F53" s="22"/>
      <c r="G53" s="22"/>
      <c r="H53" s="15" t="s">
        <v>12</v>
      </c>
    </row>
    <row r="54" spans="1:8" x14ac:dyDescent="0.2">
      <c r="A54" s="17"/>
      <c r="B54" s="17"/>
      <c r="C54" s="18" t="s">
        <v>71</v>
      </c>
      <c r="D54" s="17"/>
      <c r="E54" s="17"/>
      <c r="F54" s="17"/>
      <c r="G54" s="17"/>
      <c r="H54" s="15" t="s">
        <v>12</v>
      </c>
    </row>
    <row r="55" spans="1:8" x14ac:dyDescent="0.2">
      <c r="A55" s="17"/>
      <c r="B55" s="17"/>
      <c r="C55" s="18" t="s">
        <v>11</v>
      </c>
      <c r="D55" s="17"/>
      <c r="E55" s="17" t="s">
        <v>12</v>
      </c>
      <c r="F55" s="19" t="s">
        <v>13</v>
      </c>
      <c r="G55" s="20">
        <v>0</v>
      </c>
      <c r="H55" s="15" t="s">
        <v>12</v>
      </c>
    </row>
    <row r="56" spans="1:8" x14ac:dyDescent="0.2">
      <c r="A56" s="17"/>
      <c r="B56" s="17"/>
      <c r="C56" s="21"/>
      <c r="D56" s="17"/>
      <c r="E56" s="17"/>
      <c r="F56" s="22"/>
      <c r="G56" s="22"/>
      <c r="H56" s="15" t="s">
        <v>12</v>
      </c>
    </row>
    <row r="57" spans="1:8" x14ac:dyDescent="0.2">
      <c r="A57" s="17"/>
      <c r="B57" s="17"/>
      <c r="C57" s="18" t="s">
        <v>72</v>
      </c>
      <c r="D57" s="17"/>
      <c r="E57" s="17"/>
      <c r="F57" s="17"/>
      <c r="G57" s="17"/>
      <c r="H57" s="15" t="s">
        <v>12</v>
      </c>
    </row>
    <row r="58" spans="1:8" ht="25.5" x14ac:dyDescent="0.2">
      <c r="A58" s="24">
        <v>1</v>
      </c>
      <c r="B58" s="25" t="s">
        <v>73</v>
      </c>
      <c r="C58" s="25" t="s">
        <v>74</v>
      </c>
      <c r="D58" s="25" t="s">
        <v>75</v>
      </c>
      <c r="E58" s="26">
        <v>8400000</v>
      </c>
      <c r="F58" s="27">
        <v>8602.1376</v>
      </c>
      <c r="G58" s="28">
        <v>0.12076199</v>
      </c>
      <c r="H58" s="15">
        <v>6.8559999999999999</v>
      </c>
    </row>
    <row r="59" spans="1:8" x14ac:dyDescent="0.2">
      <c r="A59" s="24">
        <v>2</v>
      </c>
      <c r="B59" s="25" t="s">
        <v>76</v>
      </c>
      <c r="C59" s="25" t="s">
        <v>77</v>
      </c>
      <c r="D59" s="25" t="s">
        <v>75</v>
      </c>
      <c r="E59" s="26">
        <v>2000000</v>
      </c>
      <c r="F59" s="27">
        <v>2060.7559999999999</v>
      </c>
      <c r="G59" s="28">
        <v>2.8930129999999998E-2</v>
      </c>
      <c r="H59" s="15">
        <v>6.7865000000000002</v>
      </c>
    </row>
    <row r="60" spans="1:8" x14ac:dyDescent="0.2">
      <c r="A60" s="24">
        <v>3</v>
      </c>
      <c r="B60" s="25" t="s">
        <v>78</v>
      </c>
      <c r="C60" s="25" t="s">
        <v>79</v>
      </c>
      <c r="D60" s="25" t="s">
        <v>75</v>
      </c>
      <c r="E60" s="26">
        <v>1500000</v>
      </c>
      <c r="F60" s="27">
        <v>1550.8605</v>
      </c>
      <c r="G60" s="28">
        <v>2.1771909999999998E-2</v>
      </c>
      <c r="H60" s="15">
        <v>7.1452</v>
      </c>
    </row>
    <row r="61" spans="1:8" ht="25.5" x14ac:dyDescent="0.2">
      <c r="A61" s="24">
        <v>4</v>
      </c>
      <c r="B61" s="25" t="s">
        <v>80</v>
      </c>
      <c r="C61" s="25" t="s">
        <v>81</v>
      </c>
      <c r="D61" s="25" t="s">
        <v>75</v>
      </c>
      <c r="E61" s="26">
        <v>1500000</v>
      </c>
      <c r="F61" s="27">
        <v>1502.3655000000001</v>
      </c>
      <c r="G61" s="28">
        <v>2.109111E-2</v>
      </c>
      <c r="H61" s="15">
        <v>7.0281000000000002</v>
      </c>
    </row>
    <row r="62" spans="1:8" ht="25.5" x14ac:dyDescent="0.2">
      <c r="A62" s="24">
        <v>5</v>
      </c>
      <c r="B62" s="25" t="s">
        <v>82</v>
      </c>
      <c r="C62" s="25" t="s">
        <v>83</v>
      </c>
      <c r="D62" s="25" t="s">
        <v>75</v>
      </c>
      <c r="E62" s="26">
        <v>1000000</v>
      </c>
      <c r="F62" s="27">
        <v>1038.385</v>
      </c>
      <c r="G62" s="28">
        <v>1.457747E-2</v>
      </c>
      <c r="H62" s="15">
        <v>7.1733000000000002</v>
      </c>
    </row>
    <row r="63" spans="1:8" x14ac:dyDescent="0.2">
      <c r="A63" s="24">
        <v>6</v>
      </c>
      <c r="B63" s="25" t="s">
        <v>84</v>
      </c>
      <c r="C63" s="25" t="s">
        <v>85</v>
      </c>
      <c r="D63" s="25" t="s">
        <v>75</v>
      </c>
      <c r="E63" s="26">
        <v>1000000</v>
      </c>
      <c r="F63" s="27">
        <v>1024.0809999999999</v>
      </c>
      <c r="G63" s="28">
        <v>1.4376669999999999E-2</v>
      </c>
      <c r="H63" s="15">
        <v>6.7355999999999998</v>
      </c>
    </row>
    <row r="64" spans="1:8" x14ac:dyDescent="0.2">
      <c r="A64" s="24">
        <v>7</v>
      </c>
      <c r="B64" s="25" t="s">
        <v>86</v>
      </c>
      <c r="C64" s="25" t="s">
        <v>87</v>
      </c>
      <c r="D64" s="25" t="s">
        <v>75</v>
      </c>
      <c r="E64" s="26">
        <v>500000</v>
      </c>
      <c r="F64" s="27">
        <v>514.10649999999998</v>
      </c>
      <c r="G64" s="28">
        <v>7.21734E-3</v>
      </c>
      <c r="H64" s="15">
        <v>6.9569999999999999</v>
      </c>
    </row>
    <row r="65" spans="1:8" x14ac:dyDescent="0.2">
      <c r="A65" s="17"/>
      <c r="B65" s="17"/>
      <c r="C65" s="18" t="s">
        <v>11</v>
      </c>
      <c r="D65" s="17"/>
      <c r="E65" s="17" t="s">
        <v>12</v>
      </c>
      <c r="F65" s="23">
        <v>16292.6921</v>
      </c>
      <c r="G65" s="20">
        <v>0.22872661999999999</v>
      </c>
      <c r="H65" s="15" t="s">
        <v>12</v>
      </c>
    </row>
    <row r="66" spans="1:8" x14ac:dyDescent="0.2">
      <c r="A66" s="17"/>
      <c r="B66" s="17"/>
      <c r="C66" s="21"/>
      <c r="D66" s="17"/>
      <c r="E66" s="17"/>
      <c r="F66" s="22"/>
      <c r="G66" s="22"/>
      <c r="H66" s="15" t="s">
        <v>12</v>
      </c>
    </row>
    <row r="67" spans="1:8" x14ac:dyDescent="0.2">
      <c r="A67" s="17"/>
      <c r="B67" s="17"/>
      <c r="C67" s="18" t="s">
        <v>88</v>
      </c>
      <c r="D67" s="17"/>
      <c r="E67" s="17"/>
      <c r="F67" s="22"/>
      <c r="G67" s="22"/>
      <c r="H67" s="15" t="s">
        <v>12</v>
      </c>
    </row>
    <row r="68" spans="1:8" x14ac:dyDescent="0.2">
      <c r="A68" s="17"/>
      <c r="B68" s="17"/>
      <c r="C68" s="18" t="s">
        <v>11</v>
      </c>
      <c r="D68" s="17"/>
      <c r="E68" s="17" t="s">
        <v>12</v>
      </c>
      <c r="F68" s="19" t="s">
        <v>13</v>
      </c>
      <c r="G68" s="20">
        <v>0</v>
      </c>
      <c r="H68" s="15" t="s">
        <v>12</v>
      </c>
    </row>
    <row r="69" spans="1:8" x14ac:dyDescent="0.2">
      <c r="A69" s="17"/>
      <c r="B69" s="17"/>
      <c r="C69" s="21"/>
      <c r="D69" s="17"/>
      <c r="E69" s="17"/>
      <c r="F69" s="22"/>
      <c r="G69" s="22"/>
      <c r="H69" s="15" t="s">
        <v>12</v>
      </c>
    </row>
    <row r="70" spans="1:8" x14ac:dyDescent="0.2">
      <c r="A70" s="17"/>
      <c r="B70" s="17"/>
      <c r="C70" s="18" t="s">
        <v>89</v>
      </c>
      <c r="D70" s="17"/>
      <c r="E70" s="17"/>
      <c r="F70" s="23">
        <v>67005.464600000007</v>
      </c>
      <c r="G70" s="20">
        <v>0.94066306</v>
      </c>
      <c r="H70" s="15" t="s">
        <v>12</v>
      </c>
    </row>
    <row r="71" spans="1:8" x14ac:dyDescent="0.2">
      <c r="A71" s="17"/>
      <c r="B71" s="17"/>
      <c r="C71" s="21"/>
      <c r="D71" s="17"/>
      <c r="E71" s="17"/>
      <c r="F71" s="22"/>
      <c r="G71" s="22"/>
      <c r="H71" s="15" t="s">
        <v>12</v>
      </c>
    </row>
    <row r="72" spans="1:8" x14ac:dyDescent="0.2">
      <c r="A72" s="17"/>
      <c r="B72" s="17"/>
      <c r="C72" s="18" t="s">
        <v>90</v>
      </c>
      <c r="D72" s="17"/>
      <c r="E72" s="17"/>
      <c r="F72" s="22"/>
      <c r="G72" s="22"/>
      <c r="H72" s="15" t="s">
        <v>12</v>
      </c>
    </row>
    <row r="73" spans="1:8" x14ac:dyDescent="0.2">
      <c r="A73" s="17"/>
      <c r="B73" s="17"/>
      <c r="C73" s="18" t="s">
        <v>91</v>
      </c>
      <c r="D73" s="17"/>
      <c r="E73" s="17"/>
      <c r="F73" s="22"/>
      <c r="G73" s="22"/>
      <c r="H73" s="15" t="s">
        <v>12</v>
      </c>
    </row>
    <row r="74" spans="1:8" x14ac:dyDescent="0.2">
      <c r="A74" s="17"/>
      <c r="B74" s="17"/>
      <c r="C74" s="18" t="s">
        <v>11</v>
      </c>
      <c r="D74" s="17"/>
      <c r="E74" s="17" t="s">
        <v>12</v>
      </c>
      <c r="F74" s="19" t="s">
        <v>13</v>
      </c>
      <c r="G74" s="20">
        <v>0</v>
      </c>
      <c r="H74" s="15" t="s">
        <v>12</v>
      </c>
    </row>
    <row r="75" spans="1:8" x14ac:dyDescent="0.2">
      <c r="A75" s="17"/>
      <c r="B75" s="17"/>
      <c r="C75" s="21"/>
      <c r="D75" s="17"/>
      <c r="E75" s="17"/>
      <c r="F75" s="22"/>
      <c r="G75" s="22"/>
      <c r="H75" s="15" t="s">
        <v>12</v>
      </c>
    </row>
    <row r="76" spans="1:8" x14ac:dyDescent="0.2">
      <c r="A76" s="17"/>
      <c r="B76" s="17"/>
      <c r="C76" s="18" t="s">
        <v>92</v>
      </c>
      <c r="D76" s="17"/>
      <c r="E76" s="17"/>
      <c r="F76" s="22"/>
      <c r="G76" s="22"/>
      <c r="H76" s="15" t="s">
        <v>12</v>
      </c>
    </row>
    <row r="77" spans="1:8" x14ac:dyDescent="0.2">
      <c r="A77" s="17"/>
      <c r="B77" s="17"/>
      <c r="C77" s="18" t="s">
        <v>11</v>
      </c>
      <c r="D77" s="17"/>
      <c r="E77" s="17" t="s">
        <v>12</v>
      </c>
      <c r="F77" s="19" t="s">
        <v>13</v>
      </c>
      <c r="G77" s="20">
        <v>0</v>
      </c>
      <c r="H77" s="15" t="s">
        <v>12</v>
      </c>
    </row>
    <row r="78" spans="1:8" x14ac:dyDescent="0.2">
      <c r="A78" s="17"/>
      <c r="B78" s="17"/>
      <c r="C78" s="21"/>
      <c r="D78" s="17"/>
      <c r="E78" s="17"/>
      <c r="F78" s="22"/>
      <c r="G78" s="22"/>
      <c r="H78" s="15" t="s">
        <v>12</v>
      </c>
    </row>
    <row r="79" spans="1:8" x14ac:dyDescent="0.2">
      <c r="A79" s="17"/>
      <c r="B79" s="17"/>
      <c r="C79" s="18" t="s">
        <v>93</v>
      </c>
      <c r="D79" s="17"/>
      <c r="E79" s="17"/>
      <c r="F79" s="22"/>
      <c r="G79" s="22"/>
      <c r="H79" s="15" t="s">
        <v>12</v>
      </c>
    </row>
    <row r="80" spans="1:8" x14ac:dyDescent="0.2">
      <c r="A80" s="17"/>
      <c r="B80" s="17"/>
      <c r="C80" s="18" t="s">
        <v>11</v>
      </c>
      <c r="D80" s="17"/>
      <c r="E80" s="17" t="s">
        <v>12</v>
      </c>
      <c r="F80" s="19" t="s">
        <v>13</v>
      </c>
      <c r="G80" s="20">
        <v>0</v>
      </c>
      <c r="H80" s="15" t="s">
        <v>12</v>
      </c>
    </row>
    <row r="81" spans="1:17" x14ac:dyDescent="0.2">
      <c r="A81" s="17"/>
      <c r="B81" s="17"/>
      <c r="C81" s="21"/>
      <c r="D81" s="17"/>
      <c r="E81" s="17"/>
      <c r="F81" s="22"/>
      <c r="G81" s="22"/>
      <c r="H81" s="15" t="s">
        <v>12</v>
      </c>
    </row>
    <row r="82" spans="1:17" x14ac:dyDescent="0.2">
      <c r="A82" s="17"/>
      <c r="B82" s="17"/>
      <c r="C82" s="18" t="s">
        <v>94</v>
      </c>
      <c r="D82" s="17"/>
      <c r="E82" s="17"/>
      <c r="F82" s="22"/>
      <c r="G82" s="22"/>
      <c r="H82" s="15" t="s">
        <v>12</v>
      </c>
    </row>
    <row r="83" spans="1:17" x14ac:dyDescent="0.2">
      <c r="A83" s="24">
        <v>1</v>
      </c>
      <c r="B83" s="25"/>
      <c r="C83" s="25" t="s">
        <v>95</v>
      </c>
      <c r="D83" s="25"/>
      <c r="E83" s="29"/>
      <c r="F83" s="27">
        <v>2160.8374756990002</v>
      </c>
      <c r="G83" s="28">
        <v>3.033514E-2</v>
      </c>
      <c r="H83" s="15">
        <v>6.57</v>
      </c>
    </row>
    <row r="84" spans="1:17" x14ac:dyDescent="0.2">
      <c r="A84" s="17"/>
      <c r="B84" s="17"/>
      <c r="C84" s="18" t="s">
        <v>11</v>
      </c>
      <c r="D84" s="17"/>
      <c r="E84" s="17" t="s">
        <v>12</v>
      </c>
      <c r="F84" s="23">
        <v>2160.8374756990002</v>
      </c>
      <c r="G84" s="20">
        <v>3.033514E-2</v>
      </c>
      <c r="H84" s="15" t="s">
        <v>12</v>
      </c>
    </row>
    <row r="85" spans="1:17" x14ac:dyDescent="0.2">
      <c r="A85" s="17"/>
      <c r="B85" s="17"/>
      <c r="C85" s="21"/>
      <c r="D85" s="17"/>
      <c r="E85" s="17"/>
      <c r="F85" s="22"/>
      <c r="G85" s="22"/>
      <c r="H85" s="15" t="s">
        <v>12</v>
      </c>
    </row>
    <row r="86" spans="1:17" x14ac:dyDescent="0.2">
      <c r="A86" s="17"/>
      <c r="B86" s="17"/>
      <c r="C86" s="18" t="s">
        <v>96</v>
      </c>
      <c r="D86" s="17"/>
      <c r="E86" s="17"/>
      <c r="F86" s="23">
        <v>2160.8374756990002</v>
      </c>
      <c r="G86" s="20">
        <v>3.033514E-2</v>
      </c>
      <c r="H86" s="15" t="s">
        <v>12</v>
      </c>
    </row>
    <row r="87" spans="1:17" x14ac:dyDescent="0.2">
      <c r="A87" s="17"/>
      <c r="B87" s="17"/>
      <c r="C87" s="22"/>
      <c r="D87" s="17"/>
      <c r="E87" s="17"/>
      <c r="F87" s="17"/>
      <c r="G87" s="17"/>
      <c r="H87" s="15" t="s">
        <v>12</v>
      </c>
    </row>
    <row r="88" spans="1:17" x14ac:dyDescent="0.2">
      <c r="A88" s="17"/>
      <c r="B88" s="17"/>
      <c r="C88" s="18" t="s">
        <v>97</v>
      </c>
      <c r="D88" s="17"/>
      <c r="E88" s="17"/>
      <c r="F88" s="17"/>
      <c r="G88" s="17"/>
      <c r="H88" s="15" t="s">
        <v>12</v>
      </c>
    </row>
    <row r="89" spans="1:17" x14ac:dyDescent="0.2">
      <c r="A89" s="17"/>
      <c r="B89" s="17"/>
      <c r="C89" s="18" t="s">
        <v>98</v>
      </c>
      <c r="D89" s="17"/>
      <c r="E89" s="17"/>
      <c r="F89" s="17"/>
      <c r="G89" s="17"/>
      <c r="H89" s="15" t="s">
        <v>12</v>
      </c>
    </row>
    <row r="90" spans="1:17" x14ac:dyDescent="0.2">
      <c r="A90" s="17"/>
      <c r="B90" s="17"/>
      <c r="C90" s="18" t="s">
        <v>11</v>
      </c>
      <c r="D90" s="17"/>
      <c r="E90" s="17" t="s">
        <v>12</v>
      </c>
      <c r="F90" s="19" t="s">
        <v>13</v>
      </c>
      <c r="G90" s="20">
        <v>0</v>
      </c>
      <c r="H90" s="15" t="s">
        <v>12</v>
      </c>
    </row>
    <row r="91" spans="1:17" x14ac:dyDescent="0.2">
      <c r="A91" s="30"/>
      <c r="B91" s="30"/>
      <c r="C91" s="31"/>
      <c r="D91" s="30"/>
      <c r="E91" s="30"/>
      <c r="F91" s="32"/>
      <c r="G91" s="32"/>
      <c r="H91" s="33" t="s">
        <v>12</v>
      </c>
    </row>
    <row r="92" spans="1:17" x14ac:dyDescent="0.2">
      <c r="A92" s="30"/>
      <c r="B92" s="30"/>
      <c r="C92" s="34" t="s">
        <v>563</v>
      </c>
      <c r="D92" s="30"/>
      <c r="E92" s="30"/>
      <c r="F92" s="32"/>
      <c r="G92" s="32"/>
      <c r="H92" s="35"/>
      <c r="K92" s="36"/>
      <c r="L92" s="36"/>
      <c r="M92" s="36"/>
      <c r="N92" s="36"/>
      <c r="O92" s="37"/>
      <c r="P92" s="37"/>
      <c r="Q92" s="37"/>
    </row>
    <row r="93" spans="1:17" ht="25.5" x14ac:dyDescent="0.2">
      <c r="A93" s="38">
        <v>1</v>
      </c>
      <c r="B93" s="39" t="s">
        <v>99</v>
      </c>
      <c r="C93" s="39" t="s">
        <v>100</v>
      </c>
      <c r="D93" s="39"/>
      <c r="E93" s="40">
        <v>2586.3710000000001</v>
      </c>
      <c r="F93" s="35">
        <v>282.18844948899999</v>
      </c>
      <c r="G93" s="41">
        <v>3.9615300000000004E-3</v>
      </c>
      <c r="H93" s="33"/>
    </row>
    <row r="94" spans="1:17" x14ac:dyDescent="0.2">
      <c r="A94" s="30"/>
      <c r="B94" s="30"/>
      <c r="C94" s="34" t="s">
        <v>11</v>
      </c>
      <c r="D94" s="30"/>
      <c r="E94" s="30" t="s">
        <v>12</v>
      </c>
      <c r="F94" s="42">
        <f>SUM(F93)</f>
        <v>282.18844948899999</v>
      </c>
      <c r="G94" s="43">
        <f>SUM(G93)</f>
        <v>3.9615300000000004E-3</v>
      </c>
      <c r="H94" s="33" t="s">
        <v>12</v>
      </c>
    </row>
    <row r="95" spans="1:17" x14ac:dyDescent="0.2">
      <c r="A95" s="17"/>
      <c r="B95" s="17"/>
      <c r="C95" s="21"/>
      <c r="D95" s="17"/>
      <c r="E95" s="17"/>
      <c r="F95" s="22"/>
      <c r="G95" s="22"/>
      <c r="H95" s="15" t="s">
        <v>12</v>
      </c>
    </row>
    <row r="96" spans="1:17" x14ac:dyDescent="0.2">
      <c r="A96" s="17"/>
      <c r="B96" s="17"/>
      <c r="C96" s="18" t="s">
        <v>101</v>
      </c>
      <c r="D96" s="17"/>
      <c r="E96" s="17"/>
      <c r="F96" s="17"/>
      <c r="G96" s="17"/>
      <c r="H96" s="15" t="s">
        <v>12</v>
      </c>
    </row>
    <row r="97" spans="1:8" x14ac:dyDescent="0.2">
      <c r="A97" s="17"/>
      <c r="B97" s="17"/>
      <c r="C97" s="18" t="s">
        <v>102</v>
      </c>
      <c r="D97" s="17"/>
      <c r="E97" s="17"/>
      <c r="F97" s="17"/>
      <c r="G97" s="17"/>
      <c r="H97" s="15" t="s">
        <v>12</v>
      </c>
    </row>
    <row r="98" spans="1:8" x14ac:dyDescent="0.2">
      <c r="A98" s="17"/>
      <c r="B98" s="17"/>
      <c r="C98" s="18" t="s">
        <v>11</v>
      </c>
      <c r="D98" s="17"/>
      <c r="E98" s="17" t="s">
        <v>12</v>
      </c>
      <c r="F98" s="19" t="s">
        <v>13</v>
      </c>
      <c r="G98" s="20">
        <v>0</v>
      </c>
      <c r="H98" s="15" t="s">
        <v>12</v>
      </c>
    </row>
    <row r="99" spans="1:8" x14ac:dyDescent="0.2">
      <c r="A99" s="17"/>
      <c r="B99" s="17"/>
      <c r="C99" s="21"/>
      <c r="D99" s="17"/>
      <c r="E99" s="17"/>
      <c r="F99" s="22"/>
      <c r="G99" s="22"/>
      <c r="H99" s="15" t="s">
        <v>12</v>
      </c>
    </row>
    <row r="100" spans="1:8" x14ac:dyDescent="0.2">
      <c r="A100" s="17"/>
      <c r="B100" s="17"/>
      <c r="C100" s="18" t="s">
        <v>103</v>
      </c>
      <c r="D100" s="17"/>
      <c r="E100" s="17"/>
      <c r="F100" s="22"/>
      <c r="G100" s="22"/>
      <c r="H100" s="15" t="s">
        <v>12</v>
      </c>
    </row>
    <row r="101" spans="1:8" x14ac:dyDescent="0.2">
      <c r="A101" s="17"/>
      <c r="B101" s="17"/>
      <c r="C101" s="18" t="s">
        <v>11</v>
      </c>
      <c r="D101" s="17"/>
      <c r="E101" s="17" t="s">
        <v>12</v>
      </c>
      <c r="F101" s="19" t="s">
        <v>13</v>
      </c>
      <c r="G101" s="20">
        <v>0</v>
      </c>
      <c r="H101" s="15" t="s">
        <v>12</v>
      </c>
    </row>
    <row r="102" spans="1:8" x14ac:dyDescent="0.2">
      <c r="A102" s="17"/>
      <c r="B102" s="17"/>
      <c r="C102" s="21"/>
      <c r="D102" s="17"/>
      <c r="E102" s="17"/>
      <c r="F102" s="22"/>
      <c r="G102" s="22"/>
      <c r="H102" s="15" t="s">
        <v>12</v>
      </c>
    </row>
    <row r="103" spans="1:8" x14ac:dyDescent="0.2">
      <c r="A103" s="29"/>
      <c r="B103" s="25"/>
      <c r="C103" s="25" t="s">
        <v>104</v>
      </c>
      <c r="D103" s="25"/>
      <c r="E103" s="29"/>
      <c r="F103" s="27">
        <v>1783.6736581800001</v>
      </c>
      <c r="G103" s="28">
        <v>2.504029E-2</v>
      </c>
      <c r="H103" s="15" t="s">
        <v>12</v>
      </c>
    </row>
    <row r="104" spans="1:8" x14ac:dyDescent="0.2">
      <c r="A104" s="21"/>
      <c r="B104" s="21"/>
      <c r="C104" s="18" t="s">
        <v>105</v>
      </c>
      <c r="D104" s="22"/>
      <c r="E104" s="22"/>
      <c r="F104" s="23">
        <v>71232.164183368004</v>
      </c>
      <c r="G104" s="44">
        <v>1.0000000200000001</v>
      </c>
      <c r="H104" s="15" t="s">
        <v>12</v>
      </c>
    </row>
    <row r="105" spans="1:8" x14ac:dyDescent="0.2">
      <c r="A105" s="45"/>
      <c r="B105" s="45"/>
      <c r="C105" s="45"/>
      <c r="D105" s="46"/>
      <c r="E105" s="46"/>
      <c r="F105" s="46"/>
      <c r="G105" s="46"/>
    </row>
    <row r="106" spans="1:8" x14ac:dyDescent="0.2">
      <c r="A106" s="47"/>
      <c r="B106" s="48" t="s">
        <v>564</v>
      </c>
      <c r="C106" s="48"/>
      <c r="D106" s="48"/>
      <c r="E106" s="48"/>
      <c r="F106" s="48"/>
      <c r="G106" s="48"/>
      <c r="H106" s="48"/>
    </row>
    <row r="107" spans="1:8" x14ac:dyDescent="0.2">
      <c r="A107" s="47"/>
      <c r="B107" s="48" t="s">
        <v>565</v>
      </c>
      <c r="C107" s="48"/>
      <c r="D107" s="48"/>
      <c r="E107" s="48"/>
      <c r="F107" s="48"/>
      <c r="G107" s="48"/>
      <c r="H107" s="48"/>
    </row>
    <row r="108" spans="1:8" x14ac:dyDescent="0.2">
      <c r="A108" s="47"/>
      <c r="B108" s="48" t="s">
        <v>566</v>
      </c>
      <c r="C108" s="48"/>
      <c r="D108" s="48"/>
      <c r="E108" s="48"/>
      <c r="F108" s="48"/>
      <c r="G108" s="48"/>
      <c r="H108" s="48"/>
    </row>
    <row r="109" spans="1:8" x14ac:dyDescent="0.2">
      <c r="A109" s="49"/>
      <c r="B109" s="49"/>
      <c r="C109" s="49"/>
      <c r="D109" s="50"/>
      <c r="E109" s="50"/>
      <c r="F109" s="50"/>
      <c r="G109" s="50"/>
    </row>
    <row r="110" spans="1:8" x14ac:dyDescent="0.2">
      <c r="A110" s="49"/>
      <c r="B110" s="51" t="s">
        <v>106</v>
      </c>
      <c r="C110" s="52"/>
      <c r="D110" s="53"/>
      <c r="E110" s="54"/>
      <c r="F110" s="50"/>
      <c r="G110" s="50"/>
    </row>
    <row r="111" spans="1:8" x14ac:dyDescent="0.2">
      <c r="A111" s="49"/>
      <c r="B111" s="55" t="s">
        <v>107</v>
      </c>
      <c r="C111" s="56"/>
      <c r="D111" s="18" t="s">
        <v>108</v>
      </c>
      <c r="E111" s="54"/>
      <c r="F111" s="50"/>
      <c r="G111" s="50"/>
    </row>
    <row r="112" spans="1:8" x14ac:dyDescent="0.2">
      <c r="A112" s="49"/>
      <c r="B112" s="55" t="s">
        <v>109</v>
      </c>
      <c r="C112" s="56"/>
      <c r="D112" s="18" t="s">
        <v>108</v>
      </c>
      <c r="E112" s="54"/>
      <c r="F112" s="50"/>
      <c r="G112" s="50"/>
    </row>
    <row r="113" spans="1:7" x14ac:dyDescent="0.2">
      <c r="A113" s="49"/>
      <c r="B113" s="55" t="s">
        <v>110</v>
      </c>
      <c r="C113" s="56"/>
      <c r="D113" s="22" t="s">
        <v>12</v>
      </c>
      <c r="E113" s="54"/>
      <c r="F113" s="50"/>
      <c r="G113" s="50"/>
    </row>
    <row r="114" spans="1:7" x14ac:dyDescent="0.2">
      <c r="A114" s="57"/>
      <c r="B114" s="58" t="s">
        <v>12</v>
      </c>
      <c r="C114" s="58" t="s">
        <v>567</v>
      </c>
      <c r="D114" s="58" t="s">
        <v>111</v>
      </c>
      <c r="E114" s="57"/>
      <c r="F114" s="57"/>
      <c r="G114" s="57"/>
    </row>
    <row r="115" spans="1:7" x14ac:dyDescent="0.2">
      <c r="A115" s="57"/>
      <c r="B115" s="59" t="s">
        <v>112</v>
      </c>
      <c r="C115" s="60">
        <v>45657</v>
      </c>
      <c r="D115" s="60">
        <v>45688</v>
      </c>
      <c r="E115" s="57"/>
      <c r="F115" s="57"/>
      <c r="G115" s="57"/>
    </row>
    <row r="116" spans="1:7" x14ac:dyDescent="0.2">
      <c r="A116" s="61"/>
      <c r="B116" s="25" t="s">
        <v>113</v>
      </c>
      <c r="C116" s="62">
        <v>39.662599999999998</v>
      </c>
      <c r="D116" s="62">
        <v>39.924399999999999</v>
      </c>
      <c r="E116" s="61"/>
      <c r="F116" s="63"/>
      <c r="G116" s="64"/>
    </row>
    <row r="117" spans="1:7" ht="25.5" x14ac:dyDescent="0.2">
      <c r="A117" s="61"/>
      <c r="B117" s="25" t="s">
        <v>689</v>
      </c>
      <c r="C117" s="62">
        <v>17.548500000000001</v>
      </c>
      <c r="D117" s="62">
        <v>17.644300000000001</v>
      </c>
      <c r="E117" s="61"/>
      <c r="F117" s="63"/>
      <c r="G117" s="64"/>
    </row>
    <row r="118" spans="1:7" ht="25.5" x14ac:dyDescent="0.2">
      <c r="A118" s="61"/>
      <c r="B118" s="25" t="s">
        <v>690</v>
      </c>
      <c r="C118" s="62">
        <v>19.392299999999999</v>
      </c>
      <c r="D118" s="62">
        <v>19.520299999999999</v>
      </c>
      <c r="E118" s="61"/>
      <c r="F118" s="63"/>
      <c r="G118" s="64"/>
    </row>
    <row r="119" spans="1:7" ht="25.5" x14ac:dyDescent="0.2">
      <c r="A119" s="61"/>
      <c r="B119" s="25" t="s">
        <v>691</v>
      </c>
      <c r="C119" s="62">
        <v>17.5322</v>
      </c>
      <c r="D119" s="62">
        <v>17.6478</v>
      </c>
      <c r="E119" s="61"/>
      <c r="F119" s="63"/>
      <c r="G119" s="64"/>
    </row>
    <row r="120" spans="1:7" ht="25.5" x14ac:dyDescent="0.2">
      <c r="A120" s="61"/>
      <c r="B120" s="25" t="s">
        <v>692</v>
      </c>
      <c r="C120" s="62">
        <v>17.646999999999998</v>
      </c>
      <c r="D120" s="62">
        <v>17.763500000000001</v>
      </c>
      <c r="E120" s="61"/>
      <c r="F120" s="63"/>
      <c r="G120" s="64"/>
    </row>
    <row r="121" spans="1:7" x14ac:dyDescent="0.2">
      <c r="A121" s="61"/>
      <c r="B121" s="25" t="s">
        <v>114</v>
      </c>
      <c r="C121" s="62">
        <v>38.3994</v>
      </c>
      <c r="D121" s="62">
        <v>38.645299999999999</v>
      </c>
      <c r="E121" s="61"/>
      <c r="F121" s="63"/>
      <c r="G121" s="64"/>
    </row>
    <row r="122" spans="1:7" ht="25.5" x14ac:dyDescent="0.2">
      <c r="A122" s="61"/>
      <c r="B122" s="25" t="s">
        <v>693</v>
      </c>
      <c r="C122" s="62">
        <v>16.580500000000001</v>
      </c>
      <c r="D122" s="62">
        <v>16.666599999999999</v>
      </c>
      <c r="E122" s="61"/>
      <c r="F122" s="63"/>
      <c r="G122" s="64"/>
    </row>
    <row r="123" spans="1:7" ht="25.5" x14ac:dyDescent="0.2">
      <c r="A123" s="61"/>
      <c r="B123" s="25" t="s">
        <v>657</v>
      </c>
      <c r="C123" s="62">
        <v>18.811900000000001</v>
      </c>
      <c r="D123" s="62">
        <v>18.932300000000001</v>
      </c>
      <c r="E123" s="61"/>
      <c r="F123" s="63"/>
      <c r="G123" s="64"/>
    </row>
    <row r="124" spans="1:7" ht="25.5" x14ac:dyDescent="0.2">
      <c r="A124" s="61"/>
      <c r="B124" s="25" t="s">
        <v>694</v>
      </c>
      <c r="C124" s="62">
        <v>17.413900000000002</v>
      </c>
      <c r="D124" s="62">
        <v>17.525400000000001</v>
      </c>
      <c r="E124" s="61"/>
      <c r="F124" s="63"/>
      <c r="G124" s="64"/>
    </row>
    <row r="125" spans="1:7" ht="25.5" x14ac:dyDescent="0.2">
      <c r="A125" s="61"/>
      <c r="B125" s="25" t="s">
        <v>695</v>
      </c>
      <c r="C125" s="62">
        <v>17.1204</v>
      </c>
      <c r="D125" s="62">
        <v>17.23</v>
      </c>
      <c r="E125" s="61"/>
      <c r="F125" s="63"/>
      <c r="G125" s="64"/>
    </row>
    <row r="126" spans="1:7" x14ac:dyDescent="0.2">
      <c r="A126" s="61"/>
      <c r="B126" s="61"/>
      <c r="C126" s="61"/>
      <c r="D126" s="61"/>
      <c r="E126" s="61"/>
      <c r="F126" s="61"/>
      <c r="G126" s="61"/>
    </row>
    <row r="127" spans="1:7" x14ac:dyDescent="0.2">
      <c r="A127" s="61"/>
      <c r="B127" s="55" t="s">
        <v>568</v>
      </c>
      <c r="C127" s="56"/>
      <c r="D127" s="18" t="s">
        <v>12</v>
      </c>
      <c r="E127" s="61"/>
      <c r="F127" s="61"/>
      <c r="G127" s="61"/>
    </row>
    <row r="128" spans="1:7" x14ac:dyDescent="0.2">
      <c r="A128" s="61"/>
      <c r="B128" s="65" t="s">
        <v>112</v>
      </c>
      <c r="C128" s="66" t="s">
        <v>115</v>
      </c>
      <c r="D128" s="66" t="s">
        <v>116</v>
      </c>
      <c r="E128" s="61"/>
      <c r="F128" s="61"/>
      <c r="G128" s="61"/>
    </row>
    <row r="129" spans="1:14" ht="25.5" x14ac:dyDescent="0.2">
      <c r="A129" s="61"/>
      <c r="B129" s="25" t="s">
        <v>689</v>
      </c>
      <c r="C129" s="67">
        <v>0.02</v>
      </c>
      <c r="D129" s="29" t="s">
        <v>117</v>
      </c>
      <c r="E129" s="61"/>
      <c r="F129" s="63"/>
      <c r="G129" s="64"/>
    </row>
    <row r="130" spans="1:14" ht="25.5" x14ac:dyDescent="0.2">
      <c r="A130" s="61"/>
      <c r="B130" s="25" t="s">
        <v>693</v>
      </c>
      <c r="C130" s="67">
        <v>0.02</v>
      </c>
      <c r="D130" s="29" t="s">
        <v>117</v>
      </c>
      <c r="E130" s="61"/>
      <c r="F130" s="63"/>
      <c r="G130" s="64"/>
    </row>
    <row r="131" spans="1:14" x14ac:dyDescent="0.2">
      <c r="A131" s="61"/>
      <c r="B131" s="68"/>
      <c r="C131" s="68"/>
      <c r="D131" s="68"/>
      <c r="E131" s="61"/>
      <c r="F131" s="61"/>
      <c r="G131" s="61"/>
    </row>
    <row r="132" spans="1:14" ht="25.5" customHeight="1" x14ac:dyDescent="0.2">
      <c r="A132" s="57"/>
      <c r="B132" s="69" t="s">
        <v>118</v>
      </c>
      <c r="C132" s="70"/>
      <c r="D132" s="34" t="s">
        <v>108</v>
      </c>
      <c r="E132" s="71"/>
      <c r="F132" s="57"/>
      <c r="G132" s="57"/>
    </row>
    <row r="133" spans="1:14" ht="26.25" customHeight="1" x14ac:dyDescent="0.2">
      <c r="A133" s="57"/>
      <c r="B133" s="69" t="s">
        <v>119</v>
      </c>
      <c r="C133" s="70"/>
      <c r="D133" s="34" t="s">
        <v>108</v>
      </c>
      <c r="E133" s="71"/>
      <c r="F133" s="57"/>
      <c r="G133" s="57"/>
    </row>
    <row r="134" spans="1:14" x14ac:dyDescent="0.2">
      <c r="A134" s="57"/>
      <c r="B134" s="69" t="s">
        <v>569</v>
      </c>
      <c r="C134" s="70"/>
      <c r="D134" s="34" t="s">
        <v>108</v>
      </c>
      <c r="E134" s="71"/>
      <c r="F134" s="57"/>
      <c r="G134" s="57"/>
    </row>
    <row r="135" spans="1:14" x14ac:dyDescent="0.2">
      <c r="A135" s="68"/>
      <c r="B135" s="68"/>
      <c r="C135" s="68"/>
      <c r="D135" s="68"/>
      <c r="E135" s="68"/>
      <c r="F135" s="68"/>
      <c r="G135" s="68"/>
    </row>
    <row r="136" spans="1:14" s="72" customFormat="1" x14ac:dyDescent="0.2">
      <c r="B136" s="73" t="s">
        <v>570</v>
      </c>
      <c r="C136" s="74"/>
      <c r="D136" s="75"/>
      <c r="H136" s="16"/>
      <c r="I136" s="16"/>
      <c r="J136" s="36"/>
      <c r="K136" s="36"/>
      <c r="L136" s="36"/>
      <c r="M136" s="36"/>
      <c r="N136" s="36"/>
    </row>
    <row r="137" spans="1:14" s="72" customFormat="1" ht="38.25" x14ac:dyDescent="0.2">
      <c r="B137" s="76" t="s">
        <v>571</v>
      </c>
      <c r="C137" s="76"/>
      <c r="D137" s="77" t="s">
        <v>1</v>
      </c>
      <c r="H137" s="16"/>
      <c r="I137" s="16"/>
      <c r="J137" s="36"/>
      <c r="K137" s="36"/>
      <c r="L137" s="36"/>
      <c r="M137" s="36"/>
      <c r="N137" s="36"/>
    </row>
    <row r="138" spans="1:14" s="72" customFormat="1" x14ac:dyDescent="0.2">
      <c r="B138" s="78" t="s">
        <v>572</v>
      </c>
      <c r="C138" s="78"/>
      <c r="D138" s="79"/>
      <c r="H138" s="16"/>
      <c r="I138" s="16"/>
      <c r="J138" s="36"/>
      <c r="K138" s="36"/>
      <c r="L138" s="36"/>
      <c r="M138" s="36"/>
      <c r="N138" s="36"/>
    </row>
    <row r="139" spans="1:14" s="72" customFormat="1" x14ac:dyDescent="0.2">
      <c r="B139" s="80"/>
      <c r="C139" s="81"/>
      <c r="D139" s="82"/>
      <c r="H139" s="16"/>
      <c r="I139" s="16"/>
      <c r="J139" s="36"/>
      <c r="K139" s="36"/>
      <c r="L139" s="36"/>
      <c r="M139" s="36"/>
      <c r="N139" s="36"/>
    </row>
    <row r="140" spans="1:14" s="72" customFormat="1" x14ac:dyDescent="0.2">
      <c r="B140" s="78" t="s">
        <v>573</v>
      </c>
      <c r="C140" s="78"/>
      <c r="D140" s="83">
        <v>7.3223403313816755</v>
      </c>
      <c r="H140" s="16"/>
      <c r="I140" s="16"/>
      <c r="J140" s="36"/>
      <c r="K140" s="36"/>
      <c r="L140" s="36"/>
      <c r="M140" s="36"/>
      <c r="N140" s="36"/>
    </row>
    <row r="141" spans="1:14" s="72" customFormat="1" x14ac:dyDescent="0.2">
      <c r="B141" s="80"/>
      <c r="C141" s="81"/>
      <c r="D141" s="82"/>
      <c r="H141" s="16"/>
      <c r="I141" s="16"/>
      <c r="J141" s="36"/>
      <c r="K141" s="36"/>
      <c r="L141" s="36"/>
      <c r="M141" s="36"/>
      <c r="N141" s="36"/>
    </row>
    <row r="142" spans="1:14" s="72" customFormat="1" x14ac:dyDescent="0.2">
      <c r="B142" s="78" t="s">
        <v>574</v>
      </c>
      <c r="C142" s="78"/>
      <c r="D142" s="83">
        <v>3.9790049979133997</v>
      </c>
      <c r="H142" s="16"/>
      <c r="I142" s="16"/>
      <c r="J142" s="36"/>
      <c r="K142" s="36"/>
      <c r="L142" s="36"/>
      <c r="M142" s="36"/>
      <c r="N142" s="36"/>
    </row>
    <row r="143" spans="1:14" s="72" customFormat="1" x14ac:dyDescent="0.2">
      <c r="B143" s="78" t="s">
        <v>575</v>
      </c>
      <c r="C143" s="78"/>
      <c r="D143" s="83">
        <v>5.5981101826271802</v>
      </c>
      <c r="H143" s="16"/>
      <c r="I143" s="16"/>
      <c r="J143" s="36"/>
      <c r="K143" s="36"/>
      <c r="L143" s="36"/>
      <c r="M143" s="36"/>
      <c r="N143" s="36"/>
    </row>
    <row r="144" spans="1:14" s="72" customFormat="1" x14ac:dyDescent="0.2">
      <c r="B144" s="80"/>
      <c r="C144" s="81"/>
      <c r="D144" s="82"/>
      <c r="I144" s="16"/>
      <c r="J144" s="36"/>
      <c r="K144" s="36"/>
      <c r="L144" s="36"/>
      <c r="M144" s="36"/>
      <c r="N144" s="36"/>
    </row>
    <row r="145" spans="2:14" s="72" customFormat="1" x14ac:dyDescent="0.2">
      <c r="B145" s="78" t="s">
        <v>576</v>
      </c>
      <c r="C145" s="78"/>
      <c r="D145" s="84" t="s">
        <v>682</v>
      </c>
      <c r="I145" s="16"/>
      <c r="J145" s="36"/>
      <c r="K145" s="36"/>
      <c r="L145" s="36"/>
      <c r="M145" s="36"/>
      <c r="N145" s="85"/>
    </row>
    <row r="146" spans="2:14" s="72" customFormat="1" x14ac:dyDescent="0.2">
      <c r="B146" s="80" t="s">
        <v>577</v>
      </c>
      <c r="C146" s="86"/>
      <c r="D146" s="81"/>
      <c r="I146" s="16"/>
      <c r="J146" s="36"/>
      <c r="K146" s="36"/>
      <c r="L146" s="36"/>
      <c r="M146" s="36"/>
      <c r="N146" s="36"/>
    </row>
    <row r="148" spans="2:14" ht="25.5" x14ac:dyDescent="0.2">
      <c r="B148" s="87" t="s">
        <v>578</v>
      </c>
    </row>
    <row r="150" spans="2:14" ht="153.75" customHeight="1" x14ac:dyDescent="0.2"/>
    <row r="153" spans="2:14" x14ac:dyDescent="0.2">
      <c r="B153" s="88" t="s">
        <v>579</v>
      </c>
      <c r="C153" s="10"/>
      <c r="D153" s="88" t="s">
        <v>580</v>
      </c>
    </row>
    <row r="154" spans="2:14" x14ac:dyDescent="0.2">
      <c r="B154" s="88" t="s">
        <v>581</v>
      </c>
      <c r="D154" s="88" t="s">
        <v>582</v>
      </c>
    </row>
    <row r="155" spans="2:14" ht="165" customHeight="1" x14ac:dyDescent="0.2"/>
    <row r="161" s="16" customFormat="1" x14ac:dyDescent="0.2"/>
    <row r="162" s="16" customFormat="1" x14ac:dyDescent="0.2"/>
    <row r="163" s="16" customFormat="1" x14ac:dyDescent="0.2"/>
    <row r="164" s="16" customFormat="1" x14ac:dyDescent="0.2"/>
    <row r="165" s="16" customFormat="1" x14ac:dyDescent="0.2"/>
    <row r="166" s="16" customFormat="1" x14ac:dyDescent="0.2"/>
  </sheetData>
  <mergeCells count="25">
    <mergeCell ref="B146:D146"/>
    <mergeCell ref="B141:C141"/>
    <mergeCell ref="B142:C142"/>
    <mergeCell ref="B143:C143"/>
    <mergeCell ref="B144:C144"/>
    <mergeCell ref="B145:C145"/>
    <mergeCell ref="B136:D136"/>
    <mergeCell ref="B137:C137"/>
    <mergeCell ref="B138:C138"/>
    <mergeCell ref="B139:C139"/>
    <mergeCell ref="B140:C140"/>
    <mergeCell ref="A3:H3"/>
    <mergeCell ref="A2:H2"/>
    <mergeCell ref="A1:H1"/>
    <mergeCell ref="B106:H106"/>
    <mergeCell ref="B107:H107"/>
    <mergeCell ref="B108:H108"/>
    <mergeCell ref="B132:C132"/>
    <mergeCell ref="B133:C133"/>
    <mergeCell ref="B134:C134"/>
    <mergeCell ref="B110:D110"/>
    <mergeCell ref="B111:C111"/>
    <mergeCell ref="B112:C112"/>
    <mergeCell ref="B113:C113"/>
    <mergeCell ref="B127:C127"/>
  </mergeCells>
  <hyperlinks>
    <hyperlink ref="I1" location="Index!B2" display="Index" xr:uid="{8836C490-CB52-4987-8480-11063DBC751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9D43-A17D-4932-B785-A05ED8D25BFD}">
  <sheetPr>
    <outlinePr summaryBelow="0" summaryRight="0"/>
  </sheetPr>
  <dimension ref="A1:R146"/>
  <sheetViews>
    <sheetView showGridLines="0" workbookViewId="0">
      <selection sqref="A1:H1"/>
    </sheetView>
  </sheetViews>
  <sheetFormatPr defaultRowHeight="12.75" x14ac:dyDescent="0.2"/>
  <cols>
    <col min="1" max="1" width="5.85546875" style="16" bestFit="1" customWidth="1"/>
    <col min="2" max="2" width="20.7109375" style="16" customWidth="1"/>
    <col min="3" max="3" width="39.140625" style="16" bestFit="1" customWidth="1"/>
    <col min="4" max="4" width="10.7109375" style="16" bestFit="1" customWidth="1"/>
    <col min="5" max="5" width="9.4257812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120</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547</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ht="25.5" x14ac:dyDescent="0.2">
      <c r="A28" s="24">
        <v>1</v>
      </c>
      <c r="B28" s="25" t="s">
        <v>49</v>
      </c>
      <c r="C28" s="25" t="s">
        <v>50</v>
      </c>
      <c r="D28" s="25" t="s">
        <v>36</v>
      </c>
      <c r="E28" s="26">
        <v>300</v>
      </c>
      <c r="F28" s="27">
        <v>3009.2730000000001</v>
      </c>
      <c r="G28" s="28">
        <v>8.9428220000000003E-2</v>
      </c>
      <c r="H28" s="15">
        <v>7.2986000000000004</v>
      </c>
    </row>
    <row r="29" spans="1:8" x14ac:dyDescent="0.2">
      <c r="A29" s="24">
        <v>2</v>
      </c>
      <c r="B29" s="25" t="s">
        <v>121</v>
      </c>
      <c r="C29" s="25" t="s">
        <v>122</v>
      </c>
      <c r="D29" s="25" t="s">
        <v>23</v>
      </c>
      <c r="E29" s="26">
        <v>2500</v>
      </c>
      <c r="F29" s="27">
        <v>2503.9324999999999</v>
      </c>
      <c r="G29" s="28">
        <v>7.4410740000000003E-2</v>
      </c>
      <c r="H29" s="15">
        <v>7.6234999999999999</v>
      </c>
    </row>
    <row r="30" spans="1:8" x14ac:dyDescent="0.2">
      <c r="A30" s="24">
        <v>3</v>
      </c>
      <c r="B30" s="25" t="s">
        <v>123</v>
      </c>
      <c r="C30" s="25" t="s">
        <v>124</v>
      </c>
      <c r="D30" s="25" t="s">
        <v>36</v>
      </c>
      <c r="E30" s="26">
        <v>250</v>
      </c>
      <c r="F30" s="27">
        <v>2502.9675000000002</v>
      </c>
      <c r="G30" s="28">
        <v>7.438206E-2</v>
      </c>
      <c r="H30" s="15">
        <v>7.4930000000000003</v>
      </c>
    </row>
    <row r="31" spans="1:8" x14ac:dyDescent="0.2">
      <c r="A31" s="24">
        <v>4</v>
      </c>
      <c r="B31" s="25" t="s">
        <v>125</v>
      </c>
      <c r="C31" s="25" t="s">
        <v>126</v>
      </c>
      <c r="D31" s="25" t="s">
        <v>23</v>
      </c>
      <c r="E31" s="26">
        <v>2000</v>
      </c>
      <c r="F31" s="27">
        <v>2010.1420000000001</v>
      </c>
      <c r="G31" s="28">
        <v>5.9736490000000003E-2</v>
      </c>
      <c r="H31" s="15">
        <v>7.34</v>
      </c>
    </row>
    <row r="32" spans="1:8" ht="25.5" x14ac:dyDescent="0.2">
      <c r="A32" s="24">
        <v>5</v>
      </c>
      <c r="B32" s="25" t="s">
        <v>127</v>
      </c>
      <c r="C32" s="25" t="s">
        <v>128</v>
      </c>
      <c r="D32" s="25" t="s">
        <v>36</v>
      </c>
      <c r="E32" s="26">
        <v>200</v>
      </c>
      <c r="F32" s="27">
        <v>1995.7860000000001</v>
      </c>
      <c r="G32" s="28">
        <v>5.9309870000000001E-2</v>
      </c>
      <c r="H32" s="15">
        <v>7.7649999999999997</v>
      </c>
    </row>
    <row r="33" spans="1:8" ht="25.5" x14ac:dyDescent="0.2">
      <c r="A33" s="24">
        <v>6</v>
      </c>
      <c r="B33" s="25" t="s">
        <v>129</v>
      </c>
      <c r="C33" s="25" t="s">
        <v>130</v>
      </c>
      <c r="D33" s="25" t="s">
        <v>36</v>
      </c>
      <c r="E33" s="26">
        <v>200</v>
      </c>
      <c r="F33" s="27">
        <v>1955.25</v>
      </c>
      <c r="G33" s="28">
        <v>5.8105240000000002E-2</v>
      </c>
      <c r="H33" s="15">
        <v>7.62</v>
      </c>
    </row>
    <row r="34" spans="1:8" ht="25.5" x14ac:dyDescent="0.2">
      <c r="A34" s="24">
        <v>7</v>
      </c>
      <c r="B34" s="25" t="s">
        <v>37</v>
      </c>
      <c r="C34" s="25" t="s">
        <v>38</v>
      </c>
      <c r="D34" s="25" t="s">
        <v>23</v>
      </c>
      <c r="E34" s="26">
        <v>1500</v>
      </c>
      <c r="F34" s="27">
        <v>1509.8354999999999</v>
      </c>
      <c r="G34" s="28">
        <v>4.4868610000000003E-2</v>
      </c>
      <c r="H34" s="15">
        <v>7.42</v>
      </c>
    </row>
    <row r="35" spans="1:8" ht="25.5" x14ac:dyDescent="0.2">
      <c r="A35" s="24">
        <v>8</v>
      </c>
      <c r="B35" s="25" t="s">
        <v>131</v>
      </c>
      <c r="C35" s="25" t="s">
        <v>132</v>
      </c>
      <c r="D35" s="25" t="s">
        <v>23</v>
      </c>
      <c r="E35" s="26">
        <v>1500</v>
      </c>
      <c r="F35" s="27">
        <v>1502.5725</v>
      </c>
      <c r="G35" s="28">
        <v>4.4652770000000001E-2</v>
      </c>
      <c r="H35" s="15">
        <v>7.3083</v>
      </c>
    </row>
    <row r="36" spans="1:8" ht="25.5" x14ac:dyDescent="0.2">
      <c r="A36" s="24">
        <v>9</v>
      </c>
      <c r="B36" s="25" t="s">
        <v>43</v>
      </c>
      <c r="C36" s="25" t="s">
        <v>44</v>
      </c>
      <c r="D36" s="25" t="s">
        <v>23</v>
      </c>
      <c r="E36" s="26">
        <v>1500</v>
      </c>
      <c r="F36" s="27">
        <v>1493.7</v>
      </c>
      <c r="G36" s="28">
        <v>4.4389100000000001E-2</v>
      </c>
      <c r="H36" s="15">
        <v>7.5122999999999998</v>
      </c>
    </row>
    <row r="37" spans="1:8" ht="25.5" x14ac:dyDescent="0.2">
      <c r="A37" s="24">
        <v>10</v>
      </c>
      <c r="B37" s="25" t="s">
        <v>133</v>
      </c>
      <c r="C37" s="25" t="s">
        <v>134</v>
      </c>
      <c r="D37" s="25" t="s">
        <v>23</v>
      </c>
      <c r="E37" s="26">
        <v>1000</v>
      </c>
      <c r="F37" s="27">
        <v>1014.349</v>
      </c>
      <c r="G37" s="28">
        <v>3.0143969999999999E-2</v>
      </c>
      <c r="H37" s="15">
        <v>7.13</v>
      </c>
    </row>
    <row r="38" spans="1:8" ht="25.5" x14ac:dyDescent="0.2">
      <c r="A38" s="24">
        <v>11</v>
      </c>
      <c r="B38" s="25" t="s">
        <v>24</v>
      </c>
      <c r="C38" s="25" t="s">
        <v>25</v>
      </c>
      <c r="D38" s="25" t="s">
        <v>23</v>
      </c>
      <c r="E38" s="26">
        <v>1000</v>
      </c>
      <c r="F38" s="27">
        <v>1004.366</v>
      </c>
      <c r="G38" s="28">
        <v>2.98473E-2</v>
      </c>
      <c r="H38" s="15">
        <v>7.26</v>
      </c>
    </row>
    <row r="39" spans="1:8" ht="25.5" x14ac:dyDescent="0.2">
      <c r="A39" s="24">
        <v>12</v>
      </c>
      <c r="B39" s="25" t="s">
        <v>135</v>
      </c>
      <c r="C39" s="25" t="s">
        <v>136</v>
      </c>
      <c r="D39" s="25" t="s">
        <v>23</v>
      </c>
      <c r="E39" s="26">
        <v>500</v>
      </c>
      <c r="F39" s="27">
        <v>507.69850000000002</v>
      </c>
      <c r="G39" s="28">
        <v>1.508756E-2</v>
      </c>
      <c r="H39" s="15">
        <v>7.19</v>
      </c>
    </row>
    <row r="40" spans="1:8" ht="25.5" x14ac:dyDescent="0.2">
      <c r="A40" s="24">
        <v>13</v>
      </c>
      <c r="B40" s="25" t="s">
        <v>30</v>
      </c>
      <c r="C40" s="25" t="s">
        <v>31</v>
      </c>
      <c r="D40" s="25" t="s">
        <v>23</v>
      </c>
      <c r="E40" s="26">
        <v>500</v>
      </c>
      <c r="F40" s="27">
        <v>504.90249999999997</v>
      </c>
      <c r="G40" s="28">
        <v>1.5004470000000001E-2</v>
      </c>
      <c r="H40" s="15">
        <v>7.2024999999999997</v>
      </c>
    </row>
    <row r="41" spans="1:8" ht="25.5" x14ac:dyDescent="0.2">
      <c r="A41" s="24">
        <v>14</v>
      </c>
      <c r="B41" s="25" t="s">
        <v>47</v>
      </c>
      <c r="C41" s="25" t="s">
        <v>48</v>
      </c>
      <c r="D41" s="25" t="s">
        <v>23</v>
      </c>
      <c r="E41" s="26">
        <v>500</v>
      </c>
      <c r="F41" s="27">
        <v>504.04849999999999</v>
      </c>
      <c r="G41" s="28">
        <v>1.497909E-2</v>
      </c>
      <c r="H41" s="15">
        <v>7.3711000000000002</v>
      </c>
    </row>
    <row r="42" spans="1:8" ht="25.5" x14ac:dyDescent="0.2">
      <c r="A42" s="24">
        <v>15</v>
      </c>
      <c r="B42" s="25" t="s">
        <v>137</v>
      </c>
      <c r="C42" s="25" t="s">
        <v>138</v>
      </c>
      <c r="D42" s="25" t="s">
        <v>23</v>
      </c>
      <c r="E42" s="26">
        <v>500</v>
      </c>
      <c r="F42" s="27">
        <v>501.20949999999999</v>
      </c>
      <c r="G42" s="28">
        <v>1.489472E-2</v>
      </c>
      <c r="H42" s="15">
        <v>7.5111999999999997</v>
      </c>
    </row>
    <row r="43" spans="1:8" x14ac:dyDescent="0.2">
      <c r="A43" s="24">
        <v>16</v>
      </c>
      <c r="B43" s="25" t="s">
        <v>55</v>
      </c>
      <c r="C43" s="25" t="s">
        <v>56</v>
      </c>
      <c r="D43" s="25" t="s">
        <v>23</v>
      </c>
      <c r="E43" s="26">
        <v>500</v>
      </c>
      <c r="F43" s="27">
        <v>500.92500000000001</v>
      </c>
      <c r="G43" s="28">
        <v>1.488626E-2</v>
      </c>
      <c r="H43" s="15">
        <v>7.6050000000000004</v>
      </c>
    </row>
    <row r="44" spans="1:8" x14ac:dyDescent="0.2">
      <c r="A44" s="24">
        <v>17</v>
      </c>
      <c r="B44" s="25" t="s">
        <v>51</v>
      </c>
      <c r="C44" s="25" t="s">
        <v>52</v>
      </c>
      <c r="D44" s="25" t="s">
        <v>23</v>
      </c>
      <c r="E44" s="26">
        <v>500</v>
      </c>
      <c r="F44" s="27">
        <v>498.9425</v>
      </c>
      <c r="G44" s="28">
        <v>1.482735E-2</v>
      </c>
      <c r="H44" s="15">
        <v>7.52</v>
      </c>
    </row>
    <row r="45" spans="1:8" x14ac:dyDescent="0.2">
      <c r="A45" s="17"/>
      <c r="B45" s="17"/>
      <c r="C45" s="18" t="s">
        <v>11</v>
      </c>
      <c r="D45" s="17"/>
      <c r="E45" s="17" t="s">
        <v>12</v>
      </c>
      <c r="F45" s="23">
        <v>23519.9005</v>
      </c>
      <c r="G45" s="20">
        <v>0.69895381999999995</v>
      </c>
      <c r="H45" s="15" t="s">
        <v>12</v>
      </c>
    </row>
    <row r="46" spans="1:8" x14ac:dyDescent="0.2">
      <c r="A46" s="17"/>
      <c r="B46" s="17"/>
      <c r="C46" s="21"/>
      <c r="D46" s="17"/>
      <c r="E46" s="17"/>
      <c r="F46" s="22"/>
      <c r="G46" s="22"/>
      <c r="H46" s="15" t="s">
        <v>12</v>
      </c>
    </row>
    <row r="47" spans="1:8" x14ac:dyDescent="0.2">
      <c r="A47" s="17"/>
      <c r="B47" s="17"/>
      <c r="C47" s="18" t="s">
        <v>71</v>
      </c>
      <c r="D47" s="17"/>
      <c r="E47" s="17"/>
      <c r="F47" s="17"/>
      <c r="G47" s="17"/>
      <c r="H47" s="15" t="s">
        <v>12</v>
      </c>
    </row>
    <row r="48" spans="1:8" x14ac:dyDescent="0.2">
      <c r="A48" s="17"/>
      <c r="B48" s="17"/>
      <c r="C48" s="18" t="s">
        <v>11</v>
      </c>
      <c r="D48" s="17"/>
      <c r="E48" s="17" t="s">
        <v>12</v>
      </c>
      <c r="F48" s="19" t="s">
        <v>13</v>
      </c>
      <c r="G48" s="20">
        <v>0</v>
      </c>
      <c r="H48" s="15" t="s">
        <v>12</v>
      </c>
    </row>
    <row r="49" spans="1:8" x14ac:dyDescent="0.2">
      <c r="A49" s="17"/>
      <c r="B49" s="17"/>
      <c r="C49" s="21"/>
      <c r="D49" s="17"/>
      <c r="E49" s="17"/>
      <c r="F49" s="22"/>
      <c r="G49" s="22"/>
      <c r="H49" s="15" t="s">
        <v>12</v>
      </c>
    </row>
    <row r="50" spans="1:8" x14ac:dyDescent="0.2">
      <c r="A50" s="17"/>
      <c r="B50" s="17"/>
      <c r="C50" s="18" t="s">
        <v>72</v>
      </c>
      <c r="D50" s="17"/>
      <c r="E50" s="17"/>
      <c r="F50" s="17"/>
      <c r="G50" s="17"/>
      <c r="H50" s="15" t="s">
        <v>12</v>
      </c>
    </row>
    <row r="51" spans="1:8" ht="25.5" x14ac:dyDescent="0.2">
      <c r="A51" s="24">
        <v>1</v>
      </c>
      <c r="B51" s="25" t="s">
        <v>73</v>
      </c>
      <c r="C51" s="25" t="s">
        <v>74</v>
      </c>
      <c r="D51" s="25" t="s">
        <v>75</v>
      </c>
      <c r="E51" s="26">
        <v>4500000</v>
      </c>
      <c r="F51" s="27">
        <v>4608.2879999999996</v>
      </c>
      <c r="G51" s="28">
        <v>0.13694703</v>
      </c>
      <c r="H51" s="15">
        <v>6.8559999999999999</v>
      </c>
    </row>
    <row r="52" spans="1:8" x14ac:dyDescent="0.2">
      <c r="A52" s="24">
        <v>2</v>
      </c>
      <c r="B52" s="25" t="s">
        <v>76</v>
      </c>
      <c r="C52" s="25" t="s">
        <v>77</v>
      </c>
      <c r="D52" s="25" t="s">
        <v>75</v>
      </c>
      <c r="E52" s="26">
        <v>1000000</v>
      </c>
      <c r="F52" s="27">
        <v>1030.3779999999999</v>
      </c>
      <c r="G52" s="28">
        <v>3.0620310000000001E-2</v>
      </c>
      <c r="H52" s="15">
        <v>6.7865000000000002</v>
      </c>
    </row>
    <row r="53" spans="1:8" ht="25.5" x14ac:dyDescent="0.2">
      <c r="A53" s="24">
        <v>3</v>
      </c>
      <c r="B53" s="25" t="s">
        <v>80</v>
      </c>
      <c r="C53" s="25" t="s">
        <v>81</v>
      </c>
      <c r="D53" s="25" t="s">
        <v>75</v>
      </c>
      <c r="E53" s="26">
        <v>1000000</v>
      </c>
      <c r="F53" s="27">
        <v>1001.577</v>
      </c>
      <c r="G53" s="28">
        <v>2.9764410000000002E-2</v>
      </c>
      <c r="H53" s="15">
        <v>7.0281000000000002</v>
      </c>
    </row>
    <row r="54" spans="1:8" ht="25.5" x14ac:dyDescent="0.2">
      <c r="A54" s="24">
        <v>4</v>
      </c>
      <c r="B54" s="25" t="s">
        <v>139</v>
      </c>
      <c r="C54" s="25" t="s">
        <v>140</v>
      </c>
      <c r="D54" s="25" t="s">
        <v>75</v>
      </c>
      <c r="E54" s="26">
        <v>500000</v>
      </c>
      <c r="F54" s="27">
        <v>517.67200000000003</v>
      </c>
      <c r="G54" s="28">
        <v>1.538394E-2</v>
      </c>
      <c r="H54" s="15">
        <v>6.9523999999999999</v>
      </c>
    </row>
    <row r="55" spans="1:8" x14ac:dyDescent="0.2">
      <c r="A55" s="24">
        <v>5</v>
      </c>
      <c r="B55" s="25" t="s">
        <v>78</v>
      </c>
      <c r="C55" s="25" t="s">
        <v>79</v>
      </c>
      <c r="D55" s="25" t="s">
        <v>75</v>
      </c>
      <c r="E55" s="26">
        <v>500000</v>
      </c>
      <c r="F55" s="27">
        <v>516.95349999999996</v>
      </c>
      <c r="G55" s="28">
        <v>1.5362590000000001E-2</v>
      </c>
      <c r="H55" s="15">
        <v>7.1452</v>
      </c>
    </row>
    <row r="56" spans="1:8" x14ac:dyDescent="0.2">
      <c r="A56" s="17"/>
      <c r="B56" s="17"/>
      <c r="C56" s="18" t="s">
        <v>11</v>
      </c>
      <c r="D56" s="17"/>
      <c r="E56" s="17" t="s">
        <v>12</v>
      </c>
      <c r="F56" s="23">
        <v>7674.8684999999996</v>
      </c>
      <c r="G56" s="20">
        <v>0.22807827999999999</v>
      </c>
      <c r="H56" s="15" t="s">
        <v>12</v>
      </c>
    </row>
    <row r="57" spans="1:8" x14ac:dyDescent="0.2">
      <c r="A57" s="17"/>
      <c r="B57" s="17"/>
      <c r="C57" s="21"/>
      <c r="D57" s="17"/>
      <c r="E57" s="17"/>
      <c r="F57" s="22"/>
      <c r="G57" s="22"/>
      <c r="H57" s="15" t="s">
        <v>12</v>
      </c>
    </row>
    <row r="58" spans="1:8" x14ac:dyDescent="0.2">
      <c r="A58" s="17"/>
      <c r="B58" s="17"/>
      <c r="C58" s="18" t="s">
        <v>88</v>
      </c>
      <c r="D58" s="17"/>
      <c r="E58" s="17"/>
      <c r="F58" s="22"/>
      <c r="G58" s="22"/>
      <c r="H58" s="15" t="s">
        <v>12</v>
      </c>
    </row>
    <row r="59" spans="1:8" x14ac:dyDescent="0.2">
      <c r="A59" s="17"/>
      <c r="B59" s="17"/>
      <c r="C59" s="18" t="s">
        <v>11</v>
      </c>
      <c r="D59" s="17"/>
      <c r="E59" s="17" t="s">
        <v>12</v>
      </c>
      <c r="F59" s="19" t="s">
        <v>13</v>
      </c>
      <c r="G59" s="20">
        <v>0</v>
      </c>
      <c r="H59" s="15" t="s">
        <v>12</v>
      </c>
    </row>
    <row r="60" spans="1:8" x14ac:dyDescent="0.2">
      <c r="A60" s="17"/>
      <c r="B60" s="17"/>
      <c r="C60" s="21"/>
      <c r="D60" s="17"/>
      <c r="E60" s="17"/>
      <c r="F60" s="22"/>
      <c r="G60" s="22"/>
      <c r="H60" s="15" t="s">
        <v>12</v>
      </c>
    </row>
    <row r="61" spans="1:8" x14ac:dyDescent="0.2">
      <c r="A61" s="17"/>
      <c r="B61" s="17"/>
      <c r="C61" s="18" t="s">
        <v>89</v>
      </c>
      <c r="D61" s="17"/>
      <c r="E61" s="17"/>
      <c r="F61" s="23">
        <v>31194.769</v>
      </c>
      <c r="G61" s="20">
        <v>0.92703210000000003</v>
      </c>
      <c r="H61" s="15" t="s">
        <v>12</v>
      </c>
    </row>
    <row r="62" spans="1:8" x14ac:dyDescent="0.2">
      <c r="A62" s="17"/>
      <c r="B62" s="17"/>
      <c r="C62" s="21"/>
      <c r="D62" s="17"/>
      <c r="E62" s="17"/>
      <c r="F62" s="22"/>
      <c r="G62" s="22"/>
      <c r="H62" s="15" t="s">
        <v>12</v>
      </c>
    </row>
    <row r="63" spans="1:8" x14ac:dyDescent="0.2">
      <c r="A63" s="17"/>
      <c r="B63" s="17"/>
      <c r="C63" s="18" t="s">
        <v>90</v>
      </c>
      <c r="D63" s="17"/>
      <c r="E63" s="17"/>
      <c r="F63" s="22"/>
      <c r="G63" s="22"/>
      <c r="H63" s="15" t="s">
        <v>12</v>
      </c>
    </row>
    <row r="64" spans="1:8" x14ac:dyDescent="0.2">
      <c r="A64" s="17"/>
      <c r="B64" s="17"/>
      <c r="C64" s="18" t="s">
        <v>91</v>
      </c>
      <c r="D64" s="17"/>
      <c r="E64" s="17"/>
      <c r="F64" s="22"/>
      <c r="G64" s="22"/>
      <c r="H64" s="15" t="s">
        <v>12</v>
      </c>
    </row>
    <row r="65" spans="1:8" x14ac:dyDescent="0.2">
      <c r="A65" s="17"/>
      <c r="B65" s="17"/>
      <c r="C65" s="18" t="s">
        <v>11</v>
      </c>
      <c r="D65" s="17"/>
      <c r="E65" s="17" t="s">
        <v>12</v>
      </c>
      <c r="F65" s="19" t="s">
        <v>13</v>
      </c>
      <c r="G65" s="20">
        <v>0</v>
      </c>
      <c r="H65" s="15" t="s">
        <v>12</v>
      </c>
    </row>
    <row r="66" spans="1:8" x14ac:dyDescent="0.2">
      <c r="A66" s="17"/>
      <c r="B66" s="17"/>
      <c r="C66" s="21"/>
      <c r="D66" s="17"/>
      <c r="E66" s="17"/>
      <c r="F66" s="22"/>
      <c r="G66" s="22"/>
      <c r="H66" s="15" t="s">
        <v>12</v>
      </c>
    </row>
    <row r="67" spans="1:8" x14ac:dyDescent="0.2">
      <c r="A67" s="17"/>
      <c r="B67" s="17"/>
      <c r="C67" s="18" t="s">
        <v>92</v>
      </c>
      <c r="D67" s="17"/>
      <c r="E67" s="17"/>
      <c r="F67" s="22"/>
      <c r="G67" s="22"/>
      <c r="H67" s="15" t="s">
        <v>12</v>
      </c>
    </row>
    <row r="68" spans="1:8" x14ac:dyDescent="0.2">
      <c r="A68" s="17"/>
      <c r="B68" s="17"/>
      <c r="C68" s="18" t="s">
        <v>11</v>
      </c>
      <c r="D68" s="17"/>
      <c r="E68" s="17" t="s">
        <v>12</v>
      </c>
      <c r="F68" s="19" t="s">
        <v>13</v>
      </c>
      <c r="G68" s="20">
        <v>0</v>
      </c>
      <c r="H68" s="15" t="s">
        <v>12</v>
      </c>
    </row>
    <row r="69" spans="1:8" x14ac:dyDescent="0.2">
      <c r="A69" s="17"/>
      <c r="B69" s="17"/>
      <c r="C69" s="21"/>
      <c r="D69" s="17"/>
      <c r="E69" s="17"/>
      <c r="F69" s="22"/>
      <c r="G69" s="22"/>
      <c r="H69" s="15" t="s">
        <v>12</v>
      </c>
    </row>
    <row r="70" spans="1:8" x14ac:dyDescent="0.2">
      <c r="A70" s="17"/>
      <c r="B70" s="17"/>
      <c r="C70" s="18" t="s">
        <v>93</v>
      </c>
      <c r="D70" s="17"/>
      <c r="E70" s="17"/>
      <c r="F70" s="22"/>
      <c r="G70" s="22"/>
      <c r="H70" s="15" t="s">
        <v>12</v>
      </c>
    </row>
    <row r="71" spans="1:8" x14ac:dyDescent="0.2">
      <c r="A71" s="17"/>
      <c r="B71" s="17"/>
      <c r="C71" s="18" t="s">
        <v>11</v>
      </c>
      <c r="D71" s="17"/>
      <c r="E71" s="17" t="s">
        <v>12</v>
      </c>
      <c r="F71" s="19" t="s">
        <v>13</v>
      </c>
      <c r="G71" s="20">
        <v>0</v>
      </c>
      <c r="H71" s="15" t="s">
        <v>12</v>
      </c>
    </row>
    <row r="72" spans="1:8" x14ac:dyDescent="0.2">
      <c r="A72" s="17"/>
      <c r="B72" s="17"/>
      <c r="C72" s="21"/>
      <c r="D72" s="17"/>
      <c r="E72" s="17"/>
      <c r="F72" s="22"/>
      <c r="G72" s="22"/>
      <c r="H72" s="15" t="s">
        <v>12</v>
      </c>
    </row>
    <row r="73" spans="1:8" x14ac:dyDescent="0.2">
      <c r="A73" s="17"/>
      <c r="B73" s="17"/>
      <c r="C73" s="18" t="s">
        <v>94</v>
      </c>
      <c r="D73" s="17"/>
      <c r="E73" s="17"/>
      <c r="F73" s="22"/>
      <c r="G73" s="22"/>
      <c r="H73" s="15" t="s">
        <v>12</v>
      </c>
    </row>
    <row r="74" spans="1:8" x14ac:dyDescent="0.2">
      <c r="A74" s="24">
        <v>1</v>
      </c>
      <c r="B74" s="25"/>
      <c r="C74" s="25" t="s">
        <v>95</v>
      </c>
      <c r="D74" s="25"/>
      <c r="E74" s="29"/>
      <c r="F74" s="27">
        <v>2308.184730902</v>
      </c>
      <c r="G74" s="28">
        <v>6.8593589999999996E-2</v>
      </c>
      <c r="H74" s="15">
        <v>6.57</v>
      </c>
    </row>
    <row r="75" spans="1:8" x14ac:dyDescent="0.2">
      <c r="A75" s="17"/>
      <c r="B75" s="17"/>
      <c r="C75" s="18" t="s">
        <v>11</v>
      </c>
      <c r="D75" s="17"/>
      <c r="E75" s="17" t="s">
        <v>12</v>
      </c>
      <c r="F75" s="23">
        <v>2308.184730902</v>
      </c>
      <c r="G75" s="20">
        <v>6.8593589999999996E-2</v>
      </c>
      <c r="H75" s="15" t="s">
        <v>12</v>
      </c>
    </row>
    <row r="76" spans="1:8" x14ac:dyDescent="0.2">
      <c r="A76" s="17"/>
      <c r="B76" s="17"/>
      <c r="C76" s="21"/>
      <c r="D76" s="17"/>
      <c r="E76" s="17"/>
      <c r="F76" s="22"/>
      <c r="G76" s="22"/>
      <c r="H76" s="15" t="s">
        <v>12</v>
      </c>
    </row>
    <row r="77" spans="1:8" x14ac:dyDescent="0.2">
      <c r="A77" s="17"/>
      <c r="B77" s="17"/>
      <c r="C77" s="18" t="s">
        <v>96</v>
      </c>
      <c r="D77" s="17"/>
      <c r="E77" s="17"/>
      <c r="F77" s="23">
        <v>2308.184730902</v>
      </c>
      <c r="G77" s="20">
        <v>6.8593589999999996E-2</v>
      </c>
      <c r="H77" s="15" t="s">
        <v>12</v>
      </c>
    </row>
    <row r="78" spans="1:8" x14ac:dyDescent="0.2">
      <c r="A78" s="17"/>
      <c r="B78" s="17"/>
      <c r="C78" s="22"/>
      <c r="D78" s="17"/>
      <c r="E78" s="17"/>
      <c r="F78" s="17"/>
      <c r="G78" s="17"/>
      <c r="H78" s="15" t="s">
        <v>12</v>
      </c>
    </row>
    <row r="79" spans="1:8" x14ac:dyDescent="0.2">
      <c r="A79" s="17"/>
      <c r="B79" s="17"/>
      <c r="C79" s="18" t="s">
        <v>97</v>
      </c>
      <c r="D79" s="17"/>
      <c r="E79" s="17"/>
      <c r="F79" s="17"/>
      <c r="G79" s="17"/>
      <c r="H79" s="15" t="s">
        <v>12</v>
      </c>
    </row>
    <row r="80" spans="1:8" x14ac:dyDescent="0.2">
      <c r="A80" s="17"/>
      <c r="B80" s="17"/>
      <c r="C80" s="18" t="s">
        <v>98</v>
      </c>
      <c r="D80" s="17"/>
      <c r="E80" s="17"/>
      <c r="F80" s="17"/>
      <c r="G80" s="17"/>
      <c r="H80" s="15" t="s">
        <v>12</v>
      </c>
    </row>
    <row r="81" spans="1:17" x14ac:dyDescent="0.2">
      <c r="A81" s="17"/>
      <c r="B81" s="17"/>
      <c r="C81" s="18" t="s">
        <v>11</v>
      </c>
      <c r="D81" s="17"/>
      <c r="E81" s="17" t="s">
        <v>12</v>
      </c>
      <c r="F81" s="19" t="s">
        <v>13</v>
      </c>
      <c r="G81" s="20">
        <v>0</v>
      </c>
      <c r="H81" s="15" t="s">
        <v>12</v>
      </c>
    </row>
    <row r="82" spans="1:17" x14ac:dyDescent="0.2">
      <c r="A82" s="30"/>
      <c r="B82" s="30"/>
      <c r="C82" s="31"/>
      <c r="D82" s="30"/>
      <c r="E82" s="30"/>
      <c r="F82" s="32"/>
      <c r="G82" s="32"/>
      <c r="H82" s="33" t="s">
        <v>12</v>
      </c>
    </row>
    <row r="83" spans="1:17" x14ac:dyDescent="0.2">
      <c r="A83" s="30"/>
      <c r="B83" s="30"/>
      <c r="C83" s="34" t="s">
        <v>563</v>
      </c>
      <c r="D83" s="30"/>
      <c r="E83" s="30"/>
      <c r="F83" s="32"/>
      <c r="G83" s="32"/>
      <c r="H83" s="35"/>
      <c r="K83" s="36"/>
      <c r="L83" s="36"/>
      <c r="M83" s="36"/>
      <c r="N83" s="36"/>
      <c r="O83" s="37"/>
      <c r="P83" s="37"/>
      <c r="Q83" s="37"/>
    </row>
    <row r="84" spans="1:17" ht="25.5" x14ac:dyDescent="0.2">
      <c r="A84" s="38">
        <v>1</v>
      </c>
      <c r="B84" s="39" t="s">
        <v>99</v>
      </c>
      <c r="C84" s="39" t="s">
        <v>100</v>
      </c>
      <c r="D84" s="39"/>
      <c r="E84" s="40">
        <v>1138.2429999999999</v>
      </c>
      <c r="F84" s="35">
        <v>124.189077016</v>
      </c>
      <c r="G84" s="41">
        <v>3.6906E-3</v>
      </c>
      <c r="H84" s="33"/>
    </row>
    <row r="85" spans="1:17" x14ac:dyDescent="0.2">
      <c r="A85" s="30"/>
      <c r="B85" s="30"/>
      <c r="C85" s="34" t="s">
        <v>11</v>
      </c>
      <c r="D85" s="30"/>
      <c r="E85" s="30" t="s">
        <v>12</v>
      </c>
      <c r="F85" s="42">
        <f>SUM(F84)</f>
        <v>124.189077016</v>
      </c>
      <c r="G85" s="43">
        <f>SUM(G84)</f>
        <v>3.6906E-3</v>
      </c>
      <c r="H85" s="33" t="s">
        <v>12</v>
      </c>
    </row>
    <row r="86" spans="1:17" x14ac:dyDescent="0.2">
      <c r="A86" s="17"/>
      <c r="B86" s="17"/>
      <c r="C86" s="21"/>
      <c r="D86" s="17"/>
      <c r="E86" s="17"/>
      <c r="F86" s="22"/>
      <c r="G86" s="22"/>
      <c r="H86" s="15" t="s">
        <v>12</v>
      </c>
    </row>
    <row r="87" spans="1:17" x14ac:dyDescent="0.2">
      <c r="A87" s="17"/>
      <c r="B87" s="17"/>
      <c r="C87" s="18" t="s">
        <v>101</v>
      </c>
      <c r="D87" s="17"/>
      <c r="E87" s="17"/>
      <c r="F87" s="17"/>
      <c r="G87" s="17"/>
      <c r="H87" s="15" t="s">
        <v>12</v>
      </c>
    </row>
    <row r="88" spans="1:17" x14ac:dyDescent="0.2">
      <c r="A88" s="17"/>
      <c r="B88" s="17"/>
      <c r="C88" s="18" t="s">
        <v>102</v>
      </c>
      <c r="D88" s="17"/>
      <c r="E88" s="17"/>
      <c r="F88" s="17"/>
      <c r="G88" s="17"/>
      <c r="H88" s="15" t="s">
        <v>12</v>
      </c>
    </row>
    <row r="89" spans="1:17" x14ac:dyDescent="0.2">
      <c r="A89" s="17"/>
      <c r="B89" s="17"/>
      <c r="C89" s="18" t="s">
        <v>11</v>
      </c>
      <c r="D89" s="17"/>
      <c r="E89" s="17" t="s">
        <v>12</v>
      </c>
      <c r="F89" s="19" t="s">
        <v>13</v>
      </c>
      <c r="G89" s="20">
        <v>0</v>
      </c>
      <c r="H89" s="15" t="s">
        <v>12</v>
      </c>
    </row>
    <row r="90" spans="1:17" x14ac:dyDescent="0.2">
      <c r="A90" s="17"/>
      <c r="B90" s="17"/>
      <c r="C90" s="21"/>
      <c r="D90" s="17"/>
      <c r="E90" s="17"/>
      <c r="F90" s="22"/>
      <c r="G90" s="22"/>
      <c r="H90" s="15" t="s">
        <v>12</v>
      </c>
    </row>
    <row r="91" spans="1:17" x14ac:dyDescent="0.2">
      <c r="A91" s="17"/>
      <c r="B91" s="17"/>
      <c r="C91" s="18" t="s">
        <v>103</v>
      </c>
      <c r="D91" s="17"/>
      <c r="E91" s="17"/>
      <c r="F91" s="22"/>
      <c r="G91" s="22"/>
      <c r="H91" s="15" t="s">
        <v>12</v>
      </c>
    </row>
    <row r="92" spans="1:17" x14ac:dyDescent="0.2">
      <c r="A92" s="17"/>
      <c r="B92" s="17"/>
      <c r="C92" s="18" t="s">
        <v>11</v>
      </c>
      <c r="D92" s="17"/>
      <c r="E92" s="17" t="s">
        <v>12</v>
      </c>
      <c r="F92" s="19" t="s">
        <v>13</v>
      </c>
      <c r="G92" s="20">
        <v>0</v>
      </c>
      <c r="H92" s="15" t="s">
        <v>12</v>
      </c>
    </row>
    <row r="93" spans="1:17" x14ac:dyDescent="0.2">
      <c r="A93" s="17"/>
      <c r="B93" s="17"/>
      <c r="C93" s="21"/>
      <c r="D93" s="17"/>
      <c r="E93" s="17"/>
      <c r="F93" s="22"/>
      <c r="G93" s="22"/>
      <c r="H93" s="15" t="s">
        <v>12</v>
      </c>
    </row>
    <row r="94" spans="1:17" x14ac:dyDescent="0.2">
      <c r="A94" s="29"/>
      <c r="B94" s="25"/>
      <c r="C94" s="25" t="s">
        <v>104</v>
      </c>
      <c r="D94" s="25"/>
      <c r="E94" s="29"/>
      <c r="F94" s="27">
        <f>23.0071914-0.000275308003425598</f>
        <v>23.006916091996576</v>
      </c>
      <c r="G94" s="28">
        <v>6.8371999999999997E-4</v>
      </c>
      <c r="H94" s="15" t="s">
        <v>12</v>
      </c>
    </row>
    <row r="95" spans="1:17" x14ac:dyDescent="0.2">
      <c r="A95" s="21"/>
      <c r="B95" s="21"/>
      <c r="C95" s="18" t="s">
        <v>105</v>
      </c>
      <c r="D95" s="22"/>
      <c r="E95" s="22"/>
      <c r="F95" s="23">
        <f>33650.149999318-0.000275308003425598</f>
        <v>33650.149724009992</v>
      </c>
      <c r="G95" s="44">
        <v>1.0000000099999999</v>
      </c>
      <c r="H95" s="15" t="s">
        <v>12</v>
      </c>
    </row>
    <row r="96" spans="1:17" x14ac:dyDescent="0.2">
      <c r="A96" s="45"/>
      <c r="B96" s="45"/>
      <c r="C96" s="45"/>
      <c r="D96" s="46"/>
      <c r="E96" s="46"/>
      <c r="F96" s="46"/>
      <c r="G96" s="46"/>
    </row>
    <row r="97" spans="1:8" x14ac:dyDescent="0.2">
      <c r="A97" s="47"/>
      <c r="B97" s="48" t="s">
        <v>564</v>
      </c>
      <c r="C97" s="48"/>
      <c r="D97" s="48"/>
      <c r="E97" s="48"/>
      <c r="F97" s="48"/>
      <c r="G97" s="48"/>
      <c r="H97" s="48"/>
    </row>
    <row r="98" spans="1:8" x14ac:dyDescent="0.2">
      <c r="A98" s="47"/>
      <c r="B98" s="48" t="s">
        <v>565</v>
      </c>
      <c r="C98" s="48"/>
      <c r="D98" s="48"/>
      <c r="E98" s="48"/>
      <c r="F98" s="48"/>
      <c r="G98" s="48"/>
      <c r="H98" s="48"/>
    </row>
    <row r="99" spans="1:8" x14ac:dyDescent="0.2">
      <c r="A99" s="47"/>
      <c r="B99" s="48" t="s">
        <v>566</v>
      </c>
      <c r="C99" s="48"/>
      <c r="D99" s="48"/>
      <c r="E99" s="48"/>
      <c r="F99" s="48"/>
      <c r="G99" s="48"/>
      <c r="H99" s="48"/>
    </row>
    <row r="100" spans="1:8" x14ac:dyDescent="0.2">
      <c r="A100" s="49"/>
      <c r="B100" s="49"/>
      <c r="C100" s="49"/>
      <c r="D100" s="50"/>
      <c r="E100" s="50"/>
      <c r="F100" s="50"/>
      <c r="G100" s="50"/>
    </row>
    <row r="101" spans="1:8" x14ac:dyDescent="0.2">
      <c r="A101" s="49"/>
      <c r="B101" s="51" t="s">
        <v>106</v>
      </c>
      <c r="C101" s="52"/>
      <c r="D101" s="53"/>
      <c r="E101" s="54"/>
      <c r="F101" s="50"/>
      <c r="G101" s="50"/>
    </row>
    <row r="102" spans="1:8" x14ac:dyDescent="0.2">
      <c r="A102" s="49"/>
      <c r="B102" s="55" t="s">
        <v>107</v>
      </c>
      <c r="C102" s="56"/>
      <c r="D102" s="18" t="s">
        <v>108</v>
      </c>
      <c r="E102" s="54"/>
      <c r="F102" s="50"/>
      <c r="G102" s="50"/>
    </row>
    <row r="103" spans="1:8" x14ac:dyDescent="0.2">
      <c r="A103" s="49"/>
      <c r="B103" s="55" t="s">
        <v>109</v>
      </c>
      <c r="C103" s="56"/>
      <c r="D103" s="18" t="s">
        <v>108</v>
      </c>
      <c r="E103" s="54"/>
      <c r="F103" s="50"/>
      <c r="G103" s="50"/>
    </row>
    <row r="104" spans="1:8" x14ac:dyDescent="0.2">
      <c r="A104" s="49"/>
      <c r="B104" s="55" t="s">
        <v>110</v>
      </c>
      <c r="C104" s="56"/>
      <c r="D104" s="22" t="s">
        <v>12</v>
      </c>
      <c r="E104" s="54"/>
      <c r="F104" s="50"/>
      <c r="G104" s="50"/>
    </row>
    <row r="105" spans="1:8" x14ac:dyDescent="0.2">
      <c r="A105" s="57"/>
      <c r="B105" s="58" t="s">
        <v>12</v>
      </c>
      <c r="C105" s="58" t="s">
        <v>567</v>
      </c>
      <c r="D105" s="58" t="s">
        <v>111</v>
      </c>
      <c r="E105" s="57"/>
      <c r="F105" s="57"/>
      <c r="G105" s="57"/>
    </row>
    <row r="106" spans="1:8" x14ac:dyDescent="0.2">
      <c r="A106" s="57"/>
      <c r="B106" s="59" t="s">
        <v>112</v>
      </c>
      <c r="C106" s="60">
        <v>45657</v>
      </c>
      <c r="D106" s="60">
        <v>45688</v>
      </c>
      <c r="E106" s="57"/>
      <c r="F106" s="57"/>
      <c r="G106" s="57"/>
    </row>
    <row r="107" spans="1:8" x14ac:dyDescent="0.2">
      <c r="A107" s="61"/>
      <c r="B107" s="25" t="s">
        <v>113</v>
      </c>
      <c r="C107" s="62">
        <v>41.733600000000003</v>
      </c>
      <c r="D107" s="62">
        <v>41.9985</v>
      </c>
      <c r="E107" s="61"/>
      <c r="F107" s="63"/>
      <c r="G107" s="64"/>
    </row>
    <row r="108" spans="1:8" x14ac:dyDescent="0.2">
      <c r="A108" s="61"/>
      <c r="B108" s="25" t="s">
        <v>141</v>
      </c>
      <c r="C108" s="62">
        <v>20.878</v>
      </c>
      <c r="D108" s="62">
        <v>21.0105</v>
      </c>
      <c r="E108" s="61"/>
      <c r="F108" s="63"/>
      <c r="G108" s="64"/>
    </row>
    <row r="109" spans="1:8" ht="25.5" x14ac:dyDescent="0.2">
      <c r="A109" s="61"/>
      <c r="B109" s="25" t="s">
        <v>689</v>
      </c>
      <c r="C109" s="62">
        <v>11.5281</v>
      </c>
      <c r="D109" s="62">
        <v>11.5528</v>
      </c>
      <c r="E109" s="61"/>
      <c r="F109" s="63"/>
      <c r="G109" s="64"/>
    </row>
    <row r="110" spans="1:8" x14ac:dyDescent="0.2">
      <c r="A110" s="61"/>
      <c r="B110" s="25" t="s">
        <v>114</v>
      </c>
      <c r="C110" s="62">
        <v>41.178699999999999</v>
      </c>
      <c r="D110" s="62">
        <v>41.435400000000001</v>
      </c>
      <c r="E110" s="61"/>
      <c r="F110" s="63"/>
      <c r="G110" s="64"/>
    </row>
    <row r="111" spans="1:8" x14ac:dyDescent="0.2">
      <c r="A111" s="61"/>
      <c r="B111" s="25" t="s">
        <v>142</v>
      </c>
      <c r="C111" s="62">
        <v>20.7653</v>
      </c>
      <c r="D111" s="62">
        <v>20.8947</v>
      </c>
      <c r="E111" s="61"/>
      <c r="F111" s="63"/>
      <c r="G111" s="64"/>
    </row>
    <row r="112" spans="1:8" ht="25.5" x14ac:dyDescent="0.2">
      <c r="A112" s="61"/>
      <c r="B112" s="25" t="s">
        <v>693</v>
      </c>
      <c r="C112" s="62">
        <v>11.5806</v>
      </c>
      <c r="D112" s="62">
        <v>11.6053</v>
      </c>
      <c r="E112" s="61"/>
      <c r="F112" s="63"/>
      <c r="G112" s="64"/>
    </row>
    <row r="113" spans="1:15" x14ac:dyDescent="0.2">
      <c r="A113" s="61"/>
      <c r="B113" s="61"/>
      <c r="C113" s="61"/>
      <c r="D113" s="61"/>
      <c r="E113" s="61"/>
      <c r="F113" s="61"/>
      <c r="G113" s="61"/>
    </row>
    <row r="114" spans="1:15" x14ac:dyDescent="0.2">
      <c r="A114" s="61"/>
      <c r="B114" s="55" t="s">
        <v>568</v>
      </c>
      <c r="C114" s="56"/>
      <c r="D114" s="18" t="s">
        <v>12</v>
      </c>
      <c r="E114" s="61"/>
      <c r="F114" s="61"/>
      <c r="G114" s="61"/>
    </row>
    <row r="115" spans="1:15" x14ac:dyDescent="0.2">
      <c r="A115" s="61"/>
      <c r="B115" s="65" t="s">
        <v>112</v>
      </c>
      <c r="C115" s="66" t="s">
        <v>115</v>
      </c>
      <c r="D115" s="66" t="s">
        <v>116</v>
      </c>
      <c r="E115" s="61"/>
      <c r="F115" s="61"/>
      <c r="G115" s="61"/>
    </row>
    <row r="116" spans="1:15" ht="25.5" x14ac:dyDescent="0.2">
      <c r="A116" s="61"/>
      <c r="B116" s="25" t="s">
        <v>689</v>
      </c>
      <c r="C116" s="67">
        <v>4.8300000000000003E-2</v>
      </c>
      <c r="D116" s="29" t="s">
        <v>117</v>
      </c>
      <c r="E116" s="61"/>
      <c r="F116" s="63"/>
      <c r="G116" s="64"/>
    </row>
    <row r="117" spans="1:15" ht="25.5" x14ac:dyDescent="0.2">
      <c r="A117" s="61"/>
      <c r="B117" s="25" t="s">
        <v>693</v>
      </c>
      <c r="C117" s="67">
        <v>4.7300000000000002E-2</v>
      </c>
      <c r="D117" s="67">
        <v>4.7300000000000002E-2</v>
      </c>
      <c r="E117" s="61"/>
      <c r="F117" s="63"/>
      <c r="G117" s="64"/>
    </row>
    <row r="118" spans="1:15" x14ac:dyDescent="0.2">
      <c r="A118" s="61"/>
      <c r="B118" s="89"/>
      <c r="C118" s="89"/>
      <c r="D118" s="90"/>
      <c r="E118" s="61"/>
      <c r="F118" s="63"/>
      <c r="G118" s="64"/>
    </row>
    <row r="119" spans="1:15" s="72" customFormat="1" x14ac:dyDescent="0.2">
      <c r="A119" s="91"/>
      <c r="B119" s="69" t="s">
        <v>583</v>
      </c>
      <c r="C119" s="70"/>
      <c r="D119" s="34" t="s">
        <v>108</v>
      </c>
      <c r="E119" s="91"/>
      <c r="F119" s="92"/>
      <c r="G119" s="91"/>
      <c r="I119" s="16"/>
      <c r="J119" s="16"/>
      <c r="K119" s="36"/>
      <c r="L119" s="36"/>
      <c r="M119" s="36"/>
      <c r="N119" s="36"/>
      <c r="O119" s="85"/>
    </row>
    <row r="120" spans="1:15" x14ac:dyDescent="0.2">
      <c r="A120" s="57"/>
      <c r="B120" s="69" t="s">
        <v>584</v>
      </c>
      <c r="C120" s="70"/>
      <c r="D120" s="34" t="s">
        <v>108</v>
      </c>
      <c r="E120" s="71"/>
      <c r="F120" s="57"/>
      <c r="G120" s="57"/>
    </row>
    <row r="121" spans="1:15" x14ac:dyDescent="0.2">
      <c r="A121" s="57"/>
      <c r="B121" s="69" t="s">
        <v>585</v>
      </c>
      <c r="C121" s="70"/>
      <c r="D121" s="34" t="s">
        <v>108</v>
      </c>
      <c r="E121" s="71"/>
      <c r="F121" s="57"/>
      <c r="G121" s="57"/>
    </row>
    <row r="122" spans="1:15" x14ac:dyDescent="0.2">
      <c r="A122" s="57"/>
      <c r="B122" s="69" t="s">
        <v>586</v>
      </c>
      <c r="C122" s="70"/>
      <c r="D122" s="34" t="s">
        <v>108</v>
      </c>
      <c r="E122" s="71"/>
      <c r="F122" s="57"/>
      <c r="G122" s="57"/>
    </row>
    <row r="123" spans="1:15" x14ac:dyDescent="0.2">
      <c r="A123" s="68"/>
      <c r="B123" s="68"/>
      <c r="C123" s="68"/>
      <c r="D123" s="68"/>
      <c r="E123" s="68"/>
      <c r="F123" s="68"/>
      <c r="G123" s="68"/>
    </row>
    <row r="124" spans="1:15" s="72" customFormat="1" x14ac:dyDescent="0.2">
      <c r="B124" s="73" t="s">
        <v>570</v>
      </c>
      <c r="C124" s="74"/>
      <c r="D124" s="75"/>
      <c r="I124" s="16"/>
      <c r="J124" s="93"/>
      <c r="K124" s="36"/>
      <c r="L124" s="36"/>
      <c r="M124" s="36"/>
      <c r="N124" s="36"/>
      <c r="O124" s="85"/>
    </row>
    <row r="125" spans="1:15" s="72" customFormat="1" ht="38.25" x14ac:dyDescent="0.2">
      <c r="B125" s="76" t="s">
        <v>571</v>
      </c>
      <c r="C125" s="76"/>
      <c r="D125" s="77" t="s">
        <v>120</v>
      </c>
      <c r="I125" s="16"/>
      <c r="J125" s="93"/>
      <c r="K125" s="36"/>
      <c r="L125" s="36"/>
      <c r="M125" s="36"/>
      <c r="N125" s="36"/>
      <c r="O125" s="85"/>
    </row>
    <row r="126" spans="1:15" s="72" customFormat="1" x14ac:dyDescent="0.2">
      <c r="B126" s="78" t="s">
        <v>572</v>
      </c>
      <c r="C126" s="78"/>
      <c r="D126" s="79"/>
      <c r="I126" s="16"/>
      <c r="J126" s="93"/>
      <c r="K126" s="36"/>
      <c r="L126" s="36"/>
      <c r="M126" s="36"/>
      <c r="N126" s="36"/>
      <c r="O126" s="85"/>
    </row>
    <row r="127" spans="1:15" s="72" customFormat="1" x14ac:dyDescent="0.2">
      <c r="B127" s="78"/>
      <c r="C127" s="78"/>
      <c r="D127" s="82"/>
      <c r="I127" s="16"/>
      <c r="J127" s="16"/>
      <c r="K127" s="36"/>
      <c r="L127" s="36"/>
      <c r="M127" s="36"/>
      <c r="N127" s="36"/>
      <c r="O127" s="85"/>
    </row>
    <row r="128" spans="1:15" s="72" customFormat="1" x14ac:dyDescent="0.2">
      <c r="B128" s="78" t="s">
        <v>573</v>
      </c>
      <c r="C128" s="78"/>
      <c r="D128" s="83">
        <v>7.2806431228527186</v>
      </c>
      <c r="I128" s="16"/>
      <c r="J128" s="16"/>
      <c r="K128" s="36"/>
      <c r="L128" s="36"/>
      <c r="M128" s="36"/>
      <c r="N128" s="36"/>
      <c r="O128" s="85"/>
    </row>
    <row r="129" spans="2:18" s="72" customFormat="1" x14ac:dyDescent="0.2">
      <c r="B129" s="78"/>
      <c r="C129" s="78"/>
      <c r="D129" s="82"/>
      <c r="I129" s="16"/>
      <c r="J129" s="93"/>
      <c r="K129" s="36"/>
      <c r="L129" s="36"/>
      <c r="M129" s="36"/>
      <c r="N129" s="36"/>
      <c r="O129" s="85"/>
    </row>
    <row r="130" spans="2:18" s="72" customFormat="1" x14ac:dyDescent="0.2">
      <c r="B130" s="78" t="s">
        <v>574</v>
      </c>
      <c r="C130" s="78"/>
      <c r="D130" s="83">
        <v>3.3958800398156188</v>
      </c>
      <c r="I130" s="16"/>
      <c r="J130" s="93"/>
      <c r="K130" s="36"/>
      <c r="L130" s="36"/>
      <c r="M130" s="36"/>
      <c r="N130" s="36"/>
      <c r="O130" s="85"/>
    </row>
    <row r="131" spans="2:18" s="72" customFormat="1" x14ac:dyDescent="0.2">
      <c r="B131" s="78" t="s">
        <v>575</v>
      </c>
      <c r="C131" s="78"/>
      <c r="D131" s="83">
        <v>4.4285968115619694</v>
      </c>
      <c r="I131" s="16"/>
      <c r="J131" s="93"/>
      <c r="K131" s="36"/>
      <c r="L131" s="36"/>
      <c r="M131" s="36"/>
      <c r="N131" s="36"/>
      <c r="O131" s="85"/>
    </row>
    <row r="132" spans="2:18" s="72" customFormat="1" x14ac:dyDescent="0.2">
      <c r="B132" s="78"/>
      <c r="C132" s="78"/>
      <c r="D132" s="82"/>
      <c r="I132" s="16"/>
      <c r="J132" s="93"/>
      <c r="K132" s="36"/>
      <c r="L132" s="36"/>
      <c r="M132" s="36"/>
      <c r="N132" s="36"/>
      <c r="O132" s="85"/>
      <c r="R132" s="16"/>
    </row>
    <row r="133" spans="2:18" s="72" customFormat="1" x14ac:dyDescent="0.2">
      <c r="B133" s="78" t="s">
        <v>576</v>
      </c>
      <c r="C133" s="78"/>
      <c r="D133" s="84" t="s">
        <v>682</v>
      </c>
      <c r="I133" s="16"/>
      <c r="J133" s="93"/>
      <c r="K133" s="36"/>
      <c r="L133" s="36"/>
      <c r="M133" s="36"/>
      <c r="N133" s="36"/>
      <c r="O133" s="85"/>
    </row>
    <row r="134" spans="2:18" s="72" customFormat="1" x14ac:dyDescent="0.2">
      <c r="B134" s="80" t="s">
        <v>577</v>
      </c>
      <c r="C134" s="86"/>
      <c r="D134" s="81"/>
      <c r="I134" s="16"/>
      <c r="J134" s="93"/>
      <c r="K134" s="36"/>
      <c r="L134" s="36"/>
      <c r="M134" s="36"/>
      <c r="N134" s="36"/>
      <c r="O134" s="85"/>
      <c r="R134" s="16"/>
    </row>
    <row r="135" spans="2:18" x14ac:dyDescent="0.2">
      <c r="J135" s="93"/>
    </row>
    <row r="136" spans="2:18" x14ac:dyDescent="0.2">
      <c r="B136" s="87" t="s">
        <v>578</v>
      </c>
    </row>
    <row r="138" spans="2:18" ht="153.75" customHeight="1" x14ac:dyDescent="0.2"/>
    <row r="141" spans="2:18" x14ac:dyDescent="0.2">
      <c r="B141" s="88" t="s">
        <v>579</v>
      </c>
      <c r="C141" s="10"/>
      <c r="D141" s="88" t="s">
        <v>580</v>
      </c>
    </row>
    <row r="142" spans="2:18" x14ac:dyDescent="0.2">
      <c r="B142" s="88" t="s">
        <v>587</v>
      </c>
      <c r="D142" s="88" t="s">
        <v>588</v>
      </c>
    </row>
    <row r="143" spans="2:18" ht="165" customHeight="1" x14ac:dyDescent="0.2"/>
    <row r="144" spans="2:18" x14ac:dyDescent="0.2">
      <c r="J144" s="93"/>
    </row>
    <row r="145" spans="10:10" x14ac:dyDescent="0.2">
      <c r="J145" s="93"/>
    </row>
    <row r="146" spans="10:10" x14ac:dyDescent="0.2">
      <c r="J146" s="93"/>
    </row>
  </sheetData>
  <mergeCells count="26">
    <mergeCell ref="B131:C131"/>
    <mergeCell ref="B132:C132"/>
    <mergeCell ref="B133:C133"/>
    <mergeCell ref="B134:D134"/>
    <mergeCell ref="B126:C126"/>
    <mergeCell ref="B127:C127"/>
    <mergeCell ref="B128:C128"/>
    <mergeCell ref="B129:C129"/>
    <mergeCell ref="B130:C130"/>
    <mergeCell ref="B99:H99"/>
    <mergeCell ref="B119:C119"/>
    <mergeCell ref="B101:D101"/>
    <mergeCell ref="B102:C102"/>
    <mergeCell ref="B103:C103"/>
    <mergeCell ref="B104:C104"/>
    <mergeCell ref="B114:C114"/>
    <mergeCell ref="A3:H3"/>
    <mergeCell ref="A2:H2"/>
    <mergeCell ref="A1:H1"/>
    <mergeCell ref="B97:H97"/>
    <mergeCell ref="B98:H98"/>
    <mergeCell ref="B121:C121"/>
    <mergeCell ref="B122:C122"/>
    <mergeCell ref="B125:C125"/>
    <mergeCell ref="B124:D124"/>
    <mergeCell ref="B120:C120"/>
  </mergeCells>
  <hyperlinks>
    <hyperlink ref="I1" location="Index!B2" display="Index" xr:uid="{31D55191-CC96-47B5-BC14-3AA17853C0B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8385-E8BE-4022-ABAA-410045F1E16E}">
  <sheetPr>
    <outlinePr summaryBelow="0" summaryRight="0"/>
  </sheetPr>
  <dimension ref="A1:Q162"/>
  <sheetViews>
    <sheetView showGridLines="0" workbookViewId="0">
      <selection sqref="A1:H1"/>
    </sheetView>
  </sheetViews>
  <sheetFormatPr defaultRowHeight="12.75" x14ac:dyDescent="0.2"/>
  <cols>
    <col min="1" max="1" width="5.85546875" style="16" bestFit="1" customWidth="1"/>
    <col min="2" max="2" width="20.85546875" style="16" customWidth="1"/>
    <col min="3" max="3" width="39.140625" style="16" bestFit="1" customWidth="1"/>
    <col min="4" max="4" width="10.7109375" style="16" bestFit="1" customWidth="1"/>
    <col min="5" max="5" width="9.4257812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143</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562</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x14ac:dyDescent="0.2">
      <c r="A28" s="17"/>
      <c r="B28" s="17"/>
      <c r="C28" s="18" t="s">
        <v>11</v>
      </c>
      <c r="D28" s="17"/>
      <c r="E28" s="17" t="s">
        <v>12</v>
      </c>
      <c r="F28" s="19" t="s">
        <v>13</v>
      </c>
      <c r="G28" s="20">
        <v>0</v>
      </c>
      <c r="H28" s="15" t="s">
        <v>12</v>
      </c>
    </row>
    <row r="29" spans="1:8" x14ac:dyDescent="0.2">
      <c r="A29" s="17"/>
      <c r="B29" s="17"/>
      <c r="C29" s="21"/>
      <c r="D29" s="17"/>
      <c r="E29" s="17"/>
      <c r="F29" s="22"/>
      <c r="G29" s="22"/>
      <c r="H29" s="15" t="s">
        <v>12</v>
      </c>
    </row>
    <row r="30" spans="1:8" x14ac:dyDescent="0.2">
      <c r="A30" s="17"/>
      <c r="B30" s="17"/>
      <c r="C30" s="18" t="s">
        <v>71</v>
      </c>
      <c r="D30" s="17"/>
      <c r="E30" s="17"/>
      <c r="F30" s="17"/>
      <c r="G30" s="17"/>
      <c r="H30" s="15" t="s">
        <v>12</v>
      </c>
    </row>
    <row r="31" spans="1:8" x14ac:dyDescent="0.2">
      <c r="A31" s="17"/>
      <c r="B31" s="17"/>
      <c r="C31" s="18" t="s">
        <v>11</v>
      </c>
      <c r="D31" s="17"/>
      <c r="E31" s="17" t="s">
        <v>12</v>
      </c>
      <c r="F31" s="19" t="s">
        <v>13</v>
      </c>
      <c r="G31" s="20">
        <v>0</v>
      </c>
      <c r="H31" s="15" t="s">
        <v>12</v>
      </c>
    </row>
    <row r="32" spans="1:8" x14ac:dyDescent="0.2">
      <c r="A32" s="17"/>
      <c r="B32" s="17"/>
      <c r="C32" s="21"/>
      <c r="D32" s="17"/>
      <c r="E32" s="17"/>
      <c r="F32" s="22"/>
      <c r="G32" s="22"/>
      <c r="H32" s="15" t="s">
        <v>12</v>
      </c>
    </row>
    <row r="33" spans="1:8" x14ac:dyDescent="0.2">
      <c r="A33" s="17"/>
      <c r="B33" s="17"/>
      <c r="C33" s="18" t="s">
        <v>72</v>
      </c>
      <c r="D33" s="17"/>
      <c r="E33" s="17"/>
      <c r="F33" s="17"/>
      <c r="G33" s="17"/>
      <c r="H33" s="15" t="s">
        <v>12</v>
      </c>
    </row>
    <row r="34" spans="1:8" x14ac:dyDescent="0.2">
      <c r="A34" s="17"/>
      <c r="B34" s="17"/>
      <c r="C34" s="18" t="s">
        <v>11</v>
      </c>
      <c r="D34" s="17"/>
      <c r="E34" s="17" t="s">
        <v>12</v>
      </c>
      <c r="F34" s="19" t="s">
        <v>13</v>
      </c>
      <c r="G34" s="20">
        <v>0</v>
      </c>
      <c r="H34" s="15" t="s">
        <v>12</v>
      </c>
    </row>
    <row r="35" spans="1:8" x14ac:dyDescent="0.2">
      <c r="A35" s="17"/>
      <c r="B35" s="17"/>
      <c r="C35" s="21"/>
      <c r="D35" s="17"/>
      <c r="E35" s="17"/>
      <c r="F35" s="22"/>
      <c r="G35" s="22"/>
      <c r="H35" s="15" t="s">
        <v>12</v>
      </c>
    </row>
    <row r="36" spans="1:8" x14ac:dyDescent="0.2">
      <c r="A36" s="17"/>
      <c r="B36" s="17"/>
      <c r="C36" s="18" t="s">
        <v>88</v>
      </c>
      <c r="D36" s="17"/>
      <c r="E36" s="17"/>
      <c r="F36" s="22"/>
      <c r="G36" s="22"/>
      <c r="H36" s="15" t="s">
        <v>12</v>
      </c>
    </row>
    <row r="37" spans="1:8" x14ac:dyDescent="0.2">
      <c r="A37" s="17"/>
      <c r="B37" s="17"/>
      <c r="C37" s="18" t="s">
        <v>11</v>
      </c>
      <c r="D37" s="17"/>
      <c r="E37" s="17" t="s">
        <v>12</v>
      </c>
      <c r="F37" s="19" t="s">
        <v>13</v>
      </c>
      <c r="G37" s="20">
        <v>0</v>
      </c>
      <c r="H37" s="15" t="s">
        <v>12</v>
      </c>
    </row>
    <row r="38" spans="1:8" x14ac:dyDescent="0.2">
      <c r="A38" s="17"/>
      <c r="B38" s="17"/>
      <c r="C38" s="21"/>
      <c r="D38" s="17"/>
      <c r="E38" s="17"/>
      <c r="F38" s="22"/>
      <c r="G38" s="22"/>
      <c r="H38" s="15" t="s">
        <v>12</v>
      </c>
    </row>
    <row r="39" spans="1:8" x14ac:dyDescent="0.2">
      <c r="A39" s="17"/>
      <c r="B39" s="17"/>
      <c r="C39" s="18" t="s">
        <v>89</v>
      </c>
      <c r="D39" s="17"/>
      <c r="E39" s="17"/>
      <c r="F39" s="23">
        <v>0</v>
      </c>
      <c r="G39" s="20">
        <v>0</v>
      </c>
      <c r="H39" s="15" t="s">
        <v>12</v>
      </c>
    </row>
    <row r="40" spans="1:8" x14ac:dyDescent="0.2">
      <c r="A40" s="17"/>
      <c r="B40" s="17"/>
      <c r="C40" s="21"/>
      <c r="D40" s="17"/>
      <c r="E40" s="17"/>
      <c r="F40" s="22"/>
      <c r="G40" s="22"/>
      <c r="H40" s="15" t="s">
        <v>12</v>
      </c>
    </row>
    <row r="41" spans="1:8" x14ac:dyDescent="0.2">
      <c r="A41" s="17"/>
      <c r="B41" s="17"/>
      <c r="C41" s="18" t="s">
        <v>90</v>
      </c>
      <c r="D41" s="17"/>
      <c r="E41" s="17"/>
      <c r="F41" s="22"/>
      <c r="G41" s="22"/>
      <c r="H41" s="15" t="s">
        <v>12</v>
      </c>
    </row>
    <row r="42" spans="1:8" x14ac:dyDescent="0.2">
      <c r="A42" s="17"/>
      <c r="B42" s="17"/>
      <c r="C42" s="18" t="s">
        <v>91</v>
      </c>
      <c r="D42" s="17"/>
      <c r="E42" s="17"/>
      <c r="F42" s="22"/>
      <c r="G42" s="22"/>
      <c r="H42" s="15" t="s">
        <v>12</v>
      </c>
    </row>
    <row r="43" spans="1:8" x14ac:dyDescent="0.2">
      <c r="A43" s="24">
        <v>1</v>
      </c>
      <c r="B43" s="25" t="s">
        <v>144</v>
      </c>
      <c r="C43" s="25" t="s">
        <v>145</v>
      </c>
      <c r="D43" s="25" t="s">
        <v>146</v>
      </c>
      <c r="E43" s="26">
        <v>500</v>
      </c>
      <c r="F43" s="27">
        <v>2478.34</v>
      </c>
      <c r="G43" s="28">
        <v>4.3188160000000003E-2</v>
      </c>
      <c r="H43" s="15">
        <v>7.25</v>
      </c>
    </row>
    <row r="44" spans="1:8" x14ac:dyDescent="0.2">
      <c r="A44" s="24">
        <v>2</v>
      </c>
      <c r="B44" s="25" t="s">
        <v>147</v>
      </c>
      <c r="C44" s="25" t="s">
        <v>148</v>
      </c>
      <c r="D44" s="25" t="s">
        <v>149</v>
      </c>
      <c r="E44" s="26">
        <v>500</v>
      </c>
      <c r="F44" s="27">
        <v>2447.7800000000002</v>
      </c>
      <c r="G44" s="28">
        <v>4.2655619999999998E-2</v>
      </c>
      <c r="H44" s="15">
        <v>7.56</v>
      </c>
    </row>
    <row r="45" spans="1:8" x14ac:dyDescent="0.2">
      <c r="A45" s="24">
        <v>3</v>
      </c>
      <c r="B45" s="25" t="s">
        <v>150</v>
      </c>
      <c r="C45" s="25" t="s">
        <v>151</v>
      </c>
      <c r="D45" s="25" t="s">
        <v>152</v>
      </c>
      <c r="E45" s="26">
        <v>500</v>
      </c>
      <c r="F45" s="27">
        <v>2361.3024999999998</v>
      </c>
      <c r="G45" s="28">
        <v>4.114864E-2</v>
      </c>
      <c r="H45" s="15">
        <v>7.97</v>
      </c>
    </row>
    <row r="46" spans="1:8" x14ac:dyDescent="0.2">
      <c r="A46" s="24">
        <v>4</v>
      </c>
      <c r="B46" s="25" t="s">
        <v>153</v>
      </c>
      <c r="C46" s="25" t="s">
        <v>154</v>
      </c>
      <c r="D46" s="25" t="s">
        <v>152</v>
      </c>
      <c r="E46" s="26">
        <v>500</v>
      </c>
      <c r="F46" s="27">
        <v>2352.69</v>
      </c>
      <c r="G46" s="28">
        <v>4.0998550000000002E-2</v>
      </c>
      <c r="H46" s="15">
        <v>7.6950000000000003</v>
      </c>
    </row>
    <row r="47" spans="1:8" x14ac:dyDescent="0.2">
      <c r="A47" s="24">
        <v>5</v>
      </c>
      <c r="B47" s="25" t="s">
        <v>155</v>
      </c>
      <c r="C47" s="25" t="s">
        <v>156</v>
      </c>
      <c r="D47" s="25" t="s">
        <v>152</v>
      </c>
      <c r="E47" s="26">
        <v>500</v>
      </c>
      <c r="F47" s="27">
        <v>2351.835</v>
      </c>
      <c r="G47" s="28">
        <v>4.0983659999999998E-2</v>
      </c>
      <c r="H47" s="15">
        <v>7.665</v>
      </c>
    </row>
    <row r="48" spans="1:8" x14ac:dyDescent="0.2">
      <c r="A48" s="24">
        <v>6</v>
      </c>
      <c r="B48" s="25" t="s">
        <v>157</v>
      </c>
      <c r="C48" s="25" t="s">
        <v>158</v>
      </c>
      <c r="D48" s="25" t="s">
        <v>152</v>
      </c>
      <c r="E48" s="26">
        <v>500</v>
      </c>
      <c r="F48" s="27">
        <v>2349.5124999999998</v>
      </c>
      <c r="G48" s="28">
        <v>4.0943180000000003E-2</v>
      </c>
      <c r="H48" s="15">
        <v>7.64</v>
      </c>
    </row>
    <row r="49" spans="1:8" ht="25.5" x14ac:dyDescent="0.2">
      <c r="A49" s="24">
        <v>7</v>
      </c>
      <c r="B49" s="25" t="s">
        <v>159</v>
      </c>
      <c r="C49" s="25" t="s">
        <v>160</v>
      </c>
      <c r="D49" s="25" t="s">
        <v>152</v>
      </c>
      <c r="E49" s="26">
        <v>500</v>
      </c>
      <c r="F49" s="27">
        <v>2349.0974999999999</v>
      </c>
      <c r="G49" s="28">
        <v>4.0935949999999999E-2</v>
      </c>
      <c r="H49" s="15">
        <v>7.6375000000000002</v>
      </c>
    </row>
    <row r="50" spans="1:8" x14ac:dyDescent="0.2">
      <c r="A50" s="24">
        <v>8</v>
      </c>
      <c r="B50" s="25" t="s">
        <v>161</v>
      </c>
      <c r="C50" s="25" t="s">
        <v>162</v>
      </c>
      <c r="D50" s="25" t="s">
        <v>152</v>
      </c>
      <c r="E50" s="26">
        <v>500</v>
      </c>
      <c r="F50" s="27">
        <v>2347.66</v>
      </c>
      <c r="G50" s="28">
        <v>4.09109E-2</v>
      </c>
      <c r="H50" s="15">
        <v>7.7149999999999999</v>
      </c>
    </row>
    <row r="51" spans="1:8" x14ac:dyDescent="0.2">
      <c r="A51" s="24">
        <v>9</v>
      </c>
      <c r="B51" s="25" t="s">
        <v>163</v>
      </c>
      <c r="C51" s="39" t="s">
        <v>696</v>
      </c>
      <c r="D51" s="25" t="s">
        <v>152</v>
      </c>
      <c r="E51" s="26">
        <v>500</v>
      </c>
      <c r="F51" s="27">
        <v>2323.42</v>
      </c>
      <c r="G51" s="28">
        <v>4.0488490000000002E-2</v>
      </c>
      <c r="H51" s="15">
        <v>7.6</v>
      </c>
    </row>
    <row r="52" spans="1:8" x14ac:dyDescent="0.2">
      <c r="A52" s="24">
        <v>10</v>
      </c>
      <c r="B52" s="25" t="s">
        <v>164</v>
      </c>
      <c r="C52" s="25" t="s">
        <v>165</v>
      </c>
      <c r="D52" s="25" t="s">
        <v>152</v>
      </c>
      <c r="E52" s="26">
        <v>400</v>
      </c>
      <c r="F52" s="27">
        <v>1952.348</v>
      </c>
      <c r="G52" s="28">
        <v>3.40221E-2</v>
      </c>
      <c r="H52" s="15">
        <v>7.68</v>
      </c>
    </row>
    <row r="53" spans="1:8" x14ac:dyDescent="0.2">
      <c r="A53" s="24">
        <v>11</v>
      </c>
      <c r="B53" s="25" t="s">
        <v>166</v>
      </c>
      <c r="C53" s="25" t="s">
        <v>167</v>
      </c>
      <c r="D53" s="25" t="s">
        <v>152</v>
      </c>
      <c r="E53" s="26">
        <v>300</v>
      </c>
      <c r="F53" s="27">
        <v>1486.107</v>
      </c>
      <c r="G53" s="28">
        <v>2.589727E-2</v>
      </c>
      <c r="H53" s="15">
        <v>7.2599</v>
      </c>
    </row>
    <row r="54" spans="1:8" x14ac:dyDescent="0.2">
      <c r="A54" s="24">
        <v>12</v>
      </c>
      <c r="B54" s="25" t="s">
        <v>168</v>
      </c>
      <c r="C54" s="25" t="s">
        <v>169</v>
      </c>
      <c r="D54" s="25" t="s">
        <v>152</v>
      </c>
      <c r="E54" s="26">
        <v>300</v>
      </c>
      <c r="F54" s="27">
        <v>1484.895</v>
      </c>
      <c r="G54" s="28">
        <v>2.5876150000000001E-2</v>
      </c>
      <c r="H54" s="15">
        <v>7.28</v>
      </c>
    </row>
    <row r="55" spans="1:8" x14ac:dyDescent="0.2">
      <c r="A55" s="24">
        <v>13</v>
      </c>
      <c r="B55" s="25" t="s">
        <v>170</v>
      </c>
      <c r="C55" s="25" t="s">
        <v>171</v>
      </c>
      <c r="D55" s="25" t="s">
        <v>152</v>
      </c>
      <c r="E55" s="26">
        <v>300</v>
      </c>
      <c r="F55" s="27">
        <v>1466.1585</v>
      </c>
      <c r="G55" s="28">
        <v>2.5549639999999998E-2</v>
      </c>
      <c r="H55" s="15">
        <v>7.5900999999999996</v>
      </c>
    </row>
    <row r="56" spans="1:8" x14ac:dyDescent="0.2">
      <c r="A56" s="24">
        <v>14</v>
      </c>
      <c r="B56" s="25" t="s">
        <v>172</v>
      </c>
      <c r="C56" s="25" t="s">
        <v>173</v>
      </c>
      <c r="D56" s="25" t="s">
        <v>152</v>
      </c>
      <c r="E56" s="26">
        <v>300</v>
      </c>
      <c r="F56" s="27">
        <v>1395.2805000000001</v>
      </c>
      <c r="G56" s="28">
        <v>2.4314499999999999E-2</v>
      </c>
      <c r="H56" s="15">
        <v>7.6950000000000003</v>
      </c>
    </row>
    <row r="57" spans="1:8" x14ac:dyDescent="0.2">
      <c r="A57" s="24">
        <v>15</v>
      </c>
      <c r="B57" s="25" t="s">
        <v>174</v>
      </c>
      <c r="C57" s="25" t="s">
        <v>175</v>
      </c>
      <c r="D57" s="25" t="s">
        <v>152</v>
      </c>
      <c r="E57" s="26">
        <v>200</v>
      </c>
      <c r="F57" s="27">
        <v>993.29200000000003</v>
      </c>
      <c r="G57" s="28">
        <v>1.7309350000000001E-2</v>
      </c>
      <c r="H57" s="15">
        <v>7.2499000000000002</v>
      </c>
    </row>
    <row r="58" spans="1:8" x14ac:dyDescent="0.2">
      <c r="A58" s="24">
        <v>16</v>
      </c>
      <c r="B58" s="25" t="s">
        <v>176</v>
      </c>
      <c r="C58" s="25" t="s">
        <v>177</v>
      </c>
      <c r="D58" s="25" t="s">
        <v>152</v>
      </c>
      <c r="E58" s="26">
        <v>200</v>
      </c>
      <c r="F58" s="27">
        <v>989.31600000000003</v>
      </c>
      <c r="G58" s="28">
        <v>1.7240060000000001E-2</v>
      </c>
      <c r="H58" s="15">
        <v>7.2999000000000001</v>
      </c>
    </row>
    <row r="59" spans="1:8" x14ac:dyDescent="0.2">
      <c r="A59" s="24">
        <v>17</v>
      </c>
      <c r="B59" s="25" t="s">
        <v>178</v>
      </c>
      <c r="C59" s="25" t="s">
        <v>179</v>
      </c>
      <c r="D59" s="25" t="s">
        <v>152</v>
      </c>
      <c r="E59" s="26">
        <v>200</v>
      </c>
      <c r="F59" s="27">
        <v>941.68100000000004</v>
      </c>
      <c r="G59" s="28">
        <v>1.6409969999999999E-2</v>
      </c>
      <c r="H59" s="15">
        <v>7.7149999999999999</v>
      </c>
    </row>
    <row r="60" spans="1:8" x14ac:dyDescent="0.2">
      <c r="A60" s="24">
        <v>18</v>
      </c>
      <c r="B60" s="25" t="s">
        <v>180</v>
      </c>
      <c r="C60" s="25" t="s">
        <v>181</v>
      </c>
      <c r="D60" s="25" t="s">
        <v>152</v>
      </c>
      <c r="E60" s="26">
        <v>200</v>
      </c>
      <c r="F60" s="27">
        <v>938.63199999999995</v>
      </c>
      <c r="G60" s="28">
        <v>1.6356829999999999E-2</v>
      </c>
      <c r="H60" s="15">
        <v>7.6</v>
      </c>
    </row>
    <row r="61" spans="1:8" x14ac:dyDescent="0.2">
      <c r="A61" s="24">
        <v>19</v>
      </c>
      <c r="B61" s="25" t="s">
        <v>182</v>
      </c>
      <c r="C61" s="25" t="s">
        <v>183</v>
      </c>
      <c r="D61" s="25" t="s">
        <v>146</v>
      </c>
      <c r="E61" s="26">
        <v>160</v>
      </c>
      <c r="F61" s="27">
        <v>772.01199999999994</v>
      </c>
      <c r="G61" s="28">
        <v>1.345327E-2</v>
      </c>
      <c r="H61" s="15">
        <v>7.6048999999999998</v>
      </c>
    </row>
    <row r="62" spans="1:8" x14ac:dyDescent="0.2">
      <c r="A62" s="24">
        <v>20</v>
      </c>
      <c r="B62" s="25" t="s">
        <v>184</v>
      </c>
      <c r="C62" s="25" t="s">
        <v>185</v>
      </c>
      <c r="D62" s="25" t="s">
        <v>149</v>
      </c>
      <c r="E62" s="26">
        <v>100</v>
      </c>
      <c r="F62" s="27">
        <v>490.55099999999999</v>
      </c>
      <c r="G62" s="28">
        <v>8.5484600000000008E-3</v>
      </c>
      <c r="H62" s="15">
        <v>7.56</v>
      </c>
    </row>
    <row r="63" spans="1:8" x14ac:dyDescent="0.2">
      <c r="A63" s="24">
        <v>21</v>
      </c>
      <c r="B63" s="25" t="s">
        <v>186</v>
      </c>
      <c r="C63" s="25" t="s">
        <v>187</v>
      </c>
      <c r="D63" s="25" t="s">
        <v>152</v>
      </c>
      <c r="E63" s="26">
        <v>100</v>
      </c>
      <c r="F63" s="27">
        <v>489.10300000000001</v>
      </c>
      <c r="G63" s="28">
        <v>8.5232299999999997E-3</v>
      </c>
      <c r="H63" s="15">
        <v>7.6</v>
      </c>
    </row>
    <row r="64" spans="1:8" x14ac:dyDescent="0.2">
      <c r="A64" s="24">
        <v>22</v>
      </c>
      <c r="B64" s="25" t="s">
        <v>188</v>
      </c>
      <c r="C64" s="25" t="s">
        <v>189</v>
      </c>
      <c r="D64" s="25" t="s">
        <v>152</v>
      </c>
      <c r="E64" s="26">
        <v>100</v>
      </c>
      <c r="F64" s="27">
        <v>487.21850000000001</v>
      </c>
      <c r="G64" s="28">
        <v>8.4903900000000004E-3</v>
      </c>
      <c r="H64" s="15">
        <v>7.6600999999999999</v>
      </c>
    </row>
    <row r="65" spans="1:8" x14ac:dyDescent="0.2">
      <c r="A65" s="24">
        <v>23</v>
      </c>
      <c r="B65" s="25" t="s">
        <v>190</v>
      </c>
      <c r="C65" s="25" t="s">
        <v>191</v>
      </c>
      <c r="D65" s="25" t="s">
        <v>152</v>
      </c>
      <c r="E65" s="26">
        <v>100</v>
      </c>
      <c r="F65" s="27">
        <v>485.41950000000003</v>
      </c>
      <c r="G65" s="28">
        <v>8.4590399999999993E-3</v>
      </c>
      <c r="H65" s="15">
        <v>7.6668000000000003</v>
      </c>
    </row>
    <row r="66" spans="1:8" x14ac:dyDescent="0.2">
      <c r="A66" s="17"/>
      <c r="B66" s="17"/>
      <c r="C66" s="18" t="s">
        <v>11</v>
      </c>
      <c r="D66" s="17"/>
      <c r="E66" s="17" t="s">
        <v>12</v>
      </c>
      <c r="F66" s="23">
        <v>35733.6515</v>
      </c>
      <c r="G66" s="20">
        <v>0.62270340999999996</v>
      </c>
      <c r="H66" s="15" t="s">
        <v>12</v>
      </c>
    </row>
    <row r="67" spans="1:8" x14ac:dyDescent="0.2">
      <c r="A67" s="17"/>
      <c r="B67" s="17"/>
      <c r="C67" s="21"/>
      <c r="D67" s="17"/>
      <c r="E67" s="17"/>
      <c r="F67" s="22"/>
      <c r="G67" s="22"/>
      <c r="H67" s="15" t="s">
        <v>12</v>
      </c>
    </row>
    <row r="68" spans="1:8" x14ac:dyDescent="0.2">
      <c r="A68" s="17"/>
      <c r="B68" s="17"/>
      <c r="C68" s="18" t="s">
        <v>92</v>
      </c>
      <c r="D68" s="17"/>
      <c r="E68" s="17"/>
      <c r="F68" s="22"/>
      <c r="G68" s="22"/>
      <c r="H68" s="15" t="s">
        <v>12</v>
      </c>
    </row>
    <row r="69" spans="1:8" ht="25.5" x14ac:dyDescent="0.2">
      <c r="A69" s="24">
        <v>1</v>
      </c>
      <c r="B69" s="25" t="s">
        <v>192</v>
      </c>
      <c r="C69" s="25" t="s">
        <v>193</v>
      </c>
      <c r="D69" s="25" t="s">
        <v>152</v>
      </c>
      <c r="E69" s="26">
        <v>500</v>
      </c>
      <c r="F69" s="27">
        <v>2495.3000000000002</v>
      </c>
      <c r="G69" s="28">
        <v>4.3483710000000002E-2</v>
      </c>
      <c r="H69" s="15">
        <v>7.6397000000000004</v>
      </c>
    </row>
    <row r="70" spans="1:8" x14ac:dyDescent="0.2">
      <c r="A70" s="24">
        <v>2</v>
      </c>
      <c r="B70" s="25" t="s">
        <v>194</v>
      </c>
      <c r="C70" s="25" t="s">
        <v>195</v>
      </c>
      <c r="D70" s="25" t="s">
        <v>152</v>
      </c>
      <c r="E70" s="26">
        <v>500</v>
      </c>
      <c r="F70" s="27">
        <v>2362.4025000000001</v>
      </c>
      <c r="G70" s="28">
        <v>4.1167809999999999E-2</v>
      </c>
      <c r="H70" s="15">
        <v>8.24</v>
      </c>
    </row>
    <row r="71" spans="1:8" ht="25.5" x14ac:dyDescent="0.2">
      <c r="A71" s="24">
        <v>3</v>
      </c>
      <c r="B71" s="25" t="s">
        <v>196</v>
      </c>
      <c r="C71" s="25" t="s">
        <v>197</v>
      </c>
      <c r="D71" s="25" t="s">
        <v>152</v>
      </c>
      <c r="E71" s="26">
        <v>300</v>
      </c>
      <c r="F71" s="27">
        <v>1455.3375000000001</v>
      </c>
      <c r="G71" s="28">
        <v>2.5361069999999999E-2</v>
      </c>
      <c r="H71" s="15">
        <v>8.2363</v>
      </c>
    </row>
    <row r="72" spans="1:8" x14ac:dyDescent="0.2">
      <c r="A72" s="24">
        <v>4</v>
      </c>
      <c r="B72" s="25" t="s">
        <v>198</v>
      </c>
      <c r="C72" s="25" t="s">
        <v>199</v>
      </c>
      <c r="D72" s="25" t="s">
        <v>152</v>
      </c>
      <c r="E72" s="26">
        <v>300</v>
      </c>
      <c r="F72" s="27">
        <v>1427.2365</v>
      </c>
      <c r="G72" s="28">
        <v>2.487137E-2</v>
      </c>
      <c r="H72" s="15">
        <v>7.8849999999999998</v>
      </c>
    </row>
    <row r="73" spans="1:8" x14ac:dyDescent="0.2">
      <c r="A73" s="24">
        <v>5</v>
      </c>
      <c r="B73" s="25" t="s">
        <v>200</v>
      </c>
      <c r="C73" s="25" t="s">
        <v>201</v>
      </c>
      <c r="D73" s="25" t="s">
        <v>152</v>
      </c>
      <c r="E73" s="26">
        <v>200</v>
      </c>
      <c r="F73" s="27">
        <v>995.79200000000003</v>
      </c>
      <c r="G73" s="28">
        <v>1.7352920000000001E-2</v>
      </c>
      <c r="H73" s="15">
        <v>7.7125000000000004</v>
      </c>
    </row>
    <row r="74" spans="1:8" x14ac:dyDescent="0.2">
      <c r="A74" s="24">
        <v>6</v>
      </c>
      <c r="B74" s="25" t="s">
        <v>202</v>
      </c>
      <c r="C74" s="25" t="s">
        <v>203</v>
      </c>
      <c r="D74" s="25" t="s">
        <v>152</v>
      </c>
      <c r="E74" s="26">
        <v>200</v>
      </c>
      <c r="F74" s="27">
        <v>990.47199999999998</v>
      </c>
      <c r="G74" s="28">
        <v>1.7260210000000002E-2</v>
      </c>
      <c r="H74" s="15">
        <v>7.3150000000000004</v>
      </c>
    </row>
    <row r="75" spans="1:8" ht="25.5" x14ac:dyDescent="0.2">
      <c r="A75" s="24">
        <v>7</v>
      </c>
      <c r="B75" s="25" t="s">
        <v>204</v>
      </c>
      <c r="C75" s="25" t="s">
        <v>205</v>
      </c>
      <c r="D75" s="25" t="s">
        <v>152</v>
      </c>
      <c r="E75" s="26">
        <v>200</v>
      </c>
      <c r="F75" s="27">
        <v>989.93700000000001</v>
      </c>
      <c r="G75" s="28">
        <v>1.7250890000000001E-2</v>
      </c>
      <c r="H75" s="15">
        <v>7.2751999999999999</v>
      </c>
    </row>
    <row r="76" spans="1:8" ht="25.5" x14ac:dyDescent="0.2">
      <c r="A76" s="24">
        <v>8</v>
      </c>
      <c r="B76" s="25" t="s">
        <v>206</v>
      </c>
      <c r="C76" s="25" t="s">
        <v>207</v>
      </c>
      <c r="D76" s="25" t="s">
        <v>152</v>
      </c>
      <c r="E76" s="26">
        <v>200</v>
      </c>
      <c r="F76" s="27">
        <v>976.32500000000005</v>
      </c>
      <c r="G76" s="28">
        <v>1.701368E-2</v>
      </c>
      <c r="H76" s="15">
        <v>7.63</v>
      </c>
    </row>
    <row r="77" spans="1:8" x14ac:dyDescent="0.2">
      <c r="A77" s="17"/>
      <c r="B77" s="17"/>
      <c r="C77" s="18" t="s">
        <v>11</v>
      </c>
      <c r="D77" s="17"/>
      <c r="E77" s="17" t="s">
        <v>12</v>
      </c>
      <c r="F77" s="23">
        <v>11692.8025</v>
      </c>
      <c r="G77" s="20">
        <v>0.20376166000000001</v>
      </c>
      <c r="H77" s="15" t="s">
        <v>12</v>
      </c>
    </row>
    <row r="78" spans="1:8" x14ac:dyDescent="0.2">
      <c r="A78" s="17"/>
      <c r="B78" s="17"/>
      <c r="C78" s="21"/>
      <c r="D78" s="17"/>
      <c r="E78" s="17"/>
      <c r="F78" s="22"/>
      <c r="G78" s="22"/>
      <c r="H78" s="15" t="s">
        <v>12</v>
      </c>
    </row>
    <row r="79" spans="1:8" x14ac:dyDescent="0.2">
      <c r="A79" s="17"/>
      <c r="B79" s="17"/>
      <c r="C79" s="18" t="s">
        <v>93</v>
      </c>
      <c r="D79" s="17"/>
      <c r="E79" s="17"/>
      <c r="F79" s="22"/>
      <c r="G79" s="22"/>
      <c r="H79" s="15" t="s">
        <v>12</v>
      </c>
    </row>
    <row r="80" spans="1:8" x14ac:dyDescent="0.2">
      <c r="A80" s="24">
        <v>1</v>
      </c>
      <c r="B80" s="25" t="s">
        <v>208</v>
      </c>
      <c r="C80" s="25" t="s">
        <v>209</v>
      </c>
      <c r="D80" s="25" t="s">
        <v>75</v>
      </c>
      <c r="E80" s="26">
        <v>2500000</v>
      </c>
      <c r="F80" s="27">
        <v>2460.9074999999998</v>
      </c>
      <c r="G80" s="28">
        <v>4.288438E-2</v>
      </c>
      <c r="H80" s="15">
        <v>6.5149999999999997</v>
      </c>
    </row>
    <row r="81" spans="1:17" x14ac:dyDescent="0.2">
      <c r="A81" s="24">
        <v>2</v>
      </c>
      <c r="B81" s="25" t="s">
        <v>210</v>
      </c>
      <c r="C81" s="25" t="s">
        <v>211</v>
      </c>
      <c r="D81" s="25" t="s">
        <v>75</v>
      </c>
      <c r="E81" s="26">
        <v>1500000</v>
      </c>
      <c r="F81" s="27">
        <v>1469.0160000000001</v>
      </c>
      <c r="G81" s="28">
        <v>2.5599429999999999E-2</v>
      </c>
      <c r="H81" s="15">
        <v>6.58</v>
      </c>
    </row>
    <row r="82" spans="1:17" x14ac:dyDescent="0.2">
      <c r="A82" s="17"/>
      <c r="B82" s="17"/>
      <c r="C82" s="18" t="s">
        <v>11</v>
      </c>
      <c r="D82" s="17"/>
      <c r="E82" s="17" t="s">
        <v>12</v>
      </c>
      <c r="F82" s="23">
        <v>3929.9234999999999</v>
      </c>
      <c r="G82" s="20">
        <v>6.8483810000000006E-2</v>
      </c>
      <c r="H82" s="15" t="s">
        <v>12</v>
      </c>
    </row>
    <row r="83" spans="1:17" x14ac:dyDescent="0.2">
      <c r="A83" s="17"/>
      <c r="B83" s="17"/>
      <c r="C83" s="21"/>
      <c r="D83" s="17"/>
      <c r="E83" s="17"/>
      <c r="F83" s="22"/>
      <c r="G83" s="22"/>
      <c r="H83" s="15" t="s">
        <v>12</v>
      </c>
    </row>
    <row r="84" spans="1:17" x14ac:dyDescent="0.2">
      <c r="A84" s="17"/>
      <c r="B84" s="17"/>
      <c r="C84" s="18" t="s">
        <v>94</v>
      </c>
      <c r="D84" s="17"/>
      <c r="E84" s="17"/>
      <c r="F84" s="22"/>
      <c r="G84" s="22"/>
      <c r="H84" s="15" t="s">
        <v>12</v>
      </c>
    </row>
    <row r="85" spans="1:17" x14ac:dyDescent="0.2">
      <c r="A85" s="24">
        <v>1</v>
      </c>
      <c r="B85" s="25"/>
      <c r="C85" s="25" t="s">
        <v>95</v>
      </c>
      <c r="D85" s="25"/>
      <c r="E85" s="29"/>
      <c r="F85" s="27">
        <v>8400.0244750399997</v>
      </c>
      <c r="G85" s="28">
        <v>0.14638089000000001</v>
      </c>
      <c r="H85" s="15">
        <v>6.57</v>
      </c>
    </row>
    <row r="86" spans="1:17" x14ac:dyDescent="0.2">
      <c r="A86" s="17"/>
      <c r="B86" s="17"/>
      <c r="C86" s="18" t="s">
        <v>11</v>
      </c>
      <c r="D86" s="17"/>
      <c r="E86" s="17" t="s">
        <v>12</v>
      </c>
      <c r="F86" s="23">
        <v>8400.0244750399997</v>
      </c>
      <c r="G86" s="20">
        <v>0.14638089000000001</v>
      </c>
      <c r="H86" s="15" t="s">
        <v>12</v>
      </c>
    </row>
    <row r="87" spans="1:17" x14ac:dyDescent="0.2">
      <c r="A87" s="17"/>
      <c r="B87" s="17"/>
      <c r="C87" s="21"/>
      <c r="D87" s="17"/>
      <c r="E87" s="17"/>
      <c r="F87" s="22"/>
      <c r="G87" s="22"/>
      <c r="H87" s="15" t="s">
        <v>12</v>
      </c>
    </row>
    <row r="88" spans="1:17" x14ac:dyDescent="0.2">
      <c r="A88" s="17"/>
      <c r="B88" s="17"/>
      <c r="C88" s="18" t="s">
        <v>96</v>
      </c>
      <c r="D88" s="17"/>
      <c r="E88" s="17"/>
      <c r="F88" s="23">
        <v>59756.401975039997</v>
      </c>
      <c r="G88" s="20">
        <v>1.0413297699999999</v>
      </c>
      <c r="H88" s="15" t="s">
        <v>12</v>
      </c>
    </row>
    <row r="89" spans="1:17" x14ac:dyDescent="0.2">
      <c r="A89" s="17"/>
      <c r="B89" s="17"/>
      <c r="C89" s="22"/>
      <c r="D89" s="17"/>
      <c r="E89" s="17"/>
      <c r="F89" s="17"/>
      <c r="G89" s="17"/>
      <c r="H89" s="15" t="s">
        <v>12</v>
      </c>
    </row>
    <row r="90" spans="1:17" x14ac:dyDescent="0.2">
      <c r="A90" s="17"/>
      <c r="B90" s="17"/>
      <c r="C90" s="18" t="s">
        <v>97</v>
      </c>
      <c r="D90" s="17"/>
      <c r="E90" s="17"/>
      <c r="F90" s="17"/>
      <c r="G90" s="17"/>
      <c r="H90" s="15" t="s">
        <v>12</v>
      </c>
    </row>
    <row r="91" spans="1:17" x14ac:dyDescent="0.2">
      <c r="A91" s="17"/>
      <c r="B91" s="17"/>
      <c r="C91" s="18" t="s">
        <v>98</v>
      </c>
      <c r="D91" s="17"/>
      <c r="E91" s="17"/>
      <c r="F91" s="17"/>
      <c r="G91" s="17"/>
      <c r="H91" s="15" t="s">
        <v>12</v>
      </c>
    </row>
    <row r="92" spans="1:17" x14ac:dyDescent="0.2">
      <c r="A92" s="17"/>
      <c r="B92" s="17"/>
      <c r="C92" s="18" t="s">
        <v>11</v>
      </c>
      <c r="D92" s="17"/>
      <c r="E92" s="17" t="s">
        <v>12</v>
      </c>
      <c r="F92" s="19" t="s">
        <v>13</v>
      </c>
      <c r="G92" s="20">
        <v>0</v>
      </c>
      <c r="H92" s="15" t="s">
        <v>12</v>
      </c>
    </row>
    <row r="93" spans="1:17" x14ac:dyDescent="0.2">
      <c r="A93" s="30"/>
      <c r="B93" s="30"/>
      <c r="C93" s="31"/>
      <c r="D93" s="30"/>
      <c r="E93" s="30"/>
      <c r="F93" s="32"/>
      <c r="G93" s="32"/>
      <c r="H93" s="33" t="s">
        <v>12</v>
      </c>
    </row>
    <row r="94" spans="1:17" x14ac:dyDescent="0.2">
      <c r="A94" s="30"/>
      <c r="B94" s="30"/>
      <c r="C94" s="34" t="s">
        <v>563</v>
      </c>
      <c r="D94" s="30"/>
      <c r="E94" s="30"/>
      <c r="F94" s="32"/>
      <c r="G94" s="32"/>
      <c r="H94" s="35"/>
      <c r="K94" s="36"/>
      <c r="L94" s="36"/>
      <c r="M94" s="36"/>
      <c r="N94" s="36"/>
      <c r="O94" s="37"/>
      <c r="P94" s="37"/>
      <c r="Q94" s="37"/>
    </row>
    <row r="95" spans="1:17" ht="25.5" x14ac:dyDescent="0.2">
      <c r="A95" s="38">
        <v>1</v>
      </c>
      <c r="B95" s="39" t="s">
        <v>99</v>
      </c>
      <c r="C95" s="39" t="s">
        <v>100</v>
      </c>
      <c r="D95" s="39"/>
      <c r="E95" s="40">
        <v>1363.741</v>
      </c>
      <c r="F95" s="35">
        <v>148.792249177</v>
      </c>
      <c r="G95" s="41">
        <v>2.59289E-3</v>
      </c>
      <c r="H95" s="33"/>
    </row>
    <row r="96" spans="1:17" x14ac:dyDescent="0.2">
      <c r="A96" s="30"/>
      <c r="B96" s="30"/>
      <c r="C96" s="34" t="s">
        <v>11</v>
      </c>
      <c r="D96" s="30"/>
      <c r="E96" s="30" t="s">
        <v>12</v>
      </c>
      <c r="F96" s="42">
        <f>SUM(F95)</f>
        <v>148.792249177</v>
      </c>
      <c r="G96" s="43">
        <f>SUM(G95)</f>
        <v>2.59289E-3</v>
      </c>
      <c r="H96" s="33" t="s">
        <v>12</v>
      </c>
    </row>
    <row r="97" spans="1:8" x14ac:dyDescent="0.2">
      <c r="A97" s="17"/>
      <c r="B97" s="17"/>
      <c r="C97" s="21"/>
      <c r="D97" s="17"/>
      <c r="E97" s="17"/>
      <c r="F97" s="22"/>
      <c r="G97" s="22"/>
      <c r="H97" s="15" t="s">
        <v>12</v>
      </c>
    </row>
    <row r="98" spans="1:8" x14ac:dyDescent="0.2">
      <c r="A98" s="17"/>
      <c r="B98" s="17"/>
      <c r="C98" s="18" t="s">
        <v>101</v>
      </c>
      <c r="D98" s="17"/>
      <c r="E98" s="17"/>
      <c r="F98" s="17"/>
      <c r="G98" s="17"/>
      <c r="H98" s="15" t="s">
        <v>12</v>
      </c>
    </row>
    <row r="99" spans="1:8" x14ac:dyDescent="0.2">
      <c r="A99" s="17"/>
      <c r="B99" s="17"/>
      <c r="C99" s="18" t="s">
        <v>102</v>
      </c>
      <c r="D99" s="17"/>
      <c r="E99" s="17"/>
      <c r="F99" s="17"/>
      <c r="G99" s="17"/>
      <c r="H99" s="15" t="s">
        <v>12</v>
      </c>
    </row>
    <row r="100" spans="1:8" x14ac:dyDescent="0.2">
      <c r="A100" s="17"/>
      <c r="B100" s="17"/>
      <c r="C100" s="18" t="s">
        <v>11</v>
      </c>
      <c r="D100" s="17"/>
      <c r="E100" s="17" t="s">
        <v>12</v>
      </c>
      <c r="F100" s="19" t="s">
        <v>13</v>
      </c>
      <c r="G100" s="20">
        <v>0</v>
      </c>
      <c r="H100" s="15" t="s">
        <v>12</v>
      </c>
    </row>
    <row r="101" spans="1:8" x14ac:dyDescent="0.2">
      <c r="A101" s="17"/>
      <c r="B101" s="17"/>
      <c r="C101" s="21"/>
      <c r="D101" s="17"/>
      <c r="E101" s="17"/>
      <c r="F101" s="22"/>
      <c r="G101" s="22"/>
      <c r="H101" s="15" t="s">
        <v>12</v>
      </c>
    </row>
    <row r="102" spans="1:8" x14ac:dyDescent="0.2">
      <c r="A102" s="17"/>
      <c r="B102" s="17"/>
      <c r="C102" s="18" t="s">
        <v>103</v>
      </c>
      <c r="D102" s="17"/>
      <c r="E102" s="17"/>
      <c r="F102" s="22"/>
      <c r="G102" s="22"/>
      <c r="H102" s="15" t="s">
        <v>12</v>
      </c>
    </row>
    <row r="103" spans="1:8" x14ac:dyDescent="0.2">
      <c r="A103" s="17"/>
      <c r="B103" s="17"/>
      <c r="C103" s="18" t="s">
        <v>11</v>
      </c>
      <c r="D103" s="17"/>
      <c r="E103" s="17" t="s">
        <v>12</v>
      </c>
      <c r="F103" s="19" t="s">
        <v>13</v>
      </c>
      <c r="G103" s="20">
        <v>0</v>
      </c>
      <c r="H103" s="15" t="s">
        <v>12</v>
      </c>
    </row>
    <row r="104" spans="1:8" x14ac:dyDescent="0.2">
      <c r="A104" s="17"/>
      <c r="B104" s="17"/>
      <c r="C104" s="21"/>
      <c r="D104" s="17"/>
      <c r="E104" s="17"/>
      <c r="F104" s="22"/>
      <c r="G104" s="22"/>
      <c r="H104" s="15" t="s">
        <v>12</v>
      </c>
    </row>
    <row r="105" spans="1:8" x14ac:dyDescent="0.2">
      <c r="A105" s="29"/>
      <c r="B105" s="25"/>
      <c r="C105" s="25" t="s">
        <v>104</v>
      </c>
      <c r="D105" s="25"/>
      <c r="E105" s="29"/>
      <c r="F105" s="27">
        <v>-2520.4880538000002</v>
      </c>
      <c r="G105" s="28">
        <v>-4.3922650000000001E-2</v>
      </c>
      <c r="H105" s="15" t="s">
        <v>12</v>
      </c>
    </row>
    <row r="106" spans="1:8" x14ac:dyDescent="0.2">
      <c r="A106" s="21"/>
      <c r="B106" s="21"/>
      <c r="C106" s="18" t="s">
        <v>105</v>
      </c>
      <c r="D106" s="22"/>
      <c r="E106" s="22"/>
      <c r="F106" s="23">
        <v>57384.706170416997</v>
      </c>
      <c r="G106" s="44">
        <v>1.0000000099999999</v>
      </c>
      <c r="H106" s="15" t="s">
        <v>12</v>
      </c>
    </row>
    <row r="107" spans="1:8" x14ac:dyDescent="0.2">
      <c r="A107" s="45"/>
      <c r="B107" s="45"/>
      <c r="C107" s="45"/>
      <c r="D107" s="46"/>
      <c r="E107" s="46"/>
      <c r="F107" s="46"/>
      <c r="G107" s="46"/>
    </row>
    <row r="108" spans="1:8" x14ac:dyDescent="0.2">
      <c r="A108" s="47"/>
      <c r="B108" s="48" t="s">
        <v>564</v>
      </c>
      <c r="C108" s="48"/>
      <c r="D108" s="48"/>
      <c r="E108" s="48"/>
      <c r="F108" s="48"/>
      <c r="G108" s="48"/>
      <c r="H108" s="48"/>
    </row>
    <row r="109" spans="1:8" x14ac:dyDescent="0.2">
      <c r="A109" s="47"/>
      <c r="B109" s="48" t="s">
        <v>565</v>
      </c>
      <c r="C109" s="48"/>
      <c r="D109" s="48"/>
      <c r="E109" s="48"/>
      <c r="F109" s="48"/>
      <c r="G109" s="48"/>
      <c r="H109" s="48"/>
    </row>
    <row r="110" spans="1:8" x14ac:dyDescent="0.2">
      <c r="A110" s="47"/>
      <c r="B110" s="48" t="s">
        <v>566</v>
      </c>
      <c r="C110" s="48"/>
      <c r="D110" s="48"/>
      <c r="E110" s="48"/>
      <c r="F110" s="48"/>
      <c r="G110" s="48"/>
      <c r="H110" s="48"/>
    </row>
    <row r="111" spans="1:8" x14ac:dyDescent="0.2">
      <c r="A111" s="47"/>
      <c r="B111" s="94" t="s">
        <v>687</v>
      </c>
      <c r="C111" s="48"/>
      <c r="D111" s="48"/>
      <c r="E111" s="48"/>
      <c r="F111" s="48"/>
      <c r="G111" s="48"/>
      <c r="H111" s="48"/>
    </row>
    <row r="112" spans="1:8" x14ac:dyDescent="0.2">
      <c r="A112" s="49"/>
      <c r="B112" s="49"/>
      <c r="C112" s="49"/>
      <c r="D112" s="50"/>
      <c r="E112" s="50"/>
      <c r="F112" s="50"/>
      <c r="G112" s="50"/>
    </row>
    <row r="113" spans="1:8" x14ac:dyDescent="0.2">
      <c r="A113" s="49"/>
      <c r="B113" s="51" t="s">
        <v>106</v>
      </c>
      <c r="C113" s="52"/>
      <c r="D113" s="53"/>
      <c r="E113" s="54"/>
      <c r="F113" s="50"/>
      <c r="G113" s="50"/>
    </row>
    <row r="114" spans="1:8" x14ac:dyDescent="0.2">
      <c r="A114" s="49"/>
      <c r="B114" s="55" t="s">
        <v>107</v>
      </c>
      <c r="C114" s="56"/>
      <c r="D114" s="18" t="s">
        <v>108</v>
      </c>
      <c r="E114" s="54"/>
      <c r="F114" s="50"/>
      <c r="G114" s="50"/>
    </row>
    <row r="115" spans="1:8" x14ac:dyDescent="0.2">
      <c r="A115" s="49"/>
      <c r="B115" s="55" t="s">
        <v>109</v>
      </c>
      <c r="C115" s="56"/>
      <c r="D115" s="18" t="s">
        <v>108</v>
      </c>
      <c r="E115" s="54"/>
      <c r="F115" s="50"/>
      <c r="G115" s="50"/>
    </row>
    <row r="116" spans="1:8" x14ac:dyDescent="0.2">
      <c r="A116" s="49"/>
      <c r="B116" s="55" t="s">
        <v>110</v>
      </c>
      <c r="C116" s="56"/>
      <c r="D116" s="22" t="s">
        <v>12</v>
      </c>
      <c r="E116" s="54"/>
      <c r="F116" s="50"/>
      <c r="G116" s="50"/>
    </row>
    <row r="117" spans="1:8" x14ac:dyDescent="0.2">
      <c r="A117" s="57"/>
      <c r="B117" s="58" t="s">
        <v>12</v>
      </c>
      <c r="C117" s="58" t="s">
        <v>567</v>
      </c>
      <c r="D117" s="58" t="s">
        <v>111</v>
      </c>
      <c r="E117" s="57"/>
      <c r="F117" s="57"/>
      <c r="G117" s="57"/>
      <c r="H117" s="95"/>
    </row>
    <row r="118" spans="1:8" x14ac:dyDescent="0.2">
      <c r="A118" s="57"/>
      <c r="B118" s="59" t="s">
        <v>112</v>
      </c>
      <c r="C118" s="60">
        <v>45657</v>
      </c>
      <c r="D118" s="60">
        <v>45688</v>
      </c>
      <c r="E118" s="57"/>
      <c r="F118" s="57"/>
      <c r="G118" s="57"/>
    </row>
    <row r="119" spans="1:8" x14ac:dyDescent="0.2">
      <c r="A119" s="61"/>
      <c r="B119" s="25" t="s">
        <v>113</v>
      </c>
      <c r="C119" s="62">
        <v>14.5024</v>
      </c>
      <c r="D119" s="62">
        <v>14.589499999999999</v>
      </c>
      <c r="E119" s="61"/>
      <c r="F119" s="63"/>
      <c r="G119" s="64"/>
    </row>
    <row r="120" spans="1:8" ht="25.5" x14ac:dyDescent="0.2">
      <c r="A120" s="61"/>
      <c r="B120" s="25" t="s">
        <v>689</v>
      </c>
      <c r="C120" s="62">
        <v>11.181900000000001</v>
      </c>
      <c r="D120" s="62">
        <v>11.1828</v>
      </c>
      <c r="E120" s="61"/>
      <c r="F120" s="63"/>
      <c r="G120" s="64"/>
    </row>
    <row r="121" spans="1:8" ht="25.5" x14ac:dyDescent="0.2">
      <c r="A121" s="61"/>
      <c r="B121" s="25" t="s">
        <v>690</v>
      </c>
      <c r="C121" s="62">
        <v>12.479699999999999</v>
      </c>
      <c r="D121" s="62">
        <v>12.554500000000001</v>
      </c>
      <c r="E121" s="61"/>
      <c r="F121" s="63"/>
      <c r="G121" s="64"/>
    </row>
    <row r="122" spans="1:8" x14ac:dyDescent="0.2">
      <c r="A122" s="61"/>
      <c r="B122" s="25" t="s">
        <v>114</v>
      </c>
      <c r="C122" s="62">
        <v>14.4192</v>
      </c>
      <c r="D122" s="62">
        <v>14.5044</v>
      </c>
      <c r="E122" s="61"/>
      <c r="F122" s="63"/>
      <c r="G122" s="64"/>
    </row>
    <row r="123" spans="1:8" ht="25.5" x14ac:dyDescent="0.2">
      <c r="A123" s="61"/>
      <c r="B123" s="25" t="s">
        <v>693</v>
      </c>
      <c r="C123" s="62">
        <v>11.1608</v>
      </c>
      <c r="D123" s="62">
        <v>11.1617</v>
      </c>
      <c r="E123" s="61"/>
      <c r="F123" s="63"/>
      <c r="G123" s="64"/>
    </row>
    <row r="124" spans="1:8" ht="25.5" x14ac:dyDescent="0.2">
      <c r="A124" s="61"/>
      <c r="B124" s="25" t="s">
        <v>657</v>
      </c>
      <c r="C124" s="62">
        <v>12.4062</v>
      </c>
      <c r="D124" s="62">
        <v>12.4796</v>
      </c>
      <c r="E124" s="61"/>
      <c r="F124" s="63"/>
      <c r="G124" s="64"/>
    </row>
    <row r="125" spans="1:8" x14ac:dyDescent="0.2">
      <c r="A125" s="61"/>
      <c r="B125" s="61"/>
      <c r="C125" s="61"/>
      <c r="D125" s="61"/>
      <c r="E125" s="61"/>
      <c r="F125" s="61"/>
      <c r="G125" s="61"/>
    </row>
    <row r="126" spans="1:8" x14ac:dyDescent="0.2">
      <c r="A126" s="61"/>
      <c r="B126" s="55" t="s">
        <v>568</v>
      </c>
      <c r="C126" s="56"/>
      <c r="D126" s="18" t="s">
        <v>12</v>
      </c>
      <c r="E126" s="61"/>
      <c r="F126" s="61"/>
      <c r="G126" s="61"/>
    </row>
    <row r="127" spans="1:8" x14ac:dyDescent="0.2">
      <c r="A127" s="61"/>
      <c r="B127" s="65" t="s">
        <v>112</v>
      </c>
      <c r="C127" s="66" t="s">
        <v>115</v>
      </c>
      <c r="D127" s="66" t="s">
        <v>116</v>
      </c>
      <c r="E127" s="61"/>
      <c r="F127" s="61"/>
      <c r="G127" s="61"/>
    </row>
    <row r="128" spans="1:8" ht="25.5" x14ac:dyDescent="0.2">
      <c r="A128" s="61"/>
      <c r="B128" s="25" t="s">
        <v>689</v>
      </c>
      <c r="C128" s="67">
        <v>6.6199999999999995E-2</v>
      </c>
      <c r="D128" s="29" t="s">
        <v>117</v>
      </c>
      <c r="E128" s="61"/>
      <c r="F128" s="63"/>
      <c r="G128" s="64"/>
    </row>
    <row r="129" spans="1:14" ht="25.5" x14ac:dyDescent="0.2">
      <c r="A129" s="61"/>
      <c r="B129" s="25" t="s">
        <v>693</v>
      </c>
      <c r="C129" s="67">
        <v>6.4899999999999999E-2</v>
      </c>
      <c r="D129" s="29" t="s">
        <v>117</v>
      </c>
      <c r="E129" s="61"/>
      <c r="F129" s="63"/>
      <c r="G129" s="64"/>
    </row>
    <row r="130" spans="1:14" x14ac:dyDescent="0.2">
      <c r="A130" s="61"/>
      <c r="B130" s="89"/>
      <c r="C130" s="89"/>
      <c r="D130" s="90"/>
      <c r="E130" s="61"/>
      <c r="F130" s="63"/>
      <c r="G130" s="64"/>
    </row>
    <row r="131" spans="1:14" ht="29.25" customHeight="1" x14ac:dyDescent="0.2">
      <c r="A131" s="57"/>
      <c r="B131" s="69" t="s">
        <v>118</v>
      </c>
      <c r="C131" s="70"/>
      <c r="D131" s="34" t="s">
        <v>108</v>
      </c>
      <c r="E131" s="71"/>
      <c r="F131" s="57"/>
      <c r="G131" s="57"/>
    </row>
    <row r="132" spans="1:14" ht="25.5" customHeight="1" x14ac:dyDescent="0.2">
      <c r="A132" s="57"/>
      <c r="B132" s="69" t="s">
        <v>119</v>
      </c>
      <c r="C132" s="70"/>
      <c r="D132" s="34" t="s">
        <v>108</v>
      </c>
      <c r="E132" s="71"/>
      <c r="F132" s="57"/>
      <c r="G132" s="57"/>
    </row>
    <row r="133" spans="1:14" ht="26.25" customHeight="1" x14ac:dyDescent="0.2">
      <c r="A133" s="57"/>
      <c r="B133" s="69" t="s">
        <v>569</v>
      </c>
      <c r="C133" s="70"/>
      <c r="D133" s="34" t="s">
        <v>108</v>
      </c>
      <c r="E133" s="71"/>
      <c r="F133" s="57"/>
      <c r="G133" s="57"/>
    </row>
    <row r="134" spans="1:14" x14ac:dyDescent="0.2">
      <c r="A134" s="68"/>
      <c r="B134" s="68"/>
      <c r="C134" s="68"/>
      <c r="D134" s="68"/>
      <c r="E134" s="68"/>
      <c r="F134" s="68"/>
      <c r="G134" s="68"/>
    </row>
    <row r="135" spans="1:14" s="72" customFormat="1" x14ac:dyDescent="0.2">
      <c r="B135" s="73" t="s">
        <v>570</v>
      </c>
      <c r="C135" s="74"/>
      <c r="D135" s="75"/>
      <c r="I135" s="16"/>
      <c r="J135" s="36"/>
      <c r="K135" s="36"/>
      <c r="L135" s="36"/>
      <c r="M135" s="36"/>
      <c r="N135" s="85"/>
    </row>
    <row r="136" spans="1:14" s="72" customFormat="1" ht="51" x14ac:dyDescent="0.2">
      <c r="B136" s="96" t="s">
        <v>571</v>
      </c>
      <c r="C136" s="97"/>
      <c r="D136" s="77" t="s">
        <v>143</v>
      </c>
      <c r="I136" s="16"/>
      <c r="J136" s="36"/>
      <c r="K136" s="36"/>
      <c r="L136" s="36"/>
      <c r="M136" s="36"/>
      <c r="N136" s="85"/>
    </row>
    <row r="137" spans="1:14" s="72" customFormat="1" x14ac:dyDescent="0.2">
      <c r="B137" s="80" t="s">
        <v>572</v>
      </c>
      <c r="C137" s="81"/>
      <c r="D137" s="79"/>
      <c r="I137" s="16"/>
      <c r="J137" s="36"/>
      <c r="K137" s="36"/>
      <c r="L137" s="36"/>
      <c r="M137" s="36"/>
      <c r="N137" s="85"/>
    </row>
    <row r="138" spans="1:14" s="72" customFormat="1" x14ac:dyDescent="0.2">
      <c r="B138" s="80"/>
      <c r="C138" s="81"/>
      <c r="D138" s="82"/>
      <c r="I138" s="16"/>
      <c r="J138" s="36"/>
      <c r="K138" s="36"/>
      <c r="L138" s="36"/>
      <c r="M138" s="36"/>
      <c r="N138" s="85"/>
    </row>
    <row r="139" spans="1:14" s="72" customFormat="1" x14ac:dyDescent="0.2">
      <c r="B139" s="80" t="s">
        <v>573</v>
      </c>
      <c r="C139" s="98"/>
      <c r="D139" s="83">
        <v>7.420635839830882</v>
      </c>
      <c r="I139" s="16"/>
      <c r="J139" s="36"/>
      <c r="K139" s="36"/>
      <c r="L139" s="36"/>
      <c r="M139" s="36"/>
      <c r="N139" s="85"/>
    </row>
    <row r="140" spans="1:14" s="72" customFormat="1" x14ac:dyDescent="0.2">
      <c r="B140" s="80"/>
      <c r="C140" s="81"/>
      <c r="D140" s="82"/>
      <c r="I140" s="16"/>
      <c r="J140" s="36"/>
      <c r="K140" s="36"/>
      <c r="L140" s="36"/>
      <c r="M140" s="36"/>
      <c r="N140" s="85"/>
    </row>
    <row r="141" spans="1:14" s="72" customFormat="1" x14ac:dyDescent="0.2">
      <c r="B141" s="80" t="s">
        <v>574</v>
      </c>
      <c r="C141" s="98"/>
      <c r="D141" s="83">
        <v>0.40419655938141724</v>
      </c>
      <c r="I141" s="16"/>
      <c r="J141" s="36"/>
      <c r="K141" s="36"/>
      <c r="L141" s="36"/>
      <c r="M141" s="36"/>
      <c r="N141" s="85"/>
    </row>
    <row r="142" spans="1:14" s="72" customFormat="1" x14ac:dyDescent="0.2">
      <c r="B142" s="80" t="s">
        <v>575</v>
      </c>
      <c r="C142" s="98"/>
      <c r="D142" s="83">
        <v>0.40419655938141724</v>
      </c>
      <c r="I142" s="16"/>
      <c r="J142" s="36"/>
      <c r="K142" s="36"/>
      <c r="L142" s="36"/>
      <c r="M142" s="36"/>
      <c r="N142" s="85"/>
    </row>
    <row r="143" spans="1:14" s="72" customFormat="1" x14ac:dyDescent="0.2">
      <c r="B143" s="80"/>
      <c r="C143" s="81"/>
      <c r="D143" s="82"/>
      <c r="I143" s="16"/>
      <c r="J143" s="36"/>
      <c r="K143" s="36"/>
      <c r="L143" s="36"/>
      <c r="M143" s="36"/>
      <c r="N143" s="85"/>
    </row>
    <row r="144" spans="1:14" s="72" customFormat="1" x14ac:dyDescent="0.2">
      <c r="B144" s="78" t="s">
        <v>576</v>
      </c>
      <c r="C144" s="78"/>
      <c r="D144" s="84" t="s">
        <v>682</v>
      </c>
      <c r="I144" s="16"/>
      <c r="J144" s="36"/>
      <c r="K144" s="36"/>
      <c r="L144" s="36"/>
      <c r="M144" s="36"/>
      <c r="N144" s="85"/>
    </row>
    <row r="145" spans="2:16" s="72" customFormat="1" x14ac:dyDescent="0.2">
      <c r="B145" s="80" t="s">
        <v>577</v>
      </c>
      <c r="C145" s="86"/>
      <c r="D145" s="81"/>
      <c r="I145" s="16"/>
      <c r="J145" s="36"/>
      <c r="K145" s="36"/>
      <c r="L145" s="36"/>
      <c r="M145" s="36"/>
      <c r="N145" s="85"/>
      <c r="O145" s="16"/>
      <c r="P145" s="16"/>
    </row>
    <row r="147" spans="2:16" x14ac:dyDescent="0.2">
      <c r="B147" s="87" t="s">
        <v>578</v>
      </c>
    </row>
    <row r="149" spans="2:16" ht="153.75" customHeight="1" x14ac:dyDescent="0.2"/>
    <row r="152" spans="2:16" x14ac:dyDescent="0.2">
      <c r="B152" s="88" t="s">
        <v>579</v>
      </c>
      <c r="C152" s="10"/>
      <c r="D152" s="88" t="s">
        <v>580</v>
      </c>
    </row>
    <row r="153" spans="2:16" x14ac:dyDescent="0.2">
      <c r="B153" s="88" t="s">
        <v>589</v>
      </c>
      <c r="D153" s="88" t="s">
        <v>590</v>
      </c>
    </row>
    <row r="154" spans="2:16" ht="165" customHeight="1" x14ac:dyDescent="0.2"/>
    <row r="161" s="16" customFormat="1" x14ac:dyDescent="0.2"/>
    <row r="162" s="16" customFormat="1" x14ac:dyDescent="0.2"/>
  </sheetData>
  <mergeCells count="26">
    <mergeCell ref="B143:C143"/>
    <mergeCell ref="B144:C144"/>
    <mergeCell ref="B145:D145"/>
    <mergeCell ref="B138:C138"/>
    <mergeCell ref="B139:C139"/>
    <mergeCell ref="B140:C140"/>
    <mergeCell ref="B141:C141"/>
    <mergeCell ref="B142:C142"/>
    <mergeCell ref="B111:H111"/>
    <mergeCell ref="B135:D135"/>
    <mergeCell ref="B136:C136"/>
    <mergeCell ref="B137:C137"/>
    <mergeCell ref="A3:H3"/>
    <mergeCell ref="B131:C131"/>
    <mergeCell ref="B132:C132"/>
    <mergeCell ref="B133:C133"/>
    <mergeCell ref="B113:D113"/>
    <mergeCell ref="B114:C114"/>
    <mergeCell ref="B115:C115"/>
    <mergeCell ref="B116:C116"/>
    <mergeCell ref="B126:C126"/>
    <mergeCell ref="A2:H2"/>
    <mergeCell ref="A1:H1"/>
    <mergeCell ref="B108:H108"/>
    <mergeCell ref="B109:H109"/>
    <mergeCell ref="B110:H110"/>
  </mergeCells>
  <hyperlinks>
    <hyperlink ref="I1" location="Index!B2" display="Index" xr:uid="{325CD8E9-ABBF-4288-A05F-9942A5095D6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E708-78A5-4F8F-9607-D4E8AF4D6EC8}">
  <sheetPr>
    <outlinePr summaryBelow="0" summaryRight="0"/>
  </sheetPr>
  <dimension ref="A1:T200"/>
  <sheetViews>
    <sheetView showGridLines="0" workbookViewId="0">
      <selection sqref="A1:H1"/>
    </sheetView>
  </sheetViews>
  <sheetFormatPr defaultRowHeight="12.75" x14ac:dyDescent="0.2"/>
  <cols>
    <col min="1" max="1" width="5.85546875" style="16" bestFit="1" customWidth="1"/>
    <col min="2" max="2" width="21.7109375" style="16" customWidth="1"/>
    <col min="3" max="3" width="39.140625" style="16" bestFit="1" customWidth="1"/>
    <col min="4" max="4" width="10.7109375" style="16" bestFit="1" customWidth="1"/>
    <col min="5" max="5" width="9.4257812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212</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547</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ht="25.5" x14ac:dyDescent="0.2">
      <c r="A28" s="24">
        <v>1</v>
      </c>
      <c r="B28" s="25" t="s">
        <v>213</v>
      </c>
      <c r="C28" s="25" t="s">
        <v>214</v>
      </c>
      <c r="D28" s="25" t="s">
        <v>23</v>
      </c>
      <c r="E28" s="26">
        <v>250</v>
      </c>
      <c r="F28" s="27">
        <v>2493.5675000000001</v>
      </c>
      <c r="G28" s="28">
        <v>6.5943619999999994E-2</v>
      </c>
      <c r="H28" s="15">
        <v>7.66</v>
      </c>
    </row>
    <row r="29" spans="1:8" x14ac:dyDescent="0.2">
      <c r="A29" s="24">
        <v>2</v>
      </c>
      <c r="B29" s="25" t="s">
        <v>215</v>
      </c>
      <c r="C29" s="25" t="s">
        <v>216</v>
      </c>
      <c r="D29" s="25" t="s">
        <v>217</v>
      </c>
      <c r="E29" s="26">
        <v>2000</v>
      </c>
      <c r="F29" s="27">
        <v>1999.894</v>
      </c>
      <c r="G29" s="28">
        <v>5.288818E-2</v>
      </c>
      <c r="H29" s="15">
        <v>7.6325000000000003</v>
      </c>
    </row>
    <row r="30" spans="1:8" x14ac:dyDescent="0.2">
      <c r="A30" s="24">
        <v>3</v>
      </c>
      <c r="B30" s="25" t="s">
        <v>218</v>
      </c>
      <c r="C30" s="25" t="s">
        <v>219</v>
      </c>
      <c r="D30" s="25" t="s">
        <v>220</v>
      </c>
      <c r="E30" s="26">
        <v>1500</v>
      </c>
      <c r="F30" s="27">
        <v>1509.0554999999999</v>
      </c>
      <c r="G30" s="28">
        <v>3.9907720000000001E-2</v>
      </c>
      <c r="H30" s="15">
        <v>7.9749999999999996</v>
      </c>
    </row>
    <row r="31" spans="1:8" x14ac:dyDescent="0.2">
      <c r="A31" s="24">
        <v>4</v>
      </c>
      <c r="B31" s="25" t="s">
        <v>221</v>
      </c>
      <c r="C31" s="25" t="s">
        <v>222</v>
      </c>
      <c r="D31" s="25" t="s">
        <v>223</v>
      </c>
      <c r="E31" s="26">
        <v>1500</v>
      </c>
      <c r="F31" s="27">
        <v>1502.9925000000001</v>
      </c>
      <c r="G31" s="28">
        <v>3.9747379999999999E-2</v>
      </c>
      <c r="H31" s="15">
        <v>8.9600000000000009</v>
      </c>
    </row>
    <row r="32" spans="1:8" x14ac:dyDescent="0.2">
      <c r="A32" s="24">
        <v>5</v>
      </c>
      <c r="B32" s="25" t="s">
        <v>224</v>
      </c>
      <c r="C32" s="25" t="s">
        <v>225</v>
      </c>
      <c r="D32" s="25" t="s">
        <v>23</v>
      </c>
      <c r="E32" s="26">
        <v>1500</v>
      </c>
      <c r="F32" s="27">
        <v>1497.7349999999999</v>
      </c>
      <c r="G32" s="28">
        <v>3.9608339999999999E-2</v>
      </c>
      <c r="H32" s="15">
        <v>7.625</v>
      </c>
    </row>
    <row r="33" spans="1:8" ht="25.5" x14ac:dyDescent="0.2">
      <c r="A33" s="24">
        <v>6</v>
      </c>
      <c r="B33" s="25" t="s">
        <v>226</v>
      </c>
      <c r="C33" s="25" t="s">
        <v>227</v>
      </c>
      <c r="D33" s="25" t="s">
        <v>23</v>
      </c>
      <c r="E33" s="26">
        <v>140</v>
      </c>
      <c r="F33" s="27">
        <v>1381.9469999999999</v>
      </c>
      <c r="G33" s="28">
        <v>3.6546269999999999E-2</v>
      </c>
      <c r="H33" s="15">
        <v>7.82</v>
      </c>
    </row>
    <row r="34" spans="1:8" x14ac:dyDescent="0.2">
      <c r="A34" s="24">
        <v>7</v>
      </c>
      <c r="B34" s="25" t="s">
        <v>228</v>
      </c>
      <c r="C34" s="25" t="s">
        <v>229</v>
      </c>
      <c r="D34" s="25" t="s">
        <v>223</v>
      </c>
      <c r="E34" s="26">
        <v>1200</v>
      </c>
      <c r="F34" s="27">
        <v>1203.6600000000001</v>
      </c>
      <c r="G34" s="28">
        <v>3.1831379999999999E-2</v>
      </c>
      <c r="H34" s="15">
        <v>8.39</v>
      </c>
    </row>
    <row r="35" spans="1:8" ht="25.5" x14ac:dyDescent="0.2">
      <c r="A35" s="24">
        <v>8</v>
      </c>
      <c r="B35" s="25" t="s">
        <v>67</v>
      </c>
      <c r="C35" s="25" t="s">
        <v>68</v>
      </c>
      <c r="D35" s="25" t="s">
        <v>23</v>
      </c>
      <c r="E35" s="26">
        <v>1000</v>
      </c>
      <c r="F35" s="27">
        <v>1003.97</v>
      </c>
      <c r="G35" s="28">
        <v>2.6550480000000001E-2</v>
      </c>
      <c r="H35" s="15">
        <v>7.51</v>
      </c>
    </row>
    <row r="36" spans="1:8" ht="25.5" x14ac:dyDescent="0.2">
      <c r="A36" s="24">
        <v>9</v>
      </c>
      <c r="B36" s="25" t="s">
        <v>230</v>
      </c>
      <c r="C36" s="25" t="s">
        <v>231</v>
      </c>
      <c r="D36" s="25" t="s">
        <v>220</v>
      </c>
      <c r="E36" s="26">
        <v>1000</v>
      </c>
      <c r="F36" s="27">
        <v>1000.282</v>
      </c>
      <c r="G36" s="28">
        <v>2.6452949999999999E-2</v>
      </c>
      <c r="H36" s="15">
        <v>8.1300000000000008</v>
      </c>
    </row>
    <row r="37" spans="1:8" x14ac:dyDescent="0.2">
      <c r="A37" s="24">
        <v>10</v>
      </c>
      <c r="B37" s="25" t="s">
        <v>232</v>
      </c>
      <c r="C37" s="25" t="s">
        <v>233</v>
      </c>
      <c r="D37" s="25" t="s">
        <v>23</v>
      </c>
      <c r="E37" s="26">
        <v>1000</v>
      </c>
      <c r="F37" s="27">
        <v>999.51400000000001</v>
      </c>
      <c r="G37" s="28">
        <v>2.643264E-2</v>
      </c>
      <c r="H37" s="15">
        <v>7.625</v>
      </c>
    </row>
    <row r="38" spans="1:8" ht="25.5" x14ac:dyDescent="0.2">
      <c r="A38" s="24">
        <v>11</v>
      </c>
      <c r="B38" s="25" t="s">
        <v>234</v>
      </c>
      <c r="C38" s="25" t="s">
        <v>235</v>
      </c>
      <c r="D38" s="25" t="s">
        <v>236</v>
      </c>
      <c r="E38" s="26">
        <v>1000</v>
      </c>
      <c r="F38" s="27">
        <v>998.35799999999995</v>
      </c>
      <c r="G38" s="28">
        <v>2.640207E-2</v>
      </c>
      <c r="H38" s="15">
        <v>9.3450000000000006</v>
      </c>
    </row>
    <row r="39" spans="1:8" x14ac:dyDescent="0.2">
      <c r="A39" s="24">
        <v>12</v>
      </c>
      <c r="B39" s="25" t="s">
        <v>237</v>
      </c>
      <c r="C39" s="25" t="s">
        <v>238</v>
      </c>
      <c r="D39" s="25" t="s">
        <v>223</v>
      </c>
      <c r="E39" s="26">
        <v>100</v>
      </c>
      <c r="F39" s="27">
        <v>997.846</v>
      </c>
      <c r="G39" s="28">
        <v>2.638853E-2</v>
      </c>
      <c r="H39" s="15">
        <v>8.5</v>
      </c>
    </row>
    <row r="40" spans="1:8" ht="25.5" x14ac:dyDescent="0.2">
      <c r="A40" s="24">
        <v>13</v>
      </c>
      <c r="B40" s="25" t="s">
        <v>239</v>
      </c>
      <c r="C40" s="25" t="s">
        <v>240</v>
      </c>
      <c r="D40" s="25" t="s">
        <v>23</v>
      </c>
      <c r="E40" s="26">
        <v>100</v>
      </c>
      <c r="F40" s="27">
        <v>996.70899999999995</v>
      </c>
      <c r="G40" s="28">
        <v>2.635846E-2</v>
      </c>
      <c r="H40" s="15">
        <v>7.8</v>
      </c>
    </row>
    <row r="41" spans="1:8" ht="25.5" x14ac:dyDescent="0.2">
      <c r="A41" s="24">
        <v>14</v>
      </c>
      <c r="B41" s="25" t="s">
        <v>63</v>
      </c>
      <c r="C41" s="25" t="s">
        <v>64</v>
      </c>
      <c r="D41" s="25" t="s">
        <v>23</v>
      </c>
      <c r="E41" s="26">
        <v>1000</v>
      </c>
      <c r="F41" s="27">
        <v>996.31899999999996</v>
      </c>
      <c r="G41" s="28">
        <v>2.6348150000000001E-2</v>
      </c>
      <c r="H41" s="15">
        <v>7.64</v>
      </c>
    </row>
    <row r="42" spans="1:8" ht="25.5" x14ac:dyDescent="0.2">
      <c r="A42" s="24">
        <v>15</v>
      </c>
      <c r="B42" s="25" t="s">
        <v>43</v>
      </c>
      <c r="C42" s="25" t="s">
        <v>44</v>
      </c>
      <c r="D42" s="25" t="s">
        <v>23</v>
      </c>
      <c r="E42" s="26">
        <v>1000</v>
      </c>
      <c r="F42" s="27">
        <v>995.8</v>
      </c>
      <c r="G42" s="28">
        <v>2.6334420000000001E-2</v>
      </c>
      <c r="H42" s="15">
        <v>7.5122999999999998</v>
      </c>
    </row>
    <row r="43" spans="1:8" x14ac:dyDescent="0.2">
      <c r="A43" s="24">
        <v>16</v>
      </c>
      <c r="B43" s="25" t="s">
        <v>241</v>
      </c>
      <c r="C43" s="25" t="s">
        <v>242</v>
      </c>
      <c r="D43" s="25" t="s">
        <v>223</v>
      </c>
      <c r="E43" s="26">
        <v>900</v>
      </c>
      <c r="F43" s="27">
        <v>901.71360000000004</v>
      </c>
      <c r="G43" s="28">
        <v>2.3846260000000001E-2</v>
      </c>
      <c r="H43" s="15">
        <v>8.17</v>
      </c>
    </row>
    <row r="44" spans="1:8" x14ac:dyDescent="0.2">
      <c r="A44" s="24">
        <v>17</v>
      </c>
      <c r="B44" s="25" t="s">
        <v>243</v>
      </c>
      <c r="C44" s="25" t="s">
        <v>244</v>
      </c>
      <c r="D44" s="25" t="s">
        <v>223</v>
      </c>
      <c r="E44" s="26">
        <v>500</v>
      </c>
      <c r="F44" s="27">
        <v>502.45650000000001</v>
      </c>
      <c r="G44" s="28">
        <v>1.3287709999999999E-2</v>
      </c>
      <c r="H44" s="15">
        <v>8.5541</v>
      </c>
    </row>
    <row r="45" spans="1:8" x14ac:dyDescent="0.2">
      <c r="A45" s="24">
        <v>18</v>
      </c>
      <c r="B45" s="25" t="s">
        <v>55</v>
      </c>
      <c r="C45" s="25" t="s">
        <v>56</v>
      </c>
      <c r="D45" s="25" t="s">
        <v>23</v>
      </c>
      <c r="E45" s="26">
        <v>500</v>
      </c>
      <c r="F45" s="27">
        <v>500.92500000000001</v>
      </c>
      <c r="G45" s="28">
        <v>1.3247210000000001E-2</v>
      </c>
      <c r="H45" s="15">
        <v>7.6050000000000004</v>
      </c>
    </row>
    <row r="46" spans="1:8" x14ac:dyDescent="0.2">
      <c r="A46" s="24">
        <v>19</v>
      </c>
      <c r="B46" s="25" t="s">
        <v>245</v>
      </c>
      <c r="C46" s="25" t="s">
        <v>246</v>
      </c>
      <c r="D46" s="25" t="s">
        <v>36</v>
      </c>
      <c r="E46" s="26">
        <v>500</v>
      </c>
      <c r="F46" s="27">
        <v>500.57549999999998</v>
      </c>
      <c r="G46" s="28">
        <v>1.323797E-2</v>
      </c>
      <c r="H46" s="15">
        <v>7.48</v>
      </c>
    </row>
    <row r="47" spans="1:8" ht="25.5" x14ac:dyDescent="0.2">
      <c r="A47" s="24">
        <v>20</v>
      </c>
      <c r="B47" s="25" t="s">
        <v>247</v>
      </c>
      <c r="C47" s="25" t="s">
        <v>248</v>
      </c>
      <c r="D47" s="25" t="s">
        <v>249</v>
      </c>
      <c r="E47" s="26">
        <v>50</v>
      </c>
      <c r="F47" s="27">
        <v>500.49349999999998</v>
      </c>
      <c r="G47" s="28">
        <v>1.3235800000000001E-2</v>
      </c>
      <c r="H47" s="15">
        <v>8.1827000000000005</v>
      </c>
    </row>
    <row r="48" spans="1:8" ht="25.5" x14ac:dyDescent="0.2">
      <c r="A48" s="24">
        <v>21</v>
      </c>
      <c r="B48" s="25" t="s">
        <v>61</v>
      </c>
      <c r="C48" s="25" t="s">
        <v>62</v>
      </c>
      <c r="D48" s="25" t="s">
        <v>23</v>
      </c>
      <c r="E48" s="26">
        <v>500</v>
      </c>
      <c r="F48" s="27">
        <v>499.66849999999999</v>
      </c>
      <c r="G48" s="28">
        <v>1.321398E-2</v>
      </c>
      <c r="H48" s="15">
        <v>8.2100000000000009</v>
      </c>
    </row>
    <row r="49" spans="1:8" x14ac:dyDescent="0.2">
      <c r="A49" s="24">
        <v>22</v>
      </c>
      <c r="B49" s="25" t="s">
        <v>250</v>
      </c>
      <c r="C49" s="25" t="s">
        <v>251</v>
      </c>
      <c r="D49" s="25" t="s">
        <v>223</v>
      </c>
      <c r="E49" s="26">
        <v>250</v>
      </c>
      <c r="F49" s="27">
        <v>249.83875</v>
      </c>
      <c r="G49" s="28">
        <v>6.6071100000000002E-3</v>
      </c>
      <c r="H49" s="15">
        <v>8.6750000000000007</v>
      </c>
    </row>
    <row r="50" spans="1:8" x14ac:dyDescent="0.2">
      <c r="A50" s="17"/>
      <c r="B50" s="17"/>
      <c r="C50" s="18" t="s">
        <v>11</v>
      </c>
      <c r="D50" s="17"/>
      <c r="E50" s="17" t="s">
        <v>12</v>
      </c>
      <c r="F50" s="23">
        <v>23233.32085</v>
      </c>
      <c r="G50" s="20">
        <v>0.61441663000000002</v>
      </c>
      <c r="H50" s="15" t="s">
        <v>12</v>
      </c>
    </row>
    <row r="51" spans="1:8" x14ac:dyDescent="0.2">
      <c r="A51" s="17"/>
      <c r="B51" s="17"/>
      <c r="C51" s="21"/>
      <c r="D51" s="17"/>
      <c r="E51" s="17"/>
      <c r="F51" s="22"/>
      <c r="G51" s="22"/>
      <c r="H51" s="15" t="s">
        <v>12</v>
      </c>
    </row>
    <row r="52" spans="1:8" x14ac:dyDescent="0.2">
      <c r="A52" s="17"/>
      <c r="B52" s="17"/>
      <c r="C52" s="18" t="s">
        <v>71</v>
      </c>
      <c r="D52" s="17"/>
      <c r="E52" s="17"/>
      <c r="F52" s="17"/>
      <c r="G52" s="17"/>
      <c r="H52" s="15" t="s">
        <v>12</v>
      </c>
    </row>
    <row r="53" spans="1:8" x14ac:dyDescent="0.2">
      <c r="A53" s="17"/>
      <c r="B53" s="17"/>
      <c r="C53" s="18" t="s">
        <v>11</v>
      </c>
      <c r="D53" s="17"/>
      <c r="E53" s="17" t="s">
        <v>12</v>
      </c>
      <c r="F53" s="19" t="s">
        <v>13</v>
      </c>
      <c r="G53" s="20">
        <v>0</v>
      </c>
      <c r="H53" s="15" t="s">
        <v>12</v>
      </c>
    </row>
    <row r="54" spans="1:8" x14ac:dyDescent="0.2">
      <c r="A54" s="17"/>
      <c r="B54" s="17"/>
      <c r="C54" s="21"/>
      <c r="D54" s="17"/>
      <c r="E54" s="17"/>
      <c r="F54" s="22"/>
      <c r="G54" s="22"/>
      <c r="H54" s="15" t="s">
        <v>12</v>
      </c>
    </row>
    <row r="55" spans="1:8" x14ac:dyDescent="0.2">
      <c r="A55" s="17"/>
      <c r="B55" s="17"/>
      <c r="C55" s="18" t="s">
        <v>72</v>
      </c>
      <c r="D55" s="17"/>
      <c r="E55" s="17"/>
      <c r="F55" s="17"/>
      <c r="G55" s="17"/>
      <c r="H55" s="15" t="s">
        <v>12</v>
      </c>
    </row>
    <row r="56" spans="1:8" ht="25.5" x14ac:dyDescent="0.2">
      <c r="A56" s="24">
        <v>1</v>
      </c>
      <c r="B56" s="25" t="s">
        <v>252</v>
      </c>
      <c r="C56" s="25" t="s">
        <v>253</v>
      </c>
      <c r="D56" s="25" t="s">
        <v>75</v>
      </c>
      <c r="E56" s="26">
        <v>1000000</v>
      </c>
      <c r="F56" s="27">
        <v>1016.801</v>
      </c>
      <c r="G56" s="28">
        <v>2.6889799999999998E-2</v>
      </c>
      <c r="H56" s="15">
        <v>6.7115999999999998</v>
      </c>
    </row>
    <row r="57" spans="1:8" x14ac:dyDescent="0.2">
      <c r="A57" s="24">
        <v>2</v>
      </c>
      <c r="B57" s="25" t="s">
        <v>76</v>
      </c>
      <c r="C57" s="25" t="s">
        <v>77</v>
      </c>
      <c r="D57" s="25" t="s">
        <v>75</v>
      </c>
      <c r="E57" s="26">
        <v>500000</v>
      </c>
      <c r="F57" s="27">
        <v>515.18899999999996</v>
      </c>
      <c r="G57" s="28">
        <v>1.362443E-2</v>
      </c>
      <c r="H57" s="15">
        <v>6.7865000000000002</v>
      </c>
    </row>
    <row r="58" spans="1:8" ht="25.5" x14ac:dyDescent="0.2">
      <c r="A58" s="24">
        <v>3</v>
      </c>
      <c r="B58" s="25" t="s">
        <v>254</v>
      </c>
      <c r="C58" s="25" t="s">
        <v>255</v>
      </c>
      <c r="D58" s="25" t="s">
        <v>75</v>
      </c>
      <c r="E58" s="26">
        <v>400000</v>
      </c>
      <c r="F58" s="27">
        <v>406.10399999999998</v>
      </c>
      <c r="G58" s="28">
        <v>1.073962E-2</v>
      </c>
      <c r="H58" s="15">
        <v>6.7359999999999998</v>
      </c>
    </row>
    <row r="59" spans="1:8" x14ac:dyDescent="0.2">
      <c r="A59" s="17"/>
      <c r="B59" s="17"/>
      <c r="C59" s="18" t="s">
        <v>11</v>
      </c>
      <c r="D59" s="17"/>
      <c r="E59" s="17" t="s">
        <v>12</v>
      </c>
      <c r="F59" s="23">
        <v>1938.0940000000001</v>
      </c>
      <c r="G59" s="20">
        <v>5.1253849999999997E-2</v>
      </c>
      <c r="H59" s="15" t="s">
        <v>12</v>
      </c>
    </row>
    <row r="60" spans="1:8" x14ac:dyDescent="0.2">
      <c r="A60" s="17"/>
      <c r="B60" s="17"/>
      <c r="C60" s="21"/>
      <c r="D60" s="17"/>
      <c r="E60" s="17"/>
      <c r="F60" s="22"/>
      <c r="G60" s="22"/>
      <c r="H60" s="15" t="s">
        <v>12</v>
      </c>
    </row>
    <row r="61" spans="1:8" x14ac:dyDescent="0.2">
      <c r="A61" s="17"/>
      <c r="B61" s="17"/>
      <c r="C61" s="18" t="s">
        <v>88</v>
      </c>
      <c r="D61" s="17"/>
      <c r="E61" s="17"/>
      <c r="F61" s="22"/>
      <c r="G61" s="22"/>
      <c r="H61" s="15" t="s">
        <v>12</v>
      </c>
    </row>
    <row r="62" spans="1:8" x14ac:dyDescent="0.2">
      <c r="A62" s="17"/>
      <c r="B62" s="17"/>
      <c r="C62" s="18" t="s">
        <v>11</v>
      </c>
      <c r="D62" s="17"/>
      <c r="E62" s="17" t="s">
        <v>12</v>
      </c>
      <c r="F62" s="19" t="s">
        <v>13</v>
      </c>
      <c r="G62" s="20">
        <v>0</v>
      </c>
      <c r="H62" s="15" t="s">
        <v>12</v>
      </c>
    </row>
    <row r="63" spans="1:8" x14ac:dyDescent="0.2">
      <c r="A63" s="17"/>
      <c r="B63" s="17"/>
      <c r="C63" s="21"/>
      <c r="D63" s="17"/>
      <c r="E63" s="17"/>
      <c r="F63" s="22"/>
      <c r="G63" s="22"/>
      <c r="H63" s="15" t="s">
        <v>12</v>
      </c>
    </row>
    <row r="64" spans="1:8" x14ac:dyDescent="0.2">
      <c r="A64" s="17"/>
      <c r="B64" s="17"/>
      <c r="C64" s="18" t="s">
        <v>89</v>
      </c>
      <c r="D64" s="17"/>
      <c r="E64" s="17"/>
      <c r="F64" s="23">
        <v>25171.414850000001</v>
      </c>
      <c r="G64" s="20">
        <v>0.66567047999999995</v>
      </c>
      <c r="H64" s="15" t="s">
        <v>12</v>
      </c>
    </row>
    <row r="65" spans="1:8" x14ac:dyDescent="0.2">
      <c r="A65" s="17"/>
      <c r="B65" s="17"/>
      <c r="C65" s="21"/>
      <c r="D65" s="17"/>
      <c r="E65" s="17"/>
      <c r="F65" s="22"/>
      <c r="G65" s="22"/>
      <c r="H65" s="15" t="s">
        <v>12</v>
      </c>
    </row>
    <row r="66" spans="1:8" x14ac:dyDescent="0.2">
      <c r="A66" s="17"/>
      <c r="B66" s="17"/>
      <c r="C66" s="18" t="s">
        <v>90</v>
      </c>
      <c r="D66" s="17"/>
      <c r="E66" s="17"/>
      <c r="F66" s="22"/>
      <c r="G66" s="22"/>
      <c r="H66" s="15" t="s">
        <v>12</v>
      </c>
    </row>
    <row r="67" spans="1:8" x14ac:dyDescent="0.2">
      <c r="A67" s="17"/>
      <c r="B67" s="17"/>
      <c r="C67" s="18" t="s">
        <v>91</v>
      </c>
      <c r="D67" s="17"/>
      <c r="E67" s="17"/>
      <c r="F67" s="22"/>
      <c r="G67" s="22"/>
      <c r="H67" s="15" t="s">
        <v>12</v>
      </c>
    </row>
    <row r="68" spans="1:8" x14ac:dyDescent="0.2">
      <c r="A68" s="24">
        <v>1</v>
      </c>
      <c r="B68" s="25" t="s">
        <v>256</v>
      </c>
      <c r="C68" s="25" t="s">
        <v>257</v>
      </c>
      <c r="D68" s="25" t="s">
        <v>152</v>
      </c>
      <c r="E68" s="26">
        <v>500</v>
      </c>
      <c r="F68" s="27">
        <v>2374.5250000000001</v>
      </c>
      <c r="G68" s="28">
        <v>6.2795480000000001E-2</v>
      </c>
      <c r="H68" s="15">
        <v>7.97</v>
      </c>
    </row>
    <row r="69" spans="1:8" x14ac:dyDescent="0.2">
      <c r="A69" s="24">
        <v>2</v>
      </c>
      <c r="B69" s="25" t="s">
        <v>178</v>
      </c>
      <c r="C69" s="25" t="s">
        <v>179</v>
      </c>
      <c r="D69" s="25" t="s">
        <v>152</v>
      </c>
      <c r="E69" s="26">
        <v>300</v>
      </c>
      <c r="F69" s="27">
        <v>1412.5215000000001</v>
      </c>
      <c r="G69" s="28">
        <v>3.7354829999999999E-2</v>
      </c>
      <c r="H69" s="15">
        <v>7.7149999999999999</v>
      </c>
    </row>
    <row r="70" spans="1:8" x14ac:dyDescent="0.2">
      <c r="A70" s="24">
        <v>3</v>
      </c>
      <c r="B70" s="25" t="s">
        <v>166</v>
      </c>
      <c r="C70" s="25" t="s">
        <v>167</v>
      </c>
      <c r="D70" s="25" t="s">
        <v>152</v>
      </c>
      <c r="E70" s="26">
        <v>200</v>
      </c>
      <c r="F70" s="27">
        <v>990.73800000000006</v>
      </c>
      <c r="G70" s="28">
        <v>2.620055E-2</v>
      </c>
      <c r="H70" s="15">
        <v>7.2599</v>
      </c>
    </row>
    <row r="71" spans="1:8" x14ac:dyDescent="0.2">
      <c r="A71" s="24">
        <v>4</v>
      </c>
      <c r="B71" s="25" t="s">
        <v>170</v>
      </c>
      <c r="C71" s="25" t="s">
        <v>171</v>
      </c>
      <c r="D71" s="25" t="s">
        <v>152</v>
      </c>
      <c r="E71" s="26">
        <v>200</v>
      </c>
      <c r="F71" s="27">
        <v>977.43899999999996</v>
      </c>
      <c r="G71" s="28">
        <v>2.5848860000000001E-2</v>
      </c>
      <c r="H71" s="15">
        <v>7.5900999999999996</v>
      </c>
    </row>
    <row r="72" spans="1:8" x14ac:dyDescent="0.2">
      <c r="A72" s="24">
        <v>5</v>
      </c>
      <c r="B72" s="25" t="s">
        <v>258</v>
      </c>
      <c r="C72" s="25" t="s">
        <v>259</v>
      </c>
      <c r="D72" s="25" t="s">
        <v>152</v>
      </c>
      <c r="E72" s="26">
        <v>200</v>
      </c>
      <c r="F72" s="27">
        <v>940.23299999999995</v>
      </c>
      <c r="G72" s="28">
        <v>2.4864919999999999E-2</v>
      </c>
      <c r="H72" s="15">
        <v>7.5823</v>
      </c>
    </row>
    <row r="73" spans="1:8" x14ac:dyDescent="0.2">
      <c r="A73" s="17"/>
      <c r="B73" s="17"/>
      <c r="C73" s="18" t="s">
        <v>11</v>
      </c>
      <c r="D73" s="17"/>
      <c r="E73" s="17" t="s">
        <v>12</v>
      </c>
      <c r="F73" s="23">
        <v>6695.4565000000002</v>
      </c>
      <c r="G73" s="20">
        <v>0.17706464</v>
      </c>
      <c r="H73" s="15" t="s">
        <v>12</v>
      </c>
    </row>
    <row r="74" spans="1:8" x14ac:dyDescent="0.2">
      <c r="A74" s="17"/>
      <c r="B74" s="17"/>
      <c r="C74" s="21"/>
      <c r="D74" s="17"/>
      <c r="E74" s="17"/>
      <c r="F74" s="22"/>
      <c r="G74" s="22"/>
      <c r="H74" s="15" t="s">
        <v>12</v>
      </c>
    </row>
    <row r="75" spans="1:8" x14ac:dyDescent="0.2">
      <c r="A75" s="17"/>
      <c r="B75" s="17"/>
      <c r="C75" s="18" t="s">
        <v>92</v>
      </c>
      <c r="D75" s="17"/>
      <c r="E75" s="17"/>
      <c r="F75" s="22"/>
      <c r="G75" s="22"/>
      <c r="H75" s="15" t="s">
        <v>12</v>
      </c>
    </row>
    <row r="76" spans="1:8" ht="25.5" x14ac:dyDescent="0.2">
      <c r="A76" s="24">
        <v>1</v>
      </c>
      <c r="B76" s="25" t="s">
        <v>196</v>
      </c>
      <c r="C76" s="25" t="s">
        <v>197</v>
      </c>
      <c r="D76" s="25" t="s">
        <v>152</v>
      </c>
      <c r="E76" s="26">
        <v>200</v>
      </c>
      <c r="F76" s="27">
        <v>970.22500000000002</v>
      </c>
      <c r="G76" s="28">
        <v>2.565808E-2</v>
      </c>
      <c r="H76" s="15">
        <v>8.2363</v>
      </c>
    </row>
    <row r="77" spans="1:8" x14ac:dyDescent="0.2">
      <c r="A77" s="17"/>
      <c r="B77" s="17"/>
      <c r="C77" s="18" t="s">
        <v>11</v>
      </c>
      <c r="D77" s="17"/>
      <c r="E77" s="17" t="s">
        <v>12</v>
      </c>
      <c r="F77" s="23">
        <v>970.22500000000002</v>
      </c>
      <c r="G77" s="20">
        <v>2.565808E-2</v>
      </c>
      <c r="H77" s="15" t="s">
        <v>12</v>
      </c>
    </row>
    <row r="78" spans="1:8" x14ac:dyDescent="0.2">
      <c r="A78" s="17"/>
      <c r="B78" s="17"/>
      <c r="C78" s="21"/>
      <c r="D78" s="17"/>
      <c r="E78" s="17"/>
      <c r="F78" s="22"/>
      <c r="G78" s="22"/>
      <c r="H78" s="15" t="s">
        <v>12</v>
      </c>
    </row>
    <row r="79" spans="1:8" x14ac:dyDescent="0.2">
      <c r="A79" s="17"/>
      <c r="B79" s="17"/>
      <c r="C79" s="18" t="s">
        <v>93</v>
      </c>
      <c r="D79" s="17"/>
      <c r="E79" s="17"/>
      <c r="F79" s="22"/>
      <c r="G79" s="22"/>
      <c r="H79" s="15" t="s">
        <v>12</v>
      </c>
    </row>
    <row r="80" spans="1:8" x14ac:dyDescent="0.2">
      <c r="A80" s="24">
        <v>1</v>
      </c>
      <c r="B80" s="25" t="s">
        <v>210</v>
      </c>
      <c r="C80" s="25" t="s">
        <v>211</v>
      </c>
      <c r="D80" s="25" t="s">
        <v>75</v>
      </c>
      <c r="E80" s="26">
        <v>500000</v>
      </c>
      <c r="F80" s="27">
        <v>489.67200000000003</v>
      </c>
      <c r="G80" s="28">
        <v>1.294962E-2</v>
      </c>
      <c r="H80" s="15">
        <v>6.58</v>
      </c>
    </row>
    <row r="81" spans="1:17" x14ac:dyDescent="0.2">
      <c r="A81" s="17"/>
      <c r="B81" s="17"/>
      <c r="C81" s="18" t="s">
        <v>11</v>
      </c>
      <c r="D81" s="17"/>
      <c r="E81" s="17" t="s">
        <v>12</v>
      </c>
      <c r="F81" s="23">
        <v>489.67200000000003</v>
      </c>
      <c r="G81" s="20">
        <v>1.294962E-2</v>
      </c>
      <c r="H81" s="15" t="s">
        <v>12</v>
      </c>
    </row>
    <row r="82" spans="1:17" x14ac:dyDescent="0.2">
      <c r="A82" s="17"/>
      <c r="B82" s="17"/>
      <c r="C82" s="21"/>
      <c r="D82" s="17"/>
      <c r="E82" s="17"/>
      <c r="F82" s="22"/>
      <c r="G82" s="22"/>
      <c r="H82" s="15" t="s">
        <v>12</v>
      </c>
    </row>
    <row r="83" spans="1:17" x14ac:dyDescent="0.2">
      <c r="A83" s="17"/>
      <c r="B83" s="17"/>
      <c r="C83" s="18" t="s">
        <v>94</v>
      </c>
      <c r="D83" s="17"/>
      <c r="E83" s="17"/>
      <c r="F83" s="22"/>
      <c r="G83" s="22"/>
      <c r="H83" s="15" t="s">
        <v>12</v>
      </c>
    </row>
    <row r="84" spans="1:17" x14ac:dyDescent="0.2">
      <c r="A84" s="24">
        <v>1</v>
      </c>
      <c r="B84" s="25"/>
      <c r="C84" s="25" t="s">
        <v>95</v>
      </c>
      <c r="D84" s="25"/>
      <c r="E84" s="29"/>
      <c r="F84" s="27">
        <v>3467.812836911</v>
      </c>
      <c r="G84" s="28">
        <v>9.1708020000000001E-2</v>
      </c>
      <c r="H84" s="15">
        <v>6.57</v>
      </c>
    </row>
    <row r="85" spans="1:17" x14ac:dyDescent="0.2">
      <c r="A85" s="17"/>
      <c r="B85" s="17"/>
      <c r="C85" s="18" t="s">
        <v>11</v>
      </c>
      <c r="D85" s="17"/>
      <c r="E85" s="17" t="s">
        <v>12</v>
      </c>
      <c r="F85" s="23">
        <v>3467.812836911</v>
      </c>
      <c r="G85" s="20">
        <v>9.1708020000000001E-2</v>
      </c>
      <c r="H85" s="15" t="s">
        <v>12</v>
      </c>
    </row>
    <row r="86" spans="1:17" x14ac:dyDescent="0.2">
      <c r="A86" s="17"/>
      <c r="B86" s="17"/>
      <c r="C86" s="21"/>
      <c r="D86" s="17"/>
      <c r="E86" s="17"/>
      <c r="F86" s="22"/>
      <c r="G86" s="22"/>
      <c r="H86" s="15" t="s">
        <v>12</v>
      </c>
    </row>
    <row r="87" spans="1:17" x14ac:dyDescent="0.2">
      <c r="A87" s="17"/>
      <c r="B87" s="17"/>
      <c r="C87" s="18" t="s">
        <v>96</v>
      </c>
      <c r="D87" s="17"/>
      <c r="E87" s="17"/>
      <c r="F87" s="23">
        <v>11623.166336910999</v>
      </c>
      <c r="G87" s="20">
        <v>0.30738036000000002</v>
      </c>
      <c r="H87" s="15" t="s">
        <v>12</v>
      </c>
    </row>
    <row r="88" spans="1:17" x14ac:dyDescent="0.2">
      <c r="A88" s="17"/>
      <c r="B88" s="17"/>
      <c r="C88" s="22"/>
      <c r="D88" s="17"/>
      <c r="E88" s="17"/>
      <c r="F88" s="17"/>
      <c r="G88" s="17"/>
      <c r="H88" s="15" t="s">
        <v>12</v>
      </c>
    </row>
    <row r="89" spans="1:17" x14ac:dyDescent="0.2">
      <c r="A89" s="17"/>
      <c r="B89" s="17"/>
      <c r="C89" s="18" t="s">
        <v>97</v>
      </c>
      <c r="D89" s="17"/>
      <c r="E89" s="17"/>
      <c r="F89" s="17"/>
      <c r="G89" s="17"/>
      <c r="H89" s="15" t="s">
        <v>12</v>
      </c>
    </row>
    <row r="90" spans="1:17" x14ac:dyDescent="0.2">
      <c r="A90" s="17"/>
      <c r="B90" s="17"/>
      <c r="C90" s="18" t="s">
        <v>98</v>
      </c>
      <c r="D90" s="17"/>
      <c r="E90" s="17"/>
      <c r="F90" s="17"/>
      <c r="G90" s="17"/>
      <c r="H90" s="15" t="s">
        <v>12</v>
      </c>
    </row>
    <row r="91" spans="1:17" x14ac:dyDescent="0.2">
      <c r="A91" s="17"/>
      <c r="B91" s="17"/>
      <c r="C91" s="18" t="s">
        <v>11</v>
      </c>
      <c r="D91" s="17"/>
      <c r="E91" s="17" t="s">
        <v>12</v>
      </c>
      <c r="F91" s="19" t="s">
        <v>13</v>
      </c>
      <c r="G91" s="20">
        <v>0</v>
      </c>
      <c r="H91" s="15" t="s">
        <v>12</v>
      </c>
    </row>
    <row r="92" spans="1:17" x14ac:dyDescent="0.2">
      <c r="A92" s="30"/>
      <c r="B92" s="30"/>
      <c r="C92" s="31"/>
      <c r="D92" s="30"/>
      <c r="E92" s="30"/>
      <c r="F92" s="32"/>
      <c r="G92" s="32"/>
      <c r="H92" s="33" t="s">
        <v>12</v>
      </c>
    </row>
    <row r="93" spans="1:17" x14ac:dyDescent="0.2">
      <c r="A93" s="30"/>
      <c r="B93" s="30"/>
      <c r="C93" s="34" t="s">
        <v>563</v>
      </c>
      <c r="D93" s="30"/>
      <c r="E93" s="30"/>
      <c r="F93" s="32"/>
      <c r="G93" s="32"/>
      <c r="H93" s="35"/>
      <c r="K93" s="36"/>
      <c r="L93" s="36"/>
      <c r="M93" s="36"/>
      <c r="N93" s="36"/>
      <c r="O93" s="37"/>
      <c r="P93" s="37"/>
      <c r="Q93" s="37"/>
    </row>
    <row r="94" spans="1:17" ht="25.5" x14ac:dyDescent="0.2">
      <c r="A94" s="38">
        <v>1</v>
      </c>
      <c r="B94" s="39" t="s">
        <v>99</v>
      </c>
      <c r="C94" s="39" t="s">
        <v>100</v>
      </c>
      <c r="D94" s="39"/>
      <c r="E94" s="40">
        <v>1043.4449999999999</v>
      </c>
      <c r="F94" s="35">
        <v>113.846051737</v>
      </c>
      <c r="G94" s="41">
        <v>3.0107200000000001E-3</v>
      </c>
      <c r="H94" s="33"/>
    </row>
    <row r="95" spans="1:17" x14ac:dyDescent="0.2">
      <c r="A95" s="30"/>
      <c r="B95" s="30"/>
      <c r="C95" s="34" t="s">
        <v>11</v>
      </c>
      <c r="D95" s="30"/>
      <c r="E95" s="30" t="s">
        <v>12</v>
      </c>
      <c r="F95" s="42">
        <f>SUM(F94)</f>
        <v>113.846051737</v>
      </c>
      <c r="G95" s="43">
        <f>SUM(G94)</f>
        <v>3.0107200000000001E-3</v>
      </c>
      <c r="H95" s="33" t="s">
        <v>12</v>
      </c>
    </row>
    <row r="96" spans="1:17" x14ac:dyDescent="0.2">
      <c r="A96" s="17"/>
      <c r="B96" s="17"/>
      <c r="C96" s="21"/>
      <c r="D96" s="17"/>
      <c r="E96" s="17"/>
      <c r="F96" s="22"/>
      <c r="G96" s="22"/>
      <c r="H96" s="15" t="s">
        <v>12</v>
      </c>
    </row>
    <row r="97" spans="1:8" x14ac:dyDescent="0.2">
      <c r="A97" s="17"/>
      <c r="B97" s="17"/>
      <c r="C97" s="18" t="s">
        <v>101</v>
      </c>
      <c r="D97" s="17"/>
      <c r="E97" s="17"/>
      <c r="F97" s="17"/>
      <c r="G97" s="17"/>
      <c r="H97" s="15" t="s">
        <v>12</v>
      </c>
    </row>
    <row r="98" spans="1:8" x14ac:dyDescent="0.2">
      <c r="A98" s="17"/>
      <c r="B98" s="17"/>
      <c r="C98" s="18" t="s">
        <v>102</v>
      </c>
      <c r="D98" s="17"/>
      <c r="E98" s="17"/>
      <c r="F98" s="17"/>
      <c r="G98" s="17"/>
      <c r="H98" s="15" t="s">
        <v>12</v>
      </c>
    </row>
    <row r="99" spans="1:8" x14ac:dyDescent="0.2">
      <c r="A99" s="17"/>
      <c r="B99" s="17"/>
      <c r="C99" s="18" t="s">
        <v>11</v>
      </c>
      <c r="D99" s="17"/>
      <c r="E99" s="17" t="s">
        <v>12</v>
      </c>
      <c r="F99" s="19" t="s">
        <v>13</v>
      </c>
      <c r="G99" s="20">
        <v>0</v>
      </c>
      <c r="H99" s="15" t="s">
        <v>12</v>
      </c>
    </row>
    <row r="100" spans="1:8" x14ac:dyDescent="0.2">
      <c r="A100" s="17"/>
      <c r="B100" s="17"/>
      <c r="C100" s="21"/>
      <c r="D100" s="17"/>
      <c r="E100" s="17"/>
      <c r="F100" s="22"/>
      <c r="G100" s="22"/>
      <c r="H100" s="15" t="s">
        <v>12</v>
      </c>
    </row>
    <row r="101" spans="1:8" x14ac:dyDescent="0.2">
      <c r="A101" s="17"/>
      <c r="B101" s="17"/>
      <c r="C101" s="18" t="s">
        <v>103</v>
      </c>
      <c r="D101" s="17"/>
      <c r="E101" s="17"/>
      <c r="F101" s="22"/>
      <c r="G101" s="22"/>
      <c r="H101" s="15" t="s">
        <v>12</v>
      </c>
    </row>
    <row r="102" spans="1:8" x14ac:dyDescent="0.2">
      <c r="A102" s="17"/>
      <c r="B102" s="17"/>
      <c r="C102" s="18" t="s">
        <v>11</v>
      </c>
      <c r="D102" s="17"/>
      <c r="E102" s="17" t="s">
        <v>12</v>
      </c>
      <c r="F102" s="19" t="s">
        <v>13</v>
      </c>
      <c r="G102" s="20">
        <v>0</v>
      </c>
      <c r="H102" s="15" t="s">
        <v>12</v>
      </c>
    </row>
    <row r="103" spans="1:8" x14ac:dyDescent="0.2">
      <c r="A103" s="17"/>
      <c r="B103" s="17"/>
      <c r="C103" s="21"/>
      <c r="D103" s="17"/>
      <c r="E103" s="17"/>
      <c r="F103" s="22"/>
      <c r="G103" s="22"/>
      <c r="H103" s="15" t="s">
        <v>12</v>
      </c>
    </row>
    <row r="104" spans="1:8" x14ac:dyDescent="0.2">
      <c r="A104" s="29"/>
      <c r="B104" s="25"/>
      <c r="C104" s="25" t="s">
        <v>104</v>
      </c>
      <c r="D104" s="25"/>
      <c r="E104" s="29"/>
      <c r="F104" s="27">
        <f>905.20115246+0.0000246019983291626</f>
        <v>905.20117706199835</v>
      </c>
      <c r="G104" s="28">
        <v>2.393849E-2</v>
      </c>
      <c r="H104" s="15" t="s">
        <v>12</v>
      </c>
    </row>
    <row r="105" spans="1:8" x14ac:dyDescent="0.2">
      <c r="A105" s="21"/>
      <c r="B105" s="21"/>
      <c r="C105" s="18" t="s">
        <v>105</v>
      </c>
      <c r="D105" s="22"/>
      <c r="E105" s="22"/>
      <c r="F105" s="23">
        <f>37813.628391108+0.0000246019983291626</f>
        <v>37813.628415710002</v>
      </c>
      <c r="G105" s="44">
        <v>1.0000000499999999</v>
      </c>
      <c r="H105" s="15" t="s">
        <v>12</v>
      </c>
    </row>
    <row r="106" spans="1:8" x14ac:dyDescent="0.2">
      <c r="A106" s="45"/>
      <c r="B106" s="45"/>
      <c r="C106" s="45"/>
      <c r="D106" s="46"/>
      <c r="E106" s="46"/>
      <c r="F106" s="46"/>
      <c r="G106" s="46"/>
    </row>
    <row r="107" spans="1:8" x14ac:dyDescent="0.2">
      <c r="A107" s="47"/>
      <c r="B107" s="48" t="s">
        <v>564</v>
      </c>
      <c r="C107" s="48"/>
      <c r="D107" s="48"/>
      <c r="E107" s="48"/>
      <c r="F107" s="48"/>
      <c r="G107" s="48"/>
      <c r="H107" s="48"/>
    </row>
    <row r="108" spans="1:8" x14ac:dyDescent="0.2">
      <c r="A108" s="47"/>
      <c r="B108" s="48" t="s">
        <v>565</v>
      </c>
      <c r="C108" s="48"/>
      <c r="D108" s="48"/>
      <c r="E108" s="48"/>
      <c r="F108" s="48"/>
      <c r="G108" s="48"/>
      <c r="H108" s="48"/>
    </row>
    <row r="109" spans="1:8" x14ac:dyDescent="0.2">
      <c r="A109" s="47"/>
      <c r="B109" s="48" t="s">
        <v>566</v>
      </c>
      <c r="C109" s="48"/>
      <c r="D109" s="48"/>
      <c r="E109" s="48"/>
      <c r="F109" s="48"/>
      <c r="G109" s="48"/>
      <c r="H109" s="48"/>
    </row>
    <row r="110" spans="1:8" x14ac:dyDescent="0.2">
      <c r="A110" s="49"/>
      <c r="B110" s="49"/>
      <c r="C110" s="49"/>
      <c r="D110" s="50"/>
      <c r="E110" s="50"/>
      <c r="F110" s="50"/>
      <c r="G110" s="50"/>
    </row>
    <row r="111" spans="1:8" x14ac:dyDescent="0.2">
      <c r="A111" s="49"/>
      <c r="B111" s="51" t="s">
        <v>106</v>
      </c>
      <c r="C111" s="52"/>
      <c r="D111" s="53"/>
      <c r="E111" s="54"/>
      <c r="F111" s="50"/>
      <c r="G111" s="50"/>
    </row>
    <row r="112" spans="1:8" ht="25.5" x14ac:dyDescent="0.2">
      <c r="A112" s="49"/>
      <c r="B112" s="55" t="s">
        <v>107</v>
      </c>
      <c r="C112" s="56"/>
      <c r="D112" s="34" t="s">
        <v>591</v>
      </c>
      <c r="E112" s="54"/>
      <c r="F112" s="50"/>
      <c r="G112" s="50"/>
    </row>
    <row r="113" spans="1:8" x14ac:dyDescent="0.2">
      <c r="A113" s="49"/>
      <c r="B113" s="55" t="s">
        <v>109</v>
      </c>
      <c r="C113" s="56"/>
      <c r="D113" s="18" t="s">
        <v>108</v>
      </c>
      <c r="E113" s="54"/>
      <c r="F113" s="50"/>
      <c r="G113" s="50"/>
    </row>
    <row r="114" spans="1:8" x14ac:dyDescent="0.2">
      <c r="A114" s="49"/>
      <c r="B114" s="55" t="s">
        <v>110</v>
      </c>
      <c r="C114" s="56"/>
      <c r="D114" s="22" t="s">
        <v>12</v>
      </c>
      <c r="E114" s="54"/>
      <c r="F114" s="50"/>
      <c r="G114" s="50"/>
    </row>
    <row r="115" spans="1:8" x14ac:dyDescent="0.2">
      <c r="A115" s="57"/>
      <c r="B115" s="58" t="s">
        <v>12</v>
      </c>
      <c r="C115" s="58" t="s">
        <v>567</v>
      </c>
      <c r="D115" s="58" t="s">
        <v>111</v>
      </c>
      <c r="E115" s="57"/>
      <c r="F115" s="57"/>
      <c r="G115" s="57"/>
      <c r="H115" s="95"/>
    </row>
    <row r="116" spans="1:8" x14ac:dyDescent="0.2">
      <c r="A116" s="57"/>
      <c r="B116" s="59" t="s">
        <v>112</v>
      </c>
      <c r="C116" s="60">
        <v>45657</v>
      </c>
      <c r="D116" s="60">
        <v>45688</v>
      </c>
      <c r="E116" s="57"/>
      <c r="F116" s="57"/>
      <c r="G116" s="57"/>
    </row>
    <row r="117" spans="1:8" x14ac:dyDescent="0.2">
      <c r="A117" s="61"/>
      <c r="B117" s="25" t="s">
        <v>113</v>
      </c>
      <c r="C117" s="62">
        <v>3560.3676</v>
      </c>
      <c r="D117" s="62">
        <v>3582.2114000000001</v>
      </c>
      <c r="E117" s="61"/>
      <c r="F117" s="63"/>
      <c r="G117" s="64"/>
    </row>
    <row r="118" spans="1:8" ht="25.5" x14ac:dyDescent="0.2">
      <c r="A118" s="61"/>
      <c r="B118" s="25" t="s">
        <v>689</v>
      </c>
      <c r="C118" s="62">
        <v>1097.6541</v>
      </c>
      <c r="D118" s="62">
        <v>1098.1922999999999</v>
      </c>
      <c r="E118" s="61"/>
      <c r="F118" s="63"/>
      <c r="G118" s="64"/>
    </row>
    <row r="119" spans="1:8" ht="25.5" x14ac:dyDescent="0.2">
      <c r="A119" s="61"/>
      <c r="B119" s="25" t="s">
        <v>690</v>
      </c>
      <c r="C119" s="62">
        <v>1231.4166</v>
      </c>
      <c r="D119" s="62">
        <v>1238.9719</v>
      </c>
      <c r="E119" s="61"/>
      <c r="F119" s="63"/>
      <c r="G119" s="64"/>
    </row>
    <row r="120" spans="1:8" x14ac:dyDescent="0.2">
      <c r="A120" s="61"/>
      <c r="B120" s="25" t="s">
        <v>114</v>
      </c>
      <c r="C120" s="62">
        <v>3333.4560000000001</v>
      </c>
      <c r="D120" s="62">
        <v>3351.7914999999998</v>
      </c>
      <c r="E120" s="61"/>
      <c r="F120" s="63"/>
      <c r="G120" s="64"/>
    </row>
    <row r="121" spans="1:8" x14ac:dyDescent="0.2">
      <c r="A121" s="61"/>
      <c r="B121" s="25" t="s">
        <v>142</v>
      </c>
      <c r="C121" s="62">
        <v>1290.9556</v>
      </c>
      <c r="D121" s="62">
        <v>1298.0558000000001</v>
      </c>
      <c r="E121" s="61"/>
      <c r="F121" s="63"/>
      <c r="G121" s="64"/>
    </row>
    <row r="122" spans="1:8" ht="25.5" x14ac:dyDescent="0.2">
      <c r="A122" s="61"/>
      <c r="B122" s="25" t="s">
        <v>693</v>
      </c>
      <c r="C122" s="62">
        <v>1087.6216999999999</v>
      </c>
      <c r="D122" s="62">
        <v>1088.1518000000001</v>
      </c>
      <c r="E122" s="61"/>
      <c r="F122" s="63"/>
      <c r="G122" s="64"/>
    </row>
    <row r="123" spans="1:8" ht="25.5" x14ac:dyDescent="0.2">
      <c r="A123" s="61"/>
      <c r="B123" s="25" t="s">
        <v>657</v>
      </c>
      <c r="C123" s="62">
        <v>1192.0992000000001</v>
      </c>
      <c r="D123" s="62">
        <v>1198.6558</v>
      </c>
      <c r="E123" s="61"/>
      <c r="F123" s="63"/>
      <c r="G123" s="64"/>
    </row>
    <row r="124" spans="1:8" x14ac:dyDescent="0.2">
      <c r="A124" s="61"/>
      <c r="B124" s="61"/>
      <c r="C124" s="61"/>
      <c r="D124" s="61"/>
      <c r="E124" s="61"/>
      <c r="F124" s="61"/>
      <c r="G124" s="61"/>
    </row>
    <row r="125" spans="1:8" x14ac:dyDescent="0.2">
      <c r="A125" s="61"/>
      <c r="B125" s="55" t="s">
        <v>568</v>
      </c>
      <c r="C125" s="56"/>
      <c r="D125" s="18" t="s">
        <v>12</v>
      </c>
      <c r="E125" s="61"/>
      <c r="F125" s="61"/>
      <c r="G125" s="61"/>
    </row>
    <row r="126" spans="1:8" x14ac:dyDescent="0.2">
      <c r="A126" s="61"/>
      <c r="B126" s="65" t="s">
        <v>112</v>
      </c>
      <c r="C126" s="66" t="s">
        <v>115</v>
      </c>
      <c r="D126" s="66" t="s">
        <v>116</v>
      </c>
      <c r="E126" s="61"/>
      <c r="F126" s="61"/>
      <c r="G126" s="61"/>
    </row>
    <row r="127" spans="1:8" ht="25.5" x14ac:dyDescent="0.2">
      <c r="A127" s="61"/>
      <c r="B127" s="25" t="s">
        <v>689</v>
      </c>
      <c r="C127" s="67">
        <v>6.1790000000000003</v>
      </c>
      <c r="D127" s="67">
        <v>6.1790000000000003</v>
      </c>
      <c r="E127" s="61"/>
      <c r="F127" s="63"/>
      <c r="G127" s="64"/>
    </row>
    <row r="128" spans="1:8" ht="25.5" x14ac:dyDescent="0.2">
      <c r="A128" s="61"/>
      <c r="B128" s="25" t="s">
        <v>693</v>
      </c>
      <c r="C128" s="67">
        <v>5.4381000000000004</v>
      </c>
      <c r="D128" s="67">
        <v>5.4381000000000004</v>
      </c>
      <c r="E128" s="61"/>
      <c r="F128" s="63"/>
      <c r="G128" s="64"/>
    </row>
    <row r="129" spans="1:17" x14ac:dyDescent="0.2">
      <c r="A129" s="61"/>
      <c r="B129" s="68"/>
      <c r="C129" s="68"/>
      <c r="D129" s="68"/>
      <c r="E129" s="61"/>
      <c r="F129" s="61"/>
      <c r="G129" s="61"/>
    </row>
    <row r="130" spans="1:17" s="72" customFormat="1" x14ac:dyDescent="0.2">
      <c r="A130" s="91"/>
      <c r="B130" s="69" t="s">
        <v>583</v>
      </c>
      <c r="C130" s="70"/>
      <c r="D130" s="34" t="s">
        <v>108</v>
      </c>
      <c r="G130" s="91"/>
      <c r="I130" s="16"/>
      <c r="J130" s="93"/>
      <c r="K130" s="36"/>
      <c r="L130" s="36"/>
      <c r="M130" s="36"/>
      <c r="N130" s="36"/>
      <c r="O130" s="85"/>
    </row>
    <row r="131" spans="1:17" ht="25.5" customHeight="1" x14ac:dyDescent="0.2">
      <c r="A131" s="57"/>
      <c r="B131" s="69" t="s">
        <v>584</v>
      </c>
      <c r="C131" s="70"/>
      <c r="D131" s="34" t="s">
        <v>108</v>
      </c>
      <c r="E131" s="71"/>
      <c r="F131" s="57"/>
      <c r="G131" s="57"/>
      <c r="J131" s="93"/>
    </row>
    <row r="132" spans="1:17" ht="26.25" customHeight="1" x14ac:dyDescent="0.2">
      <c r="A132" s="57"/>
      <c r="B132" s="69" t="s">
        <v>585</v>
      </c>
      <c r="C132" s="70"/>
      <c r="D132" s="34" t="s">
        <v>108</v>
      </c>
      <c r="E132" s="71"/>
      <c r="F132" s="57"/>
      <c r="G132" s="57"/>
      <c r="J132" s="93"/>
    </row>
    <row r="133" spans="1:17" x14ac:dyDescent="0.2">
      <c r="A133" s="57"/>
      <c r="B133" s="69" t="s">
        <v>586</v>
      </c>
      <c r="C133" s="70"/>
      <c r="D133" s="34" t="s">
        <v>108</v>
      </c>
      <c r="E133" s="71"/>
      <c r="F133" s="57"/>
      <c r="G133" s="57"/>
      <c r="J133" s="93"/>
    </row>
    <row r="134" spans="1:17" x14ac:dyDescent="0.2">
      <c r="A134" s="57"/>
      <c r="B134" s="92"/>
      <c r="C134" s="92"/>
      <c r="D134" s="99"/>
      <c r="E134" s="57"/>
      <c r="F134" s="57"/>
      <c r="G134" s="57"/>
      <c r="J134" s="93"/>
    </row>
    <row r="135" spans="1:17" s="72" customFormat="1" x14ac:dyDescent="0.2">
      <c r="B135" s="73" t="s">
        <v>570</v>
      </c>
      <c r="C135" s="74"/>
      <c r="D135" s="75"/>
      <c r="I135" s="16"/>
      <c r="J135" s="93"/>
      <c r="K135" s="36"/>
      <c r="L135" s="36"/>
      <c r="M135" s="36"/>
      <c r="N135" s="36"/>
      <c r="O135" s="85"/>
    </row>
    <row r="136" spans="1:17" s="72" customFormat="1" ht="51" x14ac:dyDescent="0.2">
      <c r="B136" s="76" t="s">
        <v>571</v>
      </c>
      <c r="C136" s="76"/>
      <c r="D136" s="77" t="s">
        <v>212</v>
      </c>
      <c r="I136" s="16"/>
      <c r="J136" s="93"/>
      <c r="K136" s="36"/>
      <c r="L136" s="36"/>
      <c r="M136" s="36"/>
      <c r="N136" s="36"/>
      <c r="O136" s="85"/>
    </row>
    <row r="137" spans="1:17" s="72" customFormat="1" x14ac:dyDescent="0.2">
      <c r="B137" s="78" t="s">
        <v>572</v>
      </c>
      <c r="C137" s="78"/>
      <c r="D137" s="79"/>
      <c r="I137" s="16"/>
      <c r="J137" s="93"/>
      <c r="K137" s="36"/>
      <c r="L137" s="36"/>
      <c r="M137" s="36"/>
      <c r="N137" s="36"/>
      <c r="O137" s="85"/>
    </row>
    <row r="138" spans="1:17" s="72" customFormat="1" x14ac:dyDescent="0.2">
      <c r="B138" s="78"/>
      <c r="C138" s="78"/>
      <c r="D138" s="82"/>
      <c r="I138" s="16"/>
      <c r="J138" s="93"/>
      <c r="K138" s="36"/>
      <c r="L138" s="36"/>
      <c r="M138" s="36"/>
      <c r="N138" s="36"/>
      <c r="O138" s="85"/>
    </row>
    <row r="139" spans="1:17" s="72" customFormat="1" x14ac:dyDescent="0.2">
      <c r="B139" s="78" t="s">
        <v>573</v>
      </c>
      <c r="C139" s="78"/>
      <c r="D139" s="83">
        <v>7.7384097495524671</v>
      </c>
      <c r="I139" s="16"/>
      <c r="J139" s="93"/>
      <c r="K139" s="36"/>
      <c r="L139" s="36"/>
      <c r="M139" s="36"/>
      <c r="N139" s="36"/>
      <c r="O139" s="85"/>
    </row>
    <row r="140" spans="1:17" s="72" customFormat="1" x14ac:dyDescent="0.2">
      <c r="B140" s="78"/>
      <c r="C140" s="78"/>
      <c r="D140" s="82"/>
      <c r="I140" s="16"/>
      <c r="J140" s="93"/>
      <c r="K140" s="36"/>
      <c r="L140" s="36"/>
      <c r="M140" s="36"/>
      <c r="N140" s="36"/>
      <c r="O140" s="85"/>
      <c r="P140" s="16"/>
      <c r="Q140" s="16"/>
    </row>
    <row r="141" spans="1:17" s="72" customFormat="1" x14ac:dyDescent="0.2">
      <c r="B141" s="78" t="s">
        <v>574</v>
      </c>
      <c r="C141" s="78"/>
      <c r="D141" s="83">
        <v>0.98261353291953168</v>
      </c>
      <c r="I141" s="16"/>
      <c r="J141" s="93"/>
      <c r="K141" s="36"/>
      <c r="L141" s="36"/>
      <c r="M141" s="36"/>
      <c r="N141" s="36"/>
      <c r="O141" s="85"/>
      <c r="P141" s="16"/>
      <c r="Q141" s="16"/>
    </row>
    <row r="142" spans="1:17" s="72" customFormat="1" x14ac:dyDescent="0.2">
      <c r="B142" s="78" t="s">
        <v>592</v>
      </c>
      <c r="C142" s="78"/>
      <c r="D142" s="83">
        <v>1.177178062827015</v>
      </c>
      <c r="I142" s="16"/>
      <c r="J142" s="93"/>
      <c r="K142" s="36"/>
      <c r="L142" s="36"/>
      <c r="M142" s="36"/>
      <c r="N142" s="36"/>
      <c r="O142" s="16"/>
      <c r="P142" s="16"/>
      <c r="Q142" s="16"/>
    </row>
    <row r="143" spans="1:17" s="72" customFormat="1" x14ac:dyDescent="0.2">
      <c r="B143" s="78"/>
      <c r="C143" s="78"/>
      <c r="D143" s="82"/>
      <c r="I143" s="16"/>
      <c r="J143" s="93"/>
      <c r="K143" s="36"/>
      <c r="L143" s="36"/>
      <c r="M143" s="36"/>
      <c r="N143" s="36"/>
      <c r="O143" s="16"/>
      <c r="P143" s="16"/>
      <c r="Q143" s="16"/>
    </row>
    <row r="144" spans="1:17" s="72" customFormat="1" x14ac:dyDescent="0.2">
      <c r="B144" s="78" t="s">
        <v>576</v>
      </c>
      <c r="C144" s="78"/>
      <c r="D144" s="84" t="s">
        <v>682</v>
      </c>
      <c r="I144" s="16"/>
      <c r="J144" s="93"/>
      <c r="K144" s="36"/>
      <c r="L144" s="36"/>
      <c r="M144" s="36"/>
      <c r="N144" s="36"/>
      <c r="O144" s="85"/>
    </row>
    <row r="145" spans="1:20" s="72" customFormat="1" x14ac:dyDescent="0.2">
      <c r="B145" s="80" t="s">
        <v>577</v>
      </c>
      <c r="C145" s="86"/>
      <c r="D145" s="81"/>
      <c r="I145" s="16"/>
      <c r="J145" s="93"/>
      <c r="K145" s="36"/>
      <c r="L145" s="36"/>
      <c r="M145" s="36"/>
      <c r="N145" s="36"/>
      <c r="O145" s="16"/>
      <c r="P145" s="16"/>
      <c r="Q145" s="16"/>
      <c r="R145" s="16"/>
      <c r="S145" s="16"/>
      <c r="T145" s="16"/>
    </row>
    <row r="146" spans="1:20" x14ac:dyDescent="0.2">
      <c r="A146" s="68"/>
      <c r="B146" s="68"/>
      <c r="C146" s="68"/>
      <c r="D146" s="68"/>
      <c r="E146" s="68"/>
      <c r="F146" s="68"/>
      <c r="G146" s="68"/>
      <c r="J146" s="93"/>
    </row>
    <row r="147" spans="1:20" s="72" customFormat="1" x14ac:dyDescent="0.2">
      <c r="B147" s="100" t="s">
        <v>683</v>
      </c>
      <c r="C147" s="100"/>
      <c r="D147" s="100"/>
      <c r="E147" s="100"/>
      <c r="F147" s="100"/>
      <c r="G147" s="100"/>
      <c r="H147" s="100"/>
      <c r="I147" s="16"/>
      <c r="J147" s="93"/>
      <c r="K147" s="36"/>
      <c r="L147" s="36"/>
      <c r="M147" s="36"/>
      <c r="N147" s="36"/>
      <c r="O147" s="85"/>
    </row>
    <row r="148" spans="1:20" s="72" customFormat="1" x14ac:dyDescent="0.2">
      <c r="B148" s="101"/>
      <c r="C148" s="101"/>
      <c r="D148" s="101"/>
      <c r="E148" s="101"/>
      <c r="F148" s="101"/>
      <c r="G148" s="101"/>
      <c r="H148" s="101"/>
      <c r="I148" s="16"/>
      <c r="J148" s="93"/>
      <c r="K148" s="36"/>
      <c r="L148" s="36"/>
      <c r="M148" s="36"/>
      <c r="N148" s="36"/>
      <c r="O148" s="85"/>
    </row>
    <row r="149" spans="1:20" s="72" customFormat="1" ht="102" x14ac:dyDescent="0.2">
      <c r="A149" s="102"/>
      <c r="B149" s="103" t="s">
        <v>593</v>
      </c>
      <c r="C149" s="103" t="s">
        <v>594</v>
      </c>
      <c r="D149" s="103" t="s">
        <v>595</v>
      </c>
      <c r="E149" s="103" t="s">
        <v>596</v>
      </c>
      <c r="F149" s="103" t="s">
        <v>597</v>
      </c>
      <c r="G149" s="101"/>
      <c r="H149" s="101"/>
      <c r="I149" s="16"/>
      <c r="J149" s="93"/>
      <c r="K149" s="36"/>
      <c r="L149" s="36"/>
      <c r="M149" s="36"/>
      <c r="N149" s="36"/>
      <c r="O149" s="85"/>
    </row>
    <row r="150" spans="1:20" s="72" customFormat="1" x14ac:dyDescent="0.2">
      <c r="A150" s="104"/>
      <c r="B150" s="105" t="s">
        <v>598</v>
      </c>
      <c r="C150" s="105" t="s">
        <v>599</v>
      </c>
      <c r="D150" s="2">
        <v>0</v>
      </c>
      <c r="E150" s="3">
        <v>0</v>
      </c>
      <c r="F150" s="106">
        <v>300</v>
      </c>
      <c r="G150" s="101"/>
      <c r="H150" s="101"/>
      <c r="I150" s="16"/>
      <c r="J150" s="93"/>
      <c r="K150" s="36"/>
      <c r="L150" s="36"/>
      <c r="M150" s="36"/>
      <c r="N150" s="36"/>
      <c r="O150" s="85"/>
    </row>
    <row r="151" spans="1:20" s="72" customFormat="1" x14ac:dyDescent="0.2">
      <c r="A151" s="107"/>
      <c r="B151" s="107"/>
      <c r="C151" s="107"/>
      <c r="D151" s="107"/>
      <c r="E151" s="107"/>
      <c r="F151" s="107"/>
      <c r="G151" s="107"/>
      <c r="I151" s="16"/>
      <c r="J151" s="93"/>
      <c r="K151" s="36"/>
      <c r="L151" s="36"/>
      <c r="M151" s="36"/>
      <c r="N151" s="36"/>
      <c r="O151" s="85"/>
    </row>
    <row r="152" spans="1:20" ht="13.5" x14ac:dyDescent="0.25">
      <c r="B152" s="108" t="s">
        <v>600</v>
      </c>
      <c r="C152" s="108" t="s">
        <v>601</v>
      </c>
      <c r="D152" s="109" t="s">
        <v>595</v>
      </c>
      <c r="E152" s="109"/>
      <c r="F152" s="109"/>
      <c r="G152" s="110" t="s">
        <v>596</v>
      </c>
      <c r="H152" s="110"/>
      <c r="J152" s="93"/>
      <c r="K152" s="36"/>
      <c r="L152" s="36"/>
      <c r="M152" s="36"/>
      <c r="N152" s="36"/>
      <c r="P152" s="36"/>
    </row>
    <row r="153" spans="1:20" ht="27" x14ac:dyDescent="0.25">
      <c r="B153" s="111" t="s">
        <v>602</v>
      </c>
      <c r="C153" s="112" t="s">
        <v>603</v>
      </c>
      <c r="D153" s="113">
        <v>0</v>
      </c>
      <c r="E153" s="113"/>
      <c r="F153" s="113"/>
      <c r="G153" s="113">
        <v>0</v>
      </c>
      <c r="H153" s="113"/>
      <c r="J153" s="93"/>
      <c r="K153" s="36"/>
      <c r="L153" s="36"/>
      <c r="M153" s="36"/>
      <c r="N153" s="36"/>
      <c r="P153" s="36"/>
    </row>
    <row r="154" spans="1:20" ht="27" x14ac:dyDescent="0.25">
      <c r="B154" s="111" t="s">
        <v>604</v>
      </c>
      <c r="C154" s="112" t="s">
        <v>605</v>
      </c>
      <c r="D154" s="113">
        <v>0</v>
      </c>
      <c r="E154" s="113"/>
      <c r="F154" s="113"/>
      <c r="G154" s="113">
        <v>0</v>
      </c>
      <c r="H154" s="113"/>
      <c r="J154" s="93"/>
      <c r="K154" s="36"/>
      <c r="L154" s="36"/>
      <c r="M154" s="36"/>
      <c r="N154" s="36"/>
      <c r="P154" s="36"/>
    </row>
    <row r="155" spans="1:20" ht="27" x14ac:dyDescent="0.25">
      <c r="B155" s="111" t="s">
        <v>606</v>
      </c>
      <c r="C155" s="112" t="s">
        <v>607</v>
      </c>
      <c r="D155" s="113">
        <v>0</v>
      </c>
      <c r="E155" s="113"/>
      <c r="F155" s="113"/>
      <c r="G155" s="113">
        <v>0</v>
      </c>
      <c r="H155" s="113"/>
      <c r="J155" s="93"/>
      <c r="K155" s="36"/>
      <c r="L155" s="36"/>
      <c r="M155" s="36"/>
      <c r="N155" s="36"/>
      <c r="P155" s="36"/>
    </row>
    <row r="156" spans="1:20" ht="13.5" x14ac:dyDescent="0.25">
      <c r="B156" s="111"/>
      <c r="C156" s="111"/>
      <c r="D156" s="114"/>
      <c r="E156" s="114"/>
      <c r="F156" s="114"/>
      <c r="G156" s="114"/>
      <c r="H156" s="114"/>
      <c r="J156" s="93"/>
      <c r="K156" s="36"/>
      <c r="L156" s="36"/>
      <c r="M156" s="36"/>
      <c r="N156" s="36"/>
      <c r="P156" s="36"/>
    </row>
    <row r="157" spans="1:20" ht="13.5" x14ac:dyDescent="0.25">
      <c r="B157" s="110" t="s">
        <v>608</v>
      </c>
      <c r="C157" s="110"/>
      <c r="D157" s="110"/>
      <c r="E157" s="110"/>
      <c r="F157" s="110"/>
      <c r="G157" s="110"/>
      <c r="H157" s="110"/>
      <c r="J157" s="93"/>
      <c r="K157" s="36"/>
      <c r="L157" s="36"/>
      <c r="M157" s="36"/>
      <c r="N157" s="36"/>
      <c r="P157" s="36"/>
    </row>
    <row r="158" spans="1:20" ht="13.5" customHeight="1" x14ac:dyDescent="0.2">
      <c r="B158" s="115" t="s">
        <v>600</v>
      </c>
      <c r="C158" s="115" t="s">
        <v>601</v>
      </c>
      <c r="D158" s="115" t="s">
        <v>609</v>
      </c>
      <c r="E158" s="115"/>
      <c r="F158" s="115"/>
      <c r="G158" s="115"/>
      <c r="H158" s="116" t="s">
        <v>610</v>
      </c>
      <c r="I158" s="116" t="s">
        <v>611</v>
      </c>
      <c r="J158" s="117" t="s">
        <v>612</v>
      </c>
      <c r="K158" s="36"/>
      <c r="L158" s="36"/>
      <c r="M158" s="36"/>
      <c r="N158" s="36"/>
      <c r="O158" s="36"/>
      <c r="P158" s="36"/>
    </row>
    <row r="159" spans="1:20" ht="94.5" customHeight="1" x14ac:dyDescent="0.2">
      <c r="B159" s="115"/>
      <c r="C159" s="115"/>
      <c r="D159" s="118" t="s">
        <v>613</v>
      </c>
      <c r="E159" s="118" t="s">
        <v>614</v>
      </c>
      <c r="F159" s="118" t="s">
        <v>615</v>
      </c>
      <c r="G159" s="118" t="s">
        <v>616</v>
      </c>
      <c r="H159" s="116"/>
      <c r="I159" s="116"/>
      <c r="J159" s="119"/>
      <c r="K159" s="36"/>
      <c r="L159" s="36"/>
      <c r="M159" s="36"/>
      <c r="N159" s="36"/>
      <c r="O159" s="36"/>
      <c r="P159" s="36"/>
    </row>
    <row r="160" spans="1:20" ht="27" x14ac:dyDescent="0.25">
      <c r="B160" s="111" t="s">
        <v>602</v>
      </c>
      <c r="C160" s="112" t="s">
        <v>603</v>
      </c>
      <c r="D160" s="120">
        <v>1500</v>
      </c>
      <c r="E160" s="120">
        <v>99.850684900000005</v>
      </c>
      <c r="F160" s="121">
        <v>36.275342200000004</v>
      </c>
      <c r="G160" s="122">
        <v>1636.1260271000001</v>
      </c>
      <c r="H160" s="4">
        <v>726.67232000000001</v>
      </c>
      <c r="I160" s="4">
        <f>1250521/10^5</f>
        <v>12.50521</v>
      </c>
      <c r="J160" s="4">
        <f>H160+I160</f>
        <v>739.17753000000005</v>
      </c>
      <c r="K160" s="36"/>
      <c r="L160" s="36"/>
      <c r="M160" s="36"/>
      <c r="N160" s="36"/>
      <c r="O160" s="36"/>
      <c r="P160" s="36"/>
    </row>
    <row r="161" spans="2:16" ht="27" x14ac:dyDescent="0.25">
      <c r="B161" s="111" t="s">
        <v>604</v>
      </c>
      <c r="C161" s="112" t="s">
        <v>605</v>
      </c>
      <c r="D161" s="120">
        <v>2517.2199999999998</v>
      </c>
      <c r="E161" s="120">
        <v>183.25361600000002</v>
      </c>
      <c r="F161" s="121">
        <v>45.813405699999997</v>
      </c>
      <c r="G161" s="122">
        <v>2746.2870217</v>
      </c>
      <c r="H161" s="4">
        <v>1225.53333</v>
      </c>
      <c r="I161" s="4">
        <f>2109013/10^5</f>
        <v>21.090129999999998</v>
      </c>
      <c r="J161" s="4">
        <f>H161+I161</f>
        <v>1246.62346</v>
      </c>
      <c r="K161" s="36"/>
      <c r="L161" s="36"/>
      <c r="M161" s="36"/>
      <c r="N161" s="36"/>
      <c r="O161" s="36"/>
      <c r="P161" s="36"/>
    </row>
    <row r="162" spans="2:16" ht="27" x14ac:dyDescent="0.25">
      <c r="B162" s="111" t="s">
        <v>606</v>
      </c>
      <c r="C162" s="112" t="s">
        <v>607</v>
      </c>
      <c r="D162" s="120">
        <v>4882.25</v>
      </c>
      <c r="E162" s="120">
        <v>323.21163799999999</v>
      </c>
      <c r="F162" s="121">
        <v>117.42144879999999</v>
      </c>
      <c r="G162" s="122">
        <v>5322.8830868000005</v>
      </c>
      <c r="H162" s="4">
        <v>2364.0489899999998</v>
      </c>
      <c r="I162" s="4">
        <f>4068280/10^5</f>
        <v>40.6828</v>
      </c>
      <c r="J162" s="4">
        <f>H162+I162</f>
        <v>2404.7317899999998</v>
      </c>
      <c r="K162" s="36"/>
      <c r="L162" s="36"/>
      <c r="M162" s="36"/>
      <c r="N162" s="36"/>
      <c r="O162" s="36"/>
      <c r="P162" s="36"/>
    </row>
    <row r="163" spans="2:16" x14ac:dyDescent="0.2">
      <c r="I163" s="36"/>
      <c r="J163" s="93"/>
      <c r="K163" s="36"/>
      <c r="L163" s="36"/>
      <c r="M163" s="36"/>
      <c r="N163" s="36"/>
      <c r="O163" s="36"/>
      <c r="P163" s="36"/>
    </row>
    <row r="164" spans="2:16" x14ac:dyDescent="0.2">
      <c r="I164" s="36"/>
      <c r="J164" s="93"/>
      <c r="K164" s="36"/>
      <c r="L164" s="36"/>
      <c r="M164" s="36"/>
      <c r="N164" s="36"/>
      <c r="O164" s="36"/>
      <c r="P164" s="36"/>
    </row>
    <row r="165" spans="2:16" ht="13.5" x14ac:dyDescent="0.25">
      <c r="B165" s="123" t="s">
        <v>617</v>
      </c>
      <c r="I165" s="36"/>
      <c r="J165" s="93"/>
      <c r="K165" s="36"/>
      <c r="L165" s="36"/>
      <c r="M165" s="36"/>
      <c r="N165" s="36"/>
      <c r="O165" s="36"/>
      <c r="P165" s="36"/>
    </row>
    <row r="166" spans="2:16" x14ac:dyDescent="0.2">
      <c r="B166" s="36"/>
      <c r="C166" s="36"/>
      <c r="D166" s="36"/>
      <c r="E166" s="36"/>
      <c r="F166" s="36"/>
      <c r="G166" s="36"/>
      <c r="H166" s="36"/>
      <c r="I166" s="36"/>
      <c r="J166" s="93"/>
      <c r="K166" s="36"/>
      <c r="L166" s="36"/>
      <c r="M166" s="36"/>
      <c r="N166" s="36"/>
      <c r="O166" s="36"/>
      <c r="P166" s="36"/>
    </row>
    <row r="167" spans="2:16" x14ac:dyDescent="0.2">
      <c r="B167" s="124" t="s">
        <v>618</v>
      </c>
      <c r="C167" s="36"/>
      <c r="D167" s="36"/>
      <c r="E167" s="36"/>
      <c r="F167" s="36"/>
      <c r="G167" s="36"/>
      <c r="H167" s="36"/>
      <c r="I167" s="36"/>
      <c r="J167" s="93"/>
      <c r="K167" s="36"/>
      <c r="L167" s="36"/>
      <c r="M167" s="36"/>
      <c r="N167" s="36"/>
      <c r="O167" s="36"/>
      <c r="P167" s="36"/>
    </row>
    <row r="168" spans="2:16" x14ac:dyDescent="0.2">
      <c r="B168" s="36"/>
      <c r="C168" s="36"/>
      <c r="D168" s="36"/>
      <c r="E168" s="36"/>
      <c r="F168" s="36"/>
      <c r="G168" s="36"/>
      <c r="H168" s="36"/>
      <c r="I168" s="36"/>
      <c r="J168" s="93"/>
      <c r="K168" s="36"/>
      <c r="L168" s="36"/>
      <c r="M168" s="36"/>
      <c r="N168" s="36"/>
      <c r="O168" s="36"/>
      <c r="P168" s="36"/>
    </row>
    <row r="169" spans="2:16" x14ac:dyDescent="0.2">
      <c r="B169" s="124" t="s">
        <v>619</v>
      </c>
      <c r="C169" s="36"/>
      <c r="D169" s="36"/>
      <c r="E169" s="36"/>
      <c r="F169" s="36"/>
      <c r="G169" s="36"/>
      <c r="H169" s="36"/>
      <c r="I169" s="36"/>
      <c r="J169" s="93"/>
      <c r="K169" s="36"/>
      <c r="L169" s="36"/>
      <c r="M169" s="36"/>
      <c r="N169" s="36"/>
      <c r="O169" s="36"/>
      <c r="P169" s="36"/>
    </row>
    <row r="170" spans="2:16" x14ac:dyDescent="0.2">
      <c r="J170" s="93"/>
    </row>
    <row r="171" spans="2:16" x14ac:dyDescent="0.2">
      <c r="B171" s="124" t="s">
        <v>620</v>
      </c>
      <c r="J171" s="93"/>
      <c r="K171" s="36"/>
      <c r="L171" s="36"/>
      <c r="M171" s="36"/>
      <c r="N171" s="36"/>
      <c r="O171" s="36"/>
    </row>
    <row r="172" spans="2:16" x14ac:dyDescent="0.2">
      <c r="J172" s="93"/>
    </row>
    <row r="173" spans="2:16" x14ac:dyDescent="0.2">
      <c r="B173" s="87" t="s">
        <v>578</v>
      </c>
    </row>
    <row r="175" spans="2:16" ht="153.75" customHeight="1" x14ac:dyDescent="0.2"/>
    <row r="178" spans="2:10" x14ac:dyDescent="0.2">
      <c r="B178" s="88" t="s">
        <v>579</v>
      </c>
      <c r="C178" s="10"/>
      <c r="D178" s="88" t="s">
        <v>580</v>
      </c>
    </row>
    <row r="179" spans="2:10" x14ac:dyDescent="0.2">
      <c r="B179" s="88" t="s">
        <v>621</v>
      </c>
      <c r="D179" s="88" t="s">
        <v>622</v>
      </c>
    </row>
    <row r="180" spans="2:10" ht="165" customHeight="1" x14ac:dyDescent="0.2"/>
    <row r="182" spans="2:10" x14ac:dyDescent="0.2">
      <c r="J182" s="93"/>
    </row>
    <row r="193" s="16" customFormat="1" x14ac:dyDescent="0.2"/>
    <row r="194" s="16" customFormat="1" x14ac:dyDescent="0.2"/>
    <row r="195" s="16" customFormat="1" x14ac:dyDescent="0.2"/>
    <row r="196" s="16" customFormat="1" x14ac:dyDescent="0.2"/>
    <row r="197" s="16" customFormat="1" x14ac:dyDescent="0.2"/>
    <row r="198" s="16" customFormat="1" x14ac:dyDescent="0.2"/>
    <row r="199" s="16" customFormat="1" x14ac:dyDescent="0.2"/>
    <row r="200" s="16" customFormat="1" x14ac:dyDescent="0.2"/>
  </sheetData>
  <mergeCells count="43">
    <mergeCell ref="I158:I159"/>
    <mergeCell ref="J158:J159"/>
    <mergeCell ref="B157:H157"/>
    <mergeCell ref="B158:B159"/>
    <mergeCell ref="C158:C159"/>
    <mergeCell ref="D158:G158"/>
    <mergeCell ref="H158:H159"/>
    <mergeCell ref="D154:F154"/>
    <mergeCell ref="G154:H154"/>
    <mergeCell ref="D155:F155"/>
    <mergeCell ref="G155:H155"/>
    <mergeCell ref="D156:F156"/>
    <mergeCell ref="G156:H156"/>
    <mergeCell ref="B145:D145"/>
    <mergeCell ref="D152:F152"/>
    <mergeCell ref="G152:H152"/>
    <mergeCell ref="D153:F153"/>
    <mergeCell ref="G153:H153"/>
    <mergeCell ref="B140:C140"/>
    <mergeCell ref="B141:C141"/>
    <mergeCell ref="B142:C142"/>
    <mergeCell ref="B143:C143"/>
    <mergeCell ref="B144:C144"/>
    <mergeCell ref="B135:D135"/>
    <mergeCell ref="B136:C136"/>
    <mergeCell ref="B137:C137"/>
    <mergeCell ref="B138:C138"/>
    <mergeCell ref="B139:C139"/>
    <mergeCell ref="A3:H3"/>
    <mergeCell ref="A2:H2"/>
    <mergeCell ref="A1:H1"/>
    <mergeCell ref="B107:H107"/>
    <mergeCell ref="B108:H108"/>
    <mergeCell ref="B109:H109"/>
    <mergeCell ref="B130:C130"/>
    <mergeCell ref="B131:C131"/>
    <mergeCell ref="B132:C132"/>
    <mergeCell ref="B133:C133"/>
    <mergeCell ref="B111:D111"/>
    <mergeCell ref="B112:C112"/>
    <mergeCell ref="B113:C113"/>
    <mergeCell ref="B114:C114"/>
    <mergeCell ref="B125:C125"/>
  </mergeCells>
  <hyperlinks>
    <hyperlink ref="I1" location="Index!B2" display="Index" xr:uid="{5718B107-4E97-4C13-8B99-BBA91B5C56D6}"/>
    <hyperlink ref="B167" r:id="rId1" xr:uid="{76749D3F-D0B8-4B00-9F76-21EC1E136555}"/>
    <hyperlink ref="B169" r:id="rId2" xr:uid="{BABFF9EA-EB26-4030-ACE1-571123FBBA6D}"/>
    <hyperlink ref="B171" r:id="rId3" xr:uid="{57750074-F712-48CA-8743-867F8144B4CF}"/>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45A1-4153-4177-8C3A-5F3AD0F0365E}">
  <sheetPr>
    <outlinePr summaryBelow="0" summaryRight="0"/>
  </sheetPr>
  <dimension ref="A1:R202"/>
  <sheetViews>
    <sheetView showGridLines="0" workbookViewId="0">
      <selection sqref="A1:H1"/>
    </sheetView>
  </sheetViews>
  <sheetFormatPr defaultRowHeight="12.75" x14ac:dyDescent="0.2"/>
  <cols>
    <col min="1" max="1" width="5.85546875" style="16" bestFit="1" customWidth="1"/>
    <col min="2" max="2" width="21.7109375" style="16" customWidth="1"/>
    <col min="3" max="3" width="39.140625" style="16" bestFit="1" customWidth="1"/>
    <col min="4" max="4" width="10.7109375" style="16" bestFit="1" customWidth="1"/>
    <col min="5" max="5" width="10.4257812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260</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562</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ht="25.5" x14ac:dyDescent="0.2">
      <c r="A28" s="24">
        <v>1</v>
      </c>
      <c r="B28" s="25" t="s">
        <v>261</v>
      </c>
      <c r="C28" s="25" t="s">
        <v>262</v>
      </c>
      <c r="D28" s="25" t="s">
        <v>23</v>
      </c>
      <c r="E28" s="26">
        <v>1100</v>
      </c>
      <c r="F28" s="27">
        <v>10979.056</v>
      </c>
      <c r="G28" s="28">
        <v>1.8168799999999999E-2</v>
      </c>
      <c r="H28" s="15">
        <v>7.3949999999999996</v>
      </c>
    </row>
    <row r="29" spans="1:8" x14ac:dyDescent="0.2">
      <c r="A29" s="17"/>
      <c r="B29" s="17"/>
      <c r="C29" s="18" t="s">
        <v>11</v>
      </c>
      <c r="D29" s="17"/>
      <c r="E29" s="17" t="s">
        <v>12</v>
      </c>
      <c r="F29" s="23">
        <v>10979.056</v>
      </c>
      <c r="G29" s="20">
        <v>1.8168799999999999E-2</v>
      </c>
      <c r="H29" s="15" t="s">
        <v>12</v>
      </c>
    </row>
    <row r="30" spans="1:8" x14ac:dyDescent="0.2">
      <c r="A30" s="17"/>
      <c r="B30" s="17"/>
      <c r="C30" s="21"/>
      <c r="D30" s="17"/>
      <c r="E30" s="17"/>
      <c r="F30" s="22"/>
      <c r="G30" s="22"/>
      <c r="H30" s="15" t="s">
        <v>12</v>
      </c>
    </row>
    <row r="31" spans="1:8" x14ac:dyDescent="0.2">
      <c r="A31" s="17"/>
      <c r="B31" s="17"/>
      <c r="C31" s="18" t="s">
        <v>71</v>
      </c>
      <c r="D31" s="17"/>
      <c r="E31" s="17"/>
      <c r="F31" s="17"/>
      <c r="G31" s="17"/>
      <c r="H31" s="15" t="s">
        <v>12</v>
      </c>
    </row>
    <row r="32" spans="1:8" x14ac:dyDescent="0.2">
      <c r="A32" s="17"/>
      <c r="B32" s="17"/>
      <c r="C32" s="18" t="s">
        <v>11</v>
      </c>
      <c r="D32" s="17"/>
      <c r="E32" s="17" t="s">
        <v>12</v>
      </c>
      <c r="F32" s="19" t="s">
        <v>13</v>
      </c>
      <c r="G32" s="20">
        <v>0</v>
      </c>
      <c r="H32" s="15" t="s">
        <v>12</v>
      </c>
    </row>
    <row r="33" spans="1:8" x14ac:dyDescent="0.2">
      <c r="A33" s="17"/>
      <c r="B33" s="17"/>
      <c r="C33" s="21"/>
      <c r="D33" s="17"/>
      <c r="E33" s="17"/>
      <c r="F33" s="22"/>
      <c r="G33" s="22"/>
      <c r="H33" s="15" t="s">
        <v>12</v>
      </c>
    </row>
    <row r="34" spans="1:8" x14ac:dyDescent="0.2">
      <c r="A34" s="17"/>
      <c r="B34" s="17"/>
      <c r="C34" s="18" t="s">
        <v>72</v>
      </c>
      <c r="D34" s="17"/>
      <c r="E34" s="17"/>
      <c r="F34" s="17"/>
      <c r="G34" s="17"/>
      <c r="H34" s="15" t="s">
        <v>12</v>
      </c>
    </row>
    <row r="35" spans="1:8" x14ac:dyDescent="0.2">
      <c r="A35" s="17"/>
      <c r="B35" s="17"/>
      <c r="C35" s="18" t="s">
        <v>11</v>
      </c>
      <c r="D35" s="17"/>
      <c r="E35" s="17" t="s">
        <v>12</v>
      </c>
      <c r="F35" s="19" t="s">
        <v>13</v>
      </c>
      <c r="G35" s="20">
        <v>0</v>
      </c>
      <c r="H35" s="15" t="s">
        <v>12</v>
      </c>
    </row>
    <row r="36" spans="1:8" x14ac:dyDescent="0.2">
      <c r="A36" s="17"/>
      <c r="B36" s="17"/>
      <c r="C36" s="21"/>
      <c r="D36" s="17"/>
      <c r="E36" s="17"/>
      <c r="F36" s="22"/>
      <c r="G36" s="22"/>
      <c r="H36" s="15" t="s">
        <v>12</v>
      </c>
    </row>
    <row r="37" spans="1:8" x14ac:dyDescent="0.2">
      <c r="A37" s="17"/>
      <c r="B37" s="17"/>
      <c r="C37" s="18" t="s">
        <v>88</v>
      </c>
      <c r="D37" s="17"/>
      <c r="E37" s="17"/>
      <c r="F37" s="22"/>
      <c r="G37" s="22"/>
      <c r="H37" s="15" t="s">
        <v>12</v>
      </c>
    </row>
    <row r="38" spans="1:8" x14ac:dyDescent="0.2">
      <c r="A38" s="17"/>
      <c r="B38" s="17"/>
      <c r="C38" s="18" t="s">
        <v>11</v>
      </c>
      <c r="D38" s="17"/>
      <c r="E38" s="17" t="s">
        <v>12</v>
      </c>
      <c r="F38" s="19" t="s">
        <v>13</v>
      </c>
      <c r="G38" s="20">
        <v>0</v>
      </c>
      <c r="H38" s="15" t="s">
        <v>12</v>
      </c>
    </row>
    <row r="39" spans="1:8" x14ac:dyDescent="0.2">
      <c r="A39" s="17"/>
      <c r="B39" s="17"/>
      <c r="C39" s="21"/>
      <c r="D39" s="17"/>
      <c r="E39" s="17"/>
      <c r="F39" s="22"/>
      <c r="G39" s="22"/>
      <c r="H39" s="15" t="s">
        <v>12</v>
      </c>
    </row>
    <row r="40" spans="1:8" x14ac:dyDescent="0.2">
      <c r="A40" s="17"/>
      <c r="B40" s="17"/>
      <c r="C40" s="18" t="s">
        <v>89</v>
      </c>
      <c r="D40" s="17"/>
      <c r="E40" s="17"/>
      <c r="F40" s="23">
        <v>10979.056</v>
      </c>
      <c r="G40" s="20">
        <v>1.8168799999999999E-2</v>
      </c>
      <c r="H40" s="15" t="s">
        <v>12</v>
      </c>
    </row>
    <row r="41" spans="1:8" x14ac:dyDescent="0.2">
      <c r="A41" s="17"/>
      <c r="B41" s="17"/>
      <c r="C41" s="21"/>
      <c r="D41" s="17"/>
      <c r="E41" s="17"/>
      <c r="F41" s="22"/>
      <c r="G41" s="22"/>
      <c r="H41" s="15" t="s">
        <v>12</v>
      </c>
    </row>
    <row r="42" spans="1:8" x14ac:dyDescent="0.2">
      <c r="A42" s="17"/>
      <c r="B42" s="17"/>
      <c r="C42" s="18" t="s">
        <v>90</v>
      </c>
      <c r="D42" s="17"/>
      <c r="E42" s="17"/>
      <c r="F42" s="22"/>
      <c r="G42" s="22"/>
      <c r="H42" s="15" t="s">
        <v>12</v>
      </c>
    </row>
    <row r="43" spans="1:8" x14ac:dyDescent="0.2">
      <c r="A43" s="17"/>
      <c r="B43" s="17"/>
      <c r="C43" s="18" t="s">
        <v>91</v>
      </c>
      <c r="D43" s="17"/>
      <c r="E43" s="17"/>
      <c r="F43" s="22"/>
      <c r="G43" s="22"/>
      <c r="H43" s="15" t="s">
        <v>12</v>
      </c>
    </row>
    <row r="44" spans="1:8" x14ac:dyDescent="0.2">
      <c r="A44" s="24">
        <v>1</v>
      </c>
      <c r="B44" s="25" t="s">
        <v>263</v>
      </c>
      <c r="C44" s="25" t="s">
        <v>264</v>
      </c>
      <c r="D44" s="25" t="s">
        <v>152</v>
      </c>
      <c r="E44" s="26">
        <v>6500</v>
      </c>
      <c r="F44" s="27">
        <v>32249.1325</v>
      </c>
      <c r="G44" s="28">
        <v>5.3367779999999997E-2</v>
      </c>
      <c r="H44" s="15">
        <v>7.28</v>
      </c>
    </row>
    <row r="45" spans="1:8" x14ac:dyDescent="0.2">
      <c r="A45" s="24">
        <v>2</v>
      </c>
      <c r="B45" s="25" t="s">
        <v>265</v>
      </c>
      <c r="C45" s="25" t="s">
        <v>266</v>
      </c>
      <c r="D45" s="25" t="s">
        <v>152</v>
      </c>
      <c r="E45" s="26">
        <v>5000</v>
      </c>
      <c r="F45" s="27">
        <v>24816.875</v>
      </c>
      <c r="G45" s="28">
        <v>4.1068439999999998E-2</v>
      </c>
      <c r="H45" s="15">
        <v>7.2797999999999998</v>
      </c>
    </row>
    <row r="46" spans="1:8" x14ac:dyDescent="0.2">
      <c r="A46" s="24">
        <v>3</v>
      </c>
      <c r="B46" s="25" t="s">
        <v>267</v>
      </c>
      <c r="C46" s="25" t="s">
        <v>268</v>
      </c>
      <c r="D46" s="25" t="s">
        <v>146</v>
      </c>
      <c r="E46" s="26">
        <v>4500</v>
      </c>
      <c r="F46" s="27">
        <v>22299.862499999999</v>
      </c>
      <c r="G46" s="28">
        <v>3.6903140000000001E-2</v>
      </c>
      <c r="H46" s="15">
        <v>7.2797000000000001</v>
      </c>
    </row>
    <row r="47" spans="1:8" x14ac:dyDescent="0.2">
      <c r="A47" s="24">
        <v>4</v>
      </c>
      <c r="B47" s="25" t="s">
        <v>176</v>
      </c>
      <c r="C47" s="25" t="s">
        <v>177</v>
      </c>
      <c r="D47" s="25" t="s">
        <v>152</v>
      </c>
      <c r="E47" s="26">
        <v>4000</v>
      </c>
      <c r="F47" s="27">
        <v>19786.32</v>
      </c>
      <c r="G47" s="28">
        <v>3.2743580000000001E-2</v>
      </c>
      <c r="H47" s="15">
        <v>7.2999000000000001</v>
      </c>
    </row>
    <row r="48" spans="1:8" x14ac:dyDescent="0.2">
      <c r="A48" s="24">
        <v>5</v>
      </c>
      <c r="B48" s="25" t="s">
        <v>269</v>
      </c>
      <c r="C48" s="25" t="s">
        <v>270</v>
      </c>
      <c r="D48" s="25" t="s">
        <v>149</v>
      </c>
      <c r="E48" s="26">
        <v>3000</v>
      </c>
      <c r="F48" s="27">
        <v>14943.6</v>
      </c>
      <c r="G48" s="28">
        <v>2.4729560000000001E-2</v>
      </c>
      <c r="H48" s="15">
        <v>7.2502000000000004</v>
      </c>
    </row>
    <row r="49" spans="1:8" x14ac:dyDescent="0.2">
      <c r="A49" s="24">
        <v>6</v>
      </c>
      <c r="B49" s="25" t="s">
        <v>271</v>
      </c>
      <c r="C49" s="25" t="s">
        <v>272</v>
      </c>
      <c r="D49" s="25" t="s">
        <v>152</v>
      </c>
      <c r="E49" s="26">
        <v>3000</v>
      </c>
      <c r="F49" s="27">
        <v>14940.195</v>
      </c>
      <c r="G49" s="28">
        <v>2.472392E-2</v>
      </c>
      <c r="H49" s="15">
        <v>7.3052000000000001</v>
      </c>
    </row>
    <row r="50" spans="1:8" x14ac:dyDescent="0.2">
      <c r="A50" s="24">
        <v>7</v>
      </c>
      <c r="B50" s="25" t="s">
        <v>273</v>
      </c>
      <c r="C50" s="25" t="s">
        <v>274</v>
      </c>
      <c r="D50" s="25" t="s">
        <v>152</v>
      </c>
      <c r="E50" s="26">
        <v>2800</v>
      </c>
      <c r="F50" s="27">
        <v>13925.212</v>
      </c>
      <c r="G50" s="28">
        <v>2.3044269999999999E-2</v>
      </c>
      <c r="H50" s="15">
        <v>7.26</v>
      </c>
    </row>
    <row r="51" spans="1:8" x14ac:dyDescent="0.2">
      <c r="A51" s="24">
        <v>8</v>
      </c>
      <c r="B51" s="25" t="s">
        <v>275</v>
      </c>
      <c r="C51" s="25" t="s">
        <v>276</v>
      </c>
      <c r="D51" s="25" t="s">
        <v>152</v>
      </c>
      <c r="E51" s="26">
        <v>2500</v>
      </c>
      <c r="F51" s="27">
        <v>12418.262500000001</v>
      </c>
      <c r="G51" s="28">
        <v>2.0550479999999999E-2</v>
      </c>
      <c r="H51" s="15">
        <v>7.28</v>
      </c>
    </row>
    <row r="52" spans="1:8" x14ac:dyDescent="0.2">
      <c r="A52" s="24">
        <v>9</v>
      </c>
      <c r="B52" s="25" t="s">
        <v>277</v>
      </c>
      <c r="C52" s="25" t="s">
        <v>278</v>
      </c>
      <c r="D52" s="25" t="s">
        <v>152</v>
      </c>
      <c r="E52" s="26">
        <v>2000</v>
      </c>
      <c r="F52" s="27">
        <v>9994.0300000000007</v>
      </c>
      <c r="G52" s="28">
        <v>1.653872E-2</v>
      </c>
      <c r="H52" s="15">
        <v>7.2644000000000002</v>
      </c>
    </row>
    <row r="53" spans="1:8" x14ac:dyDescent="0.2">
      <c r="A53" s="24">
        <v>10</v>
      </c>
      <c r="B53" s="25" t="s">
        <v>279</v>
      </c>
      <c r="C53" s="25" t="s">
        <v>280</v>
      </c>
      <c r="D53" s="25" t="s">
        <v>149</v>
      </c>
      <c r="E53" s="26">
        <v>2000</v>
      </c>
      <c r="F53" s="27">
        <v>9988.01</v>
      </c>
      <c r="G53" s="28">
        <v>1.6528749999999998E-2</v>
      </c>
      <c r="H53" s="15">
        <v>7.2998000000000003</v>
      </c>
    </row>
    <row r="54" spans="1:8" x14ac:dyDescent="0.2">
      <c r="A54" s="24">
        <v>11</v>
      </c>
      <c r="B54" s="25" t="s">
        <v>281</v>
      </c>
      <c r="C54" s="25" t="s">
        <v>282</v>
      </c>
      <c r="D54" s="25" t="s">
        <v>146</v>
      </c>
      <c r="E54" s="26">
        <v>2000</v>
      </c>
      <c r="F54" s="27">
        <v>9952.36</v>
      </c>
      <c r="G54" s="28">
        <v>1.646976E-2</v>
      </c>
      <c r="H54" s="15">
        <v>7.2798999999999996</v>
      </c>
    </row>
    <row r="55" spans="1:8" x14ac:dyDescent="0.2">
      <c r="A55" s="24">
        <v>12</v>
      </c>
      <c r="B55" s="25" t="s">
        <v>283</v>
      </c>
      <c r="C55" s="25" t="s">
        <v>284</v>
      </c>
      <c r="D55" s="25" t="s">
        <v>152</v>
      </c>
      <c r="E55" s="26">
        <v>2000</v>
      </c>
      <c r="F55" s="27">
        <v>9948.41</v>
      </c>
      <c r="G55" s="28">
        <v>1.6463220000000001E-2</v>
      </c>
      <c r="H55" s="15">
        <v>7.28</v>
      </c>
    </row>
    <row r="56" spans="1:8" x14ac:dyDescent="0.2">
      <c r="A56" s="24">
        <v>13</v>
      </c>
      <c r="B56" s="25" t="s">
        <v>285</v>
      </c>
      <c r="C56" s="25" t="s">
        <v>286</v>
      </c>
      <c r="D56" s="25" t="s">
        <v>152</v>
      </c>
      <c r="E56" s="26">
        <v>2000</v>
      </c>
      <c r="F56" s="27">
        <v>9940.52</v>
      </c>
      <c r="G56" s="28">
        <v>1.6450159999999998E-2</v>
      </c>
      <c r="H56" s="15">
        <v>7.28</v>
      </c>
    </row>
    <row r="57" spans="1:8" x14ac:dyDescent="0.2">
      <c r="A57" s="24">
        <v>14</v>
      </c>
      <c r="B57" s="25" t="s">
        <v>287</v>
      </c>
      <c r="C57" s="25" t="s">
        <v>288</v>
      </c>
      <c r="D57" s="25" t="s">
        <v>152</v>
      </c>
      <c r="E57" s="26">
        <v>2000</v>
      </c>
      <c r="F57" s="27">
        <v>9920.85</v>
      </c>
      <c r="G57" s="28">
        <v>1.6417609999999999E-2</v>
      </c>
      <c r="H57" s="15">
        <v>7.2797999999999998</v>
      </c>
    </row>
    <row r="58" spans="1:8" x14ac:dyDescent="0.2">
      <c r="A58" s="24">
        <v>15</v>
      </c>
      <c r="B58" s="25" t="s">
        <v>289</v>
      </c>
      <c r="C58" s="25" t="s">
        <v>290</v>
      </c>
      <c r="D58" s="25" t="s">
        <v>146</v>
      </c>
      <c r="E58" s="26">
        <v>2000</v>
      </c>
      <c r="F58" s="27">
        <v>9895.4</v>
      </c>
      <c r="G58" s="28">
        <v>1.6375500000000001E-2</v>
      </c>
      <c r="H58" s="15">
        <v>7.2798999999999996</v>
      </c>
    </row>
    <row r="59" spans="1:8" x14ac:dyDescent="0.2">
      <c r="A59" s="24">
        <v>16</v>
      </c>
      <c r="B59" s="25" t="s">
        <v>291</v>
      </c>
      <c r="C59" s="25" t="s">
        <v>292</v>
      </c>
      <c r="D59" s="25" t="s">
        <v>152</v>
      </c>
      <c r="E59" s="26">
        <v>1500</v>
      </c>
      <c r="F59" s="27">
        <v>7432.0950000000003</v>
      </c>
      <c r="G59" s="28">
        <v>1.229907E-2</v>
      </c>
      <c r="H59" s="15">
        <v>7.2497999999999996</v>
      </c>
    </row>
    <row r="60" spans="1:8" x14ac:dyDescent="0.2">
      <c r="A60" s="24">
        <v>17</v>
      </c>
      <c r="B60" s="25" t="s">
        <v>293</v>
      </c>
      <c r="C60" s="25" t="s">
        <v>294</v>
      </c>
      <c r="D60" s="25" t="s">
        <v>152</v>
      </c>
      <c r="E60" s="26">
        <v>1500</v>
      </c>
      <c r="F60" s="27">
        <v>7430.16</v>
      </c>
      <c r="G60" s="28">
        <v>1.229587E-2</v>
      </c>
      <c r="H60" s="15">
        <v>7.2999000000000001</v>
      </c>
    </row>
    <row r="61" spans="1:8" x14ac:dyDescent="0.2">
      <c r="A61" s="24">
        <v>18</v>
      </c>
      <c r="B61" s="25" t="s">
        <v>295</v>
      </c>
      <c r="C61" s="25" t="s">
        <v>296</v>
      </c>
      <c r="D61" s="25" t="s">
        <v>152</v>
      </c>
      <c r="E61" s="26">
        <v>1500</v>
      </c>
      <c r="F61" s="27">
        <v>7424.4750000000004</v>
      </c>
      <c r="G61" s="28">
        <v>1.2286460000000001E-2</v>
      </c>
      <c r="H61" s="15">
        <v>7.28</v>
      </c>
    </row>
    <row r="62" spans="1:8" ht="25.5" x14ac:dyDescent="0.2">
      <c r="A62" s="24">
        <v>19</v>
      </c>
      <c r="B62" s="25" t="s">
        <v>297</v>
      </c>
      <c r="C62" s="25" t="s">
        <v>298</v>
      </c>
      <c r="D62" s="25" t="s">
        <v>152</v>
      </c>
      <c r="E62" s="26">
        <v>1500</v>
      </c>
      <c r="F62" s="27">
        <v>7421.1225000000004</v>
      </c>
      <c r="G62" s="28">
        <v>1.2280920000000001E-2</v>
      </c>
      <c r="H62" s="15">
        <v>7.3201000000000001</v>
      </c>
    </row>
    <row r="63" spans="1:8" x14ac:dyDescent="0.2">
      <c r="A63" s="24">
        <v>20</v>
      </c>
      <c r="B63" s="25" t="s">
        <v>299</v>
      </c>
      <c r="C63" s="25" t="s">
        <v>300</v>
      </c>
      <c r="D63" s="25" t="s">
        <v>149</v>
      </c>
      <c r="E63" s="26">
        <v>1500</v>
      </c>
      <c r="F63" s="27">
        <v>7386.9975000000004</v>
      </c>
      <c r="G63" s="28">
        <v>1.222444E-2</v>
      </c>
      <c r="H63" s="15">
        <v>7.4450000000000003</v>
      </c>
    </row>
    <row r="64" spans="1:8" x14ac:dyDescent="0.2">
      <c r="A64" s="24">
        <v>21</v>
      </c>
      <c r="B64" s="25" t="s">
        <v>301</v>
      </c>
      <c r="C64" s="25" t="s">
        <v>302</v>
      </c>
      <c r="D64" s="25" t="s">
        <v>149</v>
      </c>
      <c r="E64" s="26">
        <v>1000</v>
      </c>
      <c r="F64" s="27">
        <v>4997</v>
      </c>
      <c r="G64" s="28">
        <v>8.2693300000000001E-3</v>
      </c>
      <c r="H64" s="15">
        <v>7.2999000000000001</v>
      </c>
    </row>
    <row r="65" spans="1:8" x14ac:dyDescent="0.2">
      <c r="A65" s="24">
        <v>22</v>
      </c>
      <c r="B65" s="25" t="s">
        <v>303</v>
      </c>
      <c r="C65" s="25" t="s">
        <v>304</v>
      </c>
      <c r="D65" s="25" t="s">
        <v>152</v>
      </c>
      <c r="E65" s="26">
        <v>1000</v>
      </c>
      <c r="F65" s="27">
        <v>4996</v>
      </c>
      <c r="G65" s="28">
        <v>8.2676799999999995E-3</v>
      </c>
      <c r="H65" s="15">
        <v>7.3049999999999997</v>
      </c>
    </row>
    <row r="66" spans="1:8" x14ac:dyDescent="0.2">
      <c r="A66" s="24">
        <v>23</v>
      </c>
      <c r="B66" s="25" t="s">
        <v>305</v>
      </c>
      <c r="C66" s="25" t="s">
        <v>306</v>
      </c>
      <c r="D66" s="25" t="s">
        <v>152</v>
      </c>
      <c r="E66" s="26">
        <v>1000</v>
      </c>
      <c r="F66" s="27">
        <v>4990.0200000000004</v>
      </c>
      <c r="G66" s="28">
        <v>8.2577799999999993E-3</v>
      </c>
      <c r="H66" s="15">
        <v>7.2994000000000003</v>
      </c>
    </row>
    <row r="67" spans="1:8" x14ac:dyDescent="0.2">
      <c r="A67" s="24">
        <v>24</v>
      </c>
      <c r="B67" s="25" t="s">
        <v>307</v>
      </c>
      <c r="C67" s="25" t="s">
        <v>308</v>
      </c>
      <c r="D67" s="25" t="s">
        <v>152</v>
      </c>
      <c r="E67" s="26">
        <v>1000</v>
      </c>
      <c r="F67" s="27">
        <v>4981.07</v>
      </c>
      <c r="G67" s="28">
        <v>8.2429700000000005E-3</v>
      </c>
      <c r="H67" s="15">
        <v>7.2999000000000001</v>
      </c>
    </row>
    <row r="68" spans="1:8" x14ac:dyDescent="0.2">
      <c r="A68" s="24">
        <v>25</v>
      </c>
      <c r="B68" s="25" t="s">
        <v>309</v>
      </c>
      <c r="C68" s="25" t="s">
        <v>310</v>
      </c>
      <c r="D68" s="25" t="s">
        <v>146</v>
      </c>
      <c r="E68" s="26">
        <v>1000</v>
      </c>
      <c r="F68" s="27">
        <v>4976.2749999999996</v>
      </c>
      <c r="G68" s="28">
        <v>8.2350400000000008E-3</v>
      </c>
      <c r="H68" s="15">
        <v>7.25</v>
      </c>
    </row>
    <row r="69" spans="1:8" x14ac:dyDescent="0.2">
      <c r="A69" s="24">
        <v>26</v>
      </c>
      <c r="B69" s="25" t="s">
        <v>311</v>
      </c>
      <c r="C69" s="25" t="s">
        <v>312</v>
      </c>
      <c r="D69" s="25" t="s">
        <v>152</v>
      </c>
      <c r="E69" s="26">
        <v>1000</v>
      </c>
      <c r="F69" s="27">
        <v>4973.1450000000004</v>
      </c>
      <c r="G69" s="28">
        <v>8.2298600000000003E-3</v>
      </c>
      <c r="H69" s="15">
        <v>7.3002000000000002</v>
      </c>
    </row>
    <row r="70" spans="1:8" x14ac:dyDescent="0.2">
      <c r="A70" s="24">
        <v>27</v>
      </c>
      <c r="B70" s="25" t="s">
        <v>313</v>
      </c>
      <c r="C70" s="25" t="s">
        <v>314</v>
      </c>
      <c r="D70" s="25" t="s">
        <v>152</v>
      </c>
      <c r="E70" s="26">
        <v>1000</v>
      </c>
      <c r="F70" s="27">
        <v>4966.415</v>
      </c>
      <c r="G70" s="28">
        <v>8.2187200000000005E-3</v>
      </c>
      <c r="H70" s="15">
        <v>7.26</v>
      </c>
    </row>
    <row r="71" spans="1:8" ht="25.5" x14ac:dyDescent="0.2">
      <c r="A71" s="24">
        <v>28</v>
      </c>
      <c r="B71" s="25" t="s">
        <v>315</v>
      </c>
      <c r="C71" s="25" t="s">
        <v>316</v>
      </c>
      <c r="D71" s="25" t="s">
        <v>152</v>
      </c>
      <c r="E71" s="26">
        <v>1000</v>
      </c>
      <c r="F71" s="27">
        <v>4966.1400000000003</v>
      </c>
      <c r="G71" s="28">
        <v>8.2182599999999998E-3</v>
      </c>
      <c r="H71" s="15">
        <v>7.3201000000000001</v>
      </c>
    </row>
    <row r="72" spans="1:8" x14ac:dyDescent="0.2">
      <c r="A72" s="24">
        <v>29</v>
      </c>
      <c r="B72" s="25" t="s">
        <v>317</v>
      </c>
      <c r="C72" s="25" t="s">
        <v>318</v>
      </c>
      <c r="D72" s="25" t="s">
        <v>152</v>
      </c>
      <c r="E72" s="26">
        <v>1000</v>
      </c>
      <c r="F72" s="27">
        <v>4962.29</v>
      </c>
      <c r="G72" s="28">
        <v>8.2118899999999995E-3</v>
      </c>
      <c r="H72" s="15">
        <v>7.2999000000000001</v>
      </c>
    </row>
    <row r="73" spans="1:8" x14ac:dyDescent="0.2">
      <c r="A73" s="24">
        <v>30</v>
      </c>
      <c r="B73" s="25" t="s">
        <v>319</v>
      </c>
      <c r="C73" s="25" t="s">
        <v>320</v>
      </c>
      <c r="D73" s="25" t="s">
        <v>146</v>
      </c>
      <c r="E73" s="26">
        <v>500</v>
      </c>
      <c r="F73" s="27">
        <v>2490.0625</v>
      </c>
      <c r="G73" s="28">
        <v>4.1206999999999997E-3</v>
      </c>
      <c r="H73" s="15">
        <v>7.2849000000000004</v>
      </c>
    </row>
    <row r="74" spans="1:8" x14ac:dyDescent="0.2">
      <c r="A74" s="24">
        <v>31</v>
      </c>
      <c r="B74" s="25" t="s">
        <v>321</v>
      </c>
      <c r="C74" s="25" t="s">
        <v>322</v>
      </c>
      <c r="D74" s="25" t="s">
        <v>152</v>
      </c>
      <c r="E74" s="26">
        <v>500</v>
      </c>
      <c r="F74" s="27">
        <v>2480.16</v>
      </c>
      <c r="G74" s="28">
        <v>4.1043199999999998E-3</v>
      </c>
      <c r="H74" s="15">
        <v>7.2999000000000001</v>
      </c>
    </row>
    <row r="75" spans="1:8" x14ac:dyDescent="0.2">
      <c r="A75" s="17"/>
      <c r="B75" s="17"/>
      <c r="C75" s="18" t="s">
        <v>11</v>
      </c>
      <c r="D75" s="17"/>
      <c r="E75" s="17" t="s">
        <v>12</v>
      </c>
      <c r="F75" s="23">
        <v>311892.467</v>
      </c>
      <c r="G75" s="20">
        <v>0.51613819999999999</v>
      </c>
      <c r="H75" s="15" t="s">
        <v>12</v>
      </c>
    </row>
    <row r="76" spans="1:8" x14ac:dyDescent="0.2">
      <c r="A76" s="17"/>
      <c r="B76" s="17"/>
      <c r="C76" s="21"/>
      <c r="D76" s="17"/>
      <c r="E76" s="17"/>
      <c r="F76" s="22"/>
      <c r="G76" s="22"/>
      <c r="H76" s="15" t="s">
        <v>12</v>
      </c>
    </row>
    <row r="77" spans="1:8" x14ac:dyDescent="0.2">
      <c r="A77" s="17"/>
      <c r="B77" s="17"/>
      <c r="C77" s="18" t="s">
        <v>92</v>
      </c>
      <c r="D77" s="17"/>
      <c r="E77" s="17"/>
      <c r="F77" s="22"/>
      <c r="G77" s="22"/>
      <c r="H77" s="15" t="s">
        <v>12</v>
      </c>
    </row>
    <row r="78" spans="1:8" ht="25.5" x14ac:dyDescent="0.2">
      <c r="A78" s="24">
        <v>1</v>
      </c>
      <c r="B78" s="25" t="s">
        <v>323</v>
      </c>
      <c r="C78" s="25" t="s">
        <v>324</v>
      </c>
      <c r="D78" s="25" t="s">
        <v>152</v>
      </c>
      <c r="E78" s="26">
        <v>3000</v>
      </c>
      <c r="F78" s="27">
        <v>14884.695</v>
      </c>
      <c r="G78" s="28">
        <v>2.4632080000000001E-2</v>
      </c>
      <c r="H78" s="15">
        <v>7.2503000000000002</v>
      </c>
    </row>
    <row r="79" spans="1:8" x14ac:dyDescent="0.2">
      <c r="A79" s="24">
        <v>2</v>
      </c>
      <c r="B79" s="25" t="s">
        <v>325</v>
      </c>
      <c r="C79" s="25" t="s">
        <v>326</v>
      </c>
      <c r="D79" s="25" t="s">
        <v>152</v>
      </c>
      <c r="E79" s="26">
        <v>2500</v>
      </c>
      <c r="F79" s="27">
        <v>12473.512500000001</v>
      </c>
      <c r="G79" s="28">
        <v>2.0641909999999999E-2</v>
      </c>
      <c r="H79" s="15">
        <v>7.75</v>
      </c>
    </row>
    <row r="80" spans="1:8" x14ac:dyDescent="0.2">
      <c r="A80" s="24">
        <v>3</v>
      </c>
      <c r="B80" s="25" t="s">
        <v>327</v>
      </c>
      <c r="C80" s="25" t="s">
        <v>328</v>
      </c>
      <c r="D80" s="25" t="s">
        <v>152</v>
      </c>
      <c r="E80" s="26">
        <v>2000</v>
      </c>
      <c r="F80" s="27">
        <v>9973.7099999999991</v>
      </c>
      <c r="G80" s="28">
        <v>1.650509E-2</v>
      </c>
      <c r="H80" s="15">
        <v>7.4001000000000001</v>
      </c>
    </row>
    <row r="81" spans="1:8" x14ac:dyDescent="0.2">
      <c r="A81" s="24">
        <v>4</v>
      </c>
      <c r="B81" s="25" t="s">
        <v>329</v>
      </c>
      <c r="C81" s="25" t="s">
        <v>330</v>
      </c>
      <c r="D81" s="25" t="s">
        <v>152</v>
      </c>
      <c r="E81" s="26">
        <v>2000</v>
      </c>
      <c r="F81" s="27">
        <v>9965.93</v>
      </c>
      <c r="G81" s="28">
        <v>1.649221E-2</v>
      </c>
      <c r="H81" s="15">
        <v>7.3399000000000001</v>
      </c>
    </row>
    <row r="82" spans="1:8" x14ac:dyDescent="0.2">
      <c r="A82" s="24">
        <v>5</v>
      </c>
      <c r="B82" s="25" t="s">
        <v>331</v>
      </c>
      <c r="C82" s="25" t="s">
        <v>332</v>
      </c>
      <c r="D82" s="25" t="s">
        <v>152</v>
      </c>
      <c r="E82" s="26">
        <v>2000</v>
      </c>
      <c r="F82" s="27">
        <v>9947.36</v>
      </c>
      <c r="G82" s="28">
        <v>1.6461480000000001E-2</v>
      </c>
      <c r="H82" s="15">
        <v>7.43</v>
      </c>
    </row>
    <row r="83" spans="1:8" ht="25.5" x14ac:dyDescent="0.2">
      <c r="A83" s="24">
        <v>6</v>
      </c>
      <c r="B83" s="25" t="s">
        <v>333</v>
      </c>
      <c r="C83" s="25" t="s">
        <v>334</v>
      </c>
      <c r="D83" s="25" t="s">
        <v>152</v>
      </c>
      <c r="E83" s="26">
        <v>2000</v>
      </c>
      <c r="F83" s="27">
        <v>9946.2900000000009</v>
      </c>
      <c r="G83" s="28">
        <v>1.6459709999999999E-2</v>
      </c>
      <c r="H83" s="15">
        <v>7.3000999999999996</v>
      </c>
    </row>
    <row r="84" spans="1:8" ht="25.5" x14ac:dyDescent="0.2">
      <c r="A84" s="24">
        <v>7</v>
      </c>
      <c r="B84" s="25" t="s">
        <v>335</v>
      </c>
      <c r="C84" s="25" t="s">
        <v>336</v>
      </c>
      <c r="D84" s="25" t="s">
        <v>152</v>
      </c>
      <c r="E84" s="26">
        <v>2000</v>
      </c>
      <c r="F84" s="27">
        <v>9934.66</v>
      </c>
      <c r="G84" s="28">
        <v>1.6440469999999999E-2</v>
      </c>
      <c r="H84" s="15">
        <v>7.2751999999999999</v>
      </c>
    </row>
    <row r="85" spans="1:8" ht="25.5" x14ac:dyDescent="0.2">
      <c r="A85" s="24">
        <v>8</v>
      </c>
      <c r="B85" s="25" t="s">
        <v>337</v>
      </c>
      <c r="C85" s="25" t="s">
        <v>338</v>
      </c>
      <c r="D85" s="25" t="s">
        <v>152</v>
      </c>
      <c r="E85" s="26">
        <v>2000</v>
      </c>
      <c r="F85" s="27">
        <v>9920.3700000000008</v>
      </c>
      <c r="G85" s="28">
        <v>1.6416819999999999E-2</v>
      </c>
      <c r="H85" s="15">
        <v>7.3253000000000004</v>
      </c>
    </row>
    <row r="86" spans="1:8" x14ac:dyDescent="0.2">
      <c r="A86" s="24">
        <v>9</v>
      </c>
      <c r="B86" s="25" t="s">
        <v>339</v>
      </c>
      <c r="C86" s="25" t="s">
        <v>340</v>
      </c>
      <c r="D86" s="25" t="s">
        <v>152</v>
      </c>
      <c r="E86" s="26">
        <v>2000</v>
      </c>
      <c r="F86" s="27">
        <v>9901.51</v>
      </c>
      <c r="G86" s="28">
        <v>1.6385609999999998E-2</v>
      </c>
      <c r="H86" s="15">
        <v>7.7249999999999996</v>
      </c>
    </row>
    <row r="87" spans="1:8" ht="25.5" x14ac:dyDescent="0.2">
      <c r="A87" s="24">
        <v>10</v>
      </c>
      <c r="B87" s="25" t="s">
        <v>341</v>
      </c>
      <c r="C87" s="25" t="s">
        <v>342</v>
      </c>
      <c r="D87" s="25" t="s">
        <v>152</v>
      </c>
      <c r="E87" s="26">
        <v>2000</v>
      </c>
      <c r="F87" s="27">
        <v>9826.36</v>
      </c>
      <c r="G87" s="28">
        <v>1.6261250000000001E-2</v>
      </c>
      <c r="H87" s="15">
        <v>7.5</v>
      </c>
    </row>
    <row r="88" spans="1:8" x14ac:dyDescent="0.2">
      <c r="A88" s="24">
        <v>11</v>
      </c>
      <c r="B88" s="25" t="s">
        <v>343</v>
      </c>
      <c r="C88" s="25" t="s">
        <v>344</v>
      </c>
      <c r="D88" s="25" t="s">
        <v>152</v>
      </c>
      <c r="E88" s="26">
        <v>1500</v>
      </c>
      <c r="F88" s="27">
        <v>7459.0275000000001</v>
      </c>
      <c r="G88" s="28">
        <v>1.2343639999999999E-2</v>
      </c>
      <c r="H88" s="15">
        <v>7.7122999999999999</v>
      </c>
    </row>
    <row r="89" spans="1:8" ht="25.5" x14ac:dyDescent="0.2">
      <c r="A89" s="24">
        <v>12</v>
      </c>
      <c r="B89" s="25" t="s">
        <v>345</v>
      </c>
      <c r="C89" s="25" t="s">
        <v>346</v>
      </c>
      <c r="D89" s="25" t="s">
        <v>146</v>
      </c>
      <c r="E89" s="26">
        <v>1500</v>
      </c>
      <c r="F89" s="27">
        <v>7439.8275000000003</v>
      </c>
      <c r="G89" s="28">
        <v>1.2311870000000001E-2</v>
      </c>
      <c r="H89" s="15">
        <v>7.3800999999999997</v>
      </c>
    </row>
    <row r="90" spans="1:8" x14ac:dyDescent="0.2">
      <c r="A90" s="24">
        <v>13</v>
      </c>
      <c r="B90" s="25" t="s">
        <v>347</v>
      </c>
      <c r="C90" s="25" t="s">
        <v>348</v>
      </c>
      <c r="D90" s="25" t="s">
        <v>152</v>
      </c>
      <c r="E90" s="26">
        <v>1500</v>
      </c>
      <c r="F90" s="27">
        <v>7429.5450000000001</v>
      </c>
      <c r="G90" s="28">
        <v>1.229485E-2</v>
      </c>
      <c r="H90" s="15">
        <v>7.3648999999999996</v>
      </c>
    </row>
    <row r="91" spans="1:8" x14ac:dyDescent="0.2">
      <c r="A91" s="24">
        <v>14</v>
      </c>
      <c r="B91" s="25" t="s">
        <v>349</v>
      </c>
      <c r="C91" s="25" t="s">
        <v>350</v>
      </c>
      <c r="D91" s="25" t="s">
        <v>152</v>
      </c>
      <c r="E91" s="26">
        <v>1500</v>
      </c>
      <c r="F91" s="27">
        <v>7425</v>
      </c>
      <c r="G91" s="28">
        <v>1.2287330000000001E-2</v>
      </c>
      <c r="H91" s="15">
        <v>7.8449999999999998</v>
      </c>
    </row>
    <row r="92" spans="1:8" x14ac:dyDescent="0.2">
      <c r="A92" s="24">
        <v>15</v>
      </c>
      <c r="B92" s="25" t="s">
        <v>351</v>
      </c>
      <c r="C92" s="25" t="s">
        <v>352</v>
      </c>
      <c r="D92" s="25" t="s">
        <v>152</v>
      </c>
      <c r="E92" s="26">
        <v>1500</v>
      </c>
      <c r="F92" s="27">
        <v>7424.8424999999997</v>
      </c>
      <c r="G92" s="28">
        <v>1.2287070000000001E-2</v>
      </c>
      <c r="H92" s="15">
        <v>7.6974999999999998</v>
      </c>
    </row>
    <row r="93" spans="1:8" ht="25.5" x14ac:dyDescent="0.2">
      <c r="A93" s="24">
        <v>16</v>
      </c>
      <c r="B93" s="25" t="s">
        <v>353</v>
      </c>
      <c r="C93" s="25" t="s">
        <v>354</v>
      </c>
      <c r="D93" s="25" t="s">
        <v>152</v>
      </c>
      <c r="E93" s="26">
        <v>1500</v>
      </c>
      <c r="F93" s="27">
        <v>7424.5725000000002</v>
      </c>
      <c r="G93" s="28">
        <v>1.228662E-2</v>
      </c>
      <c r="H93" s="15">
        <v>7.89</v>
      </c>
    </row>
    <row r="94" spans="1:8" ht="25.5" x14ac:dyDescent="0.2">
      <c r="A94" s="24">
        <v>17</v>
      </c>
      <c r="B94" s="25" t="s">
        <v>355</v>
      </c>
      <c r="C94" s="25" t="s">
        <v>356</v>
      </c>
      <c r="D94" s="25" t="s">
        <v>152</v>
      </c>
      <c r="E94" s="26">
        <v>1500</v>
      </c>
      <c r="F94" s="27">
        <v>7367.8275000000003</v>
      </c>
      <c r="G94" s="28">
        <v>1.2192720000000001E-2</v>
      </c>
      <c r="H94" s="15">
        <v>8.1850000000000005</v>
      </c>
    </row>
    <row r="95" spans="1:8" ht="25.5" x14ac:dyDescent="0.2">
      <c r="A95" s="24">
        <v>18</v>
      </c>
      <c r="B95" s="25" t="s">
        <v>357</v>
      </c>
      <c r="C95" s="25" t="s">
        <v>358</v>
      </c>
      <c r="D95" s="25" t="s">
        <v>152</v>
      </c>
      <c r="E95" s="26">
        <v>1000</v>
      </c>
      <c r="F95" s="27">
        <v>4996.7849999999999</v>
      </c>
      <c r="G95" s="28">
        <v>8.2689800000000004E-3</v>
      </c>
      <c r="H95" s="15">
        <v>7.8319999999999999</v>
      </c>
    </row>
    <row r="96" spans="1:8" x14ac:dyDescent="0.2">
      <c r="A96" s="24">
        <v>19</v>
      </c>
      <c r="B96" s="25" t="s">
        <v>359</v>
      </c>
      <c r="C96" s="25" t="s">
        <v>360</v>
      </c>
      <c r="D96" s="25" t="s">
        <v>152</v>
      </c>
      <c r="E96" s="26">
        <v>1000</v>
      </c>
      <c r="F96" s="27">
        <v>4989.9049999999997</v>
      </c>
      <c r="G96" s="28">
        <v>8.2575900000000004E-3</v>
      </c>
      <c r="H96" s="15">
        <v>7.3844000000000003</v>
      </c>
    </row>
    <row r="97" spans="1:8" x14ac:dyDescent="0.2">
      <c r="A97" s="24">
        <v>20</v>
      </c>
      <c r="B97" s="25" t="s">
        <v>361</v>
      </c>
      <c r="C97" s="25" t="s">
        <v>362</v>
      </c>
      <c r="D97" s="25" t="s">
        <v>152</v>
      </c>
      <c r="E97" s="26">
        <v>1000</v>
      </c>
      <c r="F97" s="27">
        <v>4988.3500000000004</v>
      </c>
      <c r="G97" s="28">
        <v>8.2550200000000001E-3</v>
      </c>
      <c r="H97" s="15">
        <v>7.7493999999999996</v>
      </c>
    </row>
    <row r="98" spans="1:8" x14ac:dyDescent="0.2">
      <c r="A98" s="24">
        <v>21</v>
      </c>
      <c r="B98" s="25" t="s">
        <v>363</v>
      </c>
      <c r="C98" s="25" t="s">
        <v>364</v>
      </c>
      <c r="D98" s="25" t="s">
        <v>152</v>
      </c>
      <c r="E98" s="26">
        <v>1000</v>
      </c>
      <c r="F98" s="27">
        <v>4987.5649999999996</v>
      </c>
      <c r="G98" s="28">
        <v>8.2537200000000008E-3</v>
      </c>
      <c r="H98" s="15">
        <v>7.585</v>
      </c>
    </row>
    <row r="99" spans="1:8" x14ac:dyDescent="0.2">
      <c r="A99" s="24">
        <v>22</v>
      </c>
      <c r="B99" s="25" t="s">
        <v>365</v>
      </c>
      <c r="C99" s="25" t="s">
        <v>366</v>
      </c>
      <c r="D99" s="25" t="s">
        <v>152</v>
      </c>
      <c r="E99" s="26">
        <v>1000</v>
      </c>
      <c r="F99" s="27">
        <v>4975.1400000000003</v>
      </c>
      <c r="G99" s="28">
        <v>8.2331599999999998E-3</v>
      </c>
      <c r="H99" s="15">
        <v>7.6</v>
      </c>
    </row>
    <row r="100" spans="1:8" x14ac:dyDescent="0.2">
      <c r="A100" s="24">
        <v>23</v>
      </c>
      <c r="B100" s="25" t="s">
        <v>367</v>
      </c>
      <c r="C100" s="25" t="s">
        <v>368</v>
      </c>
      <c r="D100" s="25" t="s">
        <v>152</v>
      </c>
      <c r="E100" s="26">
        <v>1000</v>
      </c>
      <c r="F100" s="27">
        <v>4972.96</v>
      </c>
      <c r="G100" s="28">
        <v>8.2295500000000004E-3</v>
      </c>
      <c r="H100" s="15">
        <v>7.3502999999999998</v>
      </c>
    </row>
    <row r="101" spans="1:8" ht="25.5" x14ac:dyDescent="0.2">
      <c r="A101" s="24">
        <v>24</v>
      </c>
      <c r="B101" s="25" t="s">
        <v>369</v>
      </c>
      <c r="C101" s="25" t="s">
        <v>370</v>
      </c>
      <c r="D101" s="25" t="s">
        <v>146</v>
      </c>
      <c r="E101" s="26">
        <v>1000</v>
      </c>
      <c r="F101" s="27">
        <v>4965.8649999999998</v>
      </c>
      <c r="G101" s="28">
        <v>8.2178100000000007E-3</v>
      </c>
      <c r="H101" s="15">
        <v>7.3800999999999997</v>
      </c>
    </row>
    <row r="102" spans="1:8" ht="25.5" x14ac:dyDescent="0.2">
      <c r="A102" s="24">
        <v>25</v>
      </c>
      <c r="B102" s="25" t="s">
        <v>371</v>
      </c>
      <c r="C102" s="25" t="s">
        <v>372</v>
      </c>
      <c r="D102" s="25" t="s">
        <v>152</v>
      </c>
      <c r="E102" s="26">
        <v>1000</v>
      </c>
      <c r="F102" s="27">
        <v>4958.03</v>
      </c>
      <c r="G102" s="28">
        <v>8.2048399999999997E-3</v>
      </c>
      <c r="H102" s="15">
        <v>7.7248999999999999</v>
      </c>
    </row>
    <row r="103" spans="1:8" ht="25.5" x14ac:dyDescent="0.2">
      <c r="A103" s="24">
        <v>26</v>
      </c>
      <c r="B103" s="25" t="s">
        <v>373</v>
      </c>
      <c r="C103" s="25" t="s">
        <v>374</v>
      </c>
      <c r="D103" s="25" t="s">
        <v>152</v>
      </c>
      <c r="E103" s="26">
        <v>1000</v>
      </c>
      <c r="F103" s="27">
        <v>4956.84</v>
      </c>
      <c r="G103" s="28">
        <v>8.2028699999999993E-3</v>
      </c>
      <c r="H103" s="15">
        <v>7.9450000000000003</v>
      </c>
    </row>
    <row r="104" spans="1:8" x14ac:dyDescent="0.2">
      <c r="A104" s="24">
        <v>27</v>
      </c>
      <c r="B104" s="25" t="s">
        <v>375</v>
      </c>
      <c r="C104" s="25" t="s">
        <v>376</v>
      </c>
      <c r="D104" s="25" t="s">
        <v>152</v>
      </c>
      <c r="E104" s="26">
        <v>1000</v>
      </c>
      <c r="F104" s="27">
        <v>4955.3100000000004</v>
      </c>
      <c r="G104" s="28">
        <v>8.2003400000000004E-3</v>
      </c>
      <c r="H104" s="15">
        <v>7.3150000000000004</v>
      </c>
    </row>
    <row r="105" spans="1:8" x14ac:dyDescent="0.2">
      <c r="A105" s="24">
        <v>28</v>
      </c>
      <c r="B105" s="25" t="s">
        <v>377</v>
      </c>
      <c r="C105" s="25" t="s">
        <v>378</v>
      </c>
      <c r="D105" s="25" t="s">
        <v>152</v>
      </c>
      <c r="E105" s="26">
        <v>1000</v>
      </c>
      <c r="F105" s="27">
        <v>4954.92</v>
      </c>
      <c r="G105" s="28">
        <v>8.1997000000000007E-3</v>
      </c>
      <c r="H105" s="15">
        <v>7.38</v>
      </c>
    </row>
    <row r="106" spans="1:8" x14ac:dyDescent="0.2">
      <c r="A106" s="24">
        <v>29</v>
      </c>
      <c r="B106" s="25" t="s">
        <v>379</v>
      </c>
      <c r="C106" s="25" t="s">
        <v>380</v>
      </c>
      <c r="D106" s="25" t="s">
        <v>152</v>
      </c>
      <c r="E106" s="26">
        <v>1000</v>
      </c>
      <c r="F106" s="27">
        <v>4949.21</v>
      </c>
      <c r="G106" s="28">
        <v>8.1902499999999996E-3</v>
      </c>
      <c r="H106" s="15">
        <v>7.97</v>
      </c>
    </row>
    <row r="107" spans="1:8" x14ac:dyDescent="0.2">
      <c r="A107" s="24">
        <v>30</v>
      </c>
      <c r="B107" s="25" t="s">
        <v>381</v>
      </c>
      <c r="C107" s="25" t="s">
        <v>382</v>
      </c>
      <c r="D107" s="25" t="s">
        <v>152</v>
      </c>
      <c r="E107" s="26">
        <v>1000</v>
      </c>
      <c r="F107" s="27">
        <v>4914.95</v>
      </c>
      <c r="G107" s="28">
        <v>8.1335499999999998E-3</v>
      </c>
      <c r="H107" s="15">
        <v>7.8949999999999996</v>
      </c>
    </row>
    <row r="108" spans="1:8" ht="25.5" x14ac:dyDescent="0.2">
      <c r="A108" s="24">
        <v>31</v>
      </c>
      <c r="B108" s="25" t="s">
        <v>383</v>
      </c>
      <c r="C108" s="25" t="s">
        <v>384</v>
      </c>
      <c r="D108" s="25" t="s">
        <v>152</v>
      </c>
      <c r="E108" s="26">
        <v>600</v>
      </c>
      <c r="F108" s="27">
        <v>2988.0479999999998</v>
      </c>
      <c r="G108" s="28">
        <v>4.9448000000000001E-3</v>
      </c>
      <c r="H108" s="15">
        <v>7.3</v>
      </c>
    </row>
    <row r="109" spans="1:8" x14ac:dyDescent="0.2">
      <c r="A109" s="24">
        <v>32</v>
      </c>
      <c r="B109" s="25" t="s">
        <v>385</v>
      </c>
      <c r="C109" s="25" t="s">
        <v>386</v>
      </c>
      <c r="D109" s="25" t="s">
        <v>152</v>
      </c>
      <c r="E109" s="26">
        <v>500</v>
      </c>
      <c r="F109" s="27">
        <v>2497.8150000000001</v>
      </c>
      <c r="G109" s="28">
        <v>4.1335299999999998E-3</v>
      </c>
      <c r="H109" s="15">
        <v>7.9850000000000003</v>
      </c>
    </row>
    <row r="110" spans="1:8" x14ac:dyDescent="0.2">
      <c r="A110" s="24">
        <v>33</v>
      </c>
      <c r="B110" s="25" t="s">
        <v>387</v>
      </c>
      <c r="C110" s="25" t="s">
        <v>388</v>
      </c>
      <c r="D110" s="25" t="s">
        <v>152</v>
      </c>
      <c r="E110" s="26">
        <v>500</v>
      </c>
      <c r="F110" s="27">
        <v>2489.94</v>
      </c>
      <c r="G110" s="28">
        <v>4.1205E-3</v>
      </c>
      <c r="H110" s="15">
        <v>7.375</v>
      </c>
    </row>
    <row r="111" spans="1:8" x14ac:dyDescent="0.2">
      <c r="A111" s="24">
        <v>34</v>
      </c>
      <c r="B111" s="25" t="s">
        <v>389</v>
      </c>
      <c r="C111" s="25" t="s">
        <v>390</v>
      </c>
      <c r="D111" s="25" t="s">
        <v>152</v>
      </c>
      <c r="E111" s="26">
        <v>500</v>
      </c>
      <c r="F111" s="27">
        <v>2486.2049999999999</v>
      </c>
      <c r="G111" s="28">
        <v>4.1143200000000003E-3</v>
      </c>
      <c r="H111" s="15">
        <v>7.79</v>
      </c>
    </row>
    <row r="112" spans="1:8" x14ac:dyDescent="0.2">
      <c r="A112" s="17"/>
      <c r="B112" s="17"/>
      <c r="C112" s="18" t="s">
        <v>11</v>
      </c>
      <c r="D112" s="17"/>
      <c r="E112" s="17" t="s">
        <v>12</v>
      </c>
      <c r="F112" s="23">
        <v>233772.878</v>
      </c>
      <c r="G112" s="20">
        <v>0.38686125999999998</v>
      </c>
      <c r="H112" s="15" t="s">
        <v>12</v>
      </c>
    </row>
    <row r="113" spans="1:8" x14ac:dyDescent="0.2">
      <c r="A113" s="17"/>
      <c r="B113" s="17"/>
      <c r="C113" s="21"/>
      <c r="D113" s="17"/>
      <c r="E113" s="17"/>
      <c r="F113" s="22"/>
      <c r="G113" s="22"/>
      <c r="H113" s="15" t="s">
        <v>12</v>
      </c>
    </row>
    <row r="114" spans="1:8" x14ac:dyDescent="0.2">
      <c r="A114" s="17"/>
      <c r="B114" s="17"/>
      <c r="C114" s="18" t="s">
        <v>93</v>
      </c>
      <c r="D114" s="17"/>
      <c r="E114" s="17"/>
      <c r="F114" s="22"/>
      <c r="G114" s="22"/>
      <c r="H114" s="15" t="s">
        <v>12</v>
      </c>
    </row>
    <row r="115" spans="1:8" x14ac:dyDescent="0.2">
      <c r="A115" s="24">
        <v>1</v>
      </c>
      <c r="B115" s="25" t="s">
        <v>391</v>
      </c>
      <c r="C115" s="25" t="s">
        <v>392</v>
      </c>
      <c r="D115" s="25" t="s">
        <v>75</v>
      </c>
      <c r="E115" s="26">
        <v>20000000</v>
      </c>
      <c r="F115" s="27">
        <v>19835.900000000001</v>
      </c>
      <c r="G115" s="28">
        <v>3.2825630000000001E-2</v>
      </c>
      <c r="H115" s="15">
        <v>6.4249999999999998</v>
      </c>
    </row>
    <row r="116" spans="1:8" x14ac:dyDescent="0.2">
      <c r="A116" s="24">
        <v>2</v>
      </c>
      <c r="B116" s="25" t="s">
        <v>393</v>
      </c>
      <c r="C116" s="25" t="s">
        <v>394</v>
      </c>
      <c r="D116" s="25" t="s">
        <v>75</v>
      </c>
      <c r="E116" s="26">
        <v>10000000</v>
      </c>
      <c r="F116" s="27">
        <v>9855.7800000000007</v>
      </c>
      <c r="G116" s="28">
        <v>1.630993E-2</v>
      </c>
      <c r="H116" s="15">
        <v>6.5137999999999998</v>
      </c>
    </row>
    <row r="117" spans="1:8" x14ac:dyDescent="0.2">
      <c r="A117" s="24">
        <v>3</v>
      </c>
      <c r="B117" s="25" t="s">
        <v>395</v>
      </c>
      <c r="C117" s="25" t="s">
        <v>396</v>
      </c>
      <c r="D117" s="25" t="s">
        <v>75</v>
      </c>
      <c r="E117" s="26">
        <v>7500000</v>
      </c>
      <c r="F117" s="27">
        <v>7475.0024999999996</v>
      </c>
      <c r="G117" s="28">
        <v>1.237008E-2</v>
      </c>
      <c r="H117" s="15">
        <v>6.4249999999999998</v>
      </c>
    </row>
    <row r="118" spans="1:8" x14ac:dyDescent="0.2">
      <c r="A118" s="24">
        <v>4</v>
      </c>
      <c r="B118" s="25" t="s">
        <v>397</v>
      </c>
      <c r="C118" s="25" t="s">
        <v>398</v>
      </c>
      <c r="D118" s="25" t="s">
        <v>75</v>
      </c>
      <c r="E118" s="26">
        <v>5000000</v>
      </c>
      <c r="F118" s="27">
        <v>4995.6450000000004</v>
      </c>
      <c r="G118" s="28">
        <v>8.2670899999999995E-3</v>
      </c>
      <c r="H118" s="15">
        <v>6.3650000000000002</v>
      </c>
    </row>
    <row r="119" spans="1:8" x14ac:dyDescent="0.2">
      <c r="A119" s="24">
        <v>5</v>
      </c>
      <c r="B119" s="25" t="s">
        <v>399</v>
      </c>
      <c r="C119" s="25" t="s">
        <v>400</v>
      </c>
      <c r="D119" s="25" t="s">
        <v>75</v>
      </c>
      <c r="E119" s="26">
        <v>1000000</v>
      </c>
      <c r="F119" s="27">
        <v>995.44399999999996</v>
      </c>
      <c r="G119" s="28">
        <v>1.6473200000000001E-3</v>
      </c>
      <c r="H119" s="15">
        <v>6.4249999999999998</v>
      </c>
    </row>
    <row r="120" spans="1:8" x14ac:dyDescent="0.2">
      <c r="A120" s="17"/>
      <c r="B120" s="17"/>
      <c r="C120" s="18" t="s">
        <v>11</v>
      </c>
      <c r="D120" s="17"/>
      <c r="E120" s="17" t="s">
        <v>12</v>
      </c>
      <c r="F120" s="23">
        <v>43157.771500000003</v>
      </c>
      <c r="G120" s="20">
        <v>7.1420049999999999E-2</v>
      </c>
      <c r="H120" s="15" t="s">
        <v>12</v>
      </c>
    </row>
    <row r="121" spans="1:8" x14ac:dyDescent="0.2">
      <c r="A121" s="17"/>
      <c r="B121" s="17"/>
      <c r="C121" s="21"/>
      <c r="D121" s="17"/>
      <c r="E121" s="17"/>
      <c r="F121" s="22"/>
      <c r="G121" s="22"/>
      <c r="H121" s="15" t="s">
        <v>12</v>
      </c>
    </row>
    <row r="122" spans="1:8" x14ac:dyDescent="0.2">
      <c r="A122" s="17"/>
      <c r="B122" s="17"/>
      <c r="C122" s="18" t="s">
        <v>94</v>
      </c>
      <c r="D122" s="17"/>
      <c r="E122" s="17"/>
      <c r="F122" s="22"/>
      <c r="G122" s="22"/>
      <c r="H122" s="15" t="s">
        <v>12</v>
      </c>
    </row>
    <row r="123" spans="1:8" x14ac:dyDescent="0.2">
      <c r="A123" s="24">
        <v>1</v>
      </c>
      <c r="B123" s="25"/>
      <c r="C123" s="25" t="s">
        <v>95</v>
      </c>
      <c r="D123" s="25"/>
      <c r="E123" s="29"/>
      <c r="F123" s="27">
        <v>2221.855432203</v>
      </c>
      <c r="G123" s="28">
        <v>3.6768600000000001E-3</v>
      </c>
      <c r="H123" s="15">
        <v>6.57</v>
      </c>
    </row>
    <row r="124" spans="1:8" x14ac:dyDescent="0.2">
      <c r="A124" s="17"/>
      <c r="B124" s="17"/>
      <c r="C124" s="18" t="s">
        <v>11</v>
      </c>
      <c r="D124" s="17"/>
      <c r="E124" s="17" t="s">
        <v>12</v>
      </c>
      <c r="F124" s="23">
        <v>2221.855432203</v>
      </c>
      <c r="G124" s="20">
        <v>3.6768600000000001E-3</v>
      </c>
      <c r="H124" s="15" t="s">
        <v>12</v>
      </c>
    </row>
    <row r="125" spans="1:8" x14ac:dyDescent="0.2">
      <c r="A125" s="17"/>
      <c r="B125" s="17"/>
      <c r="C125" s="21"/>
      <c r="D125" s="17"/>
      <c r="E125" s="17"/>
      <c r="F125" s="22"/>
      <c r="G125" s="22"/>
      <c r="H125" s="15" t="s">
        <v>12</v>
      </c>
    </row>
    <row r="126" spans="1:8" x14ac:dyDescent="0.2">
      <c r="A126" s="17"/>
      <c r="B126" s="17"/>
      <c r="C126" s="18" t="s">
        <v>96</v>
      </c>
      <c r="D126" s="17"/>
      <c r="E126" s="17"/>
      <c r="F126" s="23">
        <v>591044.97193220304</v>
      </c>
      <c r="G126" s="20">
        <v>0.97809637000000005</v>
      </c>
      <c r="H126" s="15" t="s">
        <v>12</v>
      </c>
    </row>
    <row r="127" spans="1:8" x14ac:dyDescent="0.2">
      <c r="A127" s="17"/>
      <c r="B127" s="17"/>
      <c r="C127" s="22"/>
      <c r="D127" s="17"/>
      <c r="E127" s="17"/>
      <c r="F127" s="17"/>
      <c r="G127" s="17"/>
      <c r="H127" s="15" t="s">
        <v>12</v>
      </c>
    </row>
    <row r="128" spans="1:8" x14ac:dyDescent="0.2">
      <c r="A128" s="17"/>
      <c r="B128" s="17"/>
      <c r="C128" s="18" t="s">
        <v>97</v>
      </c>
      <c r="D128" s="17"/>
      <c r="E128" s="17"/>
      <c r="F128" s="17"/>
      <c r="G128" s="17"/>
      <c r="H128" s="15" t="s">
        <v>12</v>
      </c>
    </row>
    <row r="129" spans="1:17" x14ac:dyDescent="0.2">
      <c r="A129" s="17"/>
      <c r="B129" s="17"/>
      <c r="C129" s="18" t="s">
        <v>98</v>
      </c>
      <c r="D129" s="17"/>
      <c r="E129" s="17"/>
      <c r="F129" s="17"/>
      <c r="G129" s="17"/>
      <c r="H129" s="15" t="s">
        <v>12</v>
      </c>
    </row>
    <row r="130" spans="1:17" x14ac:dyDescent="0.2">
      <c r="A130" s="17"/>
      <c r="B130" s="17"/>
      <c r="C130" s="18" t="s">
        <v>11</v>
      </c>
      <c r="D130" s="17"/>
      <c r="E130" s="17" t="s">
        <v>12</v>
      </c>
      <c r="F130" s="19" t="s">
        <v>13</v>
      </c>
      <c r="G130" s="20">
        <v>0</v>
      </c>
      <c r="H130" s="15" t="s">
        <v>12</v>
      </c>
    </row>
    <row r="131" spans="1:17" x14ac:dyDescent="0.2">
      <c r="A131" s="30"/>
      <c r="B131" s="30"/>
      <c r="C131" s="31"/>
      <c r="D131" s="30"/>
      <c r="E131" s="30"/>
      <c r="F131" s="32"/>
      <c r="G131" s="32"/>
      <c r="H131" s="15" t="s">
        <v>12</v>
      </c>
    </row>
    <row r="132" spans="1:17" x14ac:dyDescent="0.2">
      <c r="A132" s="30"/>
      <c r="B132" s="30"/>
      <c r="C132" s="34" t="s">
        <v>563</v>
      </c>
      <c r="D132" s="30"/>
      <c r="E132" s="30"/>
      <c r="F132" s="32"/>
      <c r="G132" s="32"/>
      <c r="H132" s="32" t="s">
        <v>12</v>
      </c>
      <c r="K132" s="36"/>
      <c r="L132" s="36"/>
      <c r="M132" s="36"/>
      <c r="N132" s="36"/>
      <c r="O132" s="37"/>
      <c r="P132" s="37"/>
      <c r="Q132" s="37"/>
    </row>
    <row r="133" spans="1:17" ht="25.5" x14ac:dyDescent="0.2">
      <c r="A133" s="38">
        <v>1</v>
      </c>
      <c r="B133" s="39" t="s">
        <v>99</v>
      </c>
      <c r="C133" s="39" t="s">
        <v>100</v>
      </c>
      <c r="D133" s="39"/>
      <c r="E133" s="40">
        <v>13489.8614</v>
      </c>
      <c r="F133" s="35">
        <v>1471.8240624760001</v>
      </c>
      <c r="G133" s="41">
        <v>2.4356600000000001E-3</v>
      </c>
      <c r="H133" s="41"/>
    </row>
    <row r="134" spans="1:17" x14ac:dyDescent="0.2">
      <c r="A134" s="30"/>
      <c r="B134" s="30"/>
      <c r="C134" s="34" t="s">
        <v>11</v>
      </c>
      <c r="D134" s="30"/>
      <c r="E134" s="30" t="s">
        <v>12</v>
      </c>
      <c r="F134" s="42">
        <f>SUM(F133)</f>
        <v>1471.8240624760001</v>
      </c>
      <c r="G134" s="43">
        <f>SUM(G133)</f>
        <v>2.4356600000000001E-3</v>
      </c>
      <c r="H134" s="43" t="s">
        <v>12</v>
      </c>
    </row>
    <row r="135" spans="1:17" x14ac:dyDescent="0.2">
      <c r="A135" s="17"/>
      <c r="B135" s="17"/>
      <c r="C135" s="21"/>
      <c r="D135" s="17"/>
      <c r="E135" s="17"/>
      <c r="F135" s="22"/>
      <c r="G135" s="22"/>
      <c r="H135" s="15" t="s">
        <v>12</v>
      </c>
    </row>
    <row r="136" spans="1:17" x14ac:dyDescent="0.2">
      <c r="A136" s="17"/>
      <c r="B136" s="17"/>
      <c r="C136" s="18" t="s">
        <v>101</v>
      </c>
      <c r="D136" s="17"/>
      <c r="E136" s="17"/>
      <c r="F136" s="17"/>
      <c r="G136" s="17"/>
      <c r="H136" s="15" t="s">
        <v>12</v>
      </c>
    </row>
    <row r="137" spans="1:17" x14ac:dyDescent="0.2">
      <c r="A137" s="17"/>
      <c r="B137" s="17"/>
      <c r="C137" s="18" t="s">
        <v>102</v>
      </c>
      <c r="D137" s="17"/>
      <c r="E137" s="17"/>
      <c r="F137" s="17"/>
      <c r="G137" s="17"/>
      <c r="H137" s="15" t="s">
        <v>12</v>
      </c>
    </row>
    <row r="138" spans="1:17" x14ac:dyDescent="0.2">
      <c r="A138" s="17"/>
      <c r="B138" s="17"/>
      <c r="C138" s="18" t="s">
        <v>11</v>
      </c>
      <c r="D138" s="17"/>
      <c r="E138" s="17" t="s">
        <v>12</v>
      </c>
      <c r="F138" s="19" t="s">
        <v>13</v>
      </c>
      <c r="G138" s="20">
        <v>0</v>
      </c>
      <c r="H138" s="15" t="s">
        <v>12</v>
      </c>
    </row>
    <row r="139" spans="1:17" x14ac:dyDescent="0.2">
      <c r="A139" s="17"/>
      <c r="B139" s="17"/>
      <c r="C139" s="21"/>
      <c r="D139" s="17"/>
      <c r="E139" s="17"/>
      <c r="F139" s="22"/>
      <c r="G139" s="22"/>
      <c r="H139" s="15" t="s">
        <v>12</v>
      </c>
    </row>
    <row r="140" spans="1:17" x14ac:dyDescent="0.2">
      <c r="A140" s="17"/>
      <c r="B140" s="17"/>
      <c r="C140" s="18" t="s">
        <v>103</v>
      </c>
      <c r="D140" s="17"/>
      <c r="E140" s="17"/>
      <c r="F140" s="22"/>
      <c r="G140" s="22"/>
      <c r="H140" s="15" t="s">
        <v>12</v>
      </c>
    </row>
    <row r="141" spans="1:17" x14ac:dyDescent="0.2">
      <c r="A141" s="17"/>
      <c r="B141" s="17"/>
      <c r="C141" s="18" t="s">
        <v>11</v>
      </c>
      <c r="D141" s="17"/>
      <c r="E141" s="17" t="s">
        <v>12</v>
      </c>
      <c r="F141" s="19" t="s">
        <v>13</v>
      </c>
      <c r="G141" s="20">
        <v>0</v>
      </c>
      <c r="H141" s="15" t="s">
        <v>12</v>
      </c>
    </row>
    <row r="142" spans="1:17" x14ac:dyDescent="0.2">
      <c r="A142" s="17"/>
      <c r="B142" s="25"/>
      <c r="C142" s="25"/>
      <c r="D142" s="18"/>
      <c r="E142" s="17"/>
      <c r="F142" s="25"/>
      <c r="G142" s="29"/>
      <c r="H142" s="15" t="s">
        <v>12</v>
      </c>
    </row>
    <row r="143" spans="1:17" x14ac:dyDescent="0.2">
      <c r="A143" s="29"/>
      <c r="B143" s="25"/>
      <c r="C143" s="25" t="s">
        <v>104</v>
      </c>
      <c r="D143" s="25"/>
      <c r="E143" s="29"/>
      <c r="F143" s="27">
        <f>785.05186166-0.000813609085083008</f>
        <v>785.05104805091491</v>
      </c>
      <c r="G143" s="28">
        <v>1.29915E-3</v>
      </c>
      <c r="H143" s="15" t="s">
        <v>12</v>
      </c>
    </row>
    <row r="144" spans="1:17" x14ac:dyDescent="0.2">
      <c r="A144" s="21"/>
      <c r="B144" s="21"/>
      <c r="C144" s="18" t="s">
        <v>105</v>
      </c>
      <c r="D144" s="22"/>
      <c r="E144" s="22"/>
      <c r="F144" s="23">
        <f>604280.903856339-0.000813609085083008</f>
        <v>604280.90304272994</v>
      </c>
      <c r="G144" s="44">
        <v>0.99999998000000001</v>
      </c>
      <c r="H144" s="15" t="s">
        <v>12</v>
      </c>
    </row>
    <row r="145" spans="1:8" x14ac:dyDescent="0.2">
      <c r="A145" s="45"/>
      <c r="B145" s="45"/>
      <c r="C145" s="45"/>
      <c r="D145" s="46"/>
      <c r="E145" s="46"/>
      <c r="F145" s="46"/>
      <c r="G145" s="46"/>
    </row>
    <row r="146" spans="1:8" x14ac:dyDescent="0.2">
      <c r="A146" s="47"/>
      <c r="B146" s="48" t="s">
        <v>564</v>
      </c>
      <c r="C146" s="48"/>
      <c r="D146" s="48"/>
      <c r="E146" s="48"/>
      <c r="F146" s="48"/>
      <c r="G146" s="48"/>
      <c r="H146" s="48"/>
    </row>
    <row r="147" spans="1:8" x14ac:dyDescent="0.2">
      <c r="A147" s="47"/>
      <c r="B147" s="48" t="s">
        <v>565</v>
      </c>
      <c r="C147" s="48"/>
      <c r="D147" s="48"/>
      <c r="E147" s="48"/>
      <c r="F147" s="48"/>
      <c r="G147" s="48"/>
      <c r="H147" s="48"/>
    </row>
    <row r="148" spans="1:8" x14ac:dyDescent="0.2">
      <c r="A148" s="47"/>
      <c r="B148" s="48" t="s">
        <v>566</v>
      </c>
      <c r="C148" s="48"/>
      <c r="D148" s="48"/>
      <c r="E148" s="48"/>
      <c r="F148" s="48"/>
      <c r="G148" s="48"/>
      <c r="H148" s="48"/>
    </row>
    <row r="149" spans="1:8" x14ac:dyDescent="0.2">
      <c r="A149" s="47"/>
      <c r="B149" s="94" t="s">
        <v>688</v>
      </c>
      <c r="C149" s="48"/>
      <c r="D149" s="48"/>
      <c r="E149" s="48"/>
      <c r="F149" s="48"/>
      <c r="G149" s="48"/>
      <c r="H149" s="48"/>
    </row>
    <row r="150" spans="1:8" x14ac:dyDescent="0.2">
      <c r="A150" s="49"/>
      <c r="B150" s="49"/>
      <c r="C150" s="49"/>
      <c r="D150" s="50"/>
      <c r="E150" s="50"/>
      <c r="F150" s="50"/>
      <c r="G150" s="50"/>
    </row>
    <row r="151" spans="1:8" x14ac:dyDescent="0.2">
      <c r="A151" s="49"/>
      <c r="B151" s="51" t="s">
        <v>106</v>
      </c>
      <c r="C151" s="52"/>
      <c r="D151" s="53"/>
      <c r="E151" s="54"/>
      <c r="F151" s="50"/>
      <c r="G151" s="50"/>
    </row>
    <row r="152" spans="1:8" ht="25.5" x14ac:dyDescent="0.2">
      <c r="A152" s="49"/>
      <c r="B152" s="55" t="s">
        <v>107</v>
      </c>
      <c r="C152" s="56"/>
      <c r="D152" s="34" t="s">
        <v>591</v>
      </c>
      <c r="E152" s="54"/>
      <c r="F152" s="50"/>
      <c r="G152" s="50"/>
    </row>
    <row r="153" spans="1:8" x14ac:dyDescent="0.2">
      <c r="A153" s="49"/>
      <c r="B153" s="55" t="s">
        <v>109</v>
      </c>
      <c r="C153" s="56"/>
      <c r="D153" s="18" t="s">
        <v>108</v>
      </c>
      <c r="E153" s="54"/>
      <c r="F153" s="50"/>
      <c r="G153" s="50"/>
    </row>
    <row r="154" spans="1:8" x14ac:dyDescent="0.2">
      <c r="A154" s="49"/>
      <c r="B154" s="55" t="s">
        <v>110</v>
      </c>
      <c r="C154" s="56"/>
      <c r="D154" s="22" t="s">
        <v>12</v>
      </c>
      <c r="E154" s="54"/>
      <c r="F154" s="50"/>
      <c r="G154" s="50"/>
    </row>
    <row r="155" spans="1:8" x14ac:dyDescent="0.2">
      <c r="A155" s="57"/>
      <c r="B155" s="58" t="s">
        <v>12</v>
      </c>
      <c r="C155" s="58" t="s">
        <v>567</v>
      </c>
      <c r="D155" s="58" t="s">
        <v>111</v>
      </c>
      <c r="E155" s="57"/>
      <c r="F155" s="57"/>
      <c r="G155" s="57"/>
      <c r="H155" s="95"/>
    </row>
    <row r="156" spans="1:8" x14ac:dyDescent="0.2">
      <c r="A156" s="57"/>
      <c r="B156" s="59" t="s">
        <v>112</v>
      </c>
      <c r="C156" s="60">
        <v>45657</v>
      </c>
      <c r="D156" s="60">
        <v>45688</v>
      </c>
      <c r="E156" s="57"/>
      <c r="F156" s="57"/>
      <c r="G156" s="57"/>
    </row>
    <row r="157" spans="1:8" x14ac:dyDescent="0.2">
      <c r="A157" s="61"/>
      <c r="B157" s="25" t="s">
        <v>113</v>
      </c>
      <c r="C157" s="62">
        <v>2249.7415999999998</v>
      </c>
      <c r="D157" s="62">
        <v>2263.2276999999999</v>
      </c>
      <c r="E157" s="61"/>
      <c r="F157" s="63"/>
      <c r="G157" s="64"/>
    </row>
    <row r="158" spans="1:8" x14ac:dyDescent="0.2">
      <c r="A158" s="61"/>
      <c r="B158" s="25" t="s">
        <v>141</v>
      </c>
      <c r="C158" s="62">
        <v>1237.1476</v>
      </c>
      <c r="D158" s="62">
        <v>1244.5623000000001</v>
      </c>
      <c r="E158" s="61"/>
      <c r="F158" s="63"/>
      <c r="G158" s="64"/>
    </row>
    <row r="159" spans="1:8" ht="25.5" x14ac:dyDescent="0.2">
      <c r="A159" s="61"/>
      <c r="B159" s="25" t="s">
        <v>689</v>
      </c>
      <c r="C159" s="62">
        <v>1027.0038999999999</v>
      </c>
      <c r="D159" s="62">
        <v>1026.9078</v>
      </c>
      <c r="E159" s="61"/>
      <c r="F159" s="63"/>
      <c r="G159" s="64"/>
    </row>
    <row r="160" spans="1:8" ht="25.5" x14ac:dyDescent="0.2">
      <c r="A160" s="61"/>
      <c r="B160" s="25" t="s">
        <v>690</v>
      </c>
      <c r="C160" s="62">
        <v>1137.7311</v>
      </c>
      <c r="D160" s="62">
        <v>1144.547</v>
      </c>
      <c r="E160" s="61"/>
      <c r="F160" s="63"/>
      <c r="G160" s="64"/>
    </row>
    <row r="161" spans="1:17" x14ac:dyDescent="0.2">
      <c r="A161" s="61"/>
      <c r="B161" s="25" t="s">
        <v>114</v>
      </c>
      <c r="C161" s="62">
        <v>2226.1694000000002</v>
      </c>
      <c r="D161" s="62">
        <v>2239.1480999999999</v>
      </c>
      <c r="E161" s="61"/>
      <c r="F161" s="63"/>
      <c r="G161" s="64"/>
    </row>
    <row r="162" spans="1:17" x14ac:dyDescent="0.2">
      <c r="A162" s="61"/>
      <c r="B162" s="25" t="s">
        <v>142</v>
      </c>
      <c r="C162" s="62">
        <v>1232.2523000000001</v>
      </c>
      <c r="D162" s="62">
        <v>1239.4364</v>
      </c>
      <c r="E162" s="61"/>
      <c r="F162" s="63"/>
      <c r="G162" s="64"/>
    </row>
    <row r="163" spans="1:17" ht="25.5" x14ac:dyDescent="0.2">
      <c r="A163" s="61"/>
      <c r="B163" s="25" t="s">
        <v>693</v>
      </c>
      <c r="C163" s="62">
        <v>1026.8737000000001</v>
      </c>
      <c r="D163" s="62">
        <v>1026.7755</v>
      </c>
      <c r="E163" s="61"/>
      <c r="F163" s="63"/>
      <c r="G163" s="64"/>
    </row>
    <row r="164" spans="1:17" ht="25.5" x14ac:dyDescent="0.2">
      <c r="A164" s="61"/>
      <c r="B164" s="25" t="s">
        <v>657</v>
      </c>
      <c r="C164" s="62">
        <v>1133.4367999999999</v>
      </c>
      <c r="D164" s="62">
        <v>1140.0446999999999</v>
      </c>
      <c r="E164" s="61"/>
      <c r="F164" s="63"/>
      <c r="G164" s="64"/>
    </row>
    <row r="165" spans="1:17" x14ac:dyDescent="0.2">
      <c r="A165" s="61"/>
      <c r="B165" s="61"/>
      <c r="C165" s="61"/>
      <c r="D165" s="61"/>
      <c r="E165" s="61"/>
      <c r="F165" s="61"/>
      <c r="G165" s="61"/>
    </row>
    <row r="166" spans="1:17" x14ac:dyDescent="0.2">
      <c r="A166" s="61"/>
      <c r="B166" s="55" t="s">
        <v>568</v>
      </c>
      <c r="C166" s="56"/>
      <c r="D166" s="18" t="s">
        <v>12</v>
      </c>
      <c r="E166" s="61"/>
      <c r="F166" s="61"/>
      <c r="G166" s="61"/>
    </row>
    <row r="167" spans="1:17" x14ac:dyDescent="0.2">
      <c r="A167" s="61"/>
      <c r="B167" s="65" t="s">
        <v>112</v>
      </c>
      <c r="C167" s="66" t="s">
        <v>115</v>
      </c>
      <c r="D167" s="66" t="s">
        <v>116</v>
      </c>
      <c r="E167" s="61"/>
      <c r="F167" s="61"/>
      <c r="G167" s="61"/>
    </row>
    <row r="168" spans="1:17" ht="25.5" x14ac:dyDescent="0.2">
      <c r="A168" s="61"/>
      <c r="B168" s="25" t="s">
        <v>689</v>
      </c>
      <c r="C168" s="67">
        <v>6.2366999999999999</v>
      </c>
      <c r="D168" s="67">
        <v>6.2366999999999999</v>
      </c>
      <c r="E168" s="61"/>
      <c r="F168" s="63"/>
      <c r="G168" s="64"/>
    </row>
    <row r="169" spans="1:17" ht="25.5" x14ac:dyDescent="0.2">
      <c r="A169" s="61"/>
      <c r="B169" s="25" t="s">
        <v>693</v>
      </c>
      <c r="C169" s="67">
        <v>6.0705</v>
      </c>
      <c r="D169" s="67">
        <v>6.0705</v>
      </c>
      <c r="E169" s="61"/>
      <c r="F169" s="63"/>
      <c r="G169" s="64"/>
    </row>
    <row r="170" spans="1:17" x14ac:dyDescent="0.2">
      <c r="A170" s="61"/>
      <c r="B170" s="89"/>
      <c r="C170" s="89"/>
      <c r="D170" s="90"/>
      <c r="E170" s="61"/>
      <c r="F170" s="63"/>
      <c r="G170" s="64"/>
    </row>
    <row r="171" spans="1:17" s="72" customFormat="1" x14ac:dyDescent="0.2">
      <c r="A171" s="91"/>
      <c r="B171" s="69" t="s">
        <v>583</v>
      </c>
      <c r="C171" s="70"/>
      <c r="D171" s="34" t="s">
        <v>108</v>
      </c>
      <c r="E171" s="91"/>
      <c r="F171" s="91"/>
      <c r="G171" s="91"/>
      <c r="I171" s="16"/>
      <c r="J171" s="93"/>
      <c r="K171" s="36"/>
      <c r="L171" s="36"/>
      <c r="M171" s="36"/>
      <c r="N171" s="36"/>
      <c r="O171" s="85"/>
      <c r="P171" s="16"/>
      <c r="Q171" s="16"/>
    </row>
    <row r="172" spans="1:17" ht="27.75" customHeight="1" x14ac:dyDescent="0.2">
      <c r="A172" s="57"/>
      <c r="B172" s="69" t="s">
        <v>584</v>
      </c>
      <c r="C172" s="70"/>
      <c r="D172" s="34" t="s">
        <v>108</v>
      </c>
      <c r="E172" s="71"/>
      <c r="F172" s="57"/>
      <c r="G172" s="57"/>
      <c r="J172" s="93"/>
    </row>
    <row r="173" spans="1:17" ht="26.25" customHeight="1" x14ac:dyDescent="0.2">
      <c r="A173" s="57"/>
      <c r="B173" s="69" t="s">
        <v>585</v>
      </c>
      <c r="C173" s="70"/>
      <c r="D173" s="34" t="s">
        <v>108</v>
      </c>
      <c r="E173" s="71"/>
      <c r="F173" s="57"/>
      <c r="G173" s="57"/>
      <c r="J173" s="93"/>
    </row>
    <row r="174" spans="1:17" x14ac:dyDescent="0.2">
      <c r="A174" s="57"/>
      <c r="B174" s="69" t="s">
        <v>586</v>
      </c>
      <c r="C174" s="70"/>
      <c r="D174" s="34" t="s">
        <v>108</v>
      </c>
      <c r="E174" s="71"/>
      <c r="F174" s="57"/>
      <c r="G174" s="57"/>
      <c r="J174" s="93"/>
    </row>
    <row r="175" spans="1:17" x14ac:dyDescent="0.2">
      <c r="A175" s="68"/>
      <c r="B175" s="68"/>
      <c r="C175" s="68"/>
      <c r="D175" s="68"/>
      <c r="E175" s="68"/>
      <c r="F175" s="68"/>
      <c r="G175" s="68"/>
      <c r="J175" s="93"/>
    </row>
    <row r="176" spans="1:17" s="72" customFormat="1" x14ac:dyDescent="0.2">
      <c r="B176" s="100" t="s">
        <v>683</v>
      </c>
      <c r="C176" s="100"/>
      <c r="D176" s="100"/>
      <c r="E176" s="100"/>
      <c r="F176" s="100"/>
      <c r="G176" s="100"/>
      <c r="I176" s="16"/>
      <c r="J176" s="93"/>
      <c r="K176" s="36"/>
      <c r="L176" s="36"/>
      <c r="M176" s="36"/>
      <c r="N176" s="36"/>
      <c r="O176" s="16"/>
    </row>
    <row r="177" spans="2:18" s="72" customFormat="1" x14ac:dyDescent="0.2">
      <c r="B177" s="100"/>
      <c r="C177" s="100"/>
      <c r="D177" s="100"/>
      <c r="E177" s="100"/>
      <c r="F177" s="100"/>
      <c r="G177" s="100"/>
      <c r="I177" s="16"/>
      <c r="J177" s="93"/>
      <c r="K177" s="36"/>
      <c r="L177" s="36"/>
      <c r="M177" s="36"/>
      <c r="N177" s="36"/>
      <c r="O177" s="16"/>
    </row>
    <row r="178" spans="2:18" s="72" customFormat="1" ht="63.75" x14ac:dyDescent="0.2">
      <c r="B178" s="103" t="s">
        <v>594</v>
      </c>
      <c r="C178" s="103" t="s">
        <v>593</v>
      </c>
      <c r="D178" s="103" t="s">
        <v>623</v>
      </c>
      <c r="E178" s="103" t="s">
        <v>624</v>
      </c>
      <c r="F178" s="103" t="s">
        <v>597</v>
      </c>
      <c r="I178" s="16"/>
      <c r="J178" s="93"/>
      <c r="K178" s="36"/>
      <c r="L178" s="36"/>
      <c r="M178" s="36"/>
      <c r="N178" s="36"/>
      <c r="O178" s="16"/>
    </row>
    <row r="179" spans="2:18" s="72" customFormat="1" ht="25.5" x14ac:dyDescent="0.2">
      <c r="B179" s="79" t="s">
        <v>599</v>
      </c>
      <c r="C179" s="105" t="s">
        <v>598</v>
      </c>
      <c r="D179" s="214">
        <v>0</v>
      </c>
      <c r="E179" s="5">
        <v>0</v>
      </c>
      <c r="F179" s="106">
        <v>5650</v>
      </c>
      <c r="I179" s="16"/>
      <c r="J179" s="93"/>
      <c r="K179" s="36"/>
      <c r="L179" s="36"/>
      <c r="M179" s="36"/>
      <c r="N179" s="36"/>
      <c r="O179" s="16"/>
      <c r="R179" s="16"/>
    </row>
    <row r="180" spans="2:18" s="72" customFormat="1" x14ac:dyDescent="0.2">
      <c r="I180" s="16"/>
      <c r="J180" s="93"/>
      <c r="K180" s="36"/>
      <c r="L180" s="36"/>
      <c r="M180" s="36"/>
      <c r="N180" s="36"/>
      <c r="O180" s="16"/>
      <c r="R180" s="16"/>
    </row>
    <row r="181" spans="2:18" s="72" customFormat="1" x14ac:dyDescent="0.2">
      <c r="B181" s="73" t="s">
        <v>570</v>
      </c>
      <c r="C181" s="74"/>
      <c r="D181" s="75"/>
      <c r="I181" s="16"/>
      <c r="J181" s="93"/>
      <c r="K181" s="36"/>
      <c r="L181" s="36"/>
      <c r="M181" s="36"/>
      <c r="N181" s="36"/>
      <c r="O181" s="16"/>
      <c r="R181" s="16"/>
    </row>
    <row r="182" spans="2:18" s="72" customFormat="1" ht="25.5" x14ac:dyDescent="0.2">
      <c r="B182" s="76" t="s">
        <v>571</v>
      </c>
      <c r="C182" s="76"/>
      <c r="D182" s="77" t="s">
        <v>260</v>
      </c>
      <c r="I182" s="16"/>
      <c r="J182" s="93"/>
      <c r="K182" s="36"/>
      <c r="L182" s="36"/>
      <c r="M182" s="36"/>
      <c r="N182" s="36"/>
      <c r="O182" s="16"/>
      <c r="R182" s="16"/>
    </row>
    <row r="183" spans="2:18" s="72" customFormat="1" x14ac:dyDescent="0.2">
      <c r="B183" s="78" t="s">
        <v>572</v>
      </c>
      <c r="C183" s="78"/>
      <c r="D183" s="79"/>
      <c r="I183" s="16"/>
      <c r="J183" s="93"/>
      <c r="K183" s="36"/>
      <c r="L183" s="36"/>
      <c r="M183" s="36"/>
      <c r="N183" s="36"/>
      <c r="O183" s="16"/>
      <c r="R183" s="16"/>
    </row>
    <row r="184" spans="2:18" s="72" customFormat="1" x14ac:dyDescent="0.2">
      <c r="B184" s="78"/>
      <c r="C184" s="78"/>
      <c r="D184" s="82"/>
      <c r="I184" s="16"/>
      <c r="J184" s="93"/>
      <c r="K184" s="36"/>
      <c r="L184" s="36"/>
      <c r="M184" s="36"/>
      <c r="N184" s="36"/>
      <c r="O184" s="16"/>
      <c r="R184" s="16"/>
    </row>
    <row r="185" spans="2:18" s="72" customFormat="1" x14ac:dyDescent="0.2">
      <c r="B185" s="78" t="s">
        <v>573</v>
      </c>
      <c r="C185" s="78"/>
      <c r="D185" s="83">
        <v>7.3297844049710204</v>
      </c>
      <c r="I185" s="16"/>
      <c r="J185" s="93"/>
      <c r="K185" s="36"/>
      <c r="L185" s="36"/>
      <c r="M185" s="36"/>
      <c r="N185" s="36"/>
      <c r="O185" s="16"/>
      <c r="R185" s="16"/>
    </row>
    <row r="186" spans="2:18" s="72" customFormat="1" x14ac:dyDescent="0.2">
      <c r="B186" s="78"/>
      <c r="C186" s="78"/>
      <c r="D186" s="82"/>
      <c r="I186" s="16"/>
      <c r="J186" s="93"/>
      <c r="K186" s="36"/>
      <c r="L186" s="36"/>
      <c r="M186" s="36"/>
      <c r="N186" s="36"/>
      <c r="O186" s="16"/>
      <c r="R186" s="16"/>
    </row>
    <row r="187" spans="2:18" s="72" customFormat="1" x14ac:dyDescent="0.2">
      <c r="B187" s="78" t="s">
        <v>574</v>
      </c>
      <c r="C187" s="78"/>
      <c r="D187" s="83">
        <v>9.8839107878330112E-2</v>
      </c>
      <c r="I187" s="16"/>
      <c r="J187" s="93"/>
      <c r="K187" s="36"/>
      <c r="L187" s="36"/>
      <c r="M187" s="36"/>
      <c r="N187" s="36"/>
      <c r="O187" s="16"/>
      <c r="R187" s="16"/>
    </row>
    <row r="188" spans="2:18" s="72" customFormat="1" x14ac:dyDescent="0.2">
      <c r="B188" s="78" t="s">
        <v>575</v>
      </c>
      <c r="C188" s="78"/>
      <c r="D188" s="83">
        <v>9.8839107878330112E-2</v>
      </c>
      <c r="I188" s="16"/>
      <c r="J188" s="93"/>
      <c r="K188" s="36"/>
      <c r="L188" s="36"/>
      <c r="M188" s="36"/>
      <c r="N188" s="36"/>
      <c r="O188" s="16"/>
      <c r="R188" s="16"/>
    </row>
    <row r="189" spans="2:18" s="72" customFormat="1" x14ac:dyDescent="0.2">
      <c r="B189" s="78"/>
      <c r="C189" s="78"/>
      <c r="D189" s="82"/>
      <c r="I189" s="16"/>
      <c r="J189" s="93"/>
      <c r="K189" s="36"/>
      <c r="L189" s="36"/>
      <c r="M189" s="36"/>
      <c r="N189" s="36"/>
      <c r="O189" s="16"/>
      <c r="P189" s="16"/>
      <c r="Q189" s="16"/>
      <c r="R189" s="16"/>
    </row>
    <row r="190" spans="2:18" s="72" customFormat="1" x14ac:dyDescent="0.2">
      <c r="B190" s="78" t="s">
        <v>576</v>
      </c>
      <c r="C190" s="78"/>
      <c r="D190" s="84" t="s">
        <v>682</v>
      </c>
      <c r="I190" s="16"/>
      <c r="J190" s="93"/>
      <c r="K190" s="36"/>
      <c r="L190" s="36"/>
      <c r="M190" s="36"/>
      <c r="N190" s="36"/>
      <c r="O190" s="85"/>
    </row>
    <row r="191" spans="2:18" s="72" customFormat="1" x14ac:dyDescent="0.2">
      <c r="B191" s="80" t="s">
        <v>577</v>
      </c>
      <c r="C191" s="86"/>
      <c r="D191" s="81"/>
      <c r="I191" s="16"/>
      <c r="J191" s="93"/>
      <c r="K191" s="36"/>
      <c r="L191" s="36"/>
      <c r="M191" s="36"/>
      <c r="N191" s="36"/>
      <c r="O191" s="16"/>
      <c r="P191" s="16"/>
      <c r="Q191" s="16"/>
      <c r="R191" s="16"/>
    </row>
    <row r="192" spans="2:18" x14ac:dyDescent="0.2">
      <c r="J192" s="93"/>
    </row>
    <row r="193" spans="2:10" x14ac:dyDescent="0.2">
      <c r="B193" s="87" t="s">
        <v>578</v>
      </c>
    </row>
    <row r="195" spans="2:10" ht="153.75" customHeight="1" x14ac:dyDescent="0.2"/>
    <row r="198" spans="2:10" x14ac:dyDescent="0.2">
      <c r="B198" s="88" t="s">
        <v>579</v>
      </c>
      <c r="C198" s="10"/>
      <c r="D198" s="88" t="s">
        <v>580</v>
      </c>
    </row>
    <row r="199" spans="2:10" x14ac:dyDescent="0.2">
      <c r="B199" s="88" t="s">
        <v>625</v>
      </c>
      <c r="D199" s="88" t="s">
        <v>626</v>
      </c>
    </row>
    <row r="200" spans="2:10" ht="165" customHeight="1" x14ac:dyDescent="0.2"/>
    <row r="202" spans="2:10" x14ac:dyDescent="0.2">
      <c r="J202" s="93"/>
    </row>
  </sheetData>
  <mergeCells count="27">
    <mergeCell ref="B189:C189"/>
    <mergeCell ref="B190:C190"/>
    <mergeCell ref="B191:D191"/>
    <mergeCell ref="B184:C184"/>
    <mergeCell ref="B185:C185"/>
    <mergeCell ref="B186:C186"/>
    <mergeCell ref="B187:C187"/>
    <mergeCell ref="B188:C188"/>
    <mergeCell ref="B149:H149"/>
    <mergeCell ref="B181:D181"/>
    <mergeCell ref="B182:C182"/>
    <mergeCell ref="B183:C183"/>
    <mergeCell ref="A3:H3"/>
    <mergeCell ref="B171:C171"/>
    <mergeCell ref="B172:C172"/>
    <mergeCell ref="B173:C173"/>
    <mergeCell ref="B174:C174"/>
    <mergeCell ref="B151:D151"/>
    <mergeCell ref="B152:C152"/>
    <mergeCell ref="B153:C153"/>
    <mergeCell ref="B154:C154"/>
    <mergeCell ref="B166:C166"/>
    <mergeCell ref="A2:H2"/>
    <mergeCell ref="A1:H1"/>
    <mergeCell ref="B146:H146"/>
    <mergeCell ref="B147:H147"/>
    <mergeCell ref="B148:H148"/>
  </mergeCells>
  <hyperlinks>
    <hyperlink ref="I1" location="Index!B2" display="Index" xr:uid="{4F0FF2F4-8AED-4CAF-B77A-0EC34FE7217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7737-3747-4970-847C-03E134222F3F}">
  <sheetPr>
    <outlinePr summaryBelow="0" summaryRight="0"/>
  </sheetPr>
  <dimension ref="A1:S184"/>
  <sheetViews>
    <sheetView showGridLines="0" workbookViewId="0">
      <selection sqref="A1:H1"/>
    </sheetView>
  </sheetViews>
  <sheetFormatPr defaultRowHeight="12.75" x14ac:dyDescent="0.2"/>
  <cols>
    <col min="1" max="1" width="5.85546875" style="16" bestFit="1" customWidth="1"/>
    <col min="2" max="2" width="20" style="16" bestFit="1" customWidth="1"/>
    <col min="3" max="3" width="39.140625" style="16" bestFit="1" customWidth="1"/>
    <col min="4" max="4" width="10.7109375" style="16" bestFit="1" customWidth="1"/>
    <col min="5" max="5" width="8.710937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401</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547</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x14ac:dyDescent="0.2">
      <c r="A28" s="24">
        <v>1</v>
      </c>
      <c r="B28" s="25" t="s">
        <v>228</v>
      </c>
      <c r="C28" s="25" t="s">
        <v>229</v>
      </c>
      <c r="D28" s="25" t="s">
        <v>223</v>
      </c>
      <c r="E28" s="26">
        <v>1100</v>
      </c>
      <c r="F28" s="27">
        <v>1103.355</v>
      </c>
      <c r="G28" s="28">
        <v>5.0899970000000003E-2</v>
      </c>
      <c r="H28" s="15">
        <v>8.39</v>
      </c>
    </row>
    <row r="29" spans="1:8" ht="25.5" x14ac:dyDescent="0.2">
      <c r="A29" s="24">
        <v>2</v>
      </c>
      <c r="B29" s="25" t="s">
        <v>402</v>
      </c>
      <c r="C29" s="25" t="s">
        <v>403</v>
      </c>
      <c r="D29" s="25" t="s">
        <v>23</v>
      </c>
      <c r="E29" s="26">
        <v>1000</v>
      </c>
      <c r="F29" s="27">
        <v>1007.285</v>
      </c>
      <c r="G29" s="28">
        <v>4.646807E-2</v>
      </c>
      <c r="H29" s="15">
        <v>7.4950000000000001</v>
      </c>
    </row>
    <row r="30" spans="1:8" ht="25.5" x14ac:dyDescent="0.2">
      <c r="A30" s="24">
        <v>3</v>
      </c>
      <c r="B30" s="25" t="s">
        <v>37</v>
      </c>
      <c r="C30" s="25" t="s">
        <v>38</v>
      </c>
      <c r="D30" s="25" t="s">
        <v>23</v>
      </c>
      <c r="E30" s="26">
        <v>1000</v>
      </c>
      <c r="F30" s="27">
        <v>1006.557</v>
      </c>
      <c r="G30" s="28">
        <v>4.643448E-2</v>
      </c>
      <c r="H30" s="15">
        <v>7.42</v>
      </c>
    </row>
    <row r="31" spans="1:8" ht="25.5" x14ac:dyDescent="0.2">
      <c r="A31" s="24">
        <v>4</v>
      </c>
      <c r="B31" s="25" t="s">
        <v>131</v>
      </c>
      <c r="C31" s="25" t="s">
        <v>132</v>
      </c>
      <c r="D31" s="25" t="s">
        <v>23</v>
      </c>
      <c r="E31" s="26">
        <v>1000</v>
      </c>
      <c r="F31" s="27">
        <v>1001.715</v>
      </c>
      <c r="G31" s="28">
        <v>4.621111E-2</v>
      </c>
      <c r="H31" s="15">
        <v>7.3083</v>
      </c>
    </row>
    <row r="32" spans="1:8" ht="25.5" x14ac:dyDescent="0.2">
      <c r="A32" s="24">
        <v>5</v>
      </c>
      <c r="B32" s="25" t="s">
        <v>230</v>
      </c>
      <c r="C32" s="25" t="s">
        <v>231</v>
      </c>
      <c r="D32" s="25" t="s">
        <v>220</v>
      </c>
      <c r="E32" s="26">
        <v>1000</v>
      </c>
      <c r="F32" s="27">
        <v>1000.282</v>
      </c>
      <c r="G32" s="28">
        <v>4.6144999999999999E-2</v>
      </c>
      <c r="H32" s="15">
        <v>8.1300000000000008</v>
      </c>
    </row>
    <row r="33" spans="1:8" ht="25.5" x14ac:dyDescent="0.2">
      <c r="A33" s="24">
        <v>6</v>
      </c>
      <c r="B33" s="25" t="s">
        <v>404</v>
      </c>
      <c r="C33" s="25" t="s">
        <v>405</v>
      </c>
      <c r="D33" s="25" t="s">
        <v>249</v>
      </c>
      <c r="E33" s="26">
        <v>500</v>
      </c>
      <c r="F33" s="27">
        <v>505.91649999999998</v>
      </c>
      <c r="G33" s="28">
        <v>2.3338939999999999E-2</v>
      </c>
      <c r="H33" s="15">
        <v>8.18</v>
      </c>
    </row>
    <row r="34" spans="1:8" x14ac:dyDescent="0.2">
      <c r="A34" s="24">
        <v>7</v>
      </c>
      <c r="B34" s="25" t="s">
        <v>59</v>
      </c>
      <c r="C34" s="25" t="s">
        <v>60</v>
      </c>
      <c r="D34" s="25" t="s">
        <v>23</v>
      </c>
      <c r="E34" s="26">
        <v>50</v>
      </c>
      <c r="F34" s="27">
        <v>503.86900000000003</v>
      </c>
      <c r="G34" s="28">
        <v>2.3244480000000001E-2</v>
      </c>
      <c r="H34" s="15">
        <v>7.65</v>
      </c>
    </row>
    <row r="35" spans="1:8" x14ac:dyDescent="0.2">
      <c r="A35" s="24">
        <v>8</v>
      </c>
      <c r="B35" s="25" t="s">
        <v>125</v>
      </c>
      <c r="C35" s="25" t="s">
        <v>126</v>
      </c>
      <c r="D35" s="25" t="s">
        <v>23</v>
      </c>
      <c r="E35" s="26">
        <v>500</v>
      </c>
      <c r="F35" s="27">
        <v>502.53550000000001</v>
      </c>
      <c r="G35" s="28">
        <v>2.3182970000000001E-2</v>
      </c>
      <c r="H35" s="15">
        <v>7.34</v>
      </c>
    </row>
    <row r="36" spans="1:8" ht="25.5" x14ac:dyDescent="0.2">
      <c r="A36" s="24">
        <v>9</v>
      </c>
      <c r="B36" s="25" t="s">
        <v>406</v>
      </c>
      <c r="C36" s="25" t="s">
        <v>407</v>
      </c>
      <c r="D36" s="25" t="s">
        <v>36</v>
      </c>
      <c r="E36" s="26">
        <v>500</v>
      </c>
      <c r="F36" s="27">
        <v>502.27100000000002</v>
      </c>
      <c r="G36" s="28">
        <v>2.3170759999999999E-2</v>
      </c>
      <c r="H36" s="15">
        <v>7.5442999999999998</v>
      </c>
    </row>
    <row r="37" spans="1:8" x14ac:dyDescent="0.2">
      <c r="A37" s="24">
        <v>10</v>
      </c>
      <c r="B37" s="25" t="s">
        <v>221</v>
      </c>
      <c r="C37" s="25" t="s">
        <v>222</v>
      </c>
      <c r="D37" s="25" t="s">
        <v>223</v>
      </c>
      <c r="E37" s="26">
        <v>500</v>
      </c>
      <c r="F37" s="27">
        <v>500.9975</v>
      </c>
      <c r="G37" s="28">
        <v>2.3112009999999999E-2</v>
      </c>
      <c r="H37" s="15">
        <v>8.9600000000000009</v>
      </c>
    </row>
    <row r="38" spans="1:8" x14ac:dyDescent="0.2">
      <c r="A38" s="24">
        <v>11</v>
      </c>
      <c r="B38" s="25" t="s">
        <v>215</v>
      </c>
      <c r="C38" s="25" t="s">
        <v>216</v>
      </c>
      <c r="D38" s="25" t="s">
        <v>217</v>
      </c>
      <c r="E38" s="26">
        <v>500</v>
      </c>
      <c r="F38" s="27">
        <v>499.9735</v>
      </c>
      <c r="G38" s="28">
        <v>2.306478E-2</v>
      </c>
      <c r="H38" s="15">
        <v>7.6325000000000003</v>
      </c>
    </row>
    <row r="39" spans="1:8" x14ac:dyDescent="0.2">
      <c r="A39" s="24">
        <v>12</v>
      </c>
      <c r="B39" s="25" t="s">
        <v>232</v>
      </c>
      <c r="C39" s="25" t="s">
        <v>233</v>
      </c>
      <c r="D39" s="25" t="s">
        <v>23</v>
      </c>
      <c r="E39" s="26">
        <v>500</v>
      </c>
      <c r="F39" s="27">
        <v>499.75700000000001</v>
      </c>
      <c r="G39" s="28">
        <v>2.3054789999999999E-2</v>
      </c>
      <c r="H39" s="15">
        <v>7.625</v>
      </c>
    </row>
    <row r="40" spans="1:8" x14ac:dyDescent="0.2">
      <c r="A40" s="24">
        <v>13</v>
      </c>
      <c r="B40" s="25" t="s">
        <v>250</v>
      </c>
      <c r="C40" s="25" t="s">
        <v>251</v>
      </c>
      <c r="D40" s="25" t="s">
        <v>223</v>
      </c>
      <c r="E40" s="26">
        <v>500</v>
      </c>
      <c r="F40" s="27">
        <v>499.67750000000001</v>
      </c>
      <c r="G40" s="28">
        <v>2.3051120000000001E-2</v>
      </c>
      <c r="H40" s="15">
        <v>8.6750000000000007</v>
      </c>
    </row>
    <row r="41" spans="1:8" ht="25.5" x14ac:dyDescent="0.2">
      <c r="A41" s="24">
        <v>14</v>
      </c>
      <c r="B41" s="25" t="s">
        <v>61</v>
      </c>
      <c r="C41" s="25" t="s">
        <v>62</v>
      </c>
      <c r="D41" s="25" t="s">
        <v>23</v>
      </c>
      <c r="E41" s="26">
        <v>500</v>
      </c>
      <c r="F41" s="27">
        <v>499.66849999999999</v>
      </c>
      <c r="G41" s="28">
        <v>2.3050709999999999E-2</v>
      </c>
      <c r="H41" s="15">
        <v>8.2100000000000009</v>
      </c>
    </row>
    <row r="42" spans="1:8" x14ac:dyDescent="0.2">
      <c r="A42" s="24">
        <v>15</v>
      </c>
      <c r="B42" s="25" t="s">
        <v>224</v>
      </c>
      <c r="C42" s="25" t="s">
        <v>225</v>
      </c>
      <c r="D42" s="25" t="s">
        <v>23</v>
      </c>
      <c r="E42" s="26">
        <v>500</v>
      </c>
      <c r="F42" s="27">
        <v>499.245</v>
      </c>
      <c r="G42" s="28">
        <v>2.303117E-2</v>
      </c>
      <c r="H42" s="15">
        <v>7.625</v>
      </c>
    </row>
    <row r="43" spans="1:8" x14ac:dyDescent="0.2">
      <c r="A43" s="24">
        <v>16</v>
      </c>
      <c r="B43" s="25" t="s">
        <v>408</v>
      </c>
      <c r="C43" s="25" t="s">
        <v>409</v>
      </c>
      <c r="D43" s="25" t="s">
        <v>23</v>
      </c>
      <c r="E43" s="26">
        <v>500</v>
      </c>
      <c r="F43" s="27">
        <v>499.00900000000001</v>
      </c>
      <c r="G43" s="28">
        <v>2.3020280000000001E-2</v>
      </c>
      <c r="H43" s="15">
        <v>7.6050000000000004</v>
      </c>
    </row>
    <row r="44" spans="1:8" ht="25.5" x14ac:dyDescent="0.2">
      <c r="A44" s="24">
        <v>17</v>
      </c>
      <c r="B44" s="25" t="s">
        <v>63</v>
      </c>
      <c r="C44" s="25" t="s">
        <v>64</v>
      </c>
      <c r="D44" s="25" t="s">
        <v>23</v>
      </c>
      <c r="E44" s="26">
        <v>500</v>
      </c>
      <c r="F44" s="27">
        <v>498.15949999999998</v>
      </c>
      <c r="G44" s="28">
        <v>2.2981089999999999E-2</v>
      </c>
      <c r="H44" s="15">
        <v>7.64</v>
      </c>
    </row>
    <row r="45" spans="1:8" ht="25.5" x14ac:dyDescent="0.2">
      <c r="A45" s="24">
        <v>18</v>
      </c>
      <c r="B45" s="25" t="s">
        <v>410</v>
      </c>
      <c r="C45" s="25" t="s">
        <v>411</v>
      </c>
      <c r="D45" s="25" t="s">
        <v>23</v>
      </c>
      <c r="E45" s="26">
        <v>50</v>
      </c>
      <c r="F45" s="27">
        <v>496.54750000000001</v>
      </c>
      <c r="G45" s="28">
        <v>2.290673E-2</v>
      </c>
      <c r="H45" s="15">
        <v>7.62</v>
      </c>
    </row>
    <row r="46" spans="1:8" x14ac:dyDescent="0.2">
      <c r="A46" s="24">
        <v>19</v>
      </c>
      <c r="B46" s="25" t="s">
        <v>412</v>
      </c>
      <c r="C46" s="25" t="s">
        <v>413</v>
      </c>
      <c r="D46" s="25" t="s">
        <v>23</v>
      </c>
      <c r="E46" s="26">
        <v>50</v>
      </c>
      <c r="F46" s="27">
        <v>488.303</v>
      </c>
      <c r="G46" s="28">
        <v>2.252639E-2</v>
      </c>
      <c r="H46" s="15">
        <v>7.7549999999999999</v>
      </c>
    </row>
    <row r="47" spans="1:8" x14ac:dyDescent="0.2">
      <c r="A47" s="24">
        <v>20</v>
      </c>
      <c r="B47" s="25" t="s">
        <v>218</v>
      </c>
      <c r="C47" s="25" t="s">
        <v>219</v>
      </c>
      <c r="D47" s="25" t="s">
        <v>220</v>
      </c>
      <c r="E47" s="26">
        <v>300</v>
      </c>
      <c r="F47" s="27">
        <v>301.81110000000001</v>
      </c>
      <c r="G47" s="28">
        <v>1.392315E-2</v>
      </c>
      <c r="H47" s="15">
        <v>7.9749999999999996</v>
      </c>
    </row>
    <row r="48" spans="1:8" x14ac:dyDescent="0.2">
      <c r="A48" s="17"/>
      <c r="B48" s="17"/>
      <c r="C48" s="18" t="s">
        <v>11</v>
      </c>
      <c r="D48" s="17"/>
      <c r="E48" s="17" t="s">
        <v>12</v>
      </c>
      <c r="F48" s="23">
        <v>12416.935100000001</v>
      </c>
      <c r="G48" s="20">
        <v>0.57281800000000005</v>
      </c>
      <c r="H48" s="15" t="s">
        <v>12</v>
      </c>
    </row>
    <row r="49" spans="1:8" x14ac:dyDescent="0.2">
      <c r="A49" s="17"/>
      <c r="B49" s="17"/>
      <c r="C49" s="21"/>
      <c r="D49" s="17"/>
      <c r="E49" s="17"/>
      <c r="F49" s="22"/>
      <c r="G49" s="22"/>
      <c r="H49" s="15" t="s">
        <v>12</v>
      </c>
    </row>
    <row r="50" spans="1:8" x14ac:dyDescent="0.2">
      <c r="A50" s="17"/>
      <c r="B50" s="17"/>
      <c r="C50" s="18" t="s">
        <v>71</v>
      </c>
      <c r="D50" s="17"/>
      <c r="E50" s="17"/>
      <c r="F50" s="17"/>
      <c r="G50" s="17"/>
      <c r="H50" s="15" t="s">
        <v>12</v>
      </c>
    </row>
    <row r="51" spans="1:8" x14ac:dyDescent="0.2">
      <c r="A51" s="17"/>
      <c r="B51" s="17"/>
      <c r="C51" s="18" t="s">
        <v>11</v>
      </c>
      <c r="D51" s="17"/>
      <c r="E51" s="17" t="s">
        <v>12</v>
      </c>
      <c r="F51" s="19" t="s">
        <v>13</v>
      </c>
      <c r="G51" s="20">
        <v>0</v>
      </c>
      <c r="H51" s="15" t="s">
        <v>12</v>
      </c>
    </row>
    <row r="52" spans="1:8" x14ac:dyDescent="0.2">
      <c r="A52" s="17"/>
      <c r="B52" s="17"/>
      <c r="C52" s="21"/>
      <c r="D52" s="17"/>
      <c r="E52" s="17"/>
      <c r="F52" s="22"/>
      <c r="G52" s="22"/>
      <c r="H52" s="15" t="s">
        <v>12</v>
      </c>
    </row>
    <row r="53" spans="1:8" x14ac:dyDescent="0.2">
      <c r="A53" s="17"/>
      <c r="B53" s="17"/>
      <c r="C53" s="18" t="s">
        <v>72</v>
      </c>
      <c r="D53" s="17"/>
      <c r="E53" s="17"/>
      <c r="F53" s="17"/>
      <c r="G53" s="17"/>
      <c r="H53" s="15" t="s">
        <v>12</v>
      </c>
    </row>
    <row r="54" spans="1:8" ht="25.5" x14ac:dyDescent="0.2">
      <c r="A54" s="24">
        <v>1</v>
      </c>
      <c r="B54" s="25" t="s">
        <v>73</v>
      </c>
      <c r="C54" s="25" t="s">
        <v>74</v>
      </c>
      <c r="D54" s="25" t="s">
        <v>75</v>
      </c>
      <c r="E54" s="26">
        <v>2500000</v>
      </c>
      <c r="F54" s="27">
        <v>2560.16</v>
      </c>
      <c r="G54" s="28">
        <v>0.11810529</v>
      </c>
      <c r="H54" s="15">
        <v>6.8559999999999999</v>
      </c>
    </row>
    <row r="55" spans="1:8" x14ac:dyDescent="0.2">
      <c r="A55" s="24">
        <v>2</v>
      </c>
      <c r="B55" s="25" t="s">
        <v>84</v>
      </c>
      <c r="C55" s="25" t="s">
        <v>85</v>
      </c>
      <c r="D55" s="25" t="s">
        <v>75</v>
      </c>
      <c r="E55" s="26">
        <v>1500000</v>
      </c>
      <c r="F55" s="27">
        <v>1536.1215</v>
      </c>
      <c r="G55" s="28">
        <v>7.0864350000000007E-2</v>
      </c>
      <c r="H55" s="15">
        <v>6.7355999999999998</v>
      </c>
    </row>
    <row r="56" spans="1:8" ht="25.5" x14ac:dyDescent="0.2">
      <c r="A56" s="24">
        <v>3</v>
      </c>
      <c r="B56" s="25" t="s">
        <v>252</v>
      </c>
      <c r="C56" s="25" t="s">
        <v>253</v>
      </c>
      <c r="D56" s="25" t="s">
        <v>75</v>
      </c>
      <c r="E56" s="26">
        <v>1000000</v>
      </c>
      <c r="F56" s="27">
        <v>1016.801</v>
      </c>
      <c r="G56" s="28">
        <v>4.690706E-2</v>
      </c>
      <c r="H56" s="15">
        <v>6.7115999999999998</v>
      </c>
    </row>
    <row r="57" spans="1:8" x14ac:dyDescent="0.2">
      <c r="A57" s="24">
        <v>4</v>
      </c>
      <c r="B57" s="25" t="s">
        <v>76</v>
      </c>
      <c r="C57" s="25" t="s">
        <v>77</v>
      </c>
      <c r="D57" s="25" t="s">
        <v>75</v>
      </c>
      <c r="E57" s="26">
        <v>500000</v>
      </c>
      <c r="F57" s="27">
        <v>515.18899999999996</v>
      </c>
      <c r="G57" s="28">
        <v>2.3766700000000002E-2</v>
      </c>
      <c r="H57" s="15">
        <v>6.7865000000000002</v>
      </c>
    </row>
    <row r="58" spans="1:8" x14ac:dyDescent="0.2">
      <c r="A58" s="24">
        <v>5</v>
      </c>
      <c r="B58" s="25" t="s">
        <v>86</v>
      </c>
      <c r="C58" s="25" t="s">
        <v>87</v>
      </c>
      <c r="D58" s="25" t="s">
        <v>75</v>
      </c>
      <c r="E58" s="26">
        <v>500000</v>
      </c>
      <c r="F58" s="27">
        <v>514.10649999999998</v>
      </c>
      <c r="G58" s="28">
        <v>2.371676E-2</v>
      </c>
      <c r="H58" s="15">
        <v>6.9569999999999999</v>
      </c>
    </row>
    <row r="59" spans="1:8" ht="25.5" x14ac:dyDescent="0.2">
      <c r="A59" s="24">
        <v>6</v>
      </c>
      <c r="B59" s="25" t="s">
        <v>414</v>
      </c>
      <c r="C59" s="25" t="s">
        <v>415</v>
      </c>
      <c r="D59" s="25" t="s">
        <v>75</v>
      </c>
      <c r="E59" s="26">
        <v>500000</v>
      </c>
      <c r="F59" s="27">
        <v>511.52800000000002</v>
      </c>
      <c r="G59" s="28">
        <v>2.359781E-2</v>
      </c>
      <c r="H59" s="15">
        <v>7.2165999999999997</v>
      </c>
    </row>
    <row r="60" spans="1:8" ht="25.5" x14ac:dyDescent="0.2">
      <c r="A60" s="24">
        <v>7</v>
      </c>
      <c r="B60" s="25" t="s">
        <v>416</v>
      </c>
      <c r="C60" s="39" t="s">
        <v>627</v>
      </c>
      <c r="D60" s="25" t="s">
        <v>75</v>
      </c>
      <c r="E60" s="26">
        <v>500000</v>
      </c>
      <c r="F60" s="27">
        <v>502.00749999999999</v>
      </c>
      <c r="G60" s="28">
        <v>2.315861E-2</v>
      </c>
      <c r="H60" s="15">
        <v>7.1029637846147855</v>
      </c>
    </row>
    <row r="61" spans="1:8" x14ac:dyDescent="0.2">
      <c r="A61" s="17"/>
      <c r="B61" s="17"/>
      <c r="C61" s="18" t="s">
        <v>11</v>
      </c>
      <c r="D61" s="17"/>
      <c r="E61" s="17" t="s">
        <v>12</v>
      </c>
      <c r="F61" s="23">
        <v>7155.9134999999997</v>
      </c>
      <c r="G61" s="20">
        <v>0.33011657999999999</v>
      </c>
      <c r="H61" s="15" t="s">
        <v>12</v>
      </c>
    </row>
    <row r="62" spans="1:8" x14ac:dyDescent="0.2">
      <c r="A62" s="17"/>
      <c r="B62" s="17"/>
      <c r="C62" s="21"/>
      <c r="D62" s="17"/>
      <c r="E62" s="17"/>
      <c r="F62" s="22"/>
      <c r="G62" s="22"/>
      <c r="H62" s="15" t="s">
        <v>12</v>
      </c>
    </row>
    <row r="63" spans="1:8" x14ac:dyDescent="0.2">
      <c r="A63" s="17"/>
      <c r="B63" s="17"/>
      <c r="C63" s="18" t="s">
        <v>88</v>
      </c>
      <c r="D63" s="17"/>
      <c r="E63" s="17"/>
      <c r="F63" s="22"/>
      <c r="G63" s="22"/>
      <c r="H63" s="15" t="s">
        <v>12</v>
      </c>
    </row>
    <row r="64" spans="1:8" x14ac:dyDescent="0.2">
      <c r="A64" s="17"/>
      <c r="B64" s="17"/>
      <c r="C64" s="18" t="s">
        <v>11</v>
      </c>
      <c r="D64" s="17"/>
      <c r="E64" s="17" t="s">
        <v>12</v>
      </c>
      <c r="F64" s="19" t="s">
        <v>13</v>
      </c>
      <c r="G64" s="20">
        <v>0</v>
      </c>
      <c r="H64" s="15" t="s">
        <v>12</v>
      </c>
    </row>
    <row r="65" spans="1:8" x14ac:dyDescent="0.2">
      <c r="A65" s="17"/>
      <c r="B65" s="17"/>
      <c r="C65" s="21"/>
      <c r="D65" s="17"/>
      <c r="E65" s="17"/>
      <c r="F65" s="22"/>
      <c r="G65" s="22"/>
      <c r="H65" s="15" t="s">
        <v>12</v>
      </c>
    </row>
    <row r="66" spans="1:8" x14ac:dyDescent="0.2">
      <c r="A66" s="17"/>
      <c r="B66" s="17"/>
      <c r="C66" s="18" t="s">
        <v>89</v>
      </c>
      <c r="D66" s="17"/>
      <c r="E66" s="17"/>
      <c r="F66" s="23">
        <v>19572.848600000001</v>
      </c>
      <c r="G66" s="20">
        <v>0.90293458000000004</v>
      </c>
      <c r="H66" s="15" t="s">
        <v>12</v>
      </c>
    </row>
    <row r="67" spans="1:8" x14ac:dyDescent="0.2">
      <c r="A67" s="17"/>
      <c r="B67" s="17"/>
      <c r="C67" s="21"/>
      <c r="D67" s="17"/>
      <c r="E67" s="17"/>
      <c r="F67" s="22"/>
      <c r="G67" s="22"/>
      <c r="H67" s="15" t="s">
        <v>12</v>
      </c>
    </row>
    <row r="68" spans="1:8" x14ac:dyDescent="0.2">
      <c r="A68" s="17"/>
      <c r="B68" s="17"/>
      <c r="C68" s="18" t="s">
        <v>90</v>
      </c>
      <c r="D68" s="17"/>
      <c r="E68" s="17"/>
      <c r="F68" s="22"/>
      <c r="G68" s="22"/>
      <c r="H68" s="15" t="s">
        <v>12</v>
      </c>
    </row>
    <row r="69" spans="1:8" x14ac:dyDescent="0.2">
      <c r="A69" s="17"/>
      <c r="B69" s="17"/>
      <c r="C69" s="18" t="s">
        <v>91</v>
      </c>
      <c r="D69" s="17"/>
      <c r="E69" s="17"/>
      <c r="F69" s="22"/>
      <c r="G69" s="22"/>
      <c r="H69" s="15" t="s">
        <v>12</v>
      </c>
    </row>
    <row r="70" spans="1:8" x14ac:dyDescent="0.2">
      <c r="A70" s="24">
        <v>1</v>
      </c>
      <c r="B70" s="25" t="s">
        <v>258</v>
      </c>
      <c r="C70" s="25" t="s">
        <v>259</v>
      </c>
      <c r="D70" s="25" t="s">
        <v>152</v>
      </c>
      <c r="E70" s="26">
        <v>200</v>
      </c>
      <c r="F70" s="27">
        <v>940.23299999999995</v>
      </c>
      <c r="G70" s="28">
        <v>4.3374820000000001E-2</v>
      </c>
      <c r="H70" s="15">
        <v>7.5823</v>
      </c>
    </row>
    <row r="71" spans="1:8" x14ac:dyDescent="0.2">
      <c r="A71" s="24">
        <v>2</v>
      </c>
      <c r="B71" s="25" t="s">
        <v>164</v>
      </c>
      <c r="C71" s="25" t="s">
        <v>165</v>
      </c>
      <c r="D71" s="25" t="s">
        <v>152</v>
      </c>
      <c r="E71" s="26">
        <v>100</v>
      </c>
      <c r="F71" s="27">
        <v>488.08699999999999</v>
      </c>
      <c r="G71" s="28">
        <v>2.251643E-2</v>
      </c>
      <c r="H71" s="15">
        <v>7.68</v>
      </c>
    </row>
    <row r="72" spans="1:8" x14ac:dyDescent="0.2">
      <c r="A72" s="17"/>
      <c r="B72" s="17"/>
      <c r="C72" s="18" t="s">
        <v>11</v>
      </c>
      <c r="D72" s="17"/>
      <c r="E72" s="17" t="s">
        <v>12</v>
      </c>
      <c r="F72" s="23">
        <v>1428.32</v>
      </c>
      <c r="G72" s="20">
        <v>6.5891249999999998E-2</v>
      </c>
      <c r="H72" s="15" t="s">
        <v>12</v>
      </c>
    </row>
    <row r="73" spans="1:8" x14ac:dyDescent="0.2">
      <c r="A73" s="17"/>
      <c r="B73" s="17"/>
      <c r="C73" s="21"/>
      <c r="D73" s="17"/>
      <c r="E73" s="17"/>
      <c r="F73" s="22"/>
      <c r="G73" s="22"/>
      <c r="H73" s="15" t="s">
        <v>12</v>
      </c>
    </row>
    <row r="74" spans="1:8" x14ac:dyDescent="0.2">
      <c r="A74" s="17"/>
      <c r="B74" s="17"/>
      <c r="C74" s="18" t="s">
        <v>92</v>
      </c>
      <c r="D74" s="17"/>
      <c r="E74" s="17"/>
      <c r="F74" s="22"/>
      <c r="G74" s="22"/>
      <c r="H74" s="15" t="s">
        <v>12</v>
      </c>
    </row>
    <row r="75" spans="1:8" x14ac:dyDescent="0.2">
      <c r="A75" s="17"/>
      <c r="B75" s="17"/>
      <c r="C75" s="18" t="s">
        <v>11</v>
      </c>
      <c r="D75" s="17"/>
      <c r="E75" s="17" t="s">
        <v>12</v>
      </c>
      <c r="F75" s="19" t="s">
        <v>13</v>
      </c>
      <c r="G75" s="20">
        <v>0</v>
      </c>
      <c r="H75" s="15" t="s">
        <v>12</v>
      </c>
    </row>
    <row r="76" spans="1:8" x14ac:dyDescent="0.2">
      <c r="A76" s="17"/>
      <c r="B76" s="17"/>
      <c r="C76" s="21"/>
      <c r="D76" s="17"/>
      <c r="E76" s="17"/>
      <c r="F76" s="22"/>
      <c r="G76" s="22"/>
      <c r="H76" s="15" t="s">
        <v>12</v>
      </c>
    </row>
    <row r="77" spans="1:8" x14ac:dyDescent="0.2">
      <c r="A77" s="17"/>
      <c r="B77" s="17"/>
      <c r="C77" s="18" t="s">
        <v>93</v>
      </c>
      <c r="D77" s="17"/>
      <c r="E77" s="17"/>
      <c r="F77" s="22"/>
      <c r="G77" s="22"/>
      <c r="H77" s="15" t="s">
        <v>12</v>
      </c>
    </row>
    <row r="78" spans="1:8" x14ac:dyDescent="0.2">
      <c r="A78" s="17"/>
      <c r="B78" s="17"/>
      <c r="C78" s="18" t="s">
        <v>11</v>
      </c>
      <c r="D78" s="17"/>
      <c r="E78" s="17" t="s">
        <v>12</v>
      </c>
      <c r="F78" s="19" t="s">
        <v>13</v>
      </c>
      <c r="G78" s="20">
        <v>0</v>
      </c>
      <c r="H78" s="15" t="s">
        <v>12</v>
      </c>
    </row>
    <row r="79" spans="1:8" x14ac:dyDescent="0.2">
      <c r="A79" s="17"/>
      <c r="B79" s="17"/>
      <c r="C79" s="21"/>
      <c r="D79" s="17"/>
      <c r="E79" s="17"/>
      <c r="F79" s="22"/>
      <c r="G79" s="22"/>
      <c r="H79" s="15" t="s">
        <v>12</v>
      </c>
    </row>
    <row r="80" spans="1:8" x14ac:dyDescent="0.2">
      <c r="A80" s="17"/>
      <c r="B80" s="17"/>
      <c r="C80" s="18" t="s">
        <v>94</v>
      </c>
      <c r="D80" s="17"/>
      <c r="E80" s="17"/>
      <c r="F80" s="22"/>
      <c r="G80" s="22"/>
      <c r="H80" s="15" t="s">
        <v>12</v>
      </c>
    </row>
    <row r="81" spans="1:17" x14ac:dyDescent="0.2">
      <c r="A81" s="24">
        <v>1</v>
      </c>
      <c r="B81" s="25"/>
      <c r="C81" s="25" t="s">
        <v>95</v>
      </c>
      <c r="D81" s="25"/>
      <c r="E81" s="29"/>
      <c r="F81" s="27">
        <v>44.311496499999997</v>
      </c>
      <c r="G81" s="28">
        <v>2.04418E-3</v>
      </c>
      <c r="H81" s="15">
        <v>6.57</v>
      </c>
    </row>
    <row r="82" spans="1:17" x14ac:dyDescent="0.2">
      <c r="A82" s="17"/>
      <c r="B82" s="17"/>
      <c r="C82" s="18" t="s">
        <v>11</v>
      </c>
      <c r="D82" s="17"/>
      <c r="E82" s="17" t="s">
        <v>12</v>
      </c>
      <c r="F82" s="23">
        <v>44.311496499999997</v>
      </c>
      <c r="G82" s="20">
        <v>2.04418E-3</v>
      </c>
      <c r="H82" s="15" t="s">
        <v>12</v>
      </c>
    </row>
    <row r="83" spans="1:17" x14ac:dyDescent="0.2">
      <c r="A83" s="17"/>
      <c r="B83" s="17"/>
      <c r="C83" s="21"/>
      <c r="D83" s="17"/>
      <c r="E83" s="17"/>
      <c r="F83" s="22"/>
      <c r="G83" s="22"/>
      <c r="H83" s="15" t="s">
        <v>12</v>
      </c>
    </row>
    <row r="84" spans="1:17" x14ac:dyDescent="0.2">
      <c r="A84" s="17"/>
      <c r="B84" s="17"/>
      <c r="C84" s="18" t="s">
        <v>96</v>
      </c>
      <c r="D84" s="17"/>
      <c r="E84" s="17"/>
      <c r="F84" s="23">
        <v>1472.6314964999999</v>
      </c>
      <c r="G84" s="20">
        <v>6.7935430000000005E-2</v>
      </c>
      <c r="H84" s="15" t="s">
        <v>12</v>
      </c>
    </row>
    <row r="85" spans="1:17" x14ac:dyDescent="0.2">
      <c r="A85" s="17"/>
      <c r="B85" s="17"/>
      <c r="C85" s="22"/>
      <c r="D85" s="17"/>
      <c r="E85" s="17"/>
      <c r="F85" s="17"/>
      <c r="G85" s="17"/>
      <c r="H85" s="15" t="s">
        <v>12</v>
      </c>
    </row>
    <row r="86" spans="1:17" x14ac:dyDescent="0.2">
      <c r="A86" s="17"/>
      <c r="B86" s="17"/>
      <c r="C86" s="18" t="s">
        <v>97</v>
      </c>
      <c r="D86" s="17"/>
      <c r="E86" s="17"/>
      <c r="F86" s="17"/>
      <c r="G86" s="17"/>
      <c r="H86" s="15" t="s">
        <v>12</v>
      </c>
    </row>
    <row r="87" spans="1:17" x14ac:dyDescent="0.2">
      <c r="A87" s="17"/>
      <c r="B87" s="17"/>
      <c r="C87" s="18" t="s">
        <v>98</v>
      </c>
      <c r="D87" s="17"/>
      <c r="E87" s="17"/>
      <c r="F87" s="17"/>
      <c r="G87" s="17"/>
      <c r="H87" s="15" t="s">
        <v>12</v>
      </c>
    </row>
    <row r="88" spans="1:17" x14ac:dyDescent="0.2">
      <c r="A88" s="17"/>
      <c r="B88" s="17"/>
      <c r="C88" s="18" t="s">
        <v>11</v>
      </c>
      <c r="D88" s="17"/>
      <c r="E88" s="17" t="s">
        <v>12</v>
      </c>
      <c r="F88" s="19" t="s">
        <v>13</v>
      </c>
      <c r="G88" s="20">
        <v>0</v>
      </c>
      <c r="H88" s="15" t="s">
        <v>12</v>
      </c>
    </row>
    <row r="89" spans="1:17" x14ac:dyDescent="0.2">
      <c r="A89" s="30"/>
      <c r="B89" s="30"/>
      <c r="C89" s="31"/>
      <c r="D89" s="30"/>
      <c r="E89" s="30"/>
      <c r="F89" s="32"/>
      <c r="G89" s="32"/>
      <c r="H89" s="33" t="s">
        <v>12</v>
      </c>
    </row>
    <row r="90" spans="1:17" x14ac:dyDescent="0.2">
      <c r="A90" s="30"/>
      <c r="B90" s="30"/>
      <c r="C90" s="34" t="s">
        <v>563</v>
      </c>
      <c r="D90" s="30"/>
      <c r="E90" s="30"/>
      <c r="F90" s="32"/>
      <c r="G90" s="32"/>
      <c r="H90" s="35"/>
      <c r="K90" s="36"/>
      <c r="L90" s="36"/>
      <c r="M90" s="36"/>
      <c r="N90" s="36"/>
      <c r="O90" s="37"/>
      <c r="P90" s="37"/>
      <c r="Q90" s="37"/>
    </row>
    <row r="91" spans="1:17" ht="25.5" x14ac:dyDescent="0.2">
      <c r="A91" s="38">
        <v>1</v>
      </c>
      <c r="B91" s="39" t="s">
        <v>99</v>
      </c>
      <c r="C91" s="39" t="s">
        <v>100</v>
      </c>
      <c r="D91" s="39"/>
      <c r="E91" s="40">
        <v>543.85400000000004</v>
      </c>
      <c r="F91" s="35">
        <v>59.337704068000001</v>
      </c>
      <c r="G91" s="41">
        <v>2.7373699999999998E-3</v>
      </c>
      <c r="H91" s="33"/>
    </row>
    <row r="92" spans="1:17" x14ac:dyDescent="0.2">
      <c r="A92" s="30"/>
      <c r="B92" s="30"/>
      <c r="C92" s="34" t="s">
        <v>11</v>
      </c>
      <c r="D92" s="30"/>
      <c r="E92" s="30" t="s">
        <v>12</v>
      </c>
      <c r="F92" s="42">
        <f>SUM(F91)</f>
        <v>59.337704068000001</v>
      </c>
      <c r="G92" s="43">
        <f>SUM(G91)</f>
        <v>2.7373699999999998E-3</v>
      </c>
      <c r="H92" s="33" t="s">
        <v>12</v>
      </c>
    </row>
    <row r="93" spans="1:17" x14ac:dyDescent="0.2">
      <c r="A93" s="17"/>
      <c r="B93" s="17"/>
      <c r="C93" s="21"/>
      <c r="D93" s="17"/>
      <c r="E93" s="17"/>
      <c r="F93" s="22"/>
      <c r="G93" s="22"/>
      <c r="H93" s="15" t="s">
        <v>12</v>
      </c>
    </row>
    <row r="94" spans="1:17" x14ac:dyDescent="0.2">
      <c r="A94" s="17"/>
      <c r="B94" s="17"/>
      <c r="C94" s="18" t="s">
        <v>101</v>
      </c>
      <c r="D94" s="17"/>
      <c r="E94" s="17"/>
      <c r="F94" s="17"/>
      <c r="G94" s="17"/>
      <c r="H94" s="15" t="s">
        <v>12</v>
      </c>
    </row>
    <row r="95" spans="1:17" x14ac:dyDescent="0.2">
      <c r="A95" s="17"/>
      <c r="B95" s="17"/>
      <c r="C95" s="18" t="s">
        <v>102</v>
      </c>
      <c r="D95" s="17"/>
      <c r="E95" s="17"/>
      <c r="F95" s="17"/>
      <c r="G95" s="17"/>
      <c r="H95" s="15" t="s">
        <v>12</v>
      </c>
    </row>
    <row r="96" spans="1:17" x14ac:dyDescent="0.2">
      <c r="A96" s="17"/>
      <c r="B96" s="17"/>
      <c r="C96" s="18" t="s">
        <v>11</v>
      </c>
      <c r="D96" s="17"/>
      <c r="E96" s="17" t="s">
        <v>12</v>
      </c>
      <c r="F96" s="19" t="s">
        <v>13</v>
      </c>
      <c r="G96" s="20">
        <v>0</v>
      </c>
      <c r="H96" s="15" t="s">
        <v>12</v>
      </c>
    </row>
    <row r="97" spans="1:10" x14ac:dyDescent="0.2">
      <c r="A97" s="17"/>
      <c r="B97" s="17"/>
      <c r="C97" s="21"/>
      <c r="D97" s="17"/>
      <c r="E97" s="17"/>
      <c r="F97" s="22"/>
      <c r="G97" s="22"/>
      <c r="H97" s="15" t="s">
        <v>12</v>
      </c>
    </row>
    <row r="98" spans="1:10" x14ac:dyDescent="0.2">
      <c r="A98" s="17"/>
      <c r="B98" s="17"/>
      <c r="C98" s="18" t="s">
        <v>103</v>
      </c>
      <c r="D98" s="17"/>
      <c r="E98" s="17"/>
      <c r="F98" s="22"/>
      <c r="G98" s="22"/>
      <c r="H98" s="15" t="s">
        <v>12</v>
      </c>
    </row>
    <row r="99" spans="1:10" x14ac:dyDescent="0.2">
      <c r="A99" s="17"/>
      <c r="B99" s="17"/>
      <c r="C99" s="18" t="s">
        <v>11</v>
      </c>
      <c r="D99" s="17"/>
      <c r="E99" s="17" t="s">
        <v>12</v>
      </c>
      <c r="F99" s="19" t="s">
        <v>13</v>
      </c>
      <c r="G99" s="20">
        <v>0</v>
      </c>
      <c r="H99" s="15" t="s">
        <v>12</v>
      </c>
    </row>
    <row r="100" spans="1:10" x14ac:dyDescent="0.2">
      <c r="A100" s="17"/>
      <c r="B100" s="17"/>
      <c r="C100" s="21"/>
      <c r="D100" s="17"/>
      <c r="E100" s="17"/>
      <c r="F100" s="22"/>
      <c r="G100" s="22"/>
      <c r="H100" s="15" t="s">
        <v>12</v>
      </c>
    </row>
    <row r="101" spans="1:10" x14ac:dyDescent="0.2">
      <c r="A101" s="29"/>
      <c r="B101" s="25"/>
      <c r="C101" s="25" t="s">
        <v>104</v>
      </c>
      <c r="D101" s="25"/>
      <c r="E101" s="29"/>
      <c r="F101" s="27">
        <f>572.11152707+0.0000496819972991943</f>
        <v>572.11157675199729</v>
      </c>
      <c r="G101" s="28">
        <v>2.639265E-2</v>
      </c>
      <c r="H101" s="15" t="s">
        <v>12</v>
      </c>
    </row>
    <row r="102" spans="1:10" x14ac:dyDescent="0.2">
      <c r="A102" s="21"/>
      <c r="B102" s="21"/>
      <c r="C102" s="18" t="s">
        <v>105</v>
      </c>
      <c r="D102" s="22"/>
      <c r="E102" s="22"/>
      <c r="F102" s="23">
        <f>21676.929327638+0.0000496819972991943</f>
        <v>21676.929377319997</v>
      </c>
      <c r="G102" s="44">
        <v>1.00000003</v>
      </c>
      <c r="H102" s="15" t="s">
        <v>12</v>
      </c>
    </row>
    <row r="103" spans="1:10" x14ac:dyDescent="0.2">
      <c r="A103" s="45"/>
      <c r="B103" s="45"/>
      <c r="C103" s="45"/>
      <c r="D103" s="46"/>
      <c r="E103" s="46"/>
      <c r="F103" s="46"/>
      <c r="G103" s="46"/>
    </row>
    <row r="104" spans="1:10" x14ac:dyDescent="0.2">
      <c r="A104" s="47"/>
      <c r="B104" s="48" t="s">
        <v>564</v>
      </c>
      <c r="C104" s="48"/>
      <c r="D104" s="48"/>
      <c r="E104" s="48"/>
      <c r="F104" s="48"/>
      <c r="G104" s="48"/>
      <c r="H104" s="48"/>
    </row>
    <row r="105" spans="1:10" x14ac:dyDescent="0.2">
      <c r="A105" s="47"/>
      <c r="B105" s="48" t="s">
        <v>565</v>
      </c>
      <c r="C105" s="48"/>
      <c r="D105" s="48"/>
      <c r="E105" s="48"/>
      <c r="F105" s="48"/>
      <c r="G105" s="48"/>
      <c r="H105" s="48"/>
    </row>
    <row r="106" spans="1:10" x14ac:dyDescent="0.2">
      <c r="A106" s="47"/>
      <c r="B106" s="48" t="s">
        <v>566</v>
      </c>
      <c r="C106" s="48"/>
      <c r="D106" s="48"/>
      <c r="E106" s="48"/>
      <c r="F106" s="48"/>
      <c r="G106" s="48"/>
      <c r="H106" s="48"/>
    </row>
    <row r="107" spans="1:10" s="197" customFormat="1" ht="69" customHeight="1" x14ac:dyDescent="0.2">
      <c r="A107" s="196"/>
      <c r="B107" s="176" t="s">
        <v>628</v>
      </c>
      <c r="C107" s="176"/>
      <c r="D107" s="176"/>
      <c r="E107" s="176"/>
      <c r="F107" s="176"/>
      <c r="G107" s="176"/>
      <c r="H107" s="176"/>
      <c r="I107" s="16"/>
      <c r="J107" s="16"/>
    </row>
    <row r="108" spans="1:10" x14ac:dyDescent="0.2">
      <c r="A108" s="49"/>
      <c r="B108" s="49"/>
      <c r="C108" s="49"/>
      <c r="D108" s="50"/>
      <c r="E108" s="50"/>
      <c r="F108" s="50"/>
      <c r="G108" s="50"/>
    </row>
    <row r="109" spans="1:10" x14ac:dyDescent="0.2">
      <c r="A109" s="49"/>
      <c r="B109" s="51" t="s">
        <v>106</v>
      </c>
      <c r="C109" s="52"/>
      <c r="D109" s="53"/>
      <c r="E109" s="54"/>
      <c r="F109" s="50"/>
      <c r="G109" s="50"/>
    </row>
    <row r="110" spans="1:10" ht="25.5" x14ac:dyDescent="0.2">
      <c r="A110" s="49"/>
      <c r="B110" s="55" t="s">
        <v>107</v>
      </c>
      <c r="C110" s="56"/>
      <c r="D110" s="34" t="s">
        <v>591</v>
      </c>
      <c r="E110" s="54"/>
      <c r="F110" s="50"/>
      <c r="G110" s="50"/>
    </row>
    <row r="111" spans="1:10" x14ac:dyDescent="0.2">
      <c r="A111" s="49"/>
      <c r="B111" s="55" t="s">
        <v>109</v>
      </c>
      <c r="C111" s="56"/>
      <c r="D111" s="18" t="s">
        <v>108</v>
      </c>
      <c r="E111" s="54"/>
      <c r="F111" s="50"/>
      <c r="G111" s="50"/>
    </row>
    <row r="112" spans="1:10" x14ac:dyDescent="0.2">
      <c r="A112" s="49"/>
      <c r="B112" s="55" t="s">
        <v>110</v>
      </c>
      <c r="C112" s="56"/>
      <c r="D112" s="22" t="s">
        <v>12</v>
      </c>
      <c r="E112" s="54"/>
      <c r="F112" s="50"/>
      <c r="G112" s="50"/>
    </row>
    <row r="113" spans="1:8" x14ac:dyDescent="0.2">
      <c r="A113" s="57"/>
      <c r="B113" s="58" t="s">
        <v>12</v>
      </c>
      <c r="C113" s="58" t="s">
        <v>567</v>
      </c>
      <c r="D113" s="58" t="s">
        <v>111</v>
      </c>
      <c r="E113" s="57"/>
      <c r="F113" s="57"/>
      <c r="G113" s="57"/>
      <c r="H113" s="95"/>
    </row>
    <row r="114" spans="1:8" x14ac:dyDescent="0.2">
      <c r="A114" s="57"/>
      <c r="B114" s="59" t="s">
        <v>112</v>
      </c>
      <c r="C114" s="60">
        <v>45657</v>
      </c>
      <c r="D114" s="60">
        <v>45688</v>
      </c>
      <c r="E114" s="57"/>
      <c r="F114" s="57"/>
      <c r="G114" s="57"/>
    </row>
    <row r="115" spans="1:8" x14ac:dyDescent="0.2">
      <c r="A115" s="61"/>
      <c r="B115" s="25" t="s">
        <v>113</v>
      </c>
      <c r="C115" s="62">
        <v>45.766300000000001</v>
      </c>
      <c r="D115" s="62">
        <v>46.077199999999998</v>
      </c>
      <c r="E115" s="61"/>
      <c r="F115" s="63"/>
      <c r="G115" s="64"/>
    </row>
    <row r="116" spans="1:8" ht="25.5" x14ac:dyDescent="0.2">
      <c r="A116" s="61"/>
      <c r="B116" s="25" t="s">
        <v>689</v>
      </c>
      <c r="C116" s="62">
        <v>12.911099999999999</v>
      </c>
      <c r="D116" s="62">
        <v>12.932700000000001</v>
      </c>
      <c r="E116" s="61"/>
      <c r="F116" s="63"/>
      <c r="G116" s="64"/>
    </row>
    <row r="117" spans="1:8" ht="25.5" x14ac:dyDescent="0.2">
      <c r="A117" s="61"/>
      <c r="B117" s="25" t="s">
        <v>690</v>
      </c>
      <c r="C117" s="62">
        <v>14.7186</v>
      </c>
      <c r="D117" s="62">
        <v>14.8185</v>
      </c>
      <c r="E117" s="61"/>
      <c r="F117" s="63"/>
      <c r="G117" s="64"/>
    </row>
    <row r="118" spans="1:8" ht="25.5" x14ac:dyDescent="0.2">
      <c r="A118" s="61"/>
      <c r="B118" s="25" t="s">
        <v>691</v>
      </c>
      <c r="C118" s="62">
        <v>14.6221</v>
      </c>
      <c r="D118" s="62">
        <v>14.721399999999999</v>
      </c>
      <c r="E118" s="61"/>
      <c r="F118" s="63"/>
      <c r="G118" s="64"/>
    </row>
    <row r="119" spans="1:8" ht="25.5" x14ac:dyDescent="0.2">
      <c r="A119" s="61"/>
      <c r="B119" s="25" t="s">
        <v>692</v>
      </c>
      <c r="C119" s="62">
        <v>14.623900000000001</v>
      </c>
      <c r="D119" s="62">
        <v>14.7233</v>
      </c>
      <c r="E119" s="61"/>
      <c r="F119" s="63"/>
      <c r="G119" s="64"/>
    </row>
    <row r="120" spans="1:8" x14ac:dyDescent="0.2">
      <c r="A120" s="61"/>
      <c r="B120" s="25" t="s">
        <v>114</v>
      </c>
      <c r="C120" s="62">
        <v>42.427399999999999</v>
      </c>
      <c r="D120" s="62">
        <v>42.695599999999999</v>
      </c>
      <c r="E120" s="61"/>
      <c r="F120" s="63"/>
      <c r="G120" s="64"/>
    </row>
    <row r="121" spans="1:8" x14ac:dyDescent="0.2">
      <c r="A121" s="61"/>
      <c r="B121" s="25" t="s">
        <v>142</v>
      </c>
      <c r="C121" s="62">
        <v>15.325799999999999</v>
      </c>
      <c r="D121" s="62">
        <v>15.422700000000001</v>
      </c>
      <c r="E121" s="61"/>
      <c r="F121" s="63"/>
      <c r="G121" s="64"/>
    </row>
    <row r="122" spans="1:8" ht="25.5" x14ac:dyDescent="0.2">
      <c r="A122" s="61"/>
      <c r="B122" s="25" t="s">
        <v>693</v>
      </c>
      <c r="C122" s="62">
        <v>12.8736</v>
      </c>
      <c r="D122" s="62">
        <v>12.895099999999999</v>
      </c>
      <c r="E122" s="61"/>
      <c r="F122" s="63"/>
      <c r="G122" s="64"/>
    </row>
    <row r="123" spans="1:8" ht="25.5" x14ac:dyDescent="0.2">
      <c r="A123" s="61"/>
      <c r="B123" s="25" t="s">
        <v>657</v>
      </c>
      <c r="C123" s="62">
        <v>14.420999999999999</v>
      </c>
      <c r="D123" s="62">
        <v>14.5122</v>
      </c>
      <c r="E123" s="61"/>
      <c r="F123" s="63"/>
      <c r="G123" s="64"/>
    </row>
    <row r="124" spans="1:8" ht="25.5" x14ac:dyDescent="0.2">
      <c r="A124" s="61"/>
      <c r="B124" s="25" t="s">
        <v>694</v>
      </c>
      <c r="C124" s="62">
        <v>14.324999999999999</v>
      </c>
      <c r="D124" s="62">
        <v>14.4155</v>
      </c>
      <c r="E124" s="61"/>
      <c r="F124" s="63"/>
      <c r="G124" s="64"/>
    </row>
    <row r="125" spans="1:8" ht="25.5" x14ac:dyDescent="0.2">
      <c r="A125" s="61"/>
      <c r="B125" s="25" t="s">
        <v>695</v>
      </c>
      <c r="C125" s="62">
        <v>14.324999999999999</v>
      </c>
      <c r="D125" s="62">
        <v>14.4155</v>
      </c>
      <c r="E125" s="61"/>
      <c r="F125" s="63"/>
      <c r="G125" s="64"/>
    </row>
    <row r="126" spans="1:8" x14ac:dyDescent="0.2">
      <c r="A126" s="61"/>
      <c r="B126" s="61"/>
      <c r="C126" s="61"/>
      <c r="D126" s="61"/>
      <c r="E126" s="61"/>
      <c r="F126" s="61"/>
      <c r="G126" s="61"/>
    </row>
    <row r="127" spans="1:8" x14ac:dyDescent="0.2">
      <c r="A127" s="61"/>
      <c r="B127" s="55" t="s">
        <v>568</v>
      </c>
      <c r="C127" s="56"/>
      <c r="D127" s="18" t="s">
        <v>12</v>
      </c>
      <c r="E127" s="61"/>
      <c r="F127" s="61"/>
      <c r="G127" s="61"/>
    </row>
    <row r="128" spans="1:8" x14ac:dyDescent="0.2">
      <c r="A128" s="61"/>
      <c r="B128" s="65" t="s">
        <v>112</v>
      </c>
      <c r="C128" s="66" t="s">
        <v>115</v>
      </c>
      <c r="D128" s="66" t="s">
        <v>116</v>
      </c>
      <c r="E128" s="61"/>
      <c r="F128" s="61"/>
      <c r="G128" s="61"/>
    </row>
    <row r="129" spans="1:19" ht="25.5" x14ac:dyDescent="0.2">
      <c r="A129" s="61"/>
      <c r="B129" s="25" t="s">
        <v>689</v>
      </c>
      <c r="C129" s="67">
        <v>6.5799999999999997E-2</v>
      </c>
      <c r="D129" s="29" t="s">
        <v>117</v>
      </c>
      <c r="E129" s="61"/>
      <c r="F129" s="63"/>
      <c r="G129" s="64"/>
    </row>
    <row r="130" spans="1:19" ht="25.5" x14ac:dyDescent="0.2">
      <c r="A130" s="61"/>
      <c r="B130" s="25" t="s">
        <v>693</v>
      </c>
      <c r="C130" s="67">
        <v>5.9700000000000003E-2</v>
      </c>
      <c r="D130" s="67">
        <v>5.9700000000000003E-2</v>
      </c>
      <c r="E130" s="61"/>
      <c r="F130" s="63"/>
      <c r="G130" s="64"/>
    </row>
    <row r="131" spans="1:19" x14ac:dyDescent="0.2">
      <c r="A131" s="61"/>
      <c r="B131" s="68"/>
      <c r="C131" s="68"/>
      <c r="D131" s="68"/>
      <c r="E131" s="61"/>
      <c r="F131" s="61"/>
      <c r="G131" s="61"/>
    </row>
    <row r="132" spans="1:19" s="72" customFormat="1" x14ac:dyDescent="0.2">
      <c r="A132" s="91"/>
      <c r="B132" s="69" t="s">
        <v>583</v>
      </c>
      <c r="C132" s="70"/>
      <c r="D132" s="34" t="s">
        <v>108</v>
      </c>
      <c r="E132" s="91"/>
      <c r="F132" s="91"/>
      <c r="G132" s="91"/>
      <c r="I132" s="16"/>
      <c r="J132" s="93"/>
      <c r="K132" s="16"/>
      <c r="L132" s="36"/>
      <c r="M132" s="36"/>
      <c r="N132" s="36"/>
      <c r="O132" s="85"/>
      <c r="P132" s="16"/>
      <c r="Q132" s="16"/>
    </row>
    <row r="133" spans="1:19" x14ac:dyDescent="0.2">
      <c r="A133" s="57"/>
      <c r="B133" s="69" t="s">
        <v>584</v>
      </c>
      <c r="C133" s="70"/>
      <c r="D133" s="34" t="s">
        <v>108</v>
      </c>
      <c r="E133" s="71"/>
      <c r="F133" s="57"/>
      <c r="G133" s="57"/>
      <c r="J133" s="93"/>
    </row>
    <row r="134" spans="1:19" x14ac:dyDescent="0.2">
      <c r="A134" s="57"/>
      <c r="B134" s="69" t="s">
        <v>585</v>
      </c>
      <c r="C134" s="70"/>
      <c r="D134" s="34" t="s">
        <v>108</v>
      </c>
      <c r="E134" s="71"/>
      <c r="F134" s="57"/>
      <c r="G134" s="57"/>
      <c r="J134" s="93"/>
    </row>
    <row r="135" spans="1:19" x14ac:dyDescent="0.2">
      <c r="A135" s="57"/>
      <c r="B135" s="69" t="s">
        <v>586</v>
      </c>
      <c r="C135" s="70"/>
      <c r="D135" s="34" t="s">
        <v>108</v>
      </c>
      <c r="E135" s="71"/>
      <c r="F135" s="57"/>
      <c r="G135" s="57"/>
      <c r="J135" s="93"/>
    </row>
    <row r="136" spans="1:19" x14ac:dyDescent="0.2">
      <c r="A136" s="68"/>
      <c r="B136" s="68"/>
      <c r="C136" s="68"/>
      <c r="D136" s="68"/>
      <c r="E136" s="68"/>
      <c r="F136" s="68"/>
      <c r="G136" s="68"/>
      <c r="J136" s="93"/>
    </row>
    <row r="137" spans="1:19" s="72" customFormat="1" x14ac:dyDescent="0.2">
      <c r="B137" s="73" t="s">
        <v>570</v>
      </c>
      <c r="C137" s="74"/>
      <c r="D137" s="75"/>
      <c r="I137" s="16"/>
      <c r="J137" s="93"/>
      <c r="K137" s="16"/>
      <c r="L137" s="36"/>
      <c r="M137" s="36"/>
      <c r="N137" s="36"/>
      <c r="O137" s="85"/>
      <c r="R137" s="16"/>
      <c r="S137" s="16"/>
    </row>
    <row r="138" spans="1:19" s="72" customFormat="1" ht="51" x14ac:dyDescent="0.2">
      <c r="B138" s="76" t="s">
        <v>571</v>
      </c>
      <c r="C138" s="76"/>
      <c r="D138" s="77" t="s">
        <v>401</v>
      </c>
      <c r="I138" s="16"/>
      <c r="J138" s="93"/>
      <c r="K138" s="16"/>
      <c r="L138" s="36"/>
      <c r="M138" s="36"/>
      <c r="N138" s="36"/>
      <c r="O138" s="85"/>
      <c r="R138" s="16"/>
      <c r="S138" s="16"/>
    </row>
    <row r="139" spans="1:19" s="72" customFormat="1" x14ac:dyDescent="0.2">
      <c r="B139" s="78" t="s">
        <v>572</v>
      </c>
      <c r="C139" s="78"/>
      <c r="D139" s="79"/>
      <c r="I139" s="16"/>
      <c r="J139" s="93"/>
      <c r="K139" s="16"/>
      <c r="L139" s="36"/>
      <c r="M139" s="36"/>
      <c r="N139" s="36"/>
      <c r="O139" s="85"/>
      <c r="R139" s="16"/>
      <c r="S139" s="16"/>
    </row>
    <row r="140" spans="1:19" s="72" customFormat="1" x14ac:dyDescent="0.2">
      <c r="B140" s="78"/>
      <c r="C140" s="78"/>
      <c r="D140" s="82"/>
      <c r="I140" s="16"/>
      <c r="J140" s="93"/>
      <c r="K140" s="16"/>
      <c r="L140" s="36"/>
      <c r="M140" s="36"/>
      <c r="N140" s="36"/>
      <c r="O140" s="85"/>
      <c r="R140" s="16"/>
      <c r="S140" s="16"/>
    </row>
    <row r="141" spans="1:19" s="72" customFormat="1" x14ac:dyDescent="0.2">
      <c r="B141" s="78" t="s">
        <v>573</v>
      </c>
      <c r="C141" s="78"/>
      <c r="D141" s="83">
        <v>7.4895744228505663</v>
      </c>
      <c r="I141" s="16"/>
      <c r="J141" s="93"/>
      <c r="K141" s="16"/>
      <c r="L141" s="36"/>
      <c r="M141" s="36"/>
      <c r="N141" s="36"/>
      <c r="O141" s="85"/>
    </row>
    <row r="142" spans="1:19" s="72" customFormat="1" x14ac:dyDescent="0.2">
      <c r="B142" s="78"/>
      <c r="C142" s="78"/>
      <c r="D142" s="82"/>
      <c r="I142" s="16"/>
      <c r="J142" s="93"/>
      <c r="K142" s="16"/>
      <c r="L142" s="36"/>
      <c r="M142" s="36"/>
      <c r="N142" s="36"/>
      <c r="O142" s="85"/>
    </row>
    <row r="143" spans="1:19" s="72" customFormat="1" x14ac:dyDescent="0.2">
      <c r="B143" s="78" t="s">
        <v>574</v>
      </c>
      <c r="C143" s="78"/>
      <c r="D143" s="83">
        <v>2.8844720634597643</v>
      </c>
      <c r="I143" s="16"/>
      <c r="J143" s="93"/>
      <c r="K143" s="16"/>
      <c r="L143" s="36"/>
      <c r="M143" s="36"/>
      <c r="N143" s="36"/>
      <c r="O143" s="85"/>
    </row>
    <row r="144" spans="1:19" s="72" customFormat="1" x14ac:dyDescent="0.2">
      <c r="B144" s="78" t="s">
        <v>592</v>
      </c>
      <c r="C144" s="78"/>
      <c r="D144" s="83">
        <v>3.662622552723223</v>
      </c>
      <c r="I144" s="16"/>
      <c r="J144" s="93"/>
      <c r="K144" s="16"/>
      <c r="L144" s="36"/>
      <c r="M144" s="36"/>
      <c r="N144" s="36"/>
      <c r="O144" s="85"/>
    </row>
    <row r="145" spans="2:15" s="72" customFormat="1" x14ac:dyDescent="0.2">
      <c r="B145" s="78"/>
      <c r="C145" s="78"/>
      <c r="D145" s="82"/>
      <c r="I145" s="16"/>
      <c r="J145" s="93"/>
      <c r="K145" s="16"/>
      <c r="L145" s="36"/>
      <c r="M145" s="36"/>
      <c r="N145" s="36"/>
      <c r="O145" s="85"/>
    </row>
    <row r="146" spans="2:15" s="72" customFormat="1" x14ac:dyDescent="0.2">
      <c r="B146" s="78" t="s">
        <v>576</v>
      </c>
      <c r="C146" s="78"/>
      <c r="D146" s="84" t="s">
        <v>682</v>
      </c>
      <c r="I146" s="16"/>
      <c r="J146" s="93"/>
      <c r="K146" s="36"/>
      <c r="L146" s="36"/>
      <c r="M146" s="36"/>
      <c r="N146" s="36"/>
      <c r="O146" s="85"/>
    </row>
    <row r="147" spans="2:15" s="72" customFormat="1" x14ac:dyDescent="0.2">
      <c r="B147" s="80" t="s">
        <v>577</v>
      </c>
      <c r="C147" s="86"/>
      <c r="D147" s="81"/>
      <c r="I147" s="16"/>
      <c r="J147" s="93"/>
      <c r="K147" s="16"/>
      <c r="L147" s="36"/>
      <c r="M147" s="36"/>
      <c r="N147" s="36"/>
      <c r="O147" s="85"/>
    </row>
    <row r="148" spans="2:15" x14ac:dyDescent="0.2">
      <c r="J148" s="93"/>
    </row>
    <row r="149" spans="2:15" ht="13.5" x14ac:dyDescent="0.2">
      <c r="B149" s="198" t="s">
        <v>683</v>
      </c>
      <c r="C149" s="198"/>
      <c r="D149" s="198"/>
      <c r="E149" s="198"/>
      <c r="F149" s="198"/>
      <c r="G149" s="198"/>
      <c r="H149" s="198"/>
    </row>
    <row r="150" spans="2:15" ht="13.5" x14ac:dyDescent="0.2">
      <c r="B150" s="199"/>
      <c r="C150" s="199"/>
      <c r="D150" s="199"/>
      <c r="E150" s="199"/>
      <c r="F150" s="199"/>
      <c r="G150" s="199"/>
      <c r="H150" s="199"/>
      <c r="J150" s="36"/>
      <c r="K150" s="36"/>
      <c r="L150" s="36"/>
      <c r="M150" s="36"/>
      <c r="N150" s="36"/>
      <c r="O150" s="36"/>
    </row>
    <row r="151" spans="2:15" ht="13.5" x14ac:dyDescent="0.25">
      <c r="B151" s="108" t="s">
        <v>600</v>
      </c>
      <c r="C151" s="108" t="s">
        <v>601</v>
      </c>
      <c r="D151" s="200" t="s">
        <v>595</v>
      </c>
      <c r="E151" s="201"/>
      <c r="F151" s="202"/>
      <c r="G151" s="203" t="s">
        <v>596</v>
      </c>
      <c r="H151" s="204"/>
      <c r="J151" s="36"/>
      <c r="K151" s="36"/>
      <c r="L151" s="36"/>
      <c r="M151" s="36"/>
      <c r="N151" s="36"/>
      <c r="O151" s="36"/>
    </row>
    <row r="152" spans="2:15" ht="27" x14ac:dyDescent="0.25">
      <c r="B152" s="111" t="s">
        <v>606</v>
      </c>
      <c r="C152" s="112" t="s">
        <v>629</v>
      </c>
      <c r="D152" s="205">
        <v>0</v>
      </c>
      <c r="E152" s="206"/>
      <c r="F152" s="207"/>
      <c r="G152" s="205">
        <v>0</v>
      </c>
      <c r="H152" s="207"/>
      <c r="J152" s="36"/>
      <c r="K152" s="36"/>
      <c r="L152" s="36"/>
      <c r="M152" s="36"/>
      <c r="N152" s="36"/>
      <c r="O152" s="36"/>
    </row>
    <row r="153" spans="2:15" ht="27" x14ac:dyDescent="0.25">
      <c r="B153" s="111" t="s">
        <v>602</v>
      </c>
      <c r="C153" s="112" t="s">
        <v>630</v>
      </c>
      <c r="D153" s="205">
        <v>0</v>
      </c>
      <c r="E153" s="206"/>
      <c r="F153" s="207"/>
      <c r="G153" s="205">
        <v>0</v>
      </c>
      <c r="H153" s="207"/>
      <c r="J153" s="36"/>
      <c r="K153" s="36"/>
      <c r="L153" s="36"/>
      <c r="M153" s="36"/>
      <c r="N153" s="36"/>
      <c r="O153" s="36"/>
    </row>
    <row r="154" spans="2:15" ht="27" x14ac:dyDescent="0.25">
      <c r="B154" s="111" t="s">
        <v>631</v>
      </c>
      <c r="C154" s="112" t="s">
        <v>632</v>
      </c>
      <c r="D154" s="205">
        <v>0</v>
      </c>
      <c r="E154" s="206"/>
      <c r="F154" s="207"/>
      <c r="G154" s="205">
        <v>0</v>
      </c>
      <c r="H154" s="207"/>
      <c r="J154" s="36"/>
      <c r="K154" s="36"/>
      <c r="L154" s="36"/>
      <c r="M154" s="36"/>
      <c r="N154" s="36"/>
      <c r="O154" s="36"/>
    </row>
    <row r="155" spans="2:15" ht="27" x14ac:dyDescent="0.25">
      <c r="B155" s="111" t="s">
        <v>604</v>
      </c>
      <c r="C155" s="112" t="s">
        <v>633</v>
      </c>
      <c r="D155" s="205">
        <v>0</v>
      </c>
      <c r="E155" s="206"/>
      <c r="F155" s="207"/>
      <c r="G155" s="205">
        <v>0</v>
      </c>
      <c r="H155" s="207"/>
      <c r="J155" s="36"/>
      <c r="K155" s="36"/>
      <c r="L155" s="36"/>
      <c r="M155" s="36"/>
      <c r="N155" s="36"/>
      <c r="O155" s="36"/>
    </row>
    <row r="156" spans="2:15" ht="13.5" x14ac:dyDescent="0.25">
      <c r="B156" s="111"/>
      <c r="C156" s="111"/>
      <c r="D156" s="114"/>
      <c r="E156" s="114"/>
      <c r="F156" s="114"/>
      <c r="G156" s="114"/>
      <c r="H156" s="114"/>
      <c r="J156" s="36"/>
      <c r="K156" s="36"/>
      <c r="L156" s="36"/>
      <c r="M156" s="36"/>
      <c r="N156" s="36"/>
      <c r="O156" s="36"/>
    </row>
    <row r="157" spans="2:15" ht="13.5" x14ac:dyDescent="0.25">
      <c r="B157" s="110" t="s">
        <v>608</v>
      </c>
      <c r="C157" s="110"/>
      <c r="D157" s="110"/>
      <c r="E157" s="110"/>
      <c r="F157" s="110"/>
      <c r="G157" s="110"/>
      <c r="H157" s="110"/>
      <c r="J157" s="36"/>
      <c r="K157" s="36"/>
      <c r="L157" s="36"/>
      <c r="M157" s="36"/>
      <c r="N157" s="36"/>
      <c r="O157" s="36"/>
    </row>
    <row r="158" spans="2:15" ht="13.5" x14ac:dyDescent="0.2">
      <c r="B158" s="115" t="s">
        <v>600</v>
      </c>
      <c r="C158" s="115" t="s">
        <v>601</v>
      </c>
      <c r="D158" s="115" t="s">
        <v>609</v>
      </c>
      <c r="E158" s="115"/>
      <c r="F158" s="115"/>
      <c r="G158" s="115"/>
      <c r="H158" s="116" t="s">
        <v>610</v>
      </c>
      <c r="I158" s="116" t="s">
        <v>634</v>
      </c>
      <c r="J158" s="116" t="s">
        <v>612</v>
      </c>
      <c r="K158" s="36"/>
      <c r="L158" s="36"/>
      <c r="M158" s="36"/>
      <c r="N158" s="36"/>
      <c r="O158" s="36"/>
    </row>
    <row r="159" spans="2:15" ht="121.5" x14ac:dyDescent="0.2">
      <c r="B159" s="115"/>
      <c r="C159" s="115"/>
      <c r="D159" s="118" t="s">
        <v>613</v>
      </c>
      <c r="E159" s="118" t="s">
        <v>614</v>
      </c>
      <c r="F159" s="118" t="s">
        <v>615</v>
      </c>
      <c r="G159" s="118" t="s">
        <v>635</v>
      </c>
      <c r="H159" s="116"/>
      <c r="I159" s="116"/>
      <c r="J159" s="116"/>
      <c r="K159" s="36"/>
      <c r="L159" s="36"/>
      <c r="M159" s="36"/>
      <c r="N159" s="36"/>
      <c r="O159" s="36"/>
    </row>
    <row r="160" spans="2:15" ht="27" x14ac:dyDescent="0.25">
      <c r="B160" s="111" t="s">
        <v>606</v>
      </c>
      <c r="C160" s="112" t="s">
        <v>629</v>
      </c>
      <c r="D160" s="120">
        <v>3000</v>
      </c>
      <c r="E160" s="120">
        <v>198.60410960000002</v>
      </c>
      <c r="F160" s="121">
        <v>72.152053199999997</v>
      </c>
      <c r="G160" s="122">
        <v>3270.7561627999999</v>
      </c>
      <c r="H160" s="4">
        <v>1452.6372699999999</v>
      </c>
      <c r="I160" s="4">
        <f>2499839/10^5</f>
        <v>24.998390000000001</v>
      </c>
      <c r="J160" s="4">
        <f>H160+I160</f>
        <v>1477.6356599999999</v>
      </c>
      <c r="K160" s="36"/>
      <c r="L160" s="36"/>
      <c r="M160" s="36"/>
      <c r="N160" s="36"/>
      <c r="O160" s="36"/>
    </row>
    <row r="161" spans="2:15" ht="27" x14ac:dyDescent="0.25">
      <c r="B161" s="111" t="s">
        <v>602</v>
      </c>
      <c r="C161" s="112" t="s">
        <v>630</v>
      </c>
      <c r="D161" s="120">
        <v>500</v>
      </c>
      <c r="E161" s="120">
        <v>33.283561599999999</v>
      </c>
      <c r="F161" s="121">
        <v>12.091777499999999</v>
      </c>
      <c r="G161" s="122">
        <f>D161+E161+F161</f>
        <v>545.37533910000002</v>
      </c>
      <c r="H161" s="4">
        <v>242.22076999999999</v>
      </c>
      <c r="I161" s="4">
        <f>416840/10^5</f>
        <v>4.1684000000000001</v>
      </c>
      <c r="J161" s="4">
        <f>H161+I161</f>
        <v>246.38916999999998</v>
      </c>
      <c r="K161" s="36"/>
      <c r="L161" s="36"/>
      <c r="M161" s="36"/>
      <c r="N161" s="36"/>
      <c r="O161" s="36"/>
    </row>
    <row r="162" spans="2:15" ht="27" x14ac:dyDescent="0.25">
      <c r="B162" s="111" t="s">
        <v>631</v>
      </c>
      <c r="C162" s="112" t="s">
        <v>636</v>
      </c>
      <c r="D162" s="120">
        <v>2000</v>
      </c>
      <c r="E162" s="120">
        <v>39.762295099999996</v>
      </c>
      <c r="F162" s="121">
        <v>64.029485721917808</v>
      </c>
      <c r="G162" s="122">
        <v>2103.7917808219199</v>
      </c>
      <c r="H162" s="4">
        <v>933.64715000000001</v>
      </c>
      <c r="I162" s="4">
        <f>1606686/10^5</f>
        <v>16.066859999999998</v>
      </c>
      <c r="J162" s="4">
        <f>H162+I162</f>
        <v>949.71401000000003</v>
      </c>
      <c r="K162" s="36"/>
      <c r="L162" s="36"/>
      <c r="M162" s="36"/>
      <c r="N162" s="36"/>
      <c r="O162" s="36"/>
    </row>
    <row r="163" spans="2:15" ht="27" x14ac:dyDescent="0.25">
      <c r="B163" s="111" t="s">
        <v>604</v>
      </c>
      <c r="C163" s="112" t="s">
        <v>633</v>
      </c>
      <c r="D163" s="120">
        <v>1882.78</v>
      </c>
      <c r="E163" s="120">
        <v>137.066384</v>
      </c>
      <c r="F163" s="121">
        <v>34.266601500000007</v>
      </c>
      <c r="G163" s="122">
        <v>2054.1129854999999</v>
      </c>
      <c r="H163" s="4">
        <v>916.65184999999997</v>
      </c>
      <c r="I163" s="4">
        <f>1577458/10^5</f>
        <v>15.77458</v>
      </c>
      <c r="J163" s="4">
        <f>H163+I163</f>
        <v>932.42642999999998</v>
      </c>
      <c r="K163" s="36"/>
      <c r="L163" s="36"/>
      <c r="M163" s="36"/>
      <c r="N163" s="36"/>
      <c r="O163" s="36"/>
    </row>
    <row r="164" spans="2:15" ht="13.5" x14ac:dyDescent="0.25">
      <c r="B164" s="208"/>
      <c r="C164" s="209"/>
      <c r="D164" s="210"/>
      <c r="E164" s="210"/>
      <c r="F164" s="211"/>
      <c r="G164" s="212"/>
      <c r="H164" s="6"/>
      <c r="J164" s="93"/>
      <c r="K164" s="36"/>
      <c r="L164" s="36"/>
      <c r="M164" s="36"/>
      <c r="N164" s="36"/>
      <c r="O164" s="36"/>
    </row>
    <row r="165" spans="2:15" ht="51" customHeight="1" x14ac:dyDescent="0.2">
      <c r="B165" s="213" t="s">
        <v>637</v>
      </c>
      <c r="C165" s="213"/>
      <c r="D165" s="213"/>
      <c r="E165" s="213"/>
      <c r="F165" s="213"/>
      <c r="G165" s="213"/>
      <c r="H165" s="213"/>
      <c r="I165" s="213"/>
      <c r="J165" s="93"/>
      <c r="K165" s="36"/>
      <c r="L165" s="36"/>
      <c r="M165" s="36"/>
      <c r="N165" s="36"/>
      <c r="O165" s="36"/>
    </row>
    <row r="166" spans="2:15" x14ac:dyDescent="0.2">
      <c r="B166" s="36"/>
      <c r="C166" s="36"/>
      <c r="D166" s="36"/>
      <c r="E166" s="36"/>
      <c r="F166" s="36"/>
      <c r="G166" s="36"/>
      <c r="H166" s="36"/>
      <c r="J166" s="93"/>
      <c r="K166" s="36"/>
      <c r="L166" s="36"/>
      <c r="M166" s="36"/>
      <c r="N166" s="36"/>
      <c r="O166" s="36"/>
    </row>
    <row r="167" spans="2:15" ht="13.5" x14ac:dyDescent="0.25">
      <c r="B167" s="123" t="s">
        <v>617</v>
      </c>
      <c r="C167" s="36"/>
      <c r="D167" s="36"/>
      <c r="E167" s="36"/>
      <c r="F167" s="36"/>
      <c r="G167" s="36"/>
      <c r="H167" s="36"/>
      <c r="J167" s="93"/>
      <c r="K167" s="36"/>
      <c r="L167" s="36"/>
      <c r="M167" s="36"/>
      <c r="N167" s="36"/>
      <c r="O167" s="36"/>
    </row>
    <row r="168" spans="2:15" x14ac:dyDescent="0.2">
      <c r="B168" s="36"/>
      <c r="C168" s="36"/>
      <c r="D168" s="36"/>
      <c r="E168" s="36"/>
      <c r="F168" s="36"/>
      <c r="G168" s="36"/>
      <c r="H168" s="36"/>
      <c r="I168" s="36"/>
      <c r="J168" s="93"/>
      <c r="K168" s="36"/>
      <c r="L168" s="36"/>
      <c r="M168" s="36"/>
      <c r="N168" s="36"/>
      <c r="O168" s="36"/>
    </row>
    <row r="169" spans="2:15" x14ac:dyDescent="0.2">
      <c r="B169" s="124" t="s">
        <v>618</v>
      </c>
      <c r="C169" s="36"/>
      <c r="D169" s="36"/>
      <c r="E169" s="36"/>
      <c r="F169" s="36"/>
      <c r="G169" s="36"/>
      <c r="H169" s="36"/>
      <c r="I169" s="36"/>
      <c r="J169" s="93"/>
      <c r="K169" s="36"/>
      <c r="L169" s="36"/>
      <c r="M169" s="36"/>
      <c r="N169" s="36"/>
      <c r="O169" s="36"/>
    </row>
    <row r="170" spans="2:15" x14ac:dyDescent="0.2">
      <c r="B170" s="36"/>
      <c r="C170" s="36"/>
      <c r="D170" s="36"/>
      <c r="E170" s="36"/>
      <c r="F170" s="36"/>
      <c r="G170" s="36"/>
      <c r="H170" s="36"/>
      <c r="I170" s="36"/>
      <c r="J170" s="93"/>
      <c r="K170" s="36"/>
      <c r="L170" s="36"/>
      <c r="M170" s="36"/>
      <c r="N170" s="36"/>
      <c r="O170" s="36"/>
    </row>
    <row r="171" spans="2:15" x14ac:dyDescent="0.2">
      <c r="B171" s="124" t="s">
        <v>619</v>
      </c>
      <c r="C171" s="36"/>
      <c r="D171" s="36"/>
      <c r="E171" s="36"/>
      <c r="F171" s="36"/>
      <c r="G171" s="36"/>
      <c r="H171" s="36"/>
      <c r="I171" s="36"/>
      <c r="J171" s="93"/>
      <c r="K171" s="36"/>
      <c r="L171" s="36"/>
      <c r="M171" s="36"/>
      <c r="N171" s="36"/>
      <c r="O171" s="36"/>
    </row>
    <row r="172" spans="2:15" x14ac:dyDescent="0.2">
      <c r="I172" s="36"/>
      <c r="J172" s="93"/>
      <c r="K172" s="36"/>
      <c r="L172" s="36"/>
      <c r="M172" s="36"/>
      <c r="N172" s="36"/>
      <c r="O172" s="36"/>
    </row>
    <row r="173" spans="2:15" x14ac:dyDescent="0.2">
      <c r="B173" s="124" t="s">
        <v>620</v>
      </c>
      <c r="J173" s="93"/>
      <c r="K173" s="36"/>
      <c r="L173" s="36"/>
      <c r="M173" s="36"/>
      <c r="N173" s="36"/>
      <c r="O173" s="36"/>
    </row>
    <row r="174" spans="2:15" x14ac:dyDescent="0.2">
      <c r="I174" s="36"/>
      <c r="J174" s="93"/>
      <c r="K174" s="36"/>
      <c r="L174" s="36"/>
      <c r="M174" s="36"/>
      <c r="N174" s="36"/>
      <c r="O174" s="36"/>
    </row>
    <row r="175" spans="2:15" ht="25.5" x14ac:dyDescent="0.2">
      <c r="B175" s="87" t="s">
        <v>578</v>
      </c>
    </row>
    <row r="177" spans="2:10" ht="153.75" customHeight="1" x14ac:dyDescent="0.2"/>
    <row r="180" spans="2:10" x14ac:dyDescent="0.2">
      <c r="B180" s="88" t="s">
        <v>579</v>
      </c>
      <c r="C180" s="10"/>
      <c r="D180" s="88" t="s">
        <v>580</v>
      </c>
    </row>
    <row r="181" spans="2:10" x14ac:dyDescent="0.2">
      <c r="B181" s="88" t="s">
        <v>638</v>
      </c>
      <c r="D181" s="88" t="s">
        <v>639</v>
      </c>
    </row>
    <row r="182" spans="2:10" ht="165" customHeight="1" x14ac:dyDescent="0.2"/>
    <row r="184" spans="2:10" x14ac:dyDescent="0.2">
      <c r="J184" s="93"/>
    </row>
  </sheetData>
  <mergeCells count="48">
    <mergeCell ref="J158:J159"/>
    <mergeCell ref="B165:I165"/>
    <mergeCell ref="B158:B159"/>
    <mergeCell ref="C158:C159"/>
    <mergeCell ref="D158:G158"/>
    <mergeCell ref="H158:H159"/>
    <mergeCell ref="I158:I159"/>
    <mergeCell ref="D155:F155"/>
    <mergeCell ref="G155:H155"/>
    <mergeCell ref="D156:F156"/>
    <mergeCell ref="G156:H156"/>
    <mergeCell ref="B157:H157"/>
    <mergeCell ref="D152:F152"/>
    <mergeCell ref="G152:H152"/>
    <mergeCell ref="D153:F153"/>
    <mergeCell ref="G153:H153"/>
    <mergeCell ref="D154:F154"/>
    <mergeCell ref="G154:H154"/>
    <mergeCell ref="B145:C145"/>
    <mergeCell ref="B146:C146"/>
    <mergeCell ref="B147:D147"/>
    <mergeCell ref="B149:H149"/>
    <mergeCell ref="D151:F151"/>
    <mergeCell ref="G151:H151"/>
    <mergeCell ref="B140:C140"/>
    <mergeCell ref="B141:C141"/>
    <mergeCell ref="B142:C142"/>
    <mergeCell ref="B143:C143"/>
    <mergeCell ref="B144:C144"/>
    <mergeCell ref="B107:H107"/>
    <mergeCell ref="B137:D137"/>
    <mergeCell ref="B138:C138"/>
    <mergeCell ref="B139:C139"/>
    <mergeCell ref="A3:H3"/>
    <mergeCell ref="B132:C132"/>
    <mergeCell ref="B133:C133"/>
    <mergeCell ref="B134:C134"/>
    <mergeCell ref="B135:C135"/>
    <mergeCell ref="B109:D109"/>
    <mergeCell ref="B110:C110"/>
    <mergeCell ref="B111:C111"/>
    <mergeCell ref="B112:C112"/>
    <mergeCell ref="B127:C127"/>
    <mergeCell ref="A2:H2"/>
    <mergeCell ref="A1:H1"/>
    <mergeCell ref="B104:H104"/>
    <mergeCell ref="B105:H105"/>
    <mergeCell ref="B106:H106"/>
  </mergeCells>
  <hyperlinks>
    <hyperlink ref="I1" location="Index!B2" display="Index" xr:uid="{ECA0CC8F-EECF-4659-AC13-3E4F5906134F}"/>
    <hyperlink ref="B169" r:id="rId1" xr:uid="{CBCBA395-84C9-448E-90DA-65F7AA98E29E}"/>
    <hyperlink ref="B171" r:id="rId2" xr:uid="{C89870ED-5927-4656-8FBE-DDC956020673}"/>
    <hyperlink ref="B173" r:id="rId3" xr:uid="{C0A9F59A-3898-4112-9D09-82C4A70B7EA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23C0-F443-4DE0-A386-FD5E4EC95C06}">
  <sheetPr>
    <outlinePr summaryBelow="0" summaryRight="0"/>
  </sheetPr>
  <dimension ref="A1:Q217"/>
  <sheetViews>
    <sheetView showGridLines="0" workbookViewId="0">
      <selection sqref="A1:H1"/>
    </sheetView>
  </sheetViews>
  <sheetFormatPr defaultRowHeight="12.75" x14ac:dyDescent="0.2"/>
  <cols>
    <col min="1" max="1" width="5.85546875" style="16" bestFit="1" customWidth="1"/>
    <col min="2" max="2" width="21.5703125" style="16" customWidth="1"/>
    <col min="3" max="3" width="39.140625" style="16" bestFit="1" customWidth="1"/>
    <col min="4" max="4" width="10.7109375" style="16" bestFit="1" customWidth="1"/>
    <col min="5" max="5" width="9.4257812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417</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562</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x14ac:dyDescent="0.2">
      <c r="A28" s="24">
        <v>1</v>
      </c>
      <c r="B28" s="25" t="s">
        <v>418</v>
      </c>
      <c r="C28" s="25" t="s">
        <v>419</v>
      </c>
      <c r="D28" s="25" t="s">
        <v>220</v>
      </c>
      <c r="E28" s="26">
        <v>750</v>
      </c>
      <c r="F28" s="27">
        <v>7496.0474999999997</v>
      </c>
      <c r="G28" s="28">
        <v>3.4911770000000002E-2</v>
      </c>
      <c r="H28" s="15">
        <v>7.66</v>
      </c>
    </row>
    <row r="29" spans="1:8" x14ac:dyDescent="0.2">
      <c r="A29" s="24">
        <v>2</v>
      </c>
      <c r="B29" s="25" t="s">
        <v>228</v>
      </c>
      <c r="C29" s="25" t="s">
        <v>229</v>
      </c>
      <c r="D29" s="25" t="s">
        <v>223</v>
      </c>
      <c r="E29" s="26">
        <v>7000</v>
      </c>
      <c r="F29" s="27">
        <v>7021.35</v>
      </c>
      <c r="G29" s="28">
        <v>3.2700939999999998E-2</v>
      </c>
      <c r="H29" s="15">
        <v>8.39</v>
      </c>
    </row>
    <row r="30" spans="1:8" x14ac:dyDescent="0.2">
      <c r="A30" s="24">
        <v>3</v>
      </c>
      <c r="B30" s="25" t="s">
        <v>224</v>
      </c>
      <c r="C30" s="25" t="s">
        <v>225</v>
      </c>
      <c r="D30" s="25" t="s">
        <v>23</v>
      </c>
      <c r="E30" s="26">
        <v>5500</v>
      </c>
      <c r="F30" s="27">
        <v>5491.6949999999997</v>
      </c>
      <c r="G30" s="28">
        <v>2.5576789999999999E-2</v>
      </c>
      <c r="H30" s="15">
        <v>7.625</v>
      </c>
    </row>
    <row r="31" spans="1:8" x14ac:dyDescent="0.2">
      <c r="A31" s="24">
        <v>4</v>
      </c>
      <c r="B31" s="25" t="s">
        <v>221</v>
      </c>
      <c r="C31" s="25" t="s">
        <v>222</v>
      </c>
      <c r="D31" s="25" t="s">
        <v>223</v>
      </c>
      <c r="E31" s="26">
        <v>3000</v>
      </c>
      <c r="F31" s="27">
        <v>3005.9850000000001</v>
      </c>
      <c r="G31" s="28">
        <v>1.3999950000000001E-2</v>
      </c>
      <c r="H31" s="15">
        <v>8.9600000000000009</v>
      </c>
    </row>
    <row r="32" spans="1:8" ht="25.5" x14ac:dyDescent="0.2">
      <c r="A32" s="24">
        <v>5</v>
      </c>
      <c r="B32" s="25" t="s">
        <v>261</v>
      </c>
      <c r="C32" s="25" t="s">
        <v>262</v>
      </c>
      <c r="D32" s="25" t="s">
        <v>23</v>
      </c>
      <c r="E32" s="26">
        <v>300</v>
      </c>
      <c r="F32" s="27">
        <v>2994.288</v>
      </c>
      <c r="G32" s="28">
        <v>1.394547E-2</v>
      </c>
      <c r="H32" s="15">
        <v>7.3949999999999996</v>
      </c>
    </row>
    <row r="33" spans="1:8" ht="25.5" x14ac:dyDescent="0.2">
      <c r="A33" s="24">
        <v>6</v>
      </c>
      <c r="B33" s="25" t="s">
        <v>420</v>
      </c>
      <c r="C33" s="25" t="s">
        <v>421</v>
      </c>
      <c r="D33" s="25" t="s">
        <v>249</v>
      </c>
      <c r="E33" s="26">
        <v>2500</v>
      </c>
      <c r="F33" s="27">
        <v>2500.2325000000001</v>
      </c>
      <c r="G33" s="28">
        <v>1.164448E-2</v>
      </c>
      <c r="H33" s="15">
        <v>7.7649999999999997</v>
      </c>
    </row>
    <row r="34" spans="1:8" ht="25.5" x14ac:dyDescent="0.2">
      <c r="A34" s="24">
        <v>7</v>
      </c>
      <c r="B34" s="25" t="s">
        <v>422</v>
      </c>
      <c r="C34" s="25" t="s">
        <v>423</v>
      </c>
      <c r="D34" s="25" t="s">
        <v>249</v>
      </c>
      <c r="E34" s="26">
        <v>250000</v>
      </c>
      <c r="F34" s="27">
        <v>2499.4974999999999</v>
      </c>
      <c r="G34" s="28">
        <v>1.164105E-2</v>
      </c>
      <c r="H34" s="15">
        <v>7.9950000000000001</v>
      </c>
    </row>
    <row r="35" spans="1:8" ht="25.5" x14ac:dyDescent="0.2">
      <c r="A35" s="24">
        <v>8</v>
      </c>
      <c r="B35" s="25" t="s">
        <v>57</v>
      </c>
      <c r="C35" s="25" t="s">
        <v>58</v>
      </c>
      <c r="D35" s="25" t="s">
        <v>23</v>
      </c>
      <c r="E35" s="26">
        <v>2500</v>
      </c>
      <c r="F35" s="27">
        <v>2496.5549999999998</v>
      </c>
      <c r="G35" s="28">
        <v>1.162735E-2</v>
      </c>
      <c r="H35" s="15">
        <v>7.63</v>
      </c>
    </row>
    <row r="36" spans="1:8" ht="25.5" x14ac:dyDescent="0.2">
      <c r="A36" s="24">
        <v>9</v>
      </c>
      <c r="B36" s="25" t="s">
        <v>424</v>
      </c>
      <c r="C36" s="25" t="s">
        <v>425</v>
      </c>
      <c r="D36" s="25" t="s">
        <v>23</v>
      </c>
      <c r="E36" s="26">
        <v>250</v>
      </c>
      <c r="F36" s="27">
        <v>2490.2649999999999</v>
      </c>
      <c r="G36" s="28">
        <v>1.159805E-2</v>
      </c>
      <c r="H36" s="15">
        <v>7.9249999999999998</v>
      </c>
    </row>
    <row r="37" spans="1:8" ht="25.5" x14ac:dyDescent="0.2">
      <c r="A37" s="24">
        <v>10</v>
      </c>
      <c r="B37" s="25" t="s">
        <v>426</v>
      </c>
      <c r="C37" s="25" t="s">
        <v>427</v>
      </c>
      <c r="D37" s="25" t="s">
        <v>23</v>
      </c>
      <c r="E37" s="26">
        <v>250</v>
      </c>
      <c r="F37" s="27">
        <v>2472.3924999999999</v>
      </c>
      <c r="G37" s="28">
        <v>1.151482E-2</v>
      </c>
      <c r="H37" s="15">
        <v>7.8</v>
      </c>
    </row>
    <row r="38" spans="1:8" ht="25.5" x14ac:dyDescent="0.2">
      <c r="A38" s="24">
        <v>11</v>
      </c>
      <c r="B38" s="25" t="s">
        <v>247</v>
      </c>
      <c r="C38" s="25" t="s">
        <v>248</v>
      </c>
      <c r="D38" s="25" t="s">
        <v>249</v>
      </c>
      <c r="E38" s="26">
        <v>200</v>
      </c>
      <c r="F38" s="27">
        <v>2001.9739999999999</v>
      </c>
      <c r="G38" s="28">
        <v>9.3239099999999995E-3</v>
      </c>
      <c r="H38" s="15">
        <v>8.1827000000000005</v>
      </c>
    </row>
    <row r="39" spans="1:8" x14ac:dyDescent="0.2">
      <c r="A39" s="24">
        <v>12</v>
      </c>
      <c r="B39" s="25" t="s">
        <v>218</v>
      </c>
      <c r="C39" s="25" t="s">
        <v>219</v>
      </c>
      <c r="D39" s="25" t="s">
        <v>220</v>
      </c>
      <c r="E39" s="26">
        <v>1600</v>
      </c>
      <c r="F39" s="27">
        <v>1609.6592000000001</v>
      </c>
      <c r="G39" s="28">
        <v>7.4967599999999999E-3</v>
      </c>
      <c r="H39" s="15">
        <v>7.9749999999999996</v>
      </c>
    </row>
    <row r="40" spans="1:8" ht="25.5" x14ac:dyDescent="0.2">
      <c r="A40" s="24">
        <v>13</v>
      </c>
      <c r="B40" s="25" t="s">
        <v>61</v>
      </c>
      <c r="C40" s="25" t="s">
        <v>62</v>
      </c>
      <c r="D40" s="25" t="s">
        <v>23</v>
      </c>
      <c r="E40" s="26">
        <v>1500</v>
      </c>
      <c r="F40" s="27">
        <v>1499.0055</v>
      </c>
      <c r="G40" s="28">
        <v>6.9813999999999996E-3</v>
      </c>
      <c r="H40" s="15">
        <v>8.2100000000000009</v>
      </c>
    </row>
    <row r="41" spans="1:8" x14ac:dyDescent="0.2">
      <c r="A41" s="24">
        <v>14</v>
      </c>
      <c r="B41" s="25" t="s">
        <v>243</v>
      </c>
      <c r="C41" s="25" t="s">
        <v>244</v>
      </c>
      <c r="D41" s="25" t="s">
        <v>223</v>
      </c>
      <c r="E41" s="26">
        <v>1000</v>
      </c>
      <c r="F41" s="27">
        <v>1004.913</v>
      </c>
      <c r="G41" s="28">
        <v>4.6802399999999996E-3</v>
      </c>
      <c r="H41" s="15">
        <v>8.5541</v>
      </c>
    </row>
    <row r="42" spans="1:8" ht="25.5" x14ac:dyDescent="0.2">
      <c r="A42" s="24">
        <v>15</v>
      </c>
      <c r="B42" s="25" t="s">
        <v>63</v>
      </c>
      <c r="C42" s="25" t="s">
        <v>64</v>
      </c>
      <c r="D42" s="25" t="s">
        <v>23</v>
      </c>
      <c r="E42" s="26">
        <v>1000</v>
      </c>
      <c r="F42" s="27">
        <v>996.31899999999996</v>
      </c>
      <c r="G42" s="28">
        <v>4.6402099999999996E-3</v>
      </c>
      <c r="H42" s="15">
        <v>7.64</v>
      </c>
    </row>
    <row r="43" spans="1:8" x14ac:dyDescent="0.2">
      <c r="A43" s="17"/>
      <c r="B43" s="17"/>
      <c r="C43" s="18" t="s">
        <v>11</v>
      </c>
      <c r="D43" s="17"/>
      <c r="E43" s="17" t="s">
        <v>12</v>
      </c>
      <c r="F43" s="23">
        <v>45580.178699999997</v>
      </c>
      <c r="G43" s="20">
        <v>0.21228319000000001</v>
      </c>
      <c r="H43" s="15" t="s">
        <v>12</v>
      </c>
    </row>
    <row r="44" spans="1:8" x14ac:dyDescent="0.2">
      <c r="A44" s="17"/>
      <c r="B44" s="17"/>
      <c r="C44" s="21"/>
      <c r="D44" s="17"/>
      <c r="E44" s="17"/>
      <c r="F44" s="22"/>
      <c r="G44" s="22"/>
      <c r="H44" s="15" t="s">
        <v>12</v>
      </c>
    </row>
    <row r="45" spans="1:8" x14ac:dyDescent="0.2">
      <c r="A45" s="17"/>
      <c r="B45" s="17"/>
      <c r="C45" s="18" t="s">
        <v>71</v>
      </c>
      <c r="D45" s="17"/>
      <c r="E45" s="17"/>
      <c r="F45" s="17"/>
      <c r="G45" s="17"/>
      <c r="H45" s="15" t="s">
        <v>12</v>
      </c>
    </row>
    <row r="46" spans="1:8" x14ac:dyDescent="0.2">
      <c r="A46" s="17"/>
      <c r="B46" s="17"/>
      <c r="C46" s="18" t="s">
        <v>11</v>
      </c>
      <c r="D46" s="17"/>
      <c r="E46" s="17" t="s">
        <v>12</v>
      </c>
      <c r="F46" s="19" t="s">
        <v>13</v>
      </c>
      <c r="G46" s="20">
        <v>0</v>
      </c>
      <c r="H46" s="15" t="s">
        <v>12</v>
      </c>
    </row>
    <row r="47" spans="1:8" x14ac:dyDescent="0.2">
      <c r="A47" s="17"/>
      <c r="B47" s="17"/>
      <c r="C47" s="21"/>
      <c r="D47" s="17"/>
      <c r="E47" s="17"/>
      <c r="F47" s="22"/>
      <c r="G47" s="22"/>
      <c r="H47" s="15" t="s">
        <v>12</v>
      </c>
    </row>
    <row r="48" spans="1:8" x14ac:dyDescent="0.2">
      <c r="A48" s="17"/>
      <c r="B48" s="17"/>
      <c r="C48" s="18" t="s">
        <v>72</v>
      </c>
      <c r="D48" s="17"/>
      <c r="E48" s="17"/>
      <c r="F48" s="17"/>
      <c r="G48" s="17"/>
      <c r="H48" s="15" t="s">
        <v>12</v>
      </c>
    </row>
    <row r="49" spans="1:8" x14ac:dyDescent="0.2">
      <c r="A49" s="17"/>
      <c r="B49" s="17"/>
      <c r="C49" s="18" t="s">
        <v>11</v>
      </c>
      <c r="D49" s="17"/>
      <c r="E49" s="17" t="s">
        <v>12</v>
      </c>
      <c r="F49" s="19" t="s">
        <v>13</v>
      </c>
      <c r="G49" s="20">
        <v>0</v>
      </c>
      <c r="H49" s="15" t="s">
        <v>12</v>
      </c>
    </row>
    <row r="50" spans="1:8" x14ac:dyDescent="0.2">
      <c r="A50" s="17"/>
      <c r="B50" s="17"/>
      <c r="C50" s="21"/>
      <c r="D50" s="17"/>
      <c r="E50" s="17"/>
      <c r="F50" s="22"/>
      <c r="G50" s="22"/>
      <c r="H50" s="15" t="s">
        <v>12</v>
      </c>
    </row>
    <row r="51" spans="1:8" x14ac:dyDescent="0.2">
      <c r="A51" s="17"/>
      <c r="B51" s="17"/>
      <c r="C51" s="18" t="s">
        <v>88</v>
      </c>
      <c r="D51" s="17"/>
      <c r="E51" s="17"/>
      <c r="F51" s="22"/>
      <c r="G51" s="22"/>
      <c r="H51" s="15" t="s">
        <v>12</v>
      </c>
    </row>
    <row r="52" spans="1:8" x14ac:dyDescent="0.2">
      <c r="A52" s="17"/>
      <c r="B52" s="17"/>
      <c r="C52" s="18" t="s">
        <v>11</v>
      </c>
      <c r="D52" s="17"/>
      <c r="E52" s="17" t="s">
        <v>12</v>
      </c>
      <c r="F52" s="19" t="s">
        <v>13</v>
      </c>
      <c r="G52" s="20">
        <v>0</v>
      </c>
      <c r="H52" s="15" t="s">
        <v>12</v>
      </c>
    </row>
    <row r="53" spans="1:8" x14ac:dyDescent="0.2">
      <c r="A53" s="17"/>
      <c r="B53" s="17"/>
      <c r="C53" s="21"/>
      <c r="D53" s="17"/>
      <c r="E53" s="17"/>
      <c r="F53" s="22"/>
      <c r="G53" s="22"/>
      <c r="H53" s="15" t="s">
        <v>12</v>
      </c>
    </row>
    <row r="54" spans="1:8" x14ac:dyDescent="0.2">
      <c r="A54" s="17"/>
      <c r="B54" s="17"/>
      <c r="C54" s="18" t="s">
        <v>89</v>
      </c>
      <c r="D54" s="17"/>
      <c r="E54" s="17"/>
      <c r="F54" s="23">
        <v>45580.178699999997</v>
      </c>
      <c r="G54" s="20">
        <v>0.21228319000000001</v>
      </c>
      <c r="H54" s="15" t="s">
        <v>12</v>
      </c>
    </row>
    <row r="55" spans="1:8" x14ac:dyDescent="0.2">
      <c r="A55" s="17"/>
      <c r="B55" s="17"/>
      <c r="C55" s="21"/>
      <c r="D55" s="17"/>
      <c r="E55" s="17"/>
      <c r="F55" s="22"/>
      <c r="G55" s="22"/>
      <c r="H55" s="15" t="s">
        <v>12</v>
      </c>
    </row>
    <row r="56" spans="1:8" x14ac:dyDescent="0.2">
      <c r="A56" s="17"/>
      <c r="B56" s="17"/>
      <c r="C56" s="18" t="s">
        <v>90</v>
      </c>
      <c r="D56" s="17"/>
      <c r="E56" s="17"/>
      <c r="F56" s="22"/>
      <c r="G56" s="22"/>
      <c r="H56" s="15" t="s">
        <v>12</v>
      </c>
    </row>
    <row r="57" spans="1:8" x14ac:dyDescent="0.2">
      <c r="A57" s="17"/>
      <c r="B57" s="17"/>
      <c r="C57" s="18" t="s">
        <v>91</v>
      </c>
      <c r="D57" s="17"/>
      <c r="E57" s="17"/>
      <c r="F57" s="22"/>
      <c r="G57" s="22"/>
      <c r="H57" s="15" t="s">
        <v>12</v>
      </c>
    </row>
    <row r="58" spans="1:8" x14ac:dyDescent="0.2">
      <c r="A58" s="24">
        <v>1</v>
      </c>
      <c r="B58" s="25" t="s">
        <v>428</v>
      </c>
      <c r="C58" s="25" t="s">
        <v>429</v>
      </c>
      <c r="D58" s="25" t="s">
        <v>152</v>
      </c>
      <c r="E58" s="26">
        <v>1000</v>
      </c>
      <c r="F58" s="27">
        <v>4974.1350000000002</v>
      </c>
      <c r="G58" s="28">
        <v>2.3166320000000001E-2</v>
      </c>
      <c r="H58" s="15">
        <v>7.3002000000000002</v>
      </c>
    </row>
    <row r="59" spans="1:8" x14ac:dyDescent="0.2">
      <c r="A59" s="24">
        <v>2</v>
      </c>
      <c r="B59" s="25" t="s">
        <v>430</v>
      </c>
      <c r="C59" s="25" t="s">
        <v>431</v>
      </c>
      <c r="D59" s="25" t="s">
        <v>152</v>
      </c>
      <c r="E59" s="26">
        <v>1000</v>
      </c>
      <c r="F59" s="27">
        <v>4873.1850000000004</v>
      </c>
      <c r="G59" s="28">
        <v>2.269616E-2</v>
      </c>
      <c r="H59" s="15">
        <v>7.6600999999999999</v>
      </c>
    </row>
    <row r="60" spans="1:8" x14ac:dyDescent="0.2">
      <c r="A60" s="24">
        <v>3</v>
      </c>
      <c r="B60" s="25" t="s">
        <v>432</v>
      </c>
      <c r="C60" s="25" t="s">
        <v>433</v>
      </c>
      <c r="D60" s="25" t="s">
        <v>146</v>
      </c>
      <c r="E60" s="26">
        <v>1000</v>
      </c>
      <c r="F60" s="27">
        <v>4700.5050000000001</v>
      </c>
      <c r="G60" s="28">
        <v>2.189193E-2</v>
      </c>
      <c r="H60" s="15">
        <v>7.6</v>
      </c>
    </row>
    <row r="61" spans="1:8" x14ac:dyDescent="0.2">
      <c r="A61" s="24">
        <v>4</v>
      </c>
      <c r="B61" s="25" t="s">
        <v>157</v>
      </c>
      <c r="C61" s="25" t="s">
        <v>158</v>
      </c>
      <c r="D61" s="25" t="s">
        <v>152</v>
      </c>
      <c r="E61" s="26">
        <v>1000</v>
      </c>
      <c r="F61" s="27">
        <v>4699.0249999999996</v>
      </c>
      <c r="G61" s="28">
        <v>2.1885040000000001E-2</v>
      </c>
      <c r="H61" s="15">
        <v>7.64</v>
      </c>
    </row>
    <row r="62" spans="1:8" x14ac:dyDescent="0.2">
      <c r="A62" s="24">
        <v>5</v>
      </c>
      <c r="B62" s="25" t="s">
        <v>161</v>
      </c>
      <c r="C62" s="25" t="s">
        <v>162</v>
      </c>
      <c r="D62" s="25" t="s">
        <v>152</v>
      </c>
      <c r="E62" s="26">
        <v>1000</v>
      </c>
      <c r="F62" s="27">
        <v>4695.32</v>
      </c>
      <c r="G62" s="28">
        <v>2.186778E-2</v>
      </c>
      <c r="H62" s="15">
        <v>7.7149999999999999</v>
      </c>
    </row>
    <row r="63" spans="1:8" x14ac:dyDescent="0.2">
      <c r="A63" s="24">
        <v>6</v>
      </c>
      <c r="B63" s="25" t="s">
        <v>163</v>
      </c>
      <c r="C63" s="39" t="s">
        <v>696</v>
      </c>
      <c r="D63" s="25" t="s">
        <v>152</v>
      </c>
      <c r="E63" s="26">
        <v>1000</v>
      </c>
      <c r="F63" s="27">
        <v>4646.84</v>
      </c>
      <c r="G63" s="28">
        <v>2.164199E-2</v>
      </c>
      <c r="H63" s="15">
        <v>7.6</v>
      </c>
    </row>
    <row r="64" spans="1:8" x14ac:dyDescent="0.2">
      <c r="A64" s="24">
        <v>7</v>
      </c>
      <c r="B64" s="25" t="s">
        <v>184</v>
      </c>
      <c r="C64" s="25" t="s">
        <v>185</v>
      </c>
      <c r="D64" s="25" t="s">
        <v>149</v>
      </c>
      <c r="E64" s="26">
        <v>900</v>
      </c>
      <c r="F64" s="27">
        <v>4414.9589999999998</v>
      </c>
      <c r="G64" s="28">
        <v>2.056204E-2</v>
      </c>
      <c r="H64" s="15">
        <v>7.56</v>
      </c>
    </row>
    <row r="65" spans="1:8" x14ac:dyDescent="0.2">
      <c r="A65" s="24">
        <v>8</v>
      </c>
      <c r="B65" s="25" t="s">
        <v>186</v>
      </c>
      <c r="C65" s="25" t="s">
        <v>187</v>
      </c>
      <c r="D65" s="25" t="s">
        <v>152</v>
      </c>
      <c r="E65" s="26">
        <v>900</v>
      </c>
      <c r="F65" s="27">
        <v>4401.9269999999997</v>
      </c>
      <c r="G65" s="28">
        <v>2.0501350000000002E-2</v>
      </c>
      <c r="H65" s="15">
        <v>7.6</v>
      </c>
    </row>
    <row r="66" spans="1:8" x14ac:dyDescent="0.2">
      <c r="A66" s="24">
        <v>9</v>
      </c>
      <c r="B66" s="25" t="s">
        <v>188</v>
      </c>
      <c r="C66" s="25" t="s">
        <v>189</v>
      </c>
      <c r="D66" s="25" t="s">
        <v>152</v>
      </c>
      <c r="E66" s="26">
        <v>900</v>
      </c>
      <c r="F66" s="27">
        <v>4384.9665000000005</v>
      </c>
      <c r="G66" s="28">
        <v>2.0422360000000001E-2</v>
      </c>
      <c r="H66" s="15">
        <v>7.6600999999999999</v>
      </c>
    </row>
    <row r="67" spans="1:8" x14ac:dyDescent="0.2">
      <c r="A67" s="24">
        <v>10</v>
      </c>
      <c r="B67" s="25" t="s">
        <v>182</v>
      </c>
      <c r="C67" s="25" t="s">
        <v>183</v>
      </c>
      <c r="D67" s="25" t="s">
        <v>146</v>
      </c>
      <c r="E67" s="26">
        <v>840</v>
      </c>
      <c r="F67" s="27">
        <v>4053.0630000000001</v>
      </c>
      <c r="G67" s="28">
        <v>1.8876560000000001E-2</v>
      </c>
      <c r="H67" s="15">
        <v>7.6048999999999998</v>
      </c>
    </row>
    <row r="68" spans="1:8" x14ac:dyDescent="0.2">
      <c r="A68" s="24">
        <v>11</v>
      </c>
      <c r="B68" s="25" t="s">
        <v>176</v>
      </c>
      <c r="C68" s="25" t="s">
        <v>177</v>
      </c>
      <c r="D68" s="25" t="s">
        <v>152</v>
      </c>
      <c r="E68" s="26">
        <v>800</v>
      </c>
      <c r="F68" s="27">
        <v>3957.2640000000001</v>
      </c>
      <c r="G68" s="28">
        <v>1.8430390000000001E-2</v>
      </c>
      <c r="H68" s="15">
        <v>7.2999000000000001</v>
      </c>
    </row>
    <row r="69" spans="1:8" x14ac:dyDescent="0.2">
      <c r="A69" s="24">
        <v>12</v>
      </c>
      <c r="B69" s="25" t="s">
        <v>180</v>
      </c>
      <c r="C69" s="25" t="s">
        <v>181</v>
      </c>
      <c r="D69" s="25" t="s">
        <v>152</v>
      </c>
      <c r="E69" s="26">
        <v>800</v>
      </c>
      <c r="F69" s="27">
        <v>3754.5279999999998</v>
      </c>
      <c r="G69" s="28">
        <v>1.748618E-2</v>
      </c>
      <c r="H69" s="15">
        <v>7.6</v>
      </c>
    </row>
    <row r="70" spans="1:8" x14ac:dyDescent="0.2">
      <c r="A70" s="24">
        <v>13</v>
      </c>
      <c r="B70" s="25" t="s">
        <v>168</v>
      </c>
      <c r="C70" s="25" t="s">
        <v>169</v>
      </c>
      <c r="D70" s="25" t="s">
        <v>152</v>
      </c>
      <c r="E70" s="26">
        <v>700</v>
      </c>
      <c r="F70" s="27">
        <v>3464.7550000000001</v>
      </c>
      <c r="G70" s="28">
        <v>1.6136600000000001E-2</v>
      </c>
      <c r="H70" s="15">
        <v>7.28</v>
      </c>
    </row>
    <row r="71" spans="1:8" x14ac:dyDescent="0.2">
      <c r="A71" s="24">
        <v>14</v>
      </c>
      <c r="B71" s="25" t="s">
        <v>172</v>
      </c>
      <c r="C71" s="25" t="s">
        <v>173</v>
      </c>
      <c r="D71" s="25" t="s">
        <v>152</v>
      </c>
      <c r="E71" s="26">
        <v>700</v>
      </c>
      <c r="F71" s="27">
        <v>3255.6545000000001</v>
      </c>
      <c r="G71" s="28">
        <v>1.5162749999999999E-2</v>
      </c>
      <c r="H71" s="15">
        <v>7.6950000000000003</v>
      </c>
    </row>
    <row r="72" spans="1:8" x14ac:dyDescent="0.2">
      <c r="A72" s="24">
        <v>15</v>
      </c>
      <c r="B72" s="25" t="s">
        <v>258</v>
      </c>
      <c r="C72" s="25" t="s">
        <v>259</v>
      </c>
      <c r="D72" s="25" t="s">
        <v>152</v>
      </c>
      <c r="E72" s="26">
        <v>600</v>
      </c>
      <c r="F72" s="27">
        <v>2820.6990000000001</v>
      </c>
      <c r="G72" s="28">
        <v>1.3136999999999999E-2</v>
      </c>
      <c r="H72" s="15">
        <v>7.5823</v>
      </c>
    </row>
    <row r="73" spans="1:8" x14ac:dyDescent="0.2">
      <c r="A73" s="24">
        <v>16</v>
      </c>
      <c r="B73" s="25" t="s">
        <v>434</v>
      </c>
      <c r="C73" s="25" t="s">
        <v>435</v>
      </c>
      <c r="D73" s="25" t="s">
        <v>152</v>
      </c>
      <c r="E73" s="26">
        <v>500</v>
      </c>
      <c r="F73" s="27">
        <v>2498.0100000000002</v>
      </c>
      <c r="G73" s="28">
        <v>1.1634129999999999E-2</v>
      </c>
      <c r="H73" s="15">
        <v>7.2750000000000004</v>
      </c>
    </row>
    <row r="74" spans="1:8" x14ac:dyDescent="0.2">
      <c r="A74" s="24">
        <v>17</v>
      </c>
      <c r="B74" s="25" t="s">
        <v>436</v>
      </c>
      <c r="C74" s="25" t="s">
        <v>437</v>
      </c>
      <c r="D74" s="25" t="s">
        <v>152</v>
      </c>
      <c r="E74" s="26">
        <v>500</v>
      </c>
      <c r="F74" s="27">
        <v>2497.0050000000001</v>
      </c>
      <c r="G74" s="28">
        <v>1.162944E-2</v>
      </c>
      <c r="H74" s="15">
        <v>7.2996999999999996</v>
      </c>
    </row>
    <row r="75" spans="1:8" x14ac:dyDescent="0.2">
      <c r="A75" s="24">
        <v>18</v>
      </c>
      <c r="B75" s="25" t="s">
        <v>269</v>
      </c>
      <c r="C75" s="25" t="s">
        <v>270</v>
      </c>
      <c r="D75" s="25" t="s">
        <v>149</v>
      </c>
      <c r="E75" s="26">
        <v>500</v>
      </c>
      <c r="F75" s="27">
        <v>2490.6</v>
      </c>
      <c r="G75" s="28">
        <v>1.159961E-2</v>
      </c>
      <c r="H75" s="15">
        <v>7.2502000000000004</v>
      </c>
    </row>
    <row r="76" spans="1:8" x14ac:dyDescent="0.2">
      <c r="A76" s="24">
        <v>19</v>
      </c>
      <c r="B76" s="25" t="s">
        <v>307</v>
      </c>
      <c r="C76" s="25" t="s">
        <v>308</v>
      </c>
      <c r="D76" s="25" t="s">
        <v>152</v>
      </c>
      <c r="E76" s="26">
        <v>500</v>
      </c>
      <c r="F76" s="27">
        <v>2490.5349999999999</v>
      </c>
      <c r="G76" s="28">
        <v>1.159931E-2</v>
      </c>
      <c r="H76" s="15">
        <v>7.2999000000000001</v>
      </c>
    </row>
    <row r="77" spans="1:8" x14ac:dyDescent="0.2">
      <c r="A77" s="24">
        <v>20</v>
      </c>
      <c r="B77" s="25" t="s">
        <v>438</v>
      </c>
      <c r="C77" s="25" t="s">
        <v>439</v>
      </c>
      <c r="D77" s="25" t="s">
        <v>152</v>
      </c>
      <c r="E77" s="26">
        <v>500</v>
      </c>
      <c r="F77" s="27">
        <v>2481.2449999999999</v>
      </c>
      <c r="G77" s="28">
        <v>1.155604E-2</v>
      </c>
      <c r="H77" s="15">
        <v>7.26</v>
      </c>
    </row>
    <row r="78" spans="1:8" x14ac:dyDescent="0.2">
      <c r="A78" s="24">
        <v>21</v>
      </c>
      <c r="B78" s="25" t="s">
        <v>317</v>
      </c>
      <c r="C78" s="25" t="s">
        <v>318</v>
      </c>
      <c r="D78" s="25" t="s">
        <v>152</v>
      </c>
      <c r="E78" s="26">
        <v>500</v>
      </c>
      <c r="F78" s="27">
        <v>2481.145</v>
      </c>
      <c r="G78" s="28">
        <v>1.1555579999999999E-2</v>
      </c>
      <c r="H78" s="15">
        <v>7.2999000000000001</v>
      </c>
    </row>
    <row r="79" spans="1:8" x14ac:dyDescent="0.2">
      <c r="A79" s="24">
        <v>22</v>
      </c>
      <c r="B79" s="25" t="s">
        <v>144</v>
      </c>
      <c r="C79" s="25" t="s">
        <v>145</v>
      </c>
      <c r="D79" s="25" t="s">
        <v>146</v>
      </c>
      <c r="E79" s="26">
        <v>500</v>
      </c>
      <c r="F79" s="27">
        <v>2478.34</v>
      </c>
      <c r="G79" s="28">
        <v>1.1542520000000001E-2</v>
      </c>
      <c r="H79" s="15">
        <v>7.25</v>
      </c>
    </row>
    <row r="80" spans="1:8" x14ac:dyDescent="0.2">
      <c r="A80" s="24">
        <v>23</v>
      </c>
      <c r="B80" s="25" t="s">
        <v>170</v>
      </c>
      <c r="C80" s="25" t="s">
        <v>171</v>
      </c>
      <c r="D80" s="25" t="s">
        <v>152</v>
      </c>
      <c r="E80" s="26">
        <v>500</v>
      </c>
      <c r="F80" s="27">
        <v>2443.5974999999999</v>
      </c>
      <c r="G80" s="28">
        <v>1.138071E-2</v>
      </c>
      <c r="H80" s="15">
        <v>7.5900999999999996</v>
      </c>
    </row>
    <row r="81" spans="1:8" x14ac:dyDescent="0.2">
      <c r="A81" s="24">
        <v>24</v>
      </c>
      <c r="B81" s="25" t="s">
        <v>440</v>
      </c>
      <c r="C81" s="25" t="s">
        <v>441</v>
      </c>
      <c r="D81" s="25" t="s">
        <v>152</v>
      </c>
      <c r="E81" s="26">
        <v>500</v>
      </c>
      <c r="F81" s="27">
        <v>2440.9274999999998</v>
      </c>
      <c r="G81" s="28">
        <v>1.136827E-2</v>
      </c>
      <c r="H81" s="15">
        <v>7.6150000000000002</v>
      </c>
    </row>
    <row r="82" spans="1:8" x14ac:dyDescent="0.2">
      <c r="A82" s="24">
        <v>25</v>
      </c>
      <c r="B82" s="25" t="s">
        <v>442</v>
      </c>
      <c r="C82" s="25" t="s">
        <v>443</v>
      </c>
      <c r="D82" s="25" t="s">
        <v>152</v>
      </c>
      <c r="E82" s="26">
        <v>500</v>
      </c>
      <c r="F82" s="27">
        <v>2398.8375000000001</v>
      </c>
      <c r="G82" s="28">
        <v>1.117224E-2</v>
      </c>
      <c r="H82" s="15">
        <v>7.7350000000000003</v>
      </c>
    </row>
    <row r="83" spans="1:8" x14ac:dyDescent="0.2">
      <c r="A83" s="24">
        <v>26</v>
      </c>
      <c r="B83" s="25" t="s">
        <v>444</v>
      </c>
      <c r="C83" s="25" t="s">
        <v>445</v>
      </c>
      <c r="D83" s="25" t="s">
        <v>152</v>
      </c>
      <c r="E83" s="26">
        <v>500</v>
      </c>
      <c r="F83" s="27">
        <v>2398.0749999999998</v>
      </c>
      <c r="G83" s="28">
        <v>1.116869E-2</v>
      </c>
      <c r="H83" s="15">
        <v>7.6801000000000004</v>
      </c>
    </row>
    <row r="84" spans="1:8" x14ac:dyDescent="0.2">
      <c r="A84" s="24">
        <v>27</v>
      </c>
      <c r="B84" s="25" t="s">
        <v>178</v>
      </c>
      <c r="C84" s="25" t="s">
        <v>179</v>
      </c>
      <c r="D84" s="25" t="s">
        <v>152</v>
      </c>
      <c r="E84" s="26">
        <v>500</v>
      </c>
      <c r="F84" s="27">
        <v>2354.2024999999999</v>
      </c>
      <c r="G84" s="28">
        <v>1.0964359999999999E-2</v>
      </c>
      <c r="H84" s="15">
        <v>7.7149999999999999</v>
      </c>
    </row>
    <row r="85" spans="1:8" x14ac:dyDescent="0.2">
      <c r="A85" s="24">
        <v>28</v>
      </c>
      <c r="B85" s="25" t="s">
        <v>153</v>
      </c>
      <c r="C85" s="25" t="s">
        <v>154</v>
      </c>
      <c r="D85" s="25" t="s">
        <v>152</v>
      </c>
      <c r="E85" s="26">
        <v>500</v>
      </c>
      <c r="F85" s="27">
        <v>2352.69</v>
      </c>
      <c r="G85" s="28">
        <v>1.095732E-2</v>
      </c>
      <c r="H85" s="15">
        <v>7.6950000000000003</v>
      </c>
    </row>
    <row r="86" spans="1:8" x14ac:dyDescent="0.2">
      <c r="A86" s="24">
        <v>29</v>
      </c>
      <c r="B86" s="25" t="s">
        <v>155</v>
      </c>
      <c r="C86" s="25" t="s">
        <v>156</v>
      </c>
      <c r="D86" s="25" t="s">
        <v>152</v>
      </c>
      <c r="E86" s="26">
        <v>500</v>
      </c>
      <c r="F86" s="27">
        <v>2351.835</v>
      </c>
      <c r="G86" s="28">
        <v>1.0953340000000001E-2</v>
      </c>
      <c r="H86" s="15">
        <v>7.665</v>
      </c>
    </row>
    <row r="87" spans="1:8" ht="25.5" x14ac:dyDescent="0.2">
      <c r="A87" s="24">
        <v>30</v>
      </c>
      <c r="B87" s="25" t="s">
        <v>159</v>
      </c>
      <c r="C87" s="25" t="s">
        <v>160</v>
      </c>
      <c r="D87" s="25" t="s">
        <v>152</v>
      </c>
      <c r="E87" s="26">
        <v>500</v>
      </c>
      <c r="F87" s="27">
        <v>2349.0974999999999</v>
      </c>
      <c r="G87" s="28">
        <v>1.094059E-2</v>
      </c>
      <c r="H87" s="15">
        <v>7.6375000000000002</v>
      </c>
    </row>
    <row r="88" spans="1:8" ht="25.5" x14ac:dyDescent="0.2">
      <c r="A88" s="24">
        <v>31</v>
      </c>
      <c r="B88" s="25" t="s">
        <v>446</v>
      </c>
      <c r="C88" s="25" t="s">
        <v>447</v>
      </c>
      <c r="D88" s="25" t="s">
        <v>152</v>
      </c>
      <c r="E88" s="26">
        <v>500</v>
      </c>
      <c r="F88" s="27">
        <v>2331.5825</v>
      </c>
      <c r="G88" s="28">
        <v>1.0859010000000001E-2</v>
      </c>
      <c r="H88" s="15">
        <v>7.62</v>
      </c>
    </row>
    <row r="89" spans="1:8" x14ac:dyDescent="0.2">
      <c r="A89" s="24">
        <v>32</v>
      </c>
      <c r="B89" s="25" t="s">
        <v>448</v>
      </c>
      <c r="C89" s="25" t="s">
        <v>449</v>
      </c>
      <c r="D89" s="25" t="s">
        <v>152</v>
      </c>
      <c r="E89" s="26">
        <v>500</v>
      </c>
      <c r="F89" s="27">
        <v>2324.3200000000002</v>
      </c>
      <c r="G89" s="28">
        <v>1.082519E-2</v>
      </c>
      <c r="H89" s="15">
        <v>7.6</v>
      </c>
    </row>
    <row r="90" spans="1:8" x14ac:dyDescent="0.2">
      <c r="A90" s="24">
        <v>33</v>
      </c>
      <c r="B90" s="25" t="s">
        <v>174</v>
      </c>
      <c r="C90" s="25" t="s">
        <v>175</v>
      </c>
      <c r="D90" s="25" t="s">
        <v>152</v>
      </c>
      <c r="E90" s="26">
        <v>300</v>
      </c>
      <c r="F90" s="27">
        <v>1489.9380000000001</v>
      </c>
      <c r="G90" s="28">
        <v>6.9391699999999997E-3</v>
      </c>
      <c r="H90" s="15">
        <v>7.2499000000000002</v>
      </c>
    </row>
    <row r="91" spans="1:8" x14ac:dyDescent="0.2">
      <c r="A91" s="24">
        <v>34</v>
      </c>
      <c r="B91" s="25" t="s">
        <v>273</v>
      </c>
      <c r="C91" s="25" t="s">
        <v>274</v>
      </c>
      <c r="D91" s="25" t="s">
        <v>152</v>
      </c>
      <c r="E91" s="26">
        <v>200</v>
      </c>
      <c r="F91" s="27">
        <v>994.65800000000002</v>
      </c>
      <c r="G91" s="28">
        <v>4.6324799999999996E-3</v>
      </c>
      <c r="H91" s="15">
        <v>7.26</v>
      </c>
    </row>
    <row r="92" spans="1:8" x14ac:dyDescent="0.2">
      <c r="A92" s="17"/>
      <c r="B92" s="17"/>
      <c r="C92" s="18" t="s">
        <v>11</v>
      </c>
      <c r="D92" s="17"/>
      <c r="E92" s="17" t="s">
        <v>12</v>
      </c>
      <c r="F92" s="23">
        <v>106743.467</v>
      </c>
      <c r="G92" s="20">
        <v>0.49714245000000001</v>
      </c>
      <c r="H92" s="15" t="s">
        <v>12</v>
      </c>
    </row>
    <row r="93" spans="1:8" x14ac:dyDescent="0.2">
      <c r="A93" s="17"/>
      <c r="B93" s="17"/>
      <c r="C93" s="21"/>
      <c r="D93" s="17"/>
      <c r="E93" s="17"/>
      <c r="F93" s="22"/>
      <c r="G93" s="22"/>
      <c r="H93" s="15" t="s">
        <v>12</v>
      </c>
    </row>
    <row r="94" spans="1:8" x14ac:dyDescent="0.2">
      <c r="A94" s="17"/>
      <c r="B94" s="17"/>
      <c r="C94" s="18" t="s">
        <v>92</v>
      </c>
      <c r="D94" s="17"/>
      <c r="E94" s="17"/>
      <c r="F94" s="22"/>
      <c r="G94" s="22"/>
      <c r="H94" s="15" t="s">
        <v>12</v>
      </c>
    </row>
    <row r="95" spans="1:8" x14ac:dyDescent="0.2">
      <c r="A95" s="24">
        <v>1</v>
      </c>
      <c r="B95" s="25" t="s">
        <v>450</v>
      </c>
      <c r="C95" s="25" t="s">
        <v>451</v>
      </c>
      <c r="D95" s="25" t="s">
        <v>152</v>
      </c>
      <c r="E95" s="26">
        <v>1000</v>
      </c>
      <c r="F95" s="27">
        <v>4974.37</v>
      </c>
      <c r="G95" s="28">
        <v>2.3167420000000001E-2</v>
      </c>
      <c r="H95" s="15">
        <v>7.8361999999999998</v>
      </c>
    </row>
    <row r="96" spans="1:8" x14ac:dyDescent="0.2">
      <c r="A96" s="24">
        <v>2</v>
      </c>
      <c r="B96" s="25" t="s">
        <v>452</v>
      </c>
      <c r="C96" s="25" t="s">
        <v>453</v>
      </c>
      <c r="D96" s="25" t="s">
        <v>152</v>
      </c>
      <c r="E96" s="26">
        <v>1000</v>
      </c>
      <c r="F96" s="27">
        <v>4960.3149999999996</v>
      </c>
      <c r="G96" s="28">
        <v>2.3101960000000001E-2</v>
      </c>
      <c r="H96" s="15">
        <v>7.6849999999999996</v>
      </c>
    </row>
    <row r="97" spans="1:8" x14ac:dyDescent="0.2">
      <c r="A97" s="24">
        <v>3</v>
      </c>
      <c r="B97" s="25" t="s">
        <v>454</v>
      </c>
      <c r="C97" s="25" t="s">
        <v>455</v>
      </c>
      <c r="D97" s="25" t="s">
        <v>152</v>
      </c>
      <c r="E97" s="26">
        <v>1000</v>
      </c>
      <c r="F97" s="27">
        <v>4876.6099999999997</v>
      </c>
      <c r="G97" s="28">
        <v>2.2712119999999999E-2</v>
      </c>
      <c r="H97" s="15">
        <v>7.5698999999999996</v>
      </c>
    </row>
    <row r="98" spans="1:8" x14ac:dyDescent="0.2">
      <c r="A98" s="24">
        <v>4</v>
      </c>
      <c r="B98" s="25" t="s">
        <v>456</v>
      </c>
      <c r="C98" s="25" t="s">
        <v>457</v>
      </c>
      <c r="D98" s="25" t="s">
        <v>152</v>
      </c>
      <c r="E98" s="26">
        <v>1000</v>
      </c>
      <c r="F98" s="27">
        <v>4775.34</v>
      </c>
      <c r="G98" s="28">
        <v>2.224046E-2</v>
      </c>
      <c r="H98" s="15">
        <v>7.7350000000000003</v>
      </c>
    </row>
    <row r="99" spans="1:8" ht="25.5" x14ac:dyDescent="0.2">
      <c r="A99" s="24">
        <v>5</v>
      </c>
      <c r="B99" s="25" t="s">
        <v>204</v>
      </c>
      <c r="C99" s="25" t="s">
        <v>205</v>
      </c>
      <c r="D99" s="25" t="s">
        <v>152</v>
      </c>
      <c r="E99" s="26">
        <v>800</v>
      </c>
      <c r="F99" s="27">
        <v>3959.748</v>
      </c>
      <c r="G99" s="28">
        <v>1.844196E-2</v>
      </c>
      <c r="H99" s="15">
        <v>7.2751999999999999</v>
      </c>
    </row>
    <row r="100" spans="1:8" x14ac:dyDescent="0.2">
      <c r="A100" s="24">
        <v>6</v>
      </c>
      <c r="B100" s="25" t="s">
        <v>198</v>
      </c>
      <c r="C100" s="25" t="s">
        <v>199</v>
      </c>
      <c r="D100" s="25" t="s">
        <v>152</v>
      </c>
      <c r="E100" s="26">
        <v>700</v>
      </c>
      <c r="F100" s="27">
        <v>3330.2184999999999</v>
      </c>
      <c r="G100" s="28">
        <v>1.5510019999999999E-2</v>
      </c>
      <c r="H100" s="15">
        <v>7.8849999999999998</v>
      </c>
    </row>
    <row r="101" spans="1:8" x14ac:dyDescent="0.2">
      <c r="A101" s="24">
        <v>7</v>
      </c>
      <c r="B101" s="25" t="s">
        <v>458</v>
      </c>
      <c r="C101" s="25" t="s">
        <v>459</v>
      </c>
      <c r="D101" s="25" t="s">
        <v>152</v>
      </c>
      <c r="E101" s="26">
        <v>500</v>
      </c>
      <c r="F101" s="27">
        <v>2484.5650000000001</v>
      </c>
      <c r="G101" s="28">
        <v>1.157151E-2</v>
      </c>
      <c r="H101" s="15">
        <v>7.3150000000000004</v>
      </c>
    </row>
    <row r="102" spans="1:8" ht="25.5" x14ac:dyDescent="0.2">
      <c r="A102" s="24">
        <v>8</v>
      </c>
      <c r="B102" s="25" t="s">
        <v>460</v>
      </c>
      <c r="C102" s="25" t="s">
        <v>461</v>
      </c>
      <c r="D102" s="25" t="s">
        <v>152</v>
      </c>
      <c r="E102" s="26">
        <v>500</v>
      </c>
      <c r="F102" s="27">
        <v>2474.15</v>
      </c>
      <c r="G102" s="28">
        <v>1.1523E-2</v>
      </c>
      <c r="H102" s="15">
        <v>7.9450000000000003</v>
      </c>
    </row>
    <row r="103" spans="1:8" ht="25.5" x14ac:dyDescent="0.2">
      <c r="A103" s="24">
        <v>9</v>
      </c>
      <c r="B103" s="25" t="s">
        <v>196</v>
      </c>
      <c r="C103" s="25" t="s">
        <v>197</v>
      </c>
      <c r="D103" s="25" t="s">
        <v>152</v>
      </c>
      <c r="E103" s="26">
        <v>500</v>
      </c>
      <c r="F103" s="27">
        <v>2425.5625</v>
      </c>
      <c r="G103" s="28">
        <v>1.129671E-2</v>
      </c>
      <c r="H103" s="15">
        <v>8.2363</v>
      </c>
    </row>
    <row r="104" spans="1:8" x14ac:dyDescent="0.2">
      <c r="A104" s="24">
        <v>10</v>
      </c>
      <c r="B104" s="25" t="s">
        <v>200</v>
      </c>
      <c r="C104" s="25" t="s">
        <v>201</v>
      </c>
      <c r="D104" s="25" t="s">
        <v>152</v>
      </c>
      <c r="E104" s="26">
        <v>300</v>
      </c>
      <c r="F104" s="27">
        <v>1493.6880000000001</v>
      </c>
      <c r="G104" s="28">
        <v>6.95664E-3</v>
      </c>
      <c r="H104" s="15">
        <v>7.7125000000000004</v>
      </c>
    </row>
    <row r="105" spans="1:8" ht="25.5" x14ac:dyDescent="0.2">
      <c r="A105" s="24">
        <v>11</v>
      </c>
      <c r="B105" s="25" t="s">
        <v>206</v>
      </c>
      <c r="C105" s="25" t="s">
        <v>207</v>
      </c>
      <c r="D105" s="25" t="s">
        <v>152</v>
      </c>
      <c r="E105" s="26">
        <v>300</v>
      </c>
      <c r="F105" s="27">
        <v>1464.4875</v>
      </c>
      <c r="G105" s="28">
        <v>6.8206400000000002E-3</v>
      </c>
      <c r="H105" s="15">
        <v>7.63</v>
      </c>
    </row>
    <row r="106" spans="1:8" x14ac:dyDescent="0.2">
      <c r="A106" s="24">
        <v>12</v>
      </c>
      <c r="B106" s="25" t="s">
        <v>462</v>
      </c>
      <c r="C106" s="25" t="s">
        <v>463</v>
      </c>
      <c r="D106" s="25" t="s">
        <v>152</v>
      </c>
      <c r="E106" s="26">
        <v>200</v>
      </c>
      <c r="F106" s="27">
        <v>992.25800000000004</v>
      </c>
      <c r="G106" s="28">
        <v>4.6213000000000001E-3</v>
      </c>
      <c r="H106" s="15">
        <v>7.6974999999999998</v>
      </c>
    </row>
    <row r="107" spans="1:8" x14ac:dyDescent="0.2">
      <c r="A107" s="17"/>
      <c r="B107" s="17"/>
      <c r="C107" s="18" t="s">
        <v>11</v>
      </c>
      <c r="D107" s="17"/>
      <c r="E107" s="17" t="s">
        <v>12</v>
      </c>
      <c r="F107" s="23">
        <v>38211.3125</v>
      </c>
      <c r="G107" s="20">
        <v>0.17796374000000001</v>
      </c>
      <c r="H107" s="15" t="s">
        <v>12</v>
      </c>
    </row>
    <row r="108" spans="1:8" x14ac:dyDescent="0.2">
      <c r="A108" s="17"/>
      <c r="B108" s="17"/>
      <c r="C108" s="21"/>
      <c r="D108" s="17"/>
      <c r="E108" s="17"/>
      <c r="F108" s="22"/>
      <c r="G108" s="22"/>
      <c r="H108" s="15" t="s">
        <v>12</v>
      </c>
    </row>
    <row r="109" spans="1:8" x14ac:dyDescent="0.2">
      <c r="A109" s="17"/>
      <c r="B109" s="17"/>
      <c r="C109" s="18" t="s">
        <v>93</v>
      </c>
      <c r="D109" s="17"/>
      <c r="E109" s="17"/>
      <c r="F109" s="22"/>
      <c r="G109" s="22"/>
      <c r="H109" s="15" t="s">
        <v>12</v>
      </c>
    </row>
    <row r="110" spans="1:8" x14ac:dyDescent="0.2">
      <c r="A110" s="24">
        <v>1</v>
      </c>
      <c r="B110" s="25" t="s">
        <v>464</v>
      </c>
      <c r="C110" s="25" t="s">
        <v>465</v>
      </c>
      <c r="D110" s="25" t="s">
        <v>75</v>
      </c>
      <c r="E110" s="26">
        <v>6000000</v>
      </c>
      <c r="F110" s="27">
        <v>5958.2579999999998</v>
      </c>
      <c r="G110" s="28">
        <v>2.7749739999999998E-2</v>
      </c>
      <c r="H110" s="15">
        <v>6.3933999999999997</v>
      </c>
    </row>
    <row r="111" spans="1:8" x14ac:dyDescent="0.2">
      <c r="A111" s="24">
        <v>2</v>
      </c>
      <c r="B111" s="25" t="s">
        <v>466</v>
      </c>
      <c r="C111" s="25" t="s">
        <v>467</v>
      </c>
      <c r="D111" s="25" t="s">
        <v>75</v>
      </c>
      <c r="E111" s="26">
        <v>4000000</v>
      </c>
      <c r="F111" s="27">
        <v>3921.5279999999998</v>
      </c>
      <c r="G111" s="28">
        <v>1.8263959999999999E-2</v>
      </c>
      <c r="H111" s="15">
        <v>6.58</v>
      </c>
    </row>
    <row r="112" spans="1:8" x14ac:dyDescent="0.2">
      <c r="A112" s="24">
        <v>3</v>
      </c>
      <c r="B112" s="25" t="s">
        <v>468</v>
      </c>
      <c r="C112" s="25" t="s">
        <v>469</v>
      </c>
      <c r="D112" s="25" t="s">
        <v>75</v>
      </c>
      <c r="E112" s="26">
        <v>2500000</v>
      </c>
      <c r="F112" s="27">
        <v>2485.5425</v>
      </c>
      <c r="G112" s="28">
        <v>1.1576060000000001E-2</v>
      </c>
      <c r="H112" s="15">
        <v>6.4333999999999998</v>
      </c>
    </row>
    <row r="113" spans="1:17" x14ac:dyDescent="0.2">
      <c r="A113" s="24">
        <v>4</v>
      </c>
      <c r="B113" s="25" t="s">
        <v>208</v>
      </c>
      <c r="C113" s="25" t="s">
        <v>209</v>
      </c>
      <c r="D113" s="25" t="s">
        <v>75</v>
      </c>
      <c r="E113" s="26">
        <v>2500000</v>
      </c>
      <c r="F113" s="27">
        <v>2460.9074999999998</v>
      </c>
      <c r="G113" s="28">
        <v>1.146133E-2</v>
      </c>
      <c r="H113" s="15">
        <v>6.5149999999999997</v>
      </c>
    </row>
    <row r="114" spans="1:17" x14ac:dyDescent="0.2">
      <c r="A114" s="24">
        <v>5</v>
      </c>
      <c r="B114" s="25" t="s">
        <v>210</v>
      </c>
      <c r="C114" s="25" t="s">
        <v>211</v>
      </c>
      <c r="D114" s="25" t="s">
        <v>75</v>
      </c>
      <c r="E114" s="26">
        <v>2500000</v>
      </c>
      <c r="F114" s="27">
        <v>2448.36</v>
      </c>
      <c r="G114" s="28">
        <v>1.1402890000000001E-2</v>
      </c>
      <c r="H114" s="15">
        <v>6.58</v>
      </c>
    </row>
    <row r="115" spans="1:17" x14ac:dyDescent="0.2">
      <c r="A115" s="17"/>
      <c r="B115" s="17"/>
      <c r="C115" s="18" t="s">
        <v>11</v>
      </c>
      <c r="D115" s="17"/>
      <c r="E115" s="17" t="s">
        <v>12</v>
      </c>
      <c r="F115" s="23">
        <v>17274.596000000001</v>
      </c>
      <c r="G115" s="20">
        <v>8.0453979999999994E-2</v>
      </c>
      <c r="H115" s="15" t="s">
        <v>12</v>
      </c>
    </row>
    <row r="116" spans="1:17" x14ac:dyDescent="0.2">
      <c r="A116" s="17"/>
      <c r="B116" s="17"/>
      <c r="C116" s="21"/>
      <c r="D116" s="17"/>
      <c r="E116" s="17"/>
      <c r="F116" s="22"/>
      <c r="G116" s="22"/>
      <c r="H116" s="15" t="s">
        <v>12</v>
      </c>
    </row>
    <row r="117" spans="1:17" x14ac:dyDescent="0.2">
      <c r="A117" s="17"/>
      <c r="B117" s="17"/>
      <c r="C117" s="18" t="s">
        <v>94</v>
      </c>
      <c r="D117" s="17"/>
      <c r="E117" s="17"/>
      <c r="F117" s="22"/>
      <c r="G117" s="22"/>
      <c r="H117" s="15" t="s">
        <v>12</v>
      </c>
    </row>
    <row r="118" spans="1:17" x14ac:dyDescent="0.2">
      <c r="A118" s="24">
        <v>1</v>
      </c>
      <c r="B118" s="25"/>
      <c r="C118" s="25" t="s">
        <v>95</v>
      </c>
      <c r="D118" s="25"/>
      <c r="E118" s="29"/>
      <c r="F118" s="27">
        <v>9162.2125595430007</v>
      </c>
      <c r="G118" s="28">
        <v>4.26717E-2</v>
      </c>
      <c r="H118" s="15">
        <v>6.57</v>
      </c>
    </row>
    <row r="119" spans="1:17" x14ac:dyDescent="0.2">
      <c r="A119" s="17"/>
      <c r="B119" s="17"/>
      <c r="C119" s="18" t="s">
        <v>11</v>
      </c>
      <c r="D119" s="17"/>
      <c r="E119" s="17" t="s">
        <v>12</v>
      </c>
      <c r="F119" s="23">
        <v>9162.2125595430007</v>
      </c>
      <c r="G119" s="20">
        <v>4.26717E-2</v>
      </c>
      <c r="H119" s="15" t="s">
        <v>12</v>
      </c>
    </row>
    <row r="120" spans="1:17" x14ac:dyDescent="0.2">
      <c r="A120" s="17"/>
      <c r="B120" s="17"/>
      <c r="C120" s="21"/>
      <c r="D120" s="17"/>
      <c r="E120" s="17"/>
      <c r="F120" s="22"/>
      <c r="G120" s="22"/>
      <c r="H120" s="15" t="s">
        <v>12</v>
      </c>
    </row>
    <row r="121" spans="1:17" x14ac:dyDescent="0.2">
      <c r="A121" s="17"/>
      <c r="B121" s="17"/>
      <c r="C121" s="18" t="s">
        <v>96</v>
      </c>
      <c r="D121" s="17"/>
      <c r="E121" s="17"/>
      <c r="F121" s="23">
        <v>171391.58805954299</v>
      </c>
      <c r="G121" s="20">
        <v>0.79823186999999995</v>
      </c>
      <c r="H121" s="15" t="s">
        <v>12</v>
      </c>
    </row>
    <row r="122" spans="1:17" x14ac:dyDescent="0.2">
      <c r="A122" s="17"/>
      <c r="B122" s="17"/>
      <c r="C122" s="22"/>
      <c r="D122" s="17"/>
      <c r="E122" s="17"/>
      <c r="F122" s="17"/>
      <c r="G122" s="17"/>
      <c r="H122" s="15" t="s">
        <v>12</v>
      </c>
    </row>
    <row r="123" spans="1:17" x14ac:dyDescent="0.2">
      <c r="A123" s="17"/>
      <c r="B123" s="17"/>
      <c r="C123" s="18" t="s">
        <v>97</v>
      </c>
      <c r="D123" s="17"/>
      <c r="E123" s="17"/>
      <c r="F123" s="17"/>
      <c r="G123" s="17"/>
      <c r="H123" s="15" t="s">
        <v>12</v>
      </c>
    </row>
    <row r="124" spans="1:17" x14ac:dyDescent="0.2">
      <c r="A124" s="17"/>
      <c r="B124" s="17"/>
      <c r="C124" s="18" t="s">
        <v>98</v>
      </c>
      <c r="D124" s="17"/>
      <c r="E124" s="17"/>
      <c r="F124" s="17"/>
      <c r="G124" s="17"/>
      <c r="H124" s="15" t="s">
        <v>12</v>
      </c>
    </row>
    <row r="125" spans="1:17" x14ac:dyDescent="0.2">
      <c r="A125" s="17"/>
      <c r="B125" s="17"/>
      <c r="C125" s="18" t="s">
        <v>11</v>
      </c>
      <c r="D125" s="17"/>
      <c r="E125" s="17" t="s">
        <v>12</v>
      </c>
      <c r="F125" s="19" t="s">
        <v>13</v>
      </c>
      <c r="G125" s="20">
        <v>0</v>
      </c>
      <c r="H125" s="15" t="s">
        <v>12</v>
      </c>
    </row>
    <row r="126" spans="1:17" x14ac:dyDescent="0.2">
      <c r="A126" s="30"/>
      <c r="B126" s="30"/>
      <c r="C126" s="31"/>
      <c r="D126" s="30"/>
      <c r="E126" s="30"/>
      <c r="F126" s="32"/>
      <c r="G126" s="32"/>
      <c r="H126" s="15" t="s">
        <v>12</v>
      </c>
    </row>
    <row r="127" spans="1:17" x14ac:dyDescent="0.2">
      <c r="A127" s="30"/>
      <c r="B127" s="30"/>
      <c r="C127" s="34" t="s">
        <v>563</v>
      </c>
      <c r="D127" s="30"/>
      <c r="E127" s="30"/>
      <c r="F127" s="32"/>
      <c r="G127" s="32"/>
      <c r="H127" s="15" t="s">
        <v>12</v>
      </c>
      <c r="K127" s="36"/>
      <c r="L127" s="36"/>
      <c r="M127" s="36"/>
      <c r="N127" s="36"/>
      <c r="O127" s="37"/>
      <c r="P127" s="37"/>
      <c r="Q127" s="37"/>
    </row>
    <row r="128" spans="1:17" ht="25.5" x14ac:dyDescent="0.2">
      <c r="A128" s="38">
        <v>1</v>
      </c>
      <c r="B128" s="39" t="s">
        <v>99</v>
      </c>
      <c r="C128" s="39" t="s">
        <v>100</v>
      </c>
      <c r="D128" s="39"/>
      <c r="E128" s="40">
        <v>5151.0829999999996</v>
      </c>
      <c r="F128" s="35">
        <v>562.01377333699998</v>
      </c>
      <c r="G128" s="41">
        <v>2.6175E-3</v>
      </c>
      <c r="H128" s="15"/>
    </row>
    <row r="129" spans="1:8" x14ac:dyDescent="0.2">
      <c r="A129" s="30"/>
      <c r="B129" s="30"/>
      <c r="C129" s="34" t="s">
        <v>11</v>
      </c>
      <c r="D129" s="30"/>
      <c r="E129" s="30" t="s">
        <v>12</v>
      </c>
      <c r="F129" s="42">
        <f>SUM(F128)</f>
        <v>562.01377333699998</v>
      </c>
      <c r="G129" s="43">
        <f>SUM(G128)</f>
        <v>2.6175E-3</v>
      </c>
      <c r="H129" s="15" t="s">
        <v>12</v>
      </c>
    </row>
    <row r="130" spans="1:8" x14ac:dyDescent="0.2">
      <c r="A130" s="17"/>
      <c r="B130" s="17"/>
      <c r="C130" s="21"/>
      <c r="D130" s="17"/>
      <c r="E130" s="17"/>
      <c r="F130" s="22"/>
      <c r="G130" s="22"/>
      <c r="H130" s="15" t="s">
        <v>12</v>
      </c>
    </row>
    <row r="131" spans="1:8" x14ac:dyDescent="0.2">
      <c r="A131" s="17"/>
      <c r="B131" s="17"/>
      <c r="C131" s="18" t="s">
        <v>101</v>
      </c>
      <c r="D131" s="17"/>
      <c r="E131" s="17"/>
      <c r="F131" s="17"/>
      <c r="G131" s="17"/>
      <c r="H131" s="15" t="s">
        <v>12</v>
      </c>
    </row>
    <row r="132" spans="1:8" x14ac:dyDescent="0.2">
      <c r="A132" s="17"/>
      <c r="B132" s="17"/>
      <c r="C132" s="18" t="s">
        <v>102</v>
      </c>
      <c r="D132" s="17"/>
      <c r="E132" s="17"/>
      <c r="F132" s="17"/>
      <c r="G132" s="17"/>
      <c r="H132" s="15" t="s">
        <v>12</v>
      </c>
    </row>
    <row r="133" spans="1:8" x14ac:dyDescent="0.2">
      <c r="A133" s="17"/>
      <c r="B133" s="17"/>
      <c r="C133" s="18" t="s">
        <v>11</v>
      </c>
      <c r="D133" s="17"/>
      <c r="E133" s="17" t="s">
        <v>12</v>
      </c>
      <c r="F133" s="19" t="s">
        <v>13</v>
      </c>
      <c r="G133" s="20">
        <v>0</v>
      </c>
      <c r="H133" s="15" t="s">
        <v>12</v>
      </c>
    </row>
    <row r="134" spans="1:8" x14ac:dyDescent="0.2">
      <c r="A134" s="17"/>
      <c r="B134" s="17"/>
      <c r="C134" s="21"/>
      <c r="D134" s="17"/>
      <c r="E134" s="17"/>
      <c r="F134" s="22"/>
      <c r="G134" s="22"/>
      <c r="H134" s="15" t="s">
        <v>12</v>
      </c>
    </row>
    <row r="135" spans="1:8" x14ac:dyDescent="0.2">
      <c r="A135" s="17"/>
      <c r="B135" s="17"/>
      <c r="C135" s="18" t="s">
        <v>103</v>
      </c>
      <c r="D135" s="17"/>
      <c r="E135" s="17"/>
      <c r="F135" s="22"/>
      <c r="G135" s="22"/>
      <c r="H135" s="15" t="s">
        <v>12</v>
      </c>
    </row>
    <row r="136" spans="1:8" x14ac:dyDescent="0.2">
      <c r="A136" s="17"/>
      <c r="B136" s="17"/>
      <c r="C136" s="18" t="s">
        <v>11</v>
      </c>
      <c r="D136" s="17"/>
      <c r="E136" s="17" t="s">
        <v>12</v>
      </c>
      <c r="F136" s="19" t="s">
        <v>13</v>
      </c>
      <c r="G136" s="20">
        <v>0</v>
      </c>
      <c r="H136" s="15" t="s">
        <v>12</v>
      </c>
    </row>
    <row r="137" spans="1:8" x14ac:dyDescent="0.2">
      <c r="A137" s="17"/>
      <c r="B137" s="17"/>
      <c r="C137" s="21"/>
      <c r="D137" s="17"/>
      <c r="E137" s="17"/>
      <c r="F137" s="22"/>
      <c r="G137" s="22"/>
      <c r="H137" s="33" t="s">
        <v>12</v>
      </c>
    </row>
    <row r="138" spans="1:8" x14ac:dyDescent="0.2">
      <c r="A138" s="169"/>
      <c r="B138" s="169"/>
      <c r="C138" s="170" t="s">
        <v>640</v>
      </c>
      <c r="D138" s="171"/>
      <c r="E138" s="172"/>
      <c r="F138" s="172"/>
      <c r="G138" s="171"/>
      <c r="H138" s="172"/>
    </row>
    <row r="139" spans="1:8" ht="21.75" x14ac:dyDescent="0.2">
      <c r="A139" s="169"/>
      <c r="B139" s="169"/>
      <c r="C139" s="173" t="s">
        <v>641</v>
      </c>
      <c r="D139" s="171"/>
      <c r="E139" s="174">
        <v>2500000</v>
      </c>
      <c r="F139" s="33">
        <f>64000/10^5</f>
        <v>0.64</v>
      </c>
      <c r="G139" s="175" t="s">
        <v>642</v>
      </c>
      <c r="H139" s="172"/>
    </row>
    <row r="140" spans="1:8" x14ac:dyDescent="0.2">
      <c r="A140" s="17"/>
      <c r="B140" s="17"/>
      <c r="C140" s="21"/>
      <c r="D140" s="17"/>
      <c r="E140" s="17"/>
      <c r="F140" s="22"/>
      <c r="G140" s="22"/>
      <c r="H140" s="15" t="s">
        <v>12</v>
      </c>
    </row>
    <row r="141" spans="1:8" x14ac:dyDescent="0.2">
      <c r="A141" s="29"/>
      <c r="B141" s="25"/>
      <c r="C141" s="25" t="s">
        <v>104</v>
      </c>
      <c r="D141" s="25"/>
      <c r="E141" s="29"/>
      <c r="F141" s="27">
        <f>-5320.37974685+2500+0.0000158600234985352</f>
        <v>-2820.379730989976</v>
      </c>
      <c r="G141" s="28">
        <f>F141/F142</f>
        <v>-1.3135516058739041E-2</v>
      </c>
      <c r="H141" s="15" t="s">
        <v>12</v>
      </c>
    </row>
    <row r="142" spans="1:8" x14ac:dyDescent="0.2">
      <c r="A142" s="21"/>
      <c r="B142" s="21"/>
      <c r="C142" s="18" t="s">
        <v>105</v>
      </c>
      <c r="D142" s="22"/>
      <c r="E142" s="22"/>
      <c r="F142" s="23">
        <f>F141+F139+F129+F121+F54+F24</f>
        <v>214714.04080189002</v>
      </c>
      <c r="G142" s="20">
        <f>G141+G129+G121+G54+G24</f>
        <v>0.99999704394126088</v>
      </c>
      <c r="H142" s="15" t="s">
        <v>12</v>
      </c>
    </row>
    <row r="143" spans="1:8" x14ac:dyDescent="0.2">
      <c r="A143" s="45"/>
      <c r="B143" s="45"/>
      <c r="C143" s="45"/>
      <c r="D143" s="46"/>
      <c r="E143" s="46"/>
      <c r="F143" s="46"/>
      <c r="G143" s="46"/>
    </row>
    <row r="144" spans="1:8" x14ac:dyDescent="0.2">
      <c r="A144" s="47"/>
      <c r="B144" s="48" t="s">
        <v>564</v>
      </c>
      <c r="C144" s="48"/>
      <c r="D144" s="48"/>
      <c r="E144" s="48"/>
      <c r="F144" s="48"/>
      <c r="G144" s="48"/>
      <c r="H144" s="48"/>
    </row>
    <row r="145" spans="1:8" x14ac:dyDescent="0.2">
      <c r="A145" s="47"/>
      <c r="B145" s="48" t="s">
        <v>565</v>
      </c>
      <c r="C145" s="48"/>
      <c r="D145" s="48"/>
      <c r="E145" s="48"/>
      <c r="F145" s="48"/>
      <c r="G145" s="48"/>
      <c r="H145" s="48"/>
    </row>
    <row r="146" spans="1:8" x14ac:dyDescent="0.2">
      <c r="A146" s="47"/>
      <c r="B146" s="48" t="s">
        <v>566</v>
      </c>
      <c r="C146" s="48"/>
      <c r="D146" s="48"/>
      <c r="E146" s="48"/>
      <c r="F146" s="48"/>
      <c r="G146" s="48"/>
      <c r="H146" s="48"/>
    </row>
    <row r="147" spans="1:8" ht="67.5" customHeight="1" x14ac:dyDescent="0.2">
      <c r="A147" s="47"/>
      <c r="B147" s="176" t="s">
        <v>628</v>
      </c>
      <c r="C147" s="176"/>
      <c r="D147" s="176"/>
      <c r="E147" s="176"/>
      <c r="F147" s="176"/>
      <c r="G147" s="176"/>
      <c r="H147" s="176"/>
    </row>
    <row r="148" spans="1:8" x14ac:dyDescent="0.2">
      <c r="A148" s="49"/>
      <c r="B148" s="49"/>
      <c r="C148" s="49"/>
      <c r="D148" s="50"/>
      <c r="E148" s="50"/>
      <c r="F148" s="50"/>
      <c r="G148" s="50"/>
    </row>
    <row r="149" spans="1:8" x14ac:dyDescent="0.2">
      <c r="A149" s="49"/>
      <c r="B149" s="51" t="s">
        <v>106</v>
      </c>
      <c r="C149" s="52"/>
      <c r="D149" s="53"/>
      <c r="E149" s="54"/>
      <c r="F149" s="50"/>
      <c r="G149" s="50"/>
    </row>
    <row r="150" spans="1:8" ht="25.5" x14ac:dyDescent="0.2">
      <c r="A150" s="49"/>
      <c r="B150" s="55" t="s">
        <v>107</v>
      </c>
      <c r="C150" s="56"/>
      <c r="D150" s="34" t="s">
        <v>591</v>
      </c>
      <c r="E150" s="54"/>
      <c r="F150" s="50"/>
      <c r="G150" s="50"/>
    </row>
    <row r="151" spans="1:8" x14ac:dyDescent="0.2">
      <c r="A151" s="49"/>
      <c r="B151" s="55" t="s">
        <v>109</v>
      </c>
      <c r="C151" s="56"/>
      <c r="D151" s="18" t="s">
        <v>108</v>
      </c>
      <c r="E151" s="54"/>
      <c r="F151" s="50"/>
      <c r="G151" s="50"/>
    </row>
    <row r="152" spans="1:8" x14ac:dyDescent="0.2">
      <c r="A152" s="49"/>
      <c r="B152" s="55" t="s">
        <v>110</v>
      </c>
      <c r="C152" s="56"/>
      <c r="D152" s="22" t="s">
        <v>12</v>
      </c>
      <c r="E152" s="54"/>
      <c r="F152" s="50"/>
      <c r="G152" s="50"/>
    </row>
    <row r="153" spans="1:8" x14ac:dyDescent="0.2">
      <c r="A153" s="57"/>
      <c r="B153" s="58" t="s">
        <v>12</v>
      </c>
      <c r="C153" s="58" t="s">
        <v>567</v>
      </c>
      <c r="D153" s="58" t="s">
        <v>111</v>
      </c>
      <c r="E153" s="57"/>
      <c r="F153" s="57"/>
      <c r="G153" s="57"/>
      <c r="H153" s="95"/>
    </row>
    <row r="154" spans="1:8" x14ac:dyDescent="0.2">
      <c r="A154" s="57"/>
      <c r="B154" s="59" t="s">
        <v>112</v>
      </c>
      <c r="C154" s="60">
        <v>45657</v>
      </c>
      <c r="D154" s="60">
        <v>45688</v>
      </c>
      <c r="E154" s="57"/>
      <c r="F154" s="57"/>
      <c r="G154" s="57"/>
    </row>
    <row r="155" spans="1:8" x14ac:dyDescent="0.2">
      <c r="A155" s="61"/>
      <c r="B155" s="25" t="s">
        <v>113</v>
      </c>
      <c r="C155" s="62">
        <v>2818.0124999999998</v>
      </c>
      <c r="D155" s="62">
        <v>2834.4324999999999</v>
      </c>
      <c r="E155" s="61"/>
      <c r="F155" s="63"/>
      <c r="G155" s="64"/>
    </row>
    <row r="156" spans="1:8" ht="25.5" x14ac:dyDescent="0.2">
      <c r="A156" s="61"/>
      <c r="B156" s="25" t="s">
        <v>689</v>
      </c>
      <c r="C156" s="62">
        <v>1063.3022000000001</v>
      </c>
      <c r="D156" s="62">
        <v>1063.2080000000001</v>
      </c>
      <c r="E156" s="61"/>
      <c r="F156" s="63"/>
      <c r="G156" s="64"/>
    </row>
    <row r="157" spans="1:8" ht="25.5" x14ac:dyDescent="0.2">
      <c r="A157" s="61"/>
      <c r="B157" s="25" t="s">
        <v>690</v>
      </c>
      <c r="C157" s="62">
        <v>1187.7121999999999</v>
      </c>
      <c r="D157" s="62">
        <v>1194.6222</v>
      </c>
      <c r="E157" s="61"/>
      <c r="F157" s="63"/>
      <c r="G157" s="64"/>
    </row>
    <row r="158" spans="1:8" x14ac:dyDescent="0.2">
      <c r="A158" s="61"/>
      <c r="B158" s="25" t="s">
        <v>114</v>
      </c>
      <c r="C158" s="62">
        <v>2599.8244</v>
      </c>
      <c r="D158" s="62">
        <v>2612.2190000000001</v>
      </c>
      <c r="E158" s="61"/>
      <c r="F158" s="63"/>
      <c r="G158" s="64"/>
    </row>
    <row r="159" spans="1:8" ht="25.5" x14ac:dyDescent="0.2">
      <c r="A159" s="61"/>
      <c r="B159" s="25" t="s">
        <v>693</v>
      </c>
      <c r="C159" s="62">
        <v>1062.3978999999999</v>
      </c>
      <c r="D159" s="62">
        <v>1062.3047999999999</v>
      </c>
      <c r="E159" s="61"/>
      <c r="F159" s="63"/>
      <c r="G159" s="64"/>
    </row>
    <row r="160" spans="1:8" ht="25.5" x14ac:dyDescent="0.2">
      <c r="A160" s="61"/>
      <c r="B160" s="25" t="s">
        <v>657</v>
      </c>
      <c r="C160" s="62">
        <v>1142.8005000000001</v>
      </c>
      <c r="D160" s="62">
        <v>1148.2489</v>
      </c>
      <c r="E160" s="61"/>
      <c r="F160" s="63"/>
      <c r="G160" s="64"/>
    </row>
    <row r="161" spans="1:15" x14ac:dyDescent="0.2">
      <c r="A161" s="61"/>
      <c r="B161" s="61"/>
      <c r="C161" s="61"/>
      <c r="D161" s="61"/>
      <c r="E161" s="61"/>
      <c r="F161" s="61"/>
      <c r="G161" s="61"/>
    </row>
    <row r="162" spans="1:15" x14ac:dyDescent="0.2">
      <c r="A162" s="61"/>
      <c r="B162" s="55" t="s">
        <v>568</v>
      </c>
      <c r="C162" s="56"/>
      <c r="D162" s="18" t="s">
        <v>12</v>
      </c>
      <c r="E162" s="61"/>
      <c r="F162" s="61"/>
      <c r="G162" s="61"/>
    </row>
    <row r="163" spans="1:15" x14ac:dyDescent="0.2">
      <c r="A163" s="61"/>
      <c r="B163" s="65" t="s">
        <v>112</v>
      </c>
      <c r="C163" s="66" t="s">
        <v>115</v>
      </c>
      <c r="D163" s="66" t="s">
        <v>116</v>
      </c>
      <c r="E163" s="61"/>
      <c r="F163" s="61"/>
      <c r="G163" s="61"/>
    </row>
    <row r="164" spans="1:15" ht="25.5" x14ac:dyDescent="0.2">
      <c r="A164" s="61"/>
      <c r="B164" s="25" t="s">
        <v>689</v>
      </c>
      <c r="C164" s="67">
        <v>6.2713999999999999</v>
      </c>
      <c r="D164" s="29" t="s">
        <v>117</v>
      </c>
      <c r="E164" s="61"/>
      <c r="F164" s="63"/>
      <c r="G164" s="64"/>
    </row>
    <row r="165" spans="1:15" ht="25.5" x14ac:dyDescent="0.2">
      <c r="A165" s="61"/>
      <c r="B165" s="25" t="s">
        <v>693</v>
      </c>
      <c r="C165" s="67">
        <v>5.1478999999999999</v>
      </c>
      <c r="D165" s="67">
        <v>5.1478999999999999</v>
      </c>
      <c r="E165" s="61"/>
      <c r="F165" s="63"/>
      <c r="G165" s="64"/>
    </row>
    <row r="166" spans="1:15" x14ac:dyDescent="0.2">
      <c r="A166" s="61"/>
      <c r="B166" s="68"/>
      <c r="C166" s="68"/>
      <c r="D166" s="68"/>
      <c r="E166" s="61"/>
      <c r="F166" s="61"/>
      <c r="G166" s="61"/>
    </row>
    <row r="167" spans="1:15" ht="25.5" x14ac:dyDescent="0.2">
      <c r="A167" s="57"/>
      <c r="B167" s="69" t="s">
        <v>118</v>
      </c>
      <c r="C167" s="70"/>
      <c r="D167" s="34" t="s">
        <v>643</v>
      </c>
      <c r="E167" s="71"/>
      <c r="F167" s="57"/>
      <c r="G167" s="57"/>
    </row>
    <row r="168" spans="1:15" ht="27" customHeight="1" x14ac:dyDescent="0.2">
      <c r="A168" s="57"/>
      <c r="B168" s="69" t="s">
        <v>119</v>
      </c>
      <c r="C168" s="70"/>
      <c r="D168" s="34" t="s">
        <v>108</v>
      </c>
      <c r="E168" s="71"/>
      <c r="F168" s="57"/>
      <c r="G168" s="57"/>
    </row>
    <row r="169" spans="1:15" ht="27.75" customHeight="1" x14ac:dyDescent="0.2">
      <c r="A169" s="57"/>
      <c r="B169" s="69" t="s">
        <v>569</v>
      </c>
      <c r="C169" s="70"/>
      <c r="D169" s="34" t="s">
        <v>108</v>
      </c>
      <c r="E169" s="71"/>
      <c r="F169" s="57"/>
      <c r="G169" s="57"/>
      <c r="J169" s="93"/>
    </row>
    <row r="170" spans="1:15" ht="12.75" customHeight="1" x14ac:dyDescent="0.2">
      <c r="A170" s="68"/>
      <c r="B170" s="68"/>
      <c r="C170" s="68"/>
      <c r="D170" s="68"/>
      <c r="E170" s="68"/>
      <c r="F170" s="68"/>
      <c r="G170" s="68"/>
      <c r="J170" s="93"/>
    </row>
    <row r="171" spans="1:15" ht="13.5" x14ac:dyDescent="0.25">
      <c r="A171" s="68"/>
      <c r="B171" s="177" t="s">
        <v>684</v>
      </c>
      <c r="C171" s="68"/>
      <c r="D171" s="68"/>
      <c r="E171" s="68"/>
      <c r="F171" s="68"/>
      <c r="G171" s="68"/>
      <c r="H171" s="68"/>
      <c r="J171" s="93"/>
    </row>
    <row r="172" spans="1:15" s="93" customFormat="1" ht="51" x14ac:dyDescent="0.2">
      <c r="A172" s="178"/>
      <c r="B172" s="179" t="s">
        <v>644</v>
      </c>
      <c r="C172" s="179" t="s">
        <v>645</v>
      </c>
      <c r="D172" s="180" t="s">
        <v>646</v>
      </c>
      <c r="E172" s="180" t="s">
        <v>647</v>
      </c>
      <c r="F172" s="179" t="s">
        <v>648</v>
      </c>
      <c r="G172" s="179" t="s">
        <v>649</v>
      </c>
      <c r="H172" s="179" t="s">
        <v>8</v>
      </c>
    </row>
    <row r="173" spans="1:15" s="85" customFormat="1" ht="25.5" x14ac:dyDescent="0.2">
      <c r="A173" s="181"/>
      <c r="B173" s="182" t="s">
        <v>650</v>
      </c>
      <c r="C173" s="182" t="s">
        <v>651</v>
      </c>
      <c r="D173" s="183" t="s">
        <v>652</v>
      </c>
      <c r="E173" s="184" t="s">
        <v>653</v>
      </c>
      <c r="F173" s="185">
        <v>2500</v>
      </c>
      <c r="G173" s="186">
        <v>46002</v>
      </c>
      <c r="H173" s="41">
        <f>F173/F142</f>
        <v>1.1643393187810538E-2</v>
      </c>
      <c r="J173" s="93"/>
    </row>
    <row r="174" spans="1:15" s="10" customFormat="1" x14ac:dyDescent="0.2">
      <c r="A174" s="68"/>
      <c r="B174" s="68"/>
      <c r="C174" s="68"/>
      <c r="D174" s="68"/>
      <c r="E174" s="68"/>
      <c r="F174" s="68"/>
      <c r="G174" s="68"/>
      <c r="H174" s="16"/>
      <c r="I174" s="187"/>
      <c r="J174" s="187"/>
      <c r="K174" s="187"/>
      <c r="L174" s="187"/>
      <c r="M174" s="187"/>
      <c r="N174" s="187"/>
      <c r="O174" s="187"/>
    </row>
    <row r="175" spans="1:15" x14ac:dyDescent="0.2">
      <c r="A175" s="72"/>
      <c r="B175" s="100" t="s">
        <v>683</v>
      </c>
      <c r="C175" s="100"/>
      <c r="D175" s="100"/>
      <c r="E175" s="100"/>
      <c r="F175" s="100"/>
      <c r="G175" s="100"/>
      <c r="H175" s="72"/>
      <c r="J175" s="93"/>
    </row>
    <row r="176" spans="1:15" ht="6" customHeight="1" x14ac:dyDescent="0.2">
      <c r="A176" s="72"/>
      <c r="B176" s="101"/>
      <c r="C176" s="101"/>
      <c r="D176" s="101"/>
      <c r="E176" s="101"/>
      <c r="F176" s="101"/>
      <c r="G176" s="101"/>
      <c r="H176" s="72"/>
      <c r="J176" s="93"/>
    </row>
    <row r="177" spans="1:17" s="72" customFormat="1" ht="102" x14ac:dyDescent="0.2">
      <c r="B177" s="188" t="s">
        <v>593</v>
      </c>
      <c r="C177" s="188" t="s">
        <v>594</v>
      </c>
      <c r="D177" s="103" t="s">
        <v>595</v>
      </c>
      <c r="E177" s="188" t="s">
        <v>596</v>
      </c>
      <c r="F177" s="103" t="s">
        <v>654</v>
      </c>
      <c r="G177" s="101"/>
      <c r="I177" s="16"/>
      <c r="J177" s="93"/>
      <c r="K177" s="36"/>
      <c r="L177" s="36"/>
      <c r="M177" s="36"/>
      <c r="N177" s="36"/>
      <c r="O177" s="85"/>
    </row>
    <row r="178" spans="1:17" s="72" customFormat="1" x14ac:dyDescent="0.2">
      <c r="B178" s="105" t="s">
        <v>598</v>
      </c>
      <c r="C178" s="105" t="s">
        <v>599</v>
      </c>
      <c r="D178" s="2">
        <v>0</v>
      </c>
      <c r="E178" s="3">
        <v>0</v>
      </c>
      <c r="F178" s="106">
        <v>500</v>
      </c>
      <c r="G178" s="101"/>
      <c r="I178" s="16"/>
      <c r="J178" s="93"/>
      <c r="K178" s="36"/>
      <c r="L178" s="36"/>
      <c r="M178" s="36"/>
      <c r="N178" s="36"/>
      <c r="O178" s="85"/>
    </row>
    <row r="179" spans="1:17" s="72" customFormat="1" x14ac:dyDescent="0.2">
      <c r="I179" s="16"/>
      <c r="J179" s="93"/>
      <c r="K179" s="36"/>
      <c r="L179" s="36"/>
      <c r="M179" s="36"/>
      <c r="N179" s="36"/>
      <c r="O179" s="85"/>
    </row>
    <row r="180" spans="1:17" s="72" customFormat="1" x14ac:dyDescent="0.2">
      <c r="B180" s="73" t="s">
        <v>570</v>
      </c>
      <c r="C180" s="189"/>
      <c r="D180" s="190"/>
      <c r="I180" s="16"/>
      <c r="J180" s="93"/>
      <c r="K180" s="36"/>
      <c r="L180" s="36"/>
      <c r="M180" s="36"/>
      <c r="N180" s="36"/>
      <c r="O180" s="85"/>
    </row>
    <row r="181" spans="1:17" s="72" customFormat="1" ht="51" x14ac:dyDescent="0.2">
      <c r="B181" s="191" t="s">
        <v>571</v>
      </c>
      <c r="C181" s="191"/>
      <c r="D181" s="192" t="s">
        <v>417</v>
      </c>
      <c r="I181" s="16"/>
      <c r="J181" s="93"/>
      <c r="K181" s="36"/>
      <c r="L181" s="36"/>
      <c r="M181" s="36"/>
      <c r="N181" s="36"/>
      <c r="O181" s="85"/>
    </row>
    <row r="182" spans="1:17" s="72" customFormat="1" x14ac:dyDescent="0.2">
      <c r="B182" s="193" t="s">
        <v>572</v>
      </c>
      <c r="C182" s="193"/>
      <c r="D182" s="194"/>
      <c r="I182" s="16"/>
      <c r="J182" s="93"/>
      <c r="K182" s="36"/>
      <c r="L182" s="36"/>
      <c r="M182" s="36"/>
      <c r="N182" s="36"/>
      <c r="O182" s="85"/>
    </row>
    <row r="183" spans="1:17" s="72" customFormat="1" x14ac:dyDescent="0.2">
      <c r="B183" s="193"/>
      <c r="C183" s="193"/>
      <c r="D183" s="195"/>
      <c r="I183" s="16"/>
      <c r="J183" s="93"/>
      <c r="K183" s="36"/>
      <c r="L183" s="36"/>
      <c r="M183" s="36"/>
      <c r="N183" s="36"/>
      <c r="O183" s="85"/>
    </row>
    <row r="184" spans="1:17" s="72" customFormat="1" x14ac:dyDescent="0.2">
      <c r="B184" s="193" t="s">
        <v>573</v>
      </c>
      <c r="C184" s="193"/>
      <c r="D184" s="83">
        <v>7.5282722215974633</v>
      </c>
      <c r="I184" s="16"/>
      <c r="J184" s="93"/>
      <c r="K184" s="36"/>
      <c r="L184" s="36"/>
      <c r="M184" s="36"/>
      <c r="N184" s="36"/>
      <c r="O184" s="85"/>
    </row>
    <row r="185" spans="1:17" s="72" customFormat="1" x14ac:dyDescent="0.2">
      <c r="B185" s="78"/>
      <c r="C185" s="78"/>
      <c r="D185" s="82"/>
      <c r="I185" s="16"/>
      <c r="J185" s="93"/>
      <c r="K185" s="36"/>
      <c r="L185" s="36"/>
      <c r="M185" s="36"/>
      <c r="N185" s="36"/>
      <c r="O185" s="85"/>
    </row>
    <row r="186" spans="1:17" s="72" customFormat="1" x14ac:dyDescent="0.2">
      <c r="B186" s="78" t="s">
        <v>574</v>
      </c>
      <c r="C186" s="78"/>
      <c r="D186" s="83">
        <v>0.43835074685393854</v>
      </c>
      <c r="I186" s="16"/>
      <c r="J186" s="93"/>
      <c r="K186" s="36"/>
      <c r="L186" s="36"/>
      <c r="M186" s="36"/>
      <c r="N186" s="36"/>
      <c r="O186" s="85"/>
    </row>
    <row r="187" spans="1:17" s="72" customFormat="1" x14ac:dyDescent="0.2">
      <c r="B187" s="78" t="s">
        <v>575</v>
      </c>
      <c r="C187" s="78"/>
      <c r="D187" s="83">
        <v>0.43835074685393854</v>
      </c>
      <c r="I187" s="16"/>
      <c r="J187" s="93"/>
      <c r="K187" s="36"/>
      <c r="L187" s="36"/>
      <c r="M187" s="36"/>
      <c r="N187" s="36"/>
      <c r="O187" s="85"/>
    </row>
    <row r="188" spans="1:17" s="72" customFormat="1" x14ac:dyDescent="0.2">
      <c r="B188" s="78"/>
      <c r="C188" s="78"/>
      <c r="D188" s="82"/>
      <c r="I188" s="16"/>
      <c r="J188" s="93"/>
      <c r="K188" s="36"/>
      <c r="L188" s="36"/>
      <c r="M188" s="36"/>
      <c r="N188" s="36"/>
      <c r="O188" s="85"/>
    </row>
    <row r="189" spans="1:17" s="72" customFormat="1" x14ac:dyDescent="0.2">
      <c r="B189" s="78" t="s">
        <v>576</v>
      </c>
      <c r="C189" s="78"/>
      <c r="D189" s="84" t="s">
        <v>682</v>
      </c>
      <c r="I189" s="16"/>
      <c r="J189" s="93"/>
      <c r="K189" s="36"/>
      <c r="L189" s="36"/>
      <c r="M189" s="36"/>
      <c r="N189" s="36"/>
      <c r="O189" s="85"/>
    </row>
    <row r="190" spans="1:17" s="72" customFormat="1" x14ac:dyDescent="0.2">
      <c r="B190" s="80" t="s">
        <v>577</v>
      </c>
      <c r="C190" s="86"/>
      <c r="D190" s="81"/>
      <c r="I190" s="16"/>
      <c r="J190" s="93"/>
      <c r="K190" s="36"/>
      <c r="L190" s="36"/>
      <c r="M190" s="36"/>
      <c r="N190" s="36"/>
      <c r="O190" s="85"/>
    </row>
    <row r="191" spans="1:17" s="72" customFormat="1" x14ac:dyDescent="0.2">
      <c r="B191" s="92"/>
      <c r="C191" s="92"/>
      <c r="D191" s="92"/>
      <c r="I191" s="16"/>
      <c r="J191" s="93"/>
      <c r="K191" s="36"/>
      <c r="L191" s="36"/>
      <c r="M191" s="36"/>
      <c r="N191" s="36"/>
      <c r="O191" s="85"/>
    </row>
    <row r="192" spans="1:17" s="72" customFormat="1" x14ac:dyDescent="0.2">
      <c r="A192" s="16"/>
      <c r="B192" s="87" t="s">
        <v>578</v>
      </c>
      <c r="C192" s="16"/>
      <c r="D192" s="16"/>
      <c r="E192" s="16"/>
      <c r="F192" s="16"/>
      <c r="G192" s="16"/>
      <c r="H192" s="16"/>
      <c r="I192" s="16"/>
      <c r="J192" s="93"/>
      <c r="K192" s="36"/>
      <c r="L192" s="36"/>
      <c r="M192" s="36"/>
      <c r="N192" s="36"/>
      <c r="O192" s="85"/>
      <c r="P192" s="16"/>
      <c r="Q192" s="16"/>
    </row>
    <row r="194" spans="2:10" ht="153.75" customHeight="1" x14ac:dyDescent="0.2"/>
    <row r="195" spans="2:10" ht="25.5" customHeight="1" x14ac:dyDescent="0.2"/>
    <row r="196" spans="2:10" x14ac:dyDescent="0.2">
      <c r="B196" s="88" t="s">
        <v>579</v>
      </c>
      <c r="C196" s="10"/>
      <c r="D196" s="88" t="s">
        <v>580</v>
      </c>
    </row>
    <row r="197" spans="2:10" x14ac:dyDescent="0.2">
      <c r="B197" s="88" t="s">
        <v>655</v>
      </c>
      <c r="D197" s="88" t="s">
        <v>656</v>
      </c>
    </row>
    <row r="200" spans="2:10" ht="165" customHeight="1" x14ac:dyDescent="0.2"/>
    <row r="202" spans="2:10" x14ac:dyDescent="0.2">
      <c r="J202" s="93"/>
    </row>
    <row r="209" s="16" customFormat="1" x14ac:dyDescent="0.2"/>
    <row r="210" s="16" customFormat="1" x14ac:dyDescent="0.2"/>
    <row r="211" s="16" customFormat="1" x14ac:dyDescent="0.2"/>
    <row r="212" s="16" customFormat="1" x14ac:dyDescent="0.2"/>
    <row r="213" s="16" customFormat="1" x14ac:dyDescent="0.2"/>
    <row r="214" s="16" customFormat="1" x14ac:dyDescent="0.2"/>
    <row r="215" s="16" customFormat="1" x14ac:dyDescent="0.2"/>
    <row r="216" s="16" customFormat="1" x14ac:dyDescent="0.2"/>
    <row r="217" s="16" customFormat="1" x14ac:dyDescent="0.2"/>
  </sheetData>
  <mergeCells count="26">
    <mergeCell ref="B188:C188"/>
    <mergeCell ref="B189:C189"/>
    <mergeCell ref="B190:D190"/>
    <mergeCell ref="B183:C183"/>
    <mergeCell ref="B184:C184"/>
    <mergeCell ref="B185:C185"/>
    <mergeCell ref="B186:C186"/>
    <mergeCell ref="B187:C187"/>
    <mergeCell ref="B147:H147"/>
    <mergeCell ref="B180:D180"/>
    <mergeCell ref="B181:C181"/>
    <mergeCell ref="B182:C182"/>
    <mergeCell ref="A3:H3"/>
    <mergeCell ref="B167:C167"/>
    <mergeCell ref="B168:C168"/>
    <mergeCell ref="B169:C169"/>
    <mergeCell ref="B149:D149"/>
    <mergeCell ref="B150:C150"/>
    <mergeCell ref="B151:C151"/>
    <mergeCell ref="B152:C152"/>
    <mergeCell ref="B162:C162"/>
    <mergeCell ref="A2:H2"/>
    <mergeCell ref="A1:H1"/>
    <mergeCell ref="B144:H144"/>
    <mergeCell ref="B145:H145"/>
    <mergeCell ref="B146:H146"/>
  </mergeCells>
  <hyperlinks>
    <hyperlink ref="I1" location="Index!B2" display="Index" xr:uid="{44D52046-FE50-4306-B1A1-525AF2E6964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6684-61CC-4932-9E60-05DC55963890}">
  <sheetPr>
    <outlinePr summaryBelow="0" summaryRight="0"/>
  </sheetPr>
  <dimension ref="A1:Q145"/>
  <sheetViews>
    <sheetView showGridLines="0" workbookViewId="0">
      <selection sqref="A1:H1"/>
    </sheetView>
  </sheetViews>
  <sheetFormatPr defaultRowHeight="12.75" x14ac:dyDescent="0.2"/>
  <cols>
    <col min="1" max="1" width="5.85546875" style="16" bestFit="1" customWidth="1"/>
    <col min="2" max="2" width="19.7109375" style="16" bestFit="1" customWidth="1"/>
    <col min="3" max="3" width="39.140625" style="16" bestFit="1" customWidth="1"/>
    <col min="4" max="4" width="10.7109375" style="16" bestFit="1" customWidth="1"/>
    <col min="5" max="5" width="8.710937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470</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547</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x14ac:dyDescent="0.2">
      <c r="A28" s="24">
        <v>1</v>
      </c>
      <c r="B28" s="25" t="s">
        <v>228</v>
      </c>
      <c r="C28" s="25" t="s">
        <v>229</v>
      </c>
      <c r="D28" s="25" t="s">
        <v>223</v>
      </c>
      <c r="E28" s="26">
        <v>200</v>
      </c>
      <c r="F28" s="27">
        <v>200.61</v>
      </c>
      <c r="G28" s="28">
        <v>4.576446E-2</v>
      </c>
      <c r="H28" s="15">
        <v>8.39</v>
      </c>
    </row>
    <row r="29" spans="1:8" x14ac:dyDescent="0.2">
      <c r="A29" s="24">
        <v>2</v>
      </c>
      <c r="B29" s="25" t="s">
        <v>218</v>
      </c>
      <c r="C29" s="25" t="s">
        <v>219</v>
      </c>
      <c r="D29" s="25" t="s">
        <v>220</v>
      </c>
      <c r="E29" s="26">
        <v>100</v>
      </c>
      <c r="F29" s="27">
        <v>100.6037</v>
      </c>
      <c r="G29" s="28">
        <v>2.2950370000000001E-2</v>
      </c>
      <c r="H29" s="15">
        <v>7.9749999999999996</v>
      </c>
    </row>
    <row r="30" spans="1:8" x14ac:dyDescent="0.2">
      <c r="A30" s="24">
        <v>3</v>
      </c>
      <c r="B30" s="25" t="s">
        <v>241</v>
      </c>
      <c r="C30" s="25" t="s">
        <v>242</v>
      </c>
      <c r="D30" s="25" t="s">
        <v>223</v>
      </c>
      <c r="E30" s="26">
        <v>100</v>
      </c>
      <c r="F30" s="27">
        <v>100.1904</v>
      </c>
      <c r="G30" s="28">
        <v>2.2856089999999999E-2</v>
      </c>
      <c r="H30" s="15">
        <v>8.17</v>
      </c>
    </row>
    <row r="31" spans="1:8" ht="25.5" x14ac:dyDescent="0.2">
      <c r="A31" s="24">
        <v>4</v>
      </c>
      <c r="B31" s="25" t="s">
        <v>226</v>
      </c>
      <c r="C31" s="25" t="s">
        <v>227</v>
      </c>
      <c r="D31" s="25" t="s">
        <v>23</v>
      </c>
      <c r="E31" s="26">
        <v>10</v>
      </c>
      <c r="F31" s="27">
        <v>98.710499999999996</v>
      </c>
      <c r="G31" s="28">
        <v>2.251848E-2</v>
      </c>
      <c r="H31" s="15">
        <v>7.82</v>
      </c>
    </row>
    <row r="32" spans="1:8" x14ac:dyDescent="0.2">
      <c r="A32" s="17"/>
      <c r="B32" s="17"/>
      <c r="C32" s="18" t="s">
        <v>11</v>
      </c>
      <c r="D32" s="17"/>
      <c r="E32" s="17" t="s">
        <v>12</v>
      </c>
      <c r="F32" s="23">
        <v>500.1146</v>
      </c>
      <c r="G32" s="20">
        <v>0.11408939999999999</v>
      </c>
      <c r="H32" s="15" t="s">
        <v>12</v>
      </c>
    </row>
    <row r="33" spans="1:8" x14ac:dyDescent="0.2">
      <c r="A33" s="17"/>
      <c r="B33" s="17"/>
      <c r="C33" s="21"/>
      <c r="D33" s="17"/>
      <c r="E33" s="17"/>
      <c r="F33" s="22"/>
      <c r="G33" s="22"/>
      <c r="H33" s="15" t="s">
        <v>12</v>
      </c>
    </row>
    <row r="34" spans="1:8" x14ac:dyDescent="0.2">
      <c r="A34" s="17"/>
      <c r="B34" s="17"/>
      <c r="C34" s="18" t="s">
        <v>71</v>
      </c>
      <c r="D34" s="17"/>
      <c r="E34" s="17"/>
      <c r="F34" s="17"/>
      <c r="G34" s="17"/>
      <c r="H34" s="15" t="s">
        <v>12</v>
      </c>
    </row>
    <row r="35" spans="1:8" x14ac:dyDescent="0.2">
      <c r="A35" s="17"/>
      <c r="B35" s="17"/>
      <c r="C35" s="18" t="s">
        <v>11</v>
      </c>
      <c r="D35" s="17"/>
      <c r="E35" s="17" t="s">
        <v>12</v>
      </c>
      <c r="F35" s="19" t="s">
        <v>13</v>
      </c>
      <c r="G35" s="20">
        <v>0</v>
      </c>
      <c r="H35" s="15" t="s">
        <v>12</v>
      </c>
    </row>
    <row r="36" spans="1:8" x14ac:dyDescent="0.2">
      <c r="A36" s="17"/>
      <c r="B36" s="17"/>
      <c r="C36" s="21"/>
      <c r="D36" s="17"/>
      <c r="E36" s="17"/>
      <c r="F36" s="22"/>
      <c r="G36" s="22"/>
      <c r="H36" s="15" t="s">
        <v>12</v>
      </c>
    </row>
    <row r="37" spans="1:8" x14ac:dyDescent="0.2">
      <c r="A37" s="17"/>
      <c r="B37" s="17"/>
      <c r="C37" s="18" t="s">
        <v>72</v>
      </c>
      <c r="D37" s="17"/>
      <c r="E37" s="17"/>
      <c r="F37" s="17"/>
      <c r="G37" s="17"/>
      <c r="H37" s="15" t="s">
        <v>12</v>
      </c>
    </row>
    <row r="38" spans="1:8" ht="25.5" x14ac:dyDescent="0.2">
      <c r="A38" s="24">
        <v>1</v>
      </c>
      <c r="B38" s="25" t="s">
        <v>73</v>
      </c>
      <c r="C38" s="25" t="s">
        <v>74</v>
      </c>
      <c r="D38" s="25" t="s">
        <v>75</v>
      </c>
      <c r="E38" s="26">
        <v>1500000</v>
      </c>
      <c r="F38" s="27">
        <v>1536.096</v>
      </c>
      <c r="G38" s="28">
        <v>0.35042421000000001</v>
      </c>
      <c r="H38" s="15">
        <v>6.8559999999999999</v>
      </c>
    </row>
    <row r="39" spans="1:8" ht="25.5" x14ac:dyDescent="0.2">
      <c r="A39" s="24">
        <v>2</v>
      </c>
      <c r="B39" s="25" t="s">
        <v>471</v>
      </c>
      <c r="C39" s="25" t="s">
        <v>472</v>
      </c>
      <c r="D39" s="25" t="s">
        <v>75</v>
      </c>
      <c r="E39" s="26">
        <v>1000000</v>
      </c>
      <c r="F39" s="27">
        <v>985.43200000000002</v>
      </c>
      <c r="G39" s="28">
        <v>0.22480316</v>
      </c>
      <c r="H39" s="15">
        <v>6.7191999999999998</v>
      </c>
    </row>
    <row r="40" spans="1:8" x14ac:dyDescent="0.2">
      <c r="A40" s="24">
        <v>3</v>
      </c>
      <c r="B40" s="25" t="s">
        <v>84</v>
      </c>
      <c r="C40" s="25" t="s">
        <v>85</v>
      </c>
      <c r="D40" s="25" t="s">
        <v>75</v>
      </c>
      <c r="E40" s="26">
        <v>500000</v>
      </c>
      <c r="F40" s="27">
        <v>512.04049999999995</v>
      </c>
      <c r="G40" s="28">
        <v>0.11681001000000001</v>
      </c>
      <c r="H40" s="15">
        <v>6.7355999999999998</v>
      </c>
    </row>
    <row r="41" spans="1:8" ht="25.5" x14ac:dyDescent="0.2">
      <c r="A41" s="24">
        <v>4</v>
      </c>
      <c r="B41" s="25" t="s">
        <v>414</v>
      </c>
      <c r="C41" s="25" t="s">
        <v>415</v>
      </c>
      <c r="D41" s="25" t="s">
        <v>75</v>
      </c>
      <c r="E41" s="26">
        <v>230000</v>
      </c>
      <c r="F41" s="27">
        <v>235.30287999999999</v>
      </c>
      <c r="G41" s="28">
        <v>5.3678820000000002E-2</v>
      </c>
      <c r="H41" s="15">
        <v>7.2165999999999997</v>
      </c>
    </row>
    <row r="42" spans="1:8" ht="25.5" x14ac:dyDescent="0.2">
      <c r="A42" s="24">
        <v>5</v>
      </c>
      <c r="B42" s="25" t="s">
        <v>254</v>
      </c>
      <c r="C42" s="25" t="s">
        <v>255</v>
      </c>
      <c r="D42" s="25" t="s">
        <v>75</v>
      </c>
      <c r="E42" s="26">
        <v>100000</v>
      </c>
      <c r="F42" s="27">
        <v>101.526</v>
      </c>
      <c r="G42" s="28">
        <v>2.3160770000000001E-2</v>
      </c>
      <c r="H42" s="15">
        <v>6.7359999999999998</v>
      </c>
    </row>
    <row r="43" spans="1:8" x14ac:dyDescent="0.2">
      <c r="A43" s="17"/>
      <c r="B43" s="17"/>
      <c r="C43" s="18" t="s">
        <v>11</v>
      </c>
      <c r="D43" s="17"/>
      <c r="E43" s="17" t="s">
        <v>12</v>
      </c>
      <c r="F43" s="23">
        <v>3370.3973799999999</v>
      </c>
      <c r="G43" s="20">
        <v>0.76887696999999999</v>
      </c>
      <c r="H43" s="15" t="s">
        <v>12</v>
      </c>
    </row>
    <row r="44" spans="1:8" x14ac:dyDescent="0.2">
      <c r="A44" s="17"/>
      <c r="B44" s="17"/>
      <c r="C44" s="21"/>
      <c r="D44" s="17"/>
      <c r="E44" s="17"/>
      <c r="F44" s="22"/>
      <c r="G44" s="22"/>
      <c r="H44" s="15" t="s">
        <v>12</v>
      </c>
    </row>
    <row r="45" spans="1:8" x14ac:dyDescent="0.2">
      <c r="A45" s="17"/>
      <c r="B45" s="17"/>
      <c r="C45" s="18" t="s">
        <v>88</v>
      </c>
      <c r="D45" s="17"/>
      <c r="E45" s="17"/>
      <c r="F45" s="22"/>
      <c r="G45" s="22"/>
      <c r="H45" s="15" t="s">
        <v>12</v>
      </c>
    </row>
    <row r="46" spans="1:8" x14ac:dyDescent="0.2">
      <c r="A46" s="17"/>
      <c r="B46" s="17"/>
      <c r="C46" s="18" t="s">
        <v>11</v>
      </c>
      <c r="D46" s="17"/>
      <c r="E46" s="17" t="s">
        <v>12</v>
      </c>
      <c r="F46" s="19" t="s">
        <v>13</v>
      </c>
      <c r="G46" s="20">
        <v>0</v>
      </c>
      <c r="H46" s="15" t="s">
        <v>12</v>
      </c>
    </row>
    <row r="47" spans="1:8" x14ac:dyDescent="0.2">
      <c r="A47" s="17"/>
      <c r="B47" s="17"/>
      <c r="C47" s="21"/>
      <c r="D47" s="17"/>
      <c r="E47" s="17"/>
      <c r="F47" s="22"/>
      <c r="G47" s="22"/>
      <c r="H47" s="15" t="s">
        <v>12</v>
      </c>
    </row>
    <row r="48" spans="1:8" x14ac:dyDescent="0.2">
      <c r="A48" s="17"/>
      <c r="B48" s="17"/>
      <c r="C48" s="18" t="s">
        <v>89</v>
      </c>
      <c r="D48" s="17"/>
      <c r="E48" s="17"/>
      <c r="F48" s="23">
        <v>3870.5119800000002</v>
      </c>
      <c r="G48" s="20">
        <v>0.88296637</v>
      </c>
      <c r="H48" s="15" t="s">
        <v>12</v>
      </c>
    </row>
    <row r="49" spans="1:8" x14ac:dyDescent="0.2">
      <c r="A49" s="17"/>
      <c r="B49" s="17"/>
      <c r="C49" s="21"/>
      <c r="D49" s="17"/>
      <c r="E49" s="17"/>
      <c r="F49" s="22"/>
      <c r="G49" s="22"/>
      <c r="H49" s="15" t="s">
        <v>12</v>
      </c>
    </row>
    <row r="50" spans="1:8" x14ac:dyDescent="0.2">
      <c r="A50" s="17"/>
      <c r="B50" s="17"/>
      <c r="C50" s="18" t="s">
        <v>90</v>
      </c>
      <c r="D50" s="17"/>
      <c r="E50" s="17"/>
      <c r="F50" s="22"/>
      <c r="G50" s="22"/>
      <c r="H50" s="15" t="s">
        <v>12</v>
      </c>
    </row>
    <row r="51" spans="1:8" x14ac:dyDescent="0.2">
      <c r="A51" s="17"/>
      <c r="B51" s="17"/>
      <c r="C51" s="18" t="s">
        <v>91</v>
      </c>
      <c r="D51" s="17"/>
      <c r="E51" s="17"/>
      <c r="F51" s="22"/>
      <c r="G51" s="22"/>
      <c r="H51" s="15" t="s">
        <v>12</v>
      </c>
    </row>
    <row r="52" spans="1:8" x14ac:dyDescent="0.2">
      <c r="A52" s="17"/>
      <c r="B52" s="17"/>
      <c r="C52" s="18" t="s">
        <v>11</v>
      </c>
      <c r="D52" s="17"/>
      <c r="E52" s="17" t="s">
        <v>12</v>
      </c>
      <c r="F52" s="19" t="s">
        <v>13</v>
      </c>
      <c r="G52" s="20">
        <v>0</v>
      </c>
      <c r="H52" s="15" t="s">
        <v>12</v>
      </c>
    </row>
    <row r="53" spans="1:8" x14ac:dyDescent="0.2">
      <c r="A53" s="17"/>
      <c r="B53" s="17"/>
      <c r="C53" s="21"/>
      <c r="D53" s="17"/>
      <c r="E53" s="17"/>
      <c r="F53" s="22"/>
      <c r="G53" s="22"/>
      <c r="H53" s="15" t="s">
        <v>12</v>
      </c>
    </row>
    <row r="54" spans="1:8" x14ac:dyDescent="0.2">
      <c r="A54" s="17"/>
      <c r="B54" s="17"/>
      <c r="C54" s="18" t="s">
        <v>92</v>
      </c>
      <c r="D54" s="17"/>
      <c r="E54" s="17"/>
      <c r="F54" s="22"/>
      <c r="G54" s="22"/>
      <c r="H54" s="15" t="s">
        <v>12</v>
      </c>
    </row>
    <row r="55" spans="1:8" x14ac:dyDescent="0.2">
      <c r="A55" s="17"/>
      <c r="B55" s="17"/>
      <c r="C55" s="18" t="s">
        <v>11</v>
      </c>
      <c r="D55" s="17"/>
      <c r="E55" s="17" t="s">
        <v>12</v>
      </c>
      <c r="F55" s="19" t="s">
        <v>13</v>
      </c>
      <c r="G55" s="20">
        <v>0</v>
      </c>
      <c r="H55" s="15" t="s">
        <v>12</v>
      </c>
    </row>
    <row r="56" spans="1:8" x14ac:dyDescent="0.2">
      <c r="A56" s="17"/>
      <c r="B56" s="17"/>
      <c r="C56" s="21"/>
      <c r="D56" s="17"/>
      <c r="E56" s="17"/>
      <c r="F56" s="22"/>
      <c r="G56" s="22"/>
      <c r="H56" s="15" t="s">
        <v>12</v>
      </c>
    </row>
    <row r="57" spans="1:8" x14ac:dyDescent="0.2">
      <c r="A57" s="17"/>
      <c r="B57" s="17"/>
      <c r="C57" s="18" t="s">
        <v>93</v>
      </c>
      <c r="D57" s="17"/>
      <c r="E57" s="17"/>
      <c r="F57" s="22"/>
      <c r="G57" s="22"/>
      <c r="H57" s="15" t="s">
        <v>12</v>
      </c>
    </row>
    <row r="58" spans="1:8" x14ac:dyDescent="0.2">
      <c r="A58" s="17"/>
      <c r="B58" s="17"/>
      <c r="C58" s="18" t="s">
        <v>11</v>
      </c>
      <c r="D58" s="17"/>
      <c r="E58" s="17" t="s">
        <v>12</v>
      </c>
      <c r="F58" s="19" t="s">
        <v>13</v>
      </c>
      <c r="G58" s="20">
        <v>0</v>
      </c>
      <c r="H58" s="15" t="s">
        <v>12</v>
      </c>
    </row>
    <row r="59" spans="1:8" x14ac:dyDescent="0.2">
      <c r="A59" s="17"/>
      <c r="B59" s="17"/>
      <c r="C59" s="21"/>
      <c r="D59" s="17"/>
      <c r="E59" s="17"/>
      <c r="F59" s="22"/>
      <c r="G59" s="22"/>
      <c r="H59" s="15" t="s">
        <v>12</v>
      </c>
    </row>
    <row r="60" spans="1:8" x14ac:dyDescent="0.2">
      <c r="A60" s="17"/>
      <c r="B60" s="17"/>
      <c r="C60" s="18" t="s">
        <v>94</v>
      </c>
      <c r="D60" s="17"/>
      <c r="E60" s="17"/>
      <c r="F60" s="22"/>
      <c r="G60" s="22"/>
      <c r="H60" s="15" t="s">
        <v>12</v>
      </c>
    </row>
    <row r="61" spans="1:8" x14ac:dyDescent="0.2">
      <c r="A61" s="24">
        <v>1</v>
      </c>
      <c r="B61" s="25"/>
      <c r="C61" s="25" t="s">
        <v>95</v>
      </c>
      <c r="D61" s="25"/>
      <c r="E61" s="29"/>
      <c r="F61" s="27">
        <v>422.55266249900001</v>
      </c>
      <c r="G61" s="28">
        <v>9.6395460000000002E-2</v>
      </c>
      <c r="H61" s="15">
        <v>6.57</v>
      </c>
    </row>
    <row r="62" spans="1:8" x14ac:dyDescent="0.2">
      <c r="A62" s="17"/>
      <c r="B62" s="17"/>
      <c r="C62" s="18" t="s">
        <v>11</v>
      </c>
      <c r="D62" s="17"/>
      <c r="E62" s="17" t="s">
        <v>12</v>
      </c>
      <c r="F62" s="23">
        <v>422.55266249900001</v>
      </c>
      <c r="G62" s="20">
        <v>9.6395460000000002E-2</v>
      </c>
      <c r="H62" s="15" t="s">
        <v>12</v>
      </c>
    </row>
    <row r="63" spans="1:8" x14ac:dyDescent="0.2">
      <c r="A63" s="17"/>
      <c r="B63" s="17"/>
      <c r="C63" s="21"/>
      <c r="D63" s="17"/>
      <c r="E63" s="17"/>
      <c r="F63" s="22"/>
      <c r="G63" s="22"/>
      <c r="H63" s="15" t="s">
        <v>12</v>
      </c>
    </row>
    <row r="64" spans="1:8" x14ac:dyDescent="0.2">
      <c r="A64" s="17"/>
      <c r="B64" s="17"/>
      <c r="C64" s="18" t="s">
        <v>96</v>
      </c>
      <c r="D64" s="17"/>
      <c r="E64" s="17"/>
      <c r="F64" s="23">
        <v>422.55266249900001</v>
      </c>
      <c r="G64" s="20">
        <v>9.6395460000000002E-2</v>
      </c>
      <c r="H64" s="15" t="s">
        <v>12</v>
      </c>
    </row>
    <row r="65" spans="1:17" x14ac:dyDescent="0.2">
      <c r="A65" s="17"/>
      <c r="B65" s="17"/>
      <c r="C65" s="22"/>
      <c r="D65" s="17"/>
      <c r="E65" s="17"/>
      <c r="F65" s="17"/>
      <c r="G65" s="17"/>
      <c r="H65" s="15" t="s">
        <v>12</v>
      </c>
    </row>
    <row r="66" spans="1:17" x14ac:dyDescent="0.2">
      <c r="A66" s="17"/>
      <c r="B66" s="17"/>
      <c r="C66" s="18" t="s">
        <v>97</v>
      </c>
      <c r="D66" s="17"/>
      <c r="E66" s="17"/>
      <c r="F66" s="17"/>
      <c r="G66" s="17"/>
      <c r="H66" s="15" t="s">
        <v>12</v>
      </c>
    </row>
    <row r="67" spans="1:17" x14ac:dyDescent="0.2">
      <c r="A67" s="17"/>
      <c r="B67" s="17"/>
      <c r="C67" s="18" t="s">
        <v>98</v>
      </c>
      <c r="D67" s="17"/>
      <c r="E67" s="17"/>
      <c r="F67" s="17"/>
      <c r="G67" s="17"/>
      <c r="H67" s="15" t="s">
        <v>12</v>
      </c>
    </row>
    <row r="68" spans="1:17" x14ac:dyDescent="0.2">
      <c r="A68" s="17"/>
      <c r="B68" s="17"/>
      <c r="C68" s="18" t="s">
        <v>11</v>
      </c>
      <c r="D68" s="17"/>
      <c r="E68" s="17" t="s">
        <v>12</v>
      </c>
      <c r="F68" s="19" t="s">
        <v>13</v>
      </c>
      <c r="G68" s="20">
        <v>0</v>
      </c>
      <c r="H68" s="15" t="s">
        <v>12</v>
      </c>
    </row>
    <row r="69" spans="1:17" x14ac:dyDescent="0.2">
      <c r="A69" s="30"/>
      <c r="B69" s="30"/>
      <c r="C69" s="31"/>
      <c r="D69" s="30"/>
      <c r="E69" s="30"/>
      <c r="F69" s="32"/>
      <c r="G69" s="32"/>
      <c r="H69" s="33" t="s">
        <v>12</v>
      </c>
    </row>
    <row r="70" spans="1:17" x14ac:dyDescent="0.2">
      <c r="A70" s="30"/>
      <c r="B70" s="30"/>
      <c r="C70" s="34" t="s">
        <v>563</v>
      </c>
      <c r="D70" s="30"/>
      <c r="E70" s="30"/>
      <c r="F70" s="32"/>
      <c r="G70" s="32"/>
      <c r="H70" s="35"/>
      <c r="K70" s="36"/>
      <c r="L70" s="36"/>
      <c r="M70" s="36"/>
      <c r="N70" s="36"/>
      <c r="O70" s="37"/>
      <c r="P70" s="37"/>
      <c r="Q70" s="37"/>
    </row>
    <row r="71" spans="1:17" ht="25.5" x14ac:dyDescent="0.2">
      <c r="A71" s="38">
        <v>1</v>
      </c>
      <c r="B71" s="39" t="s">
        <v>99</v>
      </c>
      <c r="C71" s="39" t="s">
        <v>100</v>
      </c>
      <c r="D71" s="39"/>
      <c r="E71" s="40">
        <v>112.994</v>
      </c>
      <c r="F71" s="35">
        <v>12.328317036</v>
      </c>
      <c r="G71" s="41">
        <v>2.8124199999999999E-3</v>
      </c>
      <c r="H71" s="33"/>
    </row>
    <row r="72" spans="1:17" x14ac:dyDescent="0.2">
      <c r="A72" s="30"/>
      <c r="B72" s="30"/>
      <c r="C72" s="34" t="s">
        <v>11</v>
      </c>
      <c r="D72" s="30"/>
      <c r="E72" s="30" t="s">
        <v>12</v>
      </c>
      <c r="F72" s="42">
        <f>SUM(F71)</f>
        <v>12.328317036</v>
      </c>
      <c r="G72" s="43">
        <f>SUM(G71)</f>
        <v>2.8124199999999999E-3</v>
      </c>
      <c r="H72" s="33" t="s">
        <v>12</v>
      </c>
    </row>
    <row r="73" spans="1:17" x14ac:dyDescent="0.2">
      <c r="A73" s="17"/>
      <c r="B73" s="17"/>
      <c r="C73" s="21"/>
      <c r="D73" s="17"/>
      <c r="E73" s="17"/>
      <c r="F73" s="22"/>
      <c r="G73" s="22"/>
      <c r="H73" s="15" t="s">
        <v>12</v>
      </c>
    </row>
    <row r="74" spans="1:17" x14ac:dyDescent="0.2">
      <c r="A74" s="17"/>
      <c r="B74" s="17"/>
      <c r="C74" s="18" t="s">
        <v>101</v>
      </c>
      <c r="D74" s="17"/>
      <c r="E74" s="17"/>
      <c r="F74" s="17"/>
      <c r="G74" s="17"/>
      <c r="H74" s="15" t="s">
        <v>12</v>
      </c>
    </row>
    <row r="75" spans="1:17" x14ac:dyDescent="0.2">
      <c r="A75" s="17"/>
      <c r="B75" s="17"/>
      <c r="C75" s="18" t="s">
        <v>102</v>
      </c>
      <c r="D75" s="17"/>
      <c r="E75" s="17"/>
      <c r="F75" s="17"/>
      <c r="G75" s="17"/>
      <c r="H75" s="15" t="s">
        <v>12</v>
      </c>
    </row>
    <row r="76" spans="1:17" x14ac:dyDescent="0.2">
      <c r="A76" s="17"/>
      <c r="B76" s="17"/>
      <c r="C76" s="18" t="s">
        <v>11</v>
      </c>
      <c r="D76" s="17"/>
      <c r="E76" s="17" t="s">
        <v>12</v>
      </c>
      <c r="F76" s="19" t="s">
        <v>13</v>
      </c>
      <c r="G76" s="20">
        <v>0</v>
      </c>
      <c r="H76" s="15" t="s">
        <v>12</v>
      </c>
    </row>
    <row r="77" spans="1:17" x14ac:dyDescent="0.2">
      <c r="A77" s="17"/>
      <c r="B77" s="17"/>
      <c r="C77" s="21"/>
      <c r="D77" s="17"/>
      <c r="E77" s="17"/>
      <c r="F77" s="22"/>
      <c r="G77" s="22"/>
      <c r="H77" s="15" t="s">
        <v>12</v>
      </c>
    </row>
    <row r="78" spans="1:17" x14ac:dyDescent="0.2">
      <c r="A78" s="17"/>
      <c r="B78" s="17"/>
      <c r="C78" s="18" t="s">
        <v>103</v>
      </c>
      <c r="D78" s="17"/>
      <c r="E78" s="17"/>
      <c r="F78" s="22"/>
      <c r="G78" s="22"/>
      <c r="H78" s="15" t="s">
        <v>12</v>
      </c>
    </row>
    <row r="79" spans="1:17" x14ac:dyDescent="0.2">
      <c r="A79" s="17"/>
      <c r="B79" s="17"/>
      <c r="C79" s="18" t="s">
        <v>11</v>
      </c>
      <c r="D79" s="17"/>
      <c r="E79" s="17" t="s">
        <v>12</v>
      </c>
      <c r="F79" s="19" t="s">
        <v>13</v>
      </c>
      <c r="G79" s="20">
        <v>0</v>
      </c>
      <c r="H79" s="15" t="s">
        <v>12</v>
      </c>
    </row>
    <row r="80" spans="1:17" x14ac:dyDescent="0.2">
      <c r="A80" s="17"/>
      <c r="B80" s="17"/>
      <c r="C80" s="21"/>
      <c r="D80" s="17"/>
      <c r="E80" s="17"/>
      <c r="F80" s="22"/>
      <c r="G80" s="22"/>
      <c r="H80" s="15" t="s">
        <v>12</v>
      </c>
    </row>
    <row r="81" spans="1:8" x14ac:dyDescent="0.2">
      <c r="A81" s="29"/>
      <c r="B81" s="25"/>
      <c r="C81" s="25" t="s">
        <v>104</v>
      </c>
      <c r="D81" s="25"/>
      <c r="E81" s="29"/>
      <c r="F81" s="27">
        <f>78.1397692+0.000551905000209808</f>
        <v>78.140321105000211</v>
      </c>
      <c r="G81" s="28">
        <v>1.7825750000000001E-2</v>
      </c>
      <c r="H81" s="15" t="s">
        <v>12</v>
      </c>
    </row>
    <row r="82" spans="1:8" x14ac:dyDescent="0.2">
      <c r="A82" s="21"/>
      <c r="B82" s="21"/>
      <c r="C82" s="18" t="s">
        <v>105</v>
      </c>
      <c r="D82" s="22"/>
      <c r="E82" s="22"/>
      <c r="F82" s="23">
        <f>4383.532728735+0.000551905000209808</f>
        <v>4383.5332806400002</v>
      </c>
      <c r="G82" s="44">
        <v>1</v>
      </c>
      <c r="H82" s="15" t="s">
        <v>12</v>
      </c>
    </row>
    <row r="83" spans="1:8" x14ac:dyDescent="0.2">
      <c r="A83" s="45"/>
      <c r="B83" s="45"/>
      <c r="C83" s="45"/>
      <c r="D83" s="46"/>
      <c r="E83" s="46"/>
      <c r="F83" s="46"/>
      <c r="G83" s="46"/>
    </row>
    <row r="84" spans="1:8" x14ac:dyDescent="0.2">
      <c r="A84" s="47"/>
      <c r="B84" s="48" t="s">
        <v>564</v>
      </c>
      <c r="C84" s="48"/>
      <c r="D84" s="48"/>
      <c r="E84" s="48"/>
      <c r="F84" s="48"/>
      <c r="G84" s="48"/>
      <c r="H84" s="48"/>
    </row>
    <row r="85" spans="1:8" x14ac:dyDescent="0.2">
      <c r="A85" s="47"/>
      <c r="B85" s="48" t="s">
        <v>565</v>
      </c>
      <c r="C85" s="48"/>
      <c r="D85" s="48"/>
      <c r="E85" s="48"/>
      <c r="F85" s="48"/>
      <c r="G85" s="48"/>
      <c r="H85" s="48"/>
    </row>
    <row r="86" spans="1:8" x14ac:dyDescent="0.2">
      <c r="A86" s="47"/>
      <c r="B86" s="48" t="s">
        <v>566</v>
      </c>
      <c r="C86" s="48"/>
      <c r="D86" s="48"/>
      <c r="E86" s="48"/>
      <c r="F86" s="48"/>
      <c r="G86" s="48"/>
      <c r="H86" s="48"/>
    </row>
    <row r="87" spans="1:8" x14ac:dyDescent="0.2">
      <c r="A87" s="49"/>
      <c r="B87" s="49"/>
      <c r="C87" s="49"/>
      <c r="D87" s="50"/>
      <c r="E87" s="50"/>
      <c r="F87" s="50"/>
      <c r="G87" s="50"/>
    </row>
    <row r="88" spans="1:8" x14ac:dyDescent="0.2">
      <c r="A88" s="49"/>
      <c r="B88" s="51" t="s">
        <v>106</v>
      </c>
      <c r="C88" s="52"/>
      <c r="D88" s="53"/>
      <c r="E88" s="54"/>
      <c r="F88" s="50"/>
      <c r="G88" s="50"/>
    </row>
    <row r="89" spans="1:8" ht="25.5" x14ac:dyDescent="0.2">
      <c r="A89" s="49"/>
      <c r="B89" s="55" t="s">
        <v>107</v>
      </c>
      <c r="C89" s="56"/>
      <c r="D89" s="34" t="s">
        <v>591</v>
      </c>
      <c r="E89" s="54"/>
      <c r="F89" s="50"/>
      <c r="G89" s="50"/>
    </row>
    <row r="90" spans="1:8" x14ac:dyDescent="0.2">
      <c r="A90" s="49"/>
      <c r="B90" s="55" t="s">
        <v>109</v>
      </c>
      <c r="C90" s="56"/>
      <c r="D90" s="18" t="s">
        <v>108</v>
      </c>
      <c r="E90" s="54"/>
      <c r="F90" s="50"/>
      <c r="G90" s="50"/>
    </row>
    <row r="91" spans="1:8" x14ac:dyDescent="0.2">
      <c r="A91" s="49"/>
      <c r="B91" s="55" t="s">
        <v>110</v>
      </c>
      <c r="C91" s="56"/>
      <c r="D91" s="22" t="s">
        <v>12</v>
      </c>
      <c r="E91" s="54"/>
      <c r="F91" s="50"/>
      <c r="G91" s="50"/>
    </row>
    <row r="92" spans="1:8" x14ac:dyDescent="0.2">
      <c r="A92" s="57"/>
      <c r="B92" s="58" t="s">
        <v>12</v>
      </c>
      <c r="C92" s="58" t="s">
        <v>567</v>
      </c>
      <c r="D92" s="58" t="s">
        <v>111</v>
      </c>
      <c r="E92" s="57"/>
      <c r="F92" s="57"/>
      <c r="G92" s="57"/>
      <c r="H92" s="95"/>
    </row>
    <row r="93" spans="1:8" x14ac:dyDescent="0.2">
      <c r="A93" s="57"/>
      <c r="B93" s="59" t="s">
        <v>112</v>
      </c>
      <c r="C93" s="60">
        <v>45657</v>
      </c>
      <c r="D93" s="60">
        <v>45688</v>
      </c>
      <c r="E93" s="57"/>
      <c r="F93" s="57"/>
      <c r="G93" s="57"/>
    </row>
    <row r="94" spans="1:8" x14ac:dyDescent="0.2">
      <c r="A94" s="61"/>
      <c r="B94" s="25" t="s">
        <v>113</v>
      </c>
      <c r="C94" s="62">
        <v>73.937600000000003</v>
      </c>
      <c r="D94" s="62">
        <v>74.415599999999998</v>
      </c>
      <c r="E94" s="61"/>
      <c r="F94" s="63"/>
      <c r="G94" s="64"/>
    </row>
    <row r="95" spans="1:8" ht="25.5" x14ac:dyDescent="0.2">
      <c r="A95" s="61"/>
      <c r="B95" s="25" t="s">
        <v>690</v>
      </c>
      <c r="C95" s="62">
        <v>26.465199999999999</v>
      </c>
      <c r="D95" s="62">
        <v>26.636299999999999</v>
      </c>
      <c r="E95" s="61"/>
      <c r="F95" s="63"/>
      <c r="G95" s="64"/>
    </row>
    <row r="96" spans="1:8" ht="25.5" x14ac:dyDescent="0.2">
      <c r="A96" s="61"/>
      <c r="B96" s="25" t="s">
        <v>692</v>
      </c>
      <c r="C96" s="62">
        <v>14.9391</v>
      </c>
      <c r="D96" s="62">
        <v>15.0357</v>
      </c>
      <c r="E96" s="61"/>
      <c r="F96" s="63"/>
      <c r="G96" s="64"/>
    </row>
    <row r="97" spans="1:14" ht="25.5" x14ac:dyDescent="0.2">
      <c r="A97" s="61"/>
      <c r="B97" s="25" t="s">
        <v>473</v>
      </c>
      <c r="C97" s="62">
        <v>75.138000000000005</v>
      </c>
      <c r="D97" s="29"/>
      <c r="E97" s="61"/>
      <c r="F97" s="63"/>
      <c r="G97" s="64"/>
    </row>
    <row r="98" spans="1:14" x14ac:dyDescent="0.2">
      <c r="A98" s="61"/>
      <c r="B98" s="25" t="s">
        <v>114</v>
      </c>
      <c r="C98" s="62">
        <v>66.495199999999997</v>
      </c>
      <c r="D98" s="62">
        <v>66.877399999999994</v>
      </c>
      <c r="E98" s="61"/>
      <c r="F98" s="63"/>
      <c r="G98" s="64"/>
    </row>
    <row r="99" spans="1:14" x14ac:dyDescent="0.2">
      <c r="A99" s="61"/>
      <c r="B99" s="25" t="s">
        <v>142</v>
      </c>
      <c r="C99" s="62">
        <v>22.7118</v>
      </c>
      <c r="D99" s="62">
        <v>22.842300000000002</v>
      </c>
      <c r="E99" s="61"/>
      <c r="F99" s="63"/>
      <c r="G99" s="64"/>
    </row>
    <row r="100" spans="1:14" ht="25.5" x14ac:dyDescent="0.2">
      <c r="A100" s="61"/>
      <c r="B100" s="39" t="s">
        <v>657</v>
      </c>
      <c r="C100" s="62">
        <v>13.103300000000001</v>
      </c>
      <c r="D100" s="62">
        <v>13.178599999999999</v>
      </c>
      <c r="E100" s="61"/>
      <c r="F100" s="63"/>
      <c r="G100" s="64"/>
    </row>
    <row r="101" spans="1:14" ht="25.5" x14ac:dyDescent="0.2">
      <c r="A101" s="61"/>
      <c r="B101" s="25" t="s">
        <v>694</v>
      </c>
      <c r="C101" s="62">
        <v>13.469099999999999</v>
      </c>
      <c r="D101" s="62">
        <v>13.5466</v>
      </c>
      <c r="E101" s="61"/>
      <c r="F101" s="63"/>
      <c r="G101" s="64"/>
    </row>
    <row r="102" spans="1:14" ht="25.5" x14ac:dyDescent="0.2">
      <c r="A102" s="61"/>
      <c r="B102" s="25" t="s">
        <v>695</v>
      </c>
      <c r="C102" s="62">
        <v>13.2119</v>
      </c>
      <c r="D102" s="62">
        <v>13.287800000000001</v>
      </c>
      <c r="E102" s="61"/>
      <c r="F102" s="63"/>
      <c r="G102" s="64"/>
    </row>
    <row r="103" spans="1:14" x14ac:dyDescent="0.2">
      <c r="A103" s="61"/>
      <c r="B103" s="61"/>
      <c r="C103" s="61"/>
      <c r="D103" s="61"/>
      <c r="E103" s="61"/>
      <c r="F103" s="61"/>
      <c r="G103" s="61"/>
    </row>
    <row r="104" spans="1:14" x14ac:dyDescent="0.2">
      <c r="A104" s="61"/>
      <c r="B104" s="55" t="s">
        <v>568</v>
      </c>
      <c r="C104" s="56"/>
      <c r="D104" s="34" t="s">
        <v>108</v>
      </c>
      <c r="E104" s="61"/>
      <c r="F104" s="61"/>
      <c r="G104" s="61"/>
    </row>
    <row r="105" spans="1:14" x14ac:dyDescent="0.2">
      <c r="A105" s="61"/>
      <c r="B105" s="68"/>
      <c r="C105" s="68"/>
      <c r="D105" s="68"/>
      <c r="E105" s="61"/>
      <c r="F105" s="61"/>
      <c r="G105" s="61"/>
    </row>
    <row r="106" spans="1:14" s="72" customFormat="1" ht="15" x14ac:dyDescent="0.25">
      <c r="A106" s="91"/>
      <c r="B106" s="69" t="s">
        <v>583</v>
      </c>
      <c r="C106" s="70"/>
      <c r="D106" s="34" t="s">
        <v>108</v>
      </c>
      <c r="E106" s="91"/>
      <c r="F106" s="92"/>
      <c r="G106" s="91"/>
      <c r="I106" s="141"/>
      <c r="J106" s="142"/>
      <c r="K106" s="142"/>
      <c r="L106" s="142"/>
      <c r="M106" s="142"/>
      <c r="N106" s="16"/>
    </row>
    <row r="107" spans="1:14" ht="26.25" customHeight="1" x14ac:dyDescent="0.25">
      <c r="A107" s="57"/>
      <c r="B107" s="69" t="s">
        <v>584</v>
      </c>
      <c r="C107" s="70"/>
      <c r="D107" s="34" t="s">
        <v>108</v>
      </c>
      <c r="E107" s="71"/>
      <c r="F107" s="57"/>
      <c r="G107" s="57"/>
      <c r="I107" s="143"/>
    </row>
    <row r="108" spans="1:14" ht="27.75" customHeight="1" x14ac:dyDescent="0.25">
      <c r="A108" s="57"/>
      <c r="B108" s="69" t="s">
        <v>585</v>
      </c>
      <c r="C108" s="70"/>
      <c r="D108" s="34" t="s">
        <v>108</v>
      </c>
      <c r="E108" s="71"/>
      <c r="F108" s="57"/>
      <c r="G108" s="57"/>
      <c r="I108" s="144"/>
    </row>
    <row r="109" spans="1:14" x14ac:dyDescent="0.2">
      <c r="A109" s="57"/>
      <c r="B109" s="69" t="s">
        <v>586</v>
      </c>
      <c r="C109" s="70"/>
      <c r="D109" s="34" t="s">
        <v>108</v>
      </c>
      <c r="E109" s="71"/>
      <c r="F109" s="57"/>
      <c r="G109" s="57"/>
    </row>
    <row r="110" spans="1:14" x14ac:dyDescent="0.2">
      <c r="A110" s="68"/>
      <c r="B110" s="68"/>
      <c r="C110" s="68"/>
      <c r="D110" s="68"/>
      <c r="E110" s="68"/>
      <c r="F110" s="68"/>
      <c r="G110" s="68"/>
    </row>
    <row r="111" spans="1:14" s="72" customFormat="1" ht="15" x14ac:dyDescent="0.25">
      <c r="B111" s="145" t="s">
        <v>683</v>
      </c>
      <c r="C111" s="146"/>
      <c r="D111" s="146"/>
      <c r="E111" s="146"/>
      <c r="F111" s="146"/>
      <c r="G111" s="147"/>
      <c r="I111" s="16"/>
      <c r="J111" s="142"/>
      <c r="K111" s="142"/>
      <c r="L111" s="142"/>
      <c r="M111" s="142"/>
      <c r="N111" s="16"/>
    </row>
    <row r="112" spans="1:14" s="72" customFormat="1" ht="45" customHeight="1" x14ac:dyDescent="0.25">
      <c r="B112" s="148" t="s">
        <v>600</v>
      </c>
      <c r="C112" s="148" t="s">
        <v>601</v>
      </c>
      <c r="D112" s="149" t="s">
        <v>595</v>
      </c>
      <c r="E112" s="150"/>
      <c r="F112" s="151" t="s">
        <v>596</v>
      </c>
      <c r="G112" s="151"/>
      <c r="H112" s="152"/>
      <c r="I112" s="16"/>
      <c r="J112" s="142"/>
      <c r="K112" s="142"/>
      <c r="L112" s="142"/>
      <c r="M112" s="142"/>
      <c r="N112" s="16"/>
    </row>
    <row r="113" spans="2:14" s="72" customFormat="1" ht="25.5" x14ac:dyDescent="0.25">
      <c r="B113" s="153" t="s">
        <v>658</v>
      </c>
      <c r="C113" s="154" t="s">
        <v>659</v>
      </c>
      <c r="D113" s="7">
        <v>0</v>
      </c>
      <c r="E113" s="8"/>
      <c r="F113" s="7">
        <v>0</v>
      </c>
      <c r="G113" s="8"/>
      <c r="H113" s="155"/>
      <c r="I113" s="16"/>
      <c r="J113" s="142"/>
      <c r="K113" s="142"/>
      <c r="L113" s="142"/>
      <c r="M113" s="142"/>
      <c r="N113" s="16"/>
    </row>
    <row r="114" spans="2:14" s="72" customFormat="1" ht="15" x14ac:dyDescent="0.25">
      <c r="B114" s="156" t="s">
        <v>660</v>
      </c>
      <c r="C114" s="157"/>
      <c r="D114" s="157"/>
      <c r="E114" s="157"/>
      <c r="F114" s="157"/>
      <c r="G114" s="158"/>
      <c r="H114" s="155"/>
      <c r="I114" s="16"/>
      <c r="J114" s="144"/>
      <c r="K114" s="144"/>
      <c r="L114" s="144"/>
      <c r="M114" s="142"/>
      <c r="N114" s="16"/>
    </row>
    <row r="115" spans="2:14" s="72" customFormat="1" ht="15" x14ac:dyDescent="0.25">
      <c r="B115" s="151" t="s">
        <v>600</v>
      </c>
      <c r="C115" s="151" t="s">
        <v>601</v>
      </c>
      <c r="D115" s="156" t="s">
        <v>609</v>
      </c>
      <c r="E115" s="157"/>
      <c r="F115" s="158"/>
      <c r="G115" s="153"/>
      <c r="H115" s="155"/>
      <c r="I115" s="16"/>
      <c r="J115" s="144"/>
      <c r="K115" s="144"/>
      <c r="L115" s="144"/>
      <c r="M115" s="142"/>
      <c r="N115" s="16"/>
    </row>
    <row r="116" spans="2:14" s="72" customFormat="1" ht="76.5" x14ac:dyDescent="0.25">
      <c r="B116" s="151"/>
      <c r="C116" s="151"/>
      <c r="D116" s="159" t="s">
        <v>613</v>
      </c>
      <c r="E116" s="159" t="s">
        <v>661</v>
      </c>
      <c r="F116" s="159" t="s">
        <v>616</v>
      </c>
      <c r="G116" s="159" t="s">
        <v>685</v>
      </c>
      <c r="H116" s="160"/>
      <c r="I116" s="16"/>
      <c r="J116" s="144"/>
      <c r="K116" s="144"/>
      <c r="L116" s="144"/>
      <c r="M116" s="142"/>
      <c r="N116" s="16"/>
    </row>
    <row r="117" spans="2:14" s="72" customFormat="1" ht="25.5" x14ac:dyDescent="0.2">
      <c r="B117" s="161" t="s">
        <v>658</v>
      </c>
      <c r="C117" s="154" t="s">
        <v>659</v>
      </c>
      <c r="D117" s="162">
        <v>200</v>
      </c>
      <c r="E117" s="162">
        <v>6.8852450999999997</v>
      </c>
      <c r="F117" s="162">
        <v>206.88524509999999</v>
      </c>
      <c r="G117" s="163">
        <f>F117/F82</f>
        <v>4.7196001913277261E-2</v>
      </c>
      <c r="H117" s="164"/>
      <c r="I117" s="16"/>
      <c r="J117" s="16"/>
      <c r="K117" s="16"/>
      <c r="L117" s="16"/>
      <c r="M117" s="16"/>
      <c r="N117" s="16"/>
    </row>
    <row r="118" spans="2:14" s="72" customFormat="1" ht="33" customHeight="1" x14ac:dyDescent="0.2">
      <c r="B118" s="165" t="s">
        <v>662</v>
      </c>
      <c r="C118" s="166"/>
      <c r="D118" s="166"/>
      <c r="E118" s="166"/>
      <c r="F118" s="166"/>
      <c r="G118" s="167"/>
      <c r="H118" s="168"/>
      <c r="I118" s="16"/>
      <c r="J118" s="16"/>
      <c r="K118" s="16"/>
      <c r="L118" s="16"/>
      <c r="M118" s="16"/>
      <c r="N118" s="16"/>
    </row>
    <row r="119" spans="2:14" s="72" customFormat="1" x14ac:dyDescent="0.2">
      <c r="H119" s="168"/>
      <c r="I119" s="16"/>
      <c r="J119" s="16"/>
      <c r="K119" s="16"/>
      <c r="L119" s="16"/>
      <c r="M119" s="16"/>
      <c r="N119" s="16"/>
    </row>
    <row r="120" spans="2:14" s="72" customFormat="1" x14ac:dyDescent="0.2">
      <c r="B120" s="73" t="s">
        <v>570</v>
      </c>
      <c r="C120" s="74"/>
      <c r="D120" s="75"/>
      <c r="I120" s="16"/>
      <c r="J120" s="16"/>
      <c r="K120" s="16"/>
      <c r="L120" s="16"/>
      <c r="M120" s="16"/>
      <c r="N120" s="16"/>
    </row>
    <row r="121" spans="2:14" s="72" customFormat="1" ht="51" x14ac:dyDescent="0.2">
      <c r="B121" s="76" t="s">
        <v>571</v>
      </c>
      <c r="C121" s="76"/>
      <c r="D121" s="77" t="s">
        <v>470</v>
      </c>
      <c r="I121" s="16"/>
      <c r="J121" s="16"/>
      <c r="K121" s="16"/>
      <c r="L121" s="16"/>
      <c r="M121" s="16"/>
      <c r="N121" s="16"/>
    </row>
    <row r="122" spans="2:14" s="72" customFormat="1" x14ac:dyDescent="0.2">
      <c r="B122" s="78" t="s">
        <v>572</v>
      </c>
      <c r="C122" s="78"/>
      <c r="D122" s="79"/>
      <c r="I122" s="16"/>
      <c r="J122" s="16"/>
      <c r="K122" s="16"/>
      <c r="L122" s="16"/>
      <c r="M122" s="16"/>
      <c r="N122" s="16"/>
    </row>
    <row r="123" spans="2:14" s="72" customFormat="1" x14ac:dyDescent="0.2">
      <c r="B123" s="78"/>
      <c r="C123" s="78"/>
      <c r="D123" s="82"/>
      <c r="I123" s="16"/>
      <c r="J123" s="16"/>
      <c r="K123" s="16"/>
      <c r="L123" s="16"/>
      <c r="M123" s="16"/>
      <c r="N123" s="16"/>
    </row>
    <row r="124" spans="2:14" s="72" customFormat="1" x14ac:dyDescent="0.2">
      <c r="B124" s="78" t="s">
        <v>573</v>
      </c>
      <c r="C124" s="78"/>
      <c r="D124" s="83">
        <v>6.9564619452415188</v>
      </c>
      <c r="I124" s="16"/>
      <c r="J124" s="16"/>
      <c r="K124" s="16"/>
      <c r="L124" s="16"/>
      <c r="M124" s="16"/>
      <c r="N124" s="16"/>
    </row>
    <row r="125" spans="2:14" s="72" customFormat="1" x14ac:dyDescent="0.2">
      <c r="B125" s="78"/>
      <c r="C125" s="78"/>
      <c r="D125" s="82"/>
      <c r="I125" s="16"/>
      <c r="J125" s="16"/>
      <c r="K125" s="16"/>
      <c r="L125" s="16"/>
      <c r="M125" s="16"/>
      <c r="N125" s="16"/>
    </row>
    <row r="126" spans="2:14" s="72" customFormat="1" x14ac:dyDescent="0.2">
      <c r="B126" s="78" t="s">
        <v>574</v>
      </c>
      <c r="C126" s="78"/>
      <c r="D126" s="83">
        <v>3.7915400211085024</v>
      </c>
      <c r="I126" s="16"/>
      <c r="J126" s="16"/>
      <c r="K126" s="16"/>
      <c r="L126" s="16"/>
      <c r="M126" s="16"/>
      <c r="N126" s="16"/>
    </row>
    <row r="127" spans="2:14" s="72" customFormat="1" x14ac:dyDescent="0.2">
      <c r="B127" s="78" t="s">
        <v>575</v>
      </c>
      <c r="C127" s="78"/>
      <c r="D127" s="83">
        <v>4.8839161893896277</v>
      </c>
      <c r="I127" s="16"/>
      <c r="J127" s="16"/>
      <c r="K127" s="16"/>
      <c r="L127" s="16"/>
      <c r="M127" s="16"/>
      <c r="N127" s="16"/>
    </row>
    <row r="128" spans="2:14" s="72" customFormat="1" x14ac:dyDescent="0.2">
      <c r="B128" s="78"/>
      <c r="C128" s="78"/>
      <c r="D128" s="82"/>
      <c r="I128" s="16"/>
      <c r="J128" s="16"/>
      <c r="K128" s="16"/>
      <c r="L128" s="16"/>
      <c r="M128" s="16"/>
      <c r="N128" s="16"/>
    </row>
    <row r="129" spans="2:16" s="72" customFormat="1" x14ac:dyDescent="0.2">
      <c r="B129" s="78" t="s">
        <v>576</v>
      </c>
      <c r="C129" s="78"/>
      <c r="D129" s="84" t="s">
        <v>682</v>
      </c>
      <c r="I129" s="16"/>
      <c r="J129" s="36"/>
      <c r="K129" s="36"/>
      <c r="L129" s="36"/>
      <c r="M129" s="36"/>
      <c r="N129" s="85"/>
    </row>
    <row r="130" spans="2:16" s="72" customFormat="1" x14ac:dyDescent="0.2">
      <c r="B130" s="80" t="s">
        <v>577</v>
      </c>
      <c r="C130" s="86"/>
      <c r="D130" s="81"/>
      <c r="I130" s="16"/>
      <c r="J130" s="16"/>
      <c r="K130" s="16"/>
      <c r="L130" s="16"/>
      <c r="M130" s="16"/>
      <c r="N130" s="16"/>
      <c r="O130" s="16"/>
      <c r="P130" s="16"/>
    </row>
    <row r="132" spans="2:16" ht="25.5" x14ac:dyDescent="0.2">
      <c r="B132" s="87" t="s">
        <v>578</v>
      </c>
    </row>
    <row r="133" spans="2:16" ht="153.75" customHeight="1" x14ac:dyDescent="0.2"/>
    <row r="136" spans="2:16" x14ac:dyDescent="0.2">
      <c r="B136" s="88" t="s">
        <v>579</v>
      </c>
      <c r="C136" s="10"/>
      <c r="D136" s="88" t="s">
        <v>580</v>
      </c>
    </row>
    <row r="137" spans="2:16" x14ac:dyDescent="0.2">
      <c r="B137" s="88" t="s">
        <v>663</v>
      </c>
      <c r="D137" s="88" t="s">
        <v>664</v>
      </c>
    </row>
    <row r="138" spans="2:16" ht="165" customHeight="1" x14ac:dyDescent="0.2"/>
    <row r="145" s="16" customFormat="1" x14ac:dyDescent="0.2"/>
  </sheetData>
  <mergeCells count="36">
    <mergeCell ref="B130:D130"/>
    <mergeCell ref="B125:C125"/>
    <mergeCell ref="B126:C126"/>
    <mergeCell ref="B127:C127"/>
    <mergeCell ref="B128:C128"/>
    <mergeCell ref="B129:C129"/>
    <mergeCell ref="B120:D120"/>
    <mergeCell ref="B121:C121"/>
    <mergeCell ref="B122:C122"/>
    <mergeCell ref="B123:C123"/>
    <mergeCell ref="B124:C124"/>
    <mergeCell ref="B114:G114"/>
    <mergeCell ref="B115:B116"/>
    <mergeCell ref="C115:C116"/>
    <mergeCell ref="D115:F115"/>
    <mergeCell ref="B118:G118"/>
    <mergeCell ref="B108:C108"/>
    <mergeCell ref="A3:H3"/>
    <mergeCell ref="A2:H2"/>
    <mergeCell ref="A1:H1"/>
    <mergeCell ref="B84:H84"/>
    <mergeCell ref="B85:H85"/>
    <mergeCell ref="B86:H86"/>
    <mergeCell ref="B106:C106"/>
    <mergeCell ref="B107:C107"/>
    <mergeCell ref="B88:D88"/>
    <mergeCell ref="B89:C89"/>
    <mergeCell ref="B90:C90"/>
    <mergeCell ref="B91:C91"/>
    <mergeCell ref="B104:C104"/>
    <mergeCell ref="B109:C109"/>
    <mergeCell ref="B111:G111"/>
    <mergeCell ref="D112:E112"/>
    <mergeCell ref="F112:G112"/>
    <mergeCell ref="D113:E113"/>
    <mergeCell ref="F113:G113"/>
  </mergeCells>
  <hyperlinks>
    <hyperlink ref="I1" location="Index!B2" display="Index" xr:uid="{E0FEAA75-C87C-4551-8D59-1E548D09F20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D7CB-2172-471A-9D15-71A93ED0098C}">
  <sheetPr>
    <outlinePr summaryBelow="0" summaryRight="0"/>
  </sheetPr>
  <dimension ref="A1:R176"/>
  <sheetViews>
    <sheetView showGridLines="0" workbookViewId="0">
      <selection sqref="A1:H1"/>
    </sheetView>
  </sheetViews>
  <sheetFormatPr defaultRowHeight="12.75" x14ac:dyDescent="0.2"/>
  <cols>
    <col min="1" max="1" width="5.85546875" style="16" bestFit="1" customWidth="1"/>
    <col min="2" max="2" width="20" style="16" bestFit="1" customWidth="1"/>
    <col min="3" max="3" width="39.140625" style="16" bestFit="1" customWidth="1"/>
    <col min="4" max="4" width="17" style="16" bestFit="1" customWidth="1"/>
    <col min="5" max="5" width="8.7109375" style="16" bestFit="1" customWidth="1"/>
    <col min="6" max="6" width="10.140625" style="16" bestFit="1" customWidth="1"/>
    <col min="7" max="7" width="14" style="16" bestFit="1" customWidth="1"/>
    <col min="8" max="8" width="9.85546875" style="16" bestFit="1" customWidth="1"/>
    <col min="9" max="16384" width="9.140625" style="16"/>
  </cols>
  <sheetData>
    <row r="1" spans="1:10" s="10" customFormat="1" ht="15" x14ac:dyDescent="0.2">
      <c r="A1" s="9" t="s">
        <v>0</v>
      </c>
      <c r="B1" s="9"/>
      <c r="C1" s="9"/>
      <c r="D1" s="9"/>
      <c r="E1" s="9"/>
      <c r="F1" s="9"/>
      <c r="G1" s="9"/>
      <c r="H1" s="9"/>
      <c r="I1" s="1" t="s">
        <v>548</v>
      </c>
    </row>
    <row r="2" spans="1:10" s="10" customFormat="1" ht="15" x14ac:dyDescent="0.2">
      <c r="A2" s="9" t="s">
        <v>474</v>
      </c>
      <c r="B2" s="9"/>
      <c r="C2" s="9"/>
      <c r="D2" s="9"/>
      <c r="E2" s="9"/>
      <c r="F2" s="9"/>
      <c r="G2" s="9"/>
      <c r="H2" s="9"/>
    </row>
    <row r="3" spans="1:10" s="10" customFormat="1" ht="15" x14ac:dyDescent="0.2">
      <c r="A3" s="9" t="s">
        <v>697</v>
      </c>
      <c r="B3" s="9"/>
      <c r="C3" s="9"/>
      <c r="D3" s="9"/>
      <c r="E3" s="9"/>
      <c r="F3" s="9"/>
      <c r="G3" s="9"/>
      <c r="H3" s="9"/>
    </row>
    <row r="4" spans="1:10" s="10" customFormat="1" ht="30" x14ac:dyDescent="0.2">
      <c r="A4" s="11" t="s">
        <v>2</v>
      </c>
      <c r="B4" s="11" t="s">
        <v>3</v>
      </c>
      <c r="C4" s="11" t="s">
        <v>4</v>
      </c>
      <c r="D4" s="11" t="s">
        <v>5</v>
      </c>
      <c r="E4" s="11" t="s">
        <v>6</v>
      </c>
      <c r="F4" s="11" t="s">
        <v>7</v>
      </c>
      <c r="G4" s="11" t="s">
        <v>8</v>
      </c>
      <c r="H4" s="12" t="s">
        <v>547</v>
      </c>
    </row>
    <row r="5" spans="1:10" x14ac:dyDescent="0.2">
      <c r="A5" s="13"/>
      <c r="B5" s="13"/>
      <c r="C5" s="14" t="s">
        <v>9</v>
      </c>
      <c r="D5" s="13"/>
      <c r="E5" s="13"/>
      <c r="F5" s="13"/>
      <c r="G5" s="13"/>
      <c r="H5" s="15" t="s">
        <v>12</v>
      </c>
    </row>
    <row r="6" spans="1:10" x14ac:dyDescent="0.2">
      <c r="A6" s="17"/>
      <c r="B6" s="17"/>
      <c r="C6" s="18" t="s">
        <v>10</v>
      </c>
      <c r="D6" s="17"/>
      <c r="E6" s="17"/>
      <c r="F6" s="17"/>
      <c r="G6" s="17"/>
      <c r="H6" s="15" t="s">
        <v>12</v>
      </c>
    </row>
    <row r="7" spans="1:10" x14ac:dyDescent="0.2">
      <c r="A7" s="24">
        <v>1</v>
      </c>
      <c r="B7" s="25" t="s">
        <v>475</v>
      </c>
      <c r="C7" s="25" t="s">
        <v>476</v>
      </c>
      <c r="D7" s="25" t="s">
        <v>477</v>
      </c>
      <c r="E7" s="26">
        <v>4250</v>
      </c>
      <c r="F7" s="27">
        <v>72.196875000000006</v>
      </c>
      <c r="G7" s="28">
        <v>2.662556E-2</v>
      </c>
      <c r="H7" s="15" t="s">
        <v>12</v>
      </c>
    </row>
    <row r="8" spans="1:10" x14ac:dyDescent="0.2">
      <c r="A8" s="24">
        <v>2</v>
      </c>
      <c r="B8" s="25" t="s">
        <v>478</v>
      </c>
      <c r="C8" s="25" t="s">
        <v>479</v>
      </c>
      <c r="D8" s="25" t="s">
        <v>477</v>
      </c>
      <c r="E8" s="26">
        <v>4200</v>
      </c>
      <c r="F8" s="27">
        <v>52.617600000000003</v>
      </c>
      <c r="G8" s="28">
        <v>1.9404899999999999E-2</v>
      </c>
      <c r="H8" s="15" t="s">
        <v>12</v>
      </c>
    </row>
    <row r="9" spans="1:10" x14ac:dyDescent="0.2">
      <c r="A9" s="24">
        <v>3</v>
      </c>
      <c r="B9" s="25" t="s">
        <v>480</v>
      </c>
      <c r="C9" s="25" t="s">
        <v>481</v>
      </c>
      <c r="D9" s="25" t="s">
        <v>482</v>
      </c>
      <c r="E9" s="26">
        <v>3400</v>
      </c>
      <c r="F9" s="27">
        <v>43.013399999999997</v>
      </c>
      <c r="G9" s="28">
        <v>1.5862959999999999E-2</v>
      </c>
      <c r="H9" s="15" t="s">
        <v>12</v>
      </c>
    </row>
    <row r="10" spans="1:10" x14ac:dyDescent="0.2">
      <c r="A10" s="24">
        <v>4</v>
      </c>
      <c r="B10" s="25" t="s">
        <v>483</v>
      </c>
      <c r="C10" s="25" t="s">
        <v>484</v>
      </c>
      <c r="D10" s="25" t="s">
        <v>485</v>
      </c>
      <c r="E10" s="26">
        <v>2500</v>
      </c>
      <c r="F10" s="27">
        <v>40.657499999999999</v>
      </c>
      <c r="G10" s="28">
        <v>1.499412E-2</v>
      </c>
      <c r="H10" s="15" t="s">
        <v>12</v>
      </c>
    </row>
    <row r="11" spans="1:10" x14ac:dyDescent="0.2">
      <c r="A11" s="24">
        <v>5</v>
      </c>
      <c r="B11" s="25" t="s">
        <v>486</v>
      </c>
      <c r="C11" s="25" t="s">
        <v>487</v>
      </c>
      <c r="D11" s="25" t="s">
        <v>488</v>
      </c>
      <c r="E11" s="26">
        <v>1750</v>
      </c>
      <c r="F11" s="27">
        <v>32.896500000000003</v>
      </c>
      <c r="G11" s="28">
        <v>1.2131930000000001E-2</v>
      </c>
      <c r="H11" s="15" t="s">
        <v>12</v>
      </c>
    </row>
    <row r="12" spans="1:10" x14ac:dyDescent="0.2">
      <c r="A12" s="24">
        <v>6</v>
      </c>
      <c r="B12" s="25" t="s">
        <v>489</v>
      </c>
      <c r="C12" s="25" t="s">
        <v>490</v>
      </c>
      <c r="D12" s="25" t="s">
        <v>488</v>
      </c>
      <c r="E12" s="26">
        <v>1848</v>
      </c>
      <c r="F12" s="27">
        <v>31.886316000000001</v>
      </c>
      <c r="G12" s="28">
        <v>1.175939E-2</v>
      </c>
      <c r="H12" s="15" t="s">
        <v>12</v>
      </c>
    </row>
    <row r="13" spans="1:10" ht="25.5" x14ac:dyDescent="0.2">
      <c r="A13" s="38">
        <v>7</v>
      </c>
      <c r="B13" s="39" t="s">
        <v>665</v>
      </c>
      <c r="C13" s="39" t="s">
        <v>666</v>
      </c>
      <c r="D13" s="39" t="s">
        <v>667</v>
      </c>
      <c r="E13" s="129">
        <v>30000</v>
      </c>
      <c r="F13" s="35">
        <v>24.498000000000001</v>
      </c>
      <c r="G13" s="41">
        <f>F13/F100</f>
        <v>9.0346418262568229E-3</v>
      </c>
      <c r="H13" s="33" t="s">
        <v>12</v>
      </c>
      <c r="J13" s="130"/>
    </row>
    <row r="14" spans="1:10" x14ac:dyDescent="0.2">
      <c r="A14" s="24">
        <v>8</v>
      </c>
      <c r="B14" s="25" t="s">
        <v>491</v>
      </c>
      <c r="C14" s="25" t="s">
        <v>492</v>
      </c>
      <c r="D14" s="25" t="s">
        <v>493</v>
      </c>
      <c r="E14" s="26">
        <v>600</v>
      </c>
      <c r="F14" s="27">
        <v>21.404399999999999</v>
      </c>
      <c r="G14" s="28">
        <v>7.8937499999999997E-3</v>
      </c>
      <c r="H14" s="15" t="s">
        <v>12</v>
      </c>
    </row>
    <row r="15" spans="1:10" x14ac:dyDescent="0.2">
      <c r="A15" s="24">
        <v>9</v>
      </c>
      <c r="B15" s="25" t="s">
        <v>494</v>
      </c>
      <c r="C15" s="25" t="s">
        <v>495</v>
      </c>
      <c r="D15" s="25" t="s">
        <v>477</v>
      </c>
      <c r="E15" s="26">
        <v>2600</v>
      </c>
      <c r="F15" s="27">
        <v>20.095400000000001</v>
      </c>
      <c r="G15" s="28">
        <v>7.4110000000000001E-3</v>
      </c>
      <c r="H15" s="15" t="s">
        <v>12</v>
      </c>
    </row>
    <row r="16" spans="1:10" x14ac:dyDescent="0.2">
      <c r="A16" s="24">
        <v>10</v>
      </c>
      <c r="B16" s="25" t="s">
        <v>496</v>
      </c>
      <c r="C16" s="25" t="s">
        <v>497</v>
      </c>
      <c r="D16" s="25" t="s">
        <v>477</v>
      </c>
      <c r="E16" s="26">
        <v>2000</v>
      </c>
      <c r="F16" s="27">
        <v>19.722000000000001</v>
      </c>
      <c r="G16" s="28">
        <v>7.2732999999999999E-3</v>
      </c>
      <c r="H16" s="15" t="s">
        <v>12</v>
      </c>
    </row>
    <row r="17" spans="1:8" x14ac:dyDescent="0.2">
      <c r="A17" s="24">
        <v>11</v>
      </c>
      <c r="B17" s="25" t="s">
        <v>498</v>
      </c>
      <c r="C17" s="25" t="s">
        <v>499</v>
      </c>
      <c r="D17" s="25" t="s">
        <v>500</v>
      </c>
      <c r="E17" s="26">
        <v>4000</v>
      </c>
      <c r="F17" s="27">
        <v>17.899999999999999</v>
      </c>
      <c r="G17" s="28">
        <v>6.6013599999999997E-3</v>
      </c>
      <c r="H17" s="15" t="s">
        <v>12</v>
      </c>
    </row>
    <row r="18" spans="1:8" ht="25.5" x14ac:dyDescent="0.2">
      <c r="A18" s="24">
        <v>12</v>
      </c>
      <c r="B18" s="25" t="s">
        <v>501</v>
      </c>
      <c r="C18" s="25" t="s">
        <v>502</v>
      </c>
      <c r="D18" s="25" t="s">
        <v>503</v>
      </c>
      <c r="E18" s="26">
        <v>125</v>
      </c>
      <c r="F18" s="27">
        <v>14.3593125</v>
      </c>
      <c r="G18" s="28">
        <v>5.2955900000000002E-3</v>
      </c>
      <c r="H18" s="15" t="s">
        <v>12</v>
      </c>
    </row>
    <row r="19" spans="1:8" x14ac:dyDescent="0.2">
      <c r="A19" s="24">
        <v>13</v>
      </c>
      <c r="B19" s="25" t="s">
        <v>504</v>
      </c>
      <c r="C19" s="25" t="s">
        <v>505</v>
      </c>
      <c r="D19" s="25" t="s">
        <v>506</v>
      </c>
      <c r="E19" s="26">
        <v>160</v>
      </c>
      <c r="F19" s="27">
        <v>14.15648</v>
      </c>
      <c r="G19" s="28">
        <v>5.2207800000000004E-3</v>
      </c>
      <c r="H19" s="15" t="s">
        <v>12</v>
      </c>
    </row>
    <row r="20" spans="1:8" x14ac:dyDescent="0.2">
      <c r="A20" s="24">
        <v>14</v>
      </c>
      <c r="B20" s="25" t="s">
        <v>507</v>
      </c>
      <c r="C20" s="25" t="s">
        <v>508</v>
      </c>
      <c r="D20" s="25" t="s">
        <v>509</v>
      </c>
      <c r="E20" s="26">
        <v>2000</v>
      </c>
      <c r="F20" s="27">
        <v>14.077999999999999</v>
      </c>
      <c r="G20" s="28">
        <v>5.1918399999999996E-3</v>
      </c>
      <c r="H20" s="15" t="s">
        <v>12</v>
      </c>
    </row>
    <row r="21" spans="1:8" ht="25.5" x14ac:dyDescent="0.2">
      <c r="A21" s="24">
        <v>15</v>
      </c>
      <c r="B21" s="25" t="s">
        <v>510</v>
      </c>
      <c r="C21" s="25" t="s">
        <v>511</v>
      </c>
      <c r="D21" s="25" t="s">
        <v>512</v>
      </c>
      <c r="E21" s="26">
        <v>2000</v>
      </c>
      <c r="F21" s="27">
        <v>13.413</v>
      </c>
      <c r="G21" s="28">
        <v>4.9465899999999998E-3</v>
      </c>
      <c r="H21" s="15" t="s">
        <v>12</v>
      </c>
    </row>
    <row r="22" spans="1:8" x14ac:dyDescent="0.2">
      <c r="A22" s="24">
        <v>16</v>
      </c>
      <c r="B22" s="25" t="s">
        <v>513</v>
      </c>
      <c r="C22" s="25" t="s">
        <v>514</v>
      </c>
      <c r="D22" s="25" t="s">
        <v>482</v>
      </c>
      <c r="E22" s="26">
        <v>5000</v>
      </c>
      <c r="F22" s="27">
        <v>13.055</v>
      </c>
      <c r="G22" s="28">
        <v>4.8145699999999998E-3</v>
      </c>
      <c r="H22" s="15" t="s">
        <v>12</v>
      </c>
    </row>
    <row r="23" spans="1:8" x14ac:dyDescent="0.2">
      <c r="A23" s="24">
        <v>17</v>
      </c>
      <c r="B23" s="25" t="s">
        <v>515</v>
      </c>
      <c r="C23" s="25" t="s">
        <v>516</v>
      </c>
      <c r="D23" s="25" t="s">
        <v>477</v>
      </c>
      <c r="E23" s="26">
        <v>675</v>
      </c>
      <c r="F23" s="27">
        <v>12.833774999999999</v>
      </c>
      <c r="G23" s="28">
        <v>4.7329800000000003E-3</v>
      </c>
      <c r="H23" s="15" t="s">
        <v>12</v>
      </c>
    </row>
    <row r="24" spans="1:8" x14ac:dyDescent="0.2">
      <c r="A24" s="24">
        <v>18</v>
      </c>
      <c r="B24" s="25" t="s">
        <v>517</v>
      </c>
      <c r="C24" s="25" t="s">
        <v>518</v>
      </c>
      <c r="D24" s="25" t="s">
        <v>519</v>
      </c>
      <c r="E24" s="26">
        <v>900</v>
      </c>
      <c r="F24" s="27">
        <v>12.816000000000001</v>
      </c>
      <c r="G24" s="28">
        <v>4.7264300000000002E-3</v>
      </c>
      <c r="H24" s="15" t="s">
        <v>12</v>
      </c>
    </row>
    <row r="25" spans="1:8" ht="25.5" x14ac:dyDescent="0.2">
      <c r="A25" s="24">
        <v>19</v>
      </c>
      <c r="B25" s="25" t="s">
        <v>520</v>
      </c>
      <c r="C25" s="25" t="s">
        <v>521</v>
      </c>
      <c r="D25" s="25" t="s">
        <v>522</v>
      </c>
      <c r="E25" s="26">
        <v>250</v>
      </c>
      <c r="F25" s="27">
        <v>12.657624999999999</v>
      </c>
      <c r="G25" s="28">
        <v>4.6680200000000002E-3</v>
      </c>
      <c r="H25" s="15" t="s">
        <v>12</v>
      </c>
    </row>
    <row r="26" spans="1:8" x14ac:dyDescent="0.2">
      <c r="A26" s="24">
        <v>20</v>
      </c>
      <c r="B26" s="25" t="s">
        <v>523</v>
      </c>
      <c r="C26" s="25" t="s">
        <v>524</v>
      </c>
      <c r="D26" s="25" t="s">
        <v>525</v>
      </c>
      <c r="E26" s="26">
        <v>2000</v>
      </c>
      <c r="F26" s="27">
        <v>12.32</v>
      </c>
      <c r="G26" s="28">
        <v>4.5435099999999997E-3</v>
      </c>
      <c r="H26" s="15" t="s">
        <v>12</v>
      </c>
    </row>
    <row r="27" spans="1:8" x14ac:dyDescent="0.2">
      <c r="A27" s="24">
        <v>21</v>
      </c>
      <c r="B27" s="25" t="s">
        <v>526</v>
      </c>
      <c r="C27" s="25" t="s">
        <v>527</v>
      </c>
      <c r="D27" s="25" t="s">
        <v>506</v>
      </c>
      <c r="E27" s="26">
        <v>100</v>
      </c>
      <c r="F27" s="27">
        <v>12.310650000000001</v>
      </c>
      <c r="G27" s="28">
        <v>4.5400600000000003E-3</v>
      </c>
      <c r="H27" s="15" t="s">
        <v>12</v>
      </c>
    </row>
    <row r="28" spans="1:8" ht="25.5" x14ac:dyDescent="0.2">
      <c r="A28" s="24">
        <v>22</v>
      </c>
      <c r="B28" s="25" t="s">
        <v>528</v>
      </c>
      <c r="C28" s="25" t="s">
        <v>529</v>
      </c>
      <c r="D28" s="25" t="s">
        <v>503</v>
      </c>
      <c r="E28" s="26">
        <v>450</v>
      </c>
      <c r="F28" s="27">
        <v>11.289825</v>
      </c>
      <c r="G28" s="28">
        <v>4.16359E-3</v>
      </c>
      <c r="H28" s="15" t="s">
        <v>12</v>
      </c>
    </row>
    <row r="29" spans="1:8" ht="25.5" x14ac:dyDescent="0.2">
      <c r="A29" s="24">
        <v>23</v>
      </c>
      <c r="B29" s="25" t="s">
        <v>530</v>
      </c>
      <c r="C29" s="25" t="s">
        <v>531</v>
      </c>
      <c r="D29" s="25" t="s">
        <v>532</v>
      </c>
      <c r="E29" s="26">
        <v>320</v>
      </c>
      <c r="F29" s="27">
        <v>11.148</v>
      </c>
      <c r="G29" s="28">
        <v>4.1112800000000001E-3</v>
      </c>
      <c r="H29" s="15" t="s">
        <v>12</v>
      </c>
    </row>
    <row r="30" spans="1:8" x14ac:dyDescent="0.2">
      <c r="A30" s="24">
        <v>24</v>
      </c>
      <c r="B30" s="25" t="s">
        <v>536</v>
      </c>
      <c r="C30" s="39" t="s">
        <v>668</v>
      </c>
      <c r="D30" s="25" t="s">
        <v>485</v>
      </c>
      <c r="E30" s="26">
        <v>218</v>
      </c>
      <c r="F30" s="27">
        <v>2.6143649999999998</v>
      </c>
      <c r="G30" s="28">
        <v>9.6414999999999999E-4</v>
      </c>
      <c r="H30" s="15" t="s">
        <v>12</v>
      </c>
    </row>
    <row r="31" spans="1:8" x14ac:dyDescent="0.2">
      <c r="A31" s="24">
        <v>25</v>
      </c>
      <c r="B31" s="25" t="s">
        <v>533</v>
      </c>
      <c r="C31" s="25" t="s">
        <v>534</v>
      </c>
      <c r="D31" s="25" t="s">
        <v>535</v>
      </c>
      <c r="E31" s="26">
        <v>2000</v>
      </c>
      <c r="F31" s="27">
        <v>8.7460000000000004</v>
      </c>
      <c r="G31" s="28">
        <v>3.2254499999999999E-3</v>
      </c>
      <c r="H31" s="15" t="s">
        <v>12</v>
      </c>
    </row>
    <row r="32" spans="1:8" x14ac:dyDescent="0.2">
      <c r="A32" s="17"/>
      <c r="B32" s="17"/>
      <c r="C32" s="18" t="s">
        <v>11</v>
      </c>
      <c r="D32" s="17"/>
      <c r="E32" s="17" t="s">
        <v>12</v>
      </c>
      <c r="F32" s="23">
        <f>SUM(F7:F31)</f>
        <v>542.68602349999992</v>
      </c>
      <c r="G32" s="20">
        <f>SUM(G7:G31)</f>
        <v>0.20013775182625679</v>
      </c>
      <c r="H32" s="15" t="s">
        <v>12</v>
      </c>
    </row>
    <row r="33" spans="1:8" x14ac:dyDescent="0.2">
      <c r="A33" s="17"/>
      <c r="B33" s="17"/>
      <c r="C33" s="21"/>
      <c r="D33" s="17"/>
      <c r="E33" s="17"/>
      <c r="F33" s="22"/>
      <c r="G33" s="22"/>
      <c r="H33" s="15" t="s">
        <v>12</v>
      </c>
    </row>
    <row r="34" spans="1:8" x14ac:dyDescent="0.2">
      <c r="A34" s="17"/>
      <c r="B34" s="17"/>
      <c r="C34" s="18" t="s">
        <v>14</v>
      </c>
      <c r="D34" s="17"/>
      <c r="E34" s="17"/>
      <c r="F34" s="17"/>
      <c r="G34" s="17"/>
      <c r="H34" s="15" t="s">
        <v>12</v>
      </c>
    </row>
    <row r="35" spans="1:8" x14ac:dyDescent="0.2">
      <c r="A35" s="17"/>
      <c r="B35" s="17"/>
      <c r="C35" s="18" t="s">
        <v>11</v>
      </c>
      <c r="D35" s="17"/>
      <c r="E35" s="17" t="s">
        <v>12</v>
      </c>
      <c r="F35" s="19" t="s">
        <v>13</v>
      </c>
      <c r="G35" s="20">
        <v>0</v>
      </c>
      <c r="H35" s="15" t="s">
        <v>12</v>
      </c>
    </row>
    <row r="36" spans="1:8" x14ac:dyDescent="0.2">
      <c r="A36" s="17"/>
      <c r="B36" s="17"/>
      <c r="C36" s="21"/>
      <c r="D36" s="17"/>
      <c r="E36" s="17"/>
      <c r="F36" s="22"/>
      <c r="G36" s="22"/>
      <c r="H36" s="15" t="s">
        <v>12</v>
      </c>
    </row>
    <row r="37" spans="1:8" x14ac:dyDescent="0.2">
      <c r="A37" s="17"/>
      <c r="B37" s="17"/>
      <c r="C37" s="18" t="s">
        <v>15</v>
      </c>
      <c r="D37" s="17"/>
      <c r="E37" s="17"/>
      <c r="F37" s="17"/>
      <c r="G37" s="17"/>
      <c r="H37" s="15" t="s">
        <v>12</v>
      </c>
    </row>
    <row r="38" spans="1:8" x14ac:dyDescent="0.2">
      <c r="A38" s="17"/>
      <c r="B38" s="17"/>
      <c r="C38" s="18" t="s">
        <v>11</v>
      </c>
      <c r="D38" s="17"/>
      <c r="E38" s="17" t="s">
        <v>12</v>
      </c>
      <c r="F38" s="19" t="s">
        <v>13</v>
      </c>
      <c r="G38" s="20">
        <v>0</v>
      </c>
      <c r="H38" s="15" t="s">
        <v>12</v>
      </c>
    </row>
    <row r="39" spans="1:8" x14ac:dyDescent="0.2">
      <c r="A39" s="17"/>
      <c r="B39" s="17"/>
      <c r="C39" s="21"/>
      <c r="D39" s="17"/>
      <c r="E39" s="17"/>
      <c r="F39" s="22"/>
      <c r="G39" s="22"/>
      <c r="H39" s="15" t="s">
        <v>12</v>
      </c>
    </row>
    <row r="40" spans="1:8" x14ac:dyDescent="0.2">
      <c r="A40" s="17"/>
      <c r="B40" s="17"/>
      <c r="C40" s="18" t="s">
        <v>16</v>
      </c>
      <c r="D40" s="17"/>
      <c r="E40" s="17"/>
      <c r="F40" s="17"/>
      <c r="G40" s="17"/>
      <c r="H40" s="15" t="s">
        <v>12</v>
      </c>
    </row>
    <row r="41" spans="1:8" x14ac:dyDescent="0.2">
      <c r="A41" s="17"/>
      <c r="B41" s="17"/>
      <c r="C41" s="18" t="s">
        <v>11</v>
      </c>
      <c r="D41" s="17"/>
      <c r="E41" s="17" t="s">
        <v>12</v>
      </c>
      <c r="F41" s="19" t="s">
        <v>13</v>
      </c>
      <c r="G41" s="20">
        <v>0</v>
      </c>
      <c r="H41" s="15" t="s">
        <v>12</v>
      </c>
    </row>
    <row r="42" spans="1:8" x14ac:dyDescent="0.2">
      <c r="A42" s="17"/>
      <c r="B42" s="17"/>
      <c r="C42" s="21"/>
      <c r="D42" s="17"/>
      <c r="E42" s="17"/>
      <c r="F42" s="22"/>
      <c r="G42" s="22"/>
      <c r="H42" s="15" t="s">
        <v>12</v>
      </c>
    </row>
    <row r="43" spans="1:8" x14ac:dyDescent="0.2">
      <c r="A43" s="17"/>
      <c r="B43" s="17"/>
      <c r="C43" s="18" t="s">
        <v>17</v>
      </c>
      <c r="D43" s="17"/>
      <c r="E43" s="17"/>
      <c r="F43" s="22"/>
      <c r="G43" s="22"/>
      <c r="H43" s="15" t="s">
        <v>12</v>
      </c>
    </row>
    <row r="44" spans="1:8" x14ac:dyDescent="0.2">
      <c r="A44" s="17"/>
      <c r="B44" s="17"/>
      <c r="C44" s="18" t="s">
        <v>11</v>
      </c>
      <c r="D44" s="17"/>
      <c r="E44" s="17" t="s">
        <v>12</v>
      </c>
      <c r="F44" s="19" t="s">
        <v>13</v>
      </c>
      <c r="G44" s="20">
        <v>0</v>
      </c>
      <c r="H44" s="15" t="s">
        <v>12</v>
      </c>
    </row>
    <row r="45" spans="1:8" x14ac:dyDescent="0.2">
      <c r="A45" s="17"/>
      <c r="B45" s="17"/>
      <c r="C45" s="21"/>
      <c r="D45" s="17"/>
      <c r="E45" s="17"/>
      <c r="F45" s="22"/>
      <c r="G45" s="22"/>
      <c r="H45" s="15" t="s">
        <v>12</v>
      </c>
    </row>
    <row r="46" spans="1:8" x14ac:dyDescent="0.2">
      <c r="A46" s="17"/>
      <c r="B46" s="17"/>
      <c r="C46" s="18" t="s">
        <v>18</v>
      </c>
      <c r="D46" s="17"/>
      <c r="E46" s="17"/>
      <c r="F46" s="22"/>
      <c r="G46" s="22"/>
      <c r="H46" s="15" t="s">
        <v>12</v>
      </c>
    </row>
    <row r="47" spans="1:8" x14ac:dyDescent="0.2">
      <c r="A47" s="17"/>
      <c r="B47" s="17"/>
      <c r="C47" s="18" t="s">
        <v>11</v>
      </c>
      <c r="D47" s="17"/>
      <c r="E47" s="17" t="s">
        <v>12</v>
      </c>
      <c r="F47" s="19" t="s">
        <v>13</v>
      </c>
      <c r="G47" s="20">
        <v>0</v>
      </c>
      <c r="H47" s="15" t="s">
        <v>12</v>
      </c>
    </row>
    <row r="48" spans="1:8" x14ac:dyDescent="0.2">
      <c r="A48" s="17"/>
      <c r="B48" s="17"/>
      <c r="C48" s="21"/>
      <c r="D48" s="17"/>
      <c r="E48" s="17"/>
      <c r="F48" s="22"/>
      <c r="G48" s="22"/>
      <c r="H48" s="15" t="s">
        <v>12</v>
      </c>
    </row>
    <row r="49" spans="1:8" x14ac:dyDescent="0.2">
      <c r="A49" s="17"/>
      <c r="B49" s="17"/>
      <c r="C49" s="18" t="s">
        <v>19</v>
      </c>
      <c r="D49" s="17"/>
      <c r="E49" s="17"/>
      <c r="F49" s="23">
        <f>F32</f>
        <v>542.68602349999992</v>
      </c>
      <c r="G49" s="20">
        <f>G32</f>
        <v>0.20013775182625679</v>
      </c>
      <c r="H49" s="15" t="s">
        <v>12</v>
      </c>
    </row>
    <row r="50" spans="1:8" x14ac:dyDescent="0.2">
      <c r="A50" s="17"/>
      <c r="B50" s="17"/>
      <c r="C50" s="21"/>
      <c r="D50" s="17"/>
      <c r="E50" s="17"/>
      <c r="F50" s="22"/>
      <c r="G50" s="22"/>
      <c r="H50" s="15" t="s">
        <v>12</v>
      </c>
    </row>
    <row r="51" spans="1:8" x14ac:dyDescent="0.2">
      <c r="A51" s="17"/>
      <c r="B51" s="17"/>
      <c r="C51" s="18" t="s">
        <v>20</v>
      </c>
      <c r="D51" s="17"/>
      <c r="E51" s="17"/>
      <c r="F51" s="22"/>
      <c r="G51" s="22"/>
      <c r="H51" s="15" t="s">
        <v>12</v>
      </c>
    </row>
    <row r="52" spans="1:8" x14ac:dyDescent="0.2">
      <c r="A52" s="17"/>
      <c r="B52" s="17"/>
      <c r="C52" s="18" t="s">
        <v>10</v>
      </c>
      <c r="D52" s="17"/>
      <c r="E52" s="17"/>
      <c r="F52" s="22"/>
      <c r="G52" s="22"/>
      <c r="H52" s="15" t="s">
        <v>12</v>
      </c>
    </row>
    <row r="53" spans="1:8" x14ac:dyDescent="0.2">
      <c r="A53" s="17"/>
      <c r="B53" s="17"/>
      <c r="C53" s="18" t="s">
        <v>11</v>
      </c>
      <c r="D53" s="17"/>
      <c r="E53" s="17" t="s">
        <v>12</v>
      </c>
      <c r="F53" s="19" t="s">
        <v>13</v>
      </c>
      <c r="G53" s="20">
        <v>0</v>
      </c>
      <c r="H53" s="15" t="s">
        <v>12</v>
      </c>
    </row>
    <row r="54" spans="1:8" x14ac:dyDescent="0.2">
      <c r="A54" s="17"/>
      <c r="B54" s="17"/>
      <c r="C54" s="21"/>
      <c r="D54" s="17"/>
      <c r="E54" s="17"/>
      <c r="F54" s="22"/>
      <c r="G54" s="22"/>
      <c r="H54" s="15" t="s">
        <v>12</v>
      </c>
    </row>
    <row r="55" spans="1:8" x14ac:dyDescent="0.2">
      <c r="A55" s="17"/>
      <c r="B55" s="17"/>
      <c r="C55" s="18" t="s">
        <v>71</v>
      </c>
      <c r="D55" s="17"/>
      <c r="E55" s="17"/>
      <c r="F55" s="17"/>
      <c r="G55" s="17"/>
      <c r="H55" s="15" t="s">
        <v>12</v>
      </c>
    </row>
    <row r="56" spans="1:8" x14ac:dyDescent="0.2">
      <c r="A56" s="17"/>
      <c r="B56" s="17"/>
      <c r="C56" s="18" t="s">
        <v>11</v>
      </c>
      <c r="D56" s="17"/>
      <c r="E56" s="17" t="s">
        <v>12</v>
      </c>
      <c r="F56" s="19" t="s">
        <v>13</v>
      </c>
      <c r="G56" s="20">
        <v>0</v>
      </c>
      <c r="H56" s="15" t="s">
        <v>12</v>
      </c>
    </row>
    <row r="57" spans="1:8" x14ac:dyDescent="0.2">
      <c r="A57" s="17"/>
      <c r="B57" s="17"/>
      <c r="C57" s="21"/>
      <c r="D57" s="17"/>
      <c r="E57" s="17"/>
      <c r="F57" s="22"/>
      <c r="G57" s="22"/>
      <c r="H57" s="15" t="s">
        <v>12</v>
      </c>
    </row>
    <row r="58" spans="1:8" x14ac:dyDescent="0.2">
      <c r="A58" s="17"/>
      <c r="B58" s="17"/>
      <c r="C58" s="18" t="s">
        <v>72</v>
      </c>
      <c r="D58" s="17"/>
      <c r="E58" s="17"/>
      <c r="F58" s="17"/>
      <c r="G58" s="17"/>
      <c r="H58" s="15" t="s">
        <v>12</v>
      </c>
    </row>
    <row r="59" spans="1:8" ht="25.5" x14ac:dyDescent="0.2">
      <c r="A59" s="24">
        <v>1</v>
      </c>
      <c r="B59" s="25" t="s">
        <v>73</v>
      </c>
      <c r="C59" s="25" t="s">
        <v>74</v>
      </c>
      <c r="D59" s="25" t="s">
        <v>75</v>
      </c>
      <c r="E59" s="26">
        <v>1100000</v>
      </c>
      <c r="F59" s="27">
        <v>1126.4703999999999</v>
      </c>
      <c r="G59" s="28">
        <v>0.41543214000000001</v>
      </c>
      <c r="H59" s="15">
        <v>6.8559999999999999</v>
      </c>
    </row>
    <row r="60" spans="1:8" x14ac:dyDescent="0.2">
      <c r="A60" s="24">
        <v>2</v>
      </c>
      <c r="B60" s="25" t="s">
        <v>78</v>
      </c>
      <c r="C60" s="25" t="s">
        <v>79</v>
      </c>
      <c r="D60" s="25" t="s">
        <v>75</v>
      </c>
      <c r="E60" s="26">
        <v>500000</v>
      </c>
      <c r="F60" s="27">
        <v>516.95349999999996</v>
      </c>
      <c r="G60" s="28">
        <v>0.19064780000000001</v>
      </c>
      <c r="H60" s="15">
        <v>7.1452</v>
      </c>
    </row>
    <row r="61" spans="1:8" x14ac:dyDescent="0.2">
      <c r="A61" s="17"/>
      <c r="B61" s="17"/>
      <c r="C61" s="18" t="s">
        <v>11</v>
      </c>
      <c r="D61" s="17"/>
      <c r="E61" s="17" t="s">
        <v>12</v>
      </c>
      <c r="F61" s="23">
        <v>1643.4239</v>
      </c>
      <c r="G61" s="20">
        <v>0.60607993999999998</v>
      </c>
      <c r="H61" s="15" t="s">
        <v>12</v>
      </c>
    </row>
    <row r="62" spans="1:8" x14ac:dyDescent="0.2">
      <c r="A62" s="17"/>
      <c r="B62" s="17"/>
      <c r="C62" s="21"/>
      <c r="D62" s="17"/>
      <c r="E62" s="17"/>
      <c r="F62" s="22"/>
      <c r="G62" s="22"/>
      <c r="H62" s="15" t="s">
        <v>12</v>
      </c>
    </row>
    <row r="63" spans="1:8" x14ac:dyDescent="0.2">
      <c r="A63" s="17"/>
      <c r="B63" s="17"/>
      <c r="C63" s="18" t="s">
        <v>88</v>
      </c>
      <c r="D63" s="17"/>
      <c r="E63" s="17"/>
      <c r="F63" s="22"/>
      <c r="G63" s="22"/>
      <c r="H63" s="15" t="s">
        <v>12</v>
      </c>
    </row>
    <row r="64" spans="1:8" x14ac:dyDescent="0.2">
      <c r="A64" s="17"/>
      <c r="B64" s="17"/>
      <c r="C64" s="18" t="s">
        <v>11</v>
      </c>
      <c r="D64" s="17"/>
      <c r="E64" s="17" t="s">
        <v>12</v>
      </c>
      <c r="F64" s="19" t="s">
        <v>13</v>
      </c>
      <c r="G64" s="20">
        <v>0</v>
      </c>
      <c r="H64" s="15" t="s">
        <v>12</v>
      </c>
    </row>
    <row r="65" spans="1:8" x14ac:dyDescent="0.2">
      <c r="A65" s="17"/>
      <c r="B65" s="17"/>
      <c r="C65" s="21"/>
      <c r="D65" s="17"/>
      <c r="E65" s="17"/>
      <c r="F65" s="22"/>
      <c r="G65" s="22"/>
      <c r="H65" s="15" t="s">
        <v>12</v>
      </c>
    </row>
    <row r="66" spans="1:8" x14ac:dyDescent="0.2">
      <c r="A66" s="17"/>
      <c r="B66" s="17"/>
      <c r="C66" s="18" t="s">
        <v>89</v>
      </c>
      <c r="D66" s="17"/>
      <c r="E66" s="17"/>
      <c r="F66" s="23">
        <v>1643.4239</v>
      </c>
      <c r="G66" s="20">
        <v>0.60607993999999998</v>
      </c>
      <c r="H66" s="15" t="s">
        <v>12</v>
      </c>
    </row>
    <row r="67" spans="1:8" x14ac:dyDescent="0.2">
      <c r="A67" s="17"/>
      <c r="B67" s="17"/>
      <c r="C67" s="21"/>
      <c r="D67" s="17"/>
      <c r="E67" s="17"/>
      <c r="F67" s="22"/>
      <c r="G67" s="22"/>
      <c r="H67" s="15" t="s">
        <v>12</v>
      </c>
    </row>
    <row r="68" spans="1:8" x14ac:dyDescent="0.2">
      <c r="A68" s="17"/>
      <c r="B68" s="17"/>
      <c r="C68" s="18" t="s">
        <v>90</v>
      </c>
      <c r="D68" s="17"/>
      <c r="E68" s="17"/>
      <c r="F68" s="22"/>
      <c r="G68" s="22"/>
      <c r="H68" s="15" t="s">
        <v>12</v>
      </c>
    </row>
    <row r="69" spans="1:8" x14ac:dyDescent="0.2">
      <c r="A69" s="17"/>
      <c r="B69" s="17"/>
      <c r="C69" s="18" t="s">
        <v>91</v>
      </c>
      <c r="D69" s="17"/>
      <c r="E69" s="17"/>
      <c r="F69" s="22"/>
      <c r="G69" s="22"/>
      <c r="H69" s="15" t="s">
        <v>12</v>
      </c>
    </row>
    <row r="70" spans="1:8" x14ac:dyDescent="0.2">
      <c r="A70" s="17"/>
      <c r="B70" s="17"/>
      <c r="C70" s="18" t="s">
        <v>11</v>
      </c>
      <c r="D70" s="17"/>
      <c r="E70" s="17" t="s">
        <v>12</v>
      </c>
      <c r="F70" s="19" t="s">
        <v>13</v>
      </c>
      <c r="G70" s="20">
        <v>0</v>
      </c>
      <c r="H70" s="15" t="s">
        <v>12</v>
      </c>
    </row>
    <row r="71" spans="1:8" x14ac:dyDescent="0.2">
      <c r="A71" s="17"/>
      <c r="B71" s="17"/>
      <c r="C71" s="21"/>
      <c r="D71" s="17"/>
      <c r="E71" s="17"/>
      <c r="F71" s="22"/>
      <c r="G71" s="22"/>
      <c r="H71" s="15" t="s">
        <v>12</v>
      </c>
    </row>
    <row r="72" spans="1:8" x14ac:dyDescent="0.2">
      <c r="A72" s="17"/>
      <c r="B72" s="17"/>
      <c r="C72" s="18" t="s">
        <v>92</v>
      </c>
      <c r="D72" s="17"/>
      <c r="E72" s="17"/>
      <c r="F72" s="22"/>
      <c r="G72" s="22"/>
      <c r="H72" s="15" t="s">
        <v>12</v>
      </c>
    </row>
    <row r="73" spans="1:8" x14ac:dyDescent="0.2">
      <c r="A73" s="17"/>
      <c r="B73" s="17"/>
      <c r="C73" s="18" t="s">
        <v>11</v>
      </c>
      <c r="D73" s="17"/>
      <c r="E73" s="17" t="s">
        <v>12</v>
      </c>
      <c r="F73" s="19" t="s">
        <v>13</v>
      </c>
      <c r="G73" s="20">
        <v>0</v>
      </c>
      <c r="H73" s="15" t="s">
        <v>12</v>
      </c>
    </row>
    <row r="74" spans="1:8" x14ac:dyDescent="0.2">
      <c r="A74" s="17"/>
      <c r="B74" s="17"/>
      <c r="C74" s="21"/>
      <c r="D74" s="17"/>
      <c r="E74" s="17"/>
      <c r="F74" s="22"/>
      <c r="G74" s="22"/>
      <c r="H74" s="15" t="s">
        <v>12</v>
      </c>
    </row>
    <row r="75" spans="1:8" x14ac:dyDescent="0.2">
      <c r="A75" s="17"/>
      <c r="B75" s="17"/>
      <c r="C75" s="18" t="s">
        <v>93</v>
      </c>
      <c r="D75" s="17"/>
      <c r="E75" s="17"/>
      <c r="F75" s="22"/>
      <c r="G75" s="22"/>
      <c r="H75" s="15" t="s">
        <v>12</v>
      </c>
    </row>
    <row r="76" spans="1:8" x14ac:dyDescent="0.2">
      <c r="A76" s="17"/>
      <c r="B76" s="17"/>
      <c r="C76" s="18" t="s">
        <v>11</v>
      </c>
      <c r="D76" s="17"/>
      <c r="E76" s="17" t="s">
        <v>12</v>
      </c>
      <c r="F76" s="19" t="s">
        <v>13</v>
      </c>
      <c r="G76" s="20">
        <v>0</v>
      </c>
      <c r="H76" s="15" t="s">
        <v>12</v>
      </c>
    </row>
    <row r="77" spans="1:8" x14ac:dyDescent="0.2">
      <c r="A77" s="17"/>
      <c r="B77" s="17"/>
      <c r="C77" s="21"/>
      <c r="D77" s="17"/>
      <c r="E77" s="17"/>
      <c r="F77" s="22"/>
      <c r="G77" s="22"/>
      <c r="H77" s="15" t="s">
        <v>12</v>
      </c>
    </row>
    <row r="78" spans="1:8" x14ac:dyDescent="0.2">
      <c r="A78" s="17"/>
      <c r="B78" s="17"/>
      <c r="C78" s="18" t="s">
        <v>94</v>
      </c>
      <c r="D78" s="17"/>
      <c r="E78" s="17"/>
      <c r="F78" s="22"/>
      <c r="G78" s="22"/>
      <c r="H78" s="15" t="s">
        <v>12</v>
      </c>
    </row>
    <row r="79" spans="1:8" x14ac:dyDescent="0.2">
      <c r="A79" s="24">
        <v>1</v>
      </c>
      <c r="B79" s="25"/>
      <c r="C79" s="25" t="s">
        <v>95</v>
      </c>
      <c r="D79" s="25"/>
      <c r="E79" s="29"/>
      <c r="F79" s="27">
        <v>476.50951809999998</v>
      </c>
      <c r="G79" s="28">
        <v>0.17573242</v>
      </c>
      <c r="H79" s="15">
        <v>6.57</v>
      </c>
    </row>
    <row r="80" spans="1:8" x14ac:dyDescent="0.2">
      <c r="A80" s="17"/>
      <c r="B80" s="17"/>
      <c r="C80" s="18" t="s">
        <v>11</v>
      </c>
      <c r="D80" s="17"/>
      <c r="E80" s="17" t="s">
        <v>12</v>
      </c>
      <c r="F80" s="23">
        <v>476.50951809999998</v>
      </c>
      <c r="G80" s="20">
        <v>0.17573242</v>
      </c>
      <c r="H80" s="15" t="s">
        <v>12</v>
      </c>
    </row>
    <row r="81" spans="1:17" x14ac:dyDescent="0.2">
      <c r="A81" s="17"/>
      <c r="B81" s="17"/>
      <c r="C81" s="21"/>
      <c r="D81" s="17"/>
      <c r="E81" s="17"/>
      <c r="F81" s="22"/>
      <c r="G81" s="22"/>
      <c r="H81" s="15" t="s">
        <v>12</v>
      </c>
    </row>
    <row r="82" spans="1:17" x14ac:dyDescent="0.2">
      <c r="A82" s="17"/>
      <c r="B82" s="17"/>
      <c r="C82" s="18" t="s">
        <v>96</v>
      </c>
      <c r="D82" s="17"/>
      <c r="E82" s="17"/>
      <c r="F82" s="23">
        <v>476.50951809999998</v>
      </c>
      <c r="G82" s="20">
        <v>0.17573242</v>
      </c>
      <c r="H82" s="15" t="s">
        <v>12</v>
      </c>
    </row>
    <row r="83" spans="1:17" x14ac:dyDescent="0.2">
      <c r="A83" s="17"/>
      <c r="B83" s="17"/>
      <c r="C83" s="22"/>
      <c r="D83" s="17"/>
      <c r="E83" s="17"/>
      <c r="F83" s="17"/>
      <c r="G83" s="17"/>
      <c r="H83" s="15" t="s">
        <v>12</v>
      </c>
    </row>
    <row r="84" spans="1:17" x14ac:dyDescent="0.2">
      <c r="A84" s="17"/>
      <c r="B84" s="17"/>
      <c r="C84" s="18" t="s">
        <v>97</v>
      </c>
      <c r="D84" s="17"/>
      <c r="E84" s="17"/>
      <c r="F84" s="17"/>
      <c r="G84" s="17"/>
      <c r="H84" s="15" t="s">
        <v>12</v>
      </c>
    </row>
    <row r="85" spans="1:17" x14ac:dyDescent="0.2">
      <c r="A85" s="17"/>
      <c r="B85" s="17"/>
      <c r="C85" s="18" t="s">
        <v>98</v>
      </c>
      <c r="D85" s="17"/>
      <c r="E85" s="17"/>
      <c r="F85" s="17"/>
      <c r="G85" s="17"/>
      <c r="H85" s="15" t="s">
        <v>12</v>
      </c>
    </row>
    <row r="86" spans="1:17" x14ac:dyDescent="0.2">
      <c r="A86" s="17"/>
      <c r="B86" s="17"/>
      <c r="C86" s="18" t="s">
        <v>11</v>
      </c>
      <c r="D86" s="17"/>
      <c r="E86" s="17" t="s">
        <v>12</v>
      </c>
      <c r="F86" s="19" t="s">
        <v>13</v>
      </c>
      <c r="G86" s="20">
        <v>0</v>
      </c>
      <c r="H86" s="15" t="s">
        <v>12</v>
      </c>
    </row>
    <row r="87" spans="1:17" x14ac:dyDescent="0.2">
      <c r="A87" s="30"/>
      <c r="B87" s="30"/>
      <c r="C87" s="31"/>
      <c r="D87" s="30"/>
      <c r="E87" s="30"/>
      <c r="F87" s="32"/>
      <c r="G87" s="32"/>
      <c r="H87" s="33" t="s">
        <v>12</v>
      </c>
    </row>
    <row r="88" spans="1:17" x14ac:dyDescent="0.2">
      <c r="A88" s="30"/>
      <c r="B88" s="30"/>
      <c r="C88" s="34" t="s">
        <v>563</v>
      </c>
      <c r="D88" s="30"/>
      <c r="E88" s="30"/>
      <c r="F88" s="32"/>
      <c r="G88" s="32"/>
      <c r="H88" s="35"/>
      <c r="K88" s="36"/>
      <c r="L88" s="36"/>
      <c r="M88" s="36"/>
      <c r="N88" s="36"/>
      <c r="O88" s="37"/>
      <c r="P88" s="37"/>
      <c r="Q88" s="37"/>
    </row>
    <row r="89" spans="1:17" ht="25.5" x14ac:dyDescent="0.2">
      <c r="A89" s="38">
        <v>1</v>
      </c>
      <c r="B89" s="39" t="s">
        <v>99</v>
      </c>
      <c r="C89" s="39" t="s">
        <v>100</v>
      </c>
      <c r="D89" s="39"/>
      <c r="E89" s="40">
        <v>76.796000000000006</v>
      </c>
      <c r="F89" s="35">
        <v>8.3789000750000007</v>
      </c>
      <c r="G89" s="41">
        <v>3.0900599999999999E-3</v>
      </c>
      <c r="H89" s="33"/>
    </row>
    <row r="90" spans="1:17" x14ac:dyDescent="0.2">
      <c r="A90" s="30"/>
      <c r="B90" s="30"/>
      <c r="C90" s="34" t="s">
        <v>11</v>
      </c>
      <c r="D90" s="30"/>
      <c r="E90" s="30" t="s">
        <v>12</v>
      </c>
      <c r="F90" s="42">
        <f>SUM(F89)</f>
        <v>8.3789000750000007</v>
      </c>
      <c r="G90" s="43">
        <f>SUM(G89)</f>
        <v>3.0900599999999999E-3</v>
      </c>
      <c r="H90" s="33" t="s">
        <v>12</v>
      </c>
    </row>
    <row r="91" spans="1:17" x14ac:dyDescent="0.2">
      <c r="A91" s="17"/>
      <c r="B91" s="17"/>
      <c r="C91" s="21"/>
      <c r="D91" s="17"/>
      <c r="E91" s="17"/>
      <c r="F91" s="22"/>
      <c r="G91" s="22"/>
      <c r="H91" s="15" t="s">
        <v>12</v>
      </c>
    </row>
    <row r="92" spans="1:17" x14ac:dyDescent="0.2">
      <c r="A92" s="17"/>
      <c r="B92" s="17"/>
      <c r="C92" s="18" t="s">
        <v>101</v>
      </c>
      <c r="D92" s="17"/>
      <c r="E92" s="17"/>
      <c r="F92" s="17"/>
      <c r="G92" s="17"/>
      <c r="H92" s="15" t="s">
        <v>12</v>
      </c>
    </row>
    <row r="93" spans="1:17" x14ac:dyDescent="0.2">
      <c r="A93" s="17"/>
      <c r="B93" s="17"/>
      <c r="C93" s="18" t="s">
        <v>102</v>
      </c>
      <c r="D93" s="17"/>
      <c r="E93" s="17"/>
      <c r="F93" s="17"/>
      <c r="G93" s="17"/>
      <c r="H93" s="15" t="s">
        <v>12</v>
      </c>
    </row>
    <row r="94" spans="1:17" x14ac:dyDescent="0.2">
      <c r="A94" s="17"/>
      <c r="B94" s="17"/>
      <c r="C94" s="18" t="s">
        <v>11</v>
      </c>
      <c r="D94" s="17"/>
      <c r="E94" s="17" t="s">
        <v>12</v>
      </c>
      <c r="F94" s="19" t="s">
        <v>13</v>
      </c>
      <c r="G94" s="20">
        <v>0</v>
      </c>
      <c r="H94" s="15" t="s">
        <v>12</v>
      </c>
    </row>
    <row r="95" spans="1:17" x14ac:dyDescent="0.2">
      <c r="A95" s="17"/>
      <c r="B95" s="17"/>
      <c r="C95" s="21"/>
      <c r="D95" s="17"/>
      <c r="E95" s="17"/>
      <c r="F95" s="22"/>
      <c r="G95" s="22"/>
      <c r="H95" s="15" t="s">
        <v>12</v>
      </c>
    </row>
    <row r="96" spans="1:17" x14ac:dyDescent="0.2">
      <c r="A96" s="17"/>
      <c r="B96" s="17"/>
      <c r="C96" s="18" t="s">
        <v>103</v>
      </c>
      <c r="D96" s="17"/>
      <c r="E96" s="17"/>
      <c r="F96" s="22"/>
      <c r="G96" s="22"/>
      <c r="H96" s="15" t="s">
        <v>12</v>
      </c>
    </row>
    <row r="97" spans="1:8" x14ac:dyDescent="0.2">
      <c r="A97" s="17"/>
      <c r="B97" s="17"/>
      <c r="C97" s="18" t="s">
        <v>11</v>
      </c>
      <c r="D97" s="17"/>
      <c r="E97" s="17" t="s">
        <v>12</v>
      </c>
      <c r="F97" s="19" t="s">
        <v>13</v>
      </c>
      <c r="G97" s="20">
        <v>0</v>
      </c>
      <c r="H97" s="15" t="s">
        <v>12</v>
      </c>
    </row>
    <row r="98" spans="1:8" x14ac:dyDescent="0.2">
      <c r="A98" s="17"/>
      <c r="B98" s="17"/>
      <c r="C98" s="21"/>
      <c r="D98" s="17"/>
      <c r="E98" s="17"/>
      <c r="F98" s="22"/>
      <c r="G98" s="22"/>
      <c r="H98" s="15" t="s">
        <v>12</v>
      </c>
    </row>
    <row r="99" spans="1:8" x14ac:dyDescent="0.2">
      <c r="A99" s="29"/>
      <c r="B99" s="25"/>
      <c r="C99" s="25" t="s">
        <v>104</v>
      </c>
      <c r="D99" s="25"/>
      <c r="E99" s="29"/>
      <c r="F99" s="27">
        <v>40.564603609999999</v>
      </c>
      <c r="G99" s="28">
        <v>1.495986E-2</v>
      </c>
      <c r="H99" s="15" t="s">
        <v>12</v>
      </c>
    </row>
    <row r="100" spans="1:8" x14ac:dyDescent="0.2">
      <c r="A100" s="21"/>
      <c r="B100" s="21"/>
      <c r="C100" s="18" t="s">
        <v>105</v>
      </c>
      <c r="D100" s="22"/>
      <c r="E100" s="22"/>
      <c r="F100" s="23">
        <f>F99+F90+F82+F66+F49</f>
        <v>2711.5629452849998</v>
      </c>
      <c r="G100" s="44">
        <f>G99+G90+G82+G66+G49</f>
        <v>1.0000000318262567</v>
      </c>
      <c r="H100" s="15" t="s">
        <v>12</v>
      </c>
    </row>
    <row r="101" spans="1:8" x14ac:dyDescent="0.2">
      <c r="A101" s="45"/>
      <c r="B101" s="45"/>
      <c r="C101" s="45"/>
      <c r="D101" s="46"/>
      <c r="E101" s="46"/>
      <c r="F101" s="46"/>
      <c r="G101" s="46"/>
    </row>
    <row r="102" spans="1:8" x14ac:dyDescent="0.2">
      <c r="A102" s="47"/>
      <c r="B102" s="48" t="s">
        <v>564</v>
      </c>
      <c r="C102" s="48"/>
      <c r="D102" s="48"/>
      <c r="E102" s="48"/>
      <c r="F102" s="48"/>
      <c r="G102" s="48"/>
      <c r="H102" s="48"/>
    </row>
    <row r="103" spans="1:8" x14ac:dyDescent="0.2">
      <c r="A103" s="47"/>
      <c r="B103" s="48" t="s">
        <v>565</v>
      </c>
      <c r="C103" s="48"/>
      <c r="D103" s="48"/>
      <c r="E103" s="48"/>
      <c r="F103" s="48"/>
      <c r="G103" s="48"/>
      <c r="H103" s="48"/>
    </row>
    <row r="104" spans="1:8" x14ac:dyDescent="0.2">
      <c r="A104" s="47"/>
      <c r="B104" s="48" t="s">
        <v>566</v>
      </c>
      <c r="C104" s="48"/>
      <c r="D104" s="48"/>
      <c r="E104" s="48"/>
      <c r="F104" s="48"/>
      <c r="G104" s="48"/>
      <c r="H104" s="48"/>
    </row>
    <row r="105" spans="1:8" x14ac:dyDescent="0.2">
      <c r="A105" s="49"/>
      <c r="B105" s="49"/>
      <c r="C105" s="49"/>
      <c r="D105" s="50"/>
      <c r="E105" s="50"/>
      <c r="F105" s="50"/>
      <c r="G105" s="50"/>
    </row>
    <row r="106" spans="1:8" x14ac:dyDescent="0.2">
      <c r="A106" s="49"/>
      <c r="B106" s="51" t="s">
        <v>106</v>
      </c>
      <c r="C106" s="52"/>
      <c r="D106" s="53"/>
      <c r="E106" s="54"/>
      <c r="F106" s="50"/>
      <c r="G106" s="50"/>
    </row>
    <row r="107" spans="1:8" ht="25.5" x14ac:dyDescent="0.2">
      <c r="A107" s="49"/>
      <c r="B107" s="55" t="s">
        <v>107</v>
      </c>
      <c r="C107" s="56"/>
      <c r="D107" s="34" t="s">
        <v>643</v>
      </c>
      <c r="E107" s="54"/>
      <c r="F107" s="50"/>
      <c r="G107" s="50"/>
    </row>
    <row r="108" spans="1:8" x14ac:dyDescent="0.2">
      <c r="A108" s="49"/>
      <c r="B108" s="55" t="s">
        <v>109</v>
      </c>
      <c r="C108" s="56"/>
      <c r="D108" s="18" t="s">
        <v>108</v>
      </c>
      <c r="E108" s="54"/>
      <c r="F108" s="50"/>
      <c r="G108" s="50"/>
    </row>
    <row r="109" spans="1:8" x14ac:dyDescent="0.2">
      <c r="A109" s="49"/>
      <c r="B109" s="55" t="s">
        <v>110</v>
      </c>
      <c r="C109" s="56"/>
      <c r="D109" s="22" t="s">
        <v>12</v>
      </c>
      <c r="E109" s="54"/>
      <c r="F109" s="50"/>
      <c r="G109" s="50"/>
    </row>
    <row r="110" spans="1:8" x14ac:dyDescent="0.2">
      <c r="A110" s="57"/>
      <c r="B110" s="58" t="s">
        <v>12</v>
      </c>
      <c r="C110" s="58" t="s">
        <v>567</v>
      </c>
      <c r="D110" s="58" t="s">
        <v>111</v>
      </c>
      <c r="E110" s="57"/>
      <c r="F110" s="57"/>
      <c r="G110" s="57"/>
      <c r="H110" s="95"/>
    </row>
    <row r="111" spans="1:8" x14ac:dyDescent="0.2">
      <c r="A111" s="57"/>
      <c r="B111" s="59" t="s">
        <v>112</v>
      </c>
      <c r="C111" s="60">
        <v>45657</v>
      </c>
      <c r="D111" s="60">
        <v>45688</v>
      </c>
      <c r="E111" s="57"/>
      <c r="F111" s="57"/>
      <c r="G111" s="57"/>
    </row>
    <row r="112" spans="1:8" x14ac:dyDescent="0.2">
      <c r="A112" s="61"/>
      <c r="B112" s="25" t="s">
        <v>113</v>
      </c>
      <c r="C112" s="62">
        <v>31.551400000000001</v>
      </c>
      <c r="D112" s="62">
        <v>31.452100000000002</v>
      </c>
      <c r="E112" s="61"/>
      <c r="F112" s="63"/>
      <c r="G112" s="64"/>
    </row>
    <row r="113" spans="1:18" ht="25.5" x14ac:dyDescent="0.2">
      <c r="A113" s="61"/>
      <c r="B113" s="25" t="s">
        <v>689</v>
      </c>
      <c r="C113" s="62">
        <v>13.4473</v>
      </c>
      <c r="D113" s="62">
        <v>13.404999999999999</v>
      </c>
      <c r="E113" s="61"/>
      <c r="F113" s="63"/>
      <c r="G113" s="64"/>
    </row>
    <row r="114" spans="1:18" ht="25.5" x14ac:dyDescent="0.2">
      <c r="A114" s="61"/>
      <c r="B114" s="25" t="s">
        <v>690</v>
      </c>
      <c r="C114" s="62">
        <v>20.768899999999999</v>
      </c>
      <c r="D114" s="62">
        <v>20.703600000000002</v>
      </c>
      <c r="E114" s="61"/>
      <c r="F114" s="63"/>
      <c r="G114" s="64"/>
    </row>
    <row r="115" spans="1:18" ht="25.5" x14ac:dyDescent="0.2">
      <c r="A115" s="61"/>
      <c r="B115" s="25" t="s">
        <v>691</v>
      </c>
      <c r="C115" s="62">
        <v>20.6767</v>
      </c>
      <c r="D115" s="62">
        <v>20.611699999999999</v>
      </c>
      <c r="E115" s="61"/>
      <c r="F115" s="63"/>
      <c r="G115" s="64"/>
    </row>
    <row r="116" spans="1:18" x14ac:dyDescent="0.2">
      <c r="A116" s="61"/>
      <c r="B116" s="25" t="s">
        <v>114</v>
      </c>
      <c r="C116" s="62">
        <v>28.750399999999999</v>
      </c>
      <c r="D116" s="62">
        <v>28.636299999999999</v>
      </c>
      <c r="E116" s="61"/>
      <c r="F116" s="63"/>
      <c r="G116" s="64"/>
    </row>
    <row r="117" spans="1:18" ht="25.5" x14ac:dyDescent="0.2">
      <c r="A117" s="61"/>
      <c r="B117" s="25" t="s">
        <v>693</v>
      </c>
      <c r="C117" s="62">
        <v>13.341699999999999</v>
      </c>
      <c r="D117" s="62">
        <v>13.2887</v>
      </c>
      <c r="E117" s="61"/>
      <c r="F117" s="63"/>
      <c r="G117" s="64"/>
    </row>
    <row r="118" spans="1:18" ht="25.5" x14ac:dyDescent="0.2">
      <c r="A118" s="61"/>
      <c r="B118" s="25" t="s">
        <v>657</v>
      </c>
      <c r="C118" s="62">
        <v>18.814399999999999</v>
      </c>
      <c r="D118" s="62">
        <v>18.739699999999999</v>
      </c>
      <c r="E118" s="61"/>
      <c r="F118" s="63"/>
      <c r="G118" s="64"/>
    </row>
    <row r="119" spans="1:18" ht="25.5" x14ac:dyDescent="0.2">
      <c r="A119" s="61"/>
      <c r="B119" s="25" t="s">
        <v>694</v>
      </c>
      <c r="C119" s="62">
        <v>18.651399999999999</v>
      </c>
      <c r="D119" s="62">
        <v>18.577400000000001</v>
      </c>
      <c r="E119" s="61"/>
      <c r="F119" s="63"/>
      <c r="G119" s="64"/>
    </row>
    <row r="120" spans="1:18" x14ac:dyDescent="0.2">
      <c r="A120" s="61"/>
      <c r="B120" s="61"/>
      <c r="C120" s="61"/>
      <c r="D120" s="61"/>
      <c r="E120" s="61"/>
      <c r="F120" s="61"/>
      <c r="G120" s="61"/>
    </row>
    <row r="121" spans="1:18" x14ac:dyDescent="0.2">
      <c r="A121" s="61"/>
      <c r="B121" s="131" t="s">
        <v>568</v>
      </c>
      <c r="C121" s="132"/>
      <c r="D121" s="133" t="s">
        <v>108</v>
      </c>
      <c r="E121" s="61"/>
      <c r="F121" s="61"/>
      <c r="G121" s="61"/>
    </row>
    <row r="122" spans="1:18" x14ac:dyDescent="0.2">
      <c r="A122" s="61"/>
      <c r="B122" s="68"/>
      <c r="C122" s="68"/>
      <c r="D122" s="68"/>
      <c r="E122" s="61"/>
      <c r="F122" s="61"/>
      <c r="G122" s="61"/>
    </row>
    <row r="123" spans="1:18" x14ac:dyDescent="0.2">
      <c r="A123" s="57"/>
      <c r="B123" s="125" t="s">
        <v>118</v>
      </c>
      <c r="C123" s="126"/>
      <c r="D123" s="133" t="s">
        <v>108</v>
      </c>
      <c r="E123" s="71"/>
      <c r="F123" s="57"/>
      <c r="G123" s="57"/>
      <c r="J123" s="93"/>
    </row>
    <row r="124" spans="1:18" x14ac:dyDescent="0.2">
      <c r="A124" s="57"/>
      <c r="B124" s="125" t="s">
        <v>119</v>
      </c>
      <c r="C124" s="126"/>
      <c r="D124" s="133" t="s">
        <v>108</v>
      </c>
      <c r="E124" s="71"/>
      <c r="F124" s="57"/>
      <c r="G124" s="57"/>
      <c r="J124" s="93"/>
    </row>
    <row r="125" spans="1:18" x14ac:dyDescent="0.2">
      <c r="A125" s="57"/>
      <c r="B125" s="125" t="s">
        <v>569</v>
      </c>
      <c r="C125" s="126"/>
      <c r="D125" s="133" t="s">
        <v>108</v>
      </c>
      <c r="E125" s="71"/>
      <c r="F125" s="57"/>
      <c r="G125" s="57"/>
      <c r="J125" s="93"/>
    </row>
    <row r="126" spans="1:18" x14ac:dyDescent="0.2">
      <c r="A126" s="68"/>
      <c r="B126" s="68"/>
      <c r="C126" s="68"/>
      <c r="D126" s="68"/>
      <c r="E126" s="68"/>
      <c r="F126" s="68"/>
      <c r="G126" s="68"/>
      <c r="J126" s="93"/>
    </row>
    <row r="127" spans="1:18" s="72" customFormat="1" x14ac:dyDescent="0.2">
      <c r="B127" s="73" t="s">
        <v>570</v>
      </c>
      <c r="C127" s="74"/>
      <c r="D127" s="75"/>
      <c r="I127" s="16"/>
      <c r="J127" s="93"/>
      <c r="K127" s="36"/>
      <c r="L127" s="36"/>
      <c r="M127" s="36"/>
      <c r="N127" s="36"/>
      <c r="O127" s="16"/>
      <c r="R127" s="16"/>
    </row>
    <row r="128" spans="1:18" s="72" customFormat="1" ht="38.25" x14ac:dyDescent="0.2">
      <c r="B128" s="76" t="s">
        <v>571</v>
      </c>
      <c r="C128" s="76"/>
      <c r="D128" s="77" t="s">
        <v>474</v>
      </c>
      <c r="I128" s="16"/>
      <c r="J128" s="93"/>
      <c r="K128" s="36"/>
      <c r="L128" s="36"/>
      <c r="M128" s="36"/>
      <c r="N128" s="36"/>
      <c r="O128" s="16"/>
      <c r="R128" s="16"/>
    </row>
    <row r="129" spans="2:18" s="72" customFormat="1" x14ac:dyDescent="0.2">
      <c r="B129" s="78" t="s">
        <v>572</v>
      </c>
      <c r="C129" s="78"/>
      <c r="D129" s="79"/>
      <c r="I129" s="16"/>
      <c r="J129" s="93"/>
      <c r="K129" s="36"/>
      <c r="L129" s="36"/>
      <c r="M129" s="36"/>
      <c r="N129" s="36"/>
      <c r="O129" s="16"/>
      <c r="R129" s="16"/>
    </row>
    <row r="130" spans="2:18" s="72" customFormat="1" x14ac:dyDescent="0.2">
      <c r="B130" s="78"/>
      <c r="C130" s="78"/>
      <c r="D130" s="82"/>
      <c r="I130" s="16"/>
      <c r="J130" s="93"/>
      <c r="K130" s="36"/>
      <c r="L130" s="36"/>
      <c r="M130" s="36"/>
      <c r="N130" s="36"/>
      <c r="O130" s="16"/>
    </row>
    <row r="131" spans="2:18" s="72" customFormat="1" x14ac:dyDescent="0.2">
      <c r="B131" s="78" t="s">
        <v>573</v>
      </c>
      <c r="C131" s="78"/>
      <c r="D131" s="83">
        <v>6.8701208912167822</v>
      </c>
      <c r="I131" s="16"/>
      <c r="J131" s="93"/>
      <c r="K131" s="36"/>
      <c r="L131" s="36"/>
      <c r="M131" s="36"/>
      <c r="N131" s="36"/>
      <c r="O131" s="16"/>
    </row>
    <row r="132" spans="2:18" s="72" customFormat="1" x14ac:dyDescent="0.2">
      <c r="B132" s="78"/>
      <c r="C132" s="78"/>
      <c r="D132" s="82"/>
      <c r="I132" s="16"/>
      <c r="J132" s="93"/>
      <c r="K132" s="36"/>
      <c r="L132" s="36"/>
      <c r="M132" s="36"/>
      <c r="N132" s="36"/>
      <c r="O132" s="16"/>
    </row>
    <row r="133" spans="2:18" s="72" customFormat="1" x14ac:dyDescent="0.2">
      <c r="B133" s="78" t="s">
        <v>669</v>
      </c>
      <c r="C133" s="78"/>
      <c r="D133" s="83">
        <v>6.6265130176541085</v>
      </c>
      <c r="I133" s="16"/>
      <c r="J133" s="93"/>
      <c r="K133" s="36"/>
      <c r="L133" s="36"/>
      <c r="M133" s="36"/>
      <c r="N133" s="36"/>
      <c r="O133" s="16"/>
    </row>
    <row r="134" spans="2:18" s="72" customFormat="1" x14ac:dyDescent="0.2">
      <c r="B134" s="78" t="s">
        <v>670</v>
      </c>
      <c r="C134" s="78"/>
      <c r="D134" s="83">
        <v>11.747277286913517</v>
      </c>
      <c r="I134" s="16"/>
      <c r="J134" s="93"/>
      <c r="K134" s="36"/>
      <c r="L134" s="36"/>
      <c r="M134" s="36"/>
      <c r="N134" s="36"/>
      <c r="O134" s="16"/>
    </row>
    <row r="135" spans="2:18" s="72" customFormat="1" x14ac:dyDescent="0.2">
      <c r="B135" s="78"/>
      <c r="C135" s="78"/>
      <c r="D135" s="82"/>
      <c r="I135" s="16"/>
      <c r="J135" s="93"/>
      <c r="K135" s="36"/>
      <c r="L135" s="36"/>
      <c r="M135" s="36"/>
      <c r="N135" s="36"/>
      <c r="O135" s="16"/>
    </row>
    <row r="136" spans="2:18" s="72" customFormat="1" x14ac:dyDescent="0.2">
      <c r="B136" s="78" t="s">
        <v>576</v>
      </c>
      <c r="C136" s="78"/>
      <c r="D136" s="134" t="s">
        <v>682</v>
      </c>
      <c r="I136" s="16"/>
      <c r="J136" s="93"/>
      <c r="K136" s="36"/>
      <c r="L136" s="36"/>
      <c r="M136" s="36"/>
      <c r="N136" s="36"/>
      <c r="O136" s="16"/>
    </row>
    <row r="137" spans="2:18" s="72" customFormat="1" x14ac:dyDescent="0.2">
      <c r="B137" s="80" t="s">
        <v>577</v>
      </c>
      <c r="C137" s="86"/>
      <c r="D137" s="81"/>
      <c r="I137" s="16"/>
      <c r="J137" s="93"/>
      <c r="K137" s="36"/>
      <c r="L137" s="36"/>
      <c r="M137" s="36"/>
      <c r="N137" s="36"/>
      <c r="O137" s="16"/>
    </row>
    <row r="138" spans="2:18" x14ac:dyDescent="0.2">
      <c r="J138" s="93"/>
    </row>
    <row r="139" spans="2:18" ht="13.5" x14ac:dyDescent="0.2">
      <c r="B139" s="135" t="s">
        <v>686</v>
      </c>
      <c r="C139" s="135"/>
      <c r="D139" s="135"/>
      <c r="E139" s="135"/>
      <c r="F139" s="135"/>
      <c r="G139" s="135"/>
      <c r="H139" s="135"/>
      <c r="I139" s="36"/>
      <c r="J139" s="93"/>
      <c r="K139" s="36"/>
      <c r="L139" s="36"/>
      <c r="M139" s="36"/>
      <c r="N139" s="36"/>
      <c r="O139" s="36"/>
      <c r="P139" s="36"/>
    </row>
    <row r="140" spans="2:18" s="85" customFormat="1" ht="26.25" customHeight="1" x14ac:dyDescent="0.2">
      <c r="B140" s="136" t="s">
        <v>600</v>
      </c>
      <c r="C140" s="136" t="s">
        <v>601</v>
      </c>
      <c r="D140" s="116" t="s">
        <v>671</v>
      </c>
      <c r="E140" s="116"/>
      <c r="F140" s="116"/>
      <c r="G140" s="115" t="s">
        <v>596</v>
      </c>
      <c r="H140" s="115"/>
      <c r="J140" s="93"/>
      <c r="K140" s="137"/>
      <c r="L140" s="137"/>
      <c r="M140" s="137"/>
      <c r="N140" s="137"/>
      <c r="O140" s="137"/>
      <c r="P140" s="137"/>
    </row>
    <row r="141" spans="2:18" ht="27" x14ac:dyDescent="0.25">
      <c r="B141" s="138" t="s">
        <v>631</v>
      </c>
      <c r="C141" s="112" t="s">
        <v>672</v>
      </c>
      <c r="D141" s="113">
        <v>0</v>
      </c>
      <c r="E141" s="113"/>
      <c r="F141" s="113"/>
      <c r="G141" s="113">
        <v>0</v>
      </c>
      <c r="H141" s="113"/>
      <c r="J141" s="93"/>
      <c r="K141" s="36"/>
      <c r="L141" s="36"/>
      <c r="M141" s="36"/>
      <c r="N141" s="36"/>
      <c r="O141" s="36"/>
      <c r="P141" s="36"/>
    </row>
    <row r="142" spans="2:18" ht="13.5" x14ac:dyDescent="0.25">
      <c r="B142" s="111"/>
      <c r="C142" s="111"/>
      <c r="D142" s="114"/>
      <c r="E142" s="114"/>
      <c r="F142" s="114"/>
      <c r="G142" s="114"/>
      <c r="H142" s="114"/>
      <c r="J142" s="93"/>
      <c r="K142" s="36"/>
      <c r="L142" s="36"/>
      <c r="M142" s="36"/>
      <c r="N142" s="36"/>
      <c r="O142" s="36"/>
      <c r="P142" s="36"/>
    </row>
    <row r="143" spans="2:18" ht="13.5" x14ac:dyDescent="0.25">
      <c r="B143" s="110" t="s">
        <v>608</v>
      </c>
      <c r="C143" s="110"/>
      <c r="D143" s="110"/>
      <c r="E143" s="110"/>
      <c r="F143" s="110"/>
      <c r="G143" s="110"/>
      <c r="H143" s="110"/>
      <c r="J143" s="93"/>
      <c r="K143" s="36"/>
      <c r="L143" s="36"/>
      <c r="M143" s="36"/>
      <c r="N143" s="36"/>
      <c r="O143" s="36"/>
      <c r="P143" s="36"/>
    </row>
    <row r="144" spans="2:18" ht="13.5" customHeight="1" x14ac:dyDescent="0.2">
      <c r="B144" s="115" t="s">
        <v>600</v>
      </c>
      <c r="C144" s="115" t="s">
        <v>601</v>
      </c>
      <c r="D144" s="115" t="s">
        <v>609</v>
      </c>
      <c r="E144" s="115"/>
      <c r="F144" s="115"/>
      <c r="G144" s="115"/>
      <c r="H144" s="116" t="s">
        <v>673</v>
      </c>
      <c r="I144" s="116" t="s">
        <v>674</v>
      </c>
      <c r="J144" s="116" t="s">
        <v>612</v>
      </c>
      <c r="K144" s="36"/>
      <c r="L144" s="36"/>
      <c r="M144" s="36"/>
      <c r="N144" s="36"/>
      <c r="O144" s="36"/>
      <c r="P144" s="36"/>
    </row>
    <row r="145" spans="2:16" ht="121.5" x14ac:dyDescent="0.2">
      <c r="B145" s="115"/>
      <c r="C145" s="115"/>
      <c r="D145" s="118" t="s">
        <v>613</v>
      </c>
      <c r="E145" s="118" t="s">
        <v>614</v>
      </c>
      <c r="F145" s="118" t="s">
        <v>615</v>
      </c>
      <c r="G145" s="118" t="s">
        <v>616</v>
      </c>
      <c r="H145" s="116"/>
      <c r="I145" s="116"/>
      <c r="J145" s="116"/>
      <c r="K145" s="36"/>
      <c r="L145" s="36"/>
      <c r="M145" s="36"/>
      <c r="N145" s="36"/>
      <c r="O145" s="36"/>
    </row>
    <row r="146" spans="2:16" ht="27" x14ac:dyDescent="0.25">
      <c r="B146" s="111" t="s">
        <v>631</v>
      </c>
      <c r="C146" s="112" t="s">
        <v>675</v>
      </c>
      <c r="D146" s="120">
        <v>500</v>
      </c>
      <c r="E146" s="120">
        <v>9.9405737999999992</v>
      </c>
      <c r="F146" s="139">
        <v>16.00737140547945</v>
      </c>
      <c r="G146" s="120">
        <v>525.94794520547941</v>
      </c>
      <c r="H146" s="4">
        <v>233.40679</v>
      </c>
      <c r="I146" s="4">
        <v>4.01</v>
      </c>
      <c r="J146" s="140">
        <f>H146+I146</f>
        <v>237.41678999999999</v>
      </c>
      <c r="K146" s="36"/>
      <c r="L146" s="36"/>
      <c r="M146" s="36"/>
      <c r="N146" s="36"/>
      <c r="O146" s="36"/>
      <c r="P146" s="36"/>
    </row>
    <row r="147" spans="2:16" x14ac:dyDescent="0.2">
      <c r="J147" s="93"/>
      <c r="P147" s="36"/>
    </row>
    <row r="148" spans="2:16" x14ac:dyDescent="0.2">
      <c r="J148" s="93"/>
      <c r="K148" s="36"/>
      <c r="L148" s="36"/>
      <c r="M148" s="36"/>
      <c r="N148" s="36"/>
      <c r="O148" s="36"/>
      <c r="P148" s="36"/>
    </row>
    <row r="149" spans="2:16" ht="13.5" x14ac:dyDescent="0.25">
      <c r="B149" s="123" t="s">
        <v>617</v>
      </c>
      <c r="J149" s="93"/>
      <c r="K149" s="36"/>
      <c r="L149" s="36"/>
      <c r="M149" s="36"/>
      <c r="N149" s="36"/>
      <c r="O149" s="36"/>
      <c r="P149" s="36"/>
    </row>
    <row r="150" spans="2:16" x14ac:dyDescent="0.2">
      <c r="B150" s="36"/>
      <c r="C150" s="36"/>
      <c r="D150" s="36"/>
      <c r="E150" s="36"/>
      <c r="F150" s="36"/>
      <c r="G150" s="36"/>
      <c r="H150" s="36"/>
      <c r="J150" s="93"/>
      <c r="K150" s="36"/>
      <c r="L150" s="36"/>
      <c r="M150" s="36"/>
      <c r="N150" s="36"/>
      <c r="O150" s="36"/>
      <c r="P150" s="36"/>
    </row>
    <row r="151" spans="2:16" x14ac:dyDescent="0.2">
      <c r="B151" s="124" t="s">
        <v>618</v>
      </c>
      <c r="C151" s="36"/>
      <c r="D151" s="36"/>
      <c r="E151" s="36"/>
      <c r="F151" s="36"/>
      <c r="G151" s="36"/>
      <c r="H151" s="36"/>
      <c r="J151" s="93"/>
      <c r="K151" s="36"/>
      <c r="L151" s="36"/>
      <c r="M151" s="36"/>
      <c r="N151" s="36"/>
      <c r="O151" s="36"/>
      <c r="P151" s="36"/>
    </row>
    <row r="152" spans="2:16" x14ac:dyDescent="0.2">
      <c r="B152" s="36"/>
      <c r="C152" s="36"/>
      <c r="D152" s="36"/>
      <c r="E152" s="36"/>
      <c r="F152" s="36"/>
      <c r="G152" s="36"/>
      <c r="H152" s="36"/>
      <c r="J152" s="93"/>
      <c r="K152" s="36"/>
      <c r="L152" s="36"/>
      <c r="M152" s="36"/>
      <c r="N152" s="36"/>
      <c r="O152" s="36"/>
      <c r="P152" s="36"/>
    </row>
    <row r="153" spans="2:16" x14ac:dyDescent="0.2">
      <c r="B153" s="124" t="s">
        <v>619</v>
      </c>
      <c r="C153" s="36"/>
      <c r="D153" s="36"/>
      <c r="E153" s="36"/>
      <c r="F153" s="36"/>
      <c r="G153" s="36"/>
      <c r="H153" s="36"/>
      <c r="J153" s="93"/>
      <c r="K153" s="36"/>
      <c r="L153" s="36"/>
      <c r="M153" s="36"/>
      <c r="N153" s="36"/>
      <c r="O153" s="36"/>
      <c r="P153" s="36"/>
    </row>
    <row r="154" spans="2:16" x14ac:dyDescent="0.2">
      <c r="J154" s="93"/>
      <c r="K154" s="36"/>
      <c r="L154" s="36"/>
      <c r="M154" s="36"/>
      <c r="N154" s="36"/>
      <c r="O154" s="36"/>
    </row>
    <row r="155" spans="2:16" x14ac:dyDescent="0.2">
      <c r="B155" s="124" t="s">
        <v>620</v>
      </c>
      <c r="J155" s="93"/>
      <c r="K155" s="36"/>
      <c r="L155" s="36"/>
      <c r="M155" s="36"/>
      <c r="N155" s="36"/>
      <c r="O155" s="36"/>
    </row>
    <row r="156" spans="2:16" x14ac:dyDescent="0.2">
      <c r="J156" s="93"/>
    </row>
    <row r="157" spans="2:16" ht="25.5" x14ac:dyDescent="0.2">
      <c r="B157" s="87" t="s">
        <v>578</v>
      </c>
    </row>
    <row r="159" spans="2:16" ht="153.75" customHeight="1" x14ac:dyDescent="0.2"/>
    <row r="162" spans="2:10" x14ac:dyDescent="0.2">
      <c r="B162" s="88" t="s">
        <v>676</v>
      </c>
      <c r="C162" s="10"/>
      <c r="D162" s="88"/>
    </row>
    <row r="163" spans="2:10" x14ac:dyDescent="0.2">
      <c r="B163" s="88" t="s">
        <v>677</v>
      </c>
      <c r="D163" s="88"/>
    </row>
    <row r="164" spans="2:10" ht="165" customHeight="1" x14ac:dyDescent="0.2"/>
    <row r="166" spans="2:10" x14ac:dyDescent="0.2">
      <c r="J166" s="93"/>
    </row>
    <row r="167" spans="2:10" x14ac:dyDescent="0.2">
      <c r="J167" s="93"/>
    </row>
    <row r="168" spans="2:10" x14ac:dyDescent="0.2">
      <c r="J168" s="93"/>
    </row>
    <row r="169" spans="2:10" x14ac:dyDescent="0.2">
      <c r="J169" s="93"/>
    </row>
    <row r="170" spans="2:10" x14ac:dyDescent="0.2">
      <c r="J170" s="93"/>
    </row>
    <row r="171" spans="2:10" x14ac:dyDescent="0.2">
      <c r="J171" s="93"/>
    </row>
    <row r="172" spans="2:10" x14ac:dyDescent="0.2">
      <c r="J172" s="93"/>
    </row>
    <row r="173" spans="2:10" x14ac:dyDescent="0.2">
      <c r="J173" s="93"/>
    </row>
    <row r="174" spans="2:10" x14ac:dyDescent="0.2">
      <c r="J174" s="93"/>
    </row>
    <row r="175" spans="2:10" x14ac:dyDescent="0.2">
      <c r="J175" s="93"/>
    </row>
    <row r="176" spans="2:10" x14ac:dyDescent="0.2">
      <c r="J176" s="93"/>
    </row>
  </sheetData>
  <mergeCells count="39">
    <mergeCell ref="J144:J145"/>
    <mergeCell ref="B144:B145"/>
    <mergeCell ref="C144:C145"/>
    <mergeCell ref="D144:G144"/>
    <mergeCell ref="H144:H145"/>
    <mergeCell ref="I144:I145"/>
    <mergeCell ref="D141:F141"/>
    <mergeCell ref="G141:H141"/>
    <mergeCell ref="D142:F142"/>
    <mergeCell ref="G142:H142"/>
    <mergeCell ref="B143:H143"/>
    <mergeCell ref="B135:C135"/>
    <mergeCell ref="B136:C136"/>
    <mergeCell ref="B137:D137"/>
    <mergeCell ref="B139:H139"/>
    <mergeCell ref="D140:F140"/>
    <mergeCell ref="G140:H140"/>
    <mergeCell ref="B130:C130"/>
    <mergeCell ref="B131:C131"/>
    <mergeCell ref="B132:C132"/>
    <mergeCell ref="B133:C133"/>
    <mergeCell ref="B134:C134"/>
    <mergeCell ref="A3:H3"/>
    <mergeCell ref="A2:H2"/>
    <mergeCell ref="A1:H1"/>
    <mergeCell ref="B102:H102"/>
    <mergeCell ref="B103:H103"/>
    <mergeCell ref="B104:H104"/>
    <mergeCell ref="B128:C128"/>
    <mergeCell ref="B129:C129"/>
    <mergeCell ref="B106:D106"/>
    <mergeCell ref="B107:C107"/>
    <mergeCell ref="B108:C108"/>
    <mergeCell ref="B109:C109"/>
    <mergeCell ref="B121:C121"/>
    <mergeCell ref="B125:C125"/>
    <mergeCell ref="B123:C123"/>
    <mergeCell ref="B124:C124"/>
    <mergeCell ref="B127:D127"/>
  </mergeCells>
  <hyperlinks>
    <hyperlink ref="I1" location="Index!B2" display="Index" xr:uid="{93A6DFFD-1A0A-4EEE-B426-4514B25428DA}"/>
    <hyperlink ref="B151" r:id="rId1" xr:uid="{50F27396-4B79-475C-8DB4-0B0912CA3B50}"/>
    <hyperlink ref="B153" r:id="rId2" xr:uid="{5616F4E1-8F1C-4F44-8F14-15747AC260C4}"/>
    <hyperlink ref="B155" r:id="rId3" xr:uid="{CB9A646C-10FA-4E26-BFC9-8544AA00AFF8}"/>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AB1C-8B4F-4ED6-B5F2-5387A5898F2E}">
  <sheetPr>
    <outlinePr summaryBelow="0" summaryRight="0"/>
  </sheetPr>
  <dimension ref="A1:U122"/>
  <sheetViews>
    <sheetView showGridLines="0" workbookViewId="0">
      <selection sqref="A1:H1"/>
    </sheetView>
  </sheetViews>
  <sheetFormatPr defaultRowHeight="12.75" x14ac:dyDescent="0.2"/>
  <cols>
    <col min="1" max="1" width="5.85546875" style="16" bestFit="1" customWidth="1"/>
    <col min="2" max="2" width="21" style="16" customWidth="1"/>
    <col min="3" max="3" width="39.140625" style="16" bestFit="1" customWidth="1"/>
    <col min="4" max="4" width="10.7109375" style="16" bestFit="1" customWidth="1"/>
    <col min="5" max="5" width="8.7109375" style="16" bestFit="1" customWidth="1"/>
    <col min="6" max="6" width="10.140625" style="16" bestFit="1" customWidth="1"/>
    <col min="7" max="7" width="14" style="16" bestFit="1" customWidth="1"/>
    <col min="8" max="8" width="9.85546875" style="16" bestFit="1" customWidth="1"/>
    <col min="9" max="16384" width="9.140625" style="16"/>
  </cols>
  <sheetData>
    <row r="1" spans="1:9" s="10" customFormat="1" ht="15" x14ac:dyDescent="0.2">
      <c r="A1" s="9" t="s">
        <v>0</v>
      </c>
      <c r="B1" s="9"/>
      <c r="C1" s="9"/>
      <c r="D1" s="9"/>
      <c r="E1" s="9"/>
      <c r="F1" s="9"/>
      <c r="G1" s="9"/>
      <c r="H1" s="9"/>
      <c r="I1" s="1" t="s">
        <v>548</v>
      </c>
    </row>
    <row r="2" spans="1:9" s="10" customFormat="1" ht="15" x14ac:dyDescent="0.2">
      <c r="A2" s="9" t="s">
        <v>537</v>
      </c>
      <c r="B2" s="9"/>
      <c r="C2" s="9"/>
      <c r="D2" s="9"/>
      <c r="E2" s="9"/>
      <c r="F2" s="9"/>
      <c r="G2" s="9"/>
      <c r="H2" s="9"/>
    </row>
    <row r="3" spans="1:9" s="10" customFormat="1" ht="15" x14ac:dyDescent="0.2">
      <c r="A3" s="9" t="s">
        <v>697</v>
      </c>
      <c r="B3" s="9"/>
      <c r="C3" s="9"/>
      <c r="D3" s="9"/>
      <c r="E3" s="9"/>
      <c r="F3" s="9"/>
      <c r="G3" s="9"/>
      <c r="H3" s="9"/>
    </row>
    <row r="4" spans="1:9" s="10" customFormat="1" ht="30" x14ac:dyDescent="0.2">
      <c r="A4" s="11" t="s">
        <v>2</v>
      </c>
      <c r="B4" s="11" t="s">
        <v>3</v>
      </c>
      <c r="C4" s="11" t="s">
        <v>4</v>
      </c>
      <c r="D4" s="11" t="s">
        <v>5</v>
      </c>
      <c r="E4" s="11" t="s">
        <v>6</v>
      </c>
      <c r="F4" s="11" t="s">
        <v>7</v>
      </c>
      <c r="G4" s="11" t="s">
        <v>8</v>
      </c>
      <c r="H4" s="12" t="s">
        <v>562</v>
      </c>
    </row>
    <row r="5" spans="1:9" x14ac:dyDescent="0.2">
      <c r="A5" s="13"/>
      <c r="B5" s="13"/>
      <c r="C5" s="14" t="s">
        <v>9</v>
      </c>
      <c r="D5" s="13"/>
      <c r="E5" s="13"/>
      <c r="F5" s="13"/>
      <c r="G5" s="13"/>
      <c r="H5" s="15" t="s">
        <v>12</v>
      </c>
    </row>
    <row r="6" spans="1:9" x14ac:dyDescent="0.2">
      <c r="A6" s="17"/>
      <c r="B6" s="17"/>
      <c r="C6" s="18" t="s">
        <v>10</v>
      </c>
      <c r="D6" s="17"/>
      <c r="E6" s="17"/>
      <c r="F6" s="17"/>
      <c r="G6" s="17"/>
      <c r="H6" s="15" t="s">
        <v>12</v>
      </c>
    </row>
    <row r="7" spans="1:9" x14ac:dyDescent="0.2">
      <c r="A7" s="17"/>
      <c r="B7" s="17"/>
      <c r="C7" s="18" t="s">
        <v>11</v>
      </c>
      <c r="D7" s="17"/>
      <c r="E7" s="17" t="s">
        <v>12</v>
      </c>
      <c r="F7" s="19" t="s">
        <v>13</v>
      </c>
      <c r="G7" s="20">
        <v>0</v>
      </c>
      <c r="H7" s="15" t="s">
        <v>12</v>
      </c>
    </row>
    <row r="8" spans="1:9" x14ac:dyDescent="0.2">
      <c r="A8" s="17"/>
      <c r="B8" s="17"/>
      <c r="C8" s="21"/>
      <c r="D8" s="17"/>
      <c r="E8" s="17"/>
      <c r="F8" s="22"/>
      <c r="G8" s="22"/>
      <c r="H8" s="15" t="s">
        <v>12</v>
      </c>
    </row>
    <row r="9" spans="1:9" x14ac:dyDescent="0.2">
      <c r="A9" s="17"/>
      <c r="B9" s="17"/>
      <c r="C9" s="18" t="s">
        <v>14</v>
      </c>
      <c r="D9" s="17"/>
      <c r="E9" s="17"/>
      <c r="F9" s="17"/>
      <c r="G9" s="17"/>
      <c r="H9" s="15" t="s">
        <v>12</v>
      </c>
    </row>
    <row r="10" spans="1:9" x14ac:dyDescent="0.2">
      <c r="A10" s="17"/>
      <c r="B10" s="17"/>
      <c r="C10" s="18" t="s">
        <v>11</v>
      </c>
      <c r="D10" s="17"/>
      <c r="E10" s="17" t="s">
        <v>12</v>
      </c>
      <c r="F10" s="19" t="s">
        <v>13</v>
      </c>
      <c r="G10" s="20">
        <v>0</v>
      </c>
      <c r="H10" s="15" t="s">
        <v>12</v>
      </c>
    </row>
    <row r="11" spans="1:9" x14ac:dyDescent="0.2">
      <c r="A11" s="17"/>
      <c r="B11" s="17"/>
      <c r="C11" s="21"/>
      <c r="D11" s="17"/>
      <c r="E11" s="17"/>
      <c r="F11" s="22"/>
      <c r="G11" s="22"/>
      <c r="H11" s="15" t="s">
        <v>12</v>
      </c>
    </row>
    <row r="12" spans="1:9" x14ac:dyDescent="0.2">
      <c r="A12" s="17"/>
      <c r="B12" s="17"/>
      <c r="C12" s="18" t="s">
        <v>15</v>
      </c>
      <c r="D12" s="17"/>
      <c r="E12" s="17"/>
      <c r="F12" s="17"/>
      <c r="G12" s="17"/>
      <c r="H12" s="15" t="s">
        <v>12</v>
      </c>
    </row>
    <row r="13" spans="1:9" x14ac:dyDescent="0.2">
      <c r="A13" s="17"/>
      <c r="B13" s="17"/>
      <c r="C13" s="18" t="s">
        <v>11</v>
      </c>
      <c r="D13" s="17"/>
      <c r="E13" s="17" t="s">
        <v>12</v>
      </c>
      <c r="F13" s="19" t="s">
        <v>13</v>
      </c>
      <c r="G13" s="20">
        <v>0</v>
      </c>
      <c r="H13" s="15" t="s">
        <v>12</v>
      </c>
    </row>
    <row r="14" spans="1:9" x14ac:dyDescent="0.2">
      <c r="A14" s="17"/>
      <c r="B14" s="17"/>
      <c r="C14" s="21"/>
      <c r="D14" s="17"/>
      <c r="E14" s="17"/>
      <c r="F14" s="22"/>
      <c r="G14" s="22"/>
      <c r="H14" s="15" t="s">
        <v>12</v>
      </c>
    </row>
    <row r="15" spans="1:9" x14ac:dyDescent="0.2">
      <c r="A15" s="17"/>
      <c r="B15" s="17"/>
      <c r="C15" s="18" t="s">
        <v>16</v>
      </c>
      <c r="D15" s="17"/>
      <c r="E15" s="17"/>
      <c r="F15" s="17"/>
      <c r="G15" s="17"/>
      <c r="H15" s="15" t="s">
        <v>12</v>
      </c>
    </row>
    <row r="16" spans="1:9" x14ac:dyDescent="0.2">
      <c r="A16" s="17"/>
      <c r="B16" s="17"/>
      <c r="C16" s="18" t="s">
        <v>11</v>
      </c>
      <c r="D16" s="17"/>
      <c r="E16" s="17" t="s">
        <v>12</v>
      </c>
      <c r="F16" s="19" t="s">
        <v>13</v>
      </c>
      <c r="G16" s="20">
        <v>0</v>
      </c>
      <c r="H16" s="15" t="s">
        <v>12</v>
      </c>
    </row>
    <row r="17" spans="1:8" x14ac:dyDescent="0.2">
      <c r="A17" s="17"/>
      <c r="B17" s="17"/>
      <c r="C17" s="21"/>
      <c r="D17" s="17"/>
      <c r="E17" s="17"/>
      <c r="F17" s="22"/>
      <c r="G17" s="22"/>
      <c r="H17" s="15" t="s">
        <v>12</v>
      </c>
    </row>
    <row r="18" spans="1:8" x14ac:dyDescent="0.2">
      <c r="A18" s="17"/>
      <c r="B18" s="17"/>
      <c r="C18" s="18" t="s">
        <v>17</v>
      </c>
      <c r="D18" s="17"/>
      <c r="E18" s="17"/>
      <c r="F18" s="22"/>
      <c r="G18" s="22"/>
      <c r="H18" s="15" t="s">
        <v>12</v>
      </c>
    </row>
    <row r="19" spans="1:8" x14ac:dyDescent="0.2">
      <c r="A19" s="17"/>
      <c r="B19" s="17"/>
      <c r="C19" s="18" t="s">
        <v>11</v>
      </c>
      <c r="D19" s="17"/>
      <c r="E19" s="17" t="s">
        <v>12</v>
      </c>
      <c r="F19" s="19" t="s">
        <v>13</v>
      </c>
      <c r="G19" s="20">
        <v>0</v>
      </c>
      <c r="H19" s="15" t="s">
        <v>12</v>
      </c>
    </row>
    <row r="20" spans="1:8" x14ac:dyDescent="0.2">
      <c r="A20" s="17"/>
      <c r="B20" s="17"/>
      <c r="C20" s="21"/>
      <c r="D20" s="17"/>
      <c r="E20" s="17"/>
      <c r="F20" s="22"/>
      <c r="G20" s="22"/>
      <c r="H20" s="15" t="s">
        <v>12</v>
      </c>
    </row>
    <row r="21" spans="1:8" x14ac:dyDescent="0.2">
      <c r="A21" s="17"/>
      <c r="B21" s="17"/>
      <c r="C21" s="18" t="s">
        <v>18</v>
      </c>
      <c r="D21" s="17"/>
      <c r="E21" s="17"/>
      <c r="F21" s="22"/>
      <c r="G21" s="22"/>
      <c r="H21" s="15" t="s">
        <v>12</v>
      </c>
    </row>
    <row r="22" spans="1:8" x14ac:dyDescent="0.2">
      <c r="A22" s="17"/>
      <c r="B22" s="17"/>
      <c r="C22" s="18" t="s">
        <v>11</v>
      </c>
      <c r="D22" s="17"/>
      <c r="E22" s="17" t="s">
        <v>12</v>
      </c>
      <c r="F22" s="19" t="s">
        <v>13</v>
      </c>
      <c r="G22" s="20">
        <v>0</v>
      </c>
      <c r="H22" s="15" t="s">
        <v>12</v>
      </c>
    </row>
    <row r="23" spans="1:8" x14ac:dyDescent="0.2">
      <c r="A23" s="17"/>
      <c r="B23" s="17"/>
      <c r="C23" s="21"/>
      <c r="D23" s="17"/>
      <c r="E23" s="17"/>
      <c r="F23" s="22"/>
      <c r="G23" s="22"/>
      <c r="H23" s="15" t="s">
        <v>12</v>
      </c>
    </row>
    <row r="24" spans="1:8" x14ac:dyDescent="0.2">
      <c r="A24" s="17"/>
      <c r="B24" s="17"/>
      <c r="C24" s="18" t="s">
        <v>19</v>
      </c>
      <c r="D24" s="17"/>
      <c r="E24" s="17"/>
      <c r="F24" s="23">
        <v>0</v>
      </c>
      <c r="G24" s="20">
        <v>0</v>
      </c>
      <c r="H24" s="15" t="s">
        <v>12</v>
      </c>
    </row>
    <row r="25" spans="1:8" x14ac:dyDescent="0.2">
      <c r="A25" s="17"/>
      <c r="B25" s="17"/>
      <c r="C25" s="21"/>
      <c r="D25" s="17"/>
      <c r="E25" s="17"/>
      <c r="F25" s="22"/>
      <c r="G25" s="22"/>
      <c r="H25" s="15" t="s">
        <v>12</v>
      </c>
    </row>
    <row r="26" spans="1:8" x14ac:dyDescent="0.2">
      <c r="A26" s="17"/>
      <c r="B26" s="17"/>
      <c r="C26" s="18" t="s">
        <v>20</v>
      </c>
      <c r="D26" s="17"/>
      <c r="E26" s="17"/>
      <c r="F26" s="22"/>
      <c r="G26" s="22"/>
      <c r="H26" s="15" t="s">
        <v>12</v>
      </c>
    </row>
    <row r="27" spans="1:8" x14ac:dyDescent="0.2">
      <c r="A27" s="17"/>
      <c r="B27" s="17"/>
      <c r="C27" s="18" t="s">
        <v>10</v>
      </c>
      <c r="D27" s="17"/>
      <c r="E27" s="17"/>
      <c r="F27" s="22"/>
      <c r="G27" s="22"/>
      <c r="H27" s="15" t="s">
        <v>12</v>
      </c>
    </row>
    <row r="28" spans="1:8" x14ac:dyDescent="0.2">
      <c r="A28" s="17"/>
      <c r="B28" s="17"/>
      <c r="C28" s="18" t="s">
        <v>11</v>
      </c>
      <c r="D28" s="17"/>
      <c r="E28" s="17" t="s">
        <v>12</v>
      </c>
      <c r="F28" s="19" t="s">
        <v>13</v>
      </c>
      <c r="G28" s="20">
        <v>0</v>
      </c>
      <c r="H28" s="15" t="s">
        <v>12</v>
      </c>
    </row>
    <row r="29" spans="1:8" x14ac:dyDescent="0.2">
      <c r="A29" s="17"/>
      <c r="B29" s="17"/>
      <c r="C29" s="21"/>
      <c r="D29" s="17"/>
      <c r="E29" s="17"/>
      <c r="F29" s="22"/>
      <c r="G29" s="22"/>
      <c r="H29" s="15" t="s">
        <v>12</v>
      </c>
    </row>
    <row r="30" spans="1:8" x14ac:dyDescent="0.2">
      <c r="A30" s="17"/>
      <c r="B30" s="17"/>
      <c r="C30" s="18" t="s">
        <v>71</v>
      </c>
      <c r="D30" s="17"/>
      <c r="E30" s="17"/>
      <c r="F30" s="17"/>
      <c r="G30" s="17"/>
      <c r="H30" s="15" t="s">
        <v>12</v>
      </c>
    </row>
    <row r="31" spans="1:8" x14ac:dyDescent="0.2">
      <c r="A31" s="17"/>
      <c r="B31" s="17"/>
      <c r="C31" s="18" t="s">
        <v>11</v>
      </c>
      <c r="D31" s="17"/>
      <c r="E31" s="17" t="s">
        <v>12</v>
      </c>
      <c r="F31" s="19" t="s">
        <v>13</v>
      </c>
      <c r="G31" s="20">
        <v>0</v>
      </c>
      <c r="H31" s="15" t="s">
        <v>12</v>
      </c>
    </row>
    <row r="32" spans="1:8" x14ac:dyDescent="0.2">
      <c r="A32" s="17"/>
      <c r="B32" s="17"/>
      <c r="C32" s="21"/>
      <c r="D32" s="17"/>
      <c r="E32" s="17"/>
      <c r="F32" s="22"/>
      <c r="G32" s="22"/>
      <c r="H32" s="15" t="s">
        <v>12</v>
      </c>
    </row>
    <row r="33" spans="1:8" x14ac:dyDescent="0.2">
      <c r="A33" s="17"/>
      <c r="B33" s="17"/>
      <c r="C33" s="18" t="s">
        <v>72</v>
      </c>
      <c r="D33" s="17"/>
      <c r="E33" s="17"/>
      <c r="F33" s="17"/>
      <c r="G33" s="17"/>
      <c r="H33" s="15" t="s">
        <v>12</v>
      </c>
    </row>
    <row r="34" spans="1:8" x14ac:dyDescent="0.2">
      <c r="A34" s="17"/>
      <c r="B34" s="17"/>
      <c r="C34" s="18" t="s">
        <v>11</v>
      </c>
      <c r="D34" s="17"/>
      <c r="E34" s="17" t="s">
        <v>12</v>
      </c>
      <c r="F34" s="19" t="s">
        <v>13</v>
      </c>
      <c r="G34" s="20">
        <v>0</v>
      </c>
      <c r="H34" s="15" t="s">
        <v>12</v>
      </c>
    </row>
    <row r="35" spans="1:8" x14ac:dyDescent="0.2">
      <c r="A35" s="17"/>
      <c r="B35" s="17"/>
      <c r="C35" s="21"/>
      <c r="D35" s="17"/>
      <c r="E35" s="17"/>
      <c r="F35" s="22"/>
      <c r="G35" s="22"/>
      <c r="H35" s="15" t="s">
        <v>12</v>
      </c>
    </row>
    <row r="36" spans="1:8" x14ac:dyDescent="0.2">
      <c r="A36" s="17"/>
      <c r="B36" s="17"/>
      <c r="C36" s="18" t="s">
        <v>88</v>
      </c>
      <c r="D36" s="17"/>
      <c r="E36" s="17"/>
      <c r="F36" s="22"/>
      <c r="G36" s="22"/>
      <c r="H36" s="15" t="s">
        <v>12</v>
      </c>
    </row>
    <row r="37" spans="1:8" x14ac:dyDescent="0.2">
      <c r="A37" s="17"/>
      <c r="B37" s="17"/>
      <c r="C37" s="18" t="s">
        <v>11</v>
      </c>
      <c r="D37" s="17"/>
      <c r="E37" s="17" t="s">
        <v>12</v>
      </c>
      <c r="F37" s="19" t="s">
        <v>13</v>
      </c>
      <c r="G37" s="20">
        <v>0</v>
      </c>
      <c r="H37" s="15" t="s">
        <v>12</v>
      </c>
    </row>
    <row r="38" spans="1:8" x14ac:dyDescent="0.2">
      <c r="A38" s="17"/>
      <c r="B38" s="17"/>
      <c r="C38" s="21"/>
      <c r="D38" s="17"/>
      <c r="E38" s="17"/>
      <c r="F38" s="22"/>
      <c r="G38" s="22"/>
      <c r="H38" s="15" t="s">
        <v>12</v>
      </c>
    </row>
    <row r="39" spans="1:8" x14ac:dyDescent="0.2">
      <c r="A39" s="17"/>
      <c r="B39" s="17"/>
      <c r="C39" s="18" t="s">
        <v>89</v>
      </c>
      <c r="D39" s="17"/>
      <c r="E39" s="17"/>
      <c r="F39" s="23">
        <v>0</v>
      </c>
      <c r="G39" s="20">
        <v>0</v>
      </c>
      <c r="H39" s="15" t="s">
        <v>12</v>
      </c>
    </row>
    <row r="40" spans="1:8" x14ac:dyDescent="0.2">
      <c r="A40" s="17"/>
      <c r="B40" s="17"/>
      <c r="C40" s="21"/>
      <c r="D40" s="17"/>
      <c r="E40" s="17"/>
      <c r="F40" s="22"/>
      <c r="G40" s="22"/>
      <c r="H40" s="15" t="s">
        <v>12</v>
      </c>
    </row>
    <row r="41" spans="1:8" x14ac:dyDescent="0.2">
      <c r="A41" s="17"/>
      <c r="B41" s="17"/>
      <c r="C41" s="18" t="s">
        <v>90</v>
      </c>
      <c r="D41" s="17"/>
      <c r="E41" s="17"/>
      <c r="F41" s="22"/>
      <c r="G41" s="22"/>
      <c r="H41" s="15" t="s">
        <v>12</v>
      </c>
    </row>
    <row r="42" spans="1:8" x14ac:dyDescent="0.2">
      <c r="A42" s="17"/>
      <c r="B42" s="17"/>
      <c r="C42" s="18" t="s">
        <v>91</v>
      </c>
      <c r="D42" s="17"/>
      <c r="E42" s="17"/>
      <c r="F42" s="22"/>
      <c r="G42" s="22"/>
      <c r="H42" s="15" t="s">
        <v>12</v>
      </c>
    </row>
    <row r="43" spans="1:8" x14ac:dyDescent="0.2">
      <c r="A43" s="17"/>
      <c r="B43" s="17"/>
      <c r="C43" s="18" t="s">
        <v>11</v>
      </c>
      <c r="D43" s="17"/>
      <c r="E43" s="17" t="s">
        <v>12</v>
      </c>
      <c r="F43" s="19" t="s">
        <v>13</v>
      </c>
      <c r="G43" s="20">
        <v>0</v>
      </c>
      <c r="H43" s="15" t="s">
        <v>12</v>
      </c>
    </row>
    <row r="44" spans="1:8" x14ac:dyDescent="0.2">
      <c r="A44" s="17"/>
      <c r="B44" s="17"/>
      <c r="C44" s="21"/>
      <c r="D44" s="17"/>
      <c r="E44" s="17"/>
      <c r="F44" s="22"/>
      <c r="G44" s="22"/>
      <c r="H44" s="15" t="s">
        <v>12</v>
      </c>
    </row>
    <row r="45" spans="1:8" x14ac:dyDescent="0.2">
      <c r="A45" s="17"/>
      <c r="B45" s="17"/>
      <c r="C45" s="18" t="s">
        <v>92</v>
      </c>
      <c r="D45" s="17"/>
      <c r="E45" s="17"/>
      <c r="F45" s="22"/>
      <c r="G45" s="22"/>
      <c r="H45" s="15" t="s">
        <v>12</v>
      </c>
    </row>
    <row r="46" spans="1:8" x14ac:dyDescent="0.2">
      <c r="A46" s="17"/>
      <c r="B46" s="17"/>
      <c r="C46" s="18" t="s">
        <v>11</v>
      </c>
      <c r="D46" s="17"/>
      <c r="E46" s="17" t="s">
        <v>12</v>
      </c>
      <c r="F46" s="19" t="s">
        <v>13</v>
      </c>
      <c r="G46" s="20">
        <v>0</v>
      </c>
      <c r="H46" s="15" t="s">
        <v>12</v>
      </c>
    </row>
    <row r="47" spans="1:8" x14ac:dyDescent="0.2">
      <c r="A47" s="17"/>
      <c r="B47" s="17"/>
      <c r="C47" s="21"/>
      <c r="D47" s="17"/>
      <c r="E47" s="17"/>
      <c r="F47" s="22"/>
      <c r="G47" s="22"/>
      <c r="H47" s="15" t="s">
        <v>12</v>
      </c>
    </row>
    <row r="48" spans="1:8" x14ac:dyDescent="0.2">
      <c r="A48" s="17"/>
      <c r="B48" s="17"/>
      <c r="C48" s="18" t="s">
        <v>93</v>
      </c>
      <c r="D48" s="17"/>
      <c r="E48" s="17"/>
      <c r="F48" s="22"/>
      <c r="G48" s="22"/>
      <c r="H48" s="15" t="s">
        <v>12</v>
      </c>
    </row>
    <row r="49" spans="1:8" x14ac:dyDescent="0.2">
      <c r="A49" s="24">
        <v>1</v>
      </c>
      <c r="B49" s="25" t="s">
        <v>538</v>
      </c>
      <c r="C49" s="25" t="s">
        <v>539</v>
      </c>
      <c r="D49" s="25" t="s">
        <v>75</v>
      </c>
      <c r="E49" s="26">
        <v>1000000</v>
      </c>
      <c r="F49" s="27">
        <v>999.12900000000002</v>
      </c>
      <c r="G49" s="28">
        <v>1.2254889999999999E-2</v>
      </c>
      <c r="H49" s="15">
        <v>6.3650000000000002</v>
      </c>
    </row>
    <row r="50" spans="1:8" x14ac:dyDescent="0.2">
      <c r="A50" s="24">
        <v>2</v>
      </c>
      <c r="B50" s="25" t="s">
        <v>540</v>
      </c>
      <c r="C50" s="25" t="s">
        <v>541</v>
      </c>
      <c r="D50" s="25" t="s">
        <v>75</v>
      </c>
      <c r="E50" s="26">
        <v>1000000</v>
      </c>
      <c r="F50" s="27">
        <v>999.12900000000002</v>
      </c>
      <c r="G50" s="28">
        <v>1.2254889999999999E-2</v>
      </c>
      <c r="H50" s="15">
        <v>6.3650000000000002</v>
      </c>
    </row>
    <row r="51" spans="1:8" x14ac:dyDescent="0.2">
      <c r="A51" s="24">
        <v>3</v>
      </c>
      <c r="B51" s="25" t="s">
        <v>399</v>
      </c>
      <c r="C51" s="25" t="s">
        <v>400</v>
      </c>
      <c r="D51" s="25" t="s">
        <v>75</v>
      </c>
      <c r="E51" s="26">
        <v>1000000</v>
      </c>
      <c r="F51" s="27">
        <v>995.44399999999996</v>
      </c>
      <c r="G51" s="28">
        <v>1.220969E-2</v>
      </c>
      <c r="H51" s="15">
        <v>6.4249999999999998</v>
      </c>
    </row>
    <row r="52" spans="1:8" x14ac:dyDescent="0.2">
      <c r="A52" s="24">
        <v>4</v>
      </c>
      <c r="B52" s="25" t="s">
        <v>542</v>
      </c>
      <c r="C52" s="25" t="s">
        <v>543</v>
      </c>
      <c r="D52" s="25" t="s">
        <v>75</v>
      </c>
      <c r="E52" s="26">
        <v>500000</v>
      </c>
      <c r="F52" s="27">
        <v>498.85899999999998</v>
      </c>
      <c r="G52" s="28">
        <v>6.1187899999999998E-3</v>
      </c>
      <c r="H52" s="15">
        <v>6.4234</v>
      </c>
    </row>
    <row r="53" spans="1:8" x14ac:dyDescent="0.2">
      <c r="A53" s="24">
        <v>5</v>
      </c>
      <c r="B53" s="25" t="s">
        <v>544</v>
      </c>
      <c r="C53" s="25" t="s">
        <v>545</v>
      </c>
      <c r="D53" s="25" t="s">
        <v>75</v>
      </c>
      <c r="E53" s="26">
        <v>500000</v>
      </c>
      <c r="F53" s="27">
        <v>497.72199999999998</v>
      </c>
      <c r="G53" s="28">
        <v>6.1048500000000002E-3</v>
      </c>
      <c r="H53" s="15">
        <v>6.4249999999999998</v>
      </c>
    </row>
    <row r="54" spans="1:8" x14ac:dyDescent="0.2">
      <c r="A54" s="17"/>
      <c r="B54" s="17"/>
      <c r="C54" s="18" t="s">
        <v>11</v>
      </c>
      <c r="D54" s="17"/>
      <c r="E54" s="17" t="s">
        <v>12</v>
      </c>
      <c r="F54" s="23">
        <v>3990.2829999999999</v>
      </c>
      <c r="G54" s="20">
        <v>4.8943109999999998E-2</v>
      </c>
      <c r="H54" s="15" t="s">
        <v>12</v>
      </c>
    </row>
    <row r="55" spans="1:8" x14ac:dyDescent="0.2">
      <c r="A55" s="17"/>
      <c r="B55" s="17"/>
      <c r="C55" s="21"/>
      <c r="D55" s="17"/>
      <c r="E55" s="17"/>
      <c r="F55" s="22"/>
      <c r="G55" s="22"/>
      <c r="H55" s="15" t="s">
        <v>12</v>
      </c>
    </row>
    <row r="56" spans="1:8" x14ac:dyDescent="0.2">
      <c r="A56" s="17"/>
      <c r="B56" s="17"/>
      <c r="C56" s="18" t="s">
        <v>94</v>
      </c>
      <c r="D56" s="17"/>
      <c r="E56" s="17"/>
      <c r="F56" s="22"/>
      <c r="G56" s="22"/>
      <c r="H56" s="15" t="s">
        <v>12</v>
      </c>
    </row>
    <row r="57" spans="1:8" x14ac:dyDescent="0.2">
      <c r="A57" s="24">
        <v>1</v>
      </c>
      <c r="B57" s="25"/>
      <c r="C57" s="25" t="s">
        <v>546</v>
      </c>
      <c r="D57" s="25"/>
      <c r="E57" s="29"/>
      <c r="F57" s="27">
        <v>73798.505145799994</v>
      </c>
      <c r="G57" s="28">
        <v>0.90518098000000002</v>
      </c>
      <c r="H57" s="15">
        <v>6.78</v>
      </c>
    </row>
    <row r="58" spans="1:8" x14ac:dyDescent="0.2">
      <c r="A58" s="24">
        <v>2</v>
      </c>
      <c r="B58" s="25"/>
      <c r="C58" s="25" t="s">
        <v>95</v>
      </c>
      <c r="D58" s="25"/>
      <c r="E58" s="29"/>
      <c r="F58" s="27">
        <v>4010.540840916</v>
      </c>
      <c r="G58" s="28">
        <v>4.9191579999999999E-2</v>
      </c>
      <c r="H58" s="15">
        <v>6.57</v>
      </c>
    </row>
    <row r="59" spans="1:8" x14ac:dyDescent="0.2">
      <c r="A59" s="17"/>
      <c r="B59" s="17"/>
      <c r="C59" s="18" t="s">
        <v>11</v>
      </c>
      <c r="D59" s="17"/>
      <c r="E59" s="17" t="s">
        <v>12</v>
      </c>
      <c r="F59" s="23">
        <v>77809.045986715995</v>
      </c>
      <c r="G59" s="20">
        <v>0.95437256000000004</v>
      </c>
      <c r="H59" s="15" t="s">
        <v>12</v>
      </c>
    </row>
    <row r="60" spans="1:8" x14ac:dyDescent="0.2">
      <c r="A60" s="17"/>
      <c r="B60" s="17"/>
      <c r="C60" s="21"/>
      <c r="D60" s="17"/>
      <c r="E60" s="17"/>
      <c r="F60" s="22"/>
      <c r="G60" s="22"/>
      <c r="H60" s="15" t="s">
        <v>12</v>
      </c>
    </row>
    <row r="61" spans="1:8" x14ac:dyDescent="0.2">
      <c r="A61" s="17"/>
      <c r="B61" s="17"/>
      <c r="C61" s="18" t="s">
        <v>96</v>
      </c>
      <c r="D61" s="17"/>
      <c r="E61" s="17"/>
      <c r="F61" s="23">
        <v>81799.328986716006</v>
      </c>
      <c r="G61" s="20">
        <v>1.0033156700000001</v>
      </c>
      <c r="H61" s="15" t="s">
        <v>12</v>
      </c>
    </row>
    <row r="62" spans="1:8" x14ac:dyDescent="0.2">
      <c r="A62" s="17"/>
      <c r="B62" s="17"/>
      <c r="C62" s="22"/>
      <c r="D62" s="17"/>
      <c r="E62" s="17"/>
      <c r="F62" s="17"/>
      <c r="G62" s="17"/>
      <c r="H62" s="15" t="s">
        <v>12</v>
      </c>
    </row>
    <row r="63" spans="1:8" x14ac:dyDescent="0.2">
      <c r="A63" s="17"/>
      <c r="B63" s="17"/>
      <c r="C63" s="18" t="s">
        <v>97</v>
      </c>
      <c r="D63" s="17"/>
      <c r="E63" s="17"/>
      <c r="F63" s="17"/>
      <c r="G63" s="17"/>
      <c r="H63" s="15" t="s">
        <v>12</v>
      </c>
    </row>
    <row r="64" spans="1:8" x14ac:dyDescent="0.2">
      <c r="A64" s="17"/>
      <c r="B64" s="17"/>
      <c r="C64" s="18" t="s">
        <v>98</v>
      </c>
      <c r="D64" s="17"/>
      <c r="E64" s="17"/>
      <c r="F64" s="17"/>
      <c r="G64" s="17"/>
      <c r="H64" s="15" t="s">
        <v>12</v>
      </c>
    </row>
    <row r="65" spans="1:8" x14ac:dyDescent="0.2">
      <c r="A65" s="17"/>
      <c r="B65" s="17"/>
      <c r="C65" s="18" t="s">
        <v>11</v>
      </c>
      <c r="D65" s="17"/>
      <c r="E65" s="17" t="s">
        <v>12</v>
      </c>
      <c r="F65" s="19" t="s">
        <v>13</v>
      </c>
      <c r="G65" s="20">
        <v>0</v>
      </c>
      <c r="H65" s="15" t="s">
        <v>12</v>
      </c>
    </row>
    <row r="66" spans="1:8" x14ac:dyDescent="0.2">
      <c r="A66" s="17"/>
      <c r="B66" s="17"/>
      <c r="C66" s="21"/>
      <c r="D66" s="17"/>
      <c r="E66" s="17"/>
      <c r="F66" s="22"/>
      <c r="G66" s="22"/>
      <c r="H66" s="15" t="s">
        <v>12</v>
      </c>
    </row>
    <row r="67" spans="1:8" x14ac:dyDescent="0.2">
      <c r="A67" s="17"/>
      <c r="B67" s="17"/>
      <c r="C67" s="18" t="s">
        <v>101</v>
      </c>
      <c r="D67" s="17"/>
      <c r="E67" s="17"/>
      <c r="F67" s="17"/>
      <c r="G67" s="17"/>
      <c r="H67" s="15" t="s">
        <v>12</v>
      </c>
    </row>
    <row r="68" spans="1:8" x14ac:dyDescent="0.2">
      <c r="A68" s="17"/>
      <c r="B68" s="17"/>
      <c r="C68" s="18" t="s">
        <v>102</v>
      </c>
      <c r="D68" s="17"/>
      <c r="E68" s="17"/>
      <c r="F68" s="17"/>
      <c r="G68" s="17"/>
      <c r="H68" s="15" t="s">
        <v>12</v>
      </c>
    </row>
    <row r="69" spans="1:8" x14ac:dyDescent="0.2">
      <c r="A69" s="17"/>
      <c r="B69" s="17"/>
      <c r="C69" s="18" t="s">
        <v>11</v>
      </c>
      <c r="D69" s="17"/>
      <c r="E69" s="17" t="s">
        <v>12</v>
      </c>
      <c r="F69" s="19" t="s">
        <v>13</v>
      </c>
      <c r="G69" s="20">
        <v>0</v>
      </c>
      <c r="H69" s="15" t="s">
        <v>12</v>
      </c>
    </row>
    <row r="70" spans="1:8" x14ac:dyDescent="0.2">
      <c r="A70" s="17"/>
      <c r="B70" s="17"/>
      <c r="C70" s="21"/>
      <c r="D70" s="17"/>
      <c r="E70" s="17"/>
      <c r="F70" s="22"/>
      <c r="G70" s="22"/>
      <c r="H70" s="15" t="s">
        <v>12</v>
      </c>
    </row>
    <row r="71" spans="1:8" x14ac:dyDescent="0.2">
      <c r="A71" s="17"/>
      <c r="B71" s="17"/>
      <c r="C71" s="18" t="s">
        <v>103</v>
      </c>
      <c r="D71" s="17"/>
      <c r="E71" s="17"/>
      <c r="F71" s="22"/>
      <c r="G71" s="22"/>
      <c r="H71" s="15" t="s">
        <v>12</v>
      </c>
    </row>
    <row r="72" spans="1:8" x14ac:dyDescent="0.2">
      <c r="A72" s="17"/>
      <c r="B72" s="17"/>
      <c r="C72" s="18" t="s">
        <v>11</v>
      </c>
      <c r="D72" s="17"/>
      <c r="E72" s="17" t="s">
        <v>12</v>
      </c>
      <c r="F72" s="19" t="s">
        <v>13</v>
      </c>
      <c r="G72" s="20">
        <v>0</v>
      </c>
      <c r="H72" s="15" t="s">
        <v>12</v>
      </c>
    </row>
    <row r="73" spans="1:8" x14ac:dyDescent="0.2">
      <c r="A73" s="17"/>
      <c r="B73" s="17"/>
      <c r="C73" s="21"/>
      <c r="D73" s="17"/>
      <c r="E73" s="17"/>
      <c r="F73" s="22"/>
      <c r="G73" s="22"/>
      <c r="H73" s="15" t="s">
        <v>12</v>
      </c>
    </row>
    <row r="74" spans="1:8" x14ac:dyDescent="0.2">
      <c r="A74" s="29"/>
      <c r="B74" s="25"/>
      <c r="C74" s="25" t="s">
        <v>104</v>
      </c>
      <c r="D74" s="25"/>
      <c r="E74" s="29"/>
      <c r="F74" s="27">
        <f>-270.32301107+0.000030123987197876</f>
        <v>-270.32298094601282</v>
      </c>
      <c r="G74" s="28">
        <v>-3.3156700000000002E-3</v>
      </c>
      <c r="H74" s="15" t="s">
        <v>12</v>
      </c>
    </row>
    <row r="75" spans="1:8" x14ac:dyDescent="0.2">
      <c r="A75" s="21"/>
      <c r="B75" s="21"/>
      <c r="C75" s="18" t="s">
        <v>105</v>
      </c>
      <c r="D75" s="22"/>
      <c r="E75" s="22"/>
      <c r="F75" s="23">
        <f>81529.005975646+0.000030123987197876</f>
        <v>81529.006005769988</v>
      </c>
      <c r="G75" s="44">
        <v>1</v>
      </c>
      <c r="H75" s="15" t="s">
        <v>12</v>
      </c>
    </row>
    <row r="76" spans="1:8" x14ac:dyDescent="0.2">
      <c r="A76" s="45"/>
      <c r="B76" s="45"/>
      <c r="C76" s="45"/>
      <c r="D76" s="46"/>
      <c r="E76" s="46"/>
      <c r="F76" s="46"/>
      <c r="G76" s="46"/>
    </row>
    <row r="77" spans="1:8" x14ac:dyDescent="0.2">
      <c r="A77" s="47"/>
      <c r="B77" s="48" t="s">
        <v>564</v>
      </c>
      <c r="C77" s="48"/>
      <c r="D77" s="48"/>
      <c r="E77" s="48"/>
      <c r="F77" s="48"/>
      <c r="G77" s="48"/>
      <c r="H77" s="48"/>
    </row>
    <row r="78" spans="1:8" x14ac:dyDescent="0.2">
      <c r="A78" s="47"/>
      <c r="B78" s="48" t="s">
        <v>565</v>
      </c>
      <c r="C78" s="48"/>
      <c r="D78" s="48"/>
      <c r="E78" s="48"/>
      <c r="F78" s="48"/>
      <c r="G78" s="48"/>
      <c r="H78" s="48"/>
    </row>
    <row r="79" spans="1:8" x14ac:dyDescent="0.2">
      <c r="A79" s="47"/>
      <c r="B79" s="48" t="s">
        <v>566</v>
      </c>
      <c r="C79" s="48"/>
      <c r="D79" s="48"/>
      <c r="E79" s="48"/>
      <c r="F79" s="48"/>
      <c r="G79" s="48"/>
      <c r="H79" s="48"/>
    </row>
    <row r="80" spans="1:8" x14ac:dyDescent="0.2">
      <c r="A80" s="49"/>
      <c r="B80" s="49"/>
      <c r="C80" s="49"/>
      <c r="D80" s="50"/>
      <c r="E80" s="50"/>
      <c r="F80" s="50"/>
      <c r="G80" s="50"/>
    </row>
    <row r="81" spans="1:8" x14ac:dyDescent="0.2">
      <c r="A81" s="49"/>
      <c r="B81" s="51" t="s">
        <v>106</v>
      </c>
      <c r="C81" s="52"/>
      <c r="D81" s="53"/>
      <c r="E81" s="54"/>
      <c r="F81" s="50"/>
      <c r="G81" s="50"/>
    </row>
    <row r="82" spans="1:8" x14ac:dyDescent="0.2">
      <c r="A82" s="49"/>
      <c r="B82" s="55" t="s">
        <v>107</v>
      </c>
      <c r="C82" s="56"/>
      <c r="D82" s="18" t="s">
        <v>108</v>
      </c>
      <c r="E82" s="54"/>
      <c r="F82" s="50"/>
      <c r="G82" s="50"/>
    </row>
    <row r="83" spans="1:8" x14ac:dyDescent="0.2">
      <c r="A83" s="49"/>
      <c r="B83" s="55" t="s">
        <v>109</v>
      </c>
      <c r="C83" s="56"/>
      <c r="D83" s="18" t="s">
        <v>108</v>
      </c>
      <c r="E83" s="54"/>
      <c r="F83" s="50"/>
      <c r="G83" s="50"/>
    </row>
    <row r="84" spans="1:8" x14ac:dyDescent="0.2">
      <c r="A84" s="49"/>
      <c r="B84" s="55" t="s">
        <v>110</v>
      </c>
      <c r="C84" s="56"/>
      <c r="D84" s="22" t="s">
        <v>12</v>
      </c>
      <c r="E84" s="54"/>
      <c r="F84" s="50"/>
      <c r="G84" s="50"/>
    </row>
    <row r="85" spans="1:8" x14ac:dyDescent="0.2">
      <c r="A85" s="57"/>
      <c r="B85" s="58" t="s">
        <v>12</v>
      </c>
      <c r="C85" s="58" t="s">
        <v>567</v>
      </c>
      <c r="D85" s="58" t="s">
        <v>111</v>
      </c>
      <c r="E85" s="57"/>
      <c r="F85" s="57"/>
      <c r="G85" s="57"/>
      <c r="H85" s="95"/>
    </row>
    <row r="86" spans="1:8" x14ac:dyDescent="0.2">
      <c r="A86" s="57"/>
      <c r="B86" s="59" t="s">
        <v>112</v>
      </c>
      <c r="C86" s="60">
        <v>45657</v>
      </c>
      <c r="D86" s="60">
        <v>45688</v>
      </c>
      <c r="E86" s="57"/>
      <c r="F86" s="57"/>
      <c r="G86" s="57"/>
    </row>
    <row r="87" spans="1:8" x14ac:dyDescent="0.2">
      <c r="A87" s="61"/>
      <c r="B87" s="25" t="s">
        <v>113</v>
      </c>
      <c r="C87" s="62">
        <v>1335.4733000000001</v>
      </c>
      <c r="D87" s="62">
        <v>1342.8867</v>
      </c>
      <c r="E87" s="61"/>
      <c r="F87" s="63"/>
      <c r="G87" s="64"/>
    </row>
    <row r="88" spans="1:8" ht="25.5" x14ac:dyDescent="0.2">
      <c r="A88" s="61"/>
      <c r="B88" s="25" t="s">
        <v>689</v>
      </c>
      <c r="C88" s="62">
        <v>1044.9499000000001</v>
      </c>
      <c r="D88" s="62">
        <v>1044.9173000000001</v>
      </c>
      <c r="E88" s="61"/>
      <c r="F88" s="63"/>
      <c r="G88" s="64"/>
    </row>
    <row r="89" spans="1:8" x14ac:dyDescent="0.2">
      <c r="A89" s="61"/>
      <c r="B89" s="25" t="s">
        <v>114</v>
      </c>
      <c r="C89" s="62">
        <v>1327.7629999999999</v>
      </c>
      <c r="D89" s="62">
        <v>1335.0103999999999</v>
      </c>
      <c r="E89" s="61"/>
      <c r="F89" s="63"/>
      <c r="G89" s="64"/>
    </row>
    <row r="90" spans="1:8" ht="25.5" x14ac:dyDescent="0.2">
      <c r="A90" s="61"/>
      <c r="B90" s="25" t="s">
        <v>693</v>
      </c>
      <c r="C90" s="62">
        <v>1041.2144000000001</v>
      </c>
      <c r="D90" s="62">
        <v>1041.1850999999999</v>
      </c>
      <c r="E90" s="61"/>
      <c r="F90" s="63"/>
      <c r="G90" s="64"/>
    </row>
    <row r="91" spans="1:8" x14ac:dyDescent="0.2">
      <c r="A91" s="61"/>
      <c r="B91" s="61"/>
      <c r="C91" s="61"/>
      <c r="D91" s="61"/>
      <c r="E91" s="61"/>
      <c r="F91" s="61"/>
      <c r="G91" s="61"/>
    </row>
    <row r="92" spans="1:8" x14ac:dyDescent="0.2">
      <c r="A92" s="61"/>
      <c r="B92" s="55" t="s">
        <v>568</v>
      </c>
      <c r="C92" s="56"/>
      <c r="D92" s="18" t="s">
        <v>12</v>
      </c>
      <c r="E92" s="61"/>
      <c r="F92" s="61"/>
      <c r="G92" s="61"/>
    </row>
    <row r="93" spans="1:8" x14ac:dyDescent="0.2">
      <c r="A93" s="61"/>
      <c r="B93" s="65" t="s">
        <v>112</v>
      </c>
      <c r="C93" s="66" t="s">
        <v>115</v>
      </c>
      <c r="D93" s="66" t="s">
        <v>116</v>
      </c>
      <c r="E93" s="61"/>
      <c r="F93" s="61"/>
      <c r="G93" s="61"/>
    </row>
    <row r="94" spans="1:8" ht="25.5" x14ac:dyDescent="0.2">
      <c r="A94" s="61"/>
      <c r="B94" s="25" t="s">
        <v>689</v>
      </c>
      <c r="C94" s="67">
        <v>5.8208000000000002</v>
      </c>
      <c r="D94" s="29" t="s">
        <v>117</v>
      </c>
      <c r="E94" s="61"/>
      <c r="F94" s="63"/>
      <c r="G94" s="64"/>
    </row>
    <row r="95" spans="1:8" ht="25.5" x14ac:dyDescent="0.2">
      <c r="A95" s="61"/>
      <c r="B95" s="25" t="s">
        <v>693</v>
      </c>
      <c r="C95" s="67">
        <v>5.7035999999999998</v>
      </c>
      <c r="D95" s="29" t="s">
        <v>117</v>
      </c>
      <c r="E95" s="61"/>
      <c r="F95" s="63"/>
      <c r="G95" s="64"/>
    </row>
    <row r="96" spans="1:8" x14ac:dyDescent="0.2">
      <c r="A96" s="61"/>
      <c r="B96" s="68"/>
      <c r="C96" s="68"/>
      <c r="D96" s="68"/>
      <c r="E96" s="61"/>
      <c r="F96" s="61"/>
      <c r="G96" s="61"/>
    </row>
    <row r="97" spans="1:21" x14ac:dyDescent="0.2">
      <c r="A97" s="57"/>
      <c r="B97" s="125" t="s">
        <v>118</v>
      </c>
      <c r="C97" s="126"/>
      <c r="D97" s="34" t="s">
        <v>108</v>
      </c>
      <c r="E97" s="71"/>
      <c r="F97" s="57"/>
      <c r="G97" s="57"/>
    </row>
    <row r="98" spans="1:21" x14ac:dyDescent="0.2">
      <c r="A98" s="57"/>
      <c r="B98" s="125" t="s">
        <v>119</v>
      </c>
      <c r="C98" s="126"/>
      <c r="D98" s="34" t="s">
        <v>108</v>
      </c>
      <c r="E98" s="71"/>
      <c r="F98" s="57"/>
      <c r="G98" s="57"/>
    </row>
    <row r="99" spans="1:21" x14ac:dyDescent="0.2">
      <c r="A99" s="57"/>
      <c r="B99" s="125" t="s">
        <v>569</v>
      </c>
      <c r="C99" s="126"/>
      <c r="D99" s="34" t="s">
        <v>108</v>
      </c>
      <c r="E99" s="71"/>
      <c r="F99" s="57"/>
      <c r="G99" s="57"/>
      <c r="I99" s="36"/>
    </row>
    <row r="100" spans="1:21" x14ac:dyDescent="0.2">
      <c r="A100" s="68"/>
      <c r="B100" s="68"/>
      <c r="C100" s="68"/>
      <c r="D100" s="68"/>
      <c r="E100" s="68"/>
      <c r="F100" s="68"/>
      <c r="G100" s="68"/>
      <c r="I100" s="36"/>
    </row>
    <row r="101" spans="1:21" s="72" customFormat="1" x14ac:dyDescent="0.2">
      <c r="B101" s="73" t="s">
        <v>570</v>
      </c>
      <c r="C101" s="74"/>
      <c r="D101" s="75"/>
      <c r="I101" s="36"/>
      <c r="J101" s="16"/>
      <c r="K101" s="36"/>
      <c r="L101" s="36"/>
      <c r="M101" s="36"/>
      <c r="N101" s="85"/>
      <c r="Q101" s="16"/>
      <c r="R101" s="16"/>
      <c r="S101" s="16"/>
      <c r="T101" s="16"/>
      <c r="U101" s="16"/>
    </row>
    <row r="102" spans="1:21" s="72" customFormat="1" ht="38.25" x14ac:dyDescent="0.2">
      <c r="B102" s="76" t="s">
        <v>571</v>
      </c>
      <c r="C102" s="76"/>
      <c r="D102" s="77" t="s">
        <v>537</v>
      </c>
      <c r="I102" s="36"/>
      <c r="J102" s="16"/>
      <c r="K102" s="36"/>
      <c r="L102" s="36"/>
      <c r="M102" s="36"/>
      <c r="N102" s="85"/>
      <c r="Q102" s="16"/>
      <c r="R102" s="16"/>
      <c r="S102" s="16"/>
      <c r="T102" s="16"/>
      <c r="U102" s="16"/>
    </row>
    <row r="103" spans="1:21" s="72" customFormat="1" x14ac:dyDescent="0.2">
      <c r="B103" s="78" t="s">
        <v>572</v>
      </c>
      <c r="C103" s="78"/>
      <c r="D103" s="79"/>
      <c r="I103" s="36"/>
      <c r="J103" s="16"/>
      <c r="K103" s="36"/>
      <c r="L103" s="36"/>
      <c r="M103" s="36"/>
      <c r="N103" s="85"/>
    </row>
    <row r="104" spans="1:21" s="72" customFormat="1" x14ac:dyDescent="0.2">
      <c r="B104" s="78"/>
      <c r="C104" s="78"/>
      <c r="D104" s="82"/>
      <c r="I104" s="16"/>
      <c r="J104" s="16"/>
      <c r="K104" s="36"/>
      <c r="L104" s="36"/>
      <c r="M104" s="36"/>
      <c r="N104" s="85"/>
    </row>
    <row r="105" spans="1:21" s="72" customFormat="1" x14ac:dyDescent="0.2">
      <c r="B105" s="78" t="s">
        <v>573</v>
      </c>
      <c r="C105" s="78"/>
      <c r="D105" s="83">
        <v>6.6005920969620364</v>
      </c>
      <c r="I105" s="16"/>
      <c r="J105" s="16"/>
      <c r="K105" s="36"/>
      <c r="L105" s="36"/>
      <c r="M105" s="36"/>
      <c r="N105" s="85"/>
    </row>
    <row r="106" spans="1:21" s="72" customFormat="1" x14ac:dyDescent="0.2">
      <c r="B106" s="78"/>
      <c r="C106" s="78"/>
      <c r="D106" s="82"/>
      <c r="I106" s="16"/>
      <c r="J106" s="16"/>
      <c r="K106" s="36"/>
      <c r="L106" s="36"/>
      <c r="M106" s="36"/>
      <c r="N106" s="85"/>
    </row>
    <row r="107" spans="1:21" s="72" customFormat="1" x14ac:dyDescent="0.2">
      <c r="B107" s="78" t="s">
        <v>678</v>
      </c>
      <c r="C107" s="78"/>
      <c r="D107" s="127">
        <v>3</v>
      </c>
      <c r="I107" s="16"/>
      <c r="J107" s="16"/>
      <c r="K107" s="36"/>
      <c r="L107" s="36"/>
      <c r="M107" s="36"/>
      <c r="N107" s="85"/>
    </row>
    <row r="108" spans="1:21" s="72" customFormat="1" x14ac:dyDescent="0.2">
      <c r="B108" s="78" t="s">
        <v>679</v>
      </c>
      <c r="C108" s="78"/>
      <c r="D108" s="127">
        <v>3</v>
      </c>
      <c r="I108" s="16"/>
      <c r="J108" s="16"/>
      <c r="K108" s="36"/>
      <c r="L108" s="36"/>
      <c r="M108" s="36"/>
      <c r="N108" s="85"/>
    </row>
    <row r="109" spans="1:21" s="72" customFormat="1" x14ac:dyDescent="0.2">
      <c r="B109" s="78"/>
      <c r="C109" s="78"/>
      <c r="D109" s="82"/>
      <c r="I109" s="16"/>
      <c r="J109" s="16"/>
      <c r="K109" s="36"/>
      <c r="L109" s="36"/>
      <c r="M109" s="36"/>
      <c r="N109" s="85"/>
    </row>
    <row r="110" spans="1:21" s="72" customFormat="1" x14ac:dyDescent="0.2">
      <c r="B110" s="78" t="s">
        <v>576</v>
      </c>
      <c r="C110" s="78"/>
      <c r="D110" s="84" t="s">
        <v>682</v>
      </c>
      <c r="I110" s="16"/>
      <c r="J110" s="16"/>
      <c r="K110" s="36"/>
      <c r="L110" s="36"/>
      <c r="M110" s="36"/>
      <c r="N110" s="85"/>
    </row>
    <row r="111" spans="1:21" s="72" customFormat="1" x14ac:dyDescent="0.2">
      <c r="B111" s="80" t="s">
        <v>577</v>
      </c>
      <c r="C111" s="86"/>
      <c r="D111" s="81"/>
      <c r="I111" s="16"/>
      <c r="J111" s="16"/>
      <c r="K111" s="36"/>
      <c r="L111" s="36"/>
      <c r="M111" s="36"/>
      <c r="N111" s="85"/>
    </row>
    <row r="112" spans="1:21" x14ac:dyDescent="0.2">
      <c r="H112" s="128"/>
    </row>
    <row r="113" spans="2:10" x14ac:dyDescent="0.2">
      <c r="B113" s="87" t="s">
        <v>578</v>
      </c>
    </row>
    <row r="114" spans="2:10" ht="7.5" customHeight="1" x14ac:dyDescent="0.2"/>
    <row r="115" spans="2:10" ht="153.75" customHeight="1" x14ac:dyDescent="0.2"/>
    <row r="118" spans="2:10" x14ac:dyDescent="0.2">
      <c r="B118" s="88" t="s">
        <v>579</v>
      </c>
      <c r="C118" s="10"/>
      <c r="D118" s="88" t="s">
        <v>580</v>
      </c>
    </row>
    <row r="119" spans="2:10" x14ac:dyDescent="0.2">
      <c r="B119" s="88" t="s">
        <v>680</v>
      </c>
      <c r="D119" s="88" t="s">
        <v>681</v>
      </c>
    </row>
    <row r="120" spans="2:10" ht="165" customHeight="1" x14ac:dyDescent="0.2"/>
    <row r="122" spans="2:10" x14ac:dyDescent="0.2">
      <c r="J122" s="93"/>
    </row>
  </sheetData>
  <mergeCells count="25">
    <mergeCell ref="B111:D111"/>
    <mergeCell ref="B106:C106"/>
    <mergeCell ref="B107:C107"/>
    <mergeCell ref="B108:C108"/>
    <mergeCell ref="B109:C109"/>
    <mergeCell ref="B110:C110"/>
    <mergeCell ref="B101:D101"/>
    <mergeCell ref="B102:C102"/>
    <mergeCell ref="B103:C103"/>
    <mergeCell ref="B104:C104"/>
    <mergeCell ref="B105:C105"/>
    <mergeCell ref="A3:H3"/>
    <mergeCell ref="A2:H2"/>
    <mergeCell ref="A1:H1"/>
    <mergeCell ref="B77:H77"/>
    <mergeCell ref="B78:H78"/>
    <mergeCell ref="B79:H79"/>
    <mergeCell ref="B97:C97"/>
    <mergeCell ref="B98:C98"/>
    <mergeCell ref="B99:C99"/>
    <mergeCell ref="B81:D81"/>
    <mergeCell ref="B82:C82"/>
    <mergeCell ref="B83:C83"/>
    <mergeCell ref="B84:C84"/>
    <mergeCell ref="B92:C92"/>
  </mergeCells>
  <hyperlinks>
    <hyperlink ref="I1" location="Index!B2" display="Index" xr:uid="{54E7714F-87A6-43BE-83D2-898C1ED824A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2025-02-01T10:42:11Z</dcterms:created>
  <dcterms:modified xsi:type="dcterms:W3CDTF">2025-02-07T13:43:10Z</dcterms:modified>
</cp:coreProperties>
</file>